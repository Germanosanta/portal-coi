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Arquivos_Equipamentos/"/>
    </mc:Choice>
  </mc:AlternateContent>
  <xr:revisionPtr revIDLastSave="22" documentId="8_{9409A77A-5347-4CEA-A1F7-7010A0DAFB67}" xr6:coauthVersionLast="47" xr6:coauthVersionMax="47" xr10:uidLastSave="{D94EAED3-D896-482C-847B-A3E2C9958ADD}"/>
  <bookViews>
    <workbookView xWindow="-120" yWindow="-120" windowWidth="29040" windowHeight="15720" firstSheet="1" activeTab="1" xr2:uid="{32DB4B2A-D3BE-48D7-81C5-988D72D61C45}"/>
  </bookViews>
  <sheets>
    <sheet name="Infor. Reservatórios e C.Bombas" sheetId="1" r:id="rId1"/>
    <sheet name="Infor_Pivos" sheetId="2" r:id="rId2"/>
    <sheet name="Infor. Cap.. Elev.. e Poços " sheetId="5" r:id="rId3"/>
  </sheets>
  <definedNames>
    <definedName name="_xlnm._FilterDatabase" localSheetId="2" hidden="1">'Infor. Cap.. Elev.. e Poços '!$A$2:$O$112</definedName>
    <definedName name="_xlnm._FilterDatabase" localSheetId="1" hidden="1">Infor_Pivos!$A$2:$R$108</definedName>
    <definedName name="_xlnm.Criteria" localSheetId="1">Infor_Pivos!$N$3:$N$30</definedName>
    <definedName name="Laudo_P43">Infor_Pivos!$N$45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9" i="2" l="1"/>
  <c r="K68" i="2"/>
  <c r="K67" i="2"/>
  <c r="I92" i="5"/>
  <c r="I91" i="5"/>
  <c r="K107" i="2"/>
  <c r="K106" i="2"/>
  <c r="K11" i="2"/>
  <c r="K5" i="2"/>
  <c r="K4" i="2"/>
  <c r="K3" i="2"/>
  <c r="J21" i="1"/>
  <c r="J22" i="1"/>
  <c r="J20" i="1"/>
  <c r="K108" i="2"/>
  <c r="I112" i="5"/>
  <c r="I111" i="5"/>
  <c r="I110" i="5"/>
  <c r="I108" i="5"/>
  <c r="I106" i="5"/>
  <c r="I89" i="5"/>
  <c r="I90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7" i="5"/>
  <c r="I109" i="5"/>
  <c r="I88" i="5"/>
  <c r="H87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" i="5"/>
  <c r="K6" i="2"/>
  <c r="K7" i="2"/>
  <c r="K8" i="2"/>
  <c r="K9" i="2"/>
  <c r="K10" i="2"/>
  <c r="K12" i="2"/>
  <c r="K13" i="2"/>
  <c r="K14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9" i="2"/>
  <c r="K50" i="2"/>
  <c r="K51" i="2"/>
  <c r="K52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E11" i="1"/>
  <c r="H17" i="1"/>
  <c r="O2" i="5" l="1"/>
  <c r="R2" i="2"/>
  <c r="G16" i="1"/>
  <c r="J16" i="1" s="1"/>
  <c r="E16" i="1"/>
  <c r="E29" i="1"/>
  <c r="G29" i="1"/>
  <c r="J29" i="1" s="1"/>
  <c r="G19" i="1"/>
  <c r="H19" i="1" s="1"/>
  <c r="E19" i="1"/>
  <c r="G18" i="1"/>
  <c r="H18" i="1" s="1"/>
  <c r="E18" i="1"/>
  <c r="G8" i="1"/>
  <c r="H8" i="1" s="1"/>
  <c r="E8" i="1"/>
  <c r="G13" i="1"/>
  <c r="J13" i="1" s="1"/>
  <c r="E13" i="1"/>
  <c r="G12" i="1"/>
  <c r="J12" i="1" s="1"/>
  <c r="E12" i="1"/>
  <c r="G11" i="1"/>
  <c r="J11" i="1" s="1"/>
  <c r="G10" i="1"/>
  <c r="J10" i="1" s="1"/>
  <c r="E10" i="1"/>
  <c r="G7" i="1"/>
  <c r="H7" i="1" s="1"/>
  <c r="E7" i="1"/>
  <c r="E6" i="1"/>
  <c r="G6" i="1"/>
  <c r="H6" i="1" s="1"/>
  <c r="E5" i="1"/>
  <c r="G5" i="1"/>
  <c r="H5" i="1" s="1"/>
  <c r="G4" i="1"/>
  <c r="J4" i="1" s="1"/>
  <c r="E4" i="1"/>
  <c r="G3" i="1"/>
  <c r="J3" i="1" s="1"/>
  <c r="E3" i="1"/>
  <c r="G28" i="1"/>
  <c r="J28" i="1" s="1"/>
  <c r="G27" i="1"/>
  <c r="J27" i="1" s="1"/>
  <c r="G26" i="1"/>
  <c r="J26" i="1" s="1"/>
  <c r="G25" i="1"/>
  <c r="J25" i="1" s="1"/>
  <c r="G24" i="1"/>
  <c r="J24" i="1" s="1"/>
  <c r="G23" i="1"/>
  <c r="J23" i="1" s="1"/>
  <c r="E28" i="1"/>
  <c r="E27" i="1"/>
  <c r="E26" i="1"/>
  <c r="E25" i="1"/>
  <c r="E24" i="1"/>
  <c r="J17" i="1"/>
  <c r="E15" i="1"/>
  <c r="G15" i="1"/>
  <c r="J15" i="1" s="1"/>
  <c r="G14" i="1"/>
  <c r="J14" i="1" s="1"/>
  <c r="E14" i="1"/>
  <c r="G9" i="1"/>
  <c r="H9" i="1" s="1"/>
  <c r="E9" i="1"/>
  <c r="J53" i="2"/>
  <c r="K53" i="2" s="1"/>
  <c r="J48" i="2"/>
  <c r="K48" i="2" s="1"/>
  <c r="N2" i="5" l="1"/>
  <c r="M2" i="5"/>
  <c r="P2" i="2"/>
  <c r="Q2" i="2"/>
  <c r="J19" i="1"/>
  <c r="J7" i="1"/>
  <c r="H13" i="1"/>
  <c r="J5" i="1"/>
  <c r="J18" i="1"/>
  <c r="H15" i="1"/>
  <c r="H3" i="1"/>
  <c r="H16" i="1"/>
  <c r="J8" i="1"/>
  <c r="H10" i="1"/>
  <c r="H4" i="1"/>
  <c r="H11" i="1"/>
  <c r="J9" i="1"/>
  <c r="H12" i="1"/>
  <c r="H14" i="1"/>
  <c r="J6" i="1"/>
</calcChain>
</file>

<file path=xl/sharedStrings.xml><?xml version="1.0" encoding="utf-8"?>
<sst xmlns="http://schemas.openxmlformats.org/spreadsheetml/2006/main" count="1269" uniqueCount="288">
  <si>
    <r>
      <rPr>
        <b/>
        <u/>
        <sz val="15"/>
        <color rgb="FF002060"/>
        <rFont val="Calibri"/>
        <family val="2"/>
        <scheme val="minor"/>
      </rPr>
      <t xml:space="preserve">Informações - Reservatórios e Casas de Bombas - </t>
    </r>
    <r>
      <rPr>
        <b/>
        <u/>
        <sz val="15"/>
        <rFont val="Calibri"/>
        <family val="2"/>
        <scheme val="minor"/>
      </rPr>
      <t>KARITEL</t>
    </r>
    <r>
      <rPr>
        <sz val="11"/>
        <rFont val="Calibri"/>
        <family val="2"/>
        <scheme val="minor"/>
      </rPr>
      <t xml:space="preserve"> </t>
    </r>
    <r>
      <rPr>
        <b/>
        <u/>
        <sz val="11"/>
        <rFont val="Calibri"/>
        <family val="2"/>
        <scheme val="minor"/>
      </rPr>
      <t xml:space="preserve"> </t>
    </r>
    <r>
      <rPr>
        <b/>
        <u/>
        <sz val="15"/>
        <rFont val="Calibri"/>
        <family val="2"/>
        <scheme val="minor"/>
      </rPr>
      <t>e RDM.</t>
    </r>
  </si>
  <si>
    <t>Fazenda</t>
  </si>
  <si>
    <t>Módulo</t>
  </si>
  <si>
    <t>Reservatórios</t>
  </si>
  <si>
    <t>Pivôs Abastecidos</t>
  </si>
  <si>
    <t>Total Hectares Irrigados (há)</t>
  </si>
  <si>
    <t>Capacidade (m³)</t>
  </si>
  <si>
    <t>Vazão (m³/h)</t>
  </si>
  <si>
    <t>Autonomia (h)</t>
  </si>
  <si>
    <t xml:space="preserve">Total de Pivôs    Abastecidos     </t>
  </si>
  <si>
    <t>Média de Vazão (m³/h) por Pivô</t>
  </si>
  <si>
    <t>karitel</t>
  </si>
  <si>
    <t>Módulo 01</t>
  </si>
  <si>
    <t>R0</t>
  </si>
  <si>
    <t>01 - 02 - 03 - 04</t>
  </si>
  <si>
    <t>R1</t>
  </si>
  <si>
    <t>05 - 06 - 15 - 16</t>
  </si>
  <si>
    <t>R2</t>
  </si>
  <si>
    <t>07 - 08 - 17 - 18</t>
  </si>
  <si>
    <t>R3</t>
  </si>
  <si>
    <t xml:space="preserve">09 - 10 - 19 - 20 </t>
  </si>
  <si>
    <t>R4</t>
  </si>
  <si>
    <t xml:space="preserve">21 - 22 </t>
  </si>
  <si>
    <t>R5</t>
  </si>
  <si>
    <t>11 - 12   13</t>
  </si>
  <si>
    <t>R6</t>
  </si>
  <si>
    <t>14 - 23 - 24</t>
  </si>
  <si>
    <t>R7</t>
  </si>
  <si>
    <t>25 - 26 - 27 - 28 - 29</t>
  </si>
  <si>
    <t>C3Z3</t>
  </si>
  <si>
    <t>30 - 31 - 32 - 33 - 34</t>
  </si>
  <si>
    <t>Módulo 02</t>
  </si>
  <si>
    <t>R8</t>
  </si>
  <si>
    <t>35 - 36 - 37 - 38</t>
  </si>
  <si>
    <t>R9</t>
  </si>
  <si>
    <t xml:space="preserve">41 - 42 - 43 </t>
  </si>
  <si>
    <t>R10</t>
  </si>
  <si>
    <t>39 - 40</t>
  </si>
  <si>
    <t>R11</t>
  </si>
  <si>
    <t xml:space="preserve">45 - 46 - 47 - 48 - 49 </t>
  </si>
  <si>
    <t>R12</t>
  </si>
  <si>
    <t>52 - 73 - 74</t>
  </si>
  <si>
    <t>Transposição</t>
  </si>
  <si>
    <t>...</t>
  </si>
  <si>
    <t>Módulo 03</t>
  </si>
  <si>
    <t>R13</t>
  </si>
  <si>
    <t>44 - 53 - 54 - 55</t>
  </si>
  <si>
    <t>R14</t>
  </si>
  <si>
    <t>50 - 51 - 56</t>
  </si>
  <si>
    <t>R15</t>
  </si>
  <si>
    <t>57 - 58 - 59 - 60 - 66</t>
  </si>
  <si>
    <t>R16</t>
  </si>
  <si>
    <t>61 - 62 - 67 - 68</t>
  </si>
  <si>
    <t>R17</t>
  </si>
  <si>
    <t>69 - 70 - 71 - 72</t>
  </si>
  <si>
    <t>RDM</t>
  </si>
  <si>
    <t>RM1</t>
  </si>
  <si>
    <t>RM2</t>
  </si>
  <si>
    <t>106 - 108</t>
  </si>
  <si>
    <t>RM3</t>
  </si>
  <si>
    <t>105 - 107</t>
  </si>
  <si>
    <t>RM4</t>
  </si>
  <si>
    <t>101 - 102 - 103 - 104 - 110</t>
  </si>
  <si>
    <t>RM5</t>
  </si>
  <si>
    <t>112 - 113 - 114 - 115 - 131 - 132</t>
  </si>
  <si>
    <t>RM6</t>
  </si>
  <si>
    <t>116 - 117 - 118 - 119  128 - 129  - 130</t>
  </si>
  <si>
    <t>RM7</t>
  </si>
  <si>
    <t>120 - 121 - 122 - 123  124 - 125 - 126 - 127 - 133</t>
  </si>
  <si>
    <r>
      <rPr>
        <b/>
        <u/>
        <sz val="15"/>
        <color rgb="FF002060"/>
        <rFont val="Calibri"/>
        <family val="2"/>
        <scheme val="minor"/>
      </rPr>
      <t xml:space="preserve">informações - Pivôs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(KARITEL e RDM).</t>
    </r>
  </si>
  <si>
    <t>Coordenadas Geográficas</t>
  </si>
  <si>
    <t>Total</t>
  </si>
  <si>
    <t>Pivôs</t>
  </si>
  <si>
    <t>Bombas/Poços</t>
  </si>
  <si>
    <t>Marca</t>
  </si>
  <si>
    <t>Pivô</t>
  </si>
  <si>
    <t>Área (há)</t>
  </si>
  <si>
    <t>Demanda do Contrato (kWh)</t>
  </si>
  <si>
    <t>Nº Contrato</t>
  </si>
  <si>
    <t>Potência (cv)</t>
  </si>
  <si>
    <t>Energia (kwh)</t>
  </si>
  <si>
    <t>Latitude </t>
  </si>
  <si>
    <t>Longitude </t>
  </si>
  <si>
    <t>Endereço do laudo</t>
  </si>
  <si>
    <t>Demanda Atual</t>
  </si>
  <si>
    <t>Karitel</t>
  </si>
  <si>
    <t>Valley</t>
  </si>
  <si>
    <t>P01</t>
  </si>
  <si>
    <t>https://santacolombaagropecuaria.sharepoint.com/sites/arquivos/Documentos%20Compartilhados/Sistema%20de%20Irrigacao/Suporte%20Irrigação/Leonardo/Teste%20de%20uniformidade/Teste%20de%20uniformidade%20e%20aplicação%20%20PC%2001.pdf</t>
  </si>
  <si>
    <t xml:space="preserve"> </t>
  </si>
  <si>
    <t>P02</t>
  </si>
  <si>
    <t>https://santacolombaagropecuaria.sharepoint.com/sites/arquivos/Documentos%20Compartilhados/Sistema%20de%20Irrigacao/Suporte%20Irrigação/Leonardo/Teste%20de%20uniformidade/Teste%20de%20uniformidade%20e%20aplicação%20%20PC%2002.pdf</t>
  </si>
  <si>
    <t>P03</t>
  </si>
  <si>
    <t>https://santacolombaagropecuaria.sharepoint.com/sites/arquivos/Documentos%20Compartilhados/Sistema%20de%20Irrigacao/Suporte%20Irrigação/Leonardo/Teste%20de%20uniformidade/Teste%20de%20uniformidade%20e%20aplicação%20%20PC%2003.pdf</t>
  </si>
  <si>
    <t>P04</t>
  </si>
  <si>
    <t>https://santacolombaagropecuaria.sharepoint.com/sites/arquivos/Documentos%20Compartilhados/Sistema%20de%20Irrigacao/Suporte%20Irrigação/Leonardo/Teste%20de%20uniformidade/Teste%20de%20uniformidade%20e%20aplicação%20%20PC%2004.pdf</t>
  </si>
  <si>
    <t>P05</t>
  </si>
  <si>
    <t>https://santacolombaagropecuaria.sharepoint.com/sites/arquivos/Documentos%20Compartilhados/Sistema%20de%20Irrigacao/Suporte%20Irrigação/Leonardo/Teste%20de%20uniformidade/Teste%20de%20uniformidade%20e%20aplicação%20%20PC%2005.pdf</t>
  </si>
  <si>
    <t>P06</t>
  </si>
  <si>
    <t>https://santacolombaagropecuaria.sharepoint.com/sites/arquivos/Documentos%20Compartilhados/Sistema%20de%20Irrigacao/Suporte%20Irrigação/Leonardo/Teste%20de%20uniformidade/Teste%20de%20uniformidade%20e%20aplicação%20%20PC%2006.pdf</t>
  </si>
  <si>
    <t>P07</t>
  </si>
  <si>
    <t>https://santacolombaagropecuaria.sharepoint.com/sites/arquivos/Documentos%20Compartilhados/Sistema%20de%20Irrigacao/Suporte%20Irrigação/Leonardo/Teste%20de%20uniformidade/Teste%20de%20uniformidade%20e%20aplicação%20%20PC%2007.pdf</t>
  </si>
  <si>
    <t>P08</t>
  </si>
  <si>
    <t>https://santacolombaagropecuaria.sharepoint.com/sites/arquivos/Documentos%20Compartilhados/Sistema%20de%20Irrigacao/Suporte%20Irrigação/Leonardo/Teste%20de%20uniformidade/Teste%20de%20uniformidade%20e%20aplicação%20%20PC%2008.pdf</t>
  </si>
  <si>
    <t>P09</t>
  </si>
  <si>
    <t>https://santacolombaagropecuaria.sharepoint.com/sites/arquivos/Documentos%20Compartilhados/Sistema%20de%20Irrigacao/Suporte%20Irrigação/Leonardo/Teste%20de%20uniformidade/Teste%20de%20uniformidade%20e%20aplicação%20%20PC%2009.pdf</t>
  </si>
  <si>
    <t>P10</t>
  </si>
  <si>
    <t>https://santacolombaagropecuaria.sharepoint.com/sites/arquivos/Documentos%20Compartilhados/Sistema%20de%20Irrigacao/Suporte%20Irrigação/Leonardo/Teste%20de%20uniformidade/Teste%20de%20uniformidade%20e%20aplicação%20%20PC%2010.pdf</t>
  </si>
  <si>
    <t>P11</t>
  </si>
  <si>
    <t>https://santacolombaagropecuaria.sharepoint.com/sites/arquivos/Documentos%20Compartilhados/Sistema%20de%20Irrigacao/Suporte%20Irrigação/Leonardo/Teste%20de%20uniformidade/Teste%20de%20uniformidade%20e%20aplicação%20%20PC%2011.pdf</t>
  </si>
  <si>
    <t>P12</t>
  </si>
  <si>
    <t>https://santacolombaagropecuaria.sharepoint.com/sites/arquivos/Documentos%20Compartilhados/Sistema%20de%20Irrigacao/Suporte%20Irrigação/Leonardo/Teste%20de%20uniformidade/Teste%20de%20uniformidade%20e%20aplicação%20%20PC%2012.pdf</t>
  </si>
  <si>
    <t>P13</t>
  </si>
  <si>
    <t>https://santacolombaagropecuaria.sharepoint.com/sites/arquivos/Documentos%20Compartilhados/Sistema%20de%20Irrigacao/Suporte%20Irrigação/Leonardo/Teste%20de%20uniformidade/Teste%20de%20uniformidade%20e%20aplicação%20%20PC%2013.pdf</t>
  </si>
  <si>
    <t>P14</t>
  </si>
  <si>
    <t>https://santacolombaagropecuaria.sharepoint.com/sites/arquivos/Documentos%20Compartilhados/Sistema%20de%20Irrigacao/Suporte%20Irrigação/Leonardo/Teste%20de%20uniformidade/Teste%20de%20uniformidade%20e%20aplicação%20%20PC%2014.pdf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</si>
  <si>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</si>
  <si>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</si>
  <si>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</si>
  <si>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</si>
  <si>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</si>
  <si>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</si>
  <si>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</si>
  <si>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</si>
  <si>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</si>
  <si>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https://santacolombaagropecuaria.sharepoint.com/sites/arquivos/Documentos%20Compartilhados/Sistema%20de%20Irrigacao/Suporte%20Irrigação/Leonardo/Teste%20de%20uniformidade/Teste%20de%20uniformidade%20e%20aplicação%20%20PC%2023.pdf</t>
  </si>
  <si>
    <t>P24</t>
  </si>
  <si>
    <t>https://santacolombaagropecuaria.sharepoint.com/sites/arquivos/Documentos%20Compartilhados/Sistema%20de%20Irrigacao/Suporte%20Irrigação/Leonardo/Teste%20de%20uniformidade/Teste%20de%20uniformidade%20e%20aplicação%20%20PC%2024.pdf</t>
  </si>
  <si>
    <t>P25</t>
  </si>
  <si>
    <t>P26</t>
  </si>
  <si>
    <t>https://santacolombaagropecuaria.sharepoint.com/sites/arquivos/Documentos%20Compartilhados/Sistema%20de%20Irrigacao/Suporte%20Irrigação/Leonardo/Teste%20de%20uniformidade/Teste%20de%20uniformidade%20e%20aplicação%20%20PC%2026.pdf</t>
  </si>
  <si>
    <t>P27</t>
  </si>
  <si>
    <t>P28</t>
  </si>
  <si>
    <t>P29</t>
  </si>
  <si>
    <t>C3Z3/R7</t>
  </si>
  <si>
    <t>P30</t>
  </si>
  <si>
    <t>https://santacolombaagropecuaria.sharepoint.com/sites/arquivos/Documentos%20Compartilhados/Sistema%20de%20Irrigacao/Suporte%20Irrigação/Leonardo/Teste%20de%20uniformidade/Teste%20de%20uniformidade%20e%20aplicação%20%20PC%2030.pdf</t>
  </si>
  <si>
    <t>P31</t>
  </si>
  <si>
    <t>https://santacolombaagropecuaria.sharepoint.com/sites/arquivos/Documentos%20Compartilhados/Sistema%20de%20Irrigacao/Suporte%20Irrigação/Leonardo/Teste%20de%20uniformidade/Teste%20de%20uniformidade%20e%20aplicação%20%20PC%2031.pdf</t>
  </si>
  <si>
    <t>P32</t>
  </si>
  <si>
    <t>https://santacolombaagropecuaria.sharepoint.com/sites/arquivos/Documentos%20Compartilhados/Sistema%20de%20Irrigacao/Suporte%20Irrigação/Leonardo/Teste%20de%20uniformidade/Teste%20de%20uniformidade%20e%20aplicação%20%20PC%2032.pdf</t>
  </si>
  <si>
    <t>P33</t>
  </si>
  <si>
    <t>https://santacolombaagropecuaria.sharepoint.com/sites/arquivos/Documentos%20Compartilhados/Sistema%20de%20Irrigacao/Suporte%20Irrigação/Leonardo/Teste%20de%20uniformidade/Teste%20de%20uniformidade%20e%20aplicação%20%20PC%2033.pdf</t>
  </si>
  <si>
    <t>P34</t>
  </si>
  <si>
    <t>Lindsay</t>
  </si>
  <si>
    <t>P35</t>
  </si>
  <si>
    <t>https://santacolombaagropecuaria.sharepoint.com/sites/arquivos/Documentos%20Compartilhados/Sistema%20de%20Irrigacao/Suporte%20Irrigação/Leonardo/Teste%20de%20uniformidade/Teste%20de%20uniformidade%20e%20aplicação%20%20PC%2035.pdf</t>
  </si>
  <si>
    <t>P36</t>
  </si>
  <si>
    <t>P37</t>
  </si>
  <si>
    <t>P38</t>
  </si>
  <si>
    <t>P39</t>
  </si>
  <si>
    <t>P40</t>
  </si>
  <si>
    <t>P41</t>
  </si>
  <si>
    <t>P42</t>
  </si>
  <si>
    <t>Teste de uniformidade e aplicação PC 42.pdf</t>
  </si>
  <si>
    <t>P43</t>
  </si>
  <si>
    <t>https://santacolombaagropecuaria.sharepoint.com/sites/arquivos/Documentos%20Compartilhados/Sistema%20de%20Irrigacao/Suporte%20Irrigação/Leonardo/Teste%20de%20uniformidade/Teste%20de%20uniformidade%20e%20aplicação%20%20PC%2043.pdf</t>
  </si>
  <si>
    <t>P45</t>
  </si>
  <si>
    <t>P46</t>
  </si>
  <si>
    <t>Teste de uniformidade - OneDrive (sharepoint.com)</t>
  </si>
  <si>
    <t>z</t>
  </si>
  <si>
    <t>P47</t>
  </si>
  <si>
    <t>P48</t>
  </si>
  <si>
    <t>P49</t>
  </si>
  <si>
    <t>P52</t>
  </si>
  <si>
    <t>P73</t>
  </si>
  <si>
    <t>P74</t>
  </si>
  <si>
    <t>P44</t>
  </si>
  <si>
    <t>P50</t>
  </si>
  <si>
    <t>P51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</si>
  <si>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</si>
  <si>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</si>
  <si>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</si>
  <si>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</si>
  <si>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</si>
  <si>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</si>
  <si>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</si>
  <si>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</si>
  <si>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</si>
  <si>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</si>
  <si>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R18</t>
  </si>
  <si>
    <t>Bauer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</si>
  <si>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</si>
  <si>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</si>
  <si>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</si>
  <si>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</si>
  <si>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</si>
  <si>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</si>
  <si>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</si>
  <si>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</si>
  <si>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</si>
  <si>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</si>
  <si>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</si>
  <si>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</si>
  <si>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</si>
  <si>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</si>
  <si>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</si>
  <si>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</si>
  <si>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</si>
  <si>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</si>
  <si>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</si>
  <si>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</si>
  <si>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</si>
  <si>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</si>
  <si>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</si>
  <si>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</si>
  <si>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</si>
  <si>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</si>
  <si>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</si>
  <si>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</si>
  <si>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</si>
  <si>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</si>
  <si>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</si>
  <si>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</si>
  <si>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</si>
  <si>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</si>
  <si>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</si>
  <si>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</si>
  <si>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</si>
  <si>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</si>
  <si>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</si>
  <si>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</si>
  <si>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</si>
  <si>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</si>
  <si>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r>
      <rPr>
        <b/>
        <u/>
        <sz val="15"/>
        <color rgb="FF002060"/>
        <rFont val="Calibri"/>
        <family val="2"/>
        <scheme val="minor"/>
      </rPr>
      <t xml:space="preserve">informações - Captacões, Elevatórias e Poços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(KARITEL e RDM).</t>
    </r>
  </si>
  <si>
    <t>C. Bomba/Poço</t>
  </si>
  <si>
    <t>Bomba</t>
  </si>
  <si>
    <t>Contrato</t>
  </si>
  <si>
    <t>Potência (cv)/(hp)</t>
  </si>
  <si>
    <t>KARITEL</t>
  </si>
  <si>
    <t>Primavera 01</t>
  </si>
  <si>
    <t>B1</t>
  </si>
  <si>
    <t>B2</t>
  </si>
  <si>
    <t>B3</t>
  </si>
  <si>
    <t>Primavera 02</t>
  </si>
  <si>
    <t>B4</t>
  </si>
  <si>
    <t>B5</t>
  </si>
  <si>
    <t>Bom Nome</t>
  </si>
  <si>
    <t>B6</t>
  </si>
  <si>
    <t>B7</t>
  </si>
  <si>
    <t>B8</t>
  </si>
  <si>
    <t>B9</t>
  </si>
  <si>
    <t>B10</t>
  </si>
  <si>
    <t>B11</t>
  </si>
  <si>
    <t>B12</t>
  </si>
  <si>
    <t>Garfo</t>
  </si>
  <si>
    <t>Primavera 03</t>
  </si>
  <si>
    <t>Unificada 4/5</t>
  </si>
  <si>
    <t>B14</t>
  </si>
  <si>
    <t>B16</t>
  </si>
  <si>
    <t>B18</t>
  </si>
  <si>
    <t>B20</t>
  </si>
  <si>
    <t>B22</t>
  </si>
  <si>
    <t>B24</t>
  </si>
  <si>
    <t>B26</t>
  </si>
  <si>
    <t>B28</t>
  </si>
  <si>
    <t>Elevatória G e K</t>
  </si>
  <si>
    <t>B13</t>
  </si>
  <si>
    <t>B15</t>
  </si>
  <si>
    <t>B17</t>
  </si>
  <si>
    <t>B19</t>
  </si>
  <si>
    <t>B21</t>
  </si>
  <si>
    <t>B23</t>
  </si>
  <si>
    <t>R12 - Transposição</t>
  </si>
  <si>
    <t>Balça - M2/M1</t>
  </si>
  <si>
    <t>B1/B2</t>
  </si>
  <si>
    <t>Balça - R16</t>
  </si>
  <si>
    <t>PRM 01</t>
  </si>
  <si>
    <t>PRM 02</t>
  </si>
  <si>
    <t>PRM 03</t>
  </si>
  <si>
    <t>PRM 04</t>
  </si>
  <si>
    <t>PRM 05</t>
  </si>
  <si>
    <t>PRM 06</t>
  </si>
  <si>
    <t>PRM 07</t>
  </si>
  <si>
    <t>PRM 08</t>
  </si>
  <si>
    <t>PRM 09</t>
  </si>
  <si>
    <t>PRM 10</t>
  </si>
  <si>
    <t>PRM 11</t>
  </si>
  <si>
    <t>PRM 12</t>
  </si>
  <si>
    <t>PRM 13</t>
  </si>
  <si>
    <t>PK 10</t>
  </si>
  <si>
    <t>PK 11</t>
  </si>
  <si>
    <t>???</t>
  </si>
  <si>
    <t>PK 12</t>
  </si>
  <si>
    <t>PK 13</t>
  </si>
  <si>
    <t>PK 14</t>
  </si>
  <si>
    <t>PK 15</t>
  </si>
  <si>
    <t>PK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</si>
</sst>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"/>
  </numFmts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u/>
      <sz val="15"/>
      <color rgb="FF002060"/>
      <name val="Calibri"/>
      <family val="2"/>
      <scheme val="minor"/>
    </font>
    <font>
      <b/>
      <sz val="15"/>
      <color rgb="FF002060"/>
      <name val="Calibri"/>
      <family val="2"/>
      <scheme val="minor"/>
    </font>
    <font>
      <sz val="13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u/>
      <sz val="15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Arial Narrow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8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wrapText="1"/>
    </xf>
    <xf numFmtId="0" fontId="3" fillId="0" borderId="1" xfId="0" applyFont="1" applyBorder="1"/>
    <xf numFmtId="1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horizontal="right" vertical="center"/>
    </xf>
    <xf numFmtId="164" fontId="14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right" vertical="center"/>
    </xf>
    <xf numFmtId="1" fontId="1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8" fillId="5" borderId="1" xfId="0" applyFont="1" applyFill="1" applyBorder="1" applyAlignment="1">
      <alignment vertical="center"/>
    </xf>
    <xf numFmtId="0" fontId="16" fillId="0" borderId="1" xfId="1" applyBorder="1"/>
    <xf numFmtId="164" fontId="5" fillId="0" borderId="1" xfId="0" applyNumberFormat="1" applyFont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 vertical="center"/>
    </xf>
    <xf numFmtId="0" fontId="16" fillId="2" borderId="1" xfId="1" applyFill="1" applyBorder="1"/>
    <xf numFmtId="0" fontId="0" fillId="2" borderId="0" xfId="0" applyFill="1"/>
    <xf numFmtId="0" fontId="0" fillId="2" borderId="1" xfId="0" applyFill="1" applyBorder="1" applyAlignment="1">
      <alignment horizontal="center"/>
    </xf>
    <xf numFmtId="2" fontId="5" fillId="2" borderId="1" xfId="0" quotePrefix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10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6" fillId="2" borderId="0" xfId="1" applyFill="1"/>
    <xf numFmtId="0" fontId="4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 wrapText="1" readingOrder="1"/>
    </xf>
    <xf numFmtId="0" fontId="0" fillId="4" borderId="0" xfId="0" applyFill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Leonardo/Teste%20de%20uniformidade/Teste%20de%20uniformidade%20e%20aplica&#231;&#227;o%20%20PC%2007.pdf" TargetMode="External"/><Relationship Id="rId13" Type="http://schemas.openxmlformats.org/officeDocument/2006/relationships/hyperlink" Target="Leonardo/Teste%20de%20uniformidade/Teste%20de%20uniformidade%20e%20aplica&#231;&#227;o%20%20PC%2012.pdf" TargetMode="External"/><Relationship Id="rId18" Type="http://schemas.openxmlformats.org/officeDocument/2006/relationships/hyperlink" Target="Leonardo/Teste%20de%20uniformidade/Teste%20de%20uniformidade%20e%20aplica&#231;&#227;o%20%20PC%2026.pdf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Leonardo/Teste%20de%20uniformidade/Teste%20de%20uniformidade%20e%20aplica&#231;&#227;o%20%20PC%2002.pdf" TargetMode="External"/><Relationship Id="rId21" Type="http://schemas.openxmlformats.org/officeDocument/2006/relationships/hyperlink" Target="Leonardo/Teste%20de%20uniformidade/Teste%20de%20uniformidade%20e%20aplica&#231;&#227;o%20%20PC%2032.pdf" TargetMode="External"/><Relationship Id="rId7" Type="http://schemas.openxmlformats.org/officeDocument/2006/relationships/hyperlink" Target="Leonardo/Teste%20de%20uniformidade/Teste%20de%20uniformidade%20e%20aplica&#231;&#227;o%20%20PC%2006.pdf" TargetMode="External"/><Relationship Id="rId12" Type="http://schemas.openxmlformats.org/officeDocument/2006/relationships/hyperlink" Target="Leonardo/Teste%20de%20uniformidade/Teste%20de%20uniformidade%20e%20aplica&#231;&#227;o%20%20PC%2011.pdf" TargetMode="External"/><Relationship Id="rId17" Type="http://schemas.openxmlformats.org/officeDocument/2006/relationships/hyperlink" Target="Leonardo/Teste%20de%20uniformidade/Teste%20de%20uniformidade%20e%20aplica&#231;&#227;o%20%20PC%2024.pdf" TargetMode="External"/><Relationship Id="rId25" Type="http://schemas.openxmlformats.org/officeDocument/2006/relationships/hyperlink" Target="https://santacolombaagropecuaria-my.sharepoint.com/personal/kalito_silva_santacolomba_com_br/_layouts/15/onedrive.aspx?listurl=https%3A%2F%2Fsantacolombaagropecuaria%2Esharepoint%2Ecom%2Fsites%2Farquivos%2FDocumentos%20Compartilhados&amp;viewid=2374a7f6%2Dbf6e%2D4e97%2Daa43%2D02125f898828&amp;id=%2Fsites%2Farquivos%2FDocumentos%20Compartilhados%2FSistema%20de%20Irrigacao%2FSuporte%20Irriga%C3%A7%C3%A3o%2FLeonardo%2FTeste%20de%20uniformidade%2FTeste%20de%20uniformidade%20e%20aplica%C3%A7%C3%A3o%20%20PC%2046%2Epdf&amp;parent=%2Fsites%2Farquivos%2FDocumentos%20Compartilhados%2FSistema%20de%20Irrigacao%2FSuporte%20Irriga%C3%A7%C3%A3o%2FLeonardo%2FTeste%20de%20uniformidade" TargetMode="External"/><Relationship Id="rId2" Type="http://schemas.openxmlformats.org/officeDocument/2006/relationships/hyperlink" Target="Leonardo/Teste%20de%20uniformidade/Teste%20de%20uniformidade%20e%20aplica&#231;&#227;o%20%20PC%2001.pdf" TargetMode="External"/><Relationship Id="rId16" Type="http://schemas.openxmlformats.org/officeDocument/2006/relationships/hyperlink" Target="Leonardo/Teste%20de%20uniformidade/Teste%20de%20uniformidade%20e%20aplica&#231;&#227;o%20%20PC%2023.pdf" TargetMode="External"/><Relationship Id="rId20" Type="http://schemas.openxmlformats.org/officeDocument/2006/relationships/hyperlink" Target="Leonardo/Teste%20de%20uniformidade/Teste%20de%20uniformidade%20e%20aplica&#231;&#227;o%20%20PC%2031.pdf" TargetMode="External"/><Relationship Id="rId1" Type="http://schemas.openxmlformats.org/officeDocument/2006/relationships/hyperlink" Target="Leonardo/Teste%20de%20uniformidade/Teste%20de%20uniformidade%20e%20aplica&#231;&#227;o%20%20PC%2043.pdf" TargetMode="External"/><Relationship Id="rId6" Type="http://schemas.openxmlformats.org/officeDocument/2006/relationships/hyperlink" Target="Leonardo/Teste%20de%20uniformidade/Teste%20de%20uniformidade%20e%20aplica&#231;&#227;o%20%20PC%2005.pdf" TargetMode="External"/><Relationship Id="rId11" Type="http://schemas.openxmlformats.org/officeDocument/2006/relationships/hyperlink" Target="Leonardo/Teste%20de%20uniformidade/Teste%20de%20uniformidade%20e%20aplica&#231;&#227;o%20%20PC%2010.pdf" TargetMode="External"/><Relationship Id="rId24" Type="http://schemas.openxmlformats.org/officeDocument/2006/relationships/hyperlink" Target="../../../../../:b:/s/arquivos/EdICg6aqzQJKsx7c-b-FZiYBHadSPtMl4zTiR5pC3aTmOg?e=XghfSl" TargetMode="External"/><Relationship Id="rId5" Type="http://schemas.openxmlformats.org/officeDocument/2006/relationships/hyperlink" Target="Leonardo/Teste%20de%20uniformidade/Teste%20de%20uniformidade%20e%20aplica&#231;&#227;o%20%20PC%2004.pdf" TargetMode="External"/><Relationship Id="rId15" Type="http://schemas.openxmlformats.org/officeDocument/2006/relationships/hyperlink" Target="Leonardo/Teste%20de%20uniformidade/Teste%20de%20uniformidade%20e%20aplica&#231;&#227;o%20%20PC%2014.pdf" TargetMode="External"/><Relationship Id="rId23" Type="http://schemas.openxmlformats.org/officeDocument/2006/relationships/hyperlink" Target="Leonardo/Teste%20de%20uniformidade/Teste%20de%20uniformidade%20e%20aplica&#231;&#227;o%20%20PC%2035.pdf" TargetMode="External"/><Relationship Id="rId10" Type="http://schemas.openxmlformats.org/officeDocument/2006/relationships/hyperlink" Target="Leonardo/Teste%20de%20uniformidade/Teste%20de%20uniformidade%20e%20aplica&#231;&#227;o%20%20PC%2009.pdf" TargetMode="External"/><Relationship Id="rId19" Type="http://schemas.openxmlformats.org/officeDocument/2006/relationships/hyperlink" Target="Leonardo/Teste%20de%20uniformidade/Teste%20de%20uniformidade%20e%20aplica&#231;&#227;o%20%20PC%2030.pdf" TargetMode="External"/><Relationship Id="rId4" Type="http://schemas.openxmlformats.org/officeDocument/2006/relationships/hyperlink" Target="Leonardo/Teste%20de%20uniformidade/Teste%20de%20uniformidade%20e%20aplica&#231;&#227;o%20%20PC%2003.pdf" TargetMode="External"/><Relationship Id="rId9" Type="http://schemas.openxmlformats.org/officeDocument/2006/relationships/hyperlink" Target="Leonardo/Teste%20de%20uniformidade/Teste%20de%20uniformidade%20e%20aplica&#231;&#227;o%20%20PC%2008.pdf" TargetMode="External"/><Relationship Id="rId14" Type="http://schemas.openxmlformats.org/officeDocument/2006/relationships/hyperlink" Target="Leonardo/Teste%20de%20uniformidade/Teste%20de%20uniformidade%20e%20aplica&#231;&#227;o%20%20PC%2013.pdf" TargetMode="External"/><Relationship Id="rId22" Type="http://schemas.openxmlformats.org/officeDocument/2006/relationships/hyperlink" Target="Leonardo/Teste%20de%20uniformidade/Teste%20de%20uniformidade%20e%20aplica&#231;&#227;o%20%20PC%203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704D-0E41-4548-92FE-DA8D5D000CE2}">
  <sheetPr codeName="Planilha1"/>
  <dimension ref="A1:S83"/>
  <sheetViews>
    <sheetView zoomScaleNormal="100" workbookViewId="0">
      <selection activeCell="C33" sqref="C33"/>
    </sheetView>
  </sheetViews>
  <sheetFormatPr defaultRowHeight="15" x14ac:dyDescent="0.25"/>
  <cols>
    <col min="1" max="1" width="10.42578125" customWidth="1"/>
    <col min="2" max="2" width="14.42578125" customWidth="1"/>
    <col min="3" max="3" width="13.42578125" bestFit="1" customWidth="1"/>
    <col min="4" max="4" width="47.42578125" bestFit="1" customWidth="1"/>
    <col min="5" max="5" width="14.140625" bestFit="1" customWidth="1"/>
    <col min="6" max="6" width="15.5703125" bestFit="1" customWidth="1"/>
    <col min="7" max="7" width="12.5703125" bestFit="1" customWidth="1"/>
    <col min="8" max="8" width="14" bestFit="1" customWidth="1"/>
    <col min="9" max="9" width="13.85546875" bestFit="1" customWidth="1"/>
    <col min="10" max="10" width="15.42578125" customWidth="1"/>
    <col min="11" max="11" width="13" customWidth="1"/>
    <col min="12" max="12" width="14.140625" customWidth="1"/>
    <col min="13" max="13" width="22.140625" customWidth="1"/>
    <col min="14" max="14" width="17.42578125" customWidth="1"/>
    <col min="15" max="15" width="12.85546875" customWidth="1"/>
    <col min="16" max="16" width="17.42578125" customWidth="1"/>
    <col min="17" max="17" width="14.42578125" customWidth="1"/>
    <col min="18" max="18" width="15.5703125" style="16" customWidth="1"/>
    <col min="19" max="19" width="14.42578125" customWidth="1"/>
    <col min="20" max="20" width="13.5703125" customWidth="1"/>
  </cols>
  <sheetData>
    <row r="1" spans="1:18" ht="39" customHeight="1" x14ac:dyDescent="0.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7"/>
      <c r="R1"/>
    </row>
    <row r="2" spans="1:18" ht="30" x14ac:dyDescent="0.2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5" t="s">
        <v>9</v>
      </c>
      <c r="J2" s="15" t="s">
        <v>10</v>
      </c>
      <c r="R2"/>
    </row>
    <row r="3" spans="1:18" ht="20.100000000000001" customHeight="1" x14ac:dyDescent="0.25">
      <c r="A3" s="19" t="s">
        <v>11</v>
      </c>
      <c r="B3" s="19" t="s">
        <v>12</v>
      </c>
      <c r="C3" s="19" t="s">
        <v>13</v>
      </c>
      <c r="D3" s="23" t="s">
        <v>14</v>
      </c>
      <c r="E3" s="25">
        <f>SUM(Infor_Pivos!F3:F6)</f>
        <v>486.5</v>
      </c>
      <c r="F3" s="26">
        <v>19153</v>
      </c>
      <c r="G3" s="27">
        <f>SUM(Infor_Pivos!I3:I6)</f>
        <v>2242.46</v>
      </c>
      <c r="H3" s="27">
        <f>F3/G3</f>
        <v>8.541066507317856</v>
      </c>
      <c r="I3" s="28">
        <v>4</v>
      </c>
      <c r="J3" s="29">
        <f>G3/I3</f>
        <v>560.61500000000001</v>
      </c>
      <c r="L3" s="14"/>
      <c r="M3" s="14"/>
      <c r="R3"/>
    </row>
    <row r="4" spans="1:18" ht="20.100000000000001" customHeight="1" x14ac:dyDescent="0.25">
      <c r="A4" s="19" t="s">
        <v>11</v>
      </c>
      <c r="B4" s="19" t="s">
        <v>12</v>
      </c>
      <c r="C4" s="19" t="s">
        <v>15</v>
      </c>
      <c r="D4" s="23" t="s">
        <v>16</v>
      </c>
      <c r="E4" s="25">
        <f>SUM(Infor_Pivos!F7:F8,Infor_Pivos!F17:F18)</f>
        <v>600.04</v>
      </c>
      <c r="F4" s="26">
        <v>19153</v>
      </c>
      <c r="G4" s="27">
        <f>SUM(Infor_Pivos!I7:I8,Infor_Pivos!I17:I18)</f>
        <v>2762.56</v>
      </c>
      <c r="H4" s="27">
        <f>F4/G4</f>
        <v>6.9330620873392794</v>
      </c>
      <c r="I4" s="28">
        <v>4</v>
      </c>
      <c r="J4" s="29">
        <f>G4/I4</f>
        <v>690.64</v>
      </c>
      <c r="R4"/>
    </row>
    <row r="5" spans="1:18" ht="20.100000000000001" customHeight="1" x14ac:dyDescent="0.25">
      <c r="A5" s="19" t="s">
        <v>11</v>
      </c>
      <c r="B5" s="19" t="s">
        <v>12</v>
      </c>
      <c r="C5" s="19" t="s">
        <v>17</v>
      </c>
      <c r="D5" s="23" t="s">
        <v>18</v>
      </c>
      <c r="E5" s="25">
        <f>SUM(Infor_Pivos!F9:F10,Infor_Pivos!F19:F20)</f>
        <v>570.16</v>
      </c>
      <c r="F5" s="26">
        <v>35575.25</v>
      </c>
      <c r="G5" s="27">
        <f>SUM(Infor_Pivos!I9:I10,Infor_Pivos!I19:I20)</f>
        <v>2715.04</v>
      </c>
      <c r="H5" s="27">
        <f>F5/G5</f>
        <v>13.103029789616359</v>
      </c>
      <c r="I5" s="28">
        <v>4</v>
      </c>
      <c r="J5" s="29">
        <f>G5/I5</f>
        <v>678.76</v>
      </c>
      <c r="R5"/>
    </row>
    <row r="6" spans="1:18" ht="20.100000000000001" customHeight="1" x14ac:dyDescent="0.25">
      <c r="A6" s="19" t="s">
        <v>11</v>
      </c>
      <c r="B6" s="19" t="s">
        <v>12</v>
      </c>
      <c r="C6" s="19" t="s">
        <v>19</v>
      </c>
      <c r="D6" s="23" t="s">
        <v>20</v>
      </c>
      <c r="E6" s="25">
        <f>SUM(Infor_Pivos!F11:F12,Infor_Pivos!F21:F22)</f>
        <v>570.16</v>
      </c>
      <c r="F6" s="26">
        <v>54073</v>
      </c>
      <c r="G6" s="27">
        <f>SUM(Infor_Pivos!I21:I22,Infor_Pivos!I11:I12)</f>
        <v>2715.4900000000002</v>
      </c>
      <c r="H6" s="27">
        <f t="shared" ref="H6" si="0">F6/G6</f>
        <v>19.91279658551495</v>
      </c>
      <c r="I6" s="28">
        <v>4</v>
      </c>
      <c r="J6" s="29">
        <f t="shared" ref="J6" si="1">G6/I6</f>
        <v>678.87250000000006</v>
      </c>
      <c r="R6"/>
    </row>
    <row r="7" spans="1:18" ht="20.100000000000001" customHeight="1" x14ac:dyDescent="0.25">
      <c r="A7" s="19" t="s">
        <v>11</v>
      </c>
      <c r="B7" s="19" t="s">
        <v>12</v>
      </c>
      <c r="C7" s="19" t="s">
        <v>21</v>
      </c>
      <c r="D7" s="23" t="s">
        <v>22</v>
      </c>
      <c r="E7" s="25">
        <f>SUM(Infor_Pivos!F23:F24)</f>
        <v>300.02</v>
      </c>
      <c r="F7" s="26">
        <v>19060.98</v>
      </c>
      <c r="G7" s="27">
        <f>SUM(Infor_Pivos!I23:I24)</f>
        <v>1428.66</v>
      </c>
      <c r="H7" s="27">
        <f>F7/G7</f>
        <v>13.341858804754104</v>
      </c>
      <c r="I7" s="28">
        <v>2</v>
      </c>
      <c r="J7" s="29">
        <f>G7/I7</f>
        <v>714.33</v>
      </c>
      <c r="R7"/>
    </row>
    <row r="8" spans="1:18" ht="20.100000000000001" customHeight="1" x14ac:dyDescent="0.25">
      <c r="A8" s="19" t="s">
        <v>11</v>
      </c>
      <c r="B8" s="19" t="s">
        <v>12</v>
      </c>
      <c r="C8" s="19" t="s">
        <v>23</v>
      </c>
      <c r="D8" s="36" t="s">
        <v>24</v>
      </c>
      <c r="E8" s="25">
        <f>SUM(Infor_Pivos!F13:F15)</f>
        <v>342.43</v>
      </c>
      <c r="F8" s="26">
        <v>20006</v>
      </c>
      <c r="G8" s="27">
        <f>SUM(Infor_Pivos!I13:I15)</f>
        <v>1601.77</v>
      </c>
      <c r="H8" s="27">
        <f>F8/G8</f>
        <v>12.489933011605912</v>
      </c>
      <c r="I8" s="28">
        <v>3</v>
      </c>
      <c r="J8" s="29">
        <f t="shared" ref="J8:J11" si="2">G8/I8</f>
        <v>533.92333333333329</v>
      </c>
      <c r="R8"/>
    </row>
    <row r="9" spans="1:18" ht="20.100000000000001" customHeight="1" x14ac:dyDescent="0.25">
      <c r="A9" s="19" t="s">
        <v>11</v>
      </c>
      <c r="B9" s="19" t="s">
        <v>12</v>
      </c>
      <c r="C9" s="19" t="s">
        <v>25</v>
      </c>
      <c r="D9" s="23" t="s">
        <v>26</v>
      </c>
      <c r="E9" s="25">
        <f>SUM(Infor_Pivos!F16,Infor_Pivos!F26,Infor_Pivos!F25)</f>
        <v>450.03</v>
      </c>
      <c r="F9" s="26">
        <v>17398</v>
      </c>
      <c r="G9" s="27">
        <f>SUM(Infor_Pivos!I16,Infor_Pivos!I25:I26)</f>
        <v>1931.29</v>
      </c>
      <c r="H9" s="27">
        <f>F9/G9</f>
        <v>9.0084865556182656</v>
      </c>
      <c r="I9" s="28">
        <v>3</v>
      </c>
      <c r="J9" s="29">
        <f t="shared" si="2"/>
        <v>643.76333333333332</v>
      </c>
      <c r="R9"/>
    </row>
    <row r="10" spans="1:18" ht="20.100000000000001" customHeight="1" x14ac:dyDescent="0.25">
      <c r="A10" s="19" t="s">
        <v>11</v>
      </c>
      <c r="B10" s="19" t="s">
        <v>12</v>
      </c>
      <c r="C10" s="19" t="s">
        <v>27</v>
      </c>
      <c r="D10" s="23" t="s">
        <v>28</v>
      </c>
      <c r="E10" s="25">
        <f>SUM(Infor_Pivos!F27:F31)</f>
        <v>560.39</v>
      </c>
      <c r="F10" s="75">
        <v>74924</v>
      </c>
      <c r="G10" s="27">
        <f>SUM(Infor_Pivos!I27:I31)</f>
        <v>2604.2400000000002</v>
      </c>
      <c r="H10" s="27">
        <f>F10/G10</f>
        <v>28.770005836635637</v>
      </c>
      <c r="I10" s="28">
        <v>5</v>
      </c>
      <c r="J10" s="29">
        <f t="shared" si="2"/>
        <v>520.84800000000007</v>
      </c>
      <c r="R10"/>
    </row>
    <row r="11" spans="1:18" ht="20.100000000000001" customHeight="1" x14ac:dyDescent="0.25">
      <c r="A11" s="19" t="s">
        <v>11</v>
      </c>
      <c r="B11" s="19" t="s">
        <v>12</v>
      </c>
      <c r="C11" s="1" t="s">
        <v>29</v>
      </c>
      <c r="D11" s="23" t="s">
        <v>30</v>
      </c>
      <c r="E11" s="25">
        <f>SUM(Infor_Pivos!F32:F36)</f>
        <v>725.7299999999999</v>
      </c>
      <c r="F11" s="75"/>
      <c r="G11" s="30">
        <f>SUM(Infor_Pivos!I32:I36)</f>
        <v>3271</v>
      </c>
      <c r="H11" s="27">
        <f>F10/G11</f>
        <v>22.905533476001224</v>
      </c>
      <c r="I11" s="28">
        <v>5</v>
      </c>
      <c r="J11" s="29">
        <f t="shared" si="2"/>
        <v>654.20000000000005</v>
      </c>
      <c r="R11"/>
    </row>
    <row r="12" spans="1:18" ht="20.100000000000001" customHeight="1" x14ac:dyDescent="0.25">
      <c r="A12" s="19" t="s">
        <v>11</v>
      </c>
      <c r="B12" s="19" t="s">
        <v>31</v>
      </c>
      <c r="C12" s="19" t="s">
        <v>32</v>
      </c>
      <c r="D12" s="23" t="s">
        <v>33</v>
      </c>
      <c r="E12" s="25">
        <f>SUM(Infor_Pivos!F37:F40)</f>
        <v>514.07999999999993</v>
      </c>
      <c r="F12" s="26">
        <v>43203</v>
      </c>
      <c r="G12" s="27">
        <f>SUM(Infor_Pivos!I37:I40)</f>
        <v>2593.37</v>
      </c>
      <c r="H12" s="27">
        <f t="shared" ref="H12:H15" si="3">F12/G12</f>
        <v>16.659018959886172</v>
      </c>
      <c r="I12" s="28">
        <v>4</v>
      </c>
      <c r="J12" s="29">
        <f>G12/I12</f>
        <v>648.34249999999997</v>
      </c>
      <c r="R12"/>
    </row>
    <row r="13" spans="1:18" ht="20.100000000000001" customHeight="1" x14ac:dyDescent="0.25">
      <c r="A13" s="19" t="s">
        <v>11</v>
      </c>
      <c r="B13" s="19" t="s">
        <v>31</v>
      </c>
      <c r="C13" s="19" t="s">
        <v>34</v>
      </c>
      <c r="D13" s="23" t="s">
        <v>35</v>
      </c>
      <c r="E13" s="25">
        <f>SUM(Infor_Pivos!F43:F45)</f>
        <v>377.75</v>
      </c>
      <c r="F13" s="26">
        <v>27135</v>
      </c>
      <c r="G13" s="27">
        <f>SUM(Infor_Pivos!I43:I45)</f>
        <v>1798.77</v>
      </c>
      <c r="H13" s="27">
        <f t="shared" si="3"/>
        <v>15.085308294000901</v>
      </c>
      <c r="I13" s="28">
        <v>3</v>
      </c>
      <c r="J13" s="29">
        <f>G13/I13</f>
        <v>599.59</v>
      </c>
      <c r="R13"/>
    </row>
    <row r="14" spans="1:18" ht="20.100000000000001" customHeight="1" x14ac:dyDescent="0.25">
      <c r="A14" s="19" t="s">
        <v>11</v>
      </c>
      <c r="B14" s="19" t="s">
        <v>31</v>
      </c>
      <c r="C14" s="19" t="s">
        <v>36</v>
      </c>
      <c r="D14" s="23" t="s">
        <v>37</v>
      </c>
      <c r="E14" s="25">
        <f>SUM(Infor_Pivos!F41:F42)</f>
        <v>251.19</v>
      </c>
      <c r="F14" s="26">
        <v>18060</v>
      </c>
      <c r="G14" s="27">
        <f>SUM(Infor_Pivos!I41:I42)</f>
        <v>1196.1500000000001</v>
      </c>
      <c r="H14" s="27">
        <f t="shared" si="3"/>
        <v>15.098440830999456</v>
      </c>
      <c r="I14" s="28">
        <v>2</v>
      </c>
      <c r="J14" s="29">
        <f t="shared" ref="J14:J17" si="4">G14/I14</f>
        <v>598.07500000000005</v>
      </c>
      <c r="R14"/>
    </row>
    <row r="15" spans="1:18" ht="20.100000000000001" customHeight="1" x14ac:dyDescent="0.25">
      <c r="A15" s="19" t="s">
        <v>11</v>
      </c>
      <c r="B15" s="19" t="s">
        <v>31</v>
      </c>
      <c r="C15" s="19" t="s">
        <v>38</v>
      </c>
      <c r="D15" s="23" t="s">
        <v>39</v>
      </c>
      <c r="E15" s="25">
        <f>SUM(Infor_Pivos!F47:F51)</f>
        <v>762.1099999999999</v>
      </c>
      <c r="F15" s="26">
        <v>62246</v>
      </c>
      <c r="G15" s="27">
        <f>SUM(Infor_Pivos!I47:I51)</f>
        <v>3591.21</v>
      </c>
      <c r="H15" s="27">
        <f t="shared" si="3"/>
        <v>17.332876662740414</v>
      </c>
      <c r="I15" s="28">
        <v>5</v>
      </c>
      <c r="J15" s="29">
        <f t="shared" si="4"/>
        <v>718.24199999999996</v>
      </c>
      <c r="R15"/>
    </row>
    <row r="16" spans="1:18" ht="20.100000000000001" customHeight="1" x14ac:dyDescent="0.25">
      <c r="A16" s="78" t="s">
        <v>11</v>
      </c>
      <c r="B16" s="78" t="s">
        <v>31</v>
      </c>
      <c r="C16" s="74" t="s">
        <v>40</v>
      </c>
      <c r="D16" s="23" t="s">
        <v>41</v>
      </c>
      <c r="E16" s="25">
        <f>SUM(Infor_Pivos!F52:F60)</f>
        <v>1131.6600000000001</v>
      </c>
      <c r="F16" s="75">
        <v>79396</v>
      </c>
      <c r="G16" s="27">
        <f>SUM(Infor_Pivos!I54,Infor_Pivos!I59:I60)</f>
        <v>1990.76</v>
      </c>
      <c r="H16" s="27">
        <f>F16/G16</f>
        <v>39.882256022825452</v>
      </c>
      <c r="I16" s="28">
        <v>3</v>
      </c>
      <c r="J16" s="29">
        <f>G16/I16</f>
        <v>663.5866666666667</v>
      </c>
      <c r="R16"/>
    </row>
    <row r="17" spans="1:19" ht="20.100000000000001" customHeight="1" x14ac:dyDescent="0.25">
      <c r="A17" s="79"/>
      <c r="B17" s="79"/>
      <c r="C17" s="74"/>
      <c r="D17" s="37" t="s">
        <v>42</v>
      </c>
      <c r="E17" s="31" t="s">
        <v>43</v>
      </c>
      <c r="F17" s="75"/>
      <c r="G17" s="32">
        <v>2100</v>
      </c>
      <c r="H17" s="32">
        <f>F16/G17</f>
        <v>37.807619047619049</v>
      </c>
      <c r="I17" s="33">
        <v>3</v>
      </c>
      <c r="J17" s="34">
        <f t="shared" si="4"/>
        <v>700</v>
      </c>
      <c r="R17"/>
    </row>
    <row r="18" spans="1:19" ht="20.100000000000001" customHeight="1" x14ac:dyDescent="0.25">
      <c r="A18" s="19" t="s">
        <v>11</v>
      </c>
      <c r="B18" s="19" t="s">
        <v>44</v>
      </c>
      <c r="C18" s="19" t="s">
        <v>45</v>
      </c>
      <c r="D18" s="23" t="s">
        <v>46</v>
      </c>
      <c r="E18" s="25">
        <f>SUM(Infor_Pivos!F55:F57,Infor_Pivos!F46)</f>
        <v>437.80000000000007</v>
      </c>
      <c r="F18" s="75">
        <v>82650</v>
      </c>
      <c r="G18" s="27">
        <f>SUM(Infor_Pivos!I55:I57,Infor_Pivos!I46)</f>
        <v>2261.1099999999997</v>
      </c>
      <c r="H18" s="27">
        <f>F18/(G18)</f>
        <v>36.552843514910826</v>
      </c>
      <c r="I18" s="28">
        <v>4</v>
      </c>
      <c r="J18" s="29">
        <f t="shared" ref="J18:J29" si="5">G18/I18</f>
        <v>565.27749999999992</v>
      </c>
      <c r="R18"/>
    </row>
    <row r="19" spans="1:19" ht="20.100000000000001" customHeight="1" x14ac:dyDescent="0.25">
      <c r="A19" s="19" t="s">
        <v>11</v>
      </c>
      <c r="B19" s="19" t="s">
        <v>44</v>
      </c>
      <c r="C19" s="19" t="s">
        <v>47</v>
      </c>
      <c r="D19" s="23" t="s">
        <v>48</v>
      </c>
      <c r="E19" s="25">
        <f>SUM(Infor_Pivos!F52:F53,Infor_Pivos!F58)</f>
        <v>440.12</v>
      </c>
      <c r="F19" s="75"/>
      <c r="G19" s="27">
        <f>SUM(Infor_Pivos!I58,Infor_Pivos!I52:I53)</f>
        <v>2019.91</v>
      </c>
      <c r="H19" s="27">
        <f>F18/G19</f>
        <v>40.917664648424925</v>
      </c>
      <c r="I19" s="28">
        <v>3</v>
      </c>
      <c r="J19" s="29">
        <f t="shared" si="5"/>
        <v>673.3033333333334</v>
      </c>
      <c r="R19"/>
    </row>
    <row r="20" spans="1:19" ht="20.100000000000001" customHeight="1" x14ac:dyDescent="0.25">
      <c r="A20" s="19" t="s">
        <v>11</v>
      </c>
      <c r="B20" s="19" t="s">
        <v>44</v>
      </c>
      <c r="C20" s="19" t="s">
        <v>49</v>
      </c>
      <c r="D20" s="23" t="s">
        <v>50</v>
      </c>
      <c r="E20" s="25">
        <v>695.98</v>
      </c>
      <c r="F20" s="23" t="s">
        <v>43</v>
      </c>
      <c r="G20" s="27">
        <v>3299.89</v>
      </c>
      <c r="H20" s="23" t="s">
        <v>43</v>
      </c>
      <c r="I20" s="28">
        <v>5</v>
      </c>
      <c r="J20" s="29">
        <f t="shared" si="5"/>
        <v>659.97799999999995</v>
      </c>
      <c r="R20"/>
    </row>
    <row r="21" spans="1:19" ht="20.100000000000001" customHeight="1" x14ac:dyDescent="0.25">
      <c r="A21" s="19" t="s">
        <v>11</v>
      </c>
      <c r="B21" s="19" t="s">
        <v>44</v>
      </c>
      <c r="C21" s="19" t="s">
        <v>51</v>
      </c>
      <c r="D21" s="23" t="s">
        <v>52</v>
      </c>
      <c r="E21" s="25">
        <v>447.1</v>
      </c>
      <c r="F21" s="23" t="s">
        <v>43</v>
      </c>
      <c r="G21" s="27">
        <v>2129.04</v>
      </c>
      <c r="H21" s="23" t="s">
        <v>43</v>
      </c>
      <c r="I21" s="28">
        <v>4</v>
      </c>
      <c r="J21" s="29">
        <f t="shared" si="5"/>
        <v>532.26</v>
      </c>
      <c r="R21"/>
    </row>
    <row r="22" spans="1:19" ht="20.100000000000001" customHeight="1" x14ac:dyDescent="0.25">
      <c r="A22" s="19" t="s">
        <v>11</v>
      </c>
      <c r="B22" s="19" t="s">
        <v>44</v>
      </c>
      <c r="C22" s="19" t="s">
        <v>53</v>
      </c>
      <c r="D22" s="23" t="s">
        <v>54</v>
      </c>
      <c r="E22" s="25">
        <v>396.26</v>
      </c>
      <c r="F22" s="23" t="s">
        <v>43</v>
      </c>
      <c r="G22" s="27">
        <v>1886.81</v>
      </c>
      <c r="H22" s="23" t="s">
        <v>43</v>
      </c>
      <c r="I22" s="28">
        <v>4</v>
      </c>
      <c r="J22" s="29">
        <f t="shared" si="5"/>
        <v>471.70249999999999</v>
      </c>
      <c r="R22"/>
    </row>
    <row r="23" spans="1:19" ht="20.100000000000001" customHeight="1" x14ac:dyDescent="0.25">
      <c r="A23" s="19" t="s">
        <v>55</v>
      </c>
      <c r="B23" s="19" t="s">
        <v>12</v>
      </c>
      <c r="C23" s="19" t="s">
        <v>56</v>
      </c>
      <c r="D23" s="23">
        <v>109</v>
      </c>
      <c r="E23" s="23">
        <v>102.1</v>
      </c>
      <c r="F23" s="23" t="s">
        <v>43</v>
      </c>
      <c r="G23" s="29">
        <f>SUM(Infor_Pivos!I72)</f>
        <v>382.14</v>
      </c>
      <c r="H23" s="35" t="s">
        <v>43</v>
      </c>
      <c r="I23" s="28">
        <v>1</v>
      </c>
      <c r="J23" s="29">
        <f t="shared" si="5"/>
        <v>382.14</v>
      </c>
      <c r="R23"/>
    </row>
    <row r="24" spans="1:19" ht="20.100000000000001" customHeight="1" x14ac:dyDescent="0.25">
      <c r="A24" s="19" t="s">
        <v>55</v>
      </c>
      <c r="B24" s="19" t="s">
        <v>12</v>
      </c>
      <c r="C24" s="19" t="s">
        <v>57</v>
      </c>
      <c r="D24" s="23" t="s">
        <v>58</v>
      </c>
      <c r="E24" s="23">
        <f>SUM(Infor_Pivos!F66,Infor_Pivos!F71)</f>
        <v>221.14</v>
      </c>
      <c r="F24" s="23" t="s">
        <v>43</v>
      </c>
      <c r="G24" s="29">
        <f>SUM(Infor_Pivos!I66,Infor_Pivos!I71)</f>
        <v>1053.04</v>
      </c>
      <c r="H24" s="35" t="s">
        <v>43</v>
      </c>
      <c r="I24" s="28">
        <v>2</v>
      </c>
      <c r="J24" s="29">
        <f t="shared" si="5"/>
        <v>526.52</v>
      </c>
      <c r="R24"/>
    </row>
    <row r="25" spans="1:19" ht="20.100000000000001" customHeight="1" x14ac:dyDescent="0.25">
      <c r="A25" s="19" t="s">
        <v>55</v>
      </c>
      <c r="B25" s="19" t="s">
        <v>12</v>
      </c>
      <c r="C25" s="19" t="s">
        <v>59</v>
      </c>
      <c r="D25" s="23" t="s">
        <v>60</v>
      </c>
      <c r="E25" s="23">
        <f>SUM(Infor_Pivos!F65,Infor_Pivos!F70)</f>
        <v>246.57</v>
      </c>
      <c r="F25" s="23" t="s">
        <v>43</v>
      </c>
      <c r="G25" s="29">
        <f>SUM(Infor_Pivos!I70,Infor_Pivos!I65)</f>
        <v>1174.1500000000001</v>
      </c>
      <c r="H25" s="35" t="s">
        <v>43</v>
      </c>
      <c r="I25" s="28">
        <v>2</v>
      </c>
      <c r="J25" s="29">
        <f t="shared" si="5"/>
        <v>587.07500000000005</v>
      </c>
      <c r="R25"/>
    </row>
    <row r="26" spans="1:19" ht="20.100000000000001" customHeight="1" x14ac:dyDescent="0.25">
      <c r="A26" s="19" t="s">
        <v>55</v>
      </c>
      <c r="B26" s="19" t="s">
        <v>12</v>
      </c>
      <c r="C26" s="19" t="s">
        <v>61</v>
      </c>
      <c r="D26" s="24" t="s">
        <v>62</v>
      </c>
      <c r="E26" s="23">
        <f>SUM(Infor_Pivos!F61:F64,Infor_Pivos!F73)</f>
        <v>675.37</v>
      </c>
      <c r="F26" s="23" t="s">
        <v>43</v>
      </c>
      <c r="G26" s="29">
        <f>SUM(Infor_Pivos!I61:I64,Infor_Pivos!I73)</f>
        <v>3201.74</v>
      </c>
      <c r="H26" s="35" t="s">
        <v>43</v>
      </c>
      <c r="I26" s="28">
        <v>5</v>
      </c>
      <c r="J26" s="29">
        <f t="shared" si="5"/>
        <v>640.34799999999996</v>
      </c>
      <c r="R26"/>
    </row>
    <row r="27" spans="1:19" ht="20.100000000000001" customHeight="1" x14ac:dyDescent="0.25">
      <c r="A27" s="19" t="s">
        <v>55</v>
      </c>
      <c r="B27" s="19" t="s">
        <v>31</v>
      </c>
      <c r="C27" s="19" t="s">
        <v>63</v>
      </c>
      <c r="D27" s="23" t="s">
        <v>64</v>
      </c>
      <c r="E27" s="23">
        <f>SUM(Infor_Pivos!F74:F77)</f>
        <v>432.18</v>
      </c>
      <c r="F27" s="23" t="s">
        <v>43</v>
      </c>
      <c r="G27" s="29">
        <f>SUM(Infor_Pivos!I74:I77)</f>
        <v>2057.15</v>
      </c>
      <c r="H27" s="35" t="s">
        <v>43</v>
      </c>
      <c r="I27" s="28">
        <v>4</v>
      </c>
      <c r="J27" s="29">
        <f t="shared" si="5"/>
        <v>514.28750000000002</v>
      </c>
      <c r="R27"/>
    </row>
    <row r="28" spans="1:19" ht="20.100000000000001" customHeight="1" x14ac:dyDescent="0.25">
      <c r="A28" s="19" t="s">
        <v>55</v>
      </c>
      <c r="B28" s="19" t="s">
        <v>31</v>
      </c>
      <c r="C28" s="19" t="s">
        <v>65</v>
      </c>
      <c r="D28" s="24" t="s">
        <v>66</v>
      </c>
      <c r="E28" s="23">
        <f>SUM(Infor_Pivos!F78:F81,Infor_Pivos!F91:F92)</f>
        <v>708.9</v>
      </c>
      <c r="F28" s="23" t="s">
        <v>43</v>
      </c>
      <c r="G28" s="29">
        <f>SUM(Infor_Pivos!I78:I81,Infor_Pivos!I90:I92)</f>
        <v>4077.29</v>
      </c>
      <c r="H28" s="35" t="s">
        <v>43</v>
      </c>
      <c r="I28" s="28">
        <v>7</v>
      </c>
      <c r="J28" s="29">
        <f t="shared" si="5"/>
        <v>582.47</v>
      </c>
      <c r="R28"/>
    </row>
    <row r="29" spans="1:19" ht="20.100000000000001" customHeight="1" x14ac:dyDescent="0.25">
      <c r="A29" s="19" t="s">
        <v>55</v>
      </c>
      <c r="B29" s="19" t="s">
        <v>31</v>
      </c>
      <c r="C29" s="19" t="s">
        <v>67</v>
      </c>
      <c r="D29" s="24" t="s">
        <v>68</v>
      </c>
      <c r="E29" s="23">
        <f>SUM(Infor_Pivos!F82:F89,Infor_Pivos!F93)</f>
        <v>1080.98</v>
      </c>
      <c r="F29" s="23" t="s">
        <v>43</v>
      </c>
      <c r="G29" s="29">
        <f>SUM(Infor_Pivos!I82:I89,Infor_Pivos!I93)</f>
        <v>5126.4900000000007</v>
      </c>
      <c r="H29" s="35" t="s">
        <v>43</v>
      </c>
      <c r="I29" s="28">
        <v>8</v>
      </c>
      <c r="J29" s="29">
        <f t="shared" si="5"/>
        <v>640.81125000000009</v>
      </c>
      <c r="R29"/>
    </row>
    <row r="30" spans="1:19" x14ac:dyDescent="0.25">
      <c r="R30"/>
    </row>
    <row r="31" spans="1:19" s="13" customFormat="1" ht="15" customHeight="1" x14ac:dyDescent="0.25">
      <c r="L31"/>
      <c r="M31"/>
      <c r="N31"/>
      <c r="O31"/>
      <c r="P31"/>
      <c r="Q31"/>
      <c r="R31"/>
      <c r="S31"/>
    </row>
    <row r="32" spans="1:19" ht="15" customHeight="1" x14ac:dyDescent="0.25">
      <c r="R32"/>
    </row>
    <row r="33" spans="18:18" ht="27.75" customHeight="1" x14ac:dyDescent="0.25">
      <c r="R33"/>
    </row>
    <row r="34" spans="18:18" x14ac:dyDescent="0.25">
      <c r="R34"/>
    </row>
    <row r="35" spans="18:18" ht="30" customHeight="1" x14ac:dyDescent="0.25">
      <c r="R35"/>
    </row>
    <row r="36" spans="18:18" ht="15" customHeight="1" x14ac:dyDescent="0.25">
      <c r="R36"/>
    </row>
    <row r="37" spans="18:18" x14ac:dyDescent="0.25">
      <c r="R37"/>
    </row>
    <row r="38" spans="18:18" ht="8.1" customHeight="1" x14ac:dyDescent="0.25">
      <c r="R38"/>
    </row>
    <row r="39" spans="18:18" x14ac:dyDescent="0.25">
      <c r="R39"/>
    </row>
    <row r="40" spans="18:18" ht="15" customHeight="1" x14ac:dyDescent="0.25">
      <c r="R40"/>
    </row>
    <row r="41" spans="18:18" x14ac:dyDescent="0.25">
      <c r="R41"/>
    </row>
    <row r="42" spans="18:18" x14ac:dyDescent="0.25">
      <c r="R42"/>
    </row>
    <row r="43" spans="18:18" ht="8.25" customHeight="1" x14ac:dyDescent="0.25">
      <c r="R43"/>
    </row>
    <row r="44" spans="18:18" ht="21" customHeight="1" x14ac:dyDescent="0.25">
      <c r="R44"/>
    </row>
    <row r="45" spans="18:18" ht="18.75" customHeight="1" x14ac:dyDescent="0.25">
      <c r="R45"/>
    </row>
    <row r="46" spans="18:18" ht="7.5" customHeight="1" x14ac:dyDescent="0.25">
      <c r="R46"/>
    </row>
    <row r="47" spans="18:18" x14ac:dyDescent="0.25">
      <c r="R47"/>
    </row>
    <row r="48" spans="18:18" ht="7.5" customHeight="1" x14ac:dyDescent="0.25">
      <c r="R48"/>
    </row>
    <row r="49" spans="18:18" x14ac:dyDescent="0.25">
      <c r="R49"/>
    </row>
    <row r="50" spans="18:18" ht="7.5" customHeight="1" x14ac:dyDescent="0.25">
      <c r="R50"/>
    </row>
    <row r="51" spans="18:18" ht="18.75" customHeight="1" x14ac:dyDescent="0.25">
      <c r="R51"/>
    </row>
    <row r="52" spans="18:18" x14ac:dyDescent="0.25">
      <c r="R52"/>
    </row>
    <row r="53" spans="18:18" x14ac:dyDescent="0.25">
      <c r="R53"/>
    </row>
    <row r="54" spans="18:18" x14ac:dyDescent="0.25">
      <c r="R54"/>
    </row>
    <row r="55" spans="18:18" x14ac:dyDescent="0.25">
      <c r="R55"/>
    </row>
    <row r="56" spans="18:18" x14ac:dyDescent="0.25">
      <c r="R56"/>
    </row>
    <row r="57" spans="18:18" x14ac:dyDescent="0.25">
      <c r="R57"/>
    </row>
    <row r="58" spans="18:18" x14ac:dyDescent="0.25">
      <c r="R58"/>
    </row>
    <row r="59" spans="18:18" x14ac:dyDescent="0.25">
      <c r="R59"/>
    </row>
    <row r="60" spans="18:18" x14ac:dyDescent="0.25">
      <c r="R60"/>
    </row>
    <row r="61" spans="18:18" x14ac:dyDescent="0.25">
      <c r="R61"/>
    </row>
    <row r="62" spans="18:18" x14ac:dyDescent="0.25">
      <c r="R62"/>
    </row>
    <row r="63" spans="18:18" x14ac:dyDescent="0.25">
      <c r="R63"/>
    </row>
    <row r="64" spans="18:18" x14ac:dyDescent="0.25">
      <c r="R64"/>
    </row>
    <row r="65" spans="18:18" x14ac:dyDescent="0.25">
      <c r="R65"/>
    </row>
    <row r="66" spans="18:18" x14ac:dyDescent="0.25">
      <c r="R66"/>
    </row>
    <row r="67" spans="18:18" x14ac:dyDescent="0.25">
      <c r="R67"/>
    </row>
    <row r="68" spans="18:18" x14ac:dyDescent="0.25">
      <c r="R68"/>
    </row>
    <row r="69" spans="18:18" x14ac:dyDescent="0.25">
      <c r="R69"/>
    </row>
    <row r="70" spans="18:18" x14ac:dyDescent="0.25">
      <c r="R70"/>
    </row>
    <row r="71" spans="18:18" x14ac:dyDescent="0.25">
      <c r="R71"/>
    </row>
    <row r="81" ht="14.45" customHeight="1" x14ac:dyDescent="0.25"/>
    <row r="82" ht="14.45" customHeight="1" x14ac:dyDescent="0.25"/>
    <row r="83" ht="14.45" customHeight="1" x14ac:dyDescent="0.25"/>
  </sheetData>
  <mergeCells count="7">
    <mergeCell ref="C16:C17"/>
    <mergeCell ref="F18:F19"/>
    <mergeCell ref="F10:F11"/>
    <mergeCell ref="F16:F17"/>
    <mergeCell ref="A1:J1"/>
    <mergeCell ref="B16:B17"/>
    <mergeCell ref="A16:A17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6028-549A-4FE3-AD27-442C19F9012D}">
  <sheetPr codeName="Planilha2"/>
  <dimension ref="A1:R108"/>
  <sheetViews>
    <sheetView showGridLines="0" tabSelected="1" zoomScaleNormal="100" workbookViewId="0">
      <pane ySplit="2" topLeftCell="A3" activePane="bottomLeft" state="frozen"/>
      <selection pane="bottomLeft" activeCell="C2" sqref="C2"/>
    </sheetView>
  </sheetViews>
  <sheetFormatPr defaultRowHeight="15" x14ac:dyDescent="0.25"/>
  <cols>
    <col min="1" max="1" width="20.85546875" style="14" customWidth="1"/>
    <col min="2" max="2" width="22.42578125" style="14" customWidth="1"/>
    <col min="3" max="3" width="16.28515625" customWidth="1"/>
    <col min="4" max="4" width="11" bestFit="1" customWidth="1"/>
    <col min="5" max="5" width="25.42578125" customWidth="1"/>
    <col min="6" max="6" width="14.42578125" customWidth="1"/>
    <col min="7" max="7" width="28.42578125" bestFit="1" customWidth="1"/>
    <col min="8" max="8" width="14.140625" customWidth="1"/>
    <col min="9" max="10" width="14.5703125" customWidth="1"/>
    <col min="11" max="11" width="15" customWidth="1"/>
    <col min="12" max="12" width="27.85546875" customWidth="1"/>
    <col min="13" max="13" width="28.85546875" customWidth="1"/>
    <col min="14" max="14" width="24.140625" customWidth="1"/>
    <col min="15" max="15" width="14.5703125" customWidth="1"/>
    <col min="16" max="16" width="9.140625" customWidth="1"/>
    <col min="17" max="17" width="12" customWidth="1"/>
    <col min="18" max="18" width="14.140625" customWidth="1"/>
  </cols>
  <sheetData>
    <row r="1" spans="1:18" ht="39" customHeight="1" x14ac:dyDescent="0.25">
      <c r="A1" s="80" t="s">
        <v>69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 t="s">
        <v>70</v>
      </c>
      <c r="M1" s="81"/>
      <c r="N1" s="47"/>
      <c r="P1" s="50" t="s">
        <v>71</v>
      </c>
      <c r="Q1" s="54" t="s">
        <v>72</v>
      </c>
      <c r="R1" s="55" t="s">
        <v>73</v>
      </c>
    </row>
    <row r="2" spans="1:18" ht="24.75" customHeight="1" x14ac:dyDescent="0.25">
      <c r="A2" s="9" t="s">
        <v>1</v>
      </c>
      <c r="B2" s="9" t="s">
        <v>2</v>
      </c>
      <c r="C2" s="21"/>
      <c r="D2" s="21" t="s">
        <v>74</v>
      </c>
      <c r="E2" s="21" t="s">
        <v>75</v>
      </c>
      <c r="F2" s="21" t="s">
        <v>76</v>
      </c>
      <c r="G2" s="38" t="s">
        <v>77</v>
      </c>
      <c r="H2" s="21" t="s">
        <v>78</v>
      </c>
      <c r="I2" s="9" t="s">
        <v>7</v>
      </c>
      <c r="J2" s="9" t="s">
        <v>79</v>
      </c>
      <c r="K2" s="9" t="s">
        <v>80</v>
      </c>
      <c r="L2" s="9" t="s">
        <v>81</v>
      </c>
      <c r="M2" s="9" t="s">
        <v>82</v>
      </c>
      <c r="N2" s="9" t="s">
        <v>83</v>
      </c>
      <c r="O2" s="51" t="s">
        <v>84</v>
      </c>
      <c r="P2" s="52">
        <f>SUBTOTAL(9,K2:K1048576,'Infor. Cap.. Elev.. e Poços '!I2:I1048576)</f>
        <v>36333.878782801308</v>
      </c>
      <c r="Q2" s="53">
        <f>SUBTOTAL(9,K2:K1048576)</f>
        <v>13951.150042481268</v>
      </c>
      <c r="R2" s="53">
        <f>SUBTOTAL(9,'Infor. Cap.. Elev.. e Poços '!I2:I1048576)</f>
        <v>22382.728740319988</v>
      </c>
    </row>
    <row r="3" spans="1:18" ht="17.25" x14ac:dyDescent="0.25">
      <c r="A3" s="8" t="s">
        <v>85</v>
      </c>
      <c r="B3" s="8" t="s">
        <v>12</v>
      </c>
      <c r="C3" s="1" t="s">
        <v>13</v>
      </c>
      <c r="D3" s="1" t="s">
        <v>86</v>
      </c>
      <c r="E3" s="1" t="s">
        <v>87</v>
      </c>
      <c r="F3" s="23">
        <v>150.01</v>
      </c>
      <c r="G3" s="22">
        <v>10300</v>
      </c>
      <c r="H3" s="2">
        <v>7024725710</v>
      </c>
      <c r="I3" s="10">
        <v>714.33</v>
      </c>
      <c r="J3" s="11">
        <v>200</v>
      </c>
      <c r="K3" s="12">
        <f>J3*0.745699872</f>
        <v>149.1399744</v>
      </c>
      <c r="L3" s="18">
        <v>-14.792129620000001</v>
      </c>
      <c r="M3" s="18">
        <v>-45.611435530000001</v>
      </c>
      <c r="N3" s="48" t="s">
        <v>88</v>
      </c>
      <c r="O3" t="s">
        <v>89</v>
      </c>
    </row>
    <row r="4" spans="1:18" ht="17.25" x14ac:dyDescent="0.25">
      <c r="A4" s="8" t="s">
        <v>85</v>
      </c>
      <c r="B4" s="8" t="s">
        <v>12</v>
      </c>
      <c r="C4" s="1" t="s">
        <v>13</v>
      </c>
      <c r="D4" s="1" t="s">
        <v>86</v>
      </c>
      <c r="E4" s="1" t="s">
        <v>90</v>
      </c>
      <c r="F4" s="23">
        <v>123.72</v>
      </c>
      <c r="G4" s="22">
        <v>10300</v>
      </c>
      <c r="H4" s="2">
        <v>7024725710</v>
      </c>
      <c r="I4" s="10">
        <v>523.79999999999995</v>
      </c>
      <c r="J4" s="11">
        <v>200</v>
      </c>
      <c r="K4" s="12">
        <f>J4*0.745699872</f>
        <v>149.1399744</v>
      </c>
      <c r="L4" s="18">
        <v>-14.800457509999999</v>
      </c>
      <c r="M4" s="18">
        <v>-45.602376020000001</v>
      </c>
      <c r="N4" s="48" t="s">
        <v>91</v>
      </c>
      <c r="O4" t="s">
        <v>89</v>
      </c>
    </row>
    <row r="5" spans="1:18" ht="17.25" x14ac:dyDescent="0.25">
      <c r="A5" s="8" t="s">
        <v>85</v>
      </c>
      <c r="B5" s="8" t="s">
        <v>12</v>
      </c>
      <c r="C5" s="1" t="s">
        <v>13</v>
      </c>
      <c r="D5" s="1" t="s">
        <v>86</v>
      </c>
      <c r="E5" s="1" t="s">
        <v>92</v>
      </c>
      <c r="F5" s="23">
        <v>150.01</v>
      </c>
      <c r="G5" s="22">
        <v>10300</v>
      </c>
      <c r="H5" s="2">
        <v>7024725710</v>
      </c>
      <c r="I5" s="10">
        <v>714.33</v>
      </c>
      <c r="J5" s="11">
        <v>200</v>
      </c>
      <c r="K5" s="12">
        <f>J5*0.745699872</f>
        <v>149.1399744</v>
      </c>
      <c r="L5" s="18">
        <v>-14.789198730000001</v>
      </c>
      <c r="M5" s="18">
        <v>-45.597432249999997</v>
      </c>
      <c r="N5" s="48" t="s">
        <v>93</v>
      </c>
      <c r="O5" t="s">
        <v>89</v>
      </c>
    </row>
    <row r="6" spans="1:18" ht="17.25" x14ac:dyDescent="0.25">
      <c r="A6" s="8" t="s">
        <v>85</v>
      </c>
      <c r="B6" s="8" t="s">
        <v>12</v>
      </c>
      <c r="C6" s="1" t="s">
        <v>13</v>
      </c>
      <c r="D6" s="1" t="s">
        <v>86</v>
      </c>
      <c r="E6" s="1" t="s">
        <v>94</v>
      </c>
      <c r="F6" s="23">
        <v>62.76</v>
      </c>
      <c r="G6" s="22">
        <v>10300</v>
      </c>
      <c r="H6" s="2">
        <v>7024725710</v>
      </c>
      <c r="I6" s="10">
        <v>290</v>
      </c>
      <c r="J6" s="8">
        <v>40</v>
      </c>
      <c r="K6" s="12">
        <f>J6*0.745699872</f>
        <v>29.827994879999999</v>
      </c>
      <c r="L6" s="18">
        <v>-14.79851588</v>
      </c>
      <c r="M6" s="18">
        <v>-45.592061119999997</v>
      </c>
      <c r="N6" s="48" t="s">
        <v>95</v>
      </c>
      <c r="O6" t="s">
        <v>89</v>
      </c>
    </row>
    <row r="7" spans="1:18" ht="17.25" x14ac:dyDescent="0.25">
      <c r="A7" s="8" t="s">
        <v>85</v>
      </c>
      <c r="B7" s="8" t="s">
        <v>12</v>
      </c>
      <c r="C7" s="1" t="s">
        <v>15</v>
      </c>
      <c r="D7" s="1" t="s">
        <v>86</v>
      </c>
      <c r="E7" s="1" t="s">
        <v>96</v>
      </c>
      <c r="F7" s="23">
        <v>150.01</v>
      </c>
      <c r="G7" s="22">
        <v>10300</v>
      </c>
      <c r="H7" s="2">
        <v>7024725710</v>
      </c>
      <c r="I7" s="10">
        <v>692.9</v>
      </c>
      <c r="J7" s="11">
        <v>250</v>
      </c>
      <c r="K7" s="12">
        <f t="shared" ref="K7:K70" si="0">J7*0.745699872</f>
        <v>186.42496800000001</v>
      </c>
      <c r="L7" s="18">
        <v>-14.78565482</v>
      </c>
      <c r="M7" s="18">
        <v>-45.581152359999997</v>
      </c>
      <c r="N7" s="48" t="s">
        <v>97</v>
      </c>
      <c r="O7" t="s">
        <v>89</v>
      </c>
    </row>
    <row r="8" spans="1:18" ht="17.25" x14ac:dyDescent="0.25">
      <c r="A8" s="8" t="s">
        <v>85</v>
      </c>
      <c r="B8" s="8" t="s">
        <v>12</v>
      </c>
      <c r="C8" s="1" t="s">
        <v>15</v>
      </c>
      <c r="D8" s="1" t="s">
        <v>86</v>
      </c>
      <c r="E8" s="1" t="s">
        <v>98</v>
      </c>
      <c r="F8" s="23">
        <v>150.01</v>
      </c>
      <c r="G8" s="22">
        <v>10300</v>
      </c>
      <c r="H8" s="2">
        <v>7024725710</v>
      </c>
      <c r="I8" s="10">
        <v>641</v>
      </c>
      <c r="J8" s="11">
        <v>250</v>
      </c>
      <c r="K8" s="12">
        <f t="shared" si="0"/>
        <v>186.42496800000001</v>
      </c>
      <c r="L8" s="18">
        <v>-14.78298992</v>
      </c>
      <c r="M8" s="18">
        <v>-45.568395080000002</v>
      </c>
      <c r="N8" s="48" t="s">
        <v>99</v>
      </c>
      <c r="O8" t="s">
        <v>89</v>
      </c>
    </row>
    <row r="9" spans="1:18" ht="17.25" x14ac:dyDescent="0.25">
      <c r="A9" s="8" t="s">
        <v>85</v>
      </c>
      <c r="B9" s="8" t="s">
        <v>12</v>
      </c>
      <c r="C9" s="1" t="s">
        <v>17</v>
      </c>
      <c r="D9" s="1" t="s">
        <v>86</v>
      </c>
      <c r="E9" s="1" t="s">
        <v>100</v>
      </c>
      <c r="F9" s="23">
        <v>120.13</v>
      </c>
      <c r="G9" s="22">
        <v>10300</v>
      </c>
      <c r="H9" s="2">
        <v>7024725710</v>
      </c>
      <c r="I9" s="10">
        <v>572.04999999999995</v>
      </c>
      <c r="J9" s="11">
        <v>250</v>
      </c>
      <c r="K9" s="12">
        <f t="shared" si="0"/>
        <v>186.42496800000001</v>
      </c>
      <c r="L9" s="18">
        <v>-14.79639358</v>
      </c>
      <c r="M9" s="18">
        <v>-45.575520050000002</v>
      </c>
      <c r="N9" s="48" t="s">
        <v>101</v>
      </c>
      <c r="O9" t="s">
        <v>89</v>
      </c>
    </row>
    <row r="10" spans="1:18" ht="17.25" x14ac:dyDescent="0.25">
      <c r="A10" s="8" t="s">
        <v>85</v>
      </c>
      <c r="B10" s="8" t="s">
        <v>12</v>
      </c>
      <c r="C10" s="1" t="s">
        <v>17</v>
      </c>
      <c r="D10" s="1" t="s">
        <v>86</v>
      </c>
      <c r="E10" s="1" t="s">
        <v>102</v>
      </c>
      <c r="F10" s="23">
        <v>150.01</v>
      </c>
      <c r="G10" s="22">
        <v>10300</v>
      </c>
      <c r="H10" s="2">
        <v>7024725710</v>
      </c>
      <c r="I10" s="10">
        <v>714.33</v>
      </c>
      <c r="J10" s="11">
        <v>250</v>
      </c>
      <c r="K10" s="12">
        <f t="shared" si="0"/>
        <v>186.42496800000001</v>
      </c>
      <c r="L10" s="18">
        <v>-14.794657709999999</v>
      </c>
      <c r="M10" s="18">
        <v>-45.563233510000003</v>
      </c>
      <c r="N10" s="48" t="s">
        <v>103</v>
      </c>
      <c r="O10" t="s">
        <v>89</v>
      </c>
    </row>
    <row r="11" spans="1:18" ht="17.25" x14ac:dyDescent="0.25">
      <c r="A11" s="8" t="s">
        <v>85</v>
      </c>
      <c r="B11" s="8" t="s">
        <v>12</v>
      </c>
      <c r="C11" s="1" t="s">
        <v>19</v>
      </c>
      <c r="D11" s="1" t="s">
        <v>86</v>
      </c>
      <c r="E11" s="1" t="s">
        <v>104</v>
      </c>
      <c r="F11" s="23">
        <v>120.13</v>
      </c>
      <c r="G11" s="22">
        <v>10300</v>
      </c>
      <c r="H11" s="2">
        <v>7024725710</v>
      </c>
      <c r="I11" s="10">
        <v>572.5</v>
      </c>
      <c r="J11" s="11">
        <v>200</v>
      </c>
      <c r="K11" s="12">
        <f>J11*0.745699872</f>
        <v>149.1399744</v>
      </c>
      <c r="L11" s="18">
        <v>-14.807817529999999</v>
      </c>
      <c r="M11" s="18">
        <v>-45.575727569999998</v>
      </c>
      <c r="N11" s="48" t="s">
        <v>105</v>
      </c>
      <c r="O11" t="s">
        <v>89</v>
      </c>
    </row>
    <row r="12" spans="1:18" ht="17.25" x14ac:dyDescent="0.25">
      <c r="A12" s="8" t="s">
        <v>85</v>
      </c>
      <c r="B12" s="8" t="s">
        <v>12</v>
      </c>
      <c r="C12" s="1" t="s">
        <v>19</v>
      </c>
      <c r="D12" s="1" t="s">
        <v>86</v>
      </c>
      <c r="E12" s="1" t="s">
        <v>106</v>
      </c>
      <c r="F12" s="23">
        <v>150.01</v>
      </c>
      <c r="G12" s="22">
        <v>10300</v>
      </c>
      <c r="H12" s="2">
        <v>7024725710</v>
      </c>
      <c r="I12" s="10">
        <v>714.33</v>
      </c>
      <c r="J12" s="11">
        <v>250</v>
      </c>
      <c r="K12" s="12">
        <f t="shared" si="0"/>
        <v>186.42496800000001</v>
      </c>
      <c r="L12" s="18">
        <v>-14.807359849999999</v>
      </c>
      <c r="M12" s="18">
        <v>-45.563332469999999</v>
      </c>
      <c r="N12" s="48" t="s">
        <v>107</v>
      </c>
      <c r="O12" t="s">
        <v>89</v>
      </c>
    </row>
    <row r="13" spans="1:18" ht="17.25" x14ac:dyDescent="0.25">
      <c r="A13" s="8" t="s">
        <v>85</v>
      </c>
      <c r="B13" s="8" t="s">
        <v>12</v>
      </c>
      <c r="C13" s="1" t="s">
        <v>23</v>
      </c>
      <c r="D13" s="1" t="s">
        <v>86</v>
      </c>
      <c r="E13" s="1" t="s">
        <v>108</v>
      </c>
      <c r="F13" s="23">
        <v>121.12</v>
      </c>
      <c r="G13" s="22">
        <v>10300</v>
      </c>
      <c r="H13" s="2">
        <v>7024725710</v>
      </c>
      <c r="I13" s="10">
        <v>547.91999999999996</v>
      </c>
      <c r="J13" s="11">
        <v>200</v>
      </c>
      <c r="K13" s="12">
        <f t="shared" si="0"/>
        <v>149.1399744</v>
      </c>
      <c r="L13" s="18">
        <v>-14.819573159999999</v>
      </c>
      <c r="M13" s="18">
        <v>-45.572436869999997</v>
      </c>
      <c r="N13" s="48" t="s">
        <v>109</v>
      </c>
      <c r="O13" t="s">
        <v>89</v>
      </c>
    </row>
    <row r="14" spans="1:18" ht="17.25" x14ac:dyDescent="0.25">
      <c r="A14" s="8" t="s">
        <v>85</v>
      </c>
      <c r="B14" s="8" t="s">
        <v>12</v>
      </c>
      <c r="C14" s="1" t="s">
        <v>23</v>
      </c>
      <c r="D14" s="1" t="s">
        <v>86</v>
      </c>
      <c r="E14" s="1" t="s">
        <v>110</v>
      </c>
      <c r="F14" s="23">
        <v>150.01</v>
      </c>
      <c r="G14" s="22">
        <v>10300</v>
      </c>
      <c r="H14" s="2">
        <v>7024725710</v>
      </c>
      <c r="I14" s="10">
        <v>714.33</v>
      </c>
      <c r="J14" s="11">
        <v>250</v>
      </c>
      <c r="K14" s="12">
        <f t="shared" si="0"/>
        <v>186.42496800000001</v>
      </c>
      <c r="L14" s="18">
        <v>-14.819650190000001</v>
      </c>
      <c r="M14" s="18">
        <v>-45.560028780000003</v>
      </c>
      <c r="N14" s="48" t="s">
        <v>111</v>
      </c>
      <c r="O14" t="s">
        <v>89</v>
      </c>
    </row>
    <row r="15" spans="1:18" ht="17.25" x14ac:dyDescent="0.25">
      <c r="A15" s="8" t="s">
        <v>85</v>
      </c>
      <c r="B15" s="8" t="s">
        <v>12</v>
      </c>
      <c r="C15" s="1" t="s">
        <v>23</v>
      </c>
      <c r="D15" s="1" t="s">
        <v>86</v>
      </c>
      <c r="E15" s="1" t="s">
        <v>112</v>
      </c>
      <c r="F15" s="23">
        <v>71.3</v>
      </c>
      <c r="G15" s="22">
        <v>10300</v>
      </c>
      <c r="H15" s="2">
        <v>7024725710</v>
      </c>
      <c r="I15" s="10">
        <v>339.52</v>
      </c>
      <c r="J15" s="11">
        <v>75</v>
      </c>
      <c r="K15" s="12">
        <v>111.9</v>
      </c>
      <c r="L15" s="18">
        <v>-14.829589370000001</v>
      </c>
      <c r="M15" s="18">
        <v>-45.571124640000001</v>
      </c>
      <c r="N15" s="48" t="s">
        <v>113</v>
      </c>
      <c r="O15" t="s">
        <v>89</v>
      </c>
    </row>
    <row r="16" spans="1:18" ht="17.25" x14ac:dyDescent="0.25">
      <c r="A16" s="8" t="s">
        <v>85</v>
      </c>
      <c r="B16" s="8" t="s">
        <v>12</v>
      </c>
      <c r="C16" s="1" t="s">
        <v>25</v>
      </c>
      <c r="D16" s="1" t="s">
        <v>86</v>
      </c>
      <c r="E16" s="1" t="s">
        <v>114</v>
      </c>
      <c r="F16" s="23">
        <v>150.01</v>
      </c>
      <c r="G16" s="22">
        <v>10300</v>
      </c>
      <c r="H16" s="2">
        <v>7024725710</v>
      </c>
      <c r="I16" s="10">
        <v>614.33000000000004</v>
      </c>
      <c r="J16" s="8">
        <v>75</v>
      </c>
      <c r="K16" s="12">
        <f t="shared" si="0"/>
        <v>55.927490399999996</v>
      </c>
      <c r="L16" s="18">
        <v>-14.83234568</v>
      </c>
      <c r="M16" s="18">
        <v>-45.560430230000001</v>
      </c>
      <c r="N16" s="48" t="s">
        <v>115</v>
      </c>
      <c r="O16" t="s">
        <v>89</v>
      </c>
    </row>
    <row r="17" spans="1:15" ht="17.25" x14ac:dyDescent="0.25">
      <c r="A17" s="8" t="s">
        <v>85</v>
      </c>
      <c r="B17" s="8" t="s">
        <v>12</v>
      </c>
      <c r="C17" s="1" t="s">
        <v>15</v>
      </c>
      <c r="D17" s="1" t="s">
        <v>86</v>
      </c>
      <c r="E17" s="1" t="s">
        <v>116</v>
      </c>
      <c r="F17" s="23">
        <v>150.01</v>
      </c>
      <c r="G17" s="22">
        <v>10300</v>
      </c>
      <c r="H17" s="2">
        <v>7024725710</v>
      </c>
      <c r="I17" s="10">
        <v>714.33</v>
      </c>
      <c r="J17" s="11">
        <v>200</v>
      </c>
      <c r="K17" s="12">
        <f t="shared" si="0"/>
        <v>149.1399744</v>
      </c>
      <c r="L17" s="18">
        <v>-14.779364810000001</v>
      </c>
      <c r="M17" s="18">
        <v>-45.552632809999999</v>
      </c>
      <c r="N17" s="20"/>
      <c r="O17" t="s">
        <v>89</v>
      </c>
    </row>
    <row r="18" spans="1:15" ht="17.25" x14ac:dyDescent="0.25">
      <c r="A18" s="8" t="s">
        <v>85</v>
      </c>
      <c r="B18" s="8" t="s">
        <v>12</v>
      </c>
      <c r="C18" s="1" t="s">
        <v>15</v>
      </c>
      <c r="D18" s="1" t="s">
        <v>86</v>
      </c>
      <c r="E18" s="1" t="s">
        <v>117</v>
      </c>
      <c r="F18" s="23">
        <v>150.01</v>
      </c>
      <c r="G18" s="22">
        <v>10300</v>
      </c>
      <c r="H18" s="2">
        <v>7024725710</v>
      </c>
      <c r="I18" s="10">
        <v>714.33</v>
      </c>
      <c r="J18" s="11">
        <v>250</v>
      </c>
      <c r="K18" s="12">
        <f t="shared" si="0"/>
        <v>186.42496800000001</v>
      </c>
      <c r="L18" s="18">
        <v>-14.776663750000001</v>
      </c>
      <c r="M18" s="18">
        <v>-45.539959029999999</v>
      </c>
      <c r="N18" s="20"/>
      <c r="O18" t="s">
        <v>89</v>
      </c>
    </row>
    <row r="19" spans="1:15" ht="17.25" x14ac:dyDescent="0.25">
      <c r="A19" s="8" t="s">
        <v>85</v>
      </c>
      <c r="B19" s="8" t="s">
        <v>12</v>
      </c>
      <c r="C19" s="1" t="s">
        <v>17</v>
      </c>
      <c r="D19" s="1" t="s">
        <v>86</v>
      </c>
      <c r="E19" s="1" t="s">
        <v>118</v>
      </c>
      <c r="F19" s="23">
        <v>150.01</v>
      </c>
      <c r="G19" s="22">
        <v>10300</v>
      </c>
      <c r="H19" s="2">
        <v>7024725710</v>
      </c>
      <c r="I19" s="10">
        <v>714.33</v>
      </c>
      <c r="J19" s="11">
        <v>200</v>
      </c>
      <c r="K19" s="12">
        <f t="shared" si="0"/>
        <v>149.1399744</v>
      </c>
      <c r="L19" s="18">
        <v>-14.791848310000001</v>
      </c>
      <c r="M19" s="18">
        <v>-45.550203240000002</v>
      </c>
      <c r="N19" s="20"/>
      <c r="O19" t="s">
        <v>89</v>
      </c>
    </row>
    <row r="20" spans="1:15" ht="17.25" x14ac:dyDescent="0.25">
      <c r="A20" s="8" t="s">
        <v>85</v>
      </c>
      <c r="B20" s="8" t="s">
        <v>12</v>
      </c>
      <c r="C20" s="1" t="s">
        <v>17</v>
      </c>
      <c r="D20" s="1" t="s">
        <v>86</v>
      </c>
      <c r="E20" s="1" t="s">
        <v>119</v>
      </c>
      <c r="F20" s="23">
        <v>150.01</v>
      </c>
      <c r="G20" s="22">
        <v>10300</v>
      </c>
      <c r="H20" s="2">
        <v>7024725710</v>
      </c>
      <c r="I20" s="10">
        <v>714.33</v>
      </c>
      <c r="J20" s="35">
        <v>200</v>
      </c>
      <c r="K20" s="49">
        <f t="shared" si="0"/>
        <v>149.1399744</v>
      </c>
      <c r="L20" s="18">
        <v>-14.78900196</v>
      </c>
      <c r="M20" s="18">
        <v>-45.537644780000001</v>
      </c>
      <c r="N20" s="20"/>
      <c r="O20" t="s">
        <v>89</v>
      </c>
    </row>
    <row r="21" spans="1:15" ht="17.25" x14ac:dyDescent="0.25">
      <c r="A21" s="8" t="s">
        <v>85</v>
      </c>
      <c r="B21" s="8" t="s">
        <v>12</v>
      </c>
      <c r="C21" s="1" t="s">
        <v>19</v>
      </c>
      <c r="D21" s="1" t="s">
        <v>86</v>
      </c>
      <c r="E21" s="1" t="s">
        <v>120</v>
      </c>
      <c r="F21" s="23">
        <v>150.01</v>
      </c>
      <c r="G21" s="22">
        <v>10300</v>
      </c>
      <c r="H21" s="2">
        <v>7024725710</v>
      </c>
      <c r="I21" s="10">
        <v>714.33</v>
      </c>
      <c r="J21" s="11">
        <v>200</v>
      </c>
      <c r="K21" s="12">
        <f t="shared" si="0"/>
        <v>149.1399744</v>
      </c>
      <c r="L21" s="18">
        <v>-14.804516509999999</v>
      </c>
      <c r="M21" s="18">
        <v>-45.549250489999999</v>
      </c>
      <c r="N21" s="20"/>
      <c r="O21" t="s">
        <v>89</v>
      </c>
    </row>
    <row r="22" spans="1:15" ht="17.25" x14ac:dyDescent="0.25">
      <c r="A22" s="8" t="s">
        <v>85</v>
      </c>
      <c r="B22" s="8" t="s">
        <v>12</v>
      </c>
      <c r="C22" s="1" t="s">
        <v>19</v>
      </c>
      <c r="D22" s="1" t="s">
        <v>86</v>
      </c>
      <c r="E22" s="1" t="s">
        <v>121</v>
      </c>
      <c r="F22" s="23">
        <v>150.01</v>
      </c>
      <c r="G22" s="22">
        <v>10300</v>
      </c>
      <c r="H22" s="2">
        <v>7024725710</v>
      </c>
      <c r="I22" s="10">
        <v>714.33</v>
      </c>
      <c r="J22" s="11">
        <v>100</v>
      </c>
      <c r="K22" s="12">
        <f t="shared" si="0"/>
        <v>74.5699872</v>
      </c>
      <c r="L22" s="18">
        <v>-14.801826289999999</v>
      </c>
      <c r="M22" s="18">
        <v>-45.536487479999998</v>
      </c>
      <c r="N22" s="20"/>
      <c r="O22" t="s">
        <v>89</v>
      </c>
    </row>
    <row r="23" spans="1:15" ht="17.25" x14ac:dyDescent="0.25">
      <c r="A23" s="8" t="s">
        <v>85</v>
      </c>
      <c r="B23" s="8" t="s">
        <v>12</v>
      </c>
      <c r="C23" s="1" t="s">
        <v>21</v>
      </c>
      <c r="D23" s="1" t="s">
        <v>86</v>
      </c>
      <c r="E23" s="1" t="s">
        <v>122</v>
      </c>
      <c r="F23" s="23">
        <v>150.01</v>
      </c>
      <c r="G23" s="22">
        <v>10300</v>
      </c>
      <c r="H23" s="2">
        <v>7024725710</v>
      </c>
      <c r="I23" s="10">
        <v>714.33</v>
      </c>
      <c r="J23" s="35">
        <v>200</v>
      </c>
      <c r="K23" s="49">
        <f t="shared" si="0"/>
        <v>149.1399744</v>
      </c>
      <c r="L23" s="18">
        <v>-14.815567420000001</v>
      </c>
      <c r="M23" s="18">
        <v>-45.542794630000003</v>
      </c>
      <c r="N23" s="20"/>
      <c r="O23" t="s">
        <v>89</v>
      </c>
    </row>
    <row r="24" spans="1:15" ht="17.25" x14ac:dyDescent="0.25">
      <c r="A24" s="8" t="s">
        <v>85</v>
      </c>
      <c r="B24" s="8" t="s">
        <v>12</v>
      </c>
      <c r="C24" s="1" t="s">
        <v>21</v>
      </c>
      <c r="D24" s="1" t="s">
        <v>86</v>
      </c>
      <c r="E24" s="1" t="s">
        <v>123</v>
      </c>
      <c r="F24" s="23">
        <v>150.01</v>
      </c>
      <c r="G24" s="22">
        <v>10300</v>
      </c>
      <c r="H24" s="2">
        <v>7024725710</v>
      </c>
      <c r="I24" s="10">
        <v>714.33</v>
      </c>
      <c r="J24" s="11">
        <v>200</v>
      </c>
      <c r="K24" s="12">
        <f t="shared" si="0"/>
        <v>149.1399744</v>
      </c>
      <c r="L24" s="18">
        <v>-14.813828689999999</v>
      </c>
      <c r="M24" s="18">
        <v>-45.529870580000001</v>
      </c>
      <c r="N24" s="20"/>
      <c r="O24" t="s">
        <v>89</v>
      </c>
    </row>
    <row r="25" spans="1:15" s="67" customFormat="1" ht="17.25" x14ac:dyDescent="0.25">
      <c r="A25" s="68" t="s">
        <v>85</v>
      </c>
      <c r="B25" s="68" t="s">
        <v>12</v>
      </c>
      <c r="C25" s="57" t="s">
        <v>25</v>
      </c>
      <c r="D25" s="57" t="s">
        <v>86</v>
      </c>
      <c r="E25" s="57" t="s">
        <v>124</v>
      </c>
      <c r="F25" s="59">
        <v>150.01</v>
      </c>
      <c r="G25" s="63">
        <v>10300</v>
      </c>
      <c r="H25" s="58">
        <v>7024725710</v>
      </c>
      <c r="I25" s="64">
        <v>602.63</v>
      </c>
      <c r="J25" s="11">
        <v>200</v>
      </c>
      <c r="K25" s="12">
        <f t="shared" si="0"/>
        <v>149.1399744</v>
      </c>
      <c r="L25" s="65">
        <v>-14.82724292</v>
      </c>
      <c r="M25" s="65">
        <v>-45.548140670000002</v>
      </c>
      <c r="N25" s="66" t="s">
        <v>125</v>
      </c>
      <c r="O25" s="67" t="s">
        <v>89</v>
      </c>
    </row>
    <row r="26" spans="1:15" ht="17.25" x14ac:dyDescent="0.25">
      <c r="A26" s="8" t="s">
        <v>85</v>
      </c>
      <c r="B26" s="8" t="s">
        <v>12</v>
      </c>
      <c r="C26" s="1" t="s">
        <v>25</v>
      </c>
      <c r="D26" s="1" t="s">
        <v>86</v>
      </c>
      <c r="E26" s="1" t="s">
        <v>126</v>
      </c>
      <c r="F26" s="23">
        <v>150.01</v>
      </c>
      <c r="G26" s="22">
        <v>10300</v>
      </c>
      <c r="H26" s="2">
        <v>7024725710</v>
      </c>
      <c r="I26" s="10">
        <v>714.33</v>
      </c>
      <c r="J26" s="11">
        <v>250</v>
      </c>
      <c r="K26" s="12">
        <f t="shared" si="0"/>
        <v>186.42496800000001</v>
      </c>
      <c r="L26" s="18">
        <v>-14.825833830000001</v>
      </c>
      <c r="M26" s="18">
        <v>-45.535102350000003</v>
      </c>
      <c r="N26" s="48" t="s">
        <v>127</v>
      </c>
      <c r="O26" t="s">
        <v>89</v>
      </c>
    </row>
    <row r="27" spans="1:15" s="67" customFormat="1" ht="17.25" x14ac:dyDescent="0.25">
      <c r="A27" s="68" t="s">
        <v>85</v>
      </c>
      <c r="B27" s="68" t="s">
        <v>12</v>
      </c>
      <c r="C27" s="57" t="s">
        <v>27</v>
      </c>
      <c r="D27" s="57" t="s">
        <v>86</v>
      </c>
      <c r="E27" s="57" t="s">
        <v>128</v>
      </c>
      <c r="F27" s="59">
        <v>99.7</v>
      </c>
      <c r="G27" s="63">
        <v>10300</v>
      </c>
      <c r="H27" s="58">
        <v>7024725710</v>
      </c>
      <c r="I27" s="64">
        <v>474.76</v>
      </c>
      <c r="J27" s="68">
        <v>100</v>
      </c>
      <c r="K27" s="12">
        <f t="shared" si="0"/>
        <v>74.5699872</v>
      </c>
      <c r="L27" s="65">
        <v>-14.84057799</v>
      </c>
      <c r="M27" s="65">
        <v>-45.542062129999998</v>
      </c>
      <c r="N27" s="56"/>
      <c r="O27" s="67" t="s">
        <v>89</v>
      </c>
    </row>
    <row r="28" spans="1:15" s="67" customFormat="1" ht="17.25" x14ac:dyDescent="0.25">
      <c r="A28" s="68" t="s">
        <v>85</v>
      </c>
      <c r="B28" s="68" t="s">
        <v>12</v>
      </c>
      <c r="C28" s="57" t="s">
        <v>27</v>
      </c>
      <c r="D28" s="57" t="s">
        <v>86</v>
      </c>
      <c r="E28" s="57" t="s">
        <v>129</v>
      </c>
      <c r="F28" s="59">
        <v>150.01</v>
      </c>
      <c r="G28" s="63">
        <v>10300</v>
      </c>
      <c r="H28" s="58">
        <v>7024725710</v>
      </c>
      <c r="I28" s="64">
        <v>650.04</v>
      </c>
      <c r="J28" s="11">
        <v>250</v>
      </c>
      <c r="K28" s="12">
        <f t="shared" si="0"/>
        <v>186.42496800000001</v>
      </c>
      <c r="L28" s="65">
        <v>-14.843101000000001</v>
      </c>
      <c r="M28" s="65">
        <v>-45.55360735</v>
      </c>
      <c r="N28" s="66" t="s">
        <v>130</v>
      </c>
      <c r="O28" s="67" t="s">
        <v>89</v>
      </c>
    </row>
    <row r="29" spans="1:15" s="67" customFormat="1" ht="17.25" x14ac:dyDescent="0.25">
      <c r="A29" s="68" t="s">
        <v>85</v>
      </c>
      <c r="B29" s="68" t="s">
        <v>12</v>
      </c>
      <c r="C29" s="57" t="s">
        <v>27</v>
      </c>
      <c r="D29" s="57" t="s">
        <v>86</v>
      </c>
      <c r="E29" s="57" t="s">
        <v>131</v>
      </c>
      <c r="F29" s="59">
        <v>99.14</v>
      </c>
      <c r="G29" s="63">
        <v>10300</v>
      </c>
      <c r="H29" s="58">
        <v>7024725710</v>
      </c>
      <c r="I29" s="64">
        <v>472.1</v>
      </c>
      <c r="J29" s="68">
        <v>100</v>
      </c>
      <c r="K29" s="12">
        <f t="shared" si="0"/>
        <v>74.5699872</v>
      </c>
      <c r="L29" s="65">
        <v>-14.851144250000001</v>
      </c>
      <c r="M29" s="65">
        <v>-45.545208559999999</v>
      </c>
      <c r="N29" s="56"/>
      <c r="O29" s="67" t="s">
        <v>89</v>
      </c>
    </row>
    <row r="30" spans="1:15" s="67" customFormat="1" ht="17.25" x14ac:dyDescent="0.25">
      <c r="A30" s="68" t="s">
        <v>85</v>
      </c>
      <c r="B30" s="68" t="s">
        <v>12</v>
      </c>
      <c r="C30" s="57" t="s">
        <v>27</v>
      </c>
      <c r="D30" s="57" t="s">
        <v>86</v>
      </c>
      <c r="E30" s="57" t="s">
        <v>132</v>
      </c>
      <c r="F30" s="59">
        <v>132.99</v>
      </c>
      <c r="G30" s="63">
        <v>10300</v>
      </c>
      <c r="H30" s="58">
        <v>7024725710</v>
      </c>
      <c r="I30" s="64">
        <v>633.29</v>
      </c>
      <c r="J30" s="11">
        <v>200</v>
      </c>
      <c r="K30" s="12">
        <f t="shared" si="0"/>
        <v>149.1399744</v>
      </c>
      <c r="L30" s="65">
        <v>-14.84838326</v>
      </c>
      <c r="M30" s="65">
        <v>-45.528574679999998</v>
      </c>
      <c r="N30" s="56"/>
      <c r="O30" s="67" t="s">
        <v>89</v>
      </c>
    </row>
    <row r="31" spans="1:15" s="67" customFormat="1" ht="17.25" x14ac:dyDescent="0.25">
      <c r="A31" s="68" t="s">
        <v>85</v>
      </c>
      <c r="B31" s="68" t="s">
        <v>12</v>
      </c>
      <c r="C31" s="57" t="s">
        <v>27</v>
      </c>
      <c r="D31" s="57" t="s">
        <v>86</v>
      </c>
      <c r="E31" s="57" t="s">
        <v>133</v>
      </c>
      <c r="F31" s="59">
        <v>78.55</v>
      </c>
      <c r="G31" s="63">
        <v>10300</v>
      </c>
      <c r="H31" s="58">
        <v>7024725710</v>
      </c>
      <c r="I31" s="64">
        <v>374.05</v>
      </c>
      <c r="J31" s="68">
        <v>100</v>
      </c>
      <c r="K31" s="12">
        <f t="shared" si="0"/>
        <v>74.5699872</v>
      </c>
      <c r="L31" s="65">
        <v>-14.85598298</v>
      </c>
      <c r="M31" s="65">
        <v>-45.536571070000001</v>
      </c>
      <c r="N31" s="56"/>
      <c r="O31" s="67" t="s">
        <v>89</v>
      </c>
    </row>
    <row r="32" spans="1:15" s="67" customFormat="1" ht="17.25" x14ac:dyDescent="0.25">
      <c r="A32" s="68" t="s">
        <v>85</v>
      </c>
      <c r="B32" s="68" t="s">
        <v>12</v>
      </c>
      <c r="C32" s="57" t="s">
        <v>134</v>
      </c>
      <c r="D32" s="57" t="s">
        <v>86</v>
      </c>
      <c r="E32" s="57" t="s">
        <v>135</v>
      </c>
      <c r="F32" s="59">
        <v>150.01</v>
      </c>
      <c r="G32" s="63">
        <v>10300</v>
      </c>
      <c r="H32" s="58">
        <v>7024725710</v>
      </c>
      <c r="I32" s="69">
        <v>664.33</v>
      </c>
      <c r="J32" s="68">
        <v>121.74</v>
      </c>
      <c r="K32" s="12">
        <f t="shared" si="0"/>
        <v>90.781502417279995</v>
      </c>
      <c r="L32" s="65">
        <v>-14.84350933</v>
      </c>
      <c r="M32" s="65">
        <v>-45.515537469999998</v>
      </c>
      <c r="N32" s="66" t="s">
        <v>136</v>
      </c>
      <c r="O32" s="67" t="s">
        <v>89</v>
      </c>
    </row>
    <row r="33" spans="1:15" s="67" customFormat="1" ht="17.25" x14ac:dyDescent="0.25">
      <c r="A33" s="68" t="s">
        <v>85</v>
      </c>
      <c r="B33" s="68" t="s">
        <v>12</v>
      </c>
      <c r="C33" s="57" t="s">
        <v>134</v>
      </c>
      <c r="D33" s="57" t="s">
        <v>86</v>
      </c>
      <c r="E33" s="57" t="s">
        <v>137</v>
      </c>
      <c r="F33" s="59">
        <v>150.01</v>
      </c>
      <c r="G33" s="63">
        <v>10300</v>
      </c>
      <c r="H33" s="58">
        <v>7024725710</v>
      </c>
      <c r="I33" s="69">
        <v>645.04</v>
      </c>
      <c r="J33" s="11">
        <v>125</v>
      </c>
      <c r="K33" s="12">
        <f t="shared" si="0"/>
        <v>93.212484000000003</v>
      </c>
      <c r="L33" s="65">
        <v>-14.856030179999999</v>
      </c>
      <c r="M33" s="65">
        <v>-45.517614039999998</v>
      </c>
      <c r="N33" s="66" t="s">
        <v>138</v>
      </c>
      <c r="O33" s="67" t="s">
        <v>89</v>
      </c>
    </row>
    <row r="34" spans="1:15" s="67" customFormat="1" ht="17.25" x14ac:dyDescent="0.25">
      <c r="A34" s="68" t="s">
        <v>85</v>
      </c>
      <c r="B34" s="68" t="s">
        <v>12</v>
      </c>
      <c r="C34" s="57" t="s">
        <v>134</v>
      </c>
      <c r="D34" s="57" t="s">
        <v>86</v>
      </c>
      <c r="E34" s="57" t="s">
        <v>139</v>
      </c>
      <c r="F34" s="59">
        <v>138.03</v>
      </c>
      <c r="G34" s="63">
        <v>10300</v>
      </c>
      <c r="H34" s="58">
        <v>7024725710</v>
      </c>
      <c r="I34" s="69">
        <v>657.29</v>
      </c>
      <c r="J34" s="68">
        <v>125</v>
      </c>
      <c r="K34" s="12">
        <f t="shared" si="0"/>
        <v>93.212484000000003</v>
      </c>
      <c r="L34" s="65">
        <v>-14.866817044120999</v>
      </c>
      <c r="M34" s="65">
        <v>-45.532033271147</v>
      </c>
      <c r="N34" s="66" t="s">
        <v>140</v>
      </c>
      <c r="O34" s="67" t="s">
        <v>89</v>
      </c>
    </row>
    <row r="35" spans="1:15" s="67" customFormat="1" ht="17.25" x14ac:dyDescent="0.25">
      <c r="A35" s="68" t="s">
        <v>85</v>
      </c>
      <c r="B35" s="68" t="s">
        <v>12</v>
      </c>
      <c r="C35" s="57" t="s">
        <v>134</v>
      </c>
      <c r="D35" s="57" t="s">
        <v>86</v>
      </c>
      <c r="E35" s="57" t="s">
        <v>141</v>
      </c>
      <c r="F35" s="59">
        <v>137.66999999999999</v>
      </c>
      <c r="G35" s="63">
        <v>10300</v>
      </c>
      <c r="H35" s="58">
        <v>7024725710</v>
      </c>
      <c r="I35" s="69">
        <v>590.01</v>
      </c>
      <c r="J35" s="68">
        <v>147</v>
      </c>
      <c r="K35" s="12">
        <f t="shared" si="0"/>
        <v>109.617881184</v>
      </c>
      <c r="L35" s="65">
        <v>-14.8633665</v>
      </c>
      <c r="M35" s="65">
        <v>-45.507425150000003</v>
      </c>
      <c r="N35" s="66" t="s">
        <v>142</v>
      </c>
      <c r="O35" s="67" t="s">
        <v>89</v>
      </c>
    </row>
    <row r="36" spans="1:15" s="67" customFormat="1" ht="17.25" x14ac:dyDescent="0.25">
      <c r="A36" s="68" t="s">
        <v>85</v>
      </c>
      <c r="B36" s="68" t="s">
        <v>12</v>
      </c>
      <c r="C36" s="57" t="s">
        <v>134</v>
      </c>
      <c r="D36" s="57" t="s">
        <v>86</v>
      </c>
      <c r="E36" s="57" t="s">
        <v>143</v>
      </c>
      <c r="F36" s="59">
        <v>150.01</v>
      </c>
      <c r="G36" s="63">
        <v>10300</v>
      </c>
      <c r="H36" s="58">
        <v>7024725710</v>
      </c>
      <c r="I36" s="69">
        <v>714.33</v>
      </c>
      <c r="J36" s="11">
        <v>150</v>
      </c>
      <c r="K36" s="12">
        <f t="shared" si="0"/>
        <v>111.85498079999999</v>
      </c>
      <c r="L36" s="65">
        <v>-14.876818545414</v>
      </c>
      <c r="M36" s="65">
        <v>-45.523261959994002</v>
      </c>
      <c r="N36" s="56"/>
      <c r="O36" s="67" t="s">
        <v>89</v>
      </c>
    </row>
    <row r="37" spans="1:15" s="67" customFormat="1" ht="17.25" x14ac:dyDescent="0.25">
      <c r="A37" s="68" t="s">
        <v>85</v>
      </c>
      <c r="B37" s="68" t="s">
        <v>31</v>
      </c>
      <c r="C37" s="57" t="s">
        <v>32</v>
      </c>
      <c r="D37" s="57" t="s">
        <v>144</v>
      </c>
      <c r="E37" s="57" t="s">
        <v>145</v>
      </c>
      <c r="F37" s="58">
        <v>150.54</v>
      </c>
      <c r="G37" s="63">
        <v>10300</v>
      </c>
      <c r="H37" s="58">
        <v>7024725710</v>
      </c>
      <c r="I37" s="70">
        <v>641.67999999999995</v>
      </c>
      <c r="J37" s="68">
        <v>235</v>
      </c>
      <c r="K37" s="12">
        <f t="shared" si="0"/>
        <v>175.23946992</v>
      </c>
      <c r="L37" s="65">
        <v>-14.769885666</v>
      </c>
      <c r="M37" s="65">
        <v>-45.572875644600003</v>
      </c>
      <c r="N37" s="66" t="s">
        <v>146</v>
      </c>
      <c r="O37" s="67" t="s">
        <v>89</v>
      </c>
    </row>
    <row r="38" spans="1:15" s="67" customFormat="1" ht="17.25" x14ac:dyDescent="0.25">
      <c r="A38" s="68" t="s">
        <v>85</v>
      </c>
      <c r="B38" s="68" t="s">
        <v>31</v>
      </c>
      <c r="C38" s="57" t="s">
        <v>32</v>
      </c>
      <c r="D38" s="57" t="s">
        <v>144</v>
      </c>
      <c r="E38" s="57" t="s">
        <v>147</v>
      </c>
      <c r="F38" s="58">
        <v>150.54</v>
      </c>
      <c r="G38" s="63">
        <v>10300</v>
      </c>
      <c r="H38" s="58">
        <v>7024725710</v>
      </c>
      <c r="I38" s="70">
        <v>716.86</v>
      </c>
      <c r="J38" s="68">
        <v>220</v>
      </c>
      <c r="K38" s="12">
        <f t="shared" si="0"/>
        <v>164.05397184</v>
      </c>
      <c r="L38" s="65">
        <v>-14.766457598800001</v>
      </c>
      <c r="M38" s="65">
        <v>-45.559538760099997</v>
      </c>
      <c r="N38" s="56"/>
      <c r="O38" s="67" t="s">
        <v>89</v>
      </c>
    </row>
    <row r="39" spans="1:15" s="67" customFormat="1" ht="17.25" x14ac:dyDescent="0.25">
      <c r="A39" s="68" t="s">
        <v>85</v>
      </c>
      <c r="B39" s="68" t="s">
        <v>31</v>
      </c>
      <c r="C39" s="57" t="s">
        <v>32</v>
      </c>
      <c r="D39" s="57" t="s">
        <v>144</v>
      </c>
      <c r="E39" s="57" t="s">
        <v>148</v>
      </c>
      <c r="F39" s="60">
        <v>72</v>
      </c>
      <c r="G39" s="63">
        <v>10300</v>
      </c>
      <c r="H39" s="58">
        <v>7024725710</v>
      </c>
      <c r="I39" s="70">
        <v>517.97</v>
      </c>
      <c r="J39" s="11">
        <v>150</v>
      </c>
      <c r="K39" s="12">
        <f t="shared" si="0"/>
        <v>111.85498079999999</v>
      </c>
      <c r="L39" s="65">
        <v>-14.7583135412</v>
      </c>
      <c r="M39" s="65">
        <v>-45.571952447800001</v>
      </c>
      <c r="N39" s="56"/>
      <c r="O39" s="67" t="s">
        <v>89</v>
      </c>
    </row>
    <row r="40" spans="1:15" s="67" customFormat="1" ht="17.25" x14ac:dyDescent="0.25">
      <c r="A40" s="68" t="s">
        <v>85</v>
      </c>
      <c r="B40" s="68" t="s">
        <v>31</v>
      </c>
      <c r="C40" s="61" t="s">
        <v>32</v>
      </c>
      <c r="D40" s="57" t="s">
        <v>144</v>
      </c>
      <c r="E40" s="61" t="s">
        <v>149</v>
      </c>
      <c r="F40" s="62">
        <v>141</v>
      </c>
      <c r="G40" s="63">
        <v>10300</v>
      </c>
      <c r="H40" s="58">
        <v>7024725710</v>
      </c>
      <c r="I40" s="71">
        <v>716.86</v>
      </c>
      <c r="J40" s="72">
        <v>221</v>
      </c>
      <c r="K40" s="12">
        <f t="shared" si="0"/>
        <v>164.79967171199999</v>
      </c>
      <c r="L40" s="65">
        <v>-14.7535503952</v>
      </c>
      <c r="M40" s="65">
        <v>-45.560303293799997</v>
      </c>
      <c r="N40" s="56"/>
      <c r="O40" s="67" t="s">
        <v>89</v>
      </c>
    </row>
    <row r="41" spans="1:15" s="67" customFormat="1" ht="17.25" x14ac:dyDescent="0.25">
      <c r="A41" s="68" t="s">
        <v>85</v>
      </c>
      <c r="B41" s="68" t="s">
        <v>31</v>
      </c>
      <c r="C41" s="57" t="s">
        <v>36</v>
      </c>
      <c r="D41" s="57" t="s">
        <v>144</v>
      </c>
      <c r="E41" s="57" t="s">
        <v>150</v>
      </c>
      <c r="F41" s="58">
        <v>100.65</v>
      </c>
      <c r="G41" s="63">
        <v>10300</v>
      </c>
      <c r="H41" s="58">
        <v>7024725710</v>
      </c>
      <c r="I41" s="70">
        <v>479.29</v>
      </c>
      <c r="J41" s="11">
        <v>150</v>
      </c>
      <c r="K41" s="12">
        <f t="shared" si="0"/>
        <v>111.85498079999999</v>
      </c>
      <c r="L41" s="65">
        <v>-14.7647298899</v>
      </c>
      <c r="M41" s="65">
        <v>-45.542069120000001</v>
      </c>
      <c r="N41" s="56"/>
      <c r="O41" s="67" t="s">
        <v>89</v>
      </c>
    </row>
    <row r="42" spans="1:15" s="67" customFormat="1" ht="17.25" x14ac:dyDescent="0.25">
      <c r="A42" s="68" t="s">
        <v>85</v>
      </c>
      <c r="B42" s="68" t="s">
        <v>31</v>
      </c>
      <c r="C42" s="57" t="s">
        <v>36</v>
      </c>
      <c r="D42" s="57" t="s">
        <v>144</v>
      </c>
      <c r="E42" s="57" t="s">
        <v>151</v>
      </c>
      <c r="F42" s="58">
        <v>150.54</v>
      </c>
      <c r="G42" s="63">
        <v>10300</v>
      </c>
      <c r="H42" s="58">
        <v>7024725710</v>
      </c>
      <c r="I42" s="70">
        <v>716.86</v>
      </c>
      <c r="J42" s="68">
        <v>215</v>
      </c>
      <c r="K42" s="12">
        <f t="shared" si="0"/>
        <v>160.32547248</v>
      </c>
      <c r="L42" s="65">
        <v>-14.754135380099999</v>
      </c>
      <c r="M42" s="65">
        <v>-45.547135982</v>
      </c>
      <c r="N42" s="56"/>
      <c r="O42" s="67" t="s">
        <v>89</v>
      </c>
    </row>
    <row r="43" spans="1:15" s="67" customFormat="1" ht="17.25" x14ac:dyDescent="0.25">
      <c r="A43" s="68" t="s">
        <v>85</v>
      </c>
      <c r="B43" s="68" t="s">
        <v>31</v>
      </c>
      <c r="C43" s="57" t="s">
        <v>34</v>
      </c>
      <c r="D43" s="57" t="s">
        <v>144</v>
      </c>
      <c r="E43" s="57" t="s">
        <v>152</v>
      </c>
      <c r="F43" s="58">
        <v>138.55000000000001</v>
      </c>
      <c r="G43" s="63">
        <v>5711</v>
      </c>
      <c r="H43" s="63">
        <v>7044455980</v>
      </c>
      <c r="I43" s="70">
        <v>659.74</v>
      </c>
      <c r="J43" s="68">
        <v>199</v>
      </c>
      <c r="K43" s="12">
        <f t="shared" si="0"/>
        <v>148.39427452800001</v>
      </c>
      <c r="L43" s="65">
        <v>-14.7430609953</v>
      </c>
      <c r="M43" s="65">
        <v>-45.552845143900001</v>
      </c>
      <c r="N43" s="56"/>
      <c r="O43" s="67" t="s">
        <v>89</v>
      </c>
    </row>
    <row r="44" spans="1:15" s="67" customFormat="1" ht="17.25" x14ac:dyDescent="0.25">
      <c r="A44" s="68" t="s">
        <v>85</v>
      </c>
      <c r="B44" s="68" t="s">
        <v>31</v>
      </c>
      <c r="C44" s="57" t="s">
        <v>34</v>
      </c>
      <c r="D44" s="57" t="s">
        <v>144</v>
      </c>
      <c r="E44" s="57" t="s">
        <v>153</v>
      </c>
      <c r="F44" s="58">
        <v>100.65</v>
      </c>
      <c r="G44" s="63">
        <v>5711</v>
      </c>
      <c r="H44" s="63">
        <v>7044455980</v>
      </c>
      <c r="I44" s="70">
        <v>479.29</v>
      </c>
      <c r="J44" s="11">
        <v>150</v>
      </c>
      <c r="K44" s="12">
        <f t="shared" si="0"/>
        <v>111.85498079999999</v>
      </c>
      <c r="L44" s="65">
        <v>-14.735540068700001</v>
      </c>
      <c r="M44" s="65">
        <v>-45.566665534499997</v>
      </c>
      <c r="N44" s="73" t="s">
        <v>154</v>
      </c>
      <c r="O44" s="67" t="s">
        <v>89</v>
      </c>
    </row>
    <row r="45" spans="1:15" s="67" customFormat="1" ht="17.25" x14ac:dyDescent="0.25">
      <c r="A45" s="68" t="s">
        <v>85</v>
      </c>
      <c r="B45" s="68" t="s">
        <v>31</v>
      </c>
      <c r="C45" s="57" t="s">
        <v>34</v>
      </c>
      <c r="D45" s="57" t="s">
        <v>144</v>
      </c>
      <c r="E45" s="57" t="s">
        <v>155</v>
      </c>
      <c r="F45" s="58">
        <v>138.55000000000001</v>
      </c>
      <c r="G45" s="63">
        <v>5711</v>
      </c>
      <c r="H45" s="63">
        <v>7044455980</v>
      </c>
      <c r="I45" s="70">
        <v>659.74</v>
      </c>
      <c r="J45" s="68">
        <v>199</v>
      </c>
      <c r="K45" s="12">
        <f t="shared" si="0"/>
        <v>148.39427452800001</v>
      </c>
      <c r="L45" s="65">
        <v>-14.731093703999999</v>
      </c>
      <c r="M45" s="65">
        <v>-45.555101828399998</v>
      </c>
      <c r="N45" s="66" t="s">
        <v>156</v>
      </c>
      <c r="O45" s="67" t="s">
        <v>89</v>
      </c>
    </row>
    <row r="46" spans="1:15" s="67" customFormat="1" ht="17.25" customHeight="1" x14ac:dyDescent="0.25">
      <c r="A46" s="68" t="s">
        <v>85</v>
      </c>
      <c r="B46" s="68" t="s">
        <v>31</v>
      </c>
      <c r="C46" s="57" t="s">
        <v>38</v>
      </c>
      <c r="D46" s="57" t="s">
        <v>144</v>
      </c>
      <c r="E46" s="57" t="s">
        <v>157</v>
      </c>
      <c r="F46" s="58">
        <v>123.47</v>
      </c>
      <c r="G46" s="63">
        <v>10300</v>
      </c>
      <c r="H46" s="58">
        <v>7024725710</v>
      </c>
      <c r="I46" s="70">
        <v>587.92999999999995</v>
      </c>
      <c r="J46" s="68">
        <v>219</v>
      </c>
      <c r="K46" s="12">
        <f t="shared" si="0"/>
        <v>163.30827196799999</v>
      </c>
      <c r="L46" s="65">
        <v>-14.7562252671</v>
      </c>
      <c r="M46" s="65">
        <v>-45.529904844199997</v>
      </c>
      <c r="N46" s="56"/>
      <c r="O46" s="67" t="s">
        <v>89</v>
      </c>
    </row>
    <row r="47" spans="1:15" s="67" customFormat="1" ht="17.25" x14ac:dyDescent="0.25">
      <c r="A47" s="68" t="s">
        <v>85</v>
      </c>
      <c r="B47" s="68" t="s">
        <v>31</v>
      </c>
      <c r="C47" s="57" t="s">
        <v>38</v>
      </c>
      <c r="D47" s="57" t="s">
        <v>144</v>
      </c>
      <c r="E47" s="57" t="s">
        <v>158</v>
      </c>
      <c r="F47" s="58">
        <v>159.44999999999999</v>
      </c>
      <c r="G47" s="63">
        <v>10300</v>
      </c>
      <c r="H47" s="58">
        <v>7024725710</v>
      </c>
      <c r="I47" s="70">
        <v>759.3</v>
      </c>
      <c r="J47" s="68">
        <v>242</v>
      </c>
      <c r="K47" s="12">
        <f t="shared" si="0"/>
        <v>180.45936902399998</v>
      </c>
      <c r="L47" s="65">
        <v>-14.744084924499999</v>
      </c>
      <c r="M47" s="65">
        <v>-45.5335584404</v>
      </c>
      <c r="N47" s="73" t="s">
        <v>159</v>
      </c>
      <c r="O47" s="67" t="s">
        <v>160</v>
      </c>
    </row>
    <row r="48" spans="1:15" s="67" customFormat="1" ht="17.25" x14ac:dyDescent="0.25">
      <c r="A48" s="68" t="s">
        <v>85</v>
      </c>
      <c r="B48" s="68" t="s">
        <v>31</v>
      </c>
      <c r="C48" s="57" t="s">
        <v>38</v>
      </c>
      <c r="D48" s="57" t="s">
        <v>144</v>
      </c>
      <c r="E48" s="57" t="s">
        <v>161</v>
      </c>
      <c r="F48" s="58">
        <v>159.44999999999999</v>
      </c>
      <c r="G48" s="63">
        <v>10300</v>
      </c>
      <c r="H48" s="58">
        <v>7024725710</v>
      </c>
      <c r="I48" s="70">
        <v>721.34</v>
      </c>
      <c r="J48" s="68">
        <f>150*2</f>
        <v>300</v>
      </c>
      <c r="K48" s="12">
        <f t="shared" si="0"/>
        <v>223.70996159999999</v>
      </c>
      <c r="L48" s="65">
        <v>-14.731849796400001</v>
      </c>
      <c r="M48" s="65">
        <v>-45.538062566299999</v>
      </c>
      <c r="N48" s="56"/>
      <c r="O48" s="67" t="s">
        <v>89</v>
      </c>
    </row>
    <row r="49" spans="1:15" s="67" customFormat="1" ht="17.25" x14ac:dyDescent="0.25">
      <c r="A49" s="68" t="s">
        <v>85</v>
      </c>
      <c r="B49" s="68" t="s">
        <v>31</v>
      </c>
      <c r="C49" s="57" t="s">
        <v>38</v>
      </c>
      <c r="D49" s="57" t="s">
        <v>144</v>
      </c>
      <c r="E49" s="57" t="s">
        <v>162</v>
      </c>
      <c r="F49" s="58">
        <v>159.44999999999999</v>
      </c>
      <c r="G49" s="63">
        <v>10300</v>
      </c>
      <c r="H49" s="58">
        <v>7024725710</v>
      </c>
      <c r="I49" s="70">
        <v>759.3</v>
      </c>
      <c r="J49" s="68">
        <v>211</v>
      </c>
      <c r="K49" s="12">
        <f t="shared" si="0"/>
        <v>157.34267299199999</v>
      </c>
      <c r="L49" s="65">
        <v>-14.718436846199999</v>
      </c>
      <c r="M49" s="65">
        <v>-45.542790347599997</v>
      </c>
      <c r="N49" s="56"/>
      <c r="O49" s="67" t="s">
        <v>89</v>
      </c>
    </row>
    <row r="50" spans="1:15" s="67" customFormat="1" ht="17.25" x14ac:dyDescent="0.25">
      <c r="A50" s="68" t="s">
        <v>85</v>
      </c>
      <c r="B50" s="68" t="s">
        <v>31</v>
      </c>
      <c r="C50" s="57" t="s">
        <v>38</v>
      </c>
      <c r="D50" s="57" t="s">
        <v>144</v>
      </c>
      <c r="E50" s="57" t="s">
        <v>163</v>
      </c>
      <c r="F50" s="60">
        <v>124.31</v>
      </c>
      <c r="G50" s="63">
        <v>10300</v>
      </c>
      <c r="H50" s="58">
        <v>7024725710</v>
      </c>
      <c r="I50" s="70">
        <v>591.97</v>
      </c>
      <c r="J50" s="68">
        <v>197</v>
      </c>
      <c r="K50" s="12">
        <f t="shared" si="0"/>
        <v>146.90287478400001</v>
      </c>
      <c r="L50" s="65">
        <v>-14.7218974858</v>
      </c>
      <c r="M50" s="65">
        <v>-45.530619979299999</v>
      </c>
      <c r="N50" s="56"/>
      <c r="O50" s="67" t="s">
        <v>89</v>
      </c>
    </row>
    <row r="51" spans="1:15" s="67" customFormat="1" ht="17.25" x14ac:dyDescent="0.25">
      <c r="A51" s="68" t="s">
        <v>85</v>
      </c>
      <c r="B51" s="68" t="s">
        <v>31</v>
      </c>
      <c r="C51" s="57" t="s">
        <v>40</v>
      </c>
      <c r="D51" s="57" t="s">
        <v>144</v>
      </c>
      <c r="E51" s="57" t="s">
        <v>164</v>
      </c>
      <c r="F51" s="58">
        <v>159.44999999999999</v>
      </c>
      <c r="G51" s="63">
        <v>5711</v>
      </c>
      <c r="H51" s="63">
        <v>7044455980</v>
      </c>
      <c r="I51" s="70">
        <v>759.3</v>
      </c>
      <c r="J51" s="68">
        <v>252</v>
      </c>
      <c r="K51" s="12">
        <f t="shared" si="0"/>
        <v>187.91636774399998</v>
      </c>
      <c r="L51" s="65">
        <v>-14.743345360999999</v>
      </c>
      <c r="M51" s="65">
        <v>-45.519746910800002</v>
      </c>
      <c r="N51" s="56"/>
      <c r="O51" s="67" t="s">
        <v>89</v>
      </c>
    </row>
    <row r="52" spans="1:15" s="67" customFormat="1" ht="17.25" x14ac:dyDescent="0.25">
      <c r="A52" s="68" t="s">
        <v>85</v>
      </c>
      <c r="B52" s="68" t="s">
        <v>31</v>
      </c>
      <c r="C52" s="57" t="s">
        <v>40</v>
      </c>
      <c r="D52" s="57" t="s">
        <v>144</v>
      </c>
      <c r="E52" s="57" t="s">
        <v>165</v>
      </c>
      <c r="F52" s="58">
        <v>159.44999999999999</v>
      </c>
      <c r="G52" s="63">
        <v>5711</v>
      </c>
      <c r="H52" s="63">
        <v>7044455980</v>
      </c>
      <c r="I52" s="70">
        <v>683.37</v>
      </c>
      <c r="J52" s="68">
        <v>300</v>
      </c>
      <c r="K52" s="12">
        <f t="shared" si="0"/>
        <v>223.70996159999999</v>
      </c>
      <c r="L52" s="65">
        <v>-14.7733811927</v>
      </c>
      <c r="M52" s="65">
        <v>-45.512029094200003</v>
      </c>
      <c r="N52" s="56"/>
      <c r="O52" s="67" t="s">
        <v>89</v>
      </c>
    </row>
    <row r="53" spans="1:15" s="67" customFormat="1" ht="17.25" x14ac:dyDescent="0.25">
      <c r="A53" s="68" t="s">
        <v>85</v>
      </c>
      <c r="B53" s="68" t="s">
        <v>31</v>
      </c>
      <c r="C53" s="57" t="s">
        <v>40</v>
      </c>
      <c r="D53" s="57" t="s">
        <v>144</v>
      </c>
      <c r="E53" s="57" t="s">
        <v>166</v>
      </c>
      <c r="F53" s="58">
        <v>159.44999999999999</v>
      </c>
      <c r="G53" s="63">
        <v>5711</v>
      </c>
      <c r="H53" s="63">
        <v>7044455980</v>
      </c>
      <c r="I53" s="70">
        <v>759.3</v>
      </c>
      <c r="J53" s="68">
        <f>150*2</f>
        <v>300</v>
      </c>
      <c r="K53" s="12">
        <f t="shared" si="0"/>
        <v>223.70996159999999</v>
      </c>
      <c r="L53" s="65">
        <v>-14.760445000000001</v>
      </c>
      <c r="M53" s="65">
        <v>-45.514392000000001</v>
      </c>
      <c r="N53" s="56"/>
      <c r="O53" s="67" t="s">
        <v>89</v>
      </c>
    </row>
    <row r="54" spans="1:15" s="67" customFormat="1" ht="17.25" x14ac:dyDescent="0.25">
      <c r="A54" s="68" t="s">
        <v>85</v>
      </c>
      <c r="B54" s="68" t="s">
        <v>44</v>
      </c>
      <c r="C54" s="57" t="s">
        <v>45</v>
      </c>
      <c r="D54" s="57" t="s">
        <v>144</v>
      </c>
      <c r="E54" s="57" t="s">
        <v>167</v>
      </c>
      <c r="F54" s="59">
        <v>74.680000000000007</v>
      </c>
      <c r="G54" s="63">
        <v>5711</v>
      </c>
      <c r="H54" s="63">
        <v>7044455980</v>
      </c>
      <c r="I54" s="70">
        <v>550.14</v>
      </c>
      <c r="J54" s="11">
        <v>75</v>
      </c>
      <c r="K54" s="12">
        <f t="shared" si="0"/>
        <v>55.927490399999996</v>
      </c>
      <c r="L54" s="65">
        <v>-14.7523</v>
      </c>
      <c r="M54" s="65">
        <v>-45.506300000000003</v>
      </c>
      <c r="N54" s="56"/>
      <c r="O54" s="67" t="s">
        <v>89</v>
      </c>
    </row>
    <row r="55" spans="1:15" s="67" customFormat="1" ht="17.25" x14ac:dyDescent="0.25">
      <c r="A55" s="68" t="s">
        <v>85</v>
      </c>
      <c r="B55" s="68" t="s">
        <v>44</v>
      </c>
      <c r="C55" s="57" t="s">
        <v>47</v>
      </c>
      <c r="D55" s="57" t="s">
        <v>144</v>
      </c>
      <c r="E55" s="57" t="s">
        <v>168</v>
      </c>
      <c r="F55" s="59">
        <v>120.31</v>
      </c>
      <c r="G55" s="63">
        <v>5711</v>
      </c>
      <c r="H55" s="63">
        <v>7044455980</v>
      </c>
      <c r="I55" s="70">
        <v>572.9</v>
      </c>
      <c r="J55" s="68">
        <v>150</v>
      </c>
      <c r="K55" s="12">
        <f t="shared" si="0"/>
        <v>111.85498079999999</v>
      </c>
      <c r="L55" s="65">
        <v>-14.769600000000001</v>
      </c>
      <c r="M55" s="65">
        <v>-45.491900000000001</v>
      </c>
      <c r="N55" s="56"/>
      <c r="O55" s="67" t="s">
        <v>89</v>
      </c>
    </row>
    <row r="56" spans="1:15" s="67" customFormat="1" ht="17.25" x14ac:dyDescent="0.25">
      <c r="A56" s="68" t="s">
        <v>85</v>
      </c>
      <c r="B56" s="68" t="s">
        <v>44</v>
      </c>
      <c r="C56" s="57" t="s">
        <v>47</v>
      </c>
      <c r="D56" s="57" t="s">
        <v>144</v>
      </c>
      <c r="E56" s="57" t="s">
        <v>169</v>
      </c>
      <c r="F56" s="59">
        <v>119.34</v>
      </c>
      <c r="G56" s="63">
        <v>5711</v>
      </c>
      <c r="H56" s="63">
        <v>7044455980</v>
      </c>
      <c r="I56" s="70">
        <v>550.14</v>
      </c>
      <c r="J56" s="68">
        <v>150</v>
      </c>
      <c r="K56" s="12">
        <f t="shared" si="0"/>
        <v>111.85498079999999</v>
      </c>
      <c r="L56" s="65">
        <v>-14.771100000000001</v>
      </c>
      <c r="M56" s="65">
        <v>-45.480400000000003</v>
      </c>
      <c r="N56" s="56"/>
      <c r="O56" s="67" t="s">
        <v>89</v>
      </c>
    </row>
    <row r="57" spans="1:15" s="67" customFormat="1" ht="17.25" x14ac:dyDescent="0.25">
      <c r="A57" s="68" t="s">
        <v>85</v>
      </c>
      <c r="B57" s="68" t="s">
        <v>44</v>
      </c>
      <c r="C57" s="57" t="s">
        <v>45</v>
      </c>
      <c r="D57" s="57" t="s">
        <v>144</v>
      </c>
      <c r="E57" s="57" t="s">
        <v>170</v>
      </c>
      <c r="F57" s="58">
        <v>74.680000000000007</v>
      </c>
      <c r="G57" s="63">
        <v>5711</v>
      </c>
      <c r="H57" s="63">
        <v>7044455980</v>
      </c>
      <c r="I57" s="70">
        <v>550.14</v>
      </c>
      <c r="J57" s="68">
        <v>75</v>
      </c>
      <c r="K57" s="12">
        <f t="shared" si="0"/>
        <v>55.927490399999996</v>
      </c>
      <c r="L57" s="65">
        <v>-14.748699999999999</v>
      </c>
      <c r="M57" s="65">
        <v>-45.497700000000002</v>
      </c>
      <c r="N57" s="56"/>
      <c r="O57" s="67" t="s">
        <v>89</v>
      </c>
    </row>
    <row r="58" spans="1:15" s="67" customFormat="1" ht="17.25" x14ac:dyDescent="0.25">
      <c r="A58" s="68" t="s">
        <v>85</v>
      </c>
      <c r="B58" s="68" t="s">
        <v>44</v>
      </c>
      <c r="C58" s="57" t="s">
        <v>45</v>
      </c>
      <c r="D58" s="57" t="s">
        <v>144</v>
      </c>
      <c r="E58" s="57" t="s">
        <v>171</v>
      </c>
      <c r="F58" s="58">
        <v>121.22</v>
      </c>
      <c r="G58" s="63">
        <v>5711</v>
      </c>
      <c r="H58" s="63">
        <v>7044455980</v>
      </c>
      <c r="I58" s="70">
        <v>577.24</v>
      </c>
      <c r="J58" s="68">
        <v>150</v>
      </c>
      <c r="K58" s="12">
        <f t="shared" si="0"/>
        <v>111.85498079999999</v>
      </c>
      <c r="L58" s="65">
        <v>-14.758599999999999</v>
      </c>
      <c r="M58" s="65">
        <v>-45.494399999999999</v>
      </c>
      <c r="N58" s="56"/>
      <c r="O58" s="67" t="s">
        <v>89</v>
      </c>
    </row>
    <row r="59" spans="1:15" s="67" customFormat="1" ht="17.25" x14ac:dyDescent="0.25">
      <c r="A59" s="68" t="s">
        <v>85</v>
      </c>
      <c r="B59" s="68" t="s">
        <v>44</v>
      </c>
      <c r="C59" s="57" t="s">
        <v>45</v>
      </c>
      <c r="D59" s="57" t="s">
        <v>144</v>
      </c>
      <c r="E59" s="57" t="s">
        <v>172</v>
      </c>
      <c r="F59" s="58">
        <v>151.33000000000001</v>
      </c>
      <c r="G59" s="63">
        <v>5711</v>
      </c>
      <c r="H59" s="63">
        <v>7044455980</v>
      </c>
      <c r="I59" s="70">
        <v>720.62</v>
      </c>
      <c r="J59" s="68">
        <v>300</v>
      </c>
      <c r="K59" s="12">
        <f t="shared" si="0"/>
        <v>223.70996159999999</v>
      </c>
      <c r="L59" s="65">
        <v>-14.7469</v>
      </c>
      <c r="M59" s="65">
        <v>-45.486899999999999</v>
      </c>
      <c r="N59" s="56"/>
      <c r="O59" s="67" t="s">
        <v>89</v>
      </c>
    </row>
    <row r="60" spans="1:15" s="67" customFormat="1" ht="17.25" x14ac:dyDescent="0.25">
      <c r="A60" s="68" t="s">
        <v>85</v>
      </c>
      <c r="B60" s="68" t="s">
        <v>44</v>
      </c>
      <c r="C60" s="57" t="s">
        <v>47</v>
      </c>
      <c r="D60" s="57" t="s">
        <v>144</v>
      </c>
      <c r="E60" s="57" t="s">
        <v>173</v>
      </c>
      <c r="F60" s="58">
        <v>151.19999999999999</v>
      </c>
      <c r="G60" s="63">
        <v>5711</v>
      </c>
      <c r="H60" s="63">
        <v>7044455980</v>
      </c>
      <c r="I60" s="70">
        <v>720</v>
      </c>
      <c r="J60" s="68">
        <v>150</v>
      </c>
      <c r="K60" s="12">
        <f t="shared" si="0"/>
        <v>111.85498079999999</v>
      </c>
      <c r="L60" s="65">
        <v>-14.758900000000001</v>
      </c>
      <c r="M60" s="65">
        <v>-45.481699999999996</v>
      </c>
      <c r="N60" s="56"/>
      <c r="O60" s="67" t="s">
        <v>89</v>
      </c>
    </row>
    <row r="61" spans="1:15" s="67" customFormat="1" ht="17.25" x14ac:dyDescent="0.25">
      <c r="A61" s="68" t="s">
        <v>85</v>
      </c>
      <c r="B61" s="68" t="s">
        <v>44</v>
      </c>
      <c r="C61" s="57" t="s">
        <v>49</v>
      </c>
      <c r="D61" s="57" t="s">
        <v>86</v>
      </c>
      <c r="E61" s="57" t="s">
        <v>174</v>
      </c>
      <c r="F61" s="58">
        <v>150.24</v>
      </c>
      <c r="G61" s="63">
        <v>5711</v>
      </c>
      <c r="H61" s="63">
        <v>7044455980</v>
      </c>
      <c r="I61" s="70">
        <v>715.43</v>
      </c>
      <c r="J61" s="68">
        <v>200</v>
      </c>
      <c r="K61" s="12">
        <f t="shared" si="0"/>
        <v>149.1399744</v>
      </c>
      <c r="L61" s="65">
        <v>-14.7426052</v>
      </c>
      <c r="M61" s="65">
        <v>-45.474687099999997</v>
      </c>
      <c r="N61" s="56"/>
      <c r="O61" s="67" t="s">
        <v>89</v>
      </c>
    </row>
    <row r="62" spans="1:15" s="67" customFormat="1" ht="17.25" x14ac:dyDescent="0.25">
      <c r="A62" s="68" t="s">
        <v>85</v>
      </c>
      <c r="B62" s="68" t="s">
        <v>44</v>
      </c>
      <c r="C62" s="57" t="s">
        <v>49</v>
      </c>
      <c r="D62" s="57" t="s">
        <v>86</v>
      </c>
      <c r="E62" s="57" t="s">
        <v>175</v>
      </c>
      <c r="F62" s="58">
        <v>150.24</v>
      </c>
      <c r="G62" s="63">
        <v>5711</v>
      </c>
      <c r="H62" s="63">
        <v>7044455980</v>
      </c>
      <c r="I62" s="70">
        <v>715.43</v>
      </c>
      <c r="J62" s="68">
        <v>150</v>
      </c>
      <c r="K62" s="12">
        <f t="shared" si="0"/>
        <v>111.85498079999999</v>
      </c>
      <c r="L62" s="65">
        <v>-14.754783700000001</v>
      </c>
      <c r="M62" s="65">
        <v>-45.469599000000002</v>
      </c>
      <c r="N62" s="56"/>
      <c r="O62" s="67" t="s">
        <v>89</v>
      </c>
    </row>
    <row r="63" spans="1:15" s="67" customFormat="1" ht="17.25" x14ac:dyDescent="0.25">
      <c r="A63" s="68" t="s">
        <v>85</v>
      </c>
      <c r="B63" s="68" t="s">
        <v>44</v>
      </c>
      <c r="C63" s="57" t="s">
        <v>49</v>
      </c>
      <c r="D63" s="57" t="s">
        <v>86</v>
      </c>
      <c r="E63" s="57" t="s">
        <v>176</v>
      </c>
      <c r="F63" s="58">
        <v>144.4</v>
      </c>
      <c r="G63" s="63">
        <v>5711</v>
      </c>
      <c r="H63" s="63">
        <v>7044455980</v>
      </c>
      <c r="I63" s="70">
        <v>687.62</v>
      </c>
      <c r="J63" s="11">
        <v>175</v>
      </c>
      <c r="K63" s="12">
        <f t="shared" si="0"/>
        <v>130.4974776</v>
      </c>
      <c r="L63" s="65">
        <v>-14.738246200000001</v>
      </c>
      <c r="M63" s="65">
        <v>-45.462557799999999</v>
      </c>
      <c r="N63" s="56"/>
      <c r="O63" s="67" t="s">
        <v>89</v>
      </c>
    </row>
    <row r="64" spans="1:15" s="67" customFormat="1" ht="17.25" x14ac:dyDescent="0.25">
      <c r="A64" s="68" t="s">
        <v>85</v>
      </c>
      <c r="B64" s="68" t="s">
        <v>44</v>
      </c>
      <c r="C64" s="57" t="s">
        <v>49</v>
      </c>
      <c r="D64" s="57" t="s">
        <v>86</v>
      </c>
      <c r="E64" s="57" t="s">
        <v>177</v>
      </c>
      <c r="F64" s="58">
        <v>150.24</v>
      </c>
      <c r="G64" s="63">
        <v>5711</v>
      </c>
      <c r="H64" s="63">
        <v>7044455980</v>
      </c>
      <c r="I64" s="70">
        <v>701.12</v>
      </c>
      <c r="J64" s="11">
        <v>175</v>
      </c>
      <c r="K64" s="12">
        <f t="shared" si="0"/>
        <v>130.4974776</v>
      </c>
      <c r="L64" s="65">
        <v>-14.750130199999999</v>
      </c>
      <c r="M64" s="65">
        <v>-45.457401500000003</v>
      </c>
      <c r="N64" s="56"/>
      <c r="O64" s="67" t="s">
        <v>89</v>
      </c>
    </row>
    <row r="65" spans="1:15" s="67" customFormat="1" ht="17.25" x14ac:dyDescent="0.25">
      <c r="A65" s="68" t="s">
        <v>85</v>
      </c>
      <c r="B65" s="68" t="s">
        <v>44</v>
      </c>
      <c r="C65" s="57" t="s">
        <v>51</v>
      </c>
      <c r="D65" s="57" t="s">
        <v>86</v>
      </c>
      <c r="E65" s="57" t="s">
        <v>178</v>
      </c>
      <c r="F65" s="58">
        <v>145.71</v>
      </c>
      <c r="G65" s="63">
        <v>5711</v>
      </c>
      <c r="H65" s="63">
        <v>7044455980</v>
      </c>
      <c r="I65" s="70">
        <v>693.86</v>
      </c>
      <c r="J65" s="11">
        <v>175</v>
      </c>
      <c r="K65" s="12">
        <f t="shared" si="0"/>
        <v>130.4974776</v>
      </c>
      <c r="L65" s="65">
        <v>-14.7339704</v>
      </c>
      <c r="M65" s="65">
        <v>-45.4500229</v>
      </c>
      <c r="N65" s="56"/>
      <c r="O65" s="67" t="s">
        <v>89</v>
      </c>
    </row>
    <row r="66" spans="1:15" s="67" customFormat="1" ht="17.25" x14ac:dyDescent="0.25">
      <c r="A66" s="68" t="s">
        <v>85</v>
      </c>
      <c r="B66" s="68" t="s">
        <v>44</v>
      </c>
      <c r="C66" s="57" t="s">
        <v>51</v>
      </c>
      <c r="D66" s="57" t="s">
        <v>86</v>
      </c>
      <c r="E66" s="57" t="s">
        <v>179</v>
      </c>
      <c r="F66" s="58">
        <v>140.88999999999999</v>
      </c>
      <c r="G66" s="63">
        <v>5711</v>
      </c>
      <c r="H66" s="63">
        <v>7044455980</v>
      </c>
      <c r="I66" s="70">
        <v>670.9</v>
      </c>
      <c r="J66" s="11">
        <v>175</v>
      </c>
      <c r="K66" s="12">
        <f t="shared" si="0"/>
        <v>130.4974776</v>
      </c>
      <c r="L66" s="65">
        <v>-14.745563499999999</v>
      </c>
      <c r="M66" s="65">
        <v>-45.445623300000001</v>
      </c>
      <c r="N66" s="56"/>
      <c r="O66" s="67" t="s">
        <v>89</v>
      </c>
    </row>
    <row r="67" spans="1:15" s="67" customFormat="1" ht="17.25" x14ac:dyDescent="0.25">
      <c r="A67" s="68" t="s">
        <v>85</v>
      </c>
      <c r="B67" s="68" t="s">
        <v>44</v>
      </c>
      <c r="C67" s="57" t="s">
        <v>180</v>
      </c>
      <c r="D67" s="57" t="s">
        <v>181</v>
      </c>
      <c r="E67" s="57" t="s">
        <v>182</v>
      </c>
      <c r="F67" s="58">
        <v>80.150000000000006</v>
      </c>
      <c r="G67" s="63">
        <v>5711</v>
      </c>
      <c r="H67" s="63">
        <v>7044455980</v>
      </c>
      <c r="I67" s="70">
        <v>383.71</v>
      </c>
      <c r="J67" s="11">
        <v>100</v>
      </c>
      <c r="K67" s="12">
        <f t="shared" si="0"/>
        <v>74.5699872</v>
      </c>
      <c r="L67" s="65">
        <v>-14.777656430350801</v>
      </c>
      <c r="M67" s="65">
        <v>-45.472096667925797</v>
      </c>
      <c r="N67" s="56"/>
    </row>
    <row r="68" spans="1:15" s="67" customFormat="1" ht="17.25" x14ac:dyDescent="0.25">
      <c r="A68" s="68" t="s">
        <v>85</v>
      </c>
      <c r="B68" s="68" t="s">
        <v>44</v>
      </c>
      <c r="C68" s="57" t="s">
        <v>180</v>
      </c>
      <c r="D68" s="57" t="s">
        <v>181</v>
      </c>
      <c r="E68" s="57" t="s">
        <v>183</v>
      </c>
      <c r="F68" s="58">
        <v>80.150000000000006</v>
      </c>
      <c r="G68" s="63">
        <v>5711</v>
      </c>
      <c r="H68" s="63">
        <v>7044455980</v>
      </c>
      <c r="I68" s="70">
        <v>383.71</v>
      </c>
      <c r="J68" s="11">
        <v>75</v>
      </c>
      <c r="K68" s="12">
        <f t="shared" si="0"/>
        <v>55.927490399999996</v>
      </c>
      <c r="L68" s="65">
        <v>-14.7776892948062</v>
      </c>
      <c r="M68" s="65">
        <v>-45.462471883835498</v>
      </c>
      <c r="N68" s="56"/>
    </row>
    <row r="69" spans="1:15" s="67" customFormat="1" ht="17.25" x14ac:dyDescent="0.25">
      <c r="A69" s="68" t="s">
        <v>85</v>
      </c>
      <c r="B69" s="68" t="s">
        <v>44</v>
      </c>
      <c r="C69" s="57" t="s">
        <v>180</v>
      </c>
      <c r="D69" s="57" t="s">
        <v>181</v>
      </c>
      <c r="E69" s="57" t="s">
        <v>184</v>
      </c>
      <c r="F69" s="58">
        <v>150.24</v>
      </c>
      <c r="G69" s="63">
        <v>5711</v>
      </c>
      <c r="H69" s="63">
        <v>7044455980</v>
      </c>
      <c r="I69" s="70">
        <v>692.3</v>
      </c>
      <c r="J69" s="11">
        <v>200</v>
      </c>
      <c r="K69" s="12">
        <f t="shared" si="0"/>
        <v>149.1399744</v>
      </c>
      <c r="L69" s="65">
        <v>-14.767454178074701</v>
      </c>
      <c r="M69" s="65">
        <v>-45.467761736822702</v>
      </c>
      <c r="N69" s="56"/>
    </row>
    <row r="70" spans="1:15" s="67" customFormat="1" ht="17.25" x14ac:dyDescent="0.25">
      <c r="A70" s="68" t="s">
        <v>85</v>
      </c>
      <c r="B70" s="68" t="s">
        <v>44</v>
      </c>
      <c r="C70" s="57" t="s">
        <v>49</v>
      </c>
      <c r="D70" s="57" t="s">
        <v>86</v>
      </c>
      <c r="E70" s="57" t="s">
        <v>185</v>
      </c>
      <c r="F70" s="58">
        <v>100.86</v>
      </c>
      <c r="G70" s="63">
        <v>5711</v>
      </c>
      <c r="H70" s="63">
        <v>7044455980</v>
      </c>
      <c r="I70" s="70">
        <v>480.29</v>
      </c>
      <c r="J70" s="68">
        <v>175</v>
      </c>
      <c r="K70" s="12">
        <f t="shared" si="0"/>
        <v>130.4974776</v>
      </c>
      <c r="L70" s="65">
        <v>-14.758986999999999</v>
      </c>
      <c r="M70" s="65">
        <v>-45.449746900000001</v>
      </c>
      <c r="N70" s="56"/>
      <c r="O70" s="67" t="s">
        <v>89</v>
      </c>
    </row>
    <row r="71" spans="1:15" s="67" customFormat="1" ht="17.25" x14ac:dyDescent="0.25">
      <c r="A71" s="68" t="s">
        <v>85</v>
      </c>
      <c r="B71" s="68" t="s">
        <v>44</v>
      </c>
      <c r="C71" s="57" t="s">
        <v>51</v>
      </c>
      <c r="D71" s="57" t="s">
        <v>86</v>
      </c>
      <c r="E71" s="57" t="s">
        <v>186</v>
      </c>
      <c r="F71" s="58">
        <v>80.25</v>
      </c>
      <c r="G71" s="63">
        <v>5711</v>
      </c>
      <c r="H71" s="63">
        <v>7044455980</v>
      </c>
      <c r="I71" s="70">
        <v>382.14</v>
      </c>
      <c r="J71" s="68">
        <v>175</v>
      </c>
      <c r="K71" s="12">
        <f t="shared" ref="K71:K105" si="1">J71*0.745699872</f>
        <v>130.4974776</v>
      </c>
      <c r="L71" s="65">
        <v>-14.755102000000001</v>
      </c>
      <c r="M71" s="65">
        <v>-45.440524500000002</v>
      </c>
      <c r="N71" s="56"/>
      <c r="O71" s="67" t="s">
        <v>89</v>
      </c>
    </row>
    <row r="72" spans="1:15" s="67" customFormat="1" ht="17.25" x14ac:dyDescent="0.25">
      <c r="A72" s="68" t="s">
        <v>85</v>
      </c>
      <c r="B72" s="68" t="s">
        <v>44</v>
      </c>
      <c r="C72" s="57" t="s">
        <v>51</v>
      </c>
      <c r="D72" s="57" t="s">
        <v>86</v>
      </c>
      <c r="E72" s="57" t="s">
        <v>187</v>
      </c>
      <c r="F72" s="58">
        <v>80.25</v>
      </c>
      <c r="G72" s="63">
        <v>5711</v>
      </c>
      <c r="H72" s="63">
        <v>7044455980</v>
      </c>
      <c r="I72" s="70">
        <v>382.14</v>
      </c>
      <c r="J72" s="68">
        <v>175</v>
      </c>
      <c r="K72" s="12">
        <f t="shared" si="1"/>
        <v>130.4974776</v>
      </c>
      <c r="L72" s="65">
        <v>-14.763980399999999</v>
      </c>
      <c r="M72" s="65">
        <v>-45.437451099999997</v>
      </c>
      <c r="N72" s="56"/>
      <c r="O72" s="67" t="s">
        <v>89</v>
      </c>
    </row>
    <row r="73" spans="1:15" s="67" customFormat="1" ht="17.25" x14ac:dyDescent="0.25">
      <c r="A73" s="68" t="s">
        <v>85</v>
      </c>
      <c r="B73" s="68" t="s">
        <v>44</v>
      </c>
      <c r="C73" s="57" t="s">
        <v>53</v>
      </c>
      <c r="D73" s="57" t="s">
        <v>86</v>
      </c>
      <c r="E73" s="57" t="s">
        <v>188</v>
      </c>
      <c r="F73" s="58">
        <v>80.25</v>
      </c>
      <c r="G73" s="63">
        <v>5711</v>
      </c>
      <c r="H73" s="63">
        <v>7044455980</v>
      </c>
      <c r="I73" s="70">
        <v>382.14</v>
      </c>
      <c r="J73" s="68">
        <v>175</v>
      </c>
      <c r="K73" s="12">
        <f t="shared" si="1"/>
        <v>130.4974776</v>
      </c>
      <c r="L73" s="65">
        <v>-14.7270413</v>
      </c>
      <c r="M73" s="65">
        <v>-45.464961899999999</v>
      </c>
      <c r="N73" s="56"/>
      <c r="O73" s="67" t="s">
        <v>89</v>
      </c>
    </row>
    <row r="74" spans="1:15" s="67" customFormat="1" ht="17.25" x14ac:dyDescent="0.25">
      <c r="A74" s="68" t="s">
        <v>85</v>
      </c>
      <c r="B74" s="68" t="s">
        <v>44</v>
      </c>
      <c r="C74" s="57" t="s">
        <v>53</v>
      </c>
      <c r="D74" s="57" t="s">
        <v>86</v>
      </c>
      <c r="E74" s="57" t="s">
        <v>189</v>
      </c>
      <c r="F74" s="58">
        <v>150.24</v>
      </c>
      <c r="G74" s="63">
        <v>5711</v>
      </c>
      <c r="H74" s="63">
        <v>7044455980</v>
      </c>
      <c r="I74" s="70">
        <v>715.43</v>
      </c>
      <c r="J74" s="68">
        <v>175</v>
      </c>
      <c r="K74" s="12">
        <f t="shared" si="1"/>
        <v>130.4974776</v>
      </c>
      <c r="L74" s="65">
        <v>-14.7216264</v>
      </c>
      <c r="M74" s="65">
        <v>-45.454522099999998</v>
      </c>
      <c r="N74" s="56"/>
      <c r="O74" s="67" t="s">
        <v>89</v>
      </c>
    </row>
    <row r="75" spans="1:15" s="67" customFormat="1" ht="17.25" x14ac:dyDescent="0.25">
      <c r="A75" s="68" t="s">
        <v>85</v>
      </c>
      <c r="B75" s="68" t="s">
        <v>44</v>
      </c>
      <c r="C75" s="57" t="s">
        <v>53</v>
      </c>
      <c r="D75" s="57" t="s">
        <v>86</v>
      </c>
      <c r="E75" s="57" t="s">
        <v>190</v>
      </c>
      <c r="F75" s="58">
        <v>40.229999999999997</v>
      </c>
      <c r="G75" s="63">
        <v>5711</v>
      </c>
      <c r="H75" s="63">
        <v>7044455980</v>
      </c>
      <c r="I75" s="70">
        <v>191.57</v>
      </c>
      <c r="J75" s="68">
        <v>40</v>
      </c>
      <c r="K75" s="12">
        <f t="shared" si="1"/>
        <v>29.827994879999999</v>
      </c>
      <c r="L75" s="65">
        <v>-14.7191232</v>
      </c>
      <c r="M75" s="65">
        <v>-45.464137999999998</v>
      </c>
      <c r="N75" s="56"/>
      <c r="O75" s="67" t="s">
        <v>89</v>
      </c>
    </row>
    <row r="76" spans="1:15" s="67" customFormat="1" ht="17.25" x14ac:dyDescent="0.25">
      <c r="A76" s="68" t="s">
        <v>85</v>
      </c>
      <c r="B76" s="68" t="s">
        <v>44</v>
      </c>
      <c r="C76" s="57" t="s">
        <v>53</v>
      </c>
      <c r="D76" s="57" t="s">
        <v>86</v>
      </c>
      <c r="E76" s="57" t="s">
        <v>191</v>
      </c>
      <c r="F76" s="58">
        <v>125.51</v>
      </c>
      <c r="G76" s="63">
        <v>5711</v>
      </c>
      <c r="H76" s="63">
        <v>7044455980</v>
      </c>
      <c r="I76" s="70">
        <v>597.66999999999996</v>
      </c>
      <c r="J76" s="68">
        <v>175</v>
      </c>
      <c r="K76" s="12">
        <f t="shared" si="1"/>
        <v>130.4974776</v>
      </c>
      <c r="L76" s="65">
        <v>-14.7100502</v>
      </c>
      <c r="M76" s="65">
        <v>-45.458460899999999</v>
      </c>
      <c r="N76" s="56"/>
      <c r="O76" s="67" t="s">
        <v>89</v>
      </c>
    </row>
    <row r="77" spans="1:15" s="67" customFormat="1" ht="17.25" x14ac:dyDescent="0.25">
      <c r="A77" s="68" t="s">
        <v>55</v>
      </c>
      <c r="B77" s="68" t="s">
        <v>12</v>
      </c>
      <c r="C77" s="57" t="s">
        <v>61</v>
      </c>
      <c r="D77" s="57" t="s">
        <v>86</v>
      </c>
      <c r="E77" s="57" t="s">
        <v>192</v>
      </c>
      <c r="F77" s="58">
        <v>116.2</v>
      </c>
      <c r="G77" s="63">
        <v>700</v>
      </c>
      <c r="H77" s="63">
        <v>209723891</v>
      </c>
      <c r="I77" s="70">
        <v>552.48</v>
      </c>
      <c r="J77" s="58">
        <v>150</v>
      </c>
      <c r="K77" s="12">
        <f t="shared" si="1"/>
        <v>111.85498079999999</v>
      </c>
      <c r="L77" s="65">
        <v>-14.650410000000001</v>
      </c>
      <c r="M77" s="65">
        <v>-45.241249000000003</v>
      </c>
      <c r="N77" s="56"/>
      <c r="O77" s="67" t="s">
        <v>89</v>
      </c>
    </row>
    <row r="78" spans="1:15" s="67" customFormat="1" ht="17.25" x14ac:dyDescent="0.25">
      <c r="A78" s="68" t="s">
        <v>55</v>
      </c>
      <c r="B78" s="68" t="s">
        <v>12</v>
      </c>
      <c r="C78" s="57" t="s">
        <v>61</v>
      </c>
      <c r="D78" s="57" t="s">
        <v>86</v>
      </c>
      <c r="E78" s="57" t="s">
        <v>193</v>
      </c>
      <c r="F78" s="58">
        <v>102.19</v>
      </c>
      <c r="G78" s="63">
        <v>700</v>
      </c>
      <c r="H78" s="63">
        <v>209723891</v>
      </c>
      <c r="I78" s="70">
        <v>486.62</v>
      </c>
      <c r="J78" s="58">
        <v>125</v>
      </c>
      <c r="K78" s="12">
        <f t="shared" si="1"/>
        <v>93.212484000000003</v>
      </c>
      <c r="L78" s="65">
        <v>-14.636058999999999</v>
      </c>
      <c r="M78" s="65">
        <v>-45.245848000000002</v>
      </c>
      <c r="N78" s="56"/>
      <c r="O78" s="67" t="s">
        <v>89</v>
      </c>
    </row>
    <row r="79" spans="1:15" s="67" customFormat="1" ht="17.25" x14ac:dyDescent="0.25">
      <c r="A79" s="68" t="s">
        <v>55</v>
      </c>
      <c r="B79" s="68" t="s">
        <v>12</v>
      </c>
      <c r="C79" s="57" t="s">
        <v>61</v>
      </c>
      <c r="D79" s="57" t="s">
        <v>86</v>
      </c>
      <c r="E79" s="57" t="s">
        <v>194</v>
      </c>
      <c r="F79" s="60">
        <v>102.01</v>
      </c>
      <c r="G79" s="63">
        <v>700</v>
      </c>
      <c r="H79" s="63">
        <v>209723891</v>
      </c>
      <c r="I79" s="70">
        <v>485.76</v>
      </c>
      <c r="J79" s="58">
        <v>100</v>
      </c>
      <c r="K79" s="12">
        <f t="shared" si="1"/>
        <v>74.5699872</v>
      </c>
      <c r="L79" s="65">
        <v>-14.65171763</v>
      </c>
      <c r="M79" s="65">
        <v>-45.252685550000002</v>
      </c>
      <c r="N79" s="56"/>
      <c r="O79" s="67" t="s">
        <v>89</v>
      </c>
    </row>
    <row r="80" spans="1:15" s="67" customFormat="1" ht="17.25" x14ac:dyDescent="0.25">
      <c r="A80" s="68" t="s">
        <v>55</v>
      </c>
      <c r="B80" s="68" t="s">
        <v>12</v>
      </c>
      <c r="C80" s="57" t="s">
        <v>61</v>
      </c>
      <c r="D80" s="57" t="s">
        <v>86</v>
      </c>
      <c r="E80" s="57" t="s">
        <v>195</v>
      </c>
      <c r="F80" s="62">
        <v>102.01</v>
      </c>
      <c r="G80" s="63">
        <v>700</v>
      </c>
      <c r="H80" s="63">
        <v>209723891</v>
      </c>
      <c r="I80" s="71">
        <v>485.76</v>
      </c>
      <c r="J80" s="58">
        <v>100</v>
      </c>
      <c r="K80" s="12">
        <f t="shared" si="1"/>
        <v>74.5699872</v>
      </c>
      <c r="L80" s="65">
        <v>-14.64100526</v>
      </c>
      <c r="M80" s="65">
        <v>-45.256333349999998</v>
      </c>
      <c r="N80" s="56"/>
      <c r="O80" s="67" t="s">
        <v>89</v>
      </c>
    </row>
    <row r="81" spans="1:15" s="67" customFormat="1" ht="17.25" x14ac:dyDescent="0.25">
      <c r="A81" s="68" t="s">
        <v>55</v>
      </c>
      <c r="B81" s="68" t="s">
        <v>12</v>
      </c>
      <c r="C81" s="57" t="s">
        <v>59</v>
      </c>
      <c r="D81" s="57" t="s">
        <v>86</v>
      </c>
      <c r="E81" s="57" t="s">
        <v>196</v>
      </c>
      <c r="F81" s="58">
        <v>102.01</v>
      </c>
      <c r="G81" s="63">
        <v>2160</v>
      </c>
      <c r="H81" s="63">
        <v>212156183</v>
      </c>
      <c r="I81" s="70">
        <v>485.76</v>
      </c>
      <c r="J81" s="58">
        <v>100</v>
      </c>
      <c r="K81" s="12">
        <f t="shared" si="1"/>
        <v>74.5699872</v>
      </c>
      <c r="L81" s="65">
        <v>-14.656000000000001</v>
      </c>
      <c r="M81" s="65">
        <v>-45.264400000000002</v>
      </c>
      <c r="N81" s="56"/>
      <c r="O81" s="67" t="s">
        <v>89</v>
      </c>
    </row>
    <row r="82" spans="1:15" s="67" customFormat="1" ht="17.25" x14ac:dyDescent="0.25">
      <c r="A82" s="68" t="s">
        <v>55</v>
      </c>
      <c r="B82" s="68" t="s">
        <v>12</v>
      </c>
      <c r="C82" s="57" t="s">
        <v>57</v>
      </c>
      <c r="D82" s="57" t="s">
        <v>86</v>
      </c>
      <c r="E82" s="57" t="s">
        <v>197</v>
      </c>
      <c r="F82" s="58">
        <v>102.01</v>
      </c>
      <c r="G82" s="63">
        <v>2160</v>
      </c>
      <c r="H82" s="63">
        <v>212156183</v>
      </c>
      <c r="I82" s="70">
        <v>485.76</v>
      </c>
      <c r="J82" s="58">
        <v>100</v>
      </c>
      <c r="K82" s="12">
        <f t="shared" si="1"/>
        <v>74.5699872</v>
      </c>
      <c r="L82" s="65">
        <v>-14.645239999999999</v>
      </c>
      <c r="M82" s="65">
        <v>-45.266440000000003</v>
      </c>
      <c r="N82" s="56"/>
      <c r="O82" s="67" t="s">
        <v>89</v>
      </c>
    </row>
    <row r="83" spans="1:15" s="67" customFormat="1" ht="17.25" x14ac:dyDescent="0.25">
      <c r="A83" s="68" t="s">
        <v>55</v>
      </c>
      <c r="B83" s="68" t="s">
        <v>12</v>
      </c>
      <c r="C83" s="57" t="s">
        <v>59</v>
      </c>
      <c r="D83" s="57" t="s">
        <v>86</v>
      </c>
      <c r="E83" s="57" t="s">
        <v>198</v>
      </c>
      <c r="F83" s="58">
        <v>102.01</v>
      </c>
      <c r="G83" s="63">
        <v>2160</v>
      </c>
      <c r="H83" s="63">
        <v>212156183</v>
      </c>
      <c r="I83" s="70">
        <v>485.76</v>
      </c>
      <c r="J83" s="58">
        <v>125</v>
      </c>
      <c r="K83" s="12">
        <f t="shared" si="1"/>
        <v>93.212484000000003</v>
      </c>
      <c r="L83" s="65">
        <v>-14.6601</v>
      </c>
      <c r="M83" s="65">
        <v>-45.2742</v>
      </c>
      <c r="N83" s="56"/>
      <c r="O83" s="67" t="s">
        <v>89</v>
      </c>
    </row>
    <row r="84" spans="1:15" s="67" customFormat="1" ht="17.25" x14ac:dyDescent="0.25">
      <c r="A84" s="68" t="s">
        <v>55</v>
      </c>
      <c r="B84" s="68" t="s">
        <v>12</v>
      </c>
      <c r="C84" s="57" t="s">
        <v>57</v>
      </c>
      <c r="D84" s="57" t="s">
        <v>86</v>
      </c>
      <c r="E84" s="57" t="s">
        <v>199</v>
      </c>
      <c r="F84" s="58">
        <v>102.01</v>
      </c>
      <c r="G84" s="63">
        <v>2160</v>
      </c>
      <c r="H84" s="63">
        <v>212156183</v>
      </c>
      <c r="I84" s="70">
        <v>485.76</v>
      </c>
      <c r="J84" s="58">
        <v>100</v>
      </c>
      <c r="K84" s="12">
        <f t="shared" si="1"/>
        <v>74.5699872</v>
      </c>
      <c r="L84" s="65">
        <v>-14.649136</v>
      </c>
      <c r="M84" s="65">
        <v>-45.276527999999999</v>
      </c>
      <c r="N84" s="56"/>
      <c r="O84" s="67" t="s">
        <v>89</v>
      </c>
    </row>
    <row r="85" spans="1:15" s="67" customFormat="1" ht="17.25" x14ac:dyDescent="0.25">
      <c r="A85" s="68" t="s">
        <v>55</v>
      </c>
      <c r="B85" s="68" t="s">
        <v>12</v>
      </c>
      <c r="C85" s="57" t="s">
        <v>56</v>
      </c>
      <c r="D85" s="57" t="s">
        <v>86</v>
      </c>
      <c r="E85" s="57" t="s">
        <v>200</v>
      </c>
      <c r="F85" s="58">
        <v>102.01</v>
      </c>
      <c r="G85" s="63">
        <v>2160</v>
      </c>
      <c r="H85" s="63">
        <v>212156183</v>
      </c>
      <c r="I85" s="70">
        <v>485.76</v>
      </c>
      <c r="J85" s="58">
        <v>125</v>
      </c>
      <c r="K85" s="12">
        <f t="shared" si="1"/>
        <v>93.212484000000003</v>
      </c>
      <c r="L85" s="65">
        <v>-14.630407</v>
      </c>
      <c r="M85" s="65">
        <v>-45.259343000000001</v>
      </c>
      <c r="N85" s="56"/>
      <c r="O85" s="67" t="s">
        <v>89</v>
      </c>
    </row>
    <row r="86" spans="1:15" s="67" customFormat="1" ht="17.25" x14ac:dyDescent="0.25">
      <c r="A86" s="68" t="s">
        <v>55</v>
      </c>
      <c r="B86" s="68" t="s">
        <v>12</v>
      </c>
      <c r="C86" s="57" t="s">
        <v>61</v>
      </c>
      <c r="D86" s="57" t="s">
        <v>86</v>
      </c>
      <c r="E86" s="57" t="s">
        <v>201</v>
      </c>
      <c r="F86" s="58">
        <v>102.19</v>
      </c>
      <c r="G86" s="63">
        <v>700</v>
      </c>
      <c r="H86" s="63">
        <v>209723891</v>
      </c>
      <c r="I86" s="70">
        <v>485.62</v>
      </c>
      <c r="J86" s="58">
        <v>125</v>
      </c>
      <c r="K86" s="12">
        <f t="shared" si="1"/>
        <v>93.212484000000003</v>
      </c>
      <c r="L86" s="65">
        <v>-14.634950999999999</v>
      </c>
      <c r="M86" s="65">
        <v>-45.268912999999998</v>
      </c>
      <c r="N86" s="56"/>
      <c r="O86" s="67" t="s">
        <v>89</v>
      </c>
    </row>
    <row r="87" spans="1:15" s="67" customFormat="1" ht="17.25" x14ac:dyDescent="0.25">
      <c r="A87" s="68" t="s">
        <v>55</v>
      </c>
      <c r="B87" s="68" t="s">
        <v>31</v>
      </c>
      <c r="C87" s="57" t="s">
        <v>63</v>
      </c>
      <c r="D87" s="57" t="s">
        <v>86</v>
      </c>
      <c r="E87" s="57" t="s">
        <v>202</v>
      </c>
      <c r="F87" s="58">
        <v>150.34</v>
      </c>
      <c r="G87" s="63">
        <v>2160</v>
      </c>
      <c r="H87" s="63">
        <v>212156183</v>
      </c>
      <c r="I87" s="70">
        <v>715.9</v>
      </c>
      <c r="J87" s="58">
        <v>175</v>
      </c>
      <c r="K87" s="12">
        <f t="shared" si="1"/>
        <v>130.4974776</v>
      </c>
      <c r="L87" s="65">
        <v>-14.650916077245</v>
      </c>
      <c r="M87" s="65">
        <v>-45.210244193748998</v>
      </c>
      <c r="N87" s="56"/>
      <c r="O87" s="67" t="s">
        <v>89</v>
      </c>
    </row>
    <row r="88" spans="1:15" s="67" customFormat="1" ht="17.25" x14ac:dyDescent="0.25">
      <c r="A88" s="68" t="s">
        <v>55</v>
      </c>
      <c r="B88" s="68" t="s">
        <v>31</v>
      </c>
      <c r="C88" s="57" t="s">
        <v>63</v>
      </c>
      <c r="D88" s="57" t="s">
        <v>86</v>
      </c>
      <c r="E88" s="57" t="s">
        <v>203</v>
      </c>
      <c r="F88" s="58">
        <v>150.13999999999999</v>
      </c>
      <c r="G88" s="63">
        <v>2160</v>
      </c>
      <c r="H88" s="63">
        <v>212156183</v>
      </c>
      <c r="I88" s="70">
        <v>714.95</v>
      </c>
      <c r="J88" s="58">
        <v>175</v>
      </c>
      <c r="K88" s="12">
        <f t="shared" si="1"/>
        <v>130.4974776</v>
      </c>
      <c r="L88" s="65">
        <v>-14.620799999999999</v>
      </c>
      <c r="M88" s="65">
        <v>-45.222000000000001</v>
      </c>
      <c r="N88" s="56"/>
      <c r="O88" s="67" t="s">
        <v>89</v>
      </c>
    </row>
    <row r="89" spans="1:15" s="67" customFormat="1" ht="17.25" x14ac:dyDescent="0.25">
      <c r="A89" s="68" t="s">
        <v>55</v>
      </c>
      <c r="B89" s="68" t="s">
        <v>31</v>
      </c>
      <c r="C89" s="57" t="s">
        <v>63</v>
      </c>
      <c r="D89" s="57" t="s">
        <v>86</v>
      </c>
      <c r="E89" s="57" t="s">
        <v>204</v>
      </c>
      <c r="F89" s="58">
        <v>120.13</v>
      </c>
      <c r="G89" s="63">
        <v>2160</v>
      </c>
      <c r="H89" s="63">
        <v>212156183</v>
      </c>
      <c r="I89" s="70">
        <v>572.04999999999995</v>
      </c>
      <c r="J89" s="58">
        <v>150</v>
      </c>
      <c r="K89" s="12">
        <f t="shared" si="1"/>
        <v>111.85498079999999</v>
      </c>
      <c r="L89" s="65">
        <v>-14.6425</v>
      </c>
      <c r="M89" s="65">
        <v>-45.204599999999999</v>
      </c>
      <c r="N89" s="56"/>
      <c r="O89" s="67" t="s">
        <v>89</v>
      </c>
    </row>
    <row r="90" spans="1:15" s="67" customFormat="1" ht="17.25" x14ac:dyDescent="0.25">
      <c r="A90" s="68" t="s">
        <v>55</v>
      </c>
      <c r="B90" s="68" t="s">
        <v>31</v>
      </c>
      <c r="C90" s="57" t="s">
        <v>63</v>
      </c>
      <c r="D90" s="57" t="s">
        <v>86</v>
      </c>
      <c r="E90" s="57" t="s">
        <v>205</v>
      </c>
      <c r="F90" s="60">
        <v>150.34</v>
      </c>
      <c r="G90" s="63">
        <v>2160</v>
      </c>
      <c r="H90" s="63">
        <v>212156183</v>
      </c>
      <c r="I90" s="70">
        <v>715.9</v>
      </c>
      <c r="J90" s="58">
        <v>175</v>
      </c>
      <c r="K90" s="12">
        <f t="shared" si="1"/>
        <v>130.4974776</v>
      </c>
      <c r="L90" s="65">
        <v>-14.6297</v>
      </c>
      <c r="M90" s="65">
        <v>-45.210099999999997</v>
      </c>
      <c r="N90" s="56"/>
      <c r="O90" s="67" t="s">
        <v>89</v>
      </c>
    </row>
    <row r="91" spans="1:15" s="67" customFormat="1" ht="17.25" x14ac:dyDescent="0.25">
      <c r="A91" s="68" t="s">
        <v>55</v>
      </c>
      <c r="B91" s="68" t="s">
        <v>31</v>
      </c>
      <c r="C91" s="57" t="s">
        <v>65</v>
      </c>
      <c r="D91" s="57" t="s">
        <v>86</v>
      </c>
      <c r="E91" s="57" t="s">
        <v>206</v>
      </c>
      <c r="F91" s="58">
        <v>150.34</v>
      </c>
      <c r="G91" s="63">
        <v>2160</v>
      </c>
      <c r="H91" s="63">
        <v>212156183</v>
      </c>
      <c r="I91" s="70">
        <v>701.59</v>
      </c>
      <c r="J91" s="58">
        <v>175</v>
      </c>
      <c r="K91" s="12">
        <f t="shared" si="1"/>
        <v>130.4974776</v>
      </c>
      <c r="L91" s="65">
        <v>-14.6408</v>
      </c>
      <c r="M91" s="65">
        <v>-45.192100000000003</v>
      </c>
      <c r="N91" s="56"/>
      <c r="O91" s="67" t="s">
        <v>89</v>
      </c>
    </row>
    <row r="92" spans="1:15" s="67" customFormat="1" ht="17.25" x14ac:dyDescent="0.25">
      <c r="A92" s="68" t="s">
        <v>55</v>
      </c>
      <c r="B92" s="68" t="s">
        <v>31</v>
      </c>
      <c r="C92" s="57" t="s">
        <v>65</v>
      </c>
      <c r="D92" s="57" t="s">
        <v>86</v>
      </c>
      <c r="E92" s="57" t="s">
        <v>207</v>
      </c>
      <c r="F92" s="58">
        <v>150.34</v>
      </c>
      <c r="G92" s="63">
        <v>2160</v>
      </c>
      <c r="H92" s="63">
        <v>212156183</v>
      </c>
      <c r="I92" s="70">
        <v>715.9</v>
      </c>
      <c r="J92" s="58">
        <v>175</v>
      </c>
      <c r="K92" s="12">
        <f t="shared" si="1"/>
        <v>130.4974776</v>
      </c>
      <c r="L92" s="65">
        <v>-14.629</v>
      </c>
      <c r="M92" s="65">
        <v>-45.197000000000003</v>
      </c>
      <c r="N92" s="56"/>
      <c r="O92" s="67" t="s">
        <v>89</v>
      </c>
    </row>
    <row r="93" spans="1:15" s="67" customFormat="1" ht="17.25" x14ac:dyDescent="0.25">
      <c r="A93" s="68" t="s">
        <v>55</v>
      </c>
      <c r="B93" s="68" t="s">
        <v>31</v>
      </c>
      <c r="C93" s="57" t="s">
        <v>65</v>
      </c>
      <c r="D93" s="57" t="s">
        <v>86</v>
      </c>
      <c r="E93" s="57" t="s">
        <v>208</v>
      </c>
      <c r="F93" s="58">
        <v>150.13999999999999</v>
      </c>
      <c r="G93" s="63">
        <v>2160</v>
      </c>
      <c r="H93" s="63">
        <v>212156183</v>
      </c>
      <c r="I93" s="70">
        <v>694.93</v>
      </c>
      <c r="J93" s="58">
        <v>175</v>
      </c>
      <c r="K93" s="12">
        <f t="shared" si="1"/>
        <v>130.4974776</v>
      </c>
      <c r="L93" s="65">
        <v>-14.6395</v>
      </c>
      <c r="M93" s="65">
        <v>-45.179299999999998</v>
      </c>
      <c r="N93" s="56"/>
      <c r="O93" s="67" t="s">
        <v>89</v>
      </c>
    </row>
    <row r="94" spans="1:15" s="67" customFormat="1" ht="17.25" x14ac:dyDescent="0.25">
      <c r="A94" s="68" t="s">
        <v>55</v>
      </c>
      <c r="B94" s="68" t="s">
        <v>31</v>
      </c>
      <c r="C94" s="57" t="s">
        <v>65</v>
      </c>
      <c r="D94" s="57" t="s">
        <v>86</v>
      </c>
      <c r="E94" s="57" t="s">
        <v>209</v>
      </c>
      <c r="F94" s="58">
        <v>150.34</v>
      </c>
      <c r="G94" s="63">
        <v>2160</v>
      </c>
      <c r="H94" s="63">
        <v>212156183</v>
      </c>
      <c r="I94" s="70">
        <v>715.9</v>
      </c>
      <c r="J94" s="58">
        <v>200</v>
      </c>
      <c r="K94" s="12">
        <f t="shared" si="1"/>
        <v>149.1399744</v>
      </c>
      <c r="L94" s="65">
        <v>-14.6274</v>
      </c>
      <c r="M94" s="65">
        <v>-45.184199999999997</v>
      </c>
      <c r="N94" s="56"/>
      <c r="O94" s="67" t="s">
        <v>89</v>
      </c>
    </row>
    <row r="95" spans="1:15" s="67" customFormat="1" ht="17.25" x14ac:dyDescent="0.25">
      <c r="A95" s="68" t="s">
        <v>55</v>
      </c>
      <c r="B95" s="68" t="s">
        <v>31</v>
      </c>
      <c r="C95" s="57" t="s">
        <v>67</v>
      </c>
      <c r="D95" s="57" t="s">
        <v>86</v>
      </c>
      <c r="E95" s="57" t="s">
        <v>210</v>
      </c>
      <c r="F95" s="58">
        <v>150.34</v>
      </c>
      <c r="G95" s="63">
        <v>2160</v>
      </c>
      <c r="H95" s="63">
        <v>212156183</v>
      </c>
      <c r="I95" s="70">
        <v>715.9</v>
      </c>
      <c r="J95" s="58">
        <v>200</v>
      </c>
      <c r="K95" s="12">
        <f t="shared" si="1"/>
        <v>149.1399744</v>
      </c>
      <c r="L95" s="65">
        <v>-14.638299999999999</v>
      </c>
      <c r="M95" s="65">
        <v>-45.166400000000003</v>
      </c>
      <c r="N95" s="56"/>
      <c r="O95" s="67" t="s">
        <v>89</v>
      </c>
    </row>
    <row r="96" spans="1:15" s="67" customFormat="1" ht="17.25" x14ac:dyDescent="0.25">
      <c r="A96" s="68" t="s">
        <v>55</v>
      </c>
      <c r="B96" s="68" t="s">
        <v>31</v>
      </c>
      <c r="C96" s="57" t="s">
        <v>67</v>
      </c>
      <c r="D96" s="57" t="s">
        <v>86</v>
      </c>
      <c r="E96" s="57" t="s">
        <v>211</v>
      </c>
      <c r="F96" s="58">
        <v>150.34</v>
      </c>
      <c r="G96" s="63">
        <v>2160</v>
      </c>
      <c r="H96" s="63">
        <v>212156183</v>
      </c>
      <c r="I96" s="70">
        <v>715.9</v>
      </c>
      <c r="J96" s="58">
        <v>175</v>
      </c>
      <c r="K96" s="12">
        <f t="shared" si="1"/>
        <v>130.4974776</v>
      </c>
      <c r="L96" s="65">
        <v>-14.626300000000001</v>
      </c>
      <c r="M96" s="65">
        <v>-45.171199999999999</v>
      </c>
      <c r="N96" s="56"/>
      <c r="O96" s="67" t="s">
        <v>89</v>
      </c>
    </row>
    <row r="97" spans="1:15" s="67" customFormat="1" ht="17.25" x14ac:dyDescent="0.25">
      <c r="A97" s="68" t="s">
        <v>55</v>
      </c>
      <c r="B97" s="68" t="s">
        <v>31</v>
      </c>
      <c r="C97" s="57" t="s">
        <v>67</v>
      </c>
      <c r="D97" s="57" t="s">
        <v>86</v>
      </c>
      <c r="E97" s="57" t="s">
        <v>212</v>
      </c>
      <c r="F97" s="58">
        <v>150.13999999999999</v>
      </c>
      <c r="G97" s="63">
        <v>2160</v>
      </c>
      <c r="H97" s="63">
        <v>212156183</v>
      </c>
      <c r="I97" s="70">
        <v>714.95</v>
      </c>
      <c r="J97" s="58">
        <v>200</v>
      </c>
      <c r="K97" s="12">
        <f t="shared" si="1"/>
        <v>149.1399744</v>
      </c>
      <c r="L97" s="65">
        <v>-14.637957363841</v>
      </c>
      <c r="M97" s="65">
        <v>-45.153328338622998</v>
      </c>
      <c r="N97" s="56"/>
      <c r="O97" s="67" t="s">
        <v>89</v>
      </c>
    </row>
    <row r="98" spans="1:15" s="67" customFormat="1" ht="17.25" x14ac:dyDescent="0.25">
      <c r="A98" s="68" t="s">
        <v>55</v>
      </c>
      <c r="B98" s="68" t="s">
        <v>31</v>
      </c>
      <c r="C98" s="57" t="s">
        <v>67</v>
      </c>
      <c r="D98" s="57" t="s">
        <v>86</v>
      </c>
      <c r="E98" s="57" t="s">
        <v>213</v>
      </c>
      <c r="F98" s="58">
        <v>150.34</v>
      </c>
      <c r="G98" s="63">
        <v>2160</v>
      </c>
      <c r="H98" s="63">
        <v>212156183</v>
      </c>
      <c r="I98" s="70">
        <v>715.9</v>
      </c>
      <c r="J98" s="58">
        <v>175</v>
      </c>
      <c r="K98" s="12">
        <f t="shared" si="1"/>
        <v>130.4974776</v>
      </c>
      <c r="L98" s="65">
        <v>-14.624700000000001</v>
      </c>
      <c r="M98" s="65">
        <v>-45.157699999999998</v>
      </c>
      <c r="N98" s="56"/>
      <c r="O98" s="67" t="s">
        <v>89</v>
      </c>
    </row>
    <row r="99" spans="1:15" s="67" customFormat="1" ht="17.25" x14ac:dyDescent="0.25">
      <c r="A99" s="68" t="s">
        <v>55</v>
      </c>
      <c r="B99" s="68" t="s">
        <v>31</v>
      </c>
      <c r="C99" s="57" t="s">
        <v>67</v>
      </c>
      <c r="D99" s="57" t="s">
        <v>86</v>
      </c>
      <c r="E99" s="57" t="s">
        <v>214</v>
      </c>
      <c r="F99" s="58">
        <v>150.13999999999999</v>
      </c>
      <c r="G99" s="63">
        <v>2160</v>
      </c>
      <c r="H99" s="63">
        <v>212156183</v>
      </c>
      <c r="I99" s="70">
        <v>700.65</v>
      </c>
      <c r="J99" s="58">
        <v>175</v>
      </c>
      <c r="K99" s="12">
        <f t="shared" si="1"/>
        <v>130.4974776</v>
      </c>
      <c r="L99" s="65">
        <v>-14.6127</v>
      </c>
      <c r="M99" s="65">
        <v>-45.162700000000001</v>
      </c>
      <c r="N99" s="56"/>
      <c r="O99" s="67" t="s">
        <v>89</v>
      </c>
    </row>
    <row r="100" spans="1:15" s="67" customFormat="1" ht="17.25" x14ac:dyDescent="0.25">
      <c r="A100" s="68" t="s">
        <v>55</v>
      </c>
      <c r="B100" s="68" t="s">
        <v>31</v>
      </c>
      <c r="C100" s="57" t="s">
        <v>67</v>
      </c>
      <c r="D100" s="57" t="s">
        <v>86</v>
      </c>
      <c r="E100" s="57" t="s">
        <v>215</v>
      </c>
      <c r="F100" s="58">
        <v>100.79</v>
      </c>
      <c r="G100" s="63">
        <v>2160</v>
      </c>
      <c r="H100" s="63">
        <v>212156183</v>
      </c>
      <c r="I100" s="70">
        <v>479.95</v>
      </c>
      <c r="J100" s="58">
        <v>175</v>
      </c>
      <c r="K100" s="12">
        <f t="shared" si="1"/>
        <v>130.4974776</v>
      </c>
      <c r="L100" s="65">
        <v>-14.6021</v>
      </c>
      <c r="M100" s="65">
        <v>-45.174500000000002</v>
      </c>
      <c r="N100" s="56"/>
      <c r="O100" s="67" t="s">
        <v>89</v>
      </c>
    </row>
    <row r="101" spans="1:15" s="67" customFormat="1" ht="17.25" x14ac:dyDescent="0.25">
      <c r="A101" s="68" t="s">
        <v>55</v>
      </c>
      <c r="B101" s="68" t="s">
        <v>31</v>
      </c>
      <c r="C101" s="57" t="s">
        <v>67</v>
      </c>
      <c r="D101" s="57" t="s">
        <v>86</v>
      </c>
      <c r="E101" s="57" t="s">
        <v>216</v>
      </c>
      <c r="F101" s="58">
        <v>140.57</v>
      </c>
      <c r="G101" s="63">
        <v>2160</v>
      </c>
      <c r="H101" s="63">
        <v>212156183</v>
      </c>
      <c r="I101" s="70">
        <v>669.39</v>
      </c>
      <c r="J101" s="58">
        <v>175</v>
      </c>
      <c r="K101" s="12">
        <f t="shared" si="1"/>
        <v>130.4974776</v>
      </c>
      <c r="L101" s="65">
        <v>-14.6142</v>
      </c>
      <c r="M101" s="65">
        <v>-45.173999999999999</v>
      </c>
      <c r="N101" s="56"/>
      <c r="O101" s="67" t="s">
        <v>89</v>
      </c>
    </row>
    <row r="102" spans="1:15" s="67" customFormat="1" ht="17.25" x14ac:dyDescent="0.25">
      <c r="A102" s="68" t="s">
        <v>55</v>
      </c>
      <c r="B102" s="68" t="s">
        <v>31</v>
      </c>
      <c r="C102" s="57" t="s">
        <v>67</v>
      </c>
      <c r="D102" s="57" t="s">
        <v>86</v>
      </c>
      <c r="E102" s="57" t="s">
        <v>217</v>
      </c>
      <c r="F102" s="58">
        <v>102.43</v>
      </c>
      <c r="G102" s="63">
        <v>2160</v>
      </c>
      <c r="H102" s="63">
        <v>212156183</v>
      </c>
      <c r="I102" s="70">
        <v>487.76</v>
      </c>
      <c r="J102" s="58">
        <v>200</v>
      </c>
      <c r="K102" s="12">
        <f t="shared" si="1"/>
        <v>149.1399744</v>
      </c>
      <c r="L102" s="65">
        <v>-14.8041</v>
      </c>
      <c r="M102" s="65">
        <v>-45.184600000000003</v>
      </c>
      <c r="N102" s="56"/>
      <c r="O102" s="67" t="s">
        <v>89</v>
      </c>
    </row>
    <row r="103" spans="1:15" s="67" customFormat="1" ht="17.25" x14ac:dyDescent="0.25">
      <c r="A103" s="68" t="s">
        <v>55</v>
      </c>
      <c r="B103" s="68" t="s">
        <v>31</v>
      </c>
      <c r="C103" s="57" t="s">
        <v>65</v>
      </c>
      <c r="D103" s="57" t="s">
        <v>86</v>
      </c>
      <c r="E103" s="57" t="s">
        <v>218</v>
      </c>
      <c r="F103" s="58">
        <v>140.57</v>
      </c>
      <c r="G103" s="63">
        <v>2160</v>
      </c>
      <c r="H103" s="63">
        <v>212156183</v>
      </c>
      <c r="I103" s="70">
        <v>669.39</v>
      </c>
      <c r="J103" s="58">
        <v>175</v>
      </c>
      <c r="K103" s="12">
        <f t="shared" si="1"/>
        <v>130.4974776</v>
      </c>
      <c r="L103" s="65">
        <v>-14.6151</v>
      </c>
      <c r="M103" s="65">
        <v>-45.187600000000003</v>
      </c>
      <c r="N103" s="56"/>
      <c r="O103" s="67" t="s">
        <v>89</v>
      </c>
    </row>
    <row r="104" spans="1:15" s="67" customFormat="1" ht="17.25" x14ac:dyDescent="0.25">
      <c r="A104" s="68" t="s">
        <v>55</v>
      </c>
      <c r="B104" s="68" t="s">
        <v>31</v>
      </c>
      <c r="C104" s="57" t="s">
        <v>65</v>
      </c>
      <c r="D104" s="57" t="s">
        <v>86</v>
      </c>
      <c r="E104" s="57" t="s">
        <v>219</v>
      </c>
      <c r="F104" s="58">
        <v>102.43</v>
      </c>
      <c r="G104" s="63">
        <v>2160</v>
      </c>
      <c r="H104" s="63">
        <v>212156183</v>
      </c>
      <c r="I104" s="70">
        <v>487.76</v>
      </c>
      <c r="J104" s="58">
        <v>200</v>
      </c>
      <c r="K104" s="12">
        <f t="shared" si="1"/>
        <v>149.1399744</v>
      </c>
      <c r="L104" s="65">
        <v>-14.6051</v>
      </c>
      <c r="M104" s="65">
        <v>-45.195099999999996</v>
      </c>
      <c r="N104" s="56"/>
      <c r="O104" s="67" t="s">
        <v>89</v>
      </c>
    </row>
    <row r="105" spans="1:15" s="67" customFormat="1" ht="17.25" x14ac:dyDescent="0.25">
      <c r="A105" s="68" t="s">
        <v>55</v>
      </c>
      <c r="B105" s="68" t="s">
        <v>31</v>
      </c>
      <c r="C105" s="57" t="s">
        <v>65</v>
      </c>
      <c r="D105" s="57" t="s">
        <v>86</v>
      </c>
      <c r="E105" s="57" t="s">
        <v>220</v>
      </c>
      <c r="F105" s="58">
        <v>150.13999999999999</v>
      </c>
      <c r="G105" s="63">
        <v>2160</v>
      </c>
      <c r="H105" s="63">
        <v>212156183</v>
      </c>
      <c r="I105" s="70">
        <v>714.95</v>
      </c>
      <c r="J105" s="58">
        <v>200</v>
      </c>
      <c r="K105" s="12">
        <f t="shared" si="1"/>
        <v>149.1399744</v>
      </c>
      <c r="L105" s="65">
        <v>-14.616199999999999</v>
      </c>
      <c r="M105" s="65">
        <v>-45.200299999999999</v>
      </c>
      <c r="N105" s="56"/>
      <c r="O105" s="67" t="s">
        <v>89</v>
      </c>
    </row>
    <row r="106" spans="1:15" s="67" customFormat="1" ht="17.25" x14ac:dyDescent="0.25">
      <c r="A106" s="68" t="s">
        <v>55</v>
      </c>
      <c r="B106" s="68" t="s">
        <v>31</v>
      </c>
      <c r="C106" s="57" t="s">
        <v>63</v>
      </c>
      <c r="D106" s="57" t="s">
        <v>86</v>
      </c>
      <c r="E106" s="57" t="s">
        <v>221</v>
      </c>
      <c r="F106" s="58">
        <v>100.1</v>
      </c>
      <c r="G106" s="63">
        <v>2160</v>
      </c>
      <c r="H106" s="63">
        <v>212156184</v>
      </c>
      <c r="I106" s="70">
        <v>762.67</v>
      </c>
      <c r="J106" s="58">
        <v>200</v>
      </c>
      <c r="K106" s="12">
        <f>J106*0.745699872</f>
        <v>149.1399744</v>
      </c>
      <c r="L106" s="65">
        <v>-14.618266800000001</v>
      </c>
      <c r="M106" s="65">
        <v>-45.211905299999998</v>
      </c>
      <c r="N106" s="56"/>
    </row>
    <row r="107" spans="1:15" s="67" customFormat="1" ht="17.25" x14ac:dyDescent="0.25">
      <c r="A107" s="68" t="s">
        <v>55</v>
      </c>
      <c r="B107" s="68" t="s">
        <v>31</v>
      </c>
      <c r="C107" s="57" t="s">
        <v>63</v>
      </c>
      <c r="D107" s="57" t="s">
        <v>86</v>
      </c>
      <c r="E107" s="57" t="s">
        <v>222</v>
      </c>
      <c r="F107" s="58">
        <v>100.1</v>
      </c>
      <c r="G107" s="63">
        <v>2160</v>
      </c>
      <c r="H107" s="63">
        <v>212156185</v>
      </c>
      <c r="I107" s="70">
        <v>762.67</v>
      </c>
      <c r="J107" s="58">
        <v>200</v>
      </c>
      <c r="K107" s="12">
        <f>J107*0.745699872</f>
        <v>149.1399744</v>
      </c>
      <c r="L107" s="65">
        <v>-14.619263200000001</v>
      </c>
      <c r="M107" s="65">
        <v>-45.222509100000003</v>
      </c>
      <c r="N107" s="56"/>
    </row>
    <row r="108" spans="1:15" s="67" customFormat="1" ht="17.25" x14ac:dyDescent="0.25">
      <c r="A108" s="68" t="s">
        <v>55</v>
      </c>
      <c r="B108" s="68" t="s">
        <v>31</v>
      </c>
      <c r="C108" s="57" t="s">
        <v>67</v>
      </c>
      <c r="D108" s="57" t="s">
        <v>86</v>
      </c>
      <c r="E108" s="57" t="s">
        <v>223</v>
      </c>
      <c r="F108" s="58">
        <v>101.12</v>
      </c>
      <c r="G108" s="63">
        <v>2160</v>
      </c>
      <c r="H108" s="63">
        <v>212156183</v>
      </c>
      <c r="I108" s="70">
        <v>481.52</v>
      </c>
      <c r="J108" s="58">
        <v>200</v>
      </c>
      <c r="K108" s="12">
        <f>J108*0.745699872</f>
        <v>149.1399744</v>
      </c>
      <c r="L108" s="65">
        <v>-14.504799999999999</v>
      </c>
      <c r="M108" s="65">
        <v>-45.167499999999997</v>
      </c>
      <c r="N108" s="56"/>
      <c r="O108" s="67" t="s">
        <v>89</v>
      </c>
    </row>
  </sheetData>
  <autoFilter ref="A2:R108" xr:uid="{9B606028-549A-4FE3-AD27-442C19F9012D}"/>
  <sortState xmlns:xlrd2="http://schemas.microsoft.com/office/spreadsheetml/2017/richdata2" ref="J6:J76">
    <sortCondition ref="J2:J76"/>
  </sortState>
  <mergeCells count="2">
    <mergeCell ref="A1:K1"/>
    <mergeCell ref="L1:M1"/>
  </mergeCells>
  <phoneticPr fontId="1" type="noConversion"/>
  <hyperlinks>
    <hyperlink ref="N45" r:id="rId1" xr:uid="{961E7185-C658-40FE-8837-BE6FBAF36533}"/>
    <hyperlink ref="N3" r:id="rId2" xr:uid="{CC95C330-F366-4004-8E13-56B321F971CA}"/>
    <hyperlink ref="N4" r:id="rId3" xr:uid="{F5D3026D-66A1-44A1-AAED-41629B6621EF}"/>
    <hyperlink ref="N5" r:id="rId4" xr:uid="{AD394A7A-0E20-44C3-AC03-075527393D9C}"/>
    <hyperlink ref="N6" r:id="rId5" xr:uid="{CCB945CD-7943-477D-9E4F-7320FF5DC833}"/>
    <hyperlink ref="N7" r:id="rId6" xr:uid="{E2E1788B-DC53-4555-832B-0CDC07BF55BA}"/>
    <hyperlink ref="N8" r:id="rId7" xr:uid="{DEA76C2F-FC22-42E2-BE0D-022DF7FAFA7D}"/>
    <hyperlink ref="N9" r:id="rId8" xr:uid="{043E6B2F-0530-479A-894F-49F77503F3FA}"/>
    <hyperlink ref="N10" r:id="rId9" xr:uid="{67D8BBE4-1882-4C25-B333-FC3E64251FBF}"/>
    <hyperlink ref="N11" r:id="rId10" xr:uid="{96C404AC-29DF-4444-BDF8-368EB006F920}"/>
    <hyperlink ref="N12" r:id="rId11" xr:uid="{A84F830F-43EB-4EDD-9078-3C0D4590C648}"/>
    <hyperlink ref="N13" r:id="rId12" xr:uid="{04C42C03-F9D6-46AF-B03D-0ACDE81CF167}"/>
    <hyperlink ref="N14" r:id="rId13" xr:uid="{CC01DDCC-E2E4-4A32-AA14-74D73A9A3CD6}"/>
    <hyperlink ref="N15" r:id="rId14" xr:uid="{56FF9F95-BF92-4E0B-9726-0F769BCEF1D6}"/>
    <hyperlink ref="N16" r:id="rId15" xr:uid="{CBD7EF7E-BD4D-415B-BB52-FF25A44704CC}"/>
    <hyperlink ref="N25" r:id="rId16" xr:uid="{FA500DD9-DE1A-4AB8-A273-07B62C2F02E2}"/>
    <hyperlink ref="N26" r:id="rId17" xr:uid="{B79C4CA1-8A33-47BA-AF96-A1F26F6A9281}"/>
    <hyperlink ref="N28" r:id="rId18" xr:uid="{A0FF039B-98CB-4788-93DD-5E84EA0F8FC1}"/>
    <hyperlink ref="N32" r:id="rId19" xr:uid="{28B36FC8-590F-467C-9611-62FAD897B1AA}"/>
    <hyperlink ref="N33" r:id="rId20" xr:uid="{35165791-744D-4BF4-B147-E6D5C8117603}"/>
    <hyperlink ref="N34" r:id="rId21" xr:uid="{724BE498-DC11-4496-B228-C75B78DC46DE}"/>
    <hyperlink ref="N35" r:id="rId22" xr:uid="{9894834E-CE0D-4CDE-B58A-B70E7C34C6F9}"/>
    <hyperlink ref="N37" r:id="rId23" xr:uid="{EFC63F66-9F68-4C3C-AFED-4C262D13398C}"/>
    <hyperlink ref="N44" r:id="rId24" display="../../../../../:b:/s/arquivos/EdICg6aqzQJKsx7c-b-FZiYBHadSPtMl4zTiR5pC3aTmOg?e=XghfSl" xr:uid="{D99E44FC-70DD-467A-8EDC-F22F1D0DAC3B}"/>
    <hyperlink ref="N47" r:id="rId25" display="https://santacolombaagropecuaria-my.sharepoint.com/personal/kalito_silva_santacolomba_com_br/_layouts/15/onedrive.aspx?listurl=https%3A%2F%2Fsantacolombaagropecuaria%2Esharepoint%2Ecom%2Fsites%2Farquivos%2FDocumentos%20Compartilhados&amp;viewid=2374a7f6%2Dbf6e%2D4e97%2Daa43%2D02125f898828&amp;id=%2Fsites%2Farquivos%2FDocumentos%20Compartilhados%2FSistema%20de%20Irrigacao%2FSuporte%20Irriga%C3%A7%C3%A3o%2FLeonardo%2FTeste%20de%20uniformidade%2FTeste%20de%20uniformidade%20e%20aplica%C3%A7%C3%A3o%20%20PC%2046%2Epdf&amp;parent=%2Fsites%2Farquivos%2FDocumentos%20Compartilhados%2FSistema%20de%20Irrigacao%2FSuporte%20Irriga%C3%A7%C3%A3o%2FLeonardo%2FTeste%20de%20uniformidade" xr:uid="{9EA5B6EE-1B3A-42FD-81A7-F2245033EB1C}"/>
  </hyperlinks>
  <pageMargins left="0.511811024" right="0.511811024" top="0.78740157499999996" bottom="0.78740157499999996" header="0.31496062000000002" footer="0.31496062000000002"/>
  <pageSetup paperSize="9" orientation="portrait" r:id="rId2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1208-739E-4003-84E8-E0AC4593E64F}">
  <sheetPr codeName="Planilha3"/>
  <dimension ref="A1:O112"/>
  <sheetViews>
    <sheetView showGridLines="0" workbookViewId="0">
      <pane ySplit="2" topLeftCell="A3" activePane="bottomLeft" state="frozen"/>
      <selection activeCell="B1" sqref="B1"/>
      <selection pane="bottomLeft" activeCell="A122" sqref="A122"/>
    </sheetView>
  </sheetViews>
  <sheetFormatPr defaultRowHeight="15" x14ac:dyDescent="0.25"/>
  <cols>
    <col min="1" max="1" width="12.85546875" customWidth="1"/>
    <col min="2" max="2" width="13.5703125" style="14" customWidth="1"/>
    <col min="3" max="3" width="20.42578125" bestFit="1" customWidth="1"/>
    <col min="4" max="4" width="11.5703125" customWidth="1"/>
    <col min="5" max="5" width="14.42578125" customWidth="1"/>
    <col min="6" max="6" width="14.140625" customWidth="1"/>
    <col min="7" max="7" width="14.85546875" customWidth="1"/>
    <col min="8" max="8" width="19" customWidth="1"/>
    <col min="9" max="9" width="15.5703125" customWidth="1"/>
    <col min="10" max="10" width="16.42578125" customWidth="1"/>
    <col min="11" max="11" width="23.5703125" customWidth="1"/>
    <col min="12" max="12" width="14.5703125" bestFit="1" customWidth="1"/>
    <col min="13" max="13" width="11.42578125" customWidth="1"/>
    <col min="14" max="14" width="10.5703125" customWidth="1"/>
    <col min="15" max="15" width="14.140625" bestFit="1" customWidth="1"/>
  </cols>
  <sheetData>
    <row r="1" spans="1:15" ht="32.25" customHeight="1" x14ac:dyDescent="0.25">
      <c r="A1" s="80" t="s">
        <v>224</v>
      </c>
      <c r="B1" s="80"/>
      <c r="C1" s="80"/>
      <c r="D1" s="80"/>
      <c r="E1" s="80"/>
      <c r="F1" s="80"/>
      <c r="G1" s="80"/>
      <c r="H1" s="80"/>
      <c r="I1" s="80"/>
      <c r="J1" s="81" t="s">
        <v>70</v>
      </c>
      <c r="K1" s="81"/>
      <c r="M1" s="50" t="s">
        <v>71</v>
      </c>
      <c r="N1" s="54" t="s">
        <v>72</v>
      </c>
      <c r="O1" s="55" t="s">
        <v>73</v>
      </c>
    </row>
    <row r="2" spans="1:15" s="46" customFormat="1" x14ac:dyDescent="0.25">
      <c r="A2" s="44" t="s">
        <v>1</v>
      </c>
      <c r="B2" s="44" t="s">
        <v>2</v>
      </c>
      <c r="C2" s="45" t="s">
        <v>225</v>
      </c>
      <c r="D2" s="45" t="s">
        <v>226</v>
      </c>
      <c r="E2" s="45" t="s">
        <v>227</v>
      </c>
      <c r="F2" s="45" t="s">
        <v>78</v>
      </c>
      <c r="G2" s="44" t="s">
        <v>7</v>
      </c>
      <c r="H2" s="44" t="s">
        <v>228</v>
      </c>
      <c r="I2" s="44" t="s">
        <v>80</v>
      </c>
      <c r="J2" s="9" t="s">
        <v>81</v>
      </c>
      <c r="K2" s="9" t="s">
        <v>82</v>
      </c>
      <c r="L2" s="51" t="s">
        <v>84</v>
      </c>
      <c r="M2" s="52">
        <f>SUBTOTAL(9,I2:I1048576,Infor_Pivos!K2:K1048576)</f>
        <v>36333.87878280133</v>
      </c>
      <c r="N2" s="53">
        <f>SUBTOTAL(9,Infor_Pivos!K2:K1048576)</f>
        <v>13951.150042481268</v>
      </c>
      <c r="O2" s="53">
        <f>SUBTOTAL(9,I2:I1048576)</f>
        <v>22382.728740319988</v>
      </c>
    </row>
    <row r="3" spans="1:15" ht="17.25" x14ac:dyDescent="0.3">
      <c r="A3" s="6" t="s">
        <v>229</v>
      </c>
      <c r="B3" s="17" t="s">
        <v>12</v>
      </c>
      <c r="C3" s="1" t="s">
        <v>230</v>
      </c>
      <c r="D3" s="1" t="s">
        <v>231</v>
      </c>
      <c r="E3" s="1">
        <v>10300</v>
      </c>
      <c r="F3" s="2">
        <v>7024725710</v>
      </c>
      <c r="G3" s="1">
        <v>803</v>
      </c>
      <c r="H3" s="7">
        <f>I3/0.745699872</f>
        <v>246.74806434726062</v>
      </c>
      <c r="I3" s="1">
        <v>184</v>
      </c>
      <c r="J3" s="20"/>
      <c r="K3" s="20"/>
    </row>
    <row r="4" spans="1:15" ht="17.25" x14ac:dyDescent="0.3">
      <c r="A4" s="6" t="s">
        <v>229</v>
      </c>
      <c r="B4" s="17" t="s">
        <v>12</v>
      </c>
      <c r="C4" s="1" t="s">
        <v>230</v>
      </c>
      <c r="D4" s="1" t="s">
        <v>232</v>
      </c>
      <c r="E4" s="1">
        <v>10300</v>
      </c>
      <c r="F4" s="2">
        <v>7024725710</v>
      </c>
      <c r="G4" s="1">
        <v>803</v>
      </c>
      <c r="H4" s="7">
        <f t="shared" ref="H4:H67" si="0">I4/0.745699872</f>
        <v>246.74806434726062</v>
      </c>
      <c r="I4" s="1">
        <v>184</v>
      </c>
      <c r="J4" s="20"/>
      <c r="K4" s="20"/>
    </row>
    <row r="5" spans="1:15" ht="17.25" x14ac:dyDescent="0.3">
      <c r="A5" s="6" t="s">
        <v>229</v>
      </c>
      <c r="B5" s="17" t="s">
        <v>12</v>
      </c>
      <c r="C5" s="1" t="s">
        <v>230</v>
      </c>
      <c r="D5" s="1" t="s">
        <v>233</v>
      </c>
      <c r="E5" s="1">
        <v>10300</v>
      </c>
      <c r="F5" s="2">
        <v>7024725710</v>
      </c>
      <c r="G5" s="1">
        <v>803</v>
      </c>
      <c r="H5" s="7">
        <f t="shared" si="0"/>
        <v>246.74806434726062</v>
      </c>
      <c r="I5" s="1">
        <v>184</v>
      </c>
      <c r="J5" s="20"/>
      <c r="K5" s="20"/>
    </row>
    <row r="6" spans="1:15" ht="17.25" x14ac:dyDescent="0.3">
      <c r="A6" s="6" t="s">
        <v>229</v>
      </c>
      <c r="B6" s="17" t="s">
        <v>12</v>
      </c>
      <c r="C6" s="1" t="s">
        <v>234</v>
      </c>
      <c r="D6" s="1" t="s">
        <v>231</v>
      </c>
      <c r="E6" s="1">
        <v>10300</v>
      </c>
      <c r="F6" s="2">
        <v>7024725710</v>
      </c>
      <c r="G6" s="1">
        <v>786</v>
      </c>
      <c r="H6" s="7">
        <f t="shared" si="0"/>
        <v>246.74806434726062</v>
      </c>
      <c r="I6" s="1">
        <v>184</v>
      </c>
      <c r="J6" s="20"/>
      <c r="K6" s="20"/>
    </row>
    <row r="7" spans="1:15" ht="17.25" x14ac:dyDescent="0.3">
      <c r="A7" s="6" t="s">
        <v>229</v>
      </c>
      <c r="B7" s="17" t="s">
        <v>12</v>
      </c>
      <c r="C7" s="1" t="s">
        <v>234</v>
      </c>
      <c r="D7" s="1" t="s">
        <v>232</v>
      </c>
      <c r="E7" s="1">
        <v>10300</v>
      </c>
      <c r="F7" s="2">
        <v>7024725710</v>
      </c>
      <c r="G7" s="1">
        <v>786</v>
      </c>
      <c r="H7" s="7">
        <f t="shared" si="0"/>
        <v>246.74806434726062</v>
      </c>
      <c r="I7" s="1">
        <v>184</v>
      </c>
      <c r="J7" s="20"/>
      <c r="K7" s="20"/>
    </row>
    <row r="8" spans="1:15" ht="17.25" x14ac:dyDescent="0.3">
      <c r="A8" s="6" t="s">
        <v>229</v>
      </c>
      <c r="B8" s="17" t="s">
        <v>12</v>
      </c>
      <c r="C8" s="1" t="s">
        <v>234</v>
      </c>
      <c r="D8" s="1" t="s">
        <v>233</v>
      </c>
      <c r="E8" s="1">
        <v>10300</v>
      </c>
      <c r="F8" s="2">
        <v>7024725710</v>
      </c>
      <c r="G8" s="1">
        <v>786</v>
      </c>
      <c r="H8" s="7">
        <f t="shared" si="0"/>
        <v>246.74806434726062</v>
      </c>
      <c r="I8" s="1">
        <v>184</v>
      </c>
      <c r="J8" s="20"/>
      <c r="K8" s="20"/>
    </row>
    <row r="9" spans="1:15" ht="17.25" x14ac:dyDescent="0.3">
      <c r="A9" s="6" t="s">
        <v>229</v>
      </c>
      <c r="B9" s="17" t="s">
        <v>12</v>
      </c>
      <c r="C9" s="1" t="s">
        <v>234</v>
      </c>
      <c r="D9" s="1" t="s">
        <v>235</v>
      </c>
      <c r="E9" s="1">
        <v>10300</v>
      </c>
      <c r="F9" s="2">
        <v>7024725710</v>
      </c>
      <c r="G9" s="1">
        <v>786</v>
      </c>
      <c r="H9" s="7">
        <f t="shared" si="0"/>
        <v>246.74806434726062</v>
      </c>
      <c r="I9" s="1">
        <v>184</v>
      </c>
      <c r="J9" s="20"/>
      <c r="K9" s="20"/>
    </row>
    <row r="10" spans="1:15" ht="17.25" x14ac:dyDescent="0.3">
      <c r="A10" s="6" t="s">
        <v>229</v>
      </c>
      <c r="B10" s="17" t="s">
        <v>12</v>
      </c>
      <c r="C10" s="1" t="s">
        <v>234</v>
      </c>
      <c r="D10" s="1" t="s">
        <v>236</v>
      </c>
      <c r="E10" s="1">
        <v>10300</v>
      </c>
      <c r="F10" s="2">
        <v>7024725710</v>
      </c>
      <c r="G10" s="1">
        <v>786</v>
      </c>
      <c r="H10" s="7">
        <f t="shared" si="0"/>
        <v>246.74806434726062</v>
      </c>
      <c r="I10" s="1">
        <v>184</v>
      </c>
      <c r="J10" s="20"/>
      <c r="K10" s="20"/>
    </row>
    <row r="11" spans="1:15" ht="17.25" x14ac:dyDescent="0.3">
      <c r="A11" s="6" t="s">
        <v>229</v>
      </c>
      <c r="B11" s="17" t="s">
        <v>12</v>
      </c>
      <c r="C11" s="1" t="s">
        <v>237</v>
      </c>
      <c r="D11" s="1" t="s">
        <v>231</v>
      </c>
      <c r="E11" s="1">
        <v>10300</v>
      </c>
      <c r="F11" s="2">
        <v>7024725710</v>
      </c>
      <c r="G11" s="1">
        <v>560</v>
      </c>
      <c r="H11" s="7">
        <f t="shared" si="0"/>
        <v>246.74806434726062</v>
      </c>
      <c r="I11" s="1">
        <v>184</v>
      </c>
      <c r="J11" s="20"/>
      <c r="K11" s="20"/>
    </row>
    <row r="12" spans="1:15" ht="17.25" x14ac:dyDescent="0.3">
      <c r="A12" s="6" t="s">
        <v>229</v>
      </c>
      <c r="B12" s="17" t="s">
        <v>12</v>
      </c>
      <c r="C12" s="1" t="s">
        <v>237</v>
      </c>
      <c r="D12" s="1" t="s">
        <v>232</v>
      </c>
      <c r="E12" s="1">
        <v>10300</v>
      </c>
      <c r="F12" s="2">
        <v>7024725710</v>
      </c>
      <c r="G12" s="1">
        <v>560</v>
      </c>
      <c r="H12" s="7">
        <f t="shared" si="0"/>
        <v>246.74806434726062</v>
      </c>
      <c r="I12" s="1">
        <v>184</v>
      </c>
      <c r="J12" s="20"/>
      <c r="K12" s="20"/>
    </row>
    <row r="13" spans="1:15" ht="17.25" x14ac:dyDescent="0.3">
      <c r="A13" s="6" t="s">
        <v>229</v>
      </c>
      <c r="B13" s="17" t="s">
        <v>12</v>
      </c>
      <c r="C13" s="1" t="s">
        <v>237</v>
      </c>
      <c r="D13" s="1" t="s">
        <v>233</v>
      </c>
      <c r="E13" s="1">
        <v>10300</v>
      </c>
      <c r="F13" s="2">
        <v>7024725710</v>
      </c>
      <c r="G13" s="1">
        <v>560</v>
      </c>
      <c r="H13" s="7">
        <f t="shared" si="0"/>
        <v>246.74806434726062</v>
      </c>
      <c r="I13" s="1">
        <v>184</v>
      </c>
      <c r="J13" s="20"/>
      <c r="K13" s="20"/>
    </row>
    <row r="14" spans="1:15" ht="17.25" x14ac:dyDescent="0.3">
      <c r="A14" s="6" t="s">
        <v>229</v>
      </c>
      <c r="B14" s="17" t="s">
        <v>12</v>
      </c>
      <c r="C14" s="1" t="s">
        <v>237</v>
      </c>
      <c r="D14" s="1" t="s">
        <v>235</v>
      </c>
      <c r="E14" s="1">
        <v>10300</v>
      </c>
      <c r="F14" s="2">
        <v>7024725710</v>
      </c>
      <c r="G14" s="1">
        <v>560</v>
      </c>
      <c r="H14" s="7">
        <f t="shared" si="0"/>
        <v>246.74806434726062</v>
      </c>
      <c r="I14" s="1">
        <v>184</v>
      </c>
      <c r="J14" s="20"/>
      <c r="K14" s="20"/>
    </row>
    <row r="15" spans="1:15" ht="17.25" x14ac:dyDescent="0.3">
      <c r="A15" s="6" t="s">
        <v>229</v>
      </c>
      <c r="B15" s="17" t="s">
        <v>12</v>
      </c>
      <c r="C15" s="1" t="s">
        <v>237</v>
      </c>
      <c r="D15" s="1" t="s">
        <v>236</v>
      </c>
      <c r="E15" s="1">
        <v>10300</v>
      </c>
      <c r="F15" s="2">
        <v>7024725710</v>
      </c>
      <c r="G15" s="1">
        <v>560</v>
      </c>
      <c r="H15" s="7">
        <f t="shared" si="0"/>
        <v>246.74806434726062</v>
      </c>
      <c r="I15" s="1">
        <v>184</v>
      </c>
      <c r="J15" s="20"/>
      <c r="K15" s="20"/>
    </row>
    <row r="16" spans="1:15" ht="17.25" x14ac:dyDescent="0.3">
      <c r="A16" s="6" t="s">
        <v>229</v>
      </c>
      <c r="B16" s="17" t="s">
        <v>12</v>
      </c>
      <c r="C16" s="1" t="s">
        <v>237</v>
      </c>
      <c r="D16" s="1" t="s">
        <v>238</v>
      </c>
      <c r="E16" s="1">
        <v>10300</v>
      </c>
      <c r="F16" s="2">
        <v>7024725710</v>
      </c>
      <c r="G16" s="1">
        <v>560</v>
      </c>
      <c r="H16" s="7">
        <f t="shared" si="0"/>
        <v>246.74806434726062</v>
      </c>
      <c r="I16" s="1">
        <v>184</v>
      </c>
      <c r="J16" s="20"/>
      <c r="K16" s="20"/>
    </row>
    <row r="17" spans="1:11" ht="17.25" x14ac:dyDescent="0.3">
      <c r="A17" s="6" t="s">
        <v>229</v>
      </c>
      <c r="B17" s="17" t="s">
        <v>12</v>
      </c>
      <c r="C17" s="1" t="s">
        <v>237</v>
      </c>
      <c r="D17" s="1" t="s">
        <v>239</v>
      </c>
      <c r="E17" s="1">
        <v>10300</v>
      </c>
      <c r="F17" s="2">
        <v>7024725710</v>
      </c>
      <c r="G17" s="1">
        <v>560</v>
      </c>
      <c r="H17" s="7">
        <f t="shared" si="0"/>
        <v>246.74806434726062</v>
      </c>
      <c r="I17" s="1">
        <v>184</v>
      </c>
      <c r="J17" s="20"/>
      <c r="K17" s="20"/>
    </row>
    <row r="18" spans="1:11" ht="17.25" x14ac:dyDescent="0.3">
      <c r="A18" s="6" t="s">
        <v>229</v>
      </c>
      <c r="B18" s="17" t="s">
        <v>12</v>
      </c>
      <c r="C18" s="1" t="s">
        <v>237</v>
      </c>
      <c r="D18" s="1" t="s">
        <v>240</v>
      </c>
      <c r="E18" s="1">
        <v>10300</v>
      </c>
      <c r="F18" s="2">
        <v>7024725710</v>
      </c>
      <c r="G18" s="1">
        <v>560</v>
      </c>
      <c r="H18" s="7">
        <f t="shared" si="0"/>
        <v>246.74806434726062</v>
      </c>
      <c r="I18" s="1">
        <v>184</v>
      </c>
      <c r="J18" s="20"/>
      <c r="K18" s="20"/>
    </row>
    <row r="19" spans="1:11" ht="17.25" x14ac:dyDescent="0.3">
      <c r="A19" s="6" t="s">
        <v>229</v>
      </c>
      <c r="B19" s="17" t="s">
        <v>12</v>
      </c>
      <c r="C19" s="1" t="s">
        <v>237</v>
      </c>
      <c r="D19" s="1" t="s">
        <v>241</v>
      </c>
      <c r="E19" s="1">
        <v>10300</v>
      </c>
      <c r="F19" s="2">
        <v>7024725710</v>
      </c>
      <c r="G19" s="1">
        <v>560</v>
      </c>
      <c r="H19" s="7">
        <f t="shared" si="0"/>
        <v>246.74806434726062</v>
      </c>
      <c r="I19" s="1">
        <v>184</v>
      </c>
      <c r="J19" s="20"/>
      <c r="K19" s="20"/>
    </row>
    <row r="20" spans="1:11" ht="17.25" x14ac:dyDescent="0.3">
      <c r="A20" s="6" t="s">
        <v>229</v>
      </c>
      <c r="B20" s="17" t="s">
        <v>12</v>
      </c>
      <c r="C20" s="1" t="s">
        <v>237</v>
      </c>
      <c r="D20" s="1" t="s">
        <v>242</v>
      </c>
      <c r="E20" s="1">
        <v>10300</v>
      </c>
      <c r="F20" s="2">
        <v>7024725710</v>
      </c>
      <c r="G20" s="1">
        <v>560</v>
      </c>
      <c r="H20" s="7">
        <f t="shared" si="0"/>
        <v>246.74806434726062</v>
      </c>
      <c r="I20" s="1">
        <v>184</v>
      </c>
      <c r="J20" s="20"/>
      <c r="K20" s="20"/>
    </row>
    <row r="21" spans="1:11" ht="17.25" x14ac:dyDescent="0.3">
      <c r="A21" s="6" t="s">
        <v>229</v>
      </c>
      <c r="B21" s="17" t="s">
        <v>12</v>
      </c>
      <c r="C21" s="1" t="s">
        <v>237</v>
      </c>
      <c r="D21" s="1" t="s">
        <v>243</v>
      </c>
      <c r="E21" s="1">
        <v>10300</v>
      </c>
      <c r="F21" s="2">
        <v>7024725710</v>
      </c>
      <c r="G21" s="1">
        <v>560</v>
      </c>
      <c r="H21" s="7">
        <f t="shared" si="0"/>
        <v>246.74806434726062</v>
      </c>
      <c r="I21" s="1">
        <v>184</v>
      </c>
      <c r="J21" s="20"/>
      <c r="K21" s="20"/>
    </row>
    <row r="22" spans="1:11" ht="17.25" x14ac:dyDescent="0.3">
      <c r="A22" s="6" t="s">
        <v>229</v>
      </c>
      <c r="B22" s="17" t="s">
        <v>12</v>
      </c>
      <c r="C22" s="1" t="s">
        <v>237</v>
      </c>
      <c r="D22" s="1" t="s">
        <v>244</v>
      </c>
      <c r="E22" s="1">
        <v>10300</v>
      </c>
      <c r="F22" s="2">
        <v>7024725710</v>
      </c>
      <c r="G22" s="1">
        <v>560</v>
      </c>
      <c r="H22" s="7">
        <f t="shared" si="0"/>
        <v>246.74806434726062</v>
      </c>
      <c r="I22" s="1">
        <v>184</v>
      </c>
      <c r="J22" s="20"/>
      <c r="K22" s="20"/>
    </row>
    <row r="23" spans="1:11" ht="17.25" x14ac:dyDescent="0.3">
      <c r="A23" s="6" t="s">
        <v>229</v>
      </c>
      <c r="B23" s="17" t="s">
        <v>31</v>
      </c>
      <c r="C23" s="1" t="s">
        <v>245</v>
      </c>
      <c r="D23" s="1" t="s">
        <v>231</v>
      </c>
      <c r="E23" s="1">
        <v>5711</v>
      </c>
      <c r="F23" s="2">
        <v>7044455980</v>
      </c>
      <c r="G23" s="1">
        <v>650</v>
      </c>
      <c r="H23" s="7">
        <f t="shared" si="0"/>
        <v>246.74806434726062</v>
      </c>
      <c r="I23" s="1">
        <v>184</v>
      </c>
      <c r="J23" s="20"/>
      <c r="K23" s="20"/>
    </row>
    <row r="24" spans="1:11" ht="17.25" x14ac:dyDescent="0.3">
      <c r="A24" s="6" t="s">
        <v>229</v>
      </c>
      <c r="B24" s="17" t="s">
        <v>31</v>
      </c>
      <c r="C24" s="1" t="s">
        <v>245</v>
      </c>
      <c r="D24" s="1" t="s">
        <v>232</v>
      </c>
      <c r="E24" s="1">
        <v>5711</v>
      </c>
      <c r="F24" s="2">
        <v>7044455980</v>
      </c>
      <c r="G24" s="1">
        <v>650</v>
      </c>
      <c r="H24" s="7">
        <f t="shared" si="0"/>
        <v>246.74806434726062</v>
      </c>
      <c r="I24" s="1">
        <v>184</v>
      </c>
      <c r="J24" s="20"/>
      <c r="K24" s="20"/>
    </row>
    <row r="25" spans="1:11" ht="17.25" x14ac:dyDescent="0.3">
      <c r="A25" s="6" t="s">
        <v>229</v>
      </c>
      <c r="B25" s="17" t="s">
        <v>31</v>
      </c>
      <c r="C25" s="1" t="s">
        <v>245</v>
      </c>
      <c r="D25" s="1" t="s">
        <v>233</v>
      </c>
      <c r="E25" s="1">
        <v>5711</v>
      </c>
      <c r="F25" s="2">
        <v>7044455980</v>
      </c>
      <c r="G25" s="1">
        <v>650</v>
      </c>
      <c r="H25" s="7">
        <f t="shared" si="0"/>
        <v>246.74806434726062</v>
      </c>
      <c r="I25" s="1">
        <v>184</v>
      </c>
      <c r="J25" s="20"/>
      <c r="K25" s="20"/>
    </row>
    <row r="26" spans="1:11" ht="17.25" x14ac:dyDescent="0.3">
      <c r="A26" s="6" t="s">
        <v>229</v>
      </c>
      <c r="B26" s="17" t="s">
        <v>31</v>
      </c>
      <c r="C26" s="1" t="s">
        <v>245</v>
      </c>
      <c r="D26" s="1" t="s">
        <v>235</v>
      </c>
      <c r="E26" s="1">
        <v>5711</v>
      </c>
      <c r="F26" s="2">
        <v>7044455980</v>
      </c>
      <c r="G26" s="1">
        <v>650</v>
      </c>
      <c r="H26" s="7">
        <f t="shared" si="0"/>
        <v>246.74806434726062</v>
      </c>
      <c r="I26" s="1">
        <v>184</v>
      </c>
      <c r="J26" s="20"/>
      <c r="K26" s="20"/>
    </row>
    <row r="27" spans="1:11" ht="17.25" x14ac:dyDescent="0.3">
      <c r="A27" s="6" t="s">
        <v>229</v>
      </c>
      <c r="B27" s="17" t="s">
        <v>31</v>
      </c>
      <c r="C27" s="1" t="s">
        <v>245</v>
      </c>
      <c r="D27" s="1" t="s">
        <v>236</v>
      </c>
      <c r="E27" s="1">
        <v>5711</v>
      </c>
      <c r="F27" s="2">
        <v>7044455980</v>
      </c>
      <c r="G27" s="1">
        <v>650</v>
      </c>
      <c r="H27" s="7">
        <f t="shared" si="0"/>
        <v>246.74806434726062</v>
      </c>
      <c r="I27" s="1">
        <v>184</v>
      </c>
      <c r="J27" s="20"/>
      <c r="K27" s="20"/>
    </row>
    <row r="28" spans="1:11" ht="17.25" x14ac:dyDescent="0.3">
      <c r="A28" s="6" t="s">
        <v>229</v>
      </c>
      <c r="B28" s="17" t="s">
        <v>31</v>
      </c>
      <c r="C28" s="1" t="s">
        <v>245</v>
      </c>
      <c r="D28" s="1" t="s">
        <v>238</v>
      </c>
      <c r="E28" s="1">
        <v>5711</v>
      </c>
      <c r="F28" s="2">
        <v>7044455980</v>
      </c>
      <c r="G28" s="1">
        <v>650</v>
      </c>
      <c r="H28" s="7">
        <f t="shared" si="0"/>
        <v>246.74806434726062</v>
      </c>
      <c r="I28" s="1">
        <v>184</v>
      </c>
      <c r="J28" s="20"/>
      <c r="K28" s="20"/>
    </row>
    <row r="29" spans="1:11" ht="17.25" x14ac:dyDescent="0.3">
      <c r="A29" s="6" t="s">
        <v>229</v>
      </c>
      <c r="B29" s="17" t="s">
        <v>31</v>
      </c>
      <c r="C29" s="1" t="s">
        <v>245</v>
      </c>
      <c r="D29" s="1" t="s">
        <v>239</v>
      </c>
      <c r="E29" s="1">
        <v>5711</v>
      </c>
      <c r="F29" s="2">
        <v>7044455980</v>
      </c>
      <c r="G29" s="1">
        <v>650</v>
      </c>
      <c r="H29" s="7">
        <f t="shared" si="0"/>
        <v>246.74806434726062</v>
      </c>
      <c r="I29" s="1">
        <v>184</v>
      </c>
      <c r="J29" s="20"/>
      <c r="K29" s="20"/>
    </row>
    <row r="30" spans="1:11" ht="17.25" x14ac:dyDescent="0.3">
      <c r="A30" s="6" t="s">
        <v>229</v>
      </c>
      <c r="B30" s="17" t="s">
        <v>31</v>
      </c>
      <c r="C30" s="1" t="s">
        <v>245</v>
      </c>
      <c r="D30" s="1" t="s">
        <v>240</v>
      </c>
      <c r="E30" s="1">
        <v>5711</v>
      </c>
      <c r="F30" s="2">
        <v>7044455980</v>
      </c>
      <c r="G30" s="1">
        <v>650</v>
      </c>
      <c r="H30" s="7">
        <f t="shared" si="0"/>
        <v>246.74806434726062</v>
      </c>
      <c r="I30" s="1">
        <v>184</v>
      </c>
      <c r="J30" s="20"/>
      <c r="K30" s="20"/>
    </row>
    <row r="31" spans="1:11" ht="17.25" x14ac:dyDescent="0.3">
      <c r="A31" s="6" t="s">
        <v>229</v>
      </c>
      <c r="B31" s="17" t="s">
        <v>31</v>
      </c>
      <c r="C31" s="1" t="s">
        <v>245</v>
      </c>
      <c r="D31" s="1" t="s">
        <v>241</v>
      </c>
      <c r="E31" s="1">
        <v>5711</v>
      </c>
      <c r="F31" s="2">
        <v>7044455980</v>
      </c>
      <c r="G31" s="1">
        <v>650</v>
      </c>
      <c r="H31" s="7">
        <f t="shared" si="0"/>
        <v>246.74806434726062</v>
      </c>
      <c r="I31" s="1">
        <v>184</v>
      </c>
      <c r="J31" s="20"/>
      <c r="K31" s="20"/>
    </row>
    <row r="32" spans="1:11" ht="17.25" x14ac:dyDescent="0.3">
      <c r="A32" s="6" t="s">
        <v>229</v>
      </c>
      <c r="B32" s="17" t="s">
        <v>31</v>
      </c>
      <c r="C32" s="1" t="s">
        <v>245</v>
      </c>
      <c r="D32" s="1" t="s">
        <v>242</v>
      </c>
      <c r="E32" s="1">
        <v>5711</v>
      </c>
      <c r="F32" s="2">
        <v>7044455980</v>
      </c>
      <c r="G32" s="1">
        <v>650</v>
      </c>
      <c r="H32" s="7">
        <f t="shared" si="0"/>
        <v>246.74806434726062</v>
      </c>
      <c r="I32" s="1">
        <v>184</v>
      </c>
      <c r="J32" s="20"/>
      <c r="K32" s="20"/>
    </row>
    <row r="33" spans="1:11" ht="17.25" x14ac:dyDescent="0.3">
      <c r="A33" s="6" t="s">
        <v>229</v>
      </c>
      <c r="B33" s="17" t="s">
        <v>31</v>
      </c>
      <c r="C33" s="1" t="s">
        <v>85</v>
      </c>
      <c r="D33" s="1" t="s">
        <v>231</v>
      </c>
      <c r="E33" s="1">
        <v>5711</v>
      </c>
      <c r="F33" s="2">
        <v>7044455980</v>
      </c>
      <c r="G33" s="1">
        <v>650</v>
      </c>
      <c r="H33" s="7">
        <f t="shared" si="0"/>
        <v>246.74806434726062</v>
      </c>
      <c r="I33" s="1">
        <v>184</v>
      </c>
      <c r="J33" s="20"/>
      <c r="K33" s="20"/>
    </row>
    <row r="34" spans="1:11" ht="17.25" x14ac:dyDescent="0.3">
      <c r="A34" s="6" t="s">
        <v>229</v>
      </c>
      <c r="B34" s="17" t="s">
        <v>31</v>
      </c>
      <c r="C34" s="1" t="s">
        <v>85</v>
      </c>
      <c r="D34" s="1" t="s">
        <v>232</v>
      </c>
      <c r="E34" s="1">
        <v>5711</v>
      </c>
      <c r="F34" s="2">
        <v>7044455980</v>
      </c>
      <c r="G34" s="1">
        <v>650</v>
      </c>
      <c r="H34" s="7">
        <f t="shared" si="0"/>
        <v>246.74806434726062</v>
      </c>
      <c r="I34" s="1">
        <v>184</v>
      </c>
      <c r="J34" s="20"/>
      <c r="K34" s="20"/>
    </row>
    <row r="35" spans="1:11" ht="17.25" x14ac:dyDescent="0.3">
      <c r="A35" s="6" t="s">
        <v>229</v>
      </c>
      <c r="B35" s="17" t="s">
        <v>31</v>
      </c>
      <c r="C35" s="1" t="s">
        <v>85</v>
      </c>
      <c r="D35" s="1" t="s">
        <v>233</v>
      </c>
      <c r="E35" s="1">
        <v>5711</v>
      </c>
      <c r="F35" s="2">
        <v>7044455980</v>
      </c>
      <c r="G35" s="1">
        <v>650</v>
      </c>
      <c r="H35" s="7">
        <f t="shared" si="0"/>
        <v>246.74806434726062</v>
      </c>
      <c r="I35" s="1">
        <v>184</v>
      </c>
      <c r="J35" s="20"/>
      <c r="K35" s="20"/>
    </row>
    <row r="36" spans="1:11" ht="17.25" x14ac:dyDescent="0.3">
      <c r="A36" s="6" t="s">
        <v>229</v>
      </c>
      <c r="B36" s="17" t="s">
        <v>31</v>
      </c>
      <c r="C36" s="1" t="s">
        <v>85</v>
      </c>
      <c r="D36" s="1" t="s">
        <v>235</v>
      </c>
      <c r="E36" s="1">
        <v>5711</v>
      </c>
      <c r="F36" s="2">
        <v>7044455980</v>
      </c>
      <c r="G36" s="1">
        <v>650</v>
      </c>
      <c r="H36" s="7">
        <f t="shared" si="0"/>
        <v>246.74806434726062</v>
      </c>
      <c r="I36" s="1">
        <v>184</v>
      </c>
      <c r="J36" s="20"/>
      <c r="K36" s="20"/>
    </row>
    <row r="37" spans="1:11" ht="17.25" x14ac:dyDescent="0.3">
      <c r="A37" s="6" t="s">
        <v>229</v>
      </c>
      <c r="B37" s="17" t="s">
        <v>31</v>
      </c>
      <c r="C37" s="1" t="s">
        <v>85</v>
      </c>
      <c r="D37" s="1" t="s">
        <v>236</v>
      </c>
      <c r="E37" s="1">
        <v>5711</v>
      </c>
      <c r="F37" s="2">
        <v>7044455980</v>
      </c>
      <c r="G37" s="1">
        <v>650</v>
      </c>
      <c r="H37" s="7">
        <f t="shared" si="0"/>
        <v>246.74806434726062</v>
      </c>
      <c r="I37" s="1">
        <v>184</v>
      </c>
      <c r="J37" s="20"/>
      <c r="K37" s="20"/>
    </row>
    <row r="38" spans="1:11" ht="17.25" x14ac:dyDescent="0.3">
      <c r="A38" s="6" t="s">
        <v>229</v>
      </c>
      <c r="B38" s="17" t="s">
        <v>31</v>
      </c>
      <c r="C38" s="1" t="s">
        <v>85</v>
      </c>
      <c r="D38" s="1" t="s">
        <v>238</v>
      </c>
      <c r="E38" s="1">
        <v>5711</v>
      </c>
      <c r="F38" s="2">
        <v>7044455980</v>
      </c>
      <c r="G38" s="1">
        <v>650</v>
      </c>
      <c r="H38" s="7">
        <f t="shared" si="0"/>
        <v>246.74806434726062</v>
      </c>
      <c r="I38" s="1">
        <v>184</v>
      </c>
      <c r="J38" s="20"/>
      <c r="K38" s="20"/>
    </row>
    <row r="39" spans="1:11" ht="17.25" x14ac:dyDescent="0.3">
      <c r="A39" s="6" t="s">
        <v>229</v>
      </c>
      <c r="B39" s="17" t="s">
        <v>31</v>
      </c>
      <c r="C39" s="1" t="s">
        <v>85</v>
      </c>
      <c r="D39" s="1" t="s">
        <v>239</v>
      </c>
      <c r="E39" s="1">
        <v>5711</v>
      </c>
      <c r="F39" s="2">
        <v>7044455980</v>
      </c>
      <c r="G39" s="1">
        <v>650</v>
      </c>
      <c r="H39" s="7">
        <f t="shared" si="0"/>
        <v>246.74806434726062</v>
      </c>
      <c r="I39" s="1">
        <v>184</v>
      </c>
      <c r="J39" s="20"/>
      <c r="K39" s="20"/>
    </row>
    <row r="40" spans="1:11" ht="17.25" x14ac:dyDescent="0.3">
      <c r="A40" s="6" t="s">
        <v>229</v>
      </c>
      <c r="B40" s="17" t="s">
        <v>31</v>
      </c>
      <c r="C40" s="1" t="s">
        <v>85</v>
      </c>
      <c r="D40" s="1" t="s">
        <v>240</v>
      </c>
      <c r="E40" s="1">
        <v>5711</v>
      </c>
      <c r="F40" s="2">
        <v>7044455980</v>
      </c>
      <c r="G40" s="1">
        <v>650</v>
      </c>
      <c r="H40" s="7">
        <f t="shared" si="0"/>
        <v>246.74806434726062</v>
      </c>
      <c r="I40" s="1">
        <v>184</v>
      </c>
      <c r="J40" s="20"/>
      <c r="K40" s="20"/>
    </row>
    <row r="41" spans="1:11" ht="17.25" x14ac:dyDescent="0.3">
      <c r="A41" s="6" t="s">
        <v>229</v>
      </c>
      <c r="B41" s="17" t="s">
        <v>31</v>
      </c>
      <c r="C41" s="1" t="s">
        <v>85</v>
      </c>
      <c r="D41" s="1" t="s">
        <v>241</v>
      </c>
      <c r="E41" s="1">
        <v>5711</v>
      </c>
      <c r="F41" s="2">
        <v>7044455980</v>
      </c>
      <c r="G41" s="1">
        <v>650</v>
      </c>
      <c r="H41" s="7">
        <f t="shared" si="0"/>
        <v>246.74806434726062</v>
      </c>
      <c r="I41" s="1">
        <v>184</v>
      </c>
      <c r="J41" s="20"/>
      <c r="K41" s="20"/>
    </row>
    <row r="42" spans="1:11" ht="17.25" x14ac:dyDescent="0.3">
      <c r="A42" s="6" t="s">
        <v>229</v>
      </c>
      <c r="B42" s="17" t="s">
        <v>31</v>
      </c>
      <c r="C42" s="1" t="s">
        <v>85</v>
      </c>
      <c r="D42" s="1" t="s">
        <v>242</v>
      </c>
      <c r="E42" s="1">
        <v>5711</v>
      </c>
      <c r="F42" s="2">
        <v>7044455980</v>
      </c>
      <c r="G42" s="1">
        <v>650</v>
      </c>
      <c r="H42" s="7">
        <f t="shared" si="0"/>
        <v>246.74806434726062</v>
      </c>
      <c r="I42" s="1">
        <v>184</v>
      </c>
      <c r="J42" s="20"/>
      <c r="K42" s="20"/>
    </row>
    <row r="43" spans="1:11" ht="17.25" x14ac:dyDescent="0.3">
      <c r="A43" s="6" t="s">
        <v>229</v>
      </c>
      <c r="B43" s="17" t="s">
        <v>12</v>
      </c>
      <c r="C43" s="1" t="s">
        <v>246</v>
      </c>
      <c r="D43" s="1" t="s">
        <v>231</v>
      </c>
      <c r="E43" s="1">
        <v>10300</v>
      </c>
      <c r="F43" s="2">
        <v>7024725710</v>
      </c>
      <c r="G43" s="1">
        <v>900</v>
      </c>
      <c r="H43" s="7">
        <f t="shared" si="0"/>
        <v>197.13024706003972</v>
      </c>
      <c r="I43" s="1">
        <v>147</v>
      </c>
      <c r="J43" s="20"/>
      <c r="K43" s="20"/>
    </row>
    <row r="44" spans="1:11" ht="17.25" x14ac:dyDescent="0.3">
      <c r="A44" s="6" t="s">
        <v>229</v>
      </c>
      <c r="B44" s="17" t="s">
        <v>12</v>
      </c>
      <c r="C44" s="1" t="s">
        <v>246</v>
      </c>
      <c r="D44" s="1" t="s">
        <v>232</v>
      </c>
      <c r="E44" s="1">
        <v>10300</v>
      </c>
      <c r="F44" s="2">
        <v>7024725710</v>
      </c>
      <c r="G44" s="1">
        <v>900</v>
      </c>
      <c r="H44" s="7">
        <f t="shared" si="0"/>
        <v>197.13024706003972</v>
      </c>
      <c r="I44" s="1">
        <v>147</v>
      </c>
      <c r="J44" s="20"/>
      <c r="K44" s="20"/>
    </row>
    <row r="45" spans="1:11" ht="17.25" x14ac:dyDescent="0.3">
      <c r="A45" s="6" t="s">
        <v>229</v>
      </c>
      <c r="B45" s="17" t="s">
        <v>12</v>
      </c>
      <c r="C45" s="1" t="s">
        <v>246</v>
      </c>
      <c r="D45" s="1" t="s">
        <v>233</v>
      </c>
      <c r="E45" s="1">
        <v>10300</v>
      </c>
      <c r="F45" s="2">
        <v>7024725710</v>
      </c>
      <c r="G45" s="1">
        <v>900</v>
      </c>
      <c r="H45" s="7">
        <f t="shared" si="0"/>
        <v>197.13024706003972</v>
      </c>
      <c r="I45" s="1">
        <v>147</v>
      </c>
      <c r="J45" s="20"/>
      <c r="K45" s="20"/>
    </row>
    <row r="46" spans="1:11" ht="17.25" x14ac:dyDescent="0.3">
      <c r="A46" s="6" t="s">
        <v>229</v>
      </c>
      <c r="B46" s="17" t="s">
        <v>12</v>
      </c>
      <c r="C46" s="1" t="s">
        <v>246</v>
      </c>
      <c r="D46" s="1" t="s">
        <v>235</v>
      </c>
      <c r="E46" s="1">
        <v>10300</v>
      </c>
      <c r="F46" s="2">
        <v>7024725710</v>
      </c>
      <c r="G46" s="1">
        <v>900</v>
      </c>
      <c r="H46" s="7">
        <f t="shared" si="0"/>
        <v>197.13024706003972</v>
      </c>
      <c r="I46" s="1">
        <v>147</v>
      </c>
      <c r="J46" s="20"/>
      <c r="K46" s="20"/>
    </row>
    <row r="47" spans="1:11" ht="17.25" x14ac:dyDescent="0.3">
      <c r="A47" s="6" t="s">
        <v>229</v>
      </c>
      <c r="B47" s="17" t="s">
        <v>12</v>
      </c>
      <c r="C47" s="1" t="s">
        <v>246</v>
      </c>
      <c r="D47" s="1" t="s">
        <v>236</v>
      </c>
      <c r="E47" s="1">
        <v>10300</v>
      </c>
      <c r="F47" s="2">
        <v>7024725710</v>
      </c>
      <c r="G47" s="1">
        <v>900</v>
      </c>
      <c r="H47" s="7">
        <f t="shared" si="0"/>
        <v>197.13024706003972</v>
      </c>
      <c r="I47" s="1">
        <v>147</v>
      </c>
      <c r="J47" s="20"/>
      <c r="K47" s="20"/>
    </row>
    <row r="48" spans="1:11" ht="17.25" x14ac:dyDescent="0.3">
      <c r="A48" s="6" t="s">
        <v>229</v>
      </c>
      <c r="B48" s="17" t="s">
        <v>12</v>
      </c>
      <c r="C48" s="1" t="s">
        <v>246</v>
      </c>
      <c r="D48" s="1" t="s">
        <v>238</v>
      </c>
      <c r="E48" s="1">
        <v>10300</v>
      </c>
      <c r="F48" s="2">
        <v>7024725710</v>
      </c>
      <c r="G48" s="1">
        <v>900</v>
      </c>
      <c r="H48" s="7">
        <f t="shared" si="0"/>
        <v>197.13024706003972</v>
      </c>
      <c r="I48" s="1">
        <v>147</v>
      </c>
      <c r="J48" s="20"/>
      <c r="K48" s="20"/>
    </row>
    <row r="49" spans="1:11" ht="17.25" x14ac:dyDescent="0.3">
      <c r="A49" s="6" t="s">
        <v>229</v>
      </c>
      <c r="B49" s="17" t="s">
        <v>12</v>
      </c>
      <c r="C49" s="1" t="s">
        <v>246</v>
      </c>
      <c r="D49" s="1" t="s">
        <v>239</v>
      </c>
      <c r="E49" s="1">
        <v>10300</v>
      </c>
      <c r="F49" s="2">
        <v>7024725710</v>
      </c>
      <c r="G49" s="1">
        <v>900</v>
      </c>
      <c r="H49" s="7">
        <f t="shared" si="0"/>
        <v>197.13024706003972</v>
      </c>
      <c r="I49" s="1">
        <v>147</v>
      </c>
      <c r="J49" s="20"/>
      <c r="K49" s="20"/>
    </row>
    <row r="50" spans="1:11" ht="17.25" x14ac:dyDescent="0.3">
      <c r="A50" s="6" t="s">
        <v>229</v>
      </c>
      <c r="B50" s="17" t="s">
        <v>12</v>
      </c>
      <c r="C50" s="1" t="s">
        <v>247</v>
      </c>
      <c r="D50" s="1" t="s">
        <v>232</v>
      </c>
      <c r="E50" s="1">
        <v>10300</v>
      </c>
      <c r="F50" s="2">
        <v>7024725710</v>
      </c>
      <c r="G50" s="1">
        <v>930</v>
      </c>
      <c r="H50" s="7">
        <f t="shared" si="0"/>
        <v>493.49612869452125</v>
      </c>
      <c r="I50" s="1">
        <v>368</v>
      </c>
      <c r="J50" s="20"/>
      <c r="K50" s="20"/>
    </row>
    <row r="51" spans="1:11" ht="17.25" x14ac:dyDescent="0.3">
      <c r="A51" s="6" t="s">
        <v>229</v>
      </c>
      <c r="B51" s="17" t="s">
        <v>12</v>
      </c>
      <c r="C51" s="1" t="s">
        <v>247</v>
      </c>
      <c r="D51" s="1" t="s">
        <v>235</v>
      </c>
      <c r="E51" s="1">
        <v>10300</v>
      </c>
      <c r="F51" s="2">
        <v>7024725710</v>
      </c>
      <c r="G51" s="1">
        <v>930</v>
      </c>
      <c r="H51" s="7">
        <f t="shared" si="0"/>
        <v>493.49612869452125</v>
      </c>
      <c r="I51" s="1">
        <v>368</v>
      </c>
      <c r="J51" s="20"/>
      <c r="K51" s="20"/>
    </row>
    <row r="52" spans="1:11" ht="17.25" x14ac:dyDescent="0.3">
      <c r="A52" s="6" t="s">
        <v>229</v>
      </c>
      <c r="B52" s="17" t="s">
        <v>12</v>
      </c>
      <c r="C52" s="1" t="s">
        <v>247</v>
      </c>
      <c r="D52" s="1" t="s">
        <v>238</v>
      </c>
      <c r="E52" s="1">
        <v>10300</v>
      </c>
      <c r="F52" s="2">
        <v>7024725710</v>
      </c>
      <c r="G52" s="1">
        <v>930</v>
      </c>
      <c r="H52" s="7">
        <f t="shared" si="0"/>
        <v>493.49612869452125</v>
      </c>
      <c r="I52" s="1">
        <v>368</v>
      </c>
      <c r="J52" s="20"/>
      <c r="K52" s="20"/>
    </row>
    <row r="53" spans="1:11" ht="17.25" x14ac:dyDescent="0.3">
      <c r="A53" s="6" t="s">
        <v>229</v>
      </c>
      <c r="B53" s="17" t="s">
        <v>12</v>
      </c>
      <c r="C53" s="1" t="s">
        <v>247</v>
      </c>
      <c r="D53" s="1" t="s">
        <v>240</v>
      </c>
      <c r="E53" s="1">
        <v>10300</v>
      </c>
      <c r="F53" s="2">
        <v>7024725710</v>
      </c>
      <c r="G53" s="1">
        <v>930</v>
      </c>
      <c r="H53" s="7">
        <f t="shared" si="0"/>
        <v>493.49612869452125</v>
      </c>
      <c r="I53" s="1">
        <v>368</v>
      </c>
      <c r="J53" s="20"/>
      <c r="K53" s="20"/>
    </row>
    <row r="54" spans="1:11" ht="17.25" x14ac:dyDescent="0.3">
      <c r="A54" s="6" t="s">
        <v>229</v>
      </c>
      <c r="B54" s="17" t="s">
        <v>12</v>
      </c>
      <c r="C54" s="1" t="s">
        <v>247</v>
      </c>
      <c r="D54" s="1" t="s">
        <v>242</v>
      </c>
      <c r="E54" s="1">
        <v>10300</v>
      </c>
      <c r="F54" s="2">
        <v>7024725710</v>
      </c>
      <c r="G54" s="1">
        <v>930</v>
      </c>
      <c r="H54" s="7">
        <f t="shared" si="0"/>
        <v>493.49612869452125</v>
      </c>
      <c r="I54" s="1">
        <v>368</v>
      </c>
      <c r="J54" s="20"/>
      <c r="K54" s="20"/>
    </row>
    <row r="55" spans="1:11" ht="17.25" x14ac:dyDescent="0.3">
      <c r="A55" s="6" t="s">
        <v>229</v>
      </c>
      <c r="B55" s="17" t="s">
        <v>12</v>
      </c>
      <c r="C55" s="1" t="s">
        <v>247</v>
      </c>
      <c r="D55" s="1" t="s">
        <v>244</v>
      </c>
      <c r="E55" s="1">
        <v>10300</v>
      </c>
      <c r="F55" s="2">
        <v>7024725710</v>
      </c>
      <c r="G55" s="1">
        <v>930</v>
      </c>
      <c r="H55" s="7">
        <f t="shared" si="0"/>
        <v>493.49612869452125</v>
      </c>
      <c r="I55" s="1">
        <v>368</v>
      </c>
      <c r="J55" s="20"/>
      <c r="K55" s="20"/>
    </row>
    <row r="56" spans="1:11" ht="17.25" x14ac:dyDescent="0.3">
      <c r="A56" s="6" t="s">
        <v>229</v>
      </c>
      <c r="B56" s="17" t="s">
        <v>12</v>
      </c>
      <c r="C56" s="1" t="s">
        <v>247</v>
      </c>
      <c r="D56" s="1" t="s">
        <v>248</v>
      </c>
      <c r="E56" s="1">
        <v>10300</v>
      </c>
      <c r="F56" s="2">
        <v>7024725710</v>
      </c>
      <c r="G56" s="1">
        <v>930</v>
      </c>
      <c r="H56" s="7">
        <f t="shared" si="0"/>
        <v>493.49612869452125</v>
      </c>
      <c r="I56" s="1">
        <v>368</v>
      </c>
      <c r="J56" s="20"/>
      <c r="K56" s="20"/>
    </row>
    <row r="57" spans="1:11" ht="17.25" x14ac:dyDescent="0.3">
      <c r="A57" s="6" t="s">
        <v>229</v>
      </c>
      <c r="B57" s="17" t="s">
        <v>12</v>
      </c>
      <c r="C57" s="1" t="s">
        <v>247</v>
      </c>
      <c r="D57" s="1" t="s">
        <v>249</v>
      </c>
      <c r="E57" s="1">
        <v>10300</v>
      </c>
      <c r="F57" s="2">
        <v>7024725710</v>
      </c>
      <c r="G57" s="1">
        <v>930</v>
      </c>
      <c r="H57" s="7">
        <f t="shared" si="0"/>
        <v>493.49612869452125</v>
      </c>
      <c r="I57" s="1">
        <v>368</v>
      </c>
      <c r="J57" s="20"/>
      <c r="K57" s="20"/>
    </row>
    <row r="58" spans="1:11" ht="17.25" x14ac:dyDescent="0.3">
      <c r="A58" s="6" t="s">
        <v>229</v>
      </c>
      <c r="B58" s="17" t="s">
        <v>12</v>
      </c>
      <c r="C58" s="1" t="s">
        <v>247</v>
      </c>
      <c r="D58" s="1" t="s">
        <v>250</v>
      </c>
      <c r="E58" s="1">
        <v>10300</v>
      </c>
      <c r="F58" s="2">
        <v>7024725710</v>
      </c>
      <c r="G58" s="1">
        <v>930</v>
      </c>
      <c r="H58" s="7">
        <f t="shared" si="0"/>
        <v>493.49612869452125</v>
      </c>
      <c r="I58" s="1">
        <v>368</v>
      </c>
      <c r="J58" s="20"/>
      <c r="K58" s="20"/>
    </row>
    <row r="59" spans="1:11" ht="17.25" x14ac:dyDescent="0.3">
      <c r="A59" s="6" t="s">
        <v>229</v>
      </c>
      <c r="B59" s="17" t="s">
        <v>12</v>
      </c>
      <c r="C59" s="1" t="s">
        <v>247</v>
      </c>
      <c r="D59" s="1" t="s">
        <v>251</v>
      </c>
      <c r="E59" s="1">
        <v>10300</v>
      </c>
      <c r="F59" s="2">
        <v>7024725710</v>
      </c>
      <c r="G59" s="1">
        <v>930</v>
      </c>
      <c r="H59" s="7">
        <f t="shared" si="0"/>
        <v>493.49612869452125</v>
      </c>
      <c r="I59" s="1">
        <v>368</v>
      </c>
      <c r="J59" s="20"/>
      <c r="K59" s="20"/>
    </row>
    <row r="60" spans="1:11" ht="17.25" x14ac:dyDescent="0.3">
      <c r="A60" s="6" t="s">
        <v>229</v>
      </c>
      <c r="B60" s="17" t="s">
        <v>12</v>
      </c>
      <c r="C60" s="1" t="s">
        <v>247</v>
      </c>
      <c r="D60" s="1" t="s">
        <v>252</v>
      </c>
      <c r="E60" s="1">
        <v>10300</v>
      </c>
      <c r="F60" s="2">
        <v>7024725710</v>
      </c>
      <c r="G60" s="1">
        <v>930</v>
      </c>
      <c r="H60" s="7">
        <f t="shared" si="0"/>
        <v>493.49612869452125</v>
      </c>
      <c r="I60" s="1">
        <v>368</v>
      </c>
      <c r="J60" s="20"/>
      <c r="K60" s="20"/>
    </row>
    <row r="61" spans="1:11" ht="17.25" x14ac:dyDescent="0.3">
      <c r="A61" s="6" t="s">
        <v>229</v>
      </c>
      <c r="B61" s="17" t="s">
        <v>12</v>
      </c>
      <c r="C61" s="1" t="s">
        <v>247</v>
      </c>
      <c r="D61" s="1" t="s">
        <v>253</v>
      </c>
      <c r="E61" s="1">
        <v>10300</v>
      </c>
      <c r="F61" s="2">
        <v>7024725710</v>
      </c>
      <c r="G61" s="1">
        <v>930</v>
      </c>
      <c r="H61" s="7">
        <f t="shared" si="0"/>
        <v>493.49612869452125</v>
      </c>
      <c r="I61" s="1">
        <v>368</v>
      </c>
      <c r="J61" s="20"/>
      <c r="K61" s="20"/>
    </row>
    <row r="62" spans="1:11" ht="17.25" x14ac:dyDescent="0.3">
      <c r="A62" s="6" t="s">
        <v>229</v>
      </c>
      <c r="B62" s="17" t="s">
        <v>12</v>
      </c>
      <c r="C62" s="1" t="s">
        <v>247</v>
      </c>
      <c r="D62" s="1" t="s">
        <v>254</v>
      </c>
      <c r="E62" s="1">
        <v>10300</v>
      </c>
      <c r="F62" s="2">
        <v>7024725710</v>
      </c>
      <c r="G62" s="1">
        <v>930</v>
      </c>
      <c r="H62" s="7">
        <f t="shared" si="0"/>
        <v>493.49612869452125</v>
      </c>
      <c r="I62" s="1">
        <v>368</v>
      </c>
      <c r="J62" s="20"/>
      <c r="K62" s="20"/>
    </row>
    <row r="63" spans="1:11" ht="17.25" x14ac:dyDescent="0.3">
      <c r="A63" s="6" t="s">
        <v>229</v>
      </c>
      <c r="B63" s="17" t="s">
        <v>12</v>
      </c>
      <c r="C63" s="1" t="s">
        <v>247</v>
      </c>
      <c r="D63" s="1" t="s">
        <v>255</v>
      </c>
      <c r="E63" s="1">
        <v>10300</v>
      </c>
      <c r="F63" s="2">
        <v>7024725710</v>
      </c>
      <c r="G63" s="1">
        <v>930</v>
      </c>
      <c r="H63" s="7">
        <f t="shared" si="0"/>
        <v>493.49612869452125</v>
      </c>
      <c r="I63" s="1">
        <v>368</v>
      </c>
      <c r="J63" s="20"/>
      <c r="K63" s="20"/>
    </row>
    <row r="64" spans="1:11" ht="17.25" x14ac:dyDescent="0.3">
      <c r="A64" s="6" t="s">
        <v>229</v>
      </c>
      <c r="B64" s="17" t="s">
        <v>31</v>
      </c>
      <c r="C64" s="1" t="s">
        <v>256</v>
      </c>
      <c r="D64" s="1" t="s">
        <v>231</v>
      </c>
      <c r="E64" s="1">
        <v>5711</v>
      </c>
      <c r="F64" s="2">
        <v>7044455980</v>
      </c>
      <c r="G64" s="1">
        <v>542</v>
      </c>
      <c r="H64" s="7">
        <f t="shared" si="0"/>
        <v>246.74806434726062</v>
      </c>
      <c r="I64" s="1">
        <v>184</v>
      </c>
      <c r="J64" s="20"/>
      <c r="K64" s="20"/>
    </row>
    <row r="65" spans="1:11" ht="17.25" x14ac:dyDescent="0.3">
      <c r="A65" s="6" t="s">
        <v>229</v>
      </c>
      <c r="B65" s="17" t="s">
        <v>31</v>
      </c>
      <c r="C65" s="1" t="s">
        <v>256</v>
      </c>
      <c r="D65" s="1" t="s">
        <v>232</v>
      </c>
      <c r="E65" s="1">
        <v>5711</v>
      </c>
      <c r="F65" s="2">
        <v>7044455980</v>
      </c>
      <c r="G65" s="1">
        <v>542</v>
      </c>
      <c r="H65" s="7">
        <f t="shared" si="0"/>
        <v>246.74806434726062</v>
      </c>
      <c r="I65" s="1">
        <v>184</v>
      </c>
      <c r="J65" s="20"/>
      <c r="K65" s="20"/>
    </row>
    <row r="66" spans="1:11" ht="17.25" x14ac:dyDescent="0.3">
      <c r="A66" s="6" t="s">
        <v>229</v>
      </c>
      <c r="B66" s="17" t="s">
        <v>31</v>
      </c>
      <c r="C66" s="1" t="s">
        <v>256</v>
      </c>
      <c r="D66" s="1" t="s">
        <v>233</v>
      </c>
      <c r="E66" s="1">
        <v>5711</v>
      </c>
      <c r="F66" s="2">
        <v>7044455980</v>
      </c>
      <c r="G66" s="1">
        <v>542</v>
      </c>
      <c r="H66" s="7">
        <f t="shared" si="0"/>
        <v>246.74806434726062</v>
      </c>
      <c r="I66" s="1">
        <v>184</v>
      </c>
      <c r="J66" s="20"/>
      <c r="K66" s="20"/>
    </row>
    <row r="67" spans="1:11" ht="17.25" x14ac:dyDescent="0.3">
      <c r="A67" s="6" t="s">
        <v>229</v>
      </c>
      <c r="B67" s="17" t="s">
        <v>31</v>
      </c>
      <c r="C67" s="1" t="s">
        <v>256</v>
      </c>
      <c r="D67" s="1" t="s">
        <v>235</v>
      </c>
      <c r="E67" s="1">
        <v>5711</v>
      </c>
      <c r="F67" s="2">
        <v>7044455980</v>
      </c>
      <c r="G67" s="1">
        <v>542</v>
      </c>
      <c r="H67" s="7">
        <f t="shared" si="0"/>
        <v>246.74806434726062</v>
      </c>
      <c r="I67" s="1">
        <v>184</v>
      </c>
      <c r="J67" s="20"/>
      <c r="K67" s="20"/>
    </row>
    <row r="68" spans="1:11" ht="17.25" x14ac:dyDescent="0.3">
      <c r="A68" s="6" t="s">
        <v>229</v>
      </c>
      <c r="B68" s="17" t="s">
        <v>31</v>
      </c>
      <c r="C68" s="1" t="s">
        <v>256</v>
      </c>
      <c r="D68" s="1" t="s">
        <v>236</v>
      </c>
      <c r="E68" s="1">
        <v>5711</v>
      </c>
      <c r="F68" s="2">
        <v>7044455980</v>
      </c>
      <c r="G68" s="1">
        <v>542</v>
      </c>
      <c r="H68" s="7">
        <f t="shared" ref="H68:H86" si="1">I68/0.745699872</f>
        <v>246.74806434726062</v>
      </c>
      <c r="I68" s="1">
        <v>184</v>
      </c>
      <c r="J68" s="20"/>
      <c r="K68" s="20"/>
    </row>
    <row r="69" spans="1:11" ht="17.25" x14ac:dyDescent="0.3">
      <c r="A69" s="6" t="s">
        <v>229</v>
      </c>
      <c r="B69" s="17" t="s">
        <v>31</v>
      </c>
      <c r="C69" s="1" t="s">
        <v>256</v>
      </c>
      <c r="D69" s="1" t="s">
        <v>238</v>
      </c>
      <c r="E69" s="1">
        <v>5711</v>
      </c>
      <c r="F69" s="2">
        <v>7044455980</v>
      </c>
      <c r="G69" s="1">
        <v>542</v>
      </c>
      <c r="H69" s="7">
        <f t="shared" si="1"/>
        <v>246.74806434726062</v>
      </c>
      <c r="I69" s="1">
        <v>184</v>
      </c>
      <c r="J69" s="20"/>
      <c r="K69" s="20"/>
    </row>
    <row r="70" spans="1:11" ht="17.25" x14ac:dyDescent="0.3">
      <c r="A70" s="6" t="s">
        <v>229</v>
      </c>
      <c r="B70" s="17" t="s">
        <v>31</v>
      </c>
      <c r="C70" s="1" t="s">
        <v>256</v>
      </c>
      <c r="D70" s="1" t="s">
        <v>239</v>
      </c>
      <c r="E70" s="1">
        <v>5711</v>
      </c>
      <c r="F70" s="2">
        <v>7044455980</v>
      </c>
      <c r="G70" s="1">
        <v>542</v>
      </c>
      <c r="H70" s="7">
        <f t="shared" si="1"/>
        <v>246.74806434726062</v>
      </c>
      <c r="I70" s="1">
        <v>184</v>
      </c>
      <c r="J70" s="20"/>
      <c r="K70" s="20"/>
    </row>
    <row r="71" spans="1:11" ht="17.25" x14ac:dyDescent="0.3">
      <c r="A71" s="6" t="s">
        <v>229</v>
      </c>
      <c r="B71" s="17" t="s">
        <v>31</v>
      </c>
      <c r="C71" s="1" t="s">
        <v>256</v>
      </c>
      <c r="D71" s="1" t="s">
        <v>240</v>
      </c>
      <c r="E71" s="1">
        <v>5711</v>
      </c>
      <c r="F71" s="2">
        <v>7044455980</v>
      </c>
      <c r="G71" s="1">
        <v>542</v>
      </c>
      <c r="H71" s="7">
        <f t="shared" si="1"/>
        <v>246.74806434726062</v>
      </c>
      <c r="I71" s="1">
        <v>184</v>
      </c>
      <c r="J71" s="20"/>
      <c r="K71" s="20"/>
    </row>
    <row r="72" spans="1:11" ht="17.25" x14ac:dyDescent="0.3">
      <c r="A72" s="6" t="s">
        <v>229</v>
      </c>
      <c r="B72" s="17" t="s">
        <v>31</v>
      </c>
      <c r="C72" s="1" t="s">
        <v>256</v>
      </c>
      <c r="D72" s="1" t="s">
        <v>241</v>
      </c>
      <c r="E72" s="1">
        <v>5711</v>
      </c>
      <c r="F72" s="2">
        <v>7044455980</v>
      </c>
      <c r="G72" s="1">
        <v>542</v>
      </c>
      <c r="H72" s="7">
        <f t="shared" si="1"/>
        <v>246.74806434726062</v>
      </c>
      <c r="I72" s="1">
        <v>184</v>
      </c>
      <c r="J72" s="20"/>
      <c r="K72" s="20"/>
    </row>
    <row r="73" spans="1:11" ht="17.25" x14ac:dyDescent="0.3">
      <c r="A73" s="6" t="s">
        <v>229</v>
      </c>
      <c r="B73" s="17" t="s">
        <v>31</v>
      </c>
      <c r="C73" s="1" t="s">
        <v>256</v>
      </c>
      <c r="D73" s="1" t="s">
        <v>242</v>
      </c>
      <c r="E73" s="1">
        <v>5711</v>
      </c>
      <c r="F73" s="2">
        <v>7044455980</v>
      </c>
      <c r="G73" s="1">
        <v>542</v>
      </c>
      <c r="H73" s="7">
        <f t="shared" si="1"/>
        <v>246.74806434726062</v>
      </c>
      <c r="I73" s="1">
        <v>184</v>
      </c>
      <c r="J73" s="20"/>
      <c r="K73" s="20"/>
    </row>
    <row r="74" spans="1:11" ht="17.25" x14ac:dyDescent="0.3">
      <c r="A74" s="6" t="s">
        <v>229</v>
      </c>
      <c r="B74" s="17" t="s">
        <v>31</v>
      </c>
      <c r="C74" s="1" t="s">
        <v>256</v>
      </c>
      <c r="D74" s="1" t="s">
        <v>243</v>
      </c>
      <c r="E74" s="1">
        <v>5711</v>
      </c>
      <c r="F74" s="2">
        <v>7044455980</v>
      </c>
      <c r="G74" s="1">
        <v>542</v>
      </c>
      <c r="H74" s="7">
        <f t="shared" si="1"/>
        <v>246.74806434726062</v>
      </c>
      <c r="I74" s="1">
        <v>184</v>
      </c>
      <c r="J74" s="20"/>
      <c r="K74" s="20"/>
    </row>
    <row r="75" spans="1:11" ht="17.25" x14ac:dyDescent="0.3">
      <c r="A75" s="6" t="s">
        <v>229</v>
      </c>
      <c r="B75" s="17" t="s">
        <v>31</v>
      </c>
      <c r="C75" s="1" t="s">
        <v>256</v>
      </c>
      <c r="D75" s="1" t="s">
        <v>244</v>
      </c>
      <c r="E75" s="1">
        <v>5711</v>
      </c>
      <c r="F75" s="2">
        <v>7044455980</v>
      </c>
      <c r="G75" s="1">
        <v>542</v>
      </c>
      <c r="H75" s="7">
        <f t="shared" si="1"/>
        <v>246.74806434726062</v>
      </c>
      <c r="I75" s="1">
        <v>184</v>
      </c>
      <c r="J75" s="20"/>
      <c r="K75" s="20"/>
    </row>
    <row r="76" spans="1:11" ht="17.25" x14ac:dyDescent="0.3">
      <c r="A76" s="6" t="s">
        <v>229</v>
      </c>
      <c r="B76" s="17" t="s">
        <v>31</v>
      </c>
      <c r="C76" s="1" t="s">
        <v>256</v>
      </c>
      <c r="D76" s="1" t="s">
        <v>257</v>
      </c>
      <c r="E76" s="1">
        <v>5711</v>
      </c>
      <c r="F76" s="2">
        <v>7044455980</v>
      </c>
      <c r="G76" s="1">
        <v>542</v>
      </c>
      <c r="H76" s="7">
        <f t="shared" si="1"/>
        <v>246.74806434726062</v>
      </c>
      <c r="I76" s="1">
        <v>184</v>
      </c>
      <c r="J76" s="20"/>
      <c r="K76" s="20"/>
    </row>
    <row r="77" spans="1:11" ht="17.25" x14ac:dyDescent="0.3">
      <c r="A77" s="6" t="s">
        <v>229</v>
      </c>
      <c r="B77" s="17" t="s">
        <v>31</v>
      </c>
      <c r="C77" s="1" t="s">
        <v>256</v>
      </c>
      <c r="D77" s="1" t="s">
        <v>248</v>
      </c>
      <c r="E77" s="1">
        <v>5711</v>
      </c>
      <c r="F77" s="2">
        <v>7044455980</v>
      </c>
      <c r="G77" s="1">
        <v>542</v>
      </c>
      <c r="H77" s="7">
        <f t="shared" si="1"/>
        <v>246.74806434726062</v>
      </c>
      <c r="I77" s="1">
        <v>184</v>
      </c>
      <c r="J77" s="20"/>
      <c r="K77" s="20"/>
    </row>
    <row r="78" spans="1:11" ht="17.25" x14ac:dyDescent="0.3">
      <c r="A78" s="6" t="s">
        <v>229</v>
      </c>
      <c r="B78" s="17" t="s">
        <v>31</v>
      </c>
      <c r="C78" s="1" t="s">
        <v>256</v>
      </c>
      <c r="D78" s="1" t="s">
        <v>258</v>
      </c>
      <c r="E78" s="1">
        <v>5711</v>
      </c>
      <c r="F78" s="2">
        <v>7044455980</v>
      </c>
      <c r="G78" s="1">
        <v>542</v>
      </c>
      <c r="H78" s="7">
        <f t="shared" si="1"/>
        <v>246.74806434726062</v>
      </c>
      <c r="I78" s="1">
        <v>184</v>
      </c>
      <c r="J78" s="20"/>
      <c r="K78" s="20"/>
    </row>
    <row r="79" spans="1:11" ht="17.25" x14ac:dyDescent="0.3">
      <c r="A79" s="6" t="s">
        <v>229</v>
      </c>
      <c r="B79" s="17" t="s">
        <v>31</v>
      </c>
      <c r="C79" s="1" t="s">
        <v>256</v>
      </c>
      <c r="D79" s="1" t="s">
        <v>249</v>
      </c>
      <c r="E79" s="1">
        <v>5711</v>
      </c>
      <c r="F79" s="2">
        <v>7044455980</v>
      </c>
      <c r="G79" s="1">
        <v>542</v>
      </c>
      <c r="H79" s="7">
        <f t="shared" si="1"/>
        <v>246.74806434726062</v>
      </c>
      <c r="I79" s="1">
        <v>184</v>
      </c>
      <c r="J79" s="20"/>
      <c r="K79" s="20"/>
    </row>
    <row r="80" spans="1:11" ht="17.25" x14ac:dyDescent="0.3">
      <c r="A80" s="6" t="s">
        <v>229</v>
      </c>
      <c r="B80" s="17" t="s">
        <v>31</v>
      </c>
      <c r="C80" s="1" t="s">
        <v>256</v>
      </c>
      <c r="D80" s="1" t="s">
        <v>259</v>
      </c>
      <c r="E80" s="1">
        <v>5711</v>
      </c>
      <c r="F80" s="2">
        <v>7044455980</v>
      </c>
      <c r="G80" s="1">
        <v>542</v>
      </c>
      <c r="H80" s="7">
        <f t="shared" si="1"/>
        <v>246.74806434726062</v>
      </c>
      <c r="I80" s="1">
        <v>184</v>
      </c>
      <c r="J80" s="20"/>
      <c r="K80" s="20"/>
    </row>
    <row r="81" spans="1:11" ht="17.25" x14ac:dyDescent="0.3">
      <c r="A81" s="6" t="s">
        <v>229</v>
      </c>
      <c r="B81" s="17" t="s">
        <v>31</v>
      </c>
      <c r="C81" s="1" t="s">
        <v>256</v>
      </c>
      <c r="D81" s="1" t="s">
        <v>250</v>
      </c>
      <c r="E81" s="1">
        <v>5711</v>
      </c>
      <c r="F81" s="2">
        <v>7044455980</v>
      </c>
      <c r="G81" s="1">
        <v>542</v>
      </c>
      <c r="H81" s="7">
        <f t="shared" si="1"/>
        <v>246.74806434726062</v>
      </c>
      <c r="I81" s="1">
        <v>184</v>
      </c>
      <c r="J81" s="20"/>
      <c r="K81" s="20"/>
    </row>
    <row r="82" spans="1:11" ht="17.25" x14ac:dyDescent="0.3">
      <c r="A82" s="6" t="s">
        <v>229</v>
      </c>
      <c r="B82" s="17" t="s">
        <v>31</v>
      </c>
      <c r="C82" s="1" t="s">
        <v>256</v>
      </c>
      <c r="D82" s="1" t="s">
        <v>260</v>
      </c>
      <c r="E82" s="1">
        <v>5711</v>
      </c>
      <c r="F82" s="2">
        <v>7044455980</v>
      </c>
      <c r="G82" s="1">
        <v>542</v>
      </c>
      <c r="H82" s="7">
        <f t="shared" si="1"/>
        <v>246.74806434726062</v>
      </c>
      <c r="I82" s="1">
        <v>184</v>
      </c>
      <c r="J82" s="20"/>
      <c r="K82" s="20"/>
    </row>
    <row r="83" spans="1:11" ht="17.25" x14ac:dyDescent="0.3">
      <c r="A83" s="6" t="s">
        <v>229</v>
      </c>
      <c r="B83" s="17" t="s">
        <v>31</v>
      </c>
      <c r="C83" s="1" t="s">
        <v>256</v>
      </c>
      <c r="D83" s="1" t="s">
        <v>251</v>
      </c>
      <c r="E83" s="1">
        <v>5711</v>
      </c>
      <c r="F83" s="2">
        <v>7044455980</v>
      </c>
      <c r="G83" s="1">
        <v>542</v>
      </c>
      <c r="H83" s="7">
        <f t="shared" si="1"/>
        <v>246.74806434726062</v>
      </c>
      <c r="I83" s="1">
        <v>184</v>
      </c>
      <c r="J83" s="20"/>
      <c r="K83" s="20"/>
    </row>
    <row r="84" spans="1:11" ht="17.25" x14ac:dyDescent="0.3">
      <c r="A84" s="6" t="s">
        <v>229</v>
      </c>
      <c r="B84" s="17" t="s">
        <v>31</v>
      </c>
      <c r="C84" s="1" t="s">
        <v>256</v>
      </c>
      <c r="D84" s="1" t="s">
        <v>261</v>
      </c>
      <c r="E84" s="1">
        <v>5711</v>
      </c>
      <c r="F84" s="2">
        <v>7044455980</v>
      </c>
      <c r="G84" s="1">
        <v>542</v>
      </c>
      <c r="H84" s="7">
        <f t="shared" si="1"/>
        <v>246.74806434726062</v>
      </c>
      <c r="I84" s="1">
        <v>184</v>
      </c>
      <c r="J84" s="20"/>
      <c r="K84" s="20"/>
    </row>
    <row r="85" spans="1:11" ht="17.25" x14ac:dyDescent="0.3">
      <c r="A85" s="6" t="s">
        <v>229</v>
      </c>
      <c r="B85" s="17" t="s">
        <v>31</v>
      </c>
      <c r="C85" s="1" t="s">
        <v>256</v>
      </c>
      <c r="D85" s="1" t="s">
        <v>252</v>
      </c>
      <c r="E85" s="1">
        <v>5711</v>
      </c>
      <c r="F85" s="2">
        <v>7044455980</v>
      </c>
      <c r="G85" s="1">
        <v>542</v>
      </c>
      <c r="H85" s="7">
        <f t="shared" si="1"/>
        <v>246.74806434726062</v>
      </c>
      <c r="I85" s="1">
        <v>184</v>
      </c>
      <c r="J85" s="20"/>
      <c r="K85" s="20"/>
    </row>
    <row r="86" spans="1:11" ht="17.25" x14ac:dyDescent="0.3">
      <c r="A86" s="6" t="s">
        <v>229</v>
      </c>
      <c r="B86" s="17" t="s">
        <v>31</v>
      </c>
      <c r="C86" s="1" t="s">
        <v>256</v>
      </c>
      <c r="D86" s="1" t="s">
        <v>262</v>
      </c>
      <c r="E86" s="1">
        <v>5711</v>
      </c>
      <c r="F86" s="2">
        <v>7044455980</v>
      </c>
      <c r="G86" s="1">
        <v>542</v>
      </c>
      <c r="H86" s="7">
        <f t="shared" si="1"/>
        <v>246.74806434726062</v>
      </c>
      <c r="I86" s="1">
        <v>184</v>
      </c>
      <c r="J86" s="20"/>
      <c r="K86" s="20"/>
    </row>
    <row r="87" spans="1:11" ht="17.25" x14ac:dyDescent="0.3">
      <c r="A87" s="6" t="s">
        <v>229</v>
      </c>
      <c r="B87" s="17" t="s">
        <v>31</v>
      </c>
      <c r="C87" s="1" t="s">
        <v>256</v>
      </c>
      <c r="D87" s="1" t="s">
        <v>253</v>
      </c>
      <c r="E87" s="1">
        <v>5711</v>
      </c>
      <c r="F87" s="2">
        <v>7044455980</v>
      </c>
      <c r="G87" s="1">
        <v>542</v>
      </c>
      <c r="H87" s="7">
        <f>I87/0.745699872</f>
        <v>246.74806434726062</v>
      </c>
      <c r="I87" s="1">
        <v>184</v>
      </c>
      <c r="J87" s="20"/>
      <c r="K87" s="20"/>
    </row>
    <row r="88" spans="1:11" ht="17.25" x14ac:dyDescent="0.3">
      <c r="A88" s="6" t="s">
        <v>229</v>
      </c>
      <c r="B88" s="17" t="s">
        <v>31</v>
      </c>
      <c r="C88" s="1" t="s">
        <v>263</v>
      </c>
      <c r="D88" s="1" t="s">
        <v>231</v>
      </c>
      <c r="E88" s="1">
        <v>5711</v>
      </c>
      <c r="F88" s="2">
        <v>7044455980</v>
      </c>
      <c r="G88" s="1">
        <v>700</v>
      </c>
      <c r="H88" s="7">
        <v>100</v>
      </c>
      <c r="I88" s="7">
        <f>H88*0.745699872</f>
        <v>74.5699872</v>
      </c>
      <c r="J88" s="20"/>
      <c r="K88" s="20"/>
    </row>
    <row r="89" spans="1:11" ht="17.25" x14ac:dyDescent="0.3">
      <c r="A89" s="6" t="s">
        <v>229</v>
      </c>
      <c r="B89" s="17" t="s">
        <v>31</v>
      </c>
      <c r="C89" s="1" t="s">
        <v>263</v>
      </c>
      <c r="D89" s="1" t="s">
        <v>232</v>
      </c>
      <c r="E89" s="1">
        <v>5711</v>
      </c>
      <c r="F89" s="2">
        <v>7044455980</v>
      </c>
      <c r="G89" s="1">
        <v>700</v>
      </c>
      <c r="H89" s="7">
        <v>100</v>
      </c>
      <c r="I89" s="7">
        <f t="shared" ref="I89:I109" si="2">H89*0.745699872</f>
        <v>74.5699872</v>
      </c>
      <c r="J89" s="20"/>
      <c r="K89" s="20"/>
    </row>
    <row r="90" spans="1:11" ht="17.25" x14ac:dyDescent="0.3">
      <c r="A90" s="6" t="s">
        <v>229</v>
      </c>
      <c r="B90" s="17" t="s">
        <v>31</v>
      </c>
      <c r="C90" s="1" t="s">
        <v>263</v>
      </c>
      <c r="D90" s="1" t="s">
        <v>233</v>
      </c>
      <c r="E90" s="1">
        <v>5711</v>
      </c>
      <c r="F90" s="2">
        <v>7044455980</v>
      </c>
      <c r="G90" s="1">
        <v>700</v>
      </c>
      <c r="H90" s="7">
        <v>100</v>
      </c>
      <c r="I90" s="7">
        <f t="shared" si="2"/>
        <v>74.5699872</v>
      </c>
      <c r="J90" s="20"/>
      <c r="K90" s="20"/>
    </row>
    <row r="91" spans="1:11" ht="17.25" x14ac:dyDescent="0.3">
      <c r="A91" s="6" t="s">
        <v>229</v>
      </c>
      <c r="B91" s="17" t="s">
        <v>31</v>
      </c>
      <c r="C91" s="1" t="s">
        <v>264</v>
      </c>
      <c r="D91" s="1" t="s">
        <v>265</v>
      </c>
      <c r="E91" s="1">
        <v>5711</v>
      </c>
      <c r="F91" s="2">
        <v>7044455980</v>
      </c>
      <c r="G91" s="1">
        <v>6500</v>
      </c>
      <c r="H91" s="7">
        <v>300</v>
      </c>
      <c r="I91" s="7">
        <f>H91*0.745699872</f>
        <v>223.70996159999999</v>
      </c>
      <c r="J91" s="20"/>
      <c r="K91" s="20"/>
    </row>
    <row r="92" spans="1:11" ht="17.25" x14ac:dyDescent="0.3">
      <c r="A92" s="6" t="s">
        <v>229</v>
      </c>
      <c r="B92" s="17" t="s">
        <v>31</v>
      </c>
      <c r="C92" s="1" t="s">
        <v>266</v>
      </c>
      <c r="D92" s="1" t="s">
        <v>265</v>
      </c>
      <c r="E92" s="1">
        <v>5711</v>
      </c>
      <c r="F92" s="2">
        <v>7044455980</v>
      </c>
      <c r="G92" s="1">
        <v>3500</v>
      </c>
      <c r="H92" s="7">
        <v>150</v>
      </c>
      <c r="I92" s="7">
        <f>H92*0.745699872</f>
        <v>111.85498079999999</v>
      </c>
      <c r="J92" s="20"/>
      <c r="K92" s="20"/>
    </row>
    <row r="93" spans="1:11" ht="17.25" x14ac:dyDescent="0.3">
      <c r="A93" s="6" t="s">
        <v>55</v>
      </c>
      <c r="B93" s="17" t="s">
        <v>12</v>
      </c>
      <c r="C93" s="1" t="s">
        <v>267</v>
      </c>
      <c r="D93" s="1" t="s">
        <v>231</v>
      </c>
      <c r="E93" s="1">
        <v>2160</v>
      </c>
      <c r="F93" s="22">
        <v>212156183</v>
      </c>
      <c r="G93" s="1">
        <v>500</v>
      </c>
      <c r="H93" s="1">
        <v>280</v>
      </c>
      <c r="I93" s="7">
        <f t="shared" si="2"/>
        <v>208.79596415999998</v>
      </c>
      <c r="J93" s="20"/>
      <c r="K93" s="20"/>
    </row>
    <row r="94" spans="1:11" ht="17.25" x14ac:dyDescent="0.3">
      <c r="A94" s="6" t="s">
        <v>55</v>
      </c>
      <c r="B94" s="17" t="s">
        <v>12</v>
      </c>
      <c r="C94" s="1" t="s">
        <v>268</v>
      </c>
      <c r="D94" s="1" t="s">
        <v>231</v>
      </c>
      <c r="E94" s="1">
        <v>2160</v>
      </c>
      <c r="F94" s="22">
        <v>212156183</v>
      </c>
      <c r="G94" s="1">
        <v>500</v>
      </c>
      <c r="H94" s="1">
        <v>280</v>
      </c>
      <c r="I94" s="7">
        <f t="shared" si="2"/>
        <v>208.79596415999998</v>
      </c>
      <c r="J94" s="20"/>
      <c r="K94" s="20"/>
    </row>
    <row r="95" spans="1:11" ht="17.25" x14ac:dyDescent="0.3">
      <c r="A95" s="6" t="s">
        <v>55</v>
      </c>
      <c r="B95" s="17" t="s">
        <v>12</v>
      </c>
      <c r="C95" s="1" t="s">
        <v>269</v>
      </c>
      <c r="D95" s="1" t="s">
        <v>231</v>
      </c>
      <c r="E95" s="1">
        <v>2160</v>
      </c>
      <c r="F95" s="22">
        <v>212156183</v>
      </c>
      <c r="G95" s="1">
        <v>500</v>
      </c>
      <c r="H95" s="1">
        <v>280</v>
      </c>
      <c r="I95" s="7">
        <f t="shared" si="2"/>
        <v>208.79596415999998</v>
      </c>
      <c r="J95" s="20"/>
      <c r="K95" s="20"/>
    </row>
    <row r="96" spans="1:11" ht="17.25" x14ac:dyDescent="0.3">
      <c r="A96" s="6" t="s">
        <v>55</v>
      </c>
      <c r="B96" s="17" t="s">
        <v>12</v>
      </c>
      <c r="C96" s="1" t="s">
        <v>270</v>
      </c>
      <c r="D96" s="1" t="s">
        <v>231</v>
      </c>
      <c r="E96" s="1">
        <v>700</v>
      </c>
      <c r="F96" s="22">
        <v>209723891</v>
      </c>
      <c r="G96" s="1">
        <v>500</v>
      </c>
      <c r="H96" s="1">
        <v>280</v>
      </c>
      <c r="I96" s="7">
        <f t="shared" si="2"/>
        <v>208.79596415999998</v>
      </c>
      <c r="J96" s="20"/>
      <c r="K96" s="20"/>
    </row>
    <row r="97" spans="1:11" ht="17.25" x14ac:dyDescent="0.3">
      <c r="A97" s="39" t="s">
        <v>55</v>
      </c>
      <c r="B97" s="40" t="s">
        <v>12</v>
      </c>
      <c r="C97" s="41" t="s">
        <v>271</v>
      </c>
      <c r="D97" s="41" t="s">
        <v>231</v>
      </c>
      <c r="E97" s="41">
        <v>2160</v>
      </c>
      <c r="F97" s="42">
        <v>212156183</v>
      </c>
      <c r="G97" s="41">
        <v>135</v>
      </c>
      <c r="H97" s="41">
        <v>115</v>
      </c>
      <c r="I97" s="43">
        <f t="shared" si="2"/>
        <v>85.755485280000002</v>
      </c>
      <c r="J97" s="20"/>
      <c r="K97" s="20"/>
    </row>
    <row r="98" spans="1:11" ht="17.25" x14ac:dyDescent="0.3">
      <c r="A98" s="6" t="s">
        <v>55</v>
      </c>
      <c r="B98" s="17" t="s">
        <v>12</v>
      </c>
      <c r="C98" s="1" t="s">
        <v>272</v>
      </c>
      <c r="D98" s="1" t="s">
        <v>231</v>
      </c>
      <c r="E98" s="1">
        <v>2160</v>
      </c>
      <c r="F98" s="22">
        <v>212156183</v>
      </c>
      <c r="G98" s="1">
        <v>395</v>
      </c>
      <c r="H98" s="1">
        <v>280</v>
      </c>
      <c r="I98" s="7">
        <f t="shared" si="2"/>
        <v>208.79596415999998</v>
      </c>
      <c r="J98" s="20"/>
      <c r="K98" s="20"/>
    </row>
    <row r="99" spans="1:11" ht="17.25" x14ac:dyDescent="0.3">
      <c r="A99" s="39" t="s">
        <v>55</v>
      </c>
      <c r="B99" s="40" t="s">
        <v>31</v>
      </c>
      <c r="C99" s="41" t="s">
        <v>273</v>
      </c>
      <c r="D99" s="41" t="s">
        <v>231</v>
      </c>
      <c r="E99" s="41">
        <v>2160</v>
      </c>
      <c r="F99" s="42">
        <v>212156183</v>
      </c>
      <c r="G99" s="41">
        <v>233</v>
      </c>
      <c r="H99" s="41">
        <v>130</v>
      </c>
      <c r="I99" s="43">
        <f t="shared" si="2"/>
        <v>96.940983360000004</v>
      </c>
      <c r="J99" s="20"/>
      <c r="K99" s="20"/>
    </row>
    <row r="100" spans="1:11" ht="17.25" x14ac:dyDescent="0.3">
      <c r="A100" s="6" t="s">
        <v>55</v>
      </c>
      <c r="B100" s="17" t="s">
        <v>31</v>
      </c>
      <c r="C100" s="1" t="s">
        <v>274</v>
      </c>
      <c r="D100" s="1" t="s">
        <v>231</v>
      </c>
      <c r="E100" s="1">
        <v>2160</v>
      </c>
      <c r="F100" s="22">
        <v>212156183</v>
      </c>
      <c r="G100" s="1">
        <v>500</v>
      </c>
      <c r="H100" s="1">
        <v>280</v>
      </c>
      <c r="I100" s="7">
        <f t="shared" si="2"/>
        <v>208.79596415999998</v>
      </c>
      <c r="J100" s="20"/>
      <c r="K100" s="20"/>
    </row>
    <row r="101" spans="1:11" ht="17.25" x14ac:dyDescent="0.3">
      <c r="A101" s="6" t="s">
        <v>55</v>
      </c>
      <c r="B101" s="17" t="s">
        <v>31</v>
      </c>
      <c r="C101" s="1" t="s">
        <v>275</v>
      </c>
      <c r="D101" s="1" t="s">
        <v>231</v>
      </c>
      <c r="E101" s="1">
        <v>2160</v>
      </c>
      <c r="F101" s="22">
        <v>212156183</v>
      </c>
      <c r="G101" s="1">
        <v>500</v>
      </c>
      <c r="H101" s="1">
        <v>280</v>
      </c>
      <c r="I101" s="7">
        <f t="shared" si="2"/>
        <v>208.79596415999998</v>
      </c>
      <c r="J101" s="20"/>
      <c r="K101" s="20"/>
    </row>
    <row r="102" spans="1:11" ht="17.25" x14ac:dyDescent="0.3">
      <c r="A102" s="6" t="s">
        <v>55</v>
      </c>
      <c r="B102" s="17" t="s">
        <v>31</v>
      </c>
      <c r="C102" s="1" t="s">
        <v>276</v>
      </c>
      <c r="D102" s="1" t="s">
        <v>231</v>
      </c>
      <c r="E102" s="1">
        <v>2160</v>
      </c>
      <c r="F102" s="22">
        <v>212156183</v>
      </c>
      <c r="G102" s="1">
        <v>500</v>
      </c>
      <c r="H102" s="1">
        <v>280</v>
      </c>
      <c r="I102" s="7">
        <f t="shared" si="2"/>
        <v>208.79596415999998</v>
      </c>
      <c r="J102" s="20"/>
      <c r="K102" s="20"/>
    </row>
    <row r="103" spans="1:11" ht="17.25" x14ac:dyDescent="0.3">
      <c r="A103" s="6" t="s">
        <v>55</v>
      </c>
      <c r="B103" s="17" t="s">
        <v>31</v>
      </c>
      <c r="C103" s="1" t="s">
        <v>277</v>
      </c>
      <c r="D103" s="1" t="s">
        <v>231</v>
      </c>
      <c r="E103" s="1">
        <v>2160</v>
      </c>
      <c r="F103" s="22">
        <v>212156183</v>
      </c>
      <c r="G103" s="1">
        <v>500</v>
      </c>
      <c r="H103" s="1">
        <v>280</v>
      </c>
      <c r="I103" s="7">
        <f t="shared" si="2"/>
        <v>208.79596415999998</v>
      </c>
      <c r="J103" s="20"/>
      <c r="K103" s="20"/>
    </row>
    <row r="104" spans="1:11" ht="17.25" x14ac:dyDescent="0.3">
      <c r="A104" s="6" t="s">
        <v>55</v>
      </c>
      <c r="B104" s="17" t="s">
        <v>31</v>
      </c>
      <c r="C104" s="1" t="s">
        <v>278</v>
      </c>
      <c r="D104" s="1" t="s">
        <v>231</v>
      </c>
      <c r="E104" s="1">
        <v>2160</v>
      </c>
      <c r="F104" s="22">
        <v>212156183</v>
      </c>
      <c r="G104" s="1">
        <v>500</v>
      </c>
      <c r="H104" s="1">
        <v>280</v>
      </c>
      <c r="I104" s="7">
        <f t="shared" si="2"/>
        <v>208.79596415999998</v>
      </c>
      <c r="J104" s="20"/>
      <c r="K104" s="20"/>
    </row>
    <row r="105" spans="1:11" ht="17.25" x14ac:dyDescent="0.3">
      <c r="A105" s="6" t="s">
        <v>55</v>
      </c>
      <c r="B105" s="17" t="s">
        <v>31</v>
      </c>
      <c r="C105" s="1" t="s">
        <v>279</v>
      </c>
      <c r="D105" s="1" t="s">
        <v>231</v>
      </c>
      <c r="E105" s="1">
        <v>2160</v>
      </c>
      <c r="F105" s="22">
        <v>212156183</v>
      </c>
      <c r="G105" s="1">
        <v>500</v>
      </c>
      <c r="H105" s="1">
        <v>280</v>
      </c>
      <c r="I105" s="7">
        <f t="shared" si="2"/>
        <v>208.79596415999998</v>
      </c>
      <c r="J105" s="20"/>
      <c r="K105" s="20"/>
    </row>
    <row r="106" spans="1:11" ht="17.25" x14ac:dyDescent="0.3">
      <c r="A106" s="6" t="s">
        <v>229</v>
      </c>
      <c r="B106" s="17" t="s">
        <v>44</v>
      </c>
      <c r="C106" s="1" t="s">
        <v>280</v>
      </c>
      <c r="D106" s="1" t="s">
        <v>231</v>
      </c>
      <c r="E106" s="1">
        <v>5711</v>
      </c>
      <c r="F106" s="22">
        <v>7044455980</v>
      </c>
      <c r="G106" s="1">
        <v>280</v>
      </c>
      <c r="H106" s="1">
        <v>280</v>
      </c>
      <c r="I106" s="7">
        <f>H106*0.745699872</f>
        <v>208.79596415999998</v>
      </c>
      <c r="J106" s="20"/>
      <c r="K106" s="20"/>
    </row>
    <row r="107" spans="1:11" ht="17.25" x14ac:dyDescent="0.3">
      <c r="A107" s="6" t="s">
        <v>229</v>
      </c>
      <c r="B107" s="17" t="s">
        <v>44</v>
      </c>
      <c r="C107" s="1" t="s">
        <v>281</v>
      </c>
      <c r="D107" s="1" t="s">
        <v>231</v>
      </c>
      <c r="E107" s="1">
        <v>5711</v>
      </c>
      <c r="F107" s="22">
        <v>7044455980</v>
      </c>
      <c r="G107" s="1" t="s">
        <v>282</v>
      </c>
      <c r="H107" s="1">
        <v>280</v>
      </c>
      <c r="I107" s="7">
        <f t="shared" si="2"/>
        <v>208.79596415999998</v>
      </c>
      <c r="J107" s="20"/>
      <c r="K107" s="20"/>
    </row>
    <row r="108" spans="1:11" ht="17.25" x14ac:dyDescent="0.3">
      <c r="A108" s="6" t="s">
        <v>229</v>
      </c>
      <c r="B108" s="17" t="s">
        <v>44</v>
      </c>
      <c r="C108" s="1" t="s">
        <v>283</v>
      </c>
      <c r="D108" s="1" t="s">
        <v>231</v>
      </c>
      <c r="E108" s="1">
        <v>5711</v>
      </c>
      <c r="F108" s="22">
        <v>7044455980</v>
      </c>
      <c r="G108" s="1">
        <v>374</v>
      </c>
      <c r="H108" s="1">
        <v>330</v>
      </c>
      <c r="I108" s="7">
        <f>H108*0.745699872</f>
        <v>246.08095775999999</v>
      </c>
      <c r="J108" s="20"/>
      <c r="K108" s="20"/>
    </row>
    <row r="109" spans="1:11" ht="17.25" x14ac:dyDescent="0.3">
      <c r="A109" s="6" t="s">
        <v>229</v>
      </c>
      <c r="B109" s="17" t="s">
        <v>44</v>
      </c>
      <c r="C109" s="1" t="s">
        <v>284</v>
      </c>
      <c r="D109" s="1" t="s">
        <v>231</v>
      </c>
      <c r="E109" s="1">
        <v>5711</v>
      </c>
      <c r="F109" s="22">
        <v>7044455980</v>
      </c>
      <c r="G109" s="1">
        <v>394.5</v>
      </c>
      <c r="H109" s="1">
        <v>330</v>
      </c>
      <c r="I109" s="7">
        <f t="shared" si="2"/>
        <v>246.08095775999999</v>
      </c>
      <c r="J109" s="20"/>
      <c r="K109" s="20"/>
    </row>
    <row r="110" spans="1:11" ht="17.25" x14ac:dyDescent="0.3">
      <c r="A110" s="6" t="s">
        <v>229</v>
      </c>
      <c r="B110" s="17" t="s">
        <v>44</v>
      </c>
      <c r="C110" s="1" t="s">
        <v>285</v>
      </c>
      <c r="D110" s="1" t="s">
        <v>231</v>
      </c>
      <c r="E110" s="1">
        <v>5711</v>
      </c>
      <c r="F110" s="22">
        <v>7044455980</v>
      </c>
      <c r="G110" s="1">
        <v>366</v>
      </c>
      <c r="H110" s="1">
        <v>280</v>
      </c>
      <c r="I110" s="7">
        <f>H110*0.745699872</f>
        <v>208.79596415999998</v>
      </c>
      <c r="J110" s="20"/>
      <c r="K110" s="20"/>
    </row>
    <row r="111" spans="1:11" ht="17.25" x14ac:dyDescent="0.3">
      <c r="A111" s="6" t="s">
        <v>229</v>
      </c>
      <c r="B111" s="17" t="s">
        <v>44</v>
      </c>
      <c r="C111" s="1" t="s">
        <v>286</v>
      </c>
      <c r="D111" s="1" t="s">
        <v>231</v>
      </c>
      <c r="E111" s="1">
        <v>5711</v>
      </c>
      <c r="F111" s="22">
        <v>7044455980</v>
      </c>
      <c r="G111" s="1">
        <v>205</v>
      </c>
      <c r="H111" s="1">
        <v>180</v>
      </c>
      <c r="I111" s="7">
        <f>H111*0.745699872</f>
        <v>134.22597696</v>
      </c>
      <c r="J111" s="20"/>
      <c r="K111" s="20"/>
    </row>
    <row r="112" spans="1:11" ht="17.25" x14ac:dyDescent="0.3">
      <c r="A112" s="6" t="s">
        <v>229</v>
      </c>
      <c r="B112" s="17" t="s">
        <v>44</v>
      </c>
      <c r="C112" s="1" t="s">
        <v>287</v>
      </c>
      <c r="D112" s="1" t="s">
        <v>231</v>
      </c>
      <c r="E112" s="1">
        <v>5711</v>
      </c>
      <c r="F112" s="22">
        <v>7044455980</v>
      </c>
      <c r="G112" s="1">
        <v>242</v>
      </c>
      <c r="H112" s="1">
        <v>180</v>
      </c>
      <c r="I112" s="7">
        <f>H112*0.745699872</f>
        <v>134.22597696</v>
      </c>
      <c r="J112" s="20"/>
      <c r="K112" s="20"/>
    </row>
  </sheetData>
  <autoFilter ref="A2:O112" xr:uid="{14A81208-739E-4003-84E8-E0AC4593E64F}"/>
  <mergeCells count="2">
    <mergeCell ref="A1:I1"/>
    <mergeCell ref="J1:K1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Infor. Reservatórios e C.Bombas</vt:lpstr>
      <vt:lpstr>Infor_Pivos</vt:lpstr>
      <vt:lpstr>Infor. Cap.. Elev.. e Poços </vt:lpstr>
      <vt:lpstr>Infor_Pivos!Criterios</vt:lpstr>
      <vt:lpstr>Laudo_P43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Kalito Silva</dc:creator>
  <cp:keywords/>
  <dc:description/>
  <cp:lastModifiedBy>Carlos Santos</cp:lastModifiedBy>
  <cp:revision/>
  <dcterms:created xsi:type="dcterms:W3CDTF">2021-12-22T23:48:28Z</dcterms:created>
  <dcterms:modified xsi:type="dcterms:W3CDTF">2026-08-05T16:48:17Z</dcterms:modified>
  <cp:category/>
  <cp:contentStatus/>
</cp:coreProperties>
</file>