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Arquivos_Equipamentos/"/>
    </mc:Choice>
  </mc:AlternateContent>
  <xr:revisionPtr revIDLastSave="169" documentId="13_ncr:1_{C519006D-3C96-436E-9388-8C01D8A3A47E}" xr6:coauthVersionLast="47" xr6:coauthVersionMax="47" xr10:uidLastSave="{4A55340A-F45F-42DD-92D4-D65518D8F505}"/>
  <bookViews>
    <workbookView xWindow="-110" yWindow="-110" windowWidth="19420" windowHeight="10300" xr2:uid="{00000000-000D-0000-FFFF-FFFF00000000}"/>
  </bookViews>
  <sheets>
    <sheet name="Karitel" sheetId="1" r:id="rId1"/>
    <sheet name="RD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0" i="1" l="1"/>
  <c r="F159" i="1"/>
  <c r="E160" i="1"/>
  <c r="D160" i="1"/>
  <c r="C160" i="1"/>
  <c r="U159" i="1"/>
  <c r="T159" i="1"/>
  <c r="T160" i="1"/>
  <c r="S159" i="1"/>
  <c r="R159" i="1"/>
  <c r="R160" i="1"/>
  <c r="Q159" i="1"/>
  <c r="P159" i="1"/>
  <c r="P160" i="1"/>
  <c r="O159" i="1"/>
  <c r="N159" i="1"/>
  <c r="N160" i="1"/>
  <c r="M159" i="1"/>
  <c r="L159" i="1"/>
  <c r="L160" i="1"/>
  <c r="K159" i="1"/>
  <c r="K160" i="1"/>
  <c r="M160" i="1" s="1"/>
  <c r="O160" i="1" s="1"/>
  <c r="Q160" i="1" s="1"/>
  <c r="S160" i="1" s="1"/>
  <c r="U160" i="1" s="1"/>
  <c r="J159" i="1"/>
  <c r="J160" i="1"/>
  <c r="I159" i="1"/>
  <c r="I160" i="1"/>
  <c r="H159" i="1"/>
  <c r="H160" i="1"/>
  <c r="G159" i="1"/>
  <c r="G160" i="1"/>
  <c r="E159" i="1"/>
  <c r="D159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6" i="1"/>
  <c r="C157" i="1"/>
  <c r="C158" i="1"/>
  <c r="C15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C76" i="1"/>
  <c r="C77" i="1"/>
  <c r="C78" i="1"/>
  <c r="C79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H41" i="1"/>
  <c r="J25" i="1"/>
  <c r="F31" i="1" l="1"/>
  <c r="H20" i="2"/>
  <c r="C61" i="1"/>
  <c r="G76" i="1"/>
  <c r="J49" i="1"/>
  <c r="C49" i="1"/>
  <c r="H26" i="1"/>
  <c r="C67" i="2"/>
  <c r="D67" i="2"/>
  <c r="H22" i="1"/>
  <c r="J65" i="2"/>
  <c r="E65" i="2"/>
  <c r="F65" i="2"/>
  <c r="G65" i="2"/>
  <c r="H65" i="2"/>
  <c r="I65" i="2"/>
  <c r="K65" i="2"/>
  <c r="L65" i="2"/>
  <c r="M65" i="2"/>
  <c r="N65" i="2"/>
  <c r="O65" i="2"/>
  <c r="P65" i="2"/>
  <c r="Q65" i="2"/>
  <c r="R65" i="2"/>
  <c r="S65" i="2"/>
  <c r="T65" i="2"/>
  <c r="U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D66" i="2"/>
  <c r="C66" i="2"/>
  <c r="D65" i="2"/>
  <c r="C65" i="2"/>
  <c r="C64" i="2"/>
  <c r="L32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E32" i="2"/>
  <c r="F32" i="2"/>
  <c r="G32" i="2"/>
  <c r="H32" i="2"/>
  <c r="I32" i="2"/>
  <c r="J32" i="2"/>
  <c r="K32" i="2"/>
  <c r="M32" i="2"/>
  <c r="N32" i="2"/>
  <c r="O32" i="2"/>
  <c r="P32" i="2"/>
  <c r="Q32" i="2"/>
  <c r="R32" i="2"/>
  <c r="S32" i="2"/>
  <c r="T32" i="2"/>
  <c r="U32" i="2"/>
  <c r="D32" i="2"/>
  <c r="D31" i="2"/>
  <c r="C32" i="2"/>
  <c r="C30" i="2"/>
  <c r="C31" i="2"/>
  <c r="E38" i="2"/>
  <c r="E30" i="2"/>
  <c r="D30" i="2"/>
  <c r="J3" i="2"/>
  <c r="C14" i="1"/>
  <c r="L7" i="1"/>
  <c r="L9" i="1"/>
  <c r="J8" i="1"/>
  <c r="H18" i="1"/>
  <c r="L148" i="1"/>
  <c r="C141" i="1"/>
  <c r="D141" i="1"/>
  <c r="E141" i="1"/>
  <c r="F141" i="1"/>
  <c r="G141" i="1"/>
  <c r="H141" i="1"/>
  <c r="I141" i="1"/>
  <c r="J141" i="1"/>
  <c r="K141" i="1"/>
  <c r="M141" i="1" s="1"/>
  <c r="O141" i="1" s="1"/>
  <c r="Q141" i="1" s="1"/>
  <c r="S141" i="1" s="1"/>
  <c r="U141" i="1" s="1"/>
  <c r="L141" i="1"/>
  <c r="N141" i="1"/>
  <c r="P141" i="1"/>
  <c r="R141" i="1"/>
  <c r="T141" i="1"/>
  <c r="C142" i="1"/>
  <c r="D142" i="1"/>
  <c r="E142" i="1"/>
  <c r="F142" i="1"/>
  <c r="G142" i="1"/>
  <c r="H142" i="1"/>
  <c r="I142" i="1"/>
  <c r="J142" i="1"/>
  <c r="K142" i="1"/>
  <c r="M142" i="1" s="1"/>
  <c r="O142" i="1" s="1"/>
  <c r="Q142" i="1" s="1"/>
  <c r="S142" i="1" s="1"/>
  <c r="U142" i="1" s="1"/>
  <c r="L142" i="1"/>
  <c r="N142" i="1"/>
  <c r="P142" i="1"/>
  <c r="R142" i="1"/>
  <c r="T142" i="1"/>
  <c r="C143" i="1"/>
  <c r="D143" i="1"/>
  <c r="E143" i="1"/>
  <c r="F143" i="1"/>
  <c r="G143" i="1"/>
  <c r="H143" i="1"/>
  <c r="I143" i="1"/>
  <c r="J143" i="1"/>
  <c r="K143" i="1"/>
  <c r="M143" i="1" s="1"/>
  <c r="O143" i="1" s="1"/>
  <c r="Q143" i="1" s="1"/>
  <c r="S143" i="1" s="1"/>
  <c r="U143" i="1" s="1"/>
  <c r="L143" i="1"/>
  <c r="N143" i="1"/>
  <c r="P143" i="1"/>
  <c r="R143" i="1"/>
  <c r="T143" i="1"/>
  <c r="C144" i="1"/>
  <c r="D144" i="1"/>
  <c r="E144" i="1"/>
  <c r="F144" i="1"/>
  <c r="G144" i="1"/>
  <c r="H144" i="1"/>
  <c r="I144" i="1"/>
  <c r="J144" i="1"/>
  <c r="K144" i="1"/>
  <c r="M144" i="1" s="1"/>
  <c r="O144" i="1" s="1"/>
  <c r="Q144" i="1" s="1"/>
  <c r="S144" i="1" s="1"/>
  <c r="U144" i="1" s="1"/>
  <c r="L144" i="1"/>
  <c r="N144" i="1"/>
  <c r="P144" i="1"/>
  <c r="R144" i="1"/>
  <c r="T144" i="1"/>
  <c r="C145" i="1"/>
  <c r="D145" i="1"/>
  <c r="E145" i="1"/>
  <c r="F145" i="1"/>
  <c r="G145" i="1"/>
  <c r="H145" i="1"/>
  <c r="I145" i="1"/>
  <c r="J145" i="1"/>
  <c r="K145" i="1"/>
  <c r="M145" i="1" s="1"/>
  <c r="O145" i="1" s="1"/>
  <c r="Q145" i="1" s="1"/>
  <c r="S145" i="1" s="1"/>
  <c r="U145" i="1" s="1"/>
  <c r="L145" i="1"/>
  <c r="N145" i="1"/>
  <c r="P145" i="1"/>
  <c r="R145" i="1"/>
  <c r="T145" i="1"/>
  <c r="C146" i="1"/>
  <c r="D146" i="1"/>
  <c r="E146" i="1"/>
  <c r="F146" i="1"/>
  <c r="G146" i="1"/>
  <c r="H146" i="1"/>
  <c r="I146" i="1"/>
  <c r="J146" i="1"/>
  <c r="K146" i="1"/>
  <c r="M146" i="1" s="1"/>
  <c r="O146" i="1" s="1"/>
  <c r="Q146" i="1" s="1"/>
  <c r="S146" i="1" s="1"/>
  <c r="U146" i="1" s="1"/>
  <c r="L146" i="1"/>
  <c r="N146" i="1"/>
  <c r="P146" i="1"/>
  <c r="R146" i="1"/>
  <c r="T146" i="1"/>
  <c r="C147" i="1"/>
  <c r="D147" i="1"/>
  <c r="E147" i="1"/>
  <c r="F147" i="1"/>
  <c r="G147" i="1"/>
  <c r="H147" i="1"/>
  <c r="I147" i="1"/>
  <c r="J147" i="1"/>
  <c r="K147" i="1"/>
  <c r="M147" i="1" s="1"/>
  <c r="O147" i="1" s="1"/>
  <c r="Q147" i="1" s="1"/>
  <c r="S147" i="1" s="1"/>
  <c r="U147" i="1" s="1"/>
  <c r="L147" i="1"/>
  <c r="N147" i="1"/>
  <c r="P147" i="1"/>
  <c r="R147" i="1"/>
  <c r="T147" i="1"/>
  <c r="C148" i="1"/>
  <c r="D148" i="1"/>
  <c r="E148" i="1"/>
  <c r="F148" i="1"/>
  <c r="G148" i="1"/>
  <c r="H148" i="1"/>
  <c r="I148" i="1"/>
  <c r="J148" i="1"/>
  <c r="K148" i="1"/>
  <c r="M148" i="1" s="1"/>
  <c r="O148" i="1" s="1"/>
  <c r="Q148" i="1" s="1"/>
  <c r="S148" i="1" s="1"/>
  <c r="U148" i="1" s="1"/>
  <c r="N148" i="1"/>
  <c r="P148" i="1"/>
  <c r="R148" i="1"/>
  <c r="T148" i="1"/>
  <c r="C149" i="1"/>
  <c r="D149" i="1"/>
  <c r="E149" i="1"/>
  <c r="F149" i="1"/>
  <c r="G149" i="1"/>
  <c r="H149" i="1"/>
  <c r="I149" i="1"/>
  <c r="J149" i="1"/>
  <c r="K149" i="1"/>
  <c r="M149" i="1" s="1"/>
  <c r="O149" i="1" s="1"/>
  <c r="Q149" i="1" s="1"/>
  <c r="S149" i="1" s="1"/>
  <c r="U149" i="1" s="1"/>
  <c r="L149" i="1"/>
  <c r="N149" i="1"/>
  <c r="P149" i="1"/>
  <c r="R149" i="1"/>
  <c r="T149" i="1"/>
  <c r="C150" i="1"/>
  <c r="D150" i="1"/>
  <c r="E150" i="1"/>
  <c r="F150" i="1"/>
  <c r="G150" i="1"/>
  <c r="H150" i="1"/>
  <c r="I150" i="1"/>
  <c r="J150" i="1"/>
  <c r="K150" i="1"/>
  <c r="M150" i="1" s="1"/>
  <c r="O150" i="1" s="1"/>
  <c r="Q150" i="1" s="1"/>
  <c r="S150" i="1" s="1"/>
  <c r="U150" i="1" s="1"/>
  <c r="L150" i="1"/>
  <c r="N150" i="1"/>
  <c r="P150" i="1"/>
  <c r="R150" i="1"/>
  <c r="T150" i="1"/>
  <c r="C151" i="1"/>
  <c r="D151" i="1"/>
  <c r="E151" i="1"/>
  <c r="F151" i="1"/>
  <c r="G151" i="1"/>
  <c r="H151" i="1"/>
  <c r="I151" i="1"/>
  <c r="J151" i="1"/>
  <c r="K151" i="1"/>
  <c r="M151" i="1" s="1"/>
  <c r="O151" i="1" s="1"/>
  <c r="Q151" i="1" s="1"/>
  <c r="S151" i="1" s="1"/>
  <c r="U151" i="1" s="1"/>
  <c r="L151" i="1"/>
  <c r="N151" i="1"/>
  <c r="P151" i="1"/>
  <c r="R151" i="1"/>
  <c r="T151" i="1"/>
  <c r="C152" i="1"/>
  <c r="D152" i="1"/>
  <c r="E152" i="1"/>
  <c r="F152" i="1"/>
  <c r="G152" i="1"/>
  <c r="H152" i="1"/>
  <c r="I152" i="1"/>
  <c r="J152" i="1"/>
  <c r="K152" i="1"/>
  <c r="M152" i="1" s="1"/>
  <c r="O152" i="1" s="1"/>
  <c r="Q152" i="1" s="1"/>
  <c r="S152" i="1" s="1"/>
  <c r="U152" i="1" s="1"/>
  <c r="L152" i="1"/>
  <c r="N152" i="1"/>
  <c r="P152" i="1"/>
  <c r="R152" i="1"/>
  <c r="T152" i="1"/>
  <c r="C153" i="1"/>
  <c r="D153" i="1"/>
  <c r="E153" i="1"/>
  <c r="F153" i="1"/>
  <c r="G153" i="1"/>
  <c r="H153" i="1"/>
  <c r="I153" i="1"/>
  <c r="J153" i="1"/>
  <c r="K153" i="1"/>
  <c r="M153" i="1" s="1"/>
  <c r="O153" i="1" s="1"/>
  <c r="Q153" i="1" s="1"/>
  <c r="S153" i="1" s="1"/>
  <c r="U153" i="1" s="1"/>
  <c r="L153" i="1"/>
  <c r="N153" i="1"/>
  <c r="P153" i="1"/>
  <c r="R153" i="1"/>
  <c r="T153" i="1"/>
  <c r="C154" i="1"/>
  <c r="D154" i="1"/>
  <c r="E154" i="1"/>
  <c r="F154" i="1"/>
  <c r="G154" i="1"/>
  <c r="H154" i="1"/>
  <c r="I154" i="1"/>
  <c r="J154" i="1"/>
  <c r="K154" i="1"/>
  <c r="M154" i="1" s="1"/>
  <c r="O154" i="1" s="1"/>
  <c r="Q154" i="1" s="1"/>
  <c r="S154" i="1" s="1"/>
  <c r="U154" i="1" s="1"/>
  <c r="L154" i="1"/>
  <c r="N154" i="1"/>
  <c r="P154" i="1"/>
  <c r="R154" i="1"/>
  <c r="T154" i="1"/>
  <c r="C155" i="1"/>
  <c r="D155" i="1"/>
  <c r="E155" i="1"/>
  <c r="F155" i="1"/>
  <c r="G155" i="1"/>
  <c r="H155" i="1"/>
  <c r="I155" i="1"/>
  <c r="J155" i="1"/>
  <c r="K155" i="1"/>
  <c r="M155" i="1" s="1"/>
  <c r="O155" i="1" s="1"/>
  <c r="Q155" i="1" s="1"/>
  <c r="S155" i="1" s="1"/>
  <c r="U155" i="1" s="1"/>
  <c r="L155" i="1"/>
  <c r="N155" i="1"/>
  <c r="P155" i="1"/>
  <c r="R155" i="1"/>
  <c r="T155" i="1"/>
  <c r="D156" i="1"/>
  <c r="E156" i="1"/>
  <c r="F156" i="1"/>
  <c r="G156" i="1"/>
  <c r="H156" i="1"/>
  <c r="I156" i="1"/>
  <c r="J156" i="1"/>
  <c r="K156" i="1"/>
  <c r="M156" i="1" s="1"/>
  <c r="O156" i="1" s="1"/>
  <c r="Q156" i="1" s="1"/>
  <c r="S156" i="1" s="1"/>
  <c r="U156" i="1" s="1"/>
  <c r="L156" i="1"/>
  <c r="N156" i="1"/>
  <c r="P156" i="1"/>
  <c r="R156" i="1"/>
  <c r="T156" i="1"/>
  <c r="J140" i="1"/>
  <c r="H140" i="1"/>
  <c r="F140" i="1"/>
  <c r="D140" i="1"/>
  <c r="E117" i="1"/>
  <c r="E96" i="1"/>
  <c r="E84" i="1"/>
  <c r="C14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60" i="1"/>
  <c r="C55" i="1"/>
  <c r="E55" i="1"/>
  <c r="K53" i="1"/>
  <c r="F55" i="1"/>
  <c r="D55" i="1"/>
  <c r="D54" i="1"/>
  <c r="C59" i="1"/>
  <c r="H25" i="1"/>
  <c r="H24" i="1"/>
  <c r="R121" i="1"/>
  <c r="D14" i="2"/>
  <c r="H30" i="2"/>
  <c r="D51" i="2"/>
  <c r="F46" i="2"/>
  <c r="G49" i="2"/>
  <c r="K48" i="2"/>
  <c r="F54" i="2"/>
  <c r="H54" i="2"/>
  <c r="F57" i="2"/>
  <c r="I58" i="2"/>
  <c r="G61" i="2"/>
  <c r="E60" i="2"/>
  <c r="D59" i="2"/>
  <c r="D58" i="2"/>
  <c r="D57" i="2"/>
  <c r="D55" i="2"/>
  <c r="E52" i="2"/>
  <c r="E56" i="2"/>
  <c r="G58" i="2"/>
  <c r="H55" i="2"/>
  <c r="K55" i="2"/>
  <c r="J52" i="2"/>
  <c r="M51" i="2"/>
  <c r="K58" i="2"/>
  <c r="I55" i="2"/>
  <c r="O49" i="2"/>
  <c r="R47" i="2"/>
  <c r="O46" i="2"/>
  <c r="L47" i="2"/>
  <c r="G47" i="2"/>
  <c r="C47" i="2"/>
  <c r="D46" i="2"/>
  <c r="E46" i="2"/>
  <c r="G46" i="2"/>
  <c r="H46" i="2"/>
  <c r="I46" i="2"/>
  <c r="J46" i="2"/>
  <c r="K46" i="2"/>
  <c r="L46" i="2"/>
  <c r="M46" i="2"/>
  <c r="N46" i="2"/>
  <c r="P46" i="2"/>
  <c r="Q46" i="2"/>
  <c r="R46" i="2"/>
  <c r="S46" i="2"/>
  <c r="D47" i="2"/>
  <c r="E47" i="2"/>
  <c r="F47" i="2"/>
  <c r="H47" i="2"/>
  <c r="I47" i="2"/>
  <c r="J47" i="2"/>
  <c r="K47" i="2"/>
  <c r="M47" i="2"/>
  <c r="N47" i="2"/>
  <c r="O47" i="2"/>
  <c r="P47" i="2"/>
  <c r="Q47" i="2"/>
  <c r="S47" i="2"/>
  <c r="T47" i="2" s="1"/>
  <c r="U47" i="2" s="1"/>
  <c r="D48" i="2"/>
  <c r="E48" i="2"/>
  <c r="F48" i="2"/>
  <c r="G48" i="2"/>
  <c r="H48" i="2"/>
  <c r="I48" i="2"/>
  <c r="J48" i="2"/>
  <c r="L48" i="2"/>
  <c r="M48" i="2"/>
  <c r="N48" i="2"/>
  <c r="O48" i="2"/>
  <c r="P48" i="2"/>
  <c r="Q48" i="2"/>
  <c r="R48" i="2"/>
  <c r="S48" i="2"/>
  <c r="D49" i="2"/>
  <c r="E49" i="2"/>
  <c r="F49" i="2"/>
  <c r="H49" i="2"/>
  <c r="I49" i="2"/>
  <c r="J49" i="2"/>
  <c r="K49" i="2"/>
  <c r="L49" i="2"/>
  <c r="M49" i="2"/>
  <c r="N49" i="2"/>
  <c r="P49" i="2"/>
  <c r="Q49" i="2"/>
  <c r="R49" i="2"/>
  <c r="S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E51" i="2"/>
  <c r="F51" i="2"/>
  <c r="G51" i="2"/>
  <c r="H51" i="2"/>
  <c r="I51" i="2"/>
  <c r="J51" i="2"/>
  <c r="K51" i="2"/>
  <c r="L51" i="2"/>
  <c r="N51" i="2"/>
  <c r="O51" i="2"/>
  <c r="P51" i="2"/>
  <c r="Q51" i="2"/>
  <c r="R51" i="2"/>
  <c r="S51" i="2"/>
  <c r="D52" i="2"/>
  <c r="F52" i="2"/>
  <c r="G52" i="2"/>
  <c r="H52" i="2"/>
  <c r="I52" i="2"/>
  <c r="K52" i="2"/>
  <c r="L52" i="2"/>
  <c r="M52" i="2"/>
  <c r="N52" i="2"/>
  <c r="O52" i="2"/>
  <c r="P52" i="2"/>
  <c r="Q52" i="2"/>
  <c r="R52" i="2"/>
  <c r="S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D54" i="2"/>
  <c r="E54" i="2"/>
  <c r="G54" i="2"/>
  <c r="I54" i="2"/>
  <c r="J54" i="2"/>
  <c r="K54" i="2"/>
  <c r="L54" i="2"/>
  <c r="M54" i="2"/>
  <c r="N54" i="2"/>
  <c r="O54" i="2"/>
  <c r="P54" i="2"/>
  <c r="Q54" i="2"/>
  <c r="R54" i="2"/>
  <c r="S54" i="2"/>
  <c r="E55" i="2"/>
  <c r="F55" i="2"/>
  <c r="G55" i="2"/>
  <c r="J55" i="2"/>
  <c r="L55" i="2"/>
  <c r="M55" i="2"/>
  <c r="N55" i="2"/>
  <c r="O55" i="2"/>
  <c r="P55" i="2"/>
  <c r="Q55" i="2"/>
  <c r="R55" i="2"/>
  <c r="S55" i="2"/>
  <c r="D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E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E58" i="2"/>
  <c r="F58" i="2"/>
  <c r="H58" i="2"/>
  <c r="J58" i="2"/>
  <c r="L58" i="2"/>
  <c r="M58" i="2"/>
  <c r="N58" i="2"/>
  <c r="O58" i="2"/>
  <c r="P58" i="2"/>
  <c r="Q58" i="2"/>
  <c r="R58" i="2"/>
  <c r="S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D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D61" i="2"/>
  <c r="E61" i="2"/>
  <c r="F61" i="2"/>
  <c r="H61" i="2"/>
  <c r="I61" i="2"/>
  <c r="J61" i="2"/>
  <c r="K61" i="2"/>
  <c r="L61" i="2"/>
  <c r="M61" i="2"/>
  <c r="N61" i="2"/>
  <c r="O61" i="2"/>
  <c r="P61" i="2"/>
  <c r="Q61" i="2"/>
  <c r="R61" i="2"/>
  <c r="S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C46" i="2"/>
  <c r="T46" i="2"/>
  <c r="U46" i="2"/>
  <c r="C48" i="2"/>
  <c r="T48" i="2"/>
  <c r="U48" i="2"/>
  <c r="C49" i="2"/>
  <c r="T49" i="2"/>
  <c r="U49" i="2"/>
  <c r="C50" i="2"/>
  <c r="T50" i="2"/>
  <c r="U50" i="2"/>
  <c r="C51" i="2"/>
  <c r="T51" i="2"/>
  <c r="U51" i="2"/>
  <c r="C52" i="2"/>
  <c r="T52" i="2"/>
  <c r="U52" i="2"/>
  <c r="C53" i="2"/>
  <c r="T53" i="2"/>
  <c r="U53" i="2"/>
  <c r="C54" i="2"/>
  <c r="T54" i="2"/>
  <c r="U54" i="2"/>
  <c r="C55" i="2"/>
  <c r="T55" i="2"/>
  <c r="U55" i="2"/>
  <c r="C56" i="2"/>
  <c r="T56" i="2"/>
  <c r="U56" i="2"/>
  <c r="C57" i="2"/>
  <c r="T57" i="2"/>
  <c r="U57" i="2"/>
  <c r="C58" i="2"/>
  <c r="T58" i="2"/>
  <c r="U58" i="2"/>
  <c r="C59" i="2"/>
  <c r="T59" i="2"/>
  <c r="U59" i="2"/>
  <c r="C60" i="2"/>
  <c r="T60" i="2"/>
  <c r="U60" i="2"/>
  <c r="C61" i="2"/>
  <c r="T61" i="2"/>
  <c r="U61" i="2"/>
  <c r="C62" i="2"/>
  <c r="T62" i="2"/>
  <c r="U62" i="2"/>
  <c r="C63" i="2"/>
  <c r="T63" i="2"/>
  <c r="U63" i="2"/>
  <c r="T64" i="2"/>
  <c r="U64" i="2"/>
  <c r="T67" i="2"/>
  <c r="U67" i="2"/>
  <c r="F25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D20" i="2"/>
  <c r="E20" i="2"/>
  <c r="F20" i="2"/>
  <c r="G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D25" i="2"/>
  <c r="E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F30" i="2"/>
  <c r="G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C23" i="2"/>
  <c r="C19" i="2"/>
  <c r="C15" i="2"/>
  <c r="C12" i="2"/>
  <c r="C33" i="2"/>
  <c r="C29" i="2"/>
  <c r="C28" i="2"/>
  <c r="C27" i="2"/>
  <c r="C26" i="2"/>
  <c r="C25" i="2"/>
  <c r="C24" i="2"/>
  <c r="C22" i="2"/>
  <c r="C21" i="2"/>
  <c r="C20" i="2"/>
  <c r="C18" i="2"/>
  <c r="C17" i="2"/>
  <c r="C16" i="2"/>
  <c r="C14" i="2"/>
  <c r="C13" i="2"/>
  <c r="C9" i="2"/>
  <c r="E88" i="1"/>
  <c r="D84" i="1"/>
  <c r="C84" i="1"/>
  <c r="I14" i="1"/>
  <c r="J14" i="1"/>
  <c r="G14" i="1"/>
  <c r="F14" i="1"/>
  <c r="D14" i="1"/>
  <c r="G5" i="1"/>
  <c r="G3" i="1"/>
  <c r="E4" i="1"/>
  <c r="D4" i="1"/>
  <c r="C4" i="1"/>
  <c r="O9" i="1"/>
  <c r="O7" i="1"/>
  <c r="R8" i="1"/>
  <c r="R7" i="1"/>
  <c r="I113" i="1"/>
  <c r="J31" i="1"/>
  <c r="L138" i="1"/>
  <c r="D157" i="1"/>
  <c r="E157" i="1"/>
  <c r="F157" i="1"/>
  <c r="G157" i="1"/>
  <c r="H157" i="1"/>
  <c r="I157" i="1"/>
  <c r="J157" i="1"/>
  <c r="K157" i="1"/>
  <c r="M157" i="1" s="1"/>
  <c r="O157" i="1" s="1"/>
  <c r="Q157" i="1" s="1"/>
  <c r="S157" i="1" s="1"/>
  <c r="U157" i="1" s="1"/>
  <c r="L157" i="1"/>
  <c r="N157" i="1"/>
  <c r="P157" i="1"/>
  <c r="R157" i="1"/>
  <c r="T157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F76" i="1"/>
  <c r="F53" i="1"/>
  <c r="E76" i="1"/>
  <c r="D76" i="1"/>
  <c r="I35" i="1"/>
  <c r="J40" i="1"/>
  <c r="G37" i="1"/>
  <c r="H17" i="1"/>
  <c r="I17" i="1"/>
  <c r="H15" i="1"/>
  <c r="C17" i="1"/>
  <c r="S6" i="2"/>
  <c r="F59" i="1"/>
  <c r="E59" i="1"/>
  <c r="D59" i="1"/>
  <c r="D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C38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C37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C36" i="2"/>
  <c r="C83" i="1"/>
  <c r="C4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3" i="2"/>
  <c r="C2" i="2"/>
  <c r="D3" i="2"/>
  <c r="F36" i="1"/>
  <c r="J36" i="1"/>
  <c r="H33" i="1"/>
  <c r="I33" i="1"/>
  <c r="G33" i="1"/>
  <c r="H34" i="1"/>
  <c r="Q21" i="1"/>
  <c r="F33" i="1"/>
  <c r="E33" i="1"/>
  <c r="D33" i="1"/>
  <c r="J33" i="1"/>
  <c r="K33" i="1"/>
  <c r="L33" i="1"/>
  <c r="M33" i="1"/>
  <c r="N33" i="1"/>
  <c r="O33" i="1"/>
  <c r="P33" i="1"/>
  <c r="Q33" i="1"/>
  <c r="R33" i="1"/>
  <c r="D2" i="1"/>
  <c r="C85" i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D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C8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C7" i="2"/>
  <c r="D7" i="2"/>
  <c r="U6" i="2"/>
  <c r="T6" i="2"/>
  <c r="R6" i="2"/>
  <c r="Q6" i="2"/>
  <c r="P6" i="2"/>
  <c r="O6" i="2"/>
  <c r="N6" i="2"/>
  <c r="M6" i="2"/>
  <c r="L6" i="2"/>
  <c r="J6" i="2"/>
  <c r="I6" i="2"/>
  <c r="H6" i="2"/>
  <c r="G6" i="2"/>
  <c r="F6" i="2"/>
  <c r="E6" i="2"/>
  <c r="K6" i="2"/>
  <c r="D6" i="2"/>
  <c r="C6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C5" i="2"/>
  <c r="D5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U3" i="2"/>
  <c r="T3" i="2"/>
  <c r="S3" i="2"/>
  <c r="R3" i="2"/>
  <c r="Q3" i="2"/>
  <c r="P3" i="2"/>
  <c r="O3" i="2"/>
  <c r="N3" i="2"/>
  <c r="M3" i="2"/>
  <c r="L3" i="2"/>
  <c r="K3" i="2"/>
  <c r="I3" i="2"/>
  <c r="E3" i="2"/>
  <c r="H3" i="2"/>
  <c r="F3" i="2"/>
  <c r="G3" i="2"/>
  <c r="C3" i="1"/>
  <c r="C2" i="1"/>
  <c r="E5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U3" i="1"/>
  <c r="D3" i="1"/>
  <c r="E3" i="1"/>
  <c r="F3" i="1"/>
  <c r="H3" i="1"/>
  <c r="I3" i="1"/>
  <c r="J3" i="1"/>
  <c r="K3" i="1"/>
  <c r="L3" i="1"/>
  <c r="M3" i="1"/>
  <c r="N3" i="1"/>
  <c r="O3" i="1"/>
  <c r="P3" i="1"/>
  <c r="Q3" i="1"/>
  <c r="R3" i="1"/>
  <c r="S3" i="1"/>
  <c r="T3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O11" i="1"/>
  <c r="H5" i="1"/>
  <c r="H9" i="1"/>
  <c r="H13" i="1"/>
  <c r="T140" i="1"/>
  <c r="R140" i="1"/>
  <c r="P140" i="1"/>
  <c r="N140" i="1"/>
  <c r="L140" i="1"/>
  <c r="K140" i="1"/>
  <c r="M140" i="1" s="1"/>
  <c r="O140" i="1" s="1"/>
  <c r="Q140" i="1" s="1"/>
  <c r="S140" i="1" s="1"/>
  <c r="U140" i="1" s="1"/>
  <c r="I140" i="1"/>
  <c r="G140" i="1"/>
  <c r="E140" i="1"/>
  <c r="T139" i="1"/>
  <c r="R139" i="1"/>
  <c r="P139" i="1"/>
  <c r="N139" i="1"/>
  <c r="L139" i="1"/>
  <c r="K139" i="1"/>
  <c r="M139" i="1" s="1"/>
  <c r="O139" i="1" s="1"/>
  <c r="Q139" i="1" s="1"/>
  <c r="S139" i="1" s="1"/>
  <c r="U139" i="1" s="1"/>
  <c r="J139" i="1"/>
  <c r="I139" i="1"/>
  <c r="H139" i="1"/>
  <c r="G139" i="1"/>
  <c r="F139" i="1"/>
  <c r="E139" i="1"/>
  <c r="D139" i="1"/>
  <c r="C139" i="1"/>
  <c r="T138" i="1"/>
  <c r="R138" i="1"/>
  <c r="P138" i="1"/>
  <c r="N138" i="1"/>
  <c r="K138" i="1"/>
  <c r="M138" i="1" s="1"/>
  <c r="O138" i="1" s="1"/>
  <c r="Q138" i="1" s="1"/>
  <c r="S138" i="1" s="1"/>
  <c r="U138" i="1" s="1"/>
  <c r="J138" i="1"/>
  <c r="I138" i="1"/>
  <c r="H138" i="1"/>
  <c r="G138" i="1"/>
  <c r="F138" i="1"/>
  <c r="E138" i="1"/>
  <c r="D138" i="1"/>
  <c r="C138" i="1"/>
  <c r="T137" i="1"/>
  <c r="R137" i="1"/>
  <c r="P137" i="1"/>
  <c r="N137" i="1"/>
  <c r="L137" i="1"/>
  <c r="K137" i="1"/>
  <c r="M137" i="1" s="1"/>
  <c r="O137" i="1" s="1"/>
  <c r="Q137" i="1" s="1"/>
  <c r="S137" i="1" s="1"/>
  <c r="U137" i="1" s="1"/>
  <c r="J137" i="1"/>
  <c r="I137" i="1"/>
  <c r="H137" i="1"/>
  <c r="G137" i="1"/>
  <c r="F137" i="1"/>
  <c r="E137" i="1"/>
  <c r="D137" i="1"/>
  <c r="C137" i="1"/>
  <c r="T136" i="1"/>
  <c r="R136" i="1"/>
  <c r="P136" i="1"/>
  <c r="N136" i="1"/>
  <c r="L136" i="1"/>
  <c r="K136" i="1"/>
  <c r="M136" i="1" s="1"/>
  <c r="O136" i="1" s="1"/>
  <c r="Q136" i="1" s="1"/>
  <c r="S136" i="1" s="1"/>
  <c r="U136" i="1" s="1"/>
  <c r="J136" i="1"/>
  <c r="I136" i="1"/>
  <c r="H136" i="1"/>
  <c r="G136" i="1"/>
  <c r="F136" i="1"/>
  <c r="E136" i="1"/>
  <c r="D136" i="1"/>
  <c r="C136" i="1"/>
  <c r="T135" i="1"/>
  <c r="R135" i="1"/>
  <c r="P135" i="1"/>
  <c r="N135" i="1"/>
  <c r="L135" i="1"/>
  <c r="K135" i="1"/>
  <c r="M135" i="1" s="1"/>
  <c r="O135" i="1" s="1"/>
  <c r="Q135" i="1" s="1"/>
  <c r="S135" i="1" s="1"/>
  <c r="U135" i="1" s="1"/>
  <c r="J135" i="1"/>
  <c r="I135" i="1"/>
  <c r="H135" i="1"/>
  <c r="G135" i="1"/>
  <c r="F135" i="1"/>
  <c r="E135" i="1"/>
  <c r="D135" i="1"/>
  <c r="C135" i="1"/>
  <c r="T134" i="1"/>
  <c r="R134" i="1"/>
  <c r="P134" i="1"/>
  <c r="N134" i="1"/>
  <c r="L134" i="1"/>
  <c r="K134" i="1"/>
  <c r="M134" i="1" s="1"/>
  <c r="O134" i="1" s="1"/>
  <c r="Q134" i="1" s="1"/>
  <c r="S134" i="1" s="1"/>
  <c r="U134" i="1" s="1"/>
  <c r="J134" i="1"/>
  <c r="I134" i="1"/>
  <c r="H134" i="1"/>
  <c r="G134" i="1"/>
  <c r="F134" i="1"/>
  <c r="E134" i="1"/>
  <c r="D134" i="1"/>
  <c r="C134" i="1"/>
  <c r="T133" i="1"/>
  <c r="R133" i="1"/>
  <c r="P133" i="1"/>
  <c r="N133" i="1"/>
  <c r="L133" i="1"/>
  <c r="K133" i="1"/>
  <c r="M133" i="1" s="1"/>
  <c r="O133" i="1" s="1"/>
  <c r="Q133" i="1" s="1"/>
  <c r="S133" i="1" s="1"/>
  <c r="U133" i="1" s="1"/>
  <c r="J133" i="1"/>
  <c r="I133" i="1"/>
  <c r="H133" i="1"/>
  <c r="G133" i="1"/>
  <c r="F133" i="1"/>
  <c r="E133" i="1"/>
  <c r="D133" i="1"/>
  <c r="C133" i="1"/>
  <c r="T132" i="1"/>
  <c r="R132" i="1"/>
  <c r="P132" i="1"/>
  <c r="N132" i="1"/>
  <c r="L132" i="1"/>
  <c r="K132" i="1"/>
  <c r="M132" i="1" s="1"/>
  <c r="O132" i="1" s="1"/>
  <c r="Q132" i="1" s="1"/>
  <c r="S132" i="1" s="1"/>
  <c r="U132" i="1" s="1"/>
  <c r="J132" i="1"/>
  <c r="I132" i="1"/>
  <c r="H132" i="1"/>
  <c r="G132" i="1"/>
  <c r="F132" i="1"/>
  <c r="E132" i="1"/>
  <c r="D132" i="1"/>
  <c r="C132" i="1"/>
  <c r="T129" i="1"/>
  <c r="T131" i="1"/>
  <c r="R131" i="1"/>
  <c r="P131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L131" i="1"/>
  <c r="K131" i="1"/>
  <c r="M131" i="1" s="1"/>
  <c r="O131" i="1" s="1"/>
  <c r="Q131" i="1" s="1"/>
  <c r="S131" i="1" s="1"/>
  <c r="U131" i="1" s="1"/>
  <c r="J131" i="1"/>
  <c r="I131" i="1"/>
  <c r="H131" i="1"/>
  <c r="G131" i="1"/>
  <c r="F131" i="1"/>
  <c r="E131" i="1"/>
  <c r="D131" i="1"/>
  <c r="C131" i="1"/>
  <c r="C130" i="1"/>
  <c r="T130" i="1"/>
  <c r="R130" i="1"/>
  <c r="P130" i="1"/>
  <c r="L130" i="1"/>
  <c r="K130" i="1"/>
  <c r="M130" i="1" s="1"/>
  <c r="O130" i="1" s="1"/>
  <c r="Q130" i="1" s="1"/>
  <c r="S130" i="1" s="1"/>
  <c r="U130" i="1" s="1"/>
  <c r="J130" i="1"/>
  <c r="I130" i="1"/>
  <c r="H130" i="1"/>
  <c r="G130" i="1"/>
  <c r="F130" i="1"/>
  <c r="E130" i="1"/>
  <c r="D130" i="1"/>
  <c r="R129" i="1"/>
  <c r="P129" i="1"/>
  <c r="L129" i="1"/>
  <c r="K129" i="1"/>
  <c r="M129" i="1" s="1"/>
  <c r="O129" i="1" s="1"/>
  <c r="Q129" i="1" s="1"/>
  <c r="S129" i="1" s="1"/>
  <c r="U129" i="1" s="1"/>
  <c r="J129" i="1"/>
  <c r="I129" i="1"/>
  <c r="H129" i="1"/>
  <c r="G129" i="1"/>
  <c r="F129" i="1"/>
  <c r="E129" i="1"/>
  <c r="D129" i="1"/>
  <c r="C129" i="1"/>
  <c r="T128" i="1"/>
  <c r="C128" i="1"/>
  <c r="R128" i="1"/>
  <c r="P128" i="1"/>
  <c r="L128" i="1"/>
  <c r="K128" i="1"/>
  <c r="M128" i="1" s="1"/>
  <c r="O128" i="1" s="1"/>
  <c r="Q128" i="1" s="1"/>
  <c r="S128" i="1" s="1"/>
  <c r="U128" i="1" s="1"/>
  <c r="J128" i="1"/>
  <c r="I128" i="1"/>
  <c r="H128" i="1"/>
  <c r="G128" i="1"/>
  <c r="F128" i="1"/>
  <c r="E128" i="1"/>
  <c r="D128" i="1"/>
  <c r="T127" i="1"/>
  <c r="R127" i="1"/>
  <c r="P127" i="1"/>
  <c r="L127" i="1"/>
  <c r="K127" i="1"/>
  <c r="M127" i="1" s="1"/>
  <c r="O127" i="1" s="1"/>
  <c r="Q127" i="1" s="1"/>
  <c r="S127" i="1" s="1"/>
  <c r="U127" i="1" s="1"/>
  <c r="J127" i="1"/>
  <c r="I127" i="1"/>
  <c r="H127" i="1"/>
  <c r="G127" i="1"/>
  <c r="F127" i="1"/>
  <c r="E127" i="1"/>
  <c r="D127" i="1"/>
  <c r="C127" i="1"/>
  <c r="T126" i="1"/>
  <c r="R126" i="1"/>
  <c r="P126" i="1"/>
  <c r="L126" i="1"/>
  <c r="K126" i="1"/>
  <c r="M126" i="1" s="1"/>
  <c r="O126" i="1" s="1"/>
  <c r="Q126" i="1" s="1"/>
  <c r="S126" i="1" s="1"/>
  <c r="U126" i="1" s="1"/>
  <c r="J126" i="1"/>
  <c r="I126" i="1"/>
  <c r="H126" i="1"/>
  <c r="G126" i="1"/>
  <c r="F126" i="1"/>
  <c r="E126" i="1"/>
  <c r="D126" i="1"/>
  <c r="C126" i="1"/>
  <c r="T125" i="1"/>
  <c r="R125" i="1"/>
  <c r="P125" i="1"/>
  <c r="L125" i="1"/>
  <c r="K125" i="1"/>
  <c r="M125" i="1" s="1"/>
  <c r="O125" i="1" s="1"/>
  <c r="Q125" i="1" s="1"/>
  <c r="S125" i="1" s="1"/>
  <c r="U125" i="1" s="1"/>
  <c r="J125" i="1"/>
  <c r="I125" i="1"/>
  <c r="H125" i="1"/>
  <c r="G125" i="1"/>
  <c r="F125" i="1"/>
  <c r="E125" i="1"/>
  <c r="D125" i="1"/>
  <c r="C125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C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C54" i="1"/>
  <c r="U53" i="1"/>
  <c r="T53" i="1"/>
  <c r="S53" i="1"/>
  <c r="R53" i="1"/>
  <c r="Q53" i="1"/>
  <c r="P53" i="1"/>
  <c r="O53" i="1"/>
  <c r="N53" i="1"/>
  <c r="M53" i="1"/>
  <c r="L53" i="1"/>
  <c r="J53" i="1"/>
  <c r="I53" i="1"/>
  <c r="H53" i="1"/>
  <c r="G53" i="1"/>
  <c r="E53" i="1"/>
  <c r="D53" i="1"/>
  <c r="C53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U49" i="1"/>
  <c r="T49" i="1"/>
  <c r="S49" i="1"/>
  <c r="R49" i="1"/>
  <c r="Q49" i="1"/>
  <c r="P49" i="1"/>
  <c r="O49" i="1"/>
  <c r="N49" i="1"/>
  <c r="M49" i="1"/>
  <c r="L49" i="1"/>
  <c r="K49" i="1"/>
  <c r="I49" i="1"/>
  <c r="H49" i="1"/>
  <c r="G49" i="1"/>
  <c r="F49" i="1"/>
  <c r="E49" i="1"/>
  <c r="D49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C87" i="1"/>
  <c r="D87" i="1"/>
  <c r="E87" i="1"/>
  <c r="F87" i="1"/>
  <c r="G87" i="1"/>
  <c r="H87" i="1"/>
  <c r="I87" i="1"/>
  <c r="J87" i="1"/>
  <c r="K87" i="1"/>
  <c r="M87" i="1" s="1"/>
  <c r="O87" i="1" s="1"/>
  <c r="Q87" i="1" s="1"/>
  <c r="S87" i="1" s="1"/>
  <c r="U87" i="1" s="1"/>
  <c r="L87" i="1"/>
  <c r="N87" i="1"/>
  <c r="P87" i="1"/>
  <c r="R87" i="1"/>
  <c r="T87" i="1"/>
  <c r="C88" i="1"/>
  <c r="D88" i="1"/>
  <c r="F88" i="1"/>
  <c r="G88" i="1"/>
  <c r="H88" i="1"/>
  <c r="I88" i="1"/>
  <c r="J88" i="1"/>
  <c r="K88" i="1"/>
  <c r="M88" i="1" s="1"/>
  <c r="O88" i="1" s="1"/>
  <c r="Q88" i="1" s="1"/>
  <c r="S88" i="1" s="1"/>
  <c r="U88" i="1" s="1"/>
  <c r="L88" i="1"/>
  <c r="N88" i="1"/>
  <c r="P88" i="1"/>
  <c r="R88" i="1"/>
  <c r="T88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O29" i="1"/>
  <c r="H29" i="1"/>
  <c r="T124" i="1"/>
  <c r="T123" i="1"/>
  <c r="T122" i="1"/>
  <c r="T121" i="1"/>
  <c r="T120" i="1"/>
  <c r="T119" i="1"/>
  <c r="R119" i="1"/>
  <c r="R124" i="1"/>
  <c r="R123" i="1"/>
  <c r="R122" i="1"/>
  <c r="R120" i="1"/>
  <c r="P124" i="1"/>
  <c r="P123" i="1"/>
  <c r="P122" i="1"/>
  <c r="P121" i="1"/>
  <c r="P120" i="1"/>
  <c r="P119" i="1"/>
  <c r="L124" i="1"/>
  <c r="L123" i="1"/>
  <c r="L122" i="1"/>
  <c r="L121" i="1"/>
  <c r="L120" i="1"/>
  <c r="L119" i="1"/>
  <c r="K124" i="1"/>
  <c r="M124" i="1" s="1"/>
  <c r="O124" i="1" s="1"/>
  <c r="Q124" i="1" s="1"/>
  <c r="S124" i="1" s="1"/>
  <c r="U124" i="1" s="1"/>
  <c r="K123" i="1"/>
  <c r="M123" i="1" s="1"/>
  <c r="O123" i="1" s="1"/>
  <c r="Q123" i="1" s="1"/>
  <c r="S123" i="1" s="1"/>
  <c r="U123" i="1" s="1"/>
  <c r="K122" i="1"/>
  <c r="M122" i="1" s="1"/>
  <c r="O122" i="1" s="1"/>
  <c r="Q122" i="1" s="1"/>
  <c r="S122" i="1" s="1"/>
  <c r="U122" i="1" s="1"/>
  <c r="K121" i="1"/>
  <c r="M121" i="1" s="1"/>
  <c r="O121" i="1" s="1"/>
  <c r="Q121" i="1" s="1"/>
  <c r="S121" i="1" s="1"/>
  <c r="U121" i="1" s="1"/>
  <c r="K120" i="1"/>
  <c r="M120" i="1" s="1"/>
  <c r="O120" i="1" s="1"/>
  <c r="Q120" i="1" s="1"/>
  <c r="S120" i="1" s="1"/>
  <c r="U120" i="1" s="1"/>
  <c r="K119" i="1"/>
  <c r="M119" i="1" s="1"/>
  <c r="O119" i="1" s="1"/>
  <c r="Q119" i="1" s="1"/>
  <c r="S119" i="1" s="1"/>
  <c r="U119" i="1" s="1"/>
  <c r="J124" i="1"/>
  <c r="J123" i="1"/>
  <c r="J122" i="1"/>
  <c r="J121" i="1"/>
  <c r="J120" i="1"/>
  <c r="I124" i="1"/>
  <c r="I123" i="1"/>
  <c r="I122" i="1"/>
  <c r="I121" i="1"/>
  <c r="I120" i="1"/>
  <c r="H124" i="1"/>
  <c r="H123" i="1"/>
  <c r="H122" i="1"/>
  <c r="H121" i="1"/>
  <c r="H120" i="1"/>
  <c r="G124" i="1"/>
  <c r="G123" i="1"/>
  <c r="G122" i="1"/>
  <c r="G121" i="1"/>
  <c r="G120" i="1"/>
  <c r="F124" i="1"/>
  <c r="F123" i="1"/>
  <c r="F122" i="1"/>
  <c r="F121" i="1"/>
  <c r="F120" i="1"/>
  <c r="E124" i="1"/>
  <c r="E123" i="1"/>
  <c r="E122" i="1"/>
  <c r="E121" i="1"/>
  <c r="E120" i="1"/>
  <c r="D124" i="1"/>
  <c r="D123" i="1"/>
  <c r="D122" i="1"/>
  <c r="D121" i="1"/>
  <c r="D120" i="1"/>
  <c r="D117" i="1"/>
  <c r="C124" i="1"/>
  <c r="C123" i="1"/>
  <c r="C122" i="1"/>
  <c r="C121" i="1"/>
  <c r="C120" i="1"/>
  <c r="I119" i="1"/>
  <c r="H119" i="1"/>
  <c r="G119" i="1"/>
  <c r="F119" i="1"/>
  <c r="E119" i="1"/>
  <c r="D119" i="1"/>
  <c r="J119" i="1"/>
  <c r="C119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I42" i="1"/>
  <c r="U42" i="1"/>
  <c r="T42" i="1"/>
  <c r="S42" i="1"/>
  <c r="R42" i="1"/>
  <c r="Q42" i="1"/>
  <c r="P42" i="1"/>
  <c r="O42" i="1"/>
  <c r="N42" i="1"/>
  <c r="M42" i="1"/>
  <c r="L42" i="1"/>
  <c r="K42" i="1"/>
  <c r="J42" i="1"/>
  <c r="G42" i="1"/>
  <c r="H42" i="1"/>
  <c r="F42" i="1"/>
  <c r="E42" i="1"/>
  <c r="D42" i="1"/>
  <c r="C42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G41" i="1"/>
  <c r="F41" i="1"/>
  <c r="E41" i="1"/>
  <c r="D41" i="1"/>
  <c r="C41" i="1"/>
  <c r="U40" i="1"/>
  <c r="T40" i="1"/>
  <c r="S40" i="1"/>
  <c r="R40" i="1"/>
  <c r="P40" i="1"/>
  <c r="Q40" i="1"/>
  <c r="O40" i="1"/>
  <c r="N40" i="1"/>
  <c r="M40" i="1"/>
  <c r="L40" i="1"/>
  <c r="K40" i="1"/>
  <c r="I40" i="1"/>
  <c r="H40" i="1"/>
  <c r="F40" i="1"/>
  <c r="E40" i="1"/>
  <c r="D40" i="1"/>
  <c r="C40" i="1"/>
  <c r="G40" i="1" s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C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5" i="1"/>
  <c r="E38" i="1"/>
  <c r="E37" i="1"/>
  <c r="D38" i="1"/>
  <c r="T118" i="1"/>
  <c r="R118" i="1"/>
  <c r="P118" i="1"/>
  <c r="L118" i="1"/>
  <c r="K118" i="1"/>
  <c r="M118" i="1" s="1"/>
  <c r="O118" i="1" s="1"/>
  <c r="Q118" i="1" s="1"/>
  <c r="S118" i="1" s="1"/>
  <c r="U118" i="1" s="1"/>
  <c r="J118" i="1"/>
  <c r="I118" i="1"/>
  <c r="H118" i="1"/>
  <c r="G118" i="1"/>
  <c r="F118" i="1"/>
  <c r="E118" i="1"/>
  <c r="D118" i="1"/>
  <c r="C118" i="1"/>
  <c r="T117" i="1"/>
  <c r="R117" i="1"/>
  <c r="P117" i="1"/>
  <c r="N117" i="1"/>
  <c r="L117" i="1"/>
  <c r="K117" i="1"/>
  <c r="M117" i="1" s="1"/>
  <c r="O117" i="1" s="1"/>
  <c r="Q117" i="1" s="1"/>
  <c r="S117" i="1" s="1"/>
  <c r="U117" i="1" s="1"/>
  <c r="J117" i="1"/>
  <c r="I117" i="1"/>
  <c r="H117" i="1"/>
  <c r="G117" i="1"/>
  <c r="F117" i="1"/>
  <c r="C117" i="1"/>
  <c r="T116" i="1"/>
  <c r="R116" i="1"/>
  <c r="P116" i="1"/>
  <c r="N116" i="1"/>
  <c r="L116" i="1"/>
  <c r="K116" i="1"/>
  <c r="M116" i="1" s="1"/>
  <c r="O116" i="1" s="1"/>
  <c r="Q116" i="1" s="1"/>
  <c r="S116" i="1" s="1"/>
  <c r="U116" i="1" s="1"/>
  <c r="J116" i="1"/>
  <c r="I116" i="1"/>
  <c r="H116" i="1"/>
  <c r="G116" i="1"/>
  <c r="F116" i="1"/>
  <c r="E116" i="1"/>
  <c r="D116" i="1"/>
  <c r="C116" i="1"/>
  <c r="T115" i="1"/>
  <c r="R115" i="1"/>
  <c r="P115" i="1"/>
  <c r="N115" i="1"/>
  <c r="L115" i="1"/>
  <c r="K115" i="1"/>
  <c r="M115" i="1" s="1"/>
  <c r="O115" i="1" s="1"/>
  <c r="Q115" i="1" s="1"/>
  <c r="S115" i="1" s="1"/>
  <c r="U115" i="1" s="1"/>
  <c r="J115" i="1"/>
  <c r="I115" i="1"/>
  <c r="H115" i="1"/>
  <c r="G115" i="1"/>
  <c r="F115" i="1"/>
  <c r="E115" i="1"/>
  <c r="D115" i="1"/>
  <c r="C115" i="1"/>
  <c r="T114" i="1"/>
  <c r="R114" i="1"/>
  <c r="P114" i="1"/>
  <c r="N114" i="1"/>
  <c r="L114" i="1"/>
  <c r="K114" i="1"/>
  <c r="M114" i="1" s="1"/>
  <c r="O114" i="1" s="1"/>
  <c r="Q114" i="1" s="1"/>
  <c r="S114" i="1" s="1"/>
  <c r="U114" i="1" s="1"/>
  <c r="J114" i="1"/>
  <c r="I114" i="1"/>
  <c r="H114" i="1"/>
  <c r="G114" i="1"/>
  <c r="F114" i="1"/>
  <c r="E114" i="1"/>
  <c r="D114" i="1"/>
  <c r="C114" i="1"/>
  <c r="T113" i="1"/>
  <c r="R113" i="1"/>
  <c r="P113" i="1"/>
  <c r="N113" i="1"/>
  <c r="L113" i="1"/>
  <c r="K113" i="1"/>
  <c r="M113" i="1" s="1"/>
  <c r="O113" i="1" s="1"/>
  <c r="Q113" i="1" s="1"/>
  <c r="S113" i="1" s="1"/>
  <c r="U113" i="1" s="1"/>
  <c r="J113" i="1"/>
  <c r="H113" i="1"/>
  <c r="G113" i="1"/>
  <c r="F113" i="1"/>
  <c r="E113" i="1"/>
  <c r="D113" i="1"/>
  <c r="C113" i="1"/>
  <c r="T112" i="1"/>
  <c r="R112" i="1"/>
  <c r="P112" i="1"/>
  <c r="N112" i="1"/>
  <c r="L112" i="1"/>
  <c r="K112" i="1"/>
  <c r="M112" i="1" s="1"/>
  <c r="O112" i="1" s="1"/>
  <c r="Q112" i="1" s="1"/>
  <c r="S112" i="1" s="1"/>
  <c r="U112" i="1" s="1"/>
  <c r="J112" i="1"/>
  <c r="I112" i="1"/>
  <c r="H112" i="1"/>
  <c r="G112" i="1"/>
  <c r="F112" i="1"/>
  <c r="E112" i="1"/>
  <c r="D112" i="1"/>
  <c r="C112" i="1"/>
  <c r="T111" i="1"/>
  <c r="R111" i="1"/>
  <c r="P111" i="1"/>
  <c r="N111" i="1"/>
  <c r="L111" i="1"/>
  <c r="K111" i="1"/>
  <c r="M111" i="1" s="1"/>
  <c r="O111" i="1" s="1"/>
  <c r="Q111" i="1" s="1"/>
  <c r="S111" i="1" s="1"/>
  <c r="U111" i="1" s="1"/>
  <c r="J111" i="1"/>
  <c r="I111" i="1"/>
  <c r="H111" i="1"/>
  <c r="G111" i="1"/>
  <c r="F111" i="1"/>
  <c r="E111" i="1"/>
  <c r="D111" i="1"/>
  <c r="C111" i="1"/>
  <c r="T110" i="1"/>
  <c r="R110" i="1"/>
  <c r="P110" i="1"/>
  <c r="N110" i="1"/>
  <c r="L110" i="1"/>
  <c r="K110" i="1"/>
  <c r="M110" i="1" s="1"/>
  <c r="O110" i="1" s="1"/>
  <c r="Q110" i="1" s="1"/>
  <c r="S110" i="1" s="1"/>
  <c r="U110" i="1" s="1"/>
  <c r="J110" i="1"/>
  <c r="I110" i="1"/>
  <c r="H110" i="1"/>
  <c r="G110" i="1"/>
  <c r="F110" i="1"/>
  <c r="E110" i="1"/>
  <c r="D110" i="1"/>
  <c r="C110" i="1"/>
  <c r="T109" i="1"/>
  <c r="R109" i="1"/>
  <c r="P109" i="1"/>
  <c r="N109" i="1"/>
  <c r="L109" i="1"/>
  <c r="K109" i="1"/>
  <c r="M109" i="1" s="1"/>
  <c r="O109" i="1" s="1"/>
  <c r="Q109" i="1" s="1"/>
  <c r="S109" i="1" s="1"/>
  <c r="U109" i="1" s="1"/>
  <c r="J109" i="1"/>
  <c r="I109" i="1"/>
  <c r="H109" i="1"/>
  <c r="G109" i="1"/>
  <c r="F109" i="1"/>
  <c r="E109" i="1"/>
  <c r="D109" i="1"/>
  <c r="C109" i="1"/>
  <c r="T108" i="1"/>
  <c r="R108" i="1"/>
  <c r="P108" i="1"/>
  <c r="N108" i="1"/>
  <c r="L108" i="1"/>
  <c r="K108" i="1"/>
  <c r="M108" i="1" s="1"/>
  <c r="O108" i="1" s="1"/>
  <c r="Q108" i="1" s="1"/>
  <c r="S108" i="1" s="1"/>
  <c r="U108" i="1" s="1"/>
  <c r="J108" i="1"/>
  <c r="I108" i="1"/>
  <c r="H108" i="1"/>
  <c r="G108" i="1"/>
  <c r="F108" i="1"/>
  <c r="E108" i="1"/>
  <c r="D108" i="1"/>
  <c r="C108" i="1"/>
  <c r="T107" i="1"/>
  <c r="R107" i="1"/>
  <c r="P107" i="1"/>
  <c r="N107" i="1"/>
  <c r="L107" i="1"/>
  <c r="K107" i="1"/>
  <c r="M107" i="1" s="1"/>
  <c r="O107" i="1" s="1"/>
  <c r="Q107" i="1" s="1"/>
  <c r="S107" i="1" s="1"/>
  <c r="U107" i="1" s="1"/>
  <c r="J107" i="1"/>
  <c r="I107" i="1"/>
  <c r="H107" i="1"/>
  <c r="G107" i="1"/>
  <c r="F107" i="1"/>
  <c r="E107" i="1"/>
  <c r="D107" i="1"/>
  <c r="C107" i="1"/>
  <c r="T106" i="1"/>
  <c r="R106" i="1"/>
  <c r="P106" i="1"/>
  <c r="N106" i="1"/>
  <c r="L106" i="1"/>
  <c r="K106" i="1"/>
  <c r="M106" i="1" s="1"/>
  <c r="O106" i="1" s="1"/>
  <c r="Q106" i="1" s="1"/>
  <c r="S106" i="1" s="1"/>
  <c r="U106" i="1" s="1"/>
  <c r="J106" i="1"/>
  <c r="I106" i="1"/>
  <c r="H106" i="1"/>
  <c r="G106" i="1"/>
  <c r="F106" i="1"/>
  <c r="E106" i="1"/>
  <c r="D106" i="1"/>
  <c r="C106" i="1"/>
  <c r="T105" i="1"/>
  <c r="R105" i="1"/>
  <c r="P105" i="1"/>
  <c r="N105" i="1"/>
  <c r="L105" i="1"/>
  <c r="K105" i="1"/>
  <c r="M105" i="1" s="1"/>
  <c r="O105" i="1" s="1"/>
  <c r="Q105" i="1" s="1"/>
  <c r="S105" i="1" s="1"/>
  <c r="U105" i="1" s="1"/>
  <c r="J105" i="1"/>
  <c r="I105" i="1"/>
  <c r="H105" i="1"/>
  <c r="G105" i="1"/>
  <c r="F105" i="1"/>
  <c r="E105" i="1"/>
  <c r="D105" i="1"/>
  <c r="C105" i="1"/>
  <c r="T104" i="1"/>
  <c r="R104" i="1"/>
  <c r="P104" i="1"/>
  <c r="N104" i="1"/>
  <c r="L104" i="1"/>
  <c r="K104" i="1"/>
  <c r="M104" i="1" s="1"/>
  <c r="O104" i="1" s="1"/>
  <c r="Q104" i="1" s="1"/>
  <c r="S104" i="1" s="1"/>
  <c r="U104" i="1" s="1"/>
  <c r="J104" i="1"/>
  <c r="I104" i="1"/>
  <c r="H104" i="1"/>
  <c r="G104" i="1"/>
  <c r="F104" i="1"/>
  <c r="E104" i="1"/>
  <c r="D104" i="1"/>
  <c r="C104" i="1"/>
  <c r="T103" i="1"/>
  <c r="R103" i="1"/>
  <c r="P103" i="1"/>
  <c r="N103" i="1"/>
  <c r="L103" i="1"/>
  <c r="K103" i="1"/>
  <c r="M103" i="1" s="1"/>
  <c r="O103" i="1" s="1"/>
  <c r="Q103" i="1" s="1"/>
  <c r="S103" i="1" s="1"/>
  <c r="U103" i="1" s="1"/>
  <c r="J103" i="1"/>
  <c r="I103" i="1"/>
  <c r="H103" i="1"/>
  <c r="G103" i="1"/>
  <c r="F103" i="1"/>
  <c r="E103" i="1"/>
  <c r="D103" i="1"/>
  <c r="C103" i="1"/>
  <c r="T102" i="1"/>
  <c r="R102" i="1"/>
  <c r="P102" i="1"/>
  <c r="N102" i="1"/>
  <c r="L102" i="1"/>
  <c r="K102" i="1"/>
  <c r="M102" i="1" s="1"/>
  <c r="O102" i="1" s="1"/>
  <c r="Q102" i="1" s="1"/>
  <c r="S102" i="1" s="1"/>
  <c r="U102" i="1" s="1"/>
  <c r="J102" i="1"/>
  <c r="I102" i="1"/>
  <c r="H102" i="1"/>
  <c r="G102" i="1"/>
  <c r="F102" i="1"/>
  <c r="E102" i="1"/>
  <c r="D102" i="1"/>
  <c r="C102" i="1"/>
  <c r="T101" i="1"/>
  <c r="R101" i="1"/>
  <c r="P101" i="1"/>
  <c r="N101" i="1"/>
  <c r="L101" i="1"/>
  <c r="K101" i="1"/>
  <c r="M101" i="1" s="1"/>
  <c r="O101" i="1" s="1"/>
  <c r="Q101" i="1" s="1"/>
  <c r="S101" i="1" s="1"/>
  <c r="U101" i="1" s="1"/>
  <c r="J101" i="1"/>
  <c r="I101" i="1"/>
  <c r="H101" i="1"/>
  <c r="G101" i="1"/>
  <c r="F101" i="1"/>
  <c r="E101" i="1"/>
  <c r="D101" i="1"/>
  <c r="C101" i="1"/>
  <c r="T100" i="1"/>
  <c r="R100" i="1"/>
  <c r="P100" i="1"/>
  <c r="N100" i="1"/>
  <c r="L100" i="1"/>
  <c r="K100" i="1"/>
  <c r="M100" i="1" s="1"/>
  <c r="O100" i="1" s="1"/>
  <c r="Q100" i="1" s="1"/>
  <c r="S100" i="1" s="1"/>
  <c r="U100" i="1" s="1"/>
  <c r="J100" i="1"/>
  <c r="I100" i="1"/>
  <c r="H100" i="1"/>
  <c r="G100" i="1"/>
  <c r="F100" i="1"/>
  <c r="E100" i="1"/>
  <c r="D100" i="1"/>
  <c r="C100" i="1"/>
  <c r="T99" i="1"/>
  <c r="R99" i="1"/>
  <c r="P99" i="1"/>
  <c r="N99" i="1"/>
  <c r="L99" i="1"/>
  <c r="K99" i="1"/>
  <c r="M99" i="1" s="1"/>
  <c r="O99" i="1" s="1"/>
  <c r="Q99" i="1" s="1"/>
  <c r="S99" i="1" s="1"/>
  <c r="U99" i="1" s="1"/>
  <c r="J99" i="1"/>
  <c r="I99" i="1"/>
  <c r="H99" i="1"/>
  <c r="G99" i="1"/>
  <c r="F99" i="1"/>
  <c r="E99" i="1"/>
  <c r="D99" i="1"/>
  <c r="C99" i="1"/>
  <c r="T98" i="1"/>
  <c r="R98" i="1"/>
  <c r="P98" i="1"/>
  <c r="N98" i="1"/>
  <c r="L98" i="1"/>
  <c r="K98" i="1"/>
  <c r="M98" i="1" s="1"/>
  <c r="O98" i="1" s="1"/>
  <c r="Q98" i="1" s="1"/>
  <c r="S98" i="1" s="1"/>
  <c r="U98" i="1" s="1"/>
  <c r="J98" i="1"/>
  <c r="I98" i="1"/>
  <c r="H98" i="1"/>
  <c r="G98" i="1"/>
  <c r="F98" i="1"/>
  <c r="E98" i="1"/>
  <c r="D98" i="1"/>
  <c r="C98" i="1"/>
  <c r="T97" i="1"/>
  <c r="R97" i="1"/>
  <c r="P97" i="1"/>
  <c r="N97" i="1"/>
  <c r="L97" i="1"/>
  <c r="K97" i="1"/>
  <c r="M97" i="1" s="1"/>
  <c r="O97" i="1" s="1"/>
  <c r="Q97" i="1" s="1"/>
  <c r="S97" i="1" s="1"/>
  <c r="U97" i="1" s="1"/>
  <c r="J97" i="1"/>
  <c r="I97" i="1"/>
  <c r="H97" i="1"/>
  <c r="G97" i="1"/>
  <c r="F97" i="1"/>
  <c r="E97" i="1"/>
  <c r="D97" i="1"/>
  <c r="C97" i="1"/>
  <c r="T96" i="1"/>
  <c r="R96" i="1"/>
  <c r="P96" i="1"/>
  <c r="N96" i="1"/>
  <c r="L96" i="1"/>
  <c r="K96" i="1"/>
  <c r="M96" i="1" s="1"/>
  <c r="O96" i="1" s="1"/>
  <c r="Q96" i="1" s="1"/>
  <c r="S96" i="1" s="1"/>
  <c r="U96" i="1" s="1"/>
  <c r="J96" i="1"/>
  <c r="I96" i="1"/>
  <c r="H96" i="1"/>
  <c r="G96" i="1"/>
  <c r="F96" i="1"/>
  <c r="D96" i="1"/>
  <c r="C96" i="1"/>
  <c r="T95" i="1"/>
  <c r="R95" i="1"/>
  <c r="P95" i="1"/>
  <c r="N95" i="1"/>
  <c r="L95" i="1"/>
  <c r="K95" i="1"/>
  <c r="M95" i="1" s="1"/>
  <c r="O95" i="1" s="1"/>
  <c r="Q95" i="1" s="1"/>
  <c r="S95" i="1" s="1"/>
  <c r="U95" i="1" s="1"/>
  <c r="J95" i="1"/>
  <c r="I95" i="1"/>
  <c r="H95" i="1"/>
  <c r="G95" i="1"/>
  <c r="F95" i="1"/>
  <c r="E95" i="1"/>
  <c r="D95" i="1"/>
  <c r="C95" i="1"/>
  <c r="T94" i="1"/>
  <c r="R94" i="1"/>
  <c r="P94" i="1"/>
  <c r="N94" i="1"/>
  <c r="L94" i="1"/>
  <c r="K94" i="1"/>
  <c r="M94" i="1" s="1"/>
  <c r="O94" i="1" s="1"/>
  <c r="Q94" i="1" s="1"/>
  <c r="S94" i="1" s="1"/>
  <c r="U94" i="1" s="1"/>
  <c r="J94" i="1"/>
  <c r="I94" i="1"/>
  <c r="H94" i="1"/>
  <c r="G94" i="1"/>
  <c r="F94" i="1"/>
  <c r="E94" i="1"/>
  <c r="D94" i="1"/>
  <c r="C94" i="1"/>
  <c r="T93" i="1"/>
  <c r="R93" i="1"/>
  <c r="P93" i="1"/>
  <c r="N93" i="1"/>
  <c r="L93" i="1"/>
  <c r="K93" i="1"/>
  <c r="M93" i="1" s="1"/>
  <c r="O93" i="1" s="1"/>
  <c r="Q93" i="1" s="1"/>
  <c r="S93" i="1" s="1"/>
  <c r="U93" i="1" s="1"/>
  <c r="J93" i="1"/>
  <c r="I93" i="1"/>
  <c r="H93" i="1"/>
  <c r="G93" i="1"/>
  <c r="F93" i="1"/>
  <c r="E93" i="1"/>
  <c r="D93" i="1"/>
  <c r="C93" i="1"/>
  <c r="T92" i="1"/>
  <c r="R92" i="1"/>
  <c r="P92" i="1"/>
  <c r="N92" i="1"/>
  <c r="L92" i="1"/>
  <c r="K92" i="1"/>
  <c r="M92" i="1" s="1"/>
  <c r="O92" i="1" s="1"/>
  <c r="Q92" i="1" s="1"/>
  <c r="S92" i="1" s="1"/>
  <c r="U92" i="1" s="1"/>
  <c r="J92" i="1"/>
  <c r="I92" i="1"/>
  <c r="H92" i="1"/>
  <c r="G92" i="1"/>
  <c r="F92" i="1"/>
  <c r="E92" i="1"/>
  <c r="D92" i="1"/>
  <c r="C92" i="1"/>
  <c r="T91" i="1"/>
  <c r="R91" i="1"/>
  <c r="P91" i="1"/>
  <c r="N91" i="1"/>
  <c r="L91" i="1"/>
  <c r="K91" i="1"/>
  <c r="M91" i="1" s="1"/>
  <c r="O91" i="1" s="1"/>
  <c r="Q91" i="1" s="1"/>
  <c r="S91" i="1" s="1"/>
  <c r="U91" i="1" s="1"/>
  <c r="J91" i="1"/>
  <c r="I91" i="1"/>
  <c r="H91" i="1"/>
  <c r="G91" i="1"/>
  <c r="F91" i="1"/>
  <c r="E91" i="1"/>
  <c r="D91" i="1"/>
  <c r="C91" i="1"/>
  <c r="T90" i="1"/>
  <c r="R90" i="1"/>
  <c r="P90" i="1"/>
  <c r="N90" i="1"/>
  <c r="L90" i="1"/>
  <c r="K90" i="1"/>
  <c r="M90" i="1" s="1"/>
  <c r="O90" i="1" s="1"/>
  <c r="Q90" i="1" s="1"/>
  <c r="S90" i="1" s="1"/>
  <c r="U90" i="1" s="1"/>
  <c r="J90" i="1"/>
  <c r="I90" i="1"/>
  <c r="H90" i="1"/>
  <c r="G90" i="1"/>
  <c r="F90" i="1"/>
  <c r="E90" i="1"/>
  <c r="D90" i="1"/>
  <c r="C90" i="1"/>
  <c r="T89" i="1"/>
  <c r="R89" i="1"/>
  <c r="P89" i="1"/>
  <c r="N89" i="1"/>
  <c r="L89" i="1"/>
  <c r="K89" i="1"/>
  <c r="M89" i="1" s="1"/>
  <c r="O89" i="1" s="1"/>
  <c r="Q89" i="1" s="1"/>
  <c r="S89" i="1" s="1"/>
  <c r="U89" i="1" s="1"/>
  <c r="J89" i="1"/>
  <c r="I89" i="1"/>
  <c r="H89" i="1"/>
  <c r="G89" i="1"/>
  <c r="F89" i="1"/>
  <c r="E89" i="1"/>
  <c r="D89" i="1"/>
  <c r="C89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F37" i="1"/>
  <c r="D37" i="1"/>
  <c r="C37" i="1"/>
  <c r="U36" i="1"/>
  <c r="T36" i="1"/>
  <c r="S36" i="1"/>
  <c r="R36" i="1"/>
  <c r="Q36" i="1"/>
  <c r="P36" i="1"/>
  <c r="O36" i="1"/>
  <c r="N36" i="1"/>
  <c r="M36" i="1"/>
  <c r="L36" i="1"/>
  <c r="K36" i="1"/>
  <c r="I36" i="1"/>
  <c r="H36" i="1"/>
  <c r="G36" i="1"/>
  <c r="E36" i="1"/>
  <c r="D36" i="1"/>
  <c r="C36" i="1"/>
  <c r="U35" i="1"/>
  <c r="T35" i="1"/>
  <c r="S35" i="1"/>
  <c r="R35" i="1"/>
  <c r="Q35" i="1"/>
  <c r="P35" i="1"/>
  <c r="O35" i="1"/>
  <c r="N35" i="1"/>
  <c r="M35" i="1"/>
  <c r="L35" i="1"/>
  <c r="K35" i="1"/>
  <c r="J35" i="1"/>
  <c r="H35" i="1"/>
  <c r="G35" i="1"/>
  <c r="F35" i="1"/>
  <c r="D35" i="1"/>
  <c r="C35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U33" i="1"/>
  <c r="T33" i="1"/>
  <c r="S33" i="1"/>
  <c r="C33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U31" i="1"/>
  <c r="T31" i="1"/>
  <c r="S31" i="1"/>
  <c r="R31" i="1"/>
  <c r="Q31" i="1"/>
  <c r="P31" i="1"/>
  <c r="O31" i="1"/>
  <c r="N31" i="1"/>
  <c r="M31" i="1"/>
  <c r="L31" i="1"/>
  <c r="K31" i="1"/>
  <c r="I31" i="1"/>
  <c r="H31" i="1"/>
  <c r="G31" i="1"/>
  <c r="E31" i="1"/>
  <c r="D31" i="1"/>
  <c r="C31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U29" i="1"/>
  <c r="T29" i="1"/>
  <c r="S29" i="1"/>
  <c r="R29" i="1"/>
  <c r="Q29" i="1"/>
  <c r="P29" i="1"/>
  <c r="N29" i="1"/>
  <c r="M29" i="1"/>
  <c r="L29" i="1"/>
  <c r="K29" i="1"/>
  <c r="J29" i="1"/>
  <c r="I29" i="1"/>
  <c r="G29" i="1"/>
  <c r="F29" i="1"/>
  <c r="E29" i="1"/>
  <c r="D29" i="1"/>
  <c r="C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U25" i="1"/>
  <c r="T25" i="1"/>
  <c r="S25" i="1"/>
  <c r="R25" i="1"/>
  <c r="Q25" i="1"/>
  <c r="P25" i="1"/>
  <c r="O25" i="1"/>
  <c r="N25" i="1"/>
  <c r="M25" i="1"/>
  <c r="L25" i="1"/>
  <c r="K25" i="1"/>
  <c r="I25" i="1"/>
  <c r="G25" i="1"/>
  <c r="F25" i="1"/>
  <c r="E25" i="1"/>
  <c r="D25" i="1"/>
  <c r="C25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U21" i="1"/>
  <c r="T21" i="1"/>
  <c r="S21" i="1"/>
  <c r="R21" i="1"/>
  <c r="P21" i="1"/>
  <c r="O21" i="1"/>
  <c r="N21" i="1"/>
  <c r="M21" i="1"/>
  <c r="U20" i="1"/>
  <c r="T20" i="1"/>
  <c r="S20" i="1"/>
  <c r="R20" i="1"/>
  <c r="Q20" i="1"/>
  <c r="P20" i="1"/>
  <c r="O20" i="1"/>
  <c r="N20" i="1"/>
  <c r="M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U17" i="1"/>
  <c r="T17" i="1"/>
  <c r="S17" i="1"/>
  <c r="R17" i="1"/>
  <c r="Q17" i="1"/>
  <c r="P17" i="1"/>
  <c r="O17" i="1"/>
  <c r="N17" i="1"/>
  <c r="M17" i="1"/>
  <c r="L17" i="1"/>
  <c r="K17" i="1"/>
  <c r="J17" i="1"/>
  <c r="G17" i="1"/>
  <c r="F17" i="1"/>
  <c r="E17" i="1"/>
  <c r="D17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U14" i="1"/>
  <c r="T14" i="1"/>
  <c r="S14" i="1"/>
  <c r="R14" i="1"/>
  <c r="Q14" i="1"/>
  <c r="P14" i="1"/>
  <c r="O14" i="1"/>
  <c r="N14" i="1"/>
  <c r="M14" i="1"/>
  <c r="L14" i="1"/>
  <c r="K14" i="1"/>
  <c r="H14" i="1"/>
  <c r="E14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G13" i="1"/>
  <c r="F13" i="1"/>
  <c r="E13" i="1"/>
  <c r="D13" i="1"/>
  <c r="C13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U11" i="1"/>
  <c r="T11" i="1"/>
  <c r="S11" i="1"/>
  <c r="R11" i="1"/>
  <c r="Q11" i="1"/>
  <c r="P11" i="1"/>
  <c r="N11" i="1"/>
  <c r="M11" i="1"/>
  <c r="L11" i="1"/>
  <c r="K11" i="1"/>
  <c r="J11" i="1"/>
  <c r="I11" i="1"/>
  <c r="H11" i="1"/>
  <c r="G11" i="1"/>
  <c r="F11" i="1"/>
  <c r="E11" i="1"/>
  <c r="D11" i="1"/>
  <c r="C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U9" i="1"/>
  <c r="T9" i="1"/>
  <c r="S9" i="1"/>
  <c r="R9" i="1"/>
  <c r="Q9" i="1"/>
  <c r="P9" i="1"/>
  <c r="N9" i="1"/>
  <c r="M9" i="1"/>
  <c r="K9" i="1"/>
  <c r="J9" i="1"/>
  <c r="I9" i="1"/>
  <c r="G9" i="1"/>
  <c r="F9" i="1"/>
  <c r="E9" i="1"/>
  <c r="D9" i="1"/>
  <c r="C9" i="1"/>
  <c r="U8" i="1"/>
  <c r="T8" i="1"/>
  <c r="S8" i="1"/>
  <c r="Q8" i="1"/>
  <c r="P8" i="1"/>
  <c r="O8" i="1"/>
  <c r="N8" i="1"/>
  <c r="M8" i="1"/>
  <c r="L8" i="1"/>
  <c r="K8" i="1"/>
  <c r="I8" i="1"/>
  <c r="H8" i="1"/>
  <c r="G8" i="1"/>
  <c r="F8" i="1"/>
  <c r="E8" i="1"/>
  <c r="D8" i="1"/>
  <c r="C8" i="1"/>
  <c r="U7" i="1"/>
  <c r="T7" i="1"/>
  <c r="S7" i="1"/>
  <c r="Q7" i="1"/>
  <c r="P7" i="1"/>
  <c r="N7" i="1"/>
  <c r="M7" i="1"/>
  <c r="K7" i="1"/>
  <c r="J7" i="1"/>
  <c r="I7" i="1"/>
  <c r="H7" i="1"/>
  <c r="G7" i="1"/>
  <c r="F7" i="1"/>
  <c r="E7" i="1"/>
  <c r="D7" i="1"/>
  <c r="C7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U5" i="1"/>
  <c r="T5" i="1"/>
  <c r="S5" i="1"/>
  <c r="R5" i="1"/>
  <c r="Q5" i="1"/>
  <c r="P5" i="1"/>
  <c r="O5" i="1"/>
  <c r="N5" i="1"/>
  <c r="M5" i="1"/>
  <c r="L5" i="1"/>
  <c r="K5" i="1"/>
  <c r="J5" i="1"/>
  <c r="I5" i="1"/>
  <c r="F5" i="1"/>
  <c r="D5" i="1"/>
  <c r="C5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</calcChain>
</file>

<file path=xl/sharedStrings.xml><?xml version="1.0" encoding="utf-8"?>
<sst xmlns="http://schemas.openxmlformats.org/spreadsheetml/2006/main" count="307" uniqueCount="134">
  <si>
    <t>Nº</t>
  </si>
  <si>
    <t>100%</t>
  </si>
  <si>
    <t>95%</t>
  </si>
  <si>
    <t>90%</t>
  </si>
  <si>
    <t>85%</t>
  </si>
  <si>
    <t>80%</t>
  </si>
  <si>
    <t>75%</t>
  </si>
  <si>
    <t>70%</t>
  </si>
  <si>
    <t>65%</t>
  </si>
  <si>
    <t>60%</t>
  </si>
  <si>
    <t>55%</t>
  </si>
  <si>
    <t>50%</t>
  </si>
  <si>
    <t>45%</t>
  </si>
  <si>
    <t>40%</t>
  </si>
  <si>
    <t>35%</t>
  </si>
  <si>
    <t>30%</t>
  </si>
  <si>
    <t>25%</t>
  </si>
  <si>
    <t>20%</t>
  </si>
  <si>
    <t>15%</t>
  </si>
  <si>
    <t>10%</t>
  </si>
  <si>
    <t>5%</t>
  </si>
  <si>
    <t>PA</t>
  </si>
  <si>
    <t>PB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</si>
  <si>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</si>
  <si>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</si>
  <si>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</si>
  <si>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</si>
  <si>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</si>
  <si>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</si>
  <si>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</si>
  <si>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</si>
  <si>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</si>
  <si>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</si>
  <si>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</si>
  <si>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</si>
  <si>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</si>
  <si>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</si>
  <si>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</si>
  <si>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</si>
  <si>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</si>
  <si>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</si>
  <si>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</si>
  <si>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</si>
  <si>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</si>
  <si>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</si>
  <si>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</si>
  <si>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</si>
  <si>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</si>
  <si>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</si>
  <si>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</si>
  <si>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</si>
  <si>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</si>
  <si>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</si>
  <si>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</si>
  <si>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</si>
  <si>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</si>
  <si>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</si>
  <si>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</si>
  <si>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</si>
  <si>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</si>
  <si>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</si>
  <si>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</si>
  <si>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</si>
  <si>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</si>
  <si>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</si>
  <si>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</si>
  <si>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</si>
  <si>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</si>
  <si>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</si>
  <si>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</si>
  <si>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</si>
  <si>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</si>
  <si>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</si>
  <si>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</si>
  <si>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</si>
  <si>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</si>
  <si>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</si>
  <si>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</si>
  <si>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</si>
  <si>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</si>
  <si>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</si>
  <si>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</si>
  <si>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</si>
  <si>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</si>
  <si>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</si>
  <si>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</si>
  <si>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</si>
  <si>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</si>
  <si>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</si>
  <si>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</si>
  <si>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</si>
  <si>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</si>
  <si>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</si>
  <si>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</si>
  <si>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</si>
  <si>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</si>
  <si>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</si>
  <si>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PIVÔ</t>
  </si>
  <si>
    <t>HORAS PIVÔ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</si>
  <si>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</si>
  <si>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</si>
  <si>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</si>
  <si>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</si>
  <si>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</si>
  <si>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</si>
  <si>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</si>
  <si>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</si>
  <si>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</si>
  <si>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</si>
  <si>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</si>
  <si>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</si>
  <si>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</si>
  <si>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</si>
  <si>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</si>
  <si>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</si>
  <si>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</si>
  <si>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</si>
  <si>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</si>
  <si>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</si>
  <si>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</si>
  <si>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</si>
  <si>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</si>
  <si>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</si>
  <si>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</si>
  <si>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</si>
  <si>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</si>
  <si>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</si>
  <si>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</si>
  <si>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</si>
  <si>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</si>
  <si>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</si>
  <si>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HORAS</t>
  </si>
  <si>
    <t>P76</t>
  </si>
  <si>
    <t>P75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</si>
</sst>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98658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4" xfId="0" applyBorder="1"/>
    <xf numFmtId="0" fontId="1" fillId="3" borderId="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0" fontId="0" fillId="5" borderId="0" xfId="0" applyFill="1"/>
    <xf numFmtId="0" fontId="1" fillId="0" borderId="14" xfId="0" applyFont="1" applyBorder="1" applyAlignment="1">
      <alignment horizontal="center"/>
    </xf>
    <xf numFmtId="0" fontId="0" fillId="6" borderId="0" xfId="0" applyFill="1" applyAlignment="1">
      <alignment vertical="center"/>
    </xf>
    <xf numFmtId="0" fontId="0" fillId="2" borderId="0" xfId="0" applyFill="1" applyAlignment="1">
      <alignment vertical="center"/>
    </xf>
    <xf numFmtId="2" fontId="1" fillId="0" borderId="0" xfId="0" applyNumberFormat="1" applyFont="1" applyAlignment="1">
      <alignment horizontal="center"/>
    </xf>
    <xf numFmtId="2" fontId="0" fillId="0" borderId="4" xfId="0" applyNumberFormat="1" applyBorder="1"/>
    <xf numFmtId="0" fontId="1" fillId="2" borderId="7" xfId="0" applyFont="1" applyFill="1" applyBorder="1" applyAlignment="1">
      <alignment horizontal="center" vertical="center"/>
    </xf>
    <xf numFmtId="9" fontId="1" fillId="2" borderId="15" xfId="0" applyNumberFormat="1" applyFont="1" applyFill="1" applyBorder="1" applyAlignment="1">
      <alignment horizontal="center" vertical="center"/>
    </xf>
    <xf numFmtId="9" fontId="1" fillId="2" borderId="16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9" fontId="1" fillId="2" borderId="15" xfId="0" applyNumberFormat="1" applyFont="1" applyFill="1" applyBorder="1" applyAlignment="1">
      <alignment horizontal="center"/>
    </xf>
    <xf numFmtId="9" fontId="1" fillId="2" borderId="16" xfId="0" applyNumberFormat="1" applyFont="1" applyFill="1" applyBorder="1" applyAlignment="1">
      <alignment horizontal="center"/>
    </xf>
    <xf numFmtId="0" fontId="0" fillId="0" borderId="9" xfId="0" applyBorder="1"/>
    <xf numFmtId="2" fontId="0" fillId="0" borderId="9" xfId="0" applyNumberFormat="1" applyBorder="1"/>
    <xf numFmtId="9" fontId="1" fillId="3" borderId="6" xfId="0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20" fontId="0" fillId="0" borderId="0" xfId="0" applyNumberFormat="1"/>
    <xf numFmtId="2" fontId="0" fillId="0" borderId="0" xfId="0" applyNumberFormat="1"/>
    <xf numFmtId="164" fontId="5" fillId="0" borderId="0" xfId="0" applyNumberFormat="1" applyFont="1" applyAlignment="1">
      <alignment vertical="center"/>
    </xf>
    <xf numFmtId="2" fontId="1" fillId="0" borderId="10" xfId="0" applyNumberFormat="1" applyFont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2" fontId="1" fillId="7" borderId="4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2" fontId="1" fillId="7" borderId="5" xfId="0" applyNumberFormat="1" applyFont="1" applyFill="1" applyBorder="1" applyAlignment="1">
      <alignment horizontal="center"/>
    </xf>
    <xf numFmtId="0" fontId="0" fillId="7" borderId="0" xfId="0" applyFill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0" fontId="0" fillId="4" borderId="0" xfId="0" applyFill="1"/>
    <xf numFmtId="2" fontId="1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2" fontId="1" fillId="4" borderId="12" xfId="0" applyNumberFormat="1" applyFont="1" applyFill="1" applyBorder="1" applyAlignment="1">
      <alignment horizontal="center"/>
    </xf>
    <xf numFmtId="0" fontId="0" fillId="4" borderId="4" xfId="0" applyFill="1" applyBorder="1"/>
    <xf numFmtId="2" fontId="0" fillId="4" borderId="4" xfId="0" applyNumberFormat="1" applyFill="1" applyBorder="1"/>
    <xf numFmtId="0" fontId="1" fillId="4" borderId="9" xfId="0" applyFont="1" applyFill="1" applyBorder="1" applyAlignment="1">
      <alignment horizontal="center"/>
    </xf>
    <xf numFmtId="0" fontId="0" fillId="4" borderId="9" xfId="0" applyFill="1" applyBorder="1"/>
    <xf numFmtId="2" fontId="0" fillId="4" borderId="9" xfId="0" applyNumberFormat="1" applyFill="1" applyBorder="1"/>
    <xf numFmtId="0" fontId="1" fillId="4" borderId="1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0" fontId="4" fillId="4" borderId="0" xfId="0" applyFont="1" applyFill="1"/>
    <xf numFmtId="2" fontId="1" fillId="4" borderId="9" xfId="0" applyNumberFormat="1" applyFont="1" applyFill="1" applyBorder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101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50799</xdr:colOff>
      <xdr:row>0</xdr:row>
      <xdr:rowOff>131763</xdr:rowOff>
    </xdr:from>
    <xdr:to>
      <xdr:col>25</xdr:col>
      <xdr:colOff>0</xdr:colOff>
      <xdr:row>9</xdr:row>
      <xdr:rowOff>179387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E7463D9-67F4-85E5-88E4-94BA341EF39A}"/>
            </a:ext>
          </a:extLst>
        </xdr:cNvPr>
        <xdr:cNvSpPr/>
      </xdr:nvSpPr>
      <xdr:spPr>
        <a:xfrm>
          <a:off x="12852399" y="131763"/>
          <a:ext cx="2130426" cy="1466849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tx1"/>
              </a:solidFill>
            </a:rPr>
            <a:t>Atenção</a:t>
          </a:r>
        </a:p>
        <a:p>
          <a:pPr algn="l"/>
          <a:endParaRPr lang="pt-BR" sz="1100" b="1">
            <a:solidFill>
              <a:schemeClr val="tx1"/>
            </a:solidFill>
          </a:endParaRPr>
        </a:p>
        <a:p>
          <a:pPr algn="ctr"/>
          <a:r>
            <a:rPr lang="pt-BR" sz="1400" b="1">
              <a:solidFill>
                <a:schemeClr val="tx1"/>
              </a:solidFill>
            </a:rPr>
            <a:t>Campos</a:t>
          </a:r>
          <a:r>
            <a:rPr lang="pt-BR" sz="1400" b="1" baseline="0">
              <a:solidFill>
                <a:schemeClr val="tx1"/>
              </a:solidFill>
            </a:rPr>
            <a:t> destacados em </a:t>
          </a:r>
          <a:r>
            <a:rPr lang="pt-BR" sz="1400" b="1" i="1" u="sng" baseline="0">
              <a:solidFill>
                <a:schemeClr val="tx1"/>
              </a:solidFill>
            </a:rPr>
            <a:t>amarelo</a:t>
          </a:r>
          <a:r>
            <a:rPr lang="pt-BR" sz="1400" b="1" baseline="0">
              <a:solidFill>
                <a:schemeClr val="tx1"/>
              </a:solidFill>
            </a:rPr>
            <a:t> necessita de atualização.</a:t>
          </a:r>
          <a:endParaRPr lang="pt-BR" sz="14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95256</xdr:colOff>
      <xdr:row>0</xdr:row>
      <xdr:rowOff>31752</xdr:rowOff>
    </xdr:from>
    <xdr:to>
      <xdr:col>24</xdr:col>
      <xdr:colOff>392120</xdr:colOff>
      <xdr:row>7</xdr:row>
      <xdr:rowOff>165101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33E62E5-4F42-48EF-971A-9911A724B298}"/>
            </a:ext>
          </a:extLst>
        </xdr:cNvPr>
        <xdr:cNvSpPr/>
      </xdr:nvSpPr>
      <xdr:spPr>
        <a:xfrm>
          <a:off x="13898569" y="31752"/>
          <a:ext cx="2130426" cy="1466849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tx1"/>
              </a:solidFill>
            </a:rPr>
            <a:t>Atenção</a:t>
          </a:r>
        </a:p>
        <a:p>
          <a:pPr algn="l"/>
          <a:endParaRPr lang="pt-BR" sz="1100" b="1">
            <a:solidFill>
              <a:schemeClr val="tx1"/>
            </a:solidFill>
          </a:endParaRPr>
        </a:p>
        <a:p>
          <a:pPr algn="ctr"/>
          <a:r>
            <a:rPr lang="pt-BR" sz="1400" b="1">
              <a:solidFill>
                <a:schemeClr val="tx1"/>
              </a:solidFill>
            </a:rPr>
            <a:t>Campos</a:t>
          </a:r>
          <a:r>
            <a:rPr lang="pt-BR" sz="1400" b="1" baseline="0">
              <a:solidFill>
                <a:schemeClr val="tx1"/>
              </a:solidFill>
            </a:rPr>
            <a:t> destacados em </a:t>
          </a:r>
          <a:r>
            <a:rPr lang="pt-BR" sz="1400" b="1" i="1" u="sng" baseline="0">
              <a:solidFill>
                <a:schemeClr val="tx1"/>
              </a:solidFill>
            </a:rPr>
            <a:t>amarelo</a:t>
          </a:r>
          <a:r>
            <a:rPr lang="pt-BR" sz="1400" b="1" baseline="0">
              <a:solidFill>
                <a:schemeClr val="tx1"/>
              </a:solidFill>
            </a:rPr>
            <a:t> necessita de atualização.</a:t>
          </a:r>
          <a:endParaRPr lang="pt-BR" sz="14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FE4ED-A5D1-475C-BA6A-D4717A89DF7D}" name="Lâmina_KARITEL" displayName="Lâmina_KARITEL" ref="A1:U79" totalsRowShown="0" headerRowDxfId="100" dataDxfId="98" headerRowBorderDxfId="99" tableBorderDxfId="97">
  <autoFilter ref="A1:U79" xr:uid="{EE7FE4ED-A5D1-475C-BA6A-D4717A89DF7D}"/>
  <tableColumns count="21">
    <tableColumn id="1" xr3:uid="{B800ED2E-E465-4700-A66A-13754D898A35}" name="Nº" dataDxfId="96"/>
    <tableColumn id="2" xr3:uid="{C2B1FE81-55CE-425A-9BB4-991496DD5D99}" name="100%" dataDxfId="95"/>
    <tableColumn id="3" xr3:uid="{1EDA2F73-6496-4F3F-BA8F-96B67F746DEA}" name="95%" dataDxfId="94"/>
    <tableColumn id="4" xr3:uid="{BFCF8D20-9053-4A76-9A75-6BBB5CF8A7FA}" name="90%" dataDxfId="93"/>
    <tableColumn id="5" xr3:uid="{33C2D7CF-F48F-4D72-AD21-261C7B8FFD3C}" name="85%" dataDxfId="92"/>
    <tableColumn id="6" xr3:uid="{49347F7A-7C0F-4A59-9F61-2AADC9528331}" name="80%" dataDxfId="91"/>
    <tableColumn id="7" xr3:uid="{0C5F8F46-4995-4A0E-A95B-F2AB7E92FC51}" name="75%" dataDxfId="90"/>
    <tableColumn id="8" xr3:uid="{4E9B6B91-FC22-488E-A118-33F44EC12614}" name="70%" dataDxfId="89"/>
    <tableColumn id="9" xr3:uid="{3A18125E-17AE-4567-938F-EBF82876B99D}" name="65%" dataDxfId="88"/>
    <tableColumn id="10" xr3:uid="{1D7647D0-F18D-41AB-A567-A04D716A7785}" name="60%" dataDxfId="87"/>
    <tableColumn id="11" xr3:uid="{E7A9B72C-4E14-4FC4-9B4A-975BF5E2B63C}" name="55%" dataDxfId="86"/>
    <tableColumn id="12" xr3:uid="{B80B00C6-8578-46A2-802C-DA7ECBF47231}" name="50%" dataDxfId="85"/>
    <tableColumn id="13" xr3:uid="{EF353ACD-2EA1-4B69-93E5-EF7D51002183}" name="45%" dataDxfId="84"/>
    <tableColumn id="14" xr3:uid="{BC8C1EAC-94E0-401C-B1AE-1BD3C1344DB7}" name="40%" dataDxfId="83"/>
    <tableColumn id="15" xr3:uid="{C24DAAB0-621A-4657-9DDE-EE759EA262BF}" name="35%" dataDxfId="82"/>
    <tableColumn id="16" xr3:uid="{44C75BD2-8F9F-43C2-B007-EC223020E8F4}" name="30%" dataDxfId="81"/>
    <tableColumn id="17" xr3:uid="{7751B08A-9627-4C09-8230-5CB3FD6A6AB0}" name="25%" dataDxfId="80"/>
    <tableColumn id="18" xr3:uid="{6398ED40-E81A-4B9D-A36F-A44136019E8C}" name="20%" dataDxfId="79"/>
    <tableColumn id="19" xr3:uid="{B217AA4A-1AB6-4ACB-812F-24C02F026592}" name="15%" dataDxfId="78"/>
    <tableColumn id="20" xr3:uid="{7977E714-772C-4CEF-B34A-E7BA6154E342}" name="10%" dataDxfId="77"/>
    <tableColumn id="21" xr3:uid="{4064E9C2-5E2E-4ED1-A4AE-4611DA7B7704}" name="5%" dataDxfId="7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E1EA8-44BA-4C1F-BC00-C8E02F584CF1}" name="Horas_KARITEL" displayName="Horas_KARITEL" ref="A82:U160" totalsRowShown="0" headerRowDxfId="75" dataDxfId="73" headerRowBorderDxfId="74" tableBorderDxfId="72">
  <autoFilter ref="A82:U160" xr:uid="{CA8E1EA8-44BA-4C1F-BC00-C8E02F584CF1}"/>
  <tableColumns count="21">
    <tableColumn id="1" xr3:uid="{22457053-0CBA-4C81-959A-0344D141FE56}" name="Nº" dataDxfId="71"/>
    <tableColumn id="2" xr3:uid="{773985EC-FBAB-469A-9F19-786C9B1F4FA2}" name="100%" dataDxfId="70"/>
    <tableColumn id="3" xr3:uid="{F56B03FA-A9C5-4F72-8212-B746A0BE937E}" name="95%" dataDxfId="69"/>
    <tableColumn id="4" xr3:uid="{A7BBA3CD-6368-47D6-82EF-14D21E18ECE2}" name="90%" dataDxfId="68"/>
    <tableColumn id="5" xr3:uid="{D65B5FDD-29EC-48A6-A340-AB98DC9E42B8}" name="85%" dataDxfId="67"/>
    <tableColumn id="6" xr3:uid="{EBB18F60-2A2D-4CD2-A425-A2B14E3EF32D}" name="80%" dataDxfId="66"/>
    <tableColumn id="7" xr3:uid="{1D9875BB-11D2-4EC5-B613-F63D20CCCB10}" name="75%" dataDxfId="65"/>
    <tableColumn id="8" xr3:uid="{8ED15F79-05F8-49F1-92CD-4D73749A7E67}" name="70%" dataDxfId="64"/>
    <tableColumn id="9" xr3:uid="{3F488F3B-59F6-4357-B5C5-CAD5DD60E8D9}" name="65%" dataDxfId="63"/>
    <tableColumn id="10" xr3:uid="{9F8D3183-4AE3-4298-B403-654E33A49E56}" name="60%" dataDxfId="62"/>
    <tableColumn id="11" xr3:uid="{0675F39F-B0D3-422B-B376-7B293BA48E7B}" name="55%" dataDxfId="61"/>
    <tableColumn id="12" xr3:uid="{40119B42-EA14-4482-A386-7AD49C4C29C3}" name="50%" dataDxfId="60"/>
    <tableColumn id="13" xr3:uid="{2C0AB4F3-17C1-426E-8A70-221073EBDE38}" name="45%" dataDxfId="59"/>
    <tableColumn id="14" xr3:uid="{D14E3098-DACC-47E3-A230-F83B9291C559}" name="40%" dataDxfId="58"/>
    <tableColumn id="15" xr3:uid="{3BEC9B76-FB7C-4A99-B177-48D53F9F577F}" name="35%" dataDxfId="57"/>
    <tableColumn id="16" xr3:uid="{AA8DD7A9-280A-4799-BFAB-665CEA93262C}" name="30%" dataDxfId="56"/>
    <tableColumn id="17" xr3:uid="{43C9B62E-9583-42AB-9E58-B462B374F767}" name="25%" dataDxfId="55"/>
    <tableColumn id="18" xr3:uid="{3285533A-3735-4A37-8548-905E55CF038E}" name="20%" dataDxfId="54"/>
    <tableColumn id="19" xr3:uid="{6865E4D3-788F-4072-A339-32A0685944B9}" name="15%" dataDxfId="53"/>
    <tableColumn id="20" xr3:uid="{B969A165-9FC1-4463-8285-C9AB30716793}" name="10%" dataDxfId="52"/>
    <tableColumn id="21" xr3:uid="{B3FC91C1-6EFD-40FD-8148-A76A11790ED0}" name="5%" dataDxfId="5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15A89E-7F21-41AD-8511-5F69C0D7397D}" name="Lâminas_RDM" displayName="Lâminas_RDM" ref="A1:U33" totalsRowShown="0" headerRowDxfId="50" dataDxfId="48" headerRowBorderDxfId="49" tableBorderDxfId="47" totalsRowBorderDxfId="46">
  <autoFilter ref="A1:U33" xr:uid="{4415A89E-7F21-41AD-8511-5F69C0D7397D}"/>
  <tableColumns count="21">
    <tableColumn id="1" xr3:uid="{D78DEBFE-EBC5-4232-AD31-273FF9B4D91B}" name="Nº" dataDxfId="45"/>
    <tableColumn id="2" xr3:uid="{8BFC3187-071F-4BB2-85BF-46289D6A6E67}" name="100%" dataDxfId="44"/>
    <tableColumn id="3" xr3:uid="{9134B76B-6954-4B84-ABED-E0153A7BAA7E}" name="95%" dataDxfId="43"/>
    <tableColumn id="4" xr3:uid="{337DFC52-BD01-4F6A-9B16-0623AC1ACFE2}" name="90%" dataDxfId="42"/>
    <tableColumn id="5" xr3:uid="{FC7A923E-7711-4C6E-85C5-1FB64E793714}" name="85%" dataDxfId="41"/>
    <tableColumn id="6" xr3:uid="{0EE740C7-9017-4AF2-93DC-5B3F943C5958}" name="80%" dataDxfId="40"/>
    <tableColumn id="7" xr3:uid="{65AD2E6E-88D4-4241-B949-27C245772979}" name="75%" dataDxfId="39"/>
    <tableColumn id="8" xr3:uid="{C948FBD8-1269-4CC9-8D94-665A0F00687B}" name="70%" dataDxfId="38"/>
    <tableColumn id="9" xr3:uid="{5EF2E3A2-63DC-4454-8912-5A3BBDB7183B}" name="65%" dataDxfId="37"/>
    <tableColumn id="10" xr3:uid="{83A671BD-6300-42CB-BE30-A187CF439B66}" name="60%" dataDxfId="36"/>
    <tableColumn id="11" xr3:uid="{078279D0-A6A8-43E8-B2FF-8A7C3359CDC2}" name="55%" dataDxfId="35"/>
    <tableColumn id="12" xr3:uid="{77A7AB08-5BF9-42E2-8D84-E395ECE34B9E}" name="50%" dataDxfId="34"/>
    <tableColumn id="13" xr3:uid="{223CE511-6922-4B7B-AB29-5726D6FEEDD8}" name="45%" dataDxfId="33"/>
    <tableColumn id="14" xr3:uid="{707B5540-0535-42D0-A6E1-9D047241FD8C}" name="40%" dataDxfId="32"/>
    <tableColumn id="15" xr3:uid="{37729032-6214-4B29-B2C4-F7F02E025001}" name="35%" dataDxfId="31"/>
    <tableColumn id="16" xr3:uid="{6462AE29-D659-4D00-B11F-66CEFCED61EE}" name="30%" dataDxfId="30"/>
    <tableColumn id="17" xr3:uid="{AB74C47D-7EC2-44B0-BEF8-B4021F0930E4}" name="25%" dataDxfId="29"/>
    <tableColumn id="18" xr3:uid="{67DF8183-6B86-47FD-AFF4-40D486358032}" name="20%" dataDxfId="28"/>
    <tableColumn id="19" xr3:uid="{DEB57D92-3911-4F04-B1FE-3EBB11C4ECD1}" name="15%" dataDxfId="27"/>
    <tableColumn id="20" xr3:uid="{9B511E0E-67B6-47CE-BD5F-EC4A6A50CDD3}" name="10%" dataDxfId="26"/>
    <tableColumn id="21" xr3:uid="{B448F84D-5B56-499F-BAED-960A61C15E50}" name="5%" dataDxfId="2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FA0579-E7CC-42C5-9C6C-55451C3894B4}" name="Horas_RDM" displayName="Horas_RDM" ref="A35:U67" totalsRowShown="0" headerRowDxfId="24" headerRowBorderDxfId="23" tableBorderDxfId="22" totalsRowBorderDxfId="21">
  <autoFilter ref="A35:U67" xr:uid="{4DFA0579-E7CC-42C5-9C6C-55451C3894B4}"/>
  <tableColumns count="21">
    <tableColumn id="1" xr3:uid="{637A579C-2B7B-4C16-AF7F-12EA7922F5C1}" name="Nº" dataDxfId="20"/>
    <tableColumn id="2" xr3:uid="{EDD010A6-59A8-4566-8A1E-174CBCC53199}" name="100%" dataDxfId="19"/>
    <tableColumn id="3" xr3:uid="{967FB02D-FBDE-457A-9EA7-7BAE3BF9A3DD}" name="95%" dataDxfId="18"/>
    <tableColumn id="4" xr3:uid="{DD38A6FA-117C-487B-9AAD-8FF298116F37}" name="90%" dataDxfId="17"/>
    <tableColumn id="5" xr3:uid="{031C8725-B658-4F1A-AD3A-CE6684A31048}" name="85%" dataDxfId="16"/>
    <tableColumn id="6" xr3:uid="{9E7D2578-6B73-48D8-B829-5D7D29B3BF2B}" name="80%" dataDxfId="15"/>
    <tableColumn id="7" xr3:uid="{266E3153-F04B-406A-B8E3-14D0842AEEC1}" name="75%" dataDxfId="14"/>
    <tableColumn id="8" xr3:uid="{947A0C48-7987-4CBE-A39C-89DD07306356}" name="70%" dataDxfId="13"/>
    <tableColumn id="9" xr3:uid="{CED85CBB-2104-4FB8-8BF9-D8C94DE835A0}" name="65%" dataDxfId="12"/>
    <tableColumn id="10" xr3:uid="{AC3EBD56-0FA0-4574-81BF-43967DB5089A}" name="60%" dataDxfId="11"/>
    <tableColumn id="11" xr3:uid="{279D3962-06D1-4B82-9995-F7D754BF6FE9}" name="55%" dataDxfId="10"/>
    <tableColumn id="12" xr3:uid="{C73E6CDA-D7F8-498E-8519-8D6319D5F009}" name="50%" dataDxfId="9"/>
    <tableColumn id="13" xr3:uid="{04EFEA9F-B234-4397-95A1-A491800BBB00}" name="45%" dataDxfId="8"/>
    <tableColumn id="14" xr3:uid="{4434726E-E3E2-4E3A-8057-C5FBE8B7E40D}" name="40%" dataDxfId="7"/>
    <tableColumn id="15" xr3:uid="{FE4FC94C-3231-433F-9DAF-29D253065943}" name="35%" dataDxfId="6"/>
    <tableColumn id="16" xr3:uid="{BF956340-C321-4029-8430-3819DE0D157A}" name="30%" dataDxfId="5"/>
    <tableColumn id="17" xr3:uid="{1B4BB199-F480-41FF-B79E-D2B26DDD2014}" name="25%" dataDxfId="4"/>
    <tableColumn id="18" xr3:uid="{3F153B2E-A7AF-4D66-BFBF-F269610FC1BE}" name="20%" dataDxfId="3"/>
    <tableColumn id="19" xr3:uid="{4082B364-3F9C-4500-963A-1A5B497237E3}" name="15%" dataDxfId="2"/>
    <tableColumn id="20" xr3:uid="{C589E8EC-4BC3-467D-BBCC-13A1A847D6E0}" name="10%" dataDxfId="1"/>
    <tableColumn id="21" xr3:uid="{08A00708-4274-4B84-B7B3-E4C14C4825A3}" name="5%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E160"/>
  <sheetViews>
    <sheetView showGridLines="0" tabSelected="1" zoomScaleNormal="100" workbookViewId="0">
      <pane ySplit="1" topLeftCell="A2" activePane="bottomLeft" state="frozen"/>
      <selection pane="bottomLeft" activeCell="C22" sqref="C22"/>
    </sheetView>
  </sheetViews>
  <sheetFormatPr defaultColWidth="0" defaultRowHeight="14.5" x14ac:dyDescent="0.35"/>
  <cols>
    <col min="1" max="24" width="9.1796875" customWidth="1"/>
    <col min="25" max="25" width="5.26953125" customWidth="1"/>
    <col min="26" max="16384" width="9.1796875" hidden="1"/>
  </cols>
  <sheetData>
    <row r="1" spans="1:27" s="15" customFormat="1" ht="21" customHeight="1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4"/>
      <c r="W1" s="14"/>
      <c r="X1" s="14"/>
      <c r="Y1" s="14"/>
      <c r="Z1" s="14"/>
      <c r="AA1" s="14"/>
    </row>
    <row r="2" spans="1:27" ht="13.5" hidden="1" customHeight="1" x14ac:dyDescent="0.35">
      <c r="A2" s="1" t="s">
        <v>21</v>
      </c>
      <c r="B2" s="2">
        <v>6.06</v>
      </c>
      <c r="C2" s="3">
        <f t="shared" ref="C2:U2" si="0">SUM($B$2/C1)</f>
        <v>6.3789473684210529</v>
      </c>
      <c r="D2" s="3">
        <f t="shared" si="0"/>
        <v>6.7333333333333325</v>
      </c>
      <c r="E2" s="3">
        <f t="shared" si="0"/>
        <v>7.1294117647058819</v>
      </c>
      <c r="F2" s="3">
        <f t="shared" si="0"/>
        <v>7.5749999999999993</v>
      </c>
      <c r="G2" s="3">
        <f t="shared" si="0"/>
        <v>8.08</v>
      </c>
      <c r="H2" s="11">
        <f t="shared" si="0"/>
        <v>8.6571428571428566</v>
      </c>
      <c r="I2" s="3">
        <f t="shared" si="0"/>
        <v>9.3230769230769219</v>
      </c>
      <c r="J2" s="3">
        <f t="shared" si="0"/>
        <v>10.1</v>
      </c>
      <c r="K2" s="3">
        <f t="shared" si="0"/>
        <v>11.018181818181816</v>
      </c>
      <c r="L2" s="3">
        <f t="shared" si="0"/>
        <v>12.12</v>
      </c>
      <c r="M2" s="3">
        <f t="shared" si="0"/>
        <v>13.466666666666665</v>
      </c>
      <c r="N2" s="3">
        <f t="shared" si="0"/>
        <v>15.149999999999999</v>
      </c>
      <c r="O2" s="3">
        <f t="shared" si="0"/>
        <v>17.314285714285713</v>
      </c>
      <c r="P2" s="3">
        <f t="shared" si="0"/>
        <v>20.2</v>
      </c>
      <c r="Q2" s="3">
        <f t="shared" si="0"/>
        <v>24.24</v>
      </c>
      <c r="R2" s="3">
        <f t="shared" si="0"/>
        <v>30.299999999999997</v>
      </c>
      <c r="S2" s="3">
        <f t="shared" si="0"/>
        <v>40.4</v>
      </c>
      <c r="T2" s="3">
        <f t="shared" si="0"/>
        <v>60.599999999999994</v>
      </c>
      <c r="U2" s="3">
        <f t="shared" si="0"/>
        <v>121.19999999999999</v>
      </c>
    </row>
    <row r="3" spans="1:27" hidden="1" x14ac:dyDescent="0.35">
      <c r="A3" s="1" t="s">
        <v>22</v>
      </c>
      <c r="B3" s="2">
        <v>6.06</v>
      </c>
      <c r="C3" s="3">
        <f t="shared" ref="C3:U3" si="1">SUM($B$3/C1)</f>
        <v>6.3789473684210529</v>
      </c>
      <c r="D3" s="3">
        <f t="shared" si="1"/>
        <v>6.7333333333333325</v>
      </c>
      <c r="E3" s="3">
        <f t="shared" si="1"/>
        <v>7.1294117647058819</v>
      </c>
      <c r="F3" s="3">
        <f t="shared" si="1"/>
        <v>7.5749999999999993</v>
      </c>
      <c r="G3" s="3">
        <f>SUM($B$3/G1)</f>
        <v>8.08</v>
      </c>
      <c r="H3" s="11">
        <f t="shared" si="1"/>
        <v>8.6571428571428566</v>
      </c>
      <c r="I3" s="3">
        <f t="shared" si="1"/>
        <v>9.3230769230769219</v>
      </c>
      <c r="J3" s="3">
        <f t="shared" si="1"/>
        <v>10.1</v>
      </c>
      <c r="K3" s="3">
        <f t="shared" si="1"/>
        <v>11.018181818181816</v>
      </c>
      <c r="L3" s="3">
        <f t="shared" si="1"/>
        <v>12.12</v>
      </c>
      <c r="M3" s="3">
        <f t="shared" si="1"/>
        <v>13.466666666666665</v>
      </c>
      <c r="N3" s="3">
        <f t="shared" si="1"/>
        <v>15.149999999999999</v>
      </c>
      <c r="O3" s="3">
        <f t="shared" si="1"/>
        <v>17.314285714285713</v>
      </c>
      <c r="P3" s="3">
        <f t="shared" si="1"/>
        <v>20.2</v>
      </c>
      <c r="Q3" s="3">
        <f t="shared" si="1"/>
        <v>24.24</v>
      </c>
      <c r="R3" s="3">
        <f t="shared" si="1"/>
        <v>30.299999999999997</v>
      </c>
      <c r="S3" s="3">
        <f t="shared" si="1"/>
        <v>40.4</v>
      </c>
      <c r="T3" s="3">
        <f t="shared" si="1"/>
        <v>60.599999999999994</v>
      </c>
      <c r="U3" s="3">
        <f t="shared" si="1"/>
        <v>121.19999999999999</v>
      </c>
    </row>
    <row r="4" spans="1:27" s="42" customFormat="1" x14ac:dyDescent="0.35">
      <c r="A4" s="39" t="s">
        <v>23</v>
      </c>
      <c r="B4" s="11">
        <v>5.61</v>
      </c>
      <c r="C4" s="11">
        <f>SUM(B4/C1)</f>
        <v>5.9052631578947379</v>
      </c>
      <c r="D4" s="11">
        <f>SUM(B4/D1)</f>
        <v>6.2333333333333334</v>
      </c>
      <c r="E4" s="11">
        <f>SUM(B4/E1)</f>
        <v>6.6000000000000005</v>
      </c>
      <c r="F4" s="11">
        <f>SUM(B4/F1)</f>
        <v>7.0125000000000002</v>
      </c>
      <c r="G4" s="11">
        <f>SUM(B4/G1)</f>
        <v>7.48</v>
      </c>
      <c r="H4" s="11">
        <f>SUM(B4/H1)</f>
        <v>8.014285714285716</v>
      </c>
      <c r="I4" s="11">
        <f>SUM(B4/I1)</f>
        <v>8.6307692307692303</v>
      </c>
      <c r="J4" s="11">
        <f>SUM(B4/J1)</f>
        <v>9.3500000000000014</v>
      </c>
      <c r="K4" s="11">
        <f>SUM(B4/K1)</f>
        <v>10.199999999999999</v>
      </c>
      <c r="L4" s="40">
        <f>SUM(B4/L1)</f>
        <v>11.22</v>
      </c>
      <c r="M4" s="11">
        <f>SUM(B4/M1)</f>
        <v>12.466666666666667</v>
      </c>
      <c r="N4" s="11">
        <f>SUM(B4/N1)</f>
        <v>14.025</v>
      </c>
      <c r="O4" s="11">
        <f>SUM(B4/O1)</f>
        <v>16.028571428571432</v>
      </c>
      <c r="P4" s="11">
        <f>SUM(B4/P1)</f>
        <v>18.700000000000003</v>
      </c>
      <c r="Q4" s="11">
        <f>SUM(B4/Q1)</f>
        <v>22.44</v>
      </c>
      <c r="R4" s="40">
        <f>SUM(B4/R1)</f>
        <v>28.05</v>
      </c>
      <c r="S4" s="11">
        <f>SUM(B4/S1)</f>
        <v>37.400000000000006</v>
      </c>
      <c r="T4" s="11">
        <f>SUM(B4/T1)</f>
        <v>56.1</v>
      </c>
      <c r="U4" s="41">
        <f>SUM(B4/U1)</f>
        <v>112.2</v>
      </c>
    </row>
    <row r="5" spans="1:27" x14ac:dyDescent="0.35">
      <c r="A5" s="39" t="s">
        <v>24</v>
      </c>
      <c r="B5" s="11">
        <v>5.15</v>
      </c>
      <c r="C5" s="11">
        <f>SUM(B5/C1)</f>
        <v>5.4210526315789478</v>
      </c>
      <c r="D5" s="11">
        <f>SUM(B5/D1)</f>
        <v>5.7222222222222223</v>
      </c>
      <c r="E5" s="11">
        <f>SUM(B5/E1)</f>
        <v>6.0588235294117654</v>
      </c>
      <c r="F5" s="11">
        <f>SUM(B5/F1)</f>
        <v>6.4375</v>
      </c>
      <c r="G5" s="11">
        <f>SUM(B5/G1)</f>
        <v>6.8666666666666671</v>
      </c>
      <c r="H5" s="11">
        <f>SUM(B5/H1)</f>
        <v>7.3571428571428585</v>
      </c>
      <c r="I5" s="11">
        <f>SUM(B5/I1)</f>
        <v>7.9230769230769234</v>
      </c>
      <c r="J5" s="11">
        <f>SUM(B5/J1)</f>
        <v>8.5833333333333339</v>
      </c>
      <c r="K5" s="11">
        <f>SUM(B5/K1)</f>
        <v>9.3636363636363633</v>
      </c>
      <c r="L5" s="40">
        <f>SUM(B5/L1)</f>
        <v>10.3</v>
      </c>
      <c r="M5" s="11">
        <f>SUM(B5/M1)</f>
        <v>11.444444444444445</v>
      </c>
      <c r="N5" s="11">
        <f>SUM(B5/N1)</f>
        <v>12.875</v>
      </c>
      <c r="O5" s="11">
        <f>SUM(B5/O1)</f>
        <v>14.714285714285717</v>
      </c>
      <c r="P5" s="11">
        <f>SUM(B5/P1)</f>
        <v>17.166666666666668</v>
      </c>
      <c r="Q5" s="11">
        <f>SUM(B5/Q1)</f>
        <v>20.6</v>
      </c>
      <c r="R5" s="40">
        <f>SUM(B5/R1)</f>
        <v>25.75</v>
      </c>
      <c r="S5" s="11">
        <f>SUM(B5/S1)</f>
        <v>34.333333333333336</v>
      </c>
      <c r="T5" s="11">
        <f>SUM(B5/T1)</f>
        <v>51.5</v>
      </c>
      <c r="U5" s="41">
        <f>SUM(B5/U1)</f>
        <v>103</v>
      </c>
    </row>
    <row r="6" spans="1:27" s="42" customFormat="1" x14ac:dyDescent="0.35">
      <c r="A6" s="39" t="s">
        <v>25</v>
      </c>
      <c r="B6" s="11">
        <v>6.1050000000000004</v>
      </c>
      <c r="C6" s="11">
        <f>SUM(B6/C1)</f>
        <v>6.4263157894736853</v>
      </c>
      <c r="D6" s="11">
        <f>SUM(B6/D1)</f>
        <v>6.7833333333333332</v>
      </c>
      <c r="E6" s="11">
        <f>SUM(B6/E1)</f>
        <v>7.1823529411764717</v>
      </c>
      <c r="F6" s="11">
        <f>SUM(B6/F1)</f>
        <v>7.6312500000000005</v>
      </c>
      <c r="G6" s="11">
        <f>SUM(B6/G1)</f>
        <v>8.14</v>
      </c>
      <c r="H6" s="11">
        <f>SUM(B6/H1)</f>
        <v>8.7214285714285733</v>
      </c>
      <c r="I6" s="11">
        <f>SUM(B6/I1)</f>
        <v>9.3923076923076927</v>
      </c>
      <c r="J6" s="11">
        <f>SUM(B6/J1)</f>
        <v>10.175000000000001</v>
      </c>
      <c r="K6" s="11">
        <f>SUM(B6/K1)</f>
        <v>11.1</v>
      </c>
      <c r="L6" s="40">
        <f>SUM(B6/L1)</f>
        <v>12.21</v>
      </c>
      <c r="M6" s="11">
        <f>SUM(B6/M1)</f>
        <v>13.566666666666666</v>
      </c>
      <c r="N6" s="11">
        <f>SUM(B6/N1)</f>
        <v>15.262500000000001</v>
      </c>
      <c r="O6" s="11">
        <f>SUM(B6/O1)</f>
        <v>17.442857142857147</v>
      </c>
      <c r="P6" s="11">
        <f>SUM(B6/P1)</f>
        <v>20.350000000000001</v>
      </c>
      <c r="Q6" s="11">
        <f>SUM(B6/Q1)</f>
        <v>24.42</v>
      </c>
      <c r="R6" s="40">
        <f>SUM(B6/R1)</f>
        <v>30.525000000000002</v>
      </c>
      <c r="S6" s="11">
        <f>SUM(B6/S1)</f>
        <v>40.700000000000003</v>
      </c>
      <c r="T6" s="11">
        <f>SUM(B6/T1)</f>
        <v>61.050000000000004</v>
      </c>
      <c r="U6" s="41">
        <f>SUM(B6/U1)</f>
        <v>122.10000000000001</v>
      </c>
    </row>
    <row r="7" spans="1:27" x14ac:dyDescent="0.35">
      <c r="A7" s="39" t="s">
        <v>26</v>
      </c>
      <c r="B7" s="11">
        <v>3.78</v>
      </c>
      <c r="C7" s="11">
        <f>SUM(B7/C1)</f>
        <v>3.9789473684210526</v>
      </c>
      <c r="D7" s="11">
        <f>SUM(B7/D1)</f>
        <v>4.1999999999999993</v>
      </c>
      <c r="E7" s="11">
        <f>SUM(B7/E1)</f>
        <v>4.447058823529412</v>
      </c>
      <c r="F7" s="11">
        <f>SUM(B7/F1)</f>
        <v>4.7249999999999996</v>
      </c>
      <c r="G7" s="11">
        <f>SUM(B7/G1)</f>
        <v>5.04</v>
      </c>
      <c r="H7" s="11">
        <f>SUM(B7/H1)</f>
        <v>5.4</v>
      </c>
      <c r="I7" s="11">
        <f>SUM(B7/I1)</f>
        <v>5.8153846153846152</v>
      </c>
      <c r="J7" s="11">
        <f>SUM(B7/J1)</f>
        <v>6.3</v>
      </c>
      <c r="K7" s="11">
        <f>SUM(B7/K1)</f>
        <v>6.8727272727272721</v>
      </c>
      <c r="L7" s="40">
        <f>SUM(B7/L1)</f>
        <v>7.56</v>
      </c>
      <c r="M7" s="11">
        <f>SUM(B7/M1)</f>
        <v>8.3999999999999986</v>
      </c>
      <c r="N7" s="11">
        <f>SUM(B7/N1)</f>
        <v>9.4499999999999993</v>
      </c>
      <c r="O7" s="11">
        <f>SUM(B7/O1)</f>
        <v>10.8</v>
      </c>
      <c r="P7" s="11">
        <f>SUM(B7/P1)</f>
        <v>12.6</v>
      </c>
      <c r="Q7" s="11">
        <f>SUM(B7/Q1)</f>
        <v>15.12</v>
      </c>
      <c r="R7" s="40">
        <f>SUM(B7/R1)</f>
        <v>18.899999999999999</v>
      </c>
      <c r="S7" s="11">
        <f>SUM(B7/S1)</f>
        <v>25.2</v>
      </c>
      <c r="T7" s="11">
        <f>SUM(B7/T1)</f>
        <v>37.799999999999997</v>
      </c>
      <c r="U7" s="41">
        <f>SUM(B7/U1)</f>
        <v>75.599999999999994</v>
      </c>
    </row>
    <row r="8" spans="1:27" x14ac:dyDescent="0.35">
      <c r="A8" s="39" t="s">
        <v>27</v>
      </c>
      <c r="B8" s="11">
        <v>5.82</v>
      </c>
      <c r="C8" s="11">
        <f>SUM(B8/C1)</f>
        <v>6.1263157894736846</v>
      </c>
      <c r="D8" s="11">
        <f>SUM(B8/D1)</f>
        <v>6.4666666666666668</v>
      </c>
      <c r="E8" s="11">
        <f>SUM(B8/E1)</f>
        <v>6.8470588235294123</v>
      </c>
      <c r="F8" s="11">
        <f>SUM(B8/F1)</f>
        <v>7.2750000000000004</v>
      </c>
      <c r="G8" s="11">
        <f>SUM(B8/G1)</f>
        <v>7.7600000000000007</v>
      </c>
      <c r="H8" s="11">
        <f>SUM(B8/H1)</f>
        <v>8.3142857142857149</v>
      </c>
      <c r="I8" s="11">
        <f>SUM(B8/I1)</f>
        <v>8.953846153846154</v>
      </c>
      <c r="J8" s="11">
        <f>SUM(B8/J1)</f>
        <v>9.7000000000000011</v>
      </c>
      <c r="K8" s="11">
        <f>SUM(B8/K1)</f>
        <v>10.581818181818182</v>
      </c>
      <c r="L8" s="40">
        <f>SUM(B8/L1)</f>
        <v>11.64</v>
      </c>
      <c r="M8" s="11">
        <f>SUM(B8/M1)</f>
        <v>12.933333333333334</v>
      </c>
      <c r="N8" s="11">
        <f>SUM(B8/N1)</f>
        <v>14.55</v>
      </c>
      <c r="O8" s="11">
        <f>SUM(B8/O1)</f>
        <v>16.62857142857143</v>
      </c>
      <c r="P8" s="11">
        <f>SUM(B8/P1)</f>
        <v>19.400000000000002</v>
      </c>
      <c r="Q8" s="11">
        <f>SUM(B8/Q1)</f>
        <v>23.28</v>
      </c>
      <c r="R8" s="40">
        <f>SUM(B8/R1)</f>
        <v>29.1</v>
      </c>
      <c r="S8" s="11">
        <f>SUM(B8/S1)</f>
        <v>38.800000000000004</v>
      </c>
      <c r="T8" s="11">
        <f>SUM(B8/T1)</f>
        <v>58.2</v>
      </c>
      <c r="U8" s="41">
        <f>SUM(B8/U1)</f>
        <v>116.4</v>
      </c>
    </row>
    <row r="9" spans="1:27" ht="15.75" customHeight="1" x14ac:dyDescent="0.35">
      <c r="A9" s="39" t="s">
        <v>28</v>
      </c>
      <c r="B9" s="11">
        <v>6.12</v>
      </c>
      <c r="C9" s="11">
        <f>SUM(B9/C1)</f>
        <v>6.4421052631578952</v>
      </c>
      <c r="D9" s="11">
        <f>SUM(B9/D1)</f>
        <v>6.8</v>
      </c>
      <c r="E9" s="11">
        <f>SUM(B9/E1)</f>
        <v>7.2</v>
      </c>
      <c r="F9" s="11">
        <f>SUM(B9/F1)</f>
        <v>7.6499999999999995</v>
      </c>
      <c r="G9" s="11">
        <f>SUM(B9/G1)</f>
        <v>8.16</v>
      </c>
      <c r="H9" s="11">
        <f>SUM(B9/H1)</f>
        <v>8.7428571428571438</v>
      </c>
      <c r="I9" s="11">
        <f>SUM(B9/I1)</f>
        <v>9.4153846153846157</v>
      </c>
      <c r="J9" s="11">
        <f>SUM(B9/J1)</f>
        <v>10.200000000000001</v>
      </c>
      <c r="K9" s="11">
        <f>SUM(B9/K1)</f>
        <v>11.127272727272727</v>
      </c>
      <c r="L9" s="40">
        <f>SUM(B9/L1)</f>
        <v>12.24</v>
      </c>
      <c r="M9" s="11">
        <f>SUM(B9/M1)</f>
        <v>13.6</v>
      </c>
      <c r="N9" s="11">
        <f>SUM(B9/N1)</f>
        <v>15.299999999999999</v>
      </c>
      <c r="O9" s="11">
        <f>SUM(B9/O1)</f>
        <v>17.485714285714288</v>
      </c>
      <c r="P9" s="11">
        <f>SUM(B9/P1)</f>
        <v>20.400000000000002</v>
      </c>
      <c r="Q9" s="11">
        <f>SUM(B9/Q1)</f>
        <v>24.48</v>
      </c>
      <c r="R9" s="40">
        <f>SUM(B9/R1)</f>
        <v>30.599999999999998</v>
      </c>
      <c r="S9" s="11">
        <f>SUM(B9/S1)</f>
        <v>40.800000000000004</v>
      </c>
      <c r="T9" s="11">
        <f>SUM(B9/T1)</f>
        <v>61.199999999999996</v>
      </c>
      <c r="U9" s="41">
        <f>SUM(B9/U1)</f>
        <v>122.39999999999999</v>
      </c>
    </row>
    <row r="10" spans="1:27" s="42" customFormat="1" x14ac:dyDescent="0.35">
      <c r="A10" s="39" t="s">
        <v>29</v>
      </c>
      <c r="B10" s="11">
        <v>5.76</v>
      </c>
      <c r="C10" s="11">
        <f>SUM(B10/C1)</f>
        <v>6.0631578947368423</v>
      </c>
      <c r="D10" s="11">
        <f>SUM(B10/D1)</f>
        <v>6.3999999999999995</v>
      </c>
      <c r="E10" s="11">
        <f>SUM(B10/E1)</f>
        <v>6.776470588235294</v>
      </c>
      <c r="F10" s="11">
        <f>SUM(B10/F1)</f>
        <v>7.1999999999999993</v>
      </c>
      <c r="G10" s="11">
        <f>SUM(B10/G1)</f>
        <v>7.68</v>
      </c>
      <c r="H10" s="11">
        <f>SUM(B10/H1)</f>
        <v>8.2285714285714295</v>
      </c>
      <c r="I10" s="11">
        <f>SUM(B10/I1)</f>
        <v>8.8615384615384603</v>
      </c>
      <c r="J10" s="11">
        <f>SUM(B10/J1)</f>
        <v>9.6</v>
      </c>
      <c r="K10" s="11">
        <f>SUM(B10/K1)</f>
        <v>10.472727272727271</v>
      </c>
      <c r="L10" s="40">
        <f>SUM(B10/L1)</f>
        <v>11.52</v>
      </c>
      <c r="M10" s="11">
        <f>SUM(B10/M1)</f>
        <v>12.799999999999999</v>
      </c>
      <c r="N10" s="11">
        <f>SUM(B10/N1)</f>
        <v>14.399999999999999</v>
      </c>
      <c r="O10" s="11">
        <f>SUM(B10/O1)</f>
        <v>16.457142857142859</v>
      </c>
      <c r="P10" s="11">
        <f>SUM(B10/P1)</f>
        <v>19.2</v>
      </c>
      <c r="Q10" s="11">
        <f>SUM(B10/Q1)</f>
        <v>23.04</v>
      </c>
      <c r="R10" s="40">
        <f>SUM(B10/R1)</f>
        <v>28.799999999999997</v>
      </c>
      <c r="S10" s="11">
        <f>SUM(B10/S1)</f>
        <v>38.4</v>
      </c>
      <c r="T10" s="11">
        <f>SUM(B10/T1)</f>
        <v>57.599999999999994</v>
      </c>
      <c r="U10" s="41">
        <f>SUM(B10/U1)</f>
        <v>115.19999999999999</v>
      </c>
    </row>
    <row r="11" spans="1:27" x14ac:dyDescent="0.35">
      <c r="A11" s="39" t="s">
        <v>30</v>
      </c>
      <c r="B11" s="11">
        <v>6.58</v>
      </c>
      <c r="C11" s="11">
        <f>SUM(B11/C1)</f>
        <v>6.9263157894736844</v>
      </c>
      <c r="D11" s="11">
        <f>SUM(B11/D1)</f>
        <v>7.3111111111111109</v>
      </c>
      <c r="E11" s="11">
        <f>SUM(B11/E1)</f>
        <v>7.7411764705882353</v>
      </c>
      <c r="F11" s="11">
        <f>SUM(B11/F1)</f>
        <v>8.2249999999999996</v>
      </c>
      <c r="G11" s="11">
        <f>SUM(B11/G1)</f>
        <v>8.7733333333333334</v>
      </c>
      <c r="H11" s="11">
        <f>SUM(B11/H1)</f>
        <v>9.4</v>
      </c>
      <c r="I11" s="11">
        <f>SUM(B11/I1)</f>
        <v>10.123076923076923</v>
      </c>
      <c r="J11" s="11">
        <f>SUM(B11/J1)</f>
        <v>10.966666666666667</v>
      </c>
      <c r="K11" s="11">
        <f>SUM(B11/K1)</f>
        <v>11.963636363636363</v>
      </c>
      <c r="L11" s="40">
        <f>SUM(B11/L1)</f>
        <v>13.16</v>
      </c>
      <c r="M11" s="11">
        <f>SUM(B11/M1)</f>
        <v>14.622222222222222</v>
      </c>
      <c r="N11" s="11">
        <f>SUM(B11/N1)</f>
        <v>16.45</v>
      </c>
      <c r="O11" s="11">
        <f>SUM(B11/O1)</f>
        <v>18.8</v>
      </c>
      <c r="P11" s="11">
        <f>SUM(B11/P1)</f>
        <v>21.933333333333334</v>
      </c>
      <c r="Q11" s="11">
        <f>SUM(B11/Q1)</f>
        <v>26.32</v>
      </c>
      <c r="R11" s="40">
        <f>SUM(B11/R1)</f>
        <v>32.9</v>
      </c>
      <c r="S11" s="11">
        <f>SUM(B11/S1)</f>
        <v>43.866666666666667</v>
      </c>
      <c r="T11" s="11">
        <f>SUM(B11/T1)</f>
        <v>65.8</v>
      </c>
      <c r="U11" s="41">
        <f>SUM(B11/U1)</f>
        <v>131.6</v>
      </c>
    </row>
    <row r="12" spans="1:27" x14ac:dyDescent="0.35">
      <c r="A12" s="39" t="s">
        <v>31</v>
      </c>
      <c r="B12" s="11">
        <v>5.82</v>
      </c>
      <c r="C12" s="11">
        <f>SUM(B12/C1)</f>
        <v>6.1263157894736846</v>
      </c>
      <c r="D12" s="11">
        <f>SUM(B12/D1)</f>
        <v>6.4666666666666668</v>
      </c>
      <c r="E12" s="11">
        <f>SUM(B12/E1)</f>
        <v>6.8470588235294123</v>
      </c>
      <c r="F12" s="11">
        <f>SUM(B12/F1)</f>
        <v>7.2750000000000004</v>
      </c>
      <c r="G12" s="11">
        <f>SUM(B12/G1)</f>
        <v>7.7600000000000007</v>
      </c>
      <c r="H12" s="11">
        <f>SUM(B12/H1)</f>
        <v>8.3142857142857149</v>
      </c>
      <c r="I12" s="11">
        <f>SUM(B12/I1)</f>
        <v>8.953846153846154</v>
      </c>
      <c r="J12" s="11">
        <f>SUM(B12/J1)</f>
        <v>9.7000000000000011</v>
      </c>
      <c r="K12" s="11">
        <f>SUM(B12/K1)</f>
        <v>10.581818181818182</v>
      </c>
      <c r="L12" s="40">
        <f>SUM(B12/L1)</f>
        <v>11.64</v>
      </c>
      <c r="M12" s="11">
        <f>SUM(B12/M1)</f>
        <v>12.933333333333334</v>
      </c>
      <c r="N12" s="11">
        <f>SUM(B12/N1)</f>
        <v>14.55</v>
      </c>
      <c r="O12" s="11">
        <f>SUM(B12/O1)</f>
        <v>16.62857142857143</v>
      </c>
      <c r="P12" s="11">
        <f>SUM(B12/P1)</f>
        <v>19.400000000000002</v>
      </c>
      <c r="Q12" s="11">
        <f>SUM(B12/Q1)</f>
        <v>23.28</v>
      </c>
      <c r="R12" s="40">
        <f>SUM(B12/R1)</f>
        <v>29.1</v>
      </c>
      <c r="S12" s="11">
        <f>SUM(B12/S1)</f>
        <v>38.800000000000004</v>
      </c>
      <c r="T12" s="11">
        <f>SUM(B12/T1)</f>
        <v>58.2</v>
      </c>
      <c r="U12" s="41">
        <f>SUM(B12/U1)</f>
        <v>116.4</v>
      </c>
    </row>
    <row r="13" spans="1:27" s="42" customFormat="1" x14ac:dyDescent="0.35">
      <c r="A13" s="39" t="s">
        <v>32</v>
      </c>
      <c r="B13" s="11">
        <v>5.83</v>
      </c>
      <c r="C13" s="11">
        <f>SUM(B13/C1)</f>
        <v>6.1368421052631579</v>
      </c>
      <c r="D13" s="11">
        <f>SUM(B13/D1)</f>
        <v>6.4777777777777779</v>
      </c>
      <c r="E13" s="11">
        <f>SUM(B13/E1)</f>
        <v>6.8588235294117652</v>
      </c>
      <c r="F13" s="11">
        <f>SUM(B13/F1)</f>
        <v>7.2874999999999996</v>
      </c>
      <c r="G13" s="11">
        <f>SUM(B13/G1)</f>
        <v>7.7733333333333334</v>
      </c>
      <c r="H13" s="11">
        <f>SUM(B13/H1)</f>
        <v>8.3285714285714292</v>
      </c>
      <c r="I13" s="11">
        <f>SUM(B13/I1)</f>
        <v>8.9692307692307693</v>
      </c>
      <c r="J13" s="11">
        <f>SUM(B13/J1)</f>
        <v>9.7166666666666668</v>
      </c>
      <c r="K13" s="11">
        <f>SUM(B13/K1)</f>
        <v>10.6</v>
      </c>
      <c r="L13" s="40">
        <f>SUM(B13/L1)</f>
        <v>11.66</v>
      </c>
      <c r="M13" s="11">
        <f>SUM(B13/M1)</f>
        <v>12.955555555555556</v>
      </c>
      <c r="N13" s="11">
        <f>SUM(B13/N1)</f>
        <v>14.574999999999999</v>
      </c>
      <c r="O13" s="11">
        <f>SUM(B13/O1)</f>
        <v>16.657142857142858</v>
      </c>
      <c r="P13" s="11">
        <f>SUM(B13/P1)</f>
        <v>19.433333333333334</v>
      </c>
      <c r="Q13" s="11">
        <f>SUM(B13/Q1)</f>
        <v>23.32</v>
      </c>
      <c r="R13" s="40">
        <f>SUM(B13/R1)</f>
        <v>29.15</v>
      </c>
      <c r="S13" s="11">
        <f>SUM(B13/S1)</f>
        <v>38.866666666666667</v>
      </c>
      <c r="T13" s="11">
        <f>SUM(B13/T1)</f>
        <v>58.3</v>
      </c>
      <c r="U13" s="41">
        <f>SUM(B13/U1)</f>
        <v>116.6</v>
      </c>
    </row>
    <row r="14" spans="1:27" x14ac:dyDescent="0.35">
      <c r="A14" s="39" t="s">
        <v>33</v>
      </c>
      <c r="B14" s="11">
        <v>5.82</v>
      </c>
      <c r="C14" s="11">
        <f>SUM(B14/C1)</f>
        <v>6.1263157894736846</v>
      </c>
      <c r="D14" s="11">
        <f>SUM(B14/D1)</f>
        <v>6.4666666666666668</v>
      </c>
      <c r="E14" s="11">
        <f>SUM(B14/E1)</f>
        <v>6.8470588235294123</v>
      </c>
      <c r="F14" s="11">
        <f>SUM(B14/F1)</f>
        <v>7.2750000000000004</v>
      </c>
      <c r="G14" s="11">
        <f>SUM(B14/G1)</f>
        <v>7.7600000000000007</v>
      </c>
      <c r="H14" s="11">
        <f>SUM(B14/H1)</f>
        <v>8.3142857142857149</v>
      </c>
      <c r="I14" s="11">
        <f>SUM(B14/I1)</f>
        <v>8.953846153846154</v>
      </c>
      <c r="J14" s="11">
        <f>SUM(B14/J1)</f>
        <v>9.7000000000000011</v>
      </c>
      <c r="K14" s="11">
        <f>SUM(B14/K1)</f>
        <v>10.581818181818182</v>
      </c>
      <c r="L14" s="40">
        <f>SUM(B14/L1)</f>
        <v>11.64</v>
      </c>
      <c r="M14" s="11">
        <f>SUM(B14/M1)</f>
        <v>12.933333333333334</v>
      </c>
      <c r="N14" s="11">
        <f>SUM(B14/N1)</f>
        <v>14.55</v>
      </c>
      <c r="O14" s="11">
        <f>SUM(B14/O1)</f>
        <v>16.62857142857143</v>
      </c>
      <c r="P14" s="11">
        <f>SUM(B14/P1)</f>
        <v>19.400000000000002</v>
      </c>
      <c r="Q14" s="11">
        <f>SUM(B14/Q1)</f>
        <v>23.28</v>
      </c>
      <c r="R14" s="40">
        <f>SUM(B14/R1)</f>
        <v>29.1</v>
      </c>
      <c r="S14" s="11">
        <f>SUM(B14/S1)</f>
        <v>38.800000000000004</v>
      </c>
      <c r="T14" s="11">
        <f>SUM(B14/T1)</f>
        <v>58.2</v>
      </c>
      <c r="U14" s="41">
        <f>SUM(B14/U1)</f>
        <v>116.4</v>
      </c>
    </row>
    <row r="15" spans="1:27" s="42" customFormat="1" ht="15.75" customHeight="1" x14ac:dyDescent="0.35">
      <c r="A15" s="39" t="s">
        <v>34</v>
      </c>
      <c r="B15" s="11">
        <v>6.54</v>
      </c>
      <c r="C15" s="11">
        <f>SUM(B15/C1)</f>
        <v>6.8842105263157896</v>
      </c>
      <c r="D15" s="11">
        <f>SUM(B15/D1)</f>
        <v>7.2666666666666666</v>
      </c>
      <c r="E15" s="11">
        <f>SUM(B15/E1)</f>
        <v>7.6941176470588237</v>
      </c>
      <c r="F15" s="11">
        <f>SUM(B15/F1)</f>
        <v>8.1749999999999989</v>
      </c>
      <c r="G15" s="11">
        <f>SUM(B15/G1)</f>
        <v>8.7200000000000006</v>
      </c>
      <c r="H15" s="11">
        <f>SUM(B15/H1)</f>
        <v>9.3428571428571434</v>
      </c>
      <c r="I15" s="11">
        <f>SUM(B15/I1)</f>
        <v>10.061538461538461</v>
      </c>
      <c r="J15" s="11">
        <f>SUM(B15/J1)</f>
        <v>10.9</v>
      </c>
      <c r="K15" s="11">
        <f>SUM(B15/K1)</f>
        <v>11.890909090909091</v>
      </c>
      <c r="L15" s="40">
        <f>SUM(B15/L1)</f>
        <v>13.08</v>
      </c>
      <c r="M15" s="11">
        <f>SUM(B15/M1)</f>
        <v>14.533333333333333</v>
      </c>
      <c r="N15" s="11">
        <f>SUM(B15/N1)</f>
        <v>16.349999999999998</v>
      </c>
      <c r="O15" s="11">
        <f>SUM(B15/O1)</f>
        <v>18.685714285714287</v>
      </c>
      <c r="P15" s="11">
        <f>SUM(B15/P1)</f>
        <v>21.8</v>
      </c>
      <c r="Q15" s="11">
        <f>SUM(B15/Q1)</f>
        <v>26.16</v>
      </c>
      <c r="R15" s="40">
        <f>SUM(B15/R1)</f>
        <v>32.699999999999996</v>
      </c>
      <c r="S15" s="11">
        <f>SUM(B15/S1)</f>
        <v>43.6</v>
      </c>
      <c r="T15" s="11">
        <f>SUM(B15/T1)</f>
        <v>65.399999999999991</v>
      </c>
      <c r="U15" s="41">
        <f>SUM(B15/U1)</f>
        <v>130.79999999999998</v>
      </c>
    </row>
    <row r="16" spans="1:27" s="42" customFormat="1" x14ac:dyDescent="0.35">
      <c r="A16" s="39" t="s">
        <v>35</v>
      </c>
      <c r="B16" s="11">
        <v>4.62</v>
      </c>
      <c r="C16" s="11">
        <f>SUM(B16/C1)</f>
        <v>4.8631578947368421</v>
      </c>
      <c r="D16" s="11">
        <f>SUM(B16/D1)</f>
        <v>5.1333333333333337</v>
      </c>
      <c r="E16" s="11">
        <f>SUM(B16/E1)</f>
        <v>5.4352941176470591</v>
      </c>
      <c r="F16" s="11">
        <f>SUM(B16/F1)</f>
        <v>5.7749999999999995</v>
      </c>
      <c r="G16" s="11">
        <f>SUM(B16/G1)</f>
        <v>6.16</v>
      </c>
      <c r="H16" s="11">
        <f>SUM(B16/H1)</f>
        <v>6.6000000000000005</v>
      </c>
      <c r="I16" s="11">
        <f>SUM(B16/I1)</f>
        <v>7.1076923076923073</v>
      </c>
      <c r="J16" s="11">
        <f>SUM(B16/J1)</f>
        <v>7.7</v>
      </c>
      <c r="K16" s="11">
        <f>SUM(B16/K1)</f>
        <v>8.4</v>
      </c>
      <c r="L16" s="40">
        <f>SUM(B16/L1)</f>
        <v>9.24</v>
      </c>
      <c r="M16" s="11">
        <f>SUM(B16/M1)</f>
        <v>10.266666666666667</v>
      </c>
      <c r="N16" s="11">
        <f>SUM(B16/N1)</f>
        <v>11.549999999999999</v>
      </c>
      <c r="O16" s="11">
        <f>SUM(B16/O1)</f>
        <v>13.200000000000001</v>
      </c>
      <c r="P16" s="11">
        <f>SUM(B16/P1)</f>
        <v>15.4</v>
      </c>
      <c r="Q16" s="11">
        <f>SUM(B16/Q1)</f>
        <v>18.48</v>
      </c>
      <c r="R16" s="40">
        <f>SUM(B16/R1)</f>
        <v>23.099999999999998</v>
      </c>
      <c r="S16" s="11">
        <f>SUM(B16/S1)</f>
        <v>30.8</v>
      </c>
      <c r="T16" s="11">
        <f>SUM(B16/T1)</f>
        <v>46.199999999999996</v>
      </c>
      <c r="U16" s="41">
        <f>SUM(B16/U1)</f>
        <v>92.399999999999991</v>
      </c>
    </row>
    <row r="17" spans="1:25" s="42" customFormat="1" x14ac:dyDescent="0.35">
      <c r="A17" s="39" t="s">
        <v>36</v>
      </c>
      <c r="B17" s="11">
        <v>6.3</v>
      </c>
      <c r="C17" s="11">
        <f>SUM(B17/C1)</f>
        <v>6.6315789473684212</v>
      </c>
      <c r="D17" s="11">
        <f>SUM(B17/D1)</f>
        <v>7</v>
      </c>
      <c r="E17" s="11">
        <f>SUM(B17/E1)</f>
        <v>7.4117647058823533</v>
      </c>
      <c r="F17" s="11">
        <f>SUM(B17/F1)</f>
        <v>7.8749999999999991</v>
      </c>
      <c r="G17" s="11">
        <f>SUM(B17/G1)</f>
        <v>8.4</v>
      </c>
      <c r="H17" s="11">
        <f>SUM(B17/H1)</f>
        <v>9</v>
      </c>
      <c r="I17" s="11">
        <f>SUM(B17/I1)</f>
        <v>9.6923076923076916</v>
      </c>
      <c r="J17" s="11">
        <f>SUM(B17/J1)</f>
        <v>10.5</v>
      </c>
      <c r="K17" s="11">
        <f>SUM(B17/K1)</f>
        <v>11.454545454545453</v>
      </c>
      <c r="L17" s="40">
        <f>SUM(B17/L1)</f>
        <v>12.6</v>
      </c>
      <c r="M17" s="11">
        <f>SUM(B17/M1)</f>
        <v>14</v>
      </c>
      <c r="N17" s="11">
        <f>SUM(B17/N1)</f>
        <v>15.749999999999998</v>
      </c>
      <c r="O17" s="11">
        <f>SUM(B17/O1)</f>
        <v>18</v>
      </c>
      <c r="P17" s="11">
        <f>SUM(B17/P1)</f>
        <v>21</v>
      </c>
      <c r="Q17" s="11">
        <f>SUM(B17/Q1)</f>
        <v>25.2</v>
      </c>
      <c r="R17" s="40">
        <f>SUM(B17/R1)</f>
        <v>31.499999999999996</v>
      </c>
      <c r="S17" s="11">
        <f>SUM(B17/S1)</f>
        <v>42</v>
      </c>
      <c r="T17" s="11">
        <f>SUM(B17/T1)</f>
        <v>62.999999999999993</v>
      </c>
      <c r="U17" s="41">
        <f>SUM(B17/U1)</f>
        <v>125.99999999999999</v>
      </c>
    </row>
    <row r="18" spans="1:25" x14ac:dyDescent="0.35">
      <c r="A18" s="39" t="s">
        <v>37</v>
      </c>
      <c r="B18" s="11">
        <v>7.2050000000000001</v>
      </c>
      <c r="C18" s="11">
        <f>SUM(B18/C1)</f>
        <v>7.5842105263157897</v>
      </c>
      <c r="D18" s="11">
        <f>SUM(B18/D1)</f>
        <v>8.0055555555555546</v>
      </c>
      <c r="E18" s="11">
        <f>SUM(B18/E1)</f>
        <v>8.4764705882352942</v>
      </c>
      <c r="F18" s="11">
        <f>SUM(B18/F1)</f>
        <v>9.0062499999999996</v>
      </c>
      <c r="G18" s="11">
        <f>SUM(B18/G1)</f>
        <v>9.6066666666666674</v>
      </c>
      <c r="H18" s="11">
        <f>SUM(B18/H1)</f>
        <v>10.292857142857144</v>
      </c>
      <c r="I18" s="11">
        <f>SUM(B18/I1)</f>
        <v>11.084615384615384</v>
      </c>
      <c r="J18" s="11">
        <f>SUM(B18/J1)</f>
        <v>12.008333333333335</v>
      </c>
      <c r="K18" s="11">
        <f>SUM(B18/K1)</f>
        <v>13.1</v>
      </c>
      <c r="L18" s="40">
        <f>SUM(B18/L1)</f>
        <v>14.41</v>
      </c>
      <c r="M18" s="11">
        <f>SUM(B18/M1)</f>
        <v>16.011111111111109</v>
      </c>
      <c r="N18" s="11">
        <f>SUM(B18/N1)</f>
        <v>18.012499999999999</v>
      </c>
      <c r="O18" s="11">
        <f>SUM(B18/O1)</f>
        <v>20.585714285714289</v>
      </c>
      <c r="P18" s="11">
        <f>SUM(B18/P1)</f>
        <v>24.016666666666669</v>
      </c>
      <c r="Q18" s="11">
        <f>SUM(B18/Q1)</f>
        <v>28.82</v>
      </c>
      <c r="R18" s="40">
        <f>SUM(B18/R1)</f>
        <v>36.024999999999999</v>
      </c>
      <c r="S18" s="11">
        <f>SUM(B18/S1)</f>
        <v>48.033333333333339</v>
      </c>
      <c r="T18" s="11">
        <f>SUM(B18/T1)</f>
        <v>72.05</v>
      </c>
      <c r="U18" s="41">
        <f>SUM(B18/U1)</f>
        <v>144.1</v>
      </c>
    </row>
    <row r="19" spans="1:25" s="12" customFormat="1" x14ac:dyDescent="0.35">
      <c r="A19" s="34" t="s">
        <v>38</v>
      </c>
      <c r="B19" s="35">
        <v>7.19</v>
      </c>
      <c r="C19" s="35">
        <f>SUM(B19/C1)</f>
        <v>7.5684210526315798</v>
      </c>
      <c r="D19" s="35">
        <f>SUM(B19/D1)</f>
        <v>7.9888888888888889</v>
      </c>
      <c r="E19" s="35">
        <f>SUM(B19/E1)</f>
        <v>8.4588235294117649</v>
      </c>
      <c r="F19" s="35">
        <f>SUM(B19/F1)</f>
        <v>8.9875000000000007</v>
      </c>
      <c r="G19" s="35">
        <f>SUM(B19/G1)</f>
        <v>9.5866666666666678</v>
      </c>
      <c r="H19" s="35">
        <f>SUM(B19/H1)</f>
        <v>10.271428571428572</v>
      </c>
      <c r="I19" s="35">
        <f>SUM(B19/I1)</f>
        <v>11.061538461538461</v>
      </c>
      <c r="J19" s="35">
        <f>SUM(B19/J1)</f>
        <v>11.983333333333334</v>
      </c>
      <c r="K19" s="35">
        <f>SUM(B19/K1)</f>
        <v>13.072727272727272</v>
      </c>
      <c r="L19" s="36">
        <f>SUM(B19/L1)</f>
        <v>14.38</v>
      </c>
      <c r="M19" s="35">
        <f>SUM(B19/M1)</f>
        <v>15.977777777777778</v>
      </c>
      <c r="N19" s="35">
        <f>SUM(B19/N1)</f>
        <v>17.975000000000001</v>
      </c>
      <c r="O19" s="35">
        <f>SUM(B19/O1)</f>
        <v>20.542857142857144</v>
      </c>
      <c r="P19" s="35">
        <f>SUM(B19/P1)</f>
        <v>23.966666666666669</v>
      </c>
      <c r="Q19" s="35">
        <f>SUM(B19/Q1)</f>
        <v>28.76</v>
      </c>
      <c r="R19" s="36">
        <f>SUM(B19/R1)</f>
        <v>35.950000000000003</v>
      </c>
      <c r="S19" s="35">
        <f>SUM(B19/S1)</f>
        <v>47.933333333333337</v>
      </c>
      <c r="T19" s="35">
        <f>SUM(B19/T1)</f>
        <v>71.900000000000006</v>
      </c>
      <c r="U19" s="37">
        <f>SUM(B19/U1)</f>
        <v>143.80000000000001</v>
      </c>
      <c r="V19"/>
      <c r="W19"/>
      <c r="X19"/>
      <c r="Y19"/>
    </row>
    <row r="20" spans="1:25" x14ac:dyDescent="0.35">
      <c r="A20" s="1" t="s">
        <v>39</v>
      </c>
      <c r="B20" s="3">
        <v>5.94</v>
      </c>
      <c r="C20" s="3">
        <f>SUM(B20/C1)</f>
        <v>6.2526315789473692</v>
      </c>
      <c r="D20" s="3">
        <f>SUM(B20/D1)</f>
        <v>6.6000000000000005</v>
      </c>
      <c r="E20" s="3">
        <f>SUM(B20/E1)</f>
        <v>6.988235294117648</v>
      </c>
      <c r="F20" s="3">
        <f>SUM(B20/F1)</f>
        <v>7.4249999999999998</v>
      </c>
      <c r="G20" s="3">
        <f>SUM(B20/G1)</f>
        <v>7.9200000000000008</v>
      </c>
      <c r="H20" s="3">
        <f>SUM(B20/H1)</f>
        <v>8.4857142857142875</v>
      </c>
      <c r="I20" s="3">
        <f>SUM(B20/I1)</f>
        <v>9.138461538461538</v>
      </c>
      <c r="J20" s="3">
        <f>SUM(B20/J1)</f>
        <v>9.9</v>
      </c>
      <c r="K20" s="3">
        <f>SUM(B20/K1)</f>
        <v>10.8</v>
      </c>
      <c r="L20" s="2">
        <f>SUM(B20/L1)</f>
        <v>11.88</v>
      </c>
      <c r="M20" s="3">
        <f>SUM(B20/M1)</f>
        <v>13.200000000000001</v>
      </c>
      <c r="N20" s="3">
        <f>SUM(B20/N1)</f>
        <v>14.85</v>
      </c>
      <c r="O20" s="3">
        <f>SUM(B20/O1)</f>
        <v>16.971428571428575</v>
      </c>
      <c r="P20" s="3">
        <f>SUM(B20/P1)</f>
        <v>19.8</v>
      </c>
      <c r="Q20" s="3">
        <f>SUM(B20/Q1)</f>
        <v>23.76</v>
      </c>
      <c r="R20" s="2">
        <f>SUM(B20/R1)</f>
        <v>29.7</v>
      </c>
      <c r="S20" s="3">
        <f>SUM(B20/S1)</f>
        <v>39.6</v>
      </c>
      <c r="T20" s="3">
        <f>SUM(B20/T1)</f>
        <v>59.4</v>
      </c>
      <c r="U20" s="4">
        <f>SUM(B20/U1)</f>
        <v>118.8</v>
      </c>
    </row>
    <row r="21" spans="1:25" x14ac:dyDescent="0.35">
      <c r="A21" s="1" t="s">
        <v>40</v>
      </c>
      <c r="B21" s="3">
        <v>6.58</v>
      </c>
      <c r="C21" s="3">
        <f>SUM(B21/C1)</f>
        <v>6.9263157894736844</v>
      </c>
      <c r="D21" s="3">
        <f>SUM(B21/D1)</f>
        <v>7.3111111111111109</v>
      </c>
      <c r="E21" s="3">
        <f>SUM(B21/E1)</f>
        <v>7.7411764705882353</v>
      </c>
      <c r="F21" s="3">
        <f>SUM(B21/F1)</f>
        <v>8.2249999999999996</v>
      </c>
      <c r="G21" s="3">
        <f>SUM(B21/G1)</f>
        <v>8.7733333333333334</v>
      </c>
      <c r="H21" s="3">
        <f>SUM(B21/H1)</f>
        <v>9.4</v>
      </c>
      <c r="I21" s="3">
        <f>SUM(B21/I1)</f>
        <v>10.123076923076923</v>
      </c>
      <c r="J21" s="3">
        <f>SUM(B21/J1)</f>
        <v>10.966666666666667</v>
      </c>
      <c r="K21" s="3">
        <f>SUM(B21/K1)</f>
        <v>11.963636363636363</v>
      </c>
      <c r="L21" s="2">
        <f>SUM(B21/L1)</f>
        <v>13.16</v>
      </c>
      <c r="M21" s="3">
        <f>SUM(B21/M1)</f>
        <v>14.622222222222222</v>
      </c>
      <c r="N21" s="3">
        <f>SUM(B21/N1)</f>
        <v>16.45</v>
      </c>
      <c r="O21" s="3">
        <f>SUM(B21/O1)</f>
        <v>18.8</v>
      </c>
      <c r="P21" s="3">
        <f>SUM(B21/P1)</f>
        <v>21.933333333333334</v>
      </c>
      <c r="Q21" s="3">
        <f>SUM(B21/Q1)</f>
        <v>26.32</v>
      </c>
      <c r="R21" s="2">
        <f>SUM(B21/R1)</f>
        <v>32.9</v>
      </c>
      <c r="S21" s="3">
        <f>SUM(B21/S1)</f>
        <v>43.866666666666667</v>
      </c>
      <c r="T21" s="3">
        <f>SUM(B21/T1)</f>
        <v>65.8</v>
      </c>
      <c r="U21" s="4">
        <f>SUM(B21/U1)</f>
        <v>131.6</v>
      </c>
    </row>
    <row r="22" spans="1:25" x14ac:dyDescent="0.35">
      <c r="A22" s="1" t="s">
        <v>41</v>
      </c>
      <c r="B22" s="3">
        <v>6.3</v>
      </c>
      <c r="C22" s="3">
        <f>SUM(B22/C1)</f>
        <v>6.6315789473684212</v>
      </c>
      <c r="D22" s="3">
        <f>SUM(B22/D1)</f>
        <v>7</v>
      </c>
      <c r="E22" s="3">
        <f>SUM(B22/E1)</f>
        <v>7.4117647058823533</v>
      </c>
      <c r="F22" s="3">
        <f>SUM(B22/F1)</f>
        <v>7.8749999999999991</v>
      </c>
      <c r="G22" s="3">
        <f>SUM(B22/G1)</f>
        <v>8.4</v>
      </c>
      <c r="H22" s="3">
        <f>SUM(B22/H1)</f>
        <v>9</v>
      </c>
      <c r="I22" s="3">
        <f>SUM(B22/I1)</f>
        <v>9.6923076923076916</v>
      </c>
      <c r="J22" s="3">
        <f>SUM(B22/J1)</f>
        <v>10.5</v>
      </c>
      <c r="K22" s="3">
        <f>SUM(B22/K1)</f>
        <v>11.454545454545453</v>
      </c>
      <c r="L22" s="2">
        <f>SUM(B22/L1)</f>
        <v>12.6</v>
      </c>
      <c r="M22" s="3">
        <f>SUM(B22/M1)</f>
        <v>14</v>
      </c>
      <c r="N22" s="3">
        <f>SUM(B22/N1)</f>
        <v>15.749999999999998</v>
      </c>
      <c r="O22" s="3">
        <f>SUM(B22/O1)</f>
        <v>18</v>
      </c>
      <c r="P22" s="3">
        <f>SUM(B22/P1)</f>
        <v>21</v>
      </c>
      <c r="Q22" s="3">
        <f>SUM(B22/Q1)</f>
        <v>25.2</v>
      </c>
      <c r="R22" s="2">
        <f>SUM(B22/R1)</f>
        <v>31.499999999999996</v>
      </c>
      <c r="S22" s="3">
        <f>SUM(B22/S1)</f>
        <v>42</v>
      </c>
      <c r="T22" s="3">
        <f>SUM(B22/T1)</f>
        <v>62.999999999999993</v>
      </c>
      <c r="U22" s="4">
        <f>SUM(B22/U1)</f>
        <v>125.99999999999999</v>
      </c>
    </row>
    <row r="23" spans="1:25" x14ac:dyDescent="0.35">
      <c r="A23" s="1" t="s">
        <v>42</v>
      </c>
      <c r="B23" s="3">
        <v>7.07</v>
      </c>
      <c r="C23" s="3">
        <f>SUM(B23/C1)</f>
        <v>7.4421052631578952</v>
      </c>
      <c r="D23" s="3">
        <f>SUM(B23/D1)</f>
        <v>7.8555555555555561</v>
      </c>
      <c r="E23" s="3">
        <f>SUM(B23/E1)</f>
        <v>8.3176470588235301</v>
      </c>
      <c r="F23" s="3">
        <f>SUM(B23/F1)</f>
        <v>8.8375000000000004</v>
      </c>
      <c r="G23" s="3">
        <f>SUM(B23/G1)</f>
        <v>9.4266666666666676</v>
      </c>
      <c r="H23" s="3">
        <f>SUM(B23/H1)</f>
        <v>10.100000000000001</v>
      </c>
      <c r="I23" s="3">
        <f>SUM(B23/I1)</f>
        <v>10.876923076923077</v>
      </c>
      <c r="J23" s="3">
        <f>SUM(B23/J1)</f>
        <v>11.783333333333335</v>
      </c>
      <c r="K23" s="3">
        <f>SUM(B23/K1)</f>
        <v>12.854545454545454</v>
      </c>
      <c r="L23" s="2">
        <f>SUM(B23/L1)</f>
        <v>14.14</v>
      </c>
      <c r="M23" s="3">
        <f>SUM(B23/M1)</f>
        <v>15.711111111111112</v>
      </c>
      <c r="N23" s="3">
        <f>SUM(B23/N1)</f>
        <v>17.675000000000001</v>
      </c>
      <c r="O23" s="3">
        <f>SUM(B23/O1)</f>
        <v>20.200000000000003</v>
      </c>
      <c r="P23" s="3">
        <f>SUM(B23/P1)</f>
        <v>23.56666666666667</v>
      </c>
      <c r="Q23" s="3">
        <f>SUM(B23/Q1)</f>
        <v>28.28</v>
      </c>
      <c r="R23" s="2">
        <f>SUM(B23/R1)</f>
        <v>35.35</v>
      </c>
      <c r="S23" s="3">
        <f>SUM(B23/S1)</f>
        <v>47.13333333333334</v>
      </c>
      <c r="T23" s="3">
        <f>SUM(B23/T1)</f>
        <v>70.7</v>
      </c>
      <c r="U23" s="4">
        <f>SUM(B23/U1)</f>
        <v>141.4</v>
      </c>
    </row>
    <row r="24" spans="1:25" x14ac:dyDescent="0.35">
      <c r="A24" s="1" t="s">
        <v>43</v>
      </c>
      <c r="B24" s="3">
        <v>6.79</v>
      </c>
      <c r="C24" s="3">
        <f>SUM(B24/C1)</f>
        <v>7.147368421052632</v>
      </c>
      <c r="D24" s="3">
        <f>SUM(B24/D1)</f>
        <v>7.5444444444444443</v>
      </c>
      <c r="E24" s="3">
        <f>SUM(B24/E1)</f>
        <v>7.9882352941176471</v>
      </c>
      <c r="F24" s="3">
        <f>SUM(B24/F1)</f>
        <v>8.4874999999999989</v>
      </c>
      <c r="G24" s="3">
        <f>SUM(B24/G1)</f>
        <v>9.0533333333333328</v>
      </c>
      <c r="H24" s="3">
        <f>SUM(B24/H1)</f>
        <v>9.7000000000000011</v>
      </c>
      <c r="I24" s="3">
        <f>SUM(B24/I1)</f>
        <v>10.446153846153846</v>
      </c>
      <c r="J24" s="3">
        <f>SUM(B24/J1)</f>
        <v>11.316666666666666</v>
      </c>
      <c r="K24" s="3">
        <f>SUM(B24/K1)</f>
        <v>12.345454545454544</v>
      </c>
      <c r="L24" s="2">
        <f>SUM(B24/L1)</f>
        <v>13.58</v>
      </c>
      <c r="M24" s="3">
        <f>SUM(B24/M1)</f>
        <v>15.088888888888889</v>
      </c>
      <c r="N24" s="3">
        <f>SUM(B24/N1)</f>
        <v>16.974999999999998</v>
      </c>
      <c r="O24" s="3">
        <f>SUM(B24/O1)</f>
        <v>19.400000000000002</v>
      </c>
      <c r="P24" s="3">
        <f>SUM(B24/P1)</f>
        <v>22.633333333333333</v>
      </c>
      <c r="Q24" s="3">
        <f>SUM(B24/Q1)</f>
        <v>27.16</v>
      </c>
      <c r="R24" s="2">
        <f>SUM(B24/R1)</f>
        <v>33.949999999999996</v>
      </c>
      <c r="S24" s="3">
        <f>SUM(B24/S1)</f>
        <v>45.266666666666666</v>
      </c>
      <c r="T24" s="3">
        <f>SUM(B24/T1)</f>
        <v>67.899999999999991</v>
      </c>
      <c r="U24" s="4">
        <f>SUM(B24/U1)</f>
        <v>135.79999999999998</v>
      </c>
    </row>
    <row r="25" spans="1:25" x14ac:dyDescent="0.35">
      <c r="A25" s="1" t="s">
        <v>44</v>
      </c>
      <c r="B25" s="3">
        <v>7.2060000000000004</v>
      </c>
      <c r="C25" s="3">
        <f>SUM(B25/C1)</f>
        <v>7.5852631578947376</v>
      </c>
      <c r="D25" s="3">
        <f>SUM(B25/D1)</f>
        <v>8.0066666666666677</v>
      </c>
      <c r="E25" s="3">
        <f>SUM(B25/E1)</f>
        <v>8.4776470588235302</v>
      </c>
      <c r="F25" s="3">
        <f>SUM(B25/F1)</f>
        <v>9.0075000000000003</v>
      </c>
      <c r="G25" s="3">
        <f>SUM(B25/G1)</f>
        <v>9.6080000000000005</v>
      </c>
      <c r="H25" s="3">
        <f>SUM(B25/H1)</f>
        <v>10.294285714285715</v>
      </c>
      <c r="I25" s="3">
        <f>SUM(B25/I1)</f>
        <v>11.086153846153847</v>
      </c>
      <c r="J25" s="3">
        <f>SUM(B25/J1)</f>
        <v>12.010000000000002</v>
      </c>
      <c r="K25" s="3">
        <f>SUM(B25/K1)</f>
        <v>13.101818181818182</v>
      </c>
      <c r="L25" s="2">
        <f>SUM(B25/L1)</f>
        <v>14.412000000000001</v>
      </c>
      <c r="M25" s="3">
        <f>SUM(B25/M1)</f>
        <v>16.013333333333335</v>
      </c>
      <c r="N25" s="3">
        <f>SUM(B25/N1)</f>
        <v>18.015000000000001</v>
      </c>
      <c r="O25" s="3">
        <f>SUM(B25/O1)</f>
        <v>20.588571428571431</v>
      </c>
      <c r="P25" s="3">
        <f>SUM(B25/P1)</f>
        <v>24.020000000000003</v>
      </c>
      <c r="Q25" s="3">
        <f>SUM(B25/Q1)</f>
        <v>28.824000000000002</v>
      </c>
      <c r="R25" s="2">
        <f>SUM(B25/R1)</f>
        <v>36.03</v>
      </c>
      <c r="S25" s="3">
        <f>SUM(B25/S1)</f>
        <v>48.040000000000006</v>
      </c>
      <c r="T25" s="3">
        <f>SUM(B25/T1)</f>
        <v>72.06</v>
      </c>
      <c r="U25" s="4">
        <f>SUM(B25/U1)</f>
        <v>144.12</v>
      </c>
    </row>
    <row r="26" spans="1:25" s="56" customFormat="1" x14ac:dyDescent="0.35">
      <c r="A26" s="52" t="s">
        <v>45</v>
      </c>
      <c r="B26" s="53">
        <v>5.7</v>
      </c>
      <c r="C26" s="53">
        <f>SUM(B26/C1)</f>
        <v>6.0000000000000009</v>
      </c>
      <c r="D26" s="53">
        <f>SUM(B26/D1)</f>
        <v>6.333333333333333</v>
      </c>
      <c r="E26" s="53">
        <f>SUM(B26/E1)</f>
        <v>6.7058823529411766</v>
      </c>
      <c r="F26" s="53">
        <f>SUM(B26/F1)</f>
        <v>7.125</v>
      </c>
      <c r="G26" s="53">
        <f>SUM(B26/G1)</f>
        <v>7.6000000000000005</v>
      </c>
      <c r="H26" s="53">
        <f>SUM(B26/H1)</f>
        <v>8.1428571428571441</v>
      </c>
      <c r="I26" s="53">
        <f>SUM(B26/I1)</f>
        <v>8.7692307692307701</v>
      </c>
      <c r="J26" s="53">
        <f>SUM(B26/J1)</f>
        <v>9.5</v>
      </c>
      <c r="K26" s="53">
        <f>SUM(B26/K1)</f>
        <v>10.363636363636363</v>
      </c>
      <c r="L26" s="54">
        <f>SUM(B26/L1)</f>
        <v>11.4</v>
      </c>
      <c r="M26" s="53">
        <f>SUM(B26/M1)</f>
        <v>12.666666666666666</v>
      </c>
      <c r="N26" s="53">
        <f>SUM(B26/N1)</f>
        <v>14.25</v>
      </c>
      <c r="O26" s="53">
        <f>SUM(B26/O1)</f>
        <v>16.285714285714288</v>
      </c>
      <c r="P26" s="53">
        <f>SUM(B26/P1)</f>
        <v>19</v>
      </c>
      <c r="Q26" s="53">
        <f>SUM(B26/Q1)</f>
        <v>22.8</v>
      </c>
      <c r="R26" s="54">
        <f>SUM(B26/R1)</f>
        <v>28.5</v>
      </c>
      <c r="S26" s="53">
        <f>SUM(B26/S1)</f>
        <v>38</v>
      </c>
      <c r="T26" s="53">
        <f>SUM(B26/T1)</f>
        <v>57</v>
      </c>
      <c r="U26" s="55">
        <f>SUM(B26/U1)</f>
        <v>114</v>
      </c>
    </row>
    <row r="27" spans="1:25" x14ac:dyDescent="0.35">
      <c r="A27" s="1" t="s">
        <v>46</v>
      </c>
      <c r="B27" s="3">
        <v>6.65</v>
      </c>
      <c r="C27" s="3">
        <f>SUM(B27/C1)</f>
        <v>7.0000000000000009</v>
      </c>
      <c r="D27" s="3">
        <f>SUM(B27/D1)</f>
        <v>7.3888888888888893</v>
      </c>
      <c r="E27" s="3">
        <f>SUM(B27/E1)</f>
        <v>7.8235294117647065</v>
      </c>
      <c r="F27" s="3">
        <f>SUM(B27/F1)</f>
        <v>8.3125</v>
      </c>
      <c r="G27" s="3">
        <f>SUM(B27/G1)</f>
        <v>8.8666666666666671</v>
      </c>
      <c r="H27" s="3">
        <f>SUM(B27/H1)</f>
        <v>9.5000000000000018</v>
      </c>
      <c r="I27" s="3">
        <f>SUM(B27/I1)</f>
        <v>10.230769230769232</v>
      </c>
      <c r="J27" s="3">
        <f>SUM(B27/J1)</f>
        <v>11.083333333333334</v>
      </c>
      <c r="K27" s="3">
        <f>SUM(B27/K1)</f>
        <v>12.09090909090909</v>
      </c>
      <c r="L27" s="2">
        <f>SUM(B27/L1)</f>
        <v>13.3</v>
      </c>
      <c r="M27" s="3">
        <f>SUM(B27/M1)</f>
        <v>14.777777777777779</v>
      </c>
      <c r="N27" s="3">
        <f>SUM(B27/N1)</f>
        <v>16.625</v>
      </c>
      <c r="O27" s="3">
        <f>SUM(B27/O1)</f>
        <v>19.000000000000004</v>
      </c>
      <c r="P27" s="3">
        <f>SUM(B27/P1)</f>
        <v>22.166666666666668</v>
      </c>
      <c r="Q27" s="3">
        <f>SUM(B27/Q1)</f>
        <v>26.6</v>
      </c>
      <c r="R27" s="2">
        <f>SUM(B27/R1)</f>
        <v>33.25</v>
      </c>
      <c r="S27" s="3">
        <f>SUM(B27/S1)</f>
        <v>44.333333333333336</v>
      </c>
      <c r="T27" s="3">
        <f>SUM(B27/T1)</f>
        <v>66.5</v>
      </c>
      <c r="U27" s="4">
        <f>SUM(B27/U1)</f>
        <v>133</v>
      </c>
    </row>
    <row r="28" spans="1:25" s="12" customFormat="1" x14ac:dyDescent="0.35">
      <c r="A28" s="34" t="s">
        <v>47</v>
      </c>
      <c r="B28" s="35">
        <v>5.8</v>
      </c>
      <c r="C28" s="35">
        <f>SUM(B28/C1)</f>
        <v>6.1052631578947372</v>
      </c>
      <c r="D28" s="35">
        <f>SUM(B28/D1)</f>
        <v>6.4444444444444438</v>
      </c>
      <c r="E28" s="35">
        <f>SUM(B28/E1)</f>
        <v>6.8235294117647056</v>
      </c>
      <c r="F28" s="35">
        <f>SUM(B28/F1)</f>
        <v>7.2499999999999991</v>
      </c>
      <c r="G28" s="35">
        <f>SUM(B28/G1)</f>
        <v>7.7333333333333334</v>
      </c>
      <c r="H28" s="35">
        <f>SUM(B28/H1)</f>
        <v>8.2857142857142865</v>
      </c>
      <c r="I28" s="35">
        <f>SUM(B28/I1)</f>
        <v>8.9230769230769234</v>
      </c>
      <c r="J28" s="35">
        <f>SUM(B28/J1)</f>
        <v>9.6666666666666661</v>
      </c>
      <c r="K28" s="35">
        <f>SUM(B28/K1)</f>
        <v>10.545454545454545</v>
      </c>
      <c r="L28" s="36">
        <f>SUM(B28/L1)</f>
        <v>11.6</v>
      </c>
      <c r="M28" s="35">
        <f>SUM(B28/M1)</f>
        <v>12.888888888888888</v>
      </c>
      <c r="N28" s="35">
        <f>SUM(B28/N1)</f>
        <v>14.499999999999998</v>
      </c>
      <c r="O28" s="35">
        <f>SUM(B28/O1)</f>
        <v>16.571428571428573</v>
      </c>
      <c r="P28" s="35">
        <f>SUM(B28/P1)</f>
        <v>19.333333333333332</v>
      </c>
      <c r="Q28" s="35">
        <f>SUM(B28/Q1)</f>
        <v>23.2</v>
      </c>
      <c r="R28" s="36">
        <f>SUM(B28/R1)</f>
        <v>28.999999999999996</v>
      </c>
      <c r="S28" s="35">
        <f>SUM(B28/S1)</f>
        <v>38.666666666666664</v>
      </c>
      <c r="T28" s="35">
        <f>SUM(B28/T1)</f>
        <v>57.999999999999993</v>
      </c>
      <c r="U28" s="37">
        <f>SUM(B28/U1)</f>
        <v>115.99999999999999</v>
      </c>
      <c r="V28"/>
      <c r="W28"/>
      <c r="X28"/>
      <c r="Y28"/>
    </row>
    <row r="29" spans="1:25" x14ac:dyDescent="0.35">
      <c r="A29" s="1" t="s">
        <v>48</v>
      </c>
      <c r="B29" s="3">
        <v>5.46</v>
      </c>
      <c r="C29" s="3">
        <f>SUM(B29/C1)</f>
        <v>5.7473684210526317</v>
      </c>
      <c r="D29" s="3">
        <f>SUM(B29/D1)</f>
        <v>6.0666666666666664</v>
      </c>
      <c r="E29" s="3">
        <f>SUM(B29/E1)</f>
        <v>6.4235294117647062</v>
      </c>
      <c r="F29" s="3">
        <f>SUM(B29/F1)</f>
        <v>6.8249999999999993</v>
      </c>
      <c r="G29" s="3">
        <f>SUM(B29/G1)</f>
        <v>7.28</v>
      </c>
      <c r="H29" s="3">
        <f>SUM(B29/H1)</f>
        <v>7.8000000000000007</v>
      </c>
      <c r="I29" s="3">
        <f>SUM(B29/I1)</f>
        <v>8.4</v>
      </c>
      <c r="J29" s="3">
        <f>SUM(B29/J1)</f>
        <v>9.1</v>
      </c>
      <c r="K29" s="3">
        <f>SUM(B29/K1)</f>
        <v>9.9272727272727259</v>
      </c>
      <c r="L29" s="2">
        <f>SUM(B29/L1)</f>
        <v>10.92</v>
      </c>
      <c r="M29" s="3">
        <f>SUM(B29/M1)</f>
        <v>12.133333333333333</v>
      </c>
      <c r="N29" s="3">
        <f>SUM(B29/N1)</f>
        <v>13.649999999999999</v>
      </c>
      <c r="O29" s="3">
        <f>SUM(B29/O1)</f>
        <v>15.600000000000001</v>
      </c>
      <c r="P29" s="3">
        <f>SUM(B29/P1)</f>
        <v>18.2</v>
      </c>
      <c r="Q29" s="3">
        <f>SUM(B29/Q1)</f>
        <v>21.84</v>
      </c>
      <c r="R29" s="2">
        <f>SUM(B29/R1)</f>
        <v>27.299999999999997</v>
      </c>
      <c r="S29" s="3">
        <f>SUM(B29/S1)</f>
        <v>36.4</v>
      </c>
      <c r="T29" s="3">
        <f>SUM(B29/T1)</f>
        <v>54.599999999999994</v>
      </c>
      <c r="U29" s="4">
        <f>SUM(B29/U1)</f>
        <v>109.19999999999999</v>
      </c>
    </row>
    <row r="30" spans="1:25" s="12" customFormat="1" x14ac:dyDescent="0.35">
      <c r="A30" s="34" t="s">
        <v>49</v>
      </c>
      <c r="B30" s="35">
        <v>4.4000000000000004</v>
      </c>
      <c r="C30" s="35">
        <f>SUM(B30/C1)</f>
        <v>4.6315789473684212</v>
      </c>
      <c r="D30" s="35">
        <f>SUM(B30/D1)</f>
        <v>4.8888888888888893</v>
      </c>
      <c r="E30" s="35">
        <f>SUM(B30/E1)</f>
        <v>5.1764705882352944</v>
      </c>
      <c r="F30" s="35">
        <f>SUM(B30/F1)</f>
        <v>5.5</v>
      </c>
      <c r="G30" s="35">
        <f>SUM(B30/G1)</f>
        <v>5.8666666666666671</v>
      </c>
      <c r="H30" s="35">
        <f>SUM(B30/H1)</f>
        <v>6.2857142857142865</v>
      </c>
      <c r="I30" s="35">
        <f>SUM(B30/I1)</f>
        <v>6.7692307692307692</v>
      </c>
      <c r="J30" s="35">
        <f>SUM(B30/J1)</f>
        <v>7.3333333333333339</v>
      </c>
      <c r="K30" s="35">
        <f>SUM(B30/K1)</f>
        <v>8</v>
      </c>
      <c r="L30" s="36">
        <f>SUM(B30/L1)</f>
        <v>8.8000000000000007</v>
      </c>
      <c r="M30" s="35">
        <f>SUM(B30/M1)</f>
        <v>9.7777777777777786</v>
      </c>
      <c r="N30" s="35">
        <f>SUM(B30/N1)</f>
        <v>11</v>
      </c>
      <c r="O30" s="35">
        <f>SUM(B30/O1)</f>
        <v>12.571428571428573</v>
      </c>
      <c r="P30" s="35">
        <f>SUM(B30/P1)</f>
        <v>14.666666666666668</v>
      </c>
      <c r="Q30" s="35">
        <f>SUM(B30/Q1)</f>
        <v>17.600000000000001</v>
      </c>
      <c r="R30" s="36">
        <f>SUM(B30/R1)</f>
        <v>22</v>
      </c>
      <c r="S30" s="35">
        <f>SUM(B30/S1)</f>
        <v>29.333333333333336</v>
      </c>
      <c r="T30" s="35">
        <f>SUM(B30/T1)</f>
        <v>44</v>
      </c>
      <c r="U30" s="37">
        <f>SUM(B30/U1)</f>
        <v>88</v>
      </c>
      <c r="V30"/>
      <c r="W30"/>
      <c r="X30"/>
      <c r="Y30"/>
    </row>
    <row r="31" spans="1:25" s="38" customFormat="1" x14ac:dyDescent="0.35">
      <c r="A31" s="34" t="s">
        <v>50</v>
      </c>
      <c r="B31" s="35">
        <v>6.4349999999999996</v>
      </c>
      <c r="C31" s="35">
        <f>SUM(B31/C1)</f>
        <v>6.7736842105263158</v>
      </c>
      <c r="D31" s="35">
        <f>SUM(B31/D1)</f>
        <v>7.1499999999999995</v>
      </c>
      <c r="E31" s="35">
        <f>SUM(B31/E1)</f>
        <v>7.5705882352941174</v>
      </c>
      <c r="F31" s="35">
        <f>SUM(B31/F1)</f>
        <v>8.0437499999999993</v>
      </c>
      <c r="G31" s="35">
        <f>SUM(B31/G1)</f>
        <v>8.58</v>
      </c>
      <c r="H31" s="35">
        <f>SUM(B31/H1)</f>
        <v>9.1928571428571431</v>
      </c>
      <c r="I31" s="35">
        <f>SUM(B31/I1)</f>
        <v>9.8999999999999986</v>
      </c>
      <c r="J31" s="35">
        <f>SUM(B31/J1)</f>
        <v>10.725</v>
      </c>
      <c r="K31" s="35">
        <f>SUM(B31/K1)</f>
        <v>11.699999999999998</v>
      </c>
      <c r="L31" s="36">
        <f>SUM(B31/L1)</f>
        <v>12.87</v>
      </c>
      <c r="M31" s="35">
        <f>SUM(B31/M1)</f>
        <v>14.299999999999999</v>
      </c>
      <c r="N31" s="35">
        <f>SUM(B31/N1)</f>
        <v>16.087499999999999</v>
      </c>
      <c r="O31" s="35">
        <f>SUM(B31/O1)</f>
        <v>18.385714285714286</v>
      </c>
      <c r="P31" s="35">
        <f>SUM(B31/P1)</f>
        <v>21.45</v>
      </c>
      <c r="Q31" s="35">
        <f>SUM(B31/Q1)</f>
        <v>25.74</v>
      </c>
      <c r="R31" s="36">
        <f>SUM(B31/R1)</f>
        <v>32.174999999999997</v>
      </c>
      <c r="S31" s="35">
        <f>SUM(B31/S1)</f>
        <v>42.9</v>
      </c>
      <c r="T31" s="35">
        <f>SUM(B31/T1)</f>
        <v>64.349999999999994</v>
      </c>
      <c r="U31" s="37">
        <f>SUM(B31/U1)</f>
        <v>128.69999999999999</v>
      </c>
    </row>
    <row r="32" spans="1:25" s="38" customFormat="1" x14ac:dyDescent="0.35">
      <c r="A32" s="34" t="s">
        <v>51</v>
      </c>
      <c r="B32" s="35">
        <v>5.14</v>
      </c>
      <c r="C32" s="35">
        <f>SUM(B32/C1)</f>
        <v>5.4105263157894736</v>
      </c>
      <c r="D32" s="35">
        <f>SUM(B32/D1)</f>
        <v>5.7111111111111104</v>
      </c>
      <c r="E32" s="35">
        <f>SUM(B32/E1)</f>
        <v>6.0470588235294116</v>
      </c>
      <c r="F32" s="35">
        <f>SUM(B32/F1)</f>
        <v>6.4249999999999989</v>
      </c>
      <c r="G32" s="35">
        <f>SUM(B32/G1)</f>
        <v>6.8533333333333326</v>
      </c>
      <c r="H32" s="35">
        <f>SUM(B32/H1)</f>
        <v>7.3428571428571425</v>
      </c>
      <c r="I32" s="35">
        <f>SUM(B32/I1)</f>
        <v>7.9076923076923071</v>
      </c>
      <c r="J32" s="35">
        <f>SUM(B32/J1)</f>
        <v>8.5666666666666664</v>
      </c>
      <c r="K32" s="35">
        <f>SUM(B32/K1)</f>
        <v>9.3454545454545439</v>
      </c>
      <c r="L32" s="36">
        <f>SUM(B32/L1)</f>
        <v>10.28</v>
      </c>
      <c r="M32" s="35">
        <f>SUM(B32/M1)</f>
        <v>11.422222222222221</v>
      </c>
      <c r="N32" s="35">
        <f>SUM(B32/N1)</f>
        <v>12.849999999999998</v>
      </c>
      <c r="O32" s="35">
        <f>SUM(B32/O1)</f>
        <v>14.685714285714285</v>
      </c>
      <c r="P32" s="35">
        <f>SUM(B32/P1)</f>
        <v>17.133333333333333</v>
      </c>
      <c r="Q32" s="35">
        <f>SUM(B32/Q1)</f>
        <v>20.56</v>
      </c>
      <c r="R32" s="36">
        <f>SUM(B32/R1)</f>
        <v>25.699999999999996</v>
      </c>
      <c r="S32" s="35">
        <f>SUM(B32/S1)</f>
        <v>34.266666666666666</v>
      </c>
      <c r="T32" s="35">
        <f>SUM(B32/T1)</f>
        <v>51.399999999999991</v>
      </c>
      <c r="U32" s="37">
        <f>SUM(B32/U1)</f>
        <v>102.79999999999998</v>
      </c>
    </row>
    <row r="33" spans="1:1409" x14ac:dyDescent="0.35">
      <c r="A33" s="1" t="s">
        <v>52</v>
      </c>
      <c r="B33" s="3">
        <v>6.36</v>
      </c>
      <c r="C33" s="3">
        <f>SUM(B33/C1)</f>
        <v>6.6947368421052635</v>
      </c>
      <c r="D33" s="3">
        <f>SUM(B33/D1)</f>
        <v>7.0666666666666664</v>
      </c>
      <c r="E33" s="3">
        <f>SUM(B33/E1)</f>
        <v>7.4823529411764715</v>
      </c>
      <c r="F33" s="3">
        <f>SUM(B33/F1)</f>
        <v>7.95</v>
      </c>
      <c r="G33" s="3">
        <f>SUM(B33/G1)</f>
        <v>8.48</v>
      </c>
      <c r="H33" s="3">
        <f>SUM(B33/H1)</f>
        <v>9.0857142857142872</v>
      </c>
      <c r="I33" s="3">
        <f>SUM(B33/I1)</f>
        <v>9.7846153846153854</v>
      </c>
      <c r="J33" s="3">
        <f>SUM(B33/J1)</f>
        <v>10.600000000000001</v>
      </c>
      <c r="K33" s="3">
        <f>SUM(B33/K1)</f>
        <v>11.563636363636363</v>
      </c>
      <c r="L33" s="2">
        <f>SUM(B33/L1)</f>
        <v>12.72</v>
      </c>
      <c r="M33" s="3">
        <f>SUM(B33/M1)</f>
        <v>14.133333333333333</v>
      </c>
      <c r="N33" s="3">
        <f>SUM(B33/N1)</f>
        <v>15.9</v>
      </c>
      <c r="O33" s="3">
        <f>SUM(B33/O1)</f>
        <v>18.171428571428574</v>
      </c>
      <c r="P33" s="3">
        <f>SUM(B33/P1)</f>
        <v>21.200000000000003</v>
      </c>
      <c r="Q33" s="3">
        <f>SUM(B33/Q1)</f>
        <v>25.44</v>
      </c>
      <c r="R33" s="2">
        <f>SUM(B33/R1)</f>
        <v>31.8</v>
      </c>
      <c r="S33" s="3">
        <f>SUM(B33/S1)</f>
        <v>42.400000000000006</v>
      </c>
      <c r="T33" s="3">
        <f>SUM(B33/T1)</f>
        <v>63.6</v>
      </c>
      <c r="U33" s="4">
        <f>SUM(B33/U1)</f>
        <v>127.2</v>
      </c>
    </row>
    <row r="34" spans="1:1409" ht="15.75" customHeight="1" x14ac:dyDescent="0.35">
      <c r="A34" s="1" t="s">
        <v>53</v>
      </c>
      <c r="B34" s="3">
        <v>6.42</v>
      </c>
      <c r="C34" s="3">
        <f>SUM(B34/C1)</f>
        <v>6.7578947368421058</v>
      </c>
      <c r="D34" s="3">
        <f>SUM(B34/D1)</f>
        <v>7.1333333333333329</v>
      </c>
      <c r="E34" s="3">
        <f>SUM(B34/E1)</f>
        <v>7.552941176470588</v>
      </c>
      <c r="F34" s="3">
        <f>SUM(B34/F1)</f>
        <v>8.0249999999999986</v>
      </c>
      <c r="G34" s="3">
        <f>SUM(B34/G1)</f>
        <v>8.56</v>
      </c>
      <c r="H34" s="3">
        <f>SUM(B34/H1)</f>
        <v>9.1714285714285726</v>
      </c>
      <c r="I34" s="3">
        <f>SUM(B34/I1)</f>
        <v>9.8769230769230774</v>
      </c>
      <c r="J34" s="3">
        <f>SUM(B34/J1)</f>
        <v>10.700000000000001</v>
      </c>
      <c r="K34" s="3">
        <f>SUM(B34/K1)</f>
        <v>11.672727272727272</v>
      </c>
      <c r="L34" s="2">
        <f>SUM(B34/L1)</f>
        <v>12.84</v>
      </c>
      <c r="M34" s="3">
        <f>SUM(B34/M1)</f>
        <v>14.266666666666666</v>
      </c>
      <c r="N34" s="3">
        <f>SUM(B34/N1)</f>
        <v>16.049999999999997</v>
      </c>
      <c r="O34" s="3">
        <f>SUM(B34/O1)</f>
        <v>18.342857142857145</v>
      </c>
      <c r="P34" s="3">
        <f>SUM(B34/P1)</f>
        <v>21.400000000000002</v>
      </c>
      <c r="Q34" s="3">
        <f>SUM(B34/Q1)</f>
        <v>25.68</v>
      </c>
      <c r="R34" s="2">
        <f>SUM(B34/R1)</f>
        <v>32.099999999999994</v>
      </c>
      <c r="S34" s="3">
        <f>SUM(B34/S1)</f>
        <v>42.800000000000004</v>
      </c>
      <c r="T34" s="3">
        <f>SUM(B34/T1)</f>
        <v>64.199999999999989</v>
      </c>
      <c r="U34" s="4">
        <f>SUM(B34/U1)</f>
        <v>128.39999999999998</v>
      </c>
    </row>
    <row r="35" spans="1:1409" x14ac:dyDescent="0.35">
      <c r="A35" s="1" t="s">
        <v>54</v>
      </c>
      <c r="B35" s="3">
        <v>6.6950000000000003</v>
      </c>
      <c r="C35" s="3">
        <f>SUM(B35/C1)</f>
        <v>7.0473684210526324</v>
      </c>
      <c r="D35" s="3">
        <f>SUM(B35/D1)</f>
        <v>7.4388888888888891</v>
      </c>
      <c r="E35" s="3">
        <f>SUM(B35/E1)</f>
        <v>7.8764705882352946</v>
      </c>
      <c r="F35" s="3">
        <f>SUM(B35/F1)</f>
        <v>8.3687500000000004</v>
      </c>
      <c r="G35" s="3">
        <f>SUM(B35/G1)</f>
        <v>8.9266666666666676</v>
      </c>
      <c r="H35" s="3">
        <f>SUM(B35/H1)</f>
        <v>9.5642857142857149</v>
      </c>
      <c r="I35" s="3">
        <f>SUM(B35/I1)</f>
        <v>10.3</v>
      </c>
      <c r="J35" s="3">
        <f>SUM(B35/J1)</f>
        <v>11.158333333333335</v>
      </c>
      <c r="K35" s="3">
        <f>SUM(B35/K1)</f>
        <v>12.172727272727272</v>
      </c>
      <c r="L35" s="3">
        <f>SUM(B35/L1)</f>
        <v>13.39</v>
      </c>
      <c r="M35" s="3">
        <f>SUM(B35/M1)</f>
        <v>14.877777777777778</v>
      </c>
      <c r="N35" s="3">
        <f>SUM(B35/N1)</f>
        <v>16.737500000000001</v>
      </c>
      <c r="O35" s="3">
        <f>SUM(B35/O1)</f>
        <v>19.12857142857143</v>
      </c>
      <c r="P35" s="3">
        <f>SUM(B35/P1)</f>
        <v>22.31666666666667</v>
      </c>
      <c r="Q35" s="3">
        <f>SUM(B35/Q1)</f>
        <v>26.78</v>
      </c>
      <c r="R35" s="2">
        <f>SUM(B35/R1)</f>
        <v>33.475000000000001</v>
      </c>
      <c r="S35" s="3">
        <f>SUM(B35/S1)</f>
        <v>44.63333333333334</v>
      </c>
      <c r="T35" s="3">
        <f>SUM(B35/T1)</f>
        <v>66.95</v>
      </c>
      <c r="U35" s="4">
        <f>SUM(B35/U1)</f>
        <v>133.9</v>
      </c>
    </row>
    <row r="36" spans="1:1409" x14ac:dyDescent="0.35">
      <c r="A36" s="1" t="s">
        <v>55</v>
      </c>
      <c r="B36" s="3">
        <v>6</v>
      </c>
      <c r="C36" s="3">
        <f>SUM(B36/C1)</f>
        <v>6.3157894736842106</v>
      </c>
      <c r="D36" s="3">
        <f>SUM(B36/D1)</f>
        <v>6.6666666666666661</v>
      </c>
      <c r="E36" s="3">
        <f>SUM(B36/E1)</f>
        <v>7.0588235294117645</v>
      </c>
      <c r="F36" s="3">
        <f>SUM(B36/F1)</f>
        <v>7.5</v>
      </c>
      <c r="G36" s="3">
        <f>SUM(B36/G1)</f>
        <v>8</v>
      </c>
      <c r="H36" s="3">
        <f>SUM(B36/H1)</f>
        <v>8.5714285714285712</v>
      </c>
      <c r="I36" s="3">
        <f>SUM(B36/I1)</f>
        <v>9.2307692307692299</v>
      </c>
      <c r="J36" s="3">
        <f>SUM(B36/J1)</f>
        <v>10</v>
      </c>
      <c r="K36" s="3">
        <f>SUM(B36/K1)</f>
        <v>10.909090909090908</v>
      </c>
      <c r="L36" s="2">
        <f>SUM(B36/L1)</f>
        <v>12</v>
      </c>
      <c r="M36" s="3">
        <f>SUM(B36/M1)</f>
        <v>13.333333333333332</v>
      </c>
      <c r="N36" s="3">
        <f>SUM(B36/N1)</f>
        <v>15</v>
      </c>
      <c r="O36" s="3">
        <f>SUM(B36/O1)</f>
        <v>17.142857142857142</v>
      </c>
      <c r="P36" s="3">
        <f>SUM(B36/P1)</f>
        <v>20</v>
      </c>
      <c r="Q36" s="3">
        <f>SUM(B36/Q1)</f>
        <v>24</v>
      </c>
      <c r="R36" s="2">
        <f>SUM(B36/R1)</f>
        <v>30</v>
      </c>
      <c r="S36" s="3">
        <f>SUM(B36/S1)</f>
        <v>40</v>
      </c>
      <c r="T36" s="3">
        <f>SUM(B36/T1)</f>
        <v>60</v>
      </c>
      <c r="U36" s="4">
        <f>SUM(B36/U1)</f>
        <v>120</v>
      </c>
    </row>
    <row r="37" spans="1:1409" ht="15" customHeight="1" x14ac:dyDescent="0.35">
      <c r="A37" s="1" t="s">
        <v>56</v>
      </c>
      <c r="B37" s="22">
        <v>6.72</v>
      </c>
      <c r="C37" s="22">
        <f>SUM(B37/C1)</f>
        <v>7.0736842105263156</v>
      </c>
      <c r="D37" s="22">
        <f>SUM(B37/D1)</f>
        <v>7.4666666666666659</v>
      </c>
      <c r="E37" s="22">
        <f>SUM(B37/E1)</f>
        <v>7.9058823529411768</v>
      </c>
      <c r="F37" s="22">
        <f>SUM(B37/F1)</f>
        <v>8.3999999999999986</v>
      </c>
      <c r="G37" s="22">
        <f>SUM(B37/G1)</f>
        <v>8.9599999999999991</v>
      </c>
      <c r="H37" s="22">
        <f>SUM(B37/H1)</f>
        <v>9.6</v>
      </c>
      <c r="I37" s="22">
        <f>SUM(B37/I1)</f>
        <v>10.338461538461537</v>
      </c>
      <c r="J37" s="22">
        <f>SUM(B37/J1)</f>
        <v>11.2</v>
      </c>
      <c r="K37" s="22">
        <f>SUM(B37/K1)</f>
        <v>12.218181818181817</v>
      </c>
      <c r="L37" s="21">
        <f>SUM(B37/L1)</f>
        <v>13.44</v>
      </c>
      <c r="M37" s="22">
        <f>SUM(B37/M1)</f>
        <v>14.933333333333332</v>
      </c>
      <c r="N37" s="22">
        <f>SUM(B37/N1)</f>
        <v>16.799999999999997</v>
      </c>
      <c r="O37" s="22">
        <f>SUM(B37/O1)</f>
        <v>19.2</v>
      </c>
      <c r="P37" s="22">
        <f>SUM(B37/P1)</f>
        <v>22.4</v>
      </c>
      <c r="Q37" s="22">
        <f>SUM(B37/Q1)</f>
        <v>26.88</v>
      </c>
      <c r="R37" s="21">
        <f>SUM(B37/R1)</f>
        <v>33.599999999999994</v>
      </c>
      <c r="S37" s="22">
        <f>SUM(B37/S1)</f>
        <v>44.8</v>
      </c>
      <c r="T37" s="22">
        <f>SUM(B37/T1)</f>
        <v>67.199999999999989</v>
      </c>
      <c r="U37" s="33">
        <f>SUM(B37/U1)</f>
        <v>134.39999999999998</v>
      </c>
    </row>
    <row r="38" spans="1:1409" s="8" customFormat="1" x14ac:dyDescent="0.35">
      <c r="A38" s="39" t="s">
        <v>57</v>
      </c>
      <c r="B38" s="11">
        <v>7.08</v>
      </c>
      <c r="C38" s="11">
        <f>SUM(B38/C1)</f>
        <v>7.4526315789473685</v>
      </c>
      <c r="D38" s="11">
        <f>SUM(B38/D1)</f>
        <v>7.8666666666666663</v>
      </c>
      <c r="E38" s="11">
        <f>SUM(B38/E1)</f>
        <v>8.329411764705883</v>
      </c>
      <c r="F38" s="11">
        <f>SUM(B38/F1)</f>
        <v>8.85</v>
      </c>
      <c r="G38" s="11">
        <f>SUM(B38/G1)</f>
        <v>9.44</v>
      </c>
      <c r="H38" s="11">
        <f>SUM(B38/H1)</f>
        <v>10.114285714285716</v>
      </c>
      <c r="I38" s="11">
        <f>SUM(B38/I1)</f>
        <v>10.892307692307693</v>
      </c>
      <c r="J38" s="11">
        <f>SUM(B38/J1)</f>
        <v>11.8</v>
      </c>
      <c r="K38" s="11">
        <f>SUM(B38/K1)</f>
        <v>12.872727272727271</v>
      </c>
      <c r="L38" s="40">
        <f>SUM(B38/L1)</f>
        <v>14.16</v>
      </c>
      <c r="M38" s="11">
        <f>SUM(B38/M1)</f>
        <v>15.733333333333333</v>
      </c>
      <c r="N38" s="11">
        <f>SUM(B38/N1)</f>
        <v>17.7</v>
      </c>
      <c r="O38" s="11">
        <f>SUM(B38/O1)</f>
        <v>20.228571428571431</v>
      </c>
      <c r="P38" s="11">
        <f>SUM(B38/P1)</f>
        <v>23.6</v>
      </c>
      <c r="Q38" s="11">
        <f>SUM(B38/Q1)</f>
        <v>28.32</v>
      </c>
      <c r="R38" s="40">
        <f>SUM(B38/R1)</f>
        <v>35.4</v>
      </c>
      <c r="S38" s="11">
        <f>SUM(B38/S1)</f>
        <v>47.2</v>
      </c>
      <c r="T38" s="11">
        <f>SUM(B38/T1)</f>
        <v>70.8</v>
      </c>
      <c r="U38" s="11">
        <f>SUM(B38/U1)</f>
        <v>141.6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</row>
    <row r="39" spans="1:1409" s="46" customFormat="1" x14ac:dyDescent="0.35">
      <c r="A39" s="39" t="s">
        <v>58</v>
      </c>
      <c r="B39" s="11">
        <v>7.14</v>
      </c>
      <c r="C39" s="11">
        <f>SUM(B39/C1)</f>
        <v>7.5157894736842108</v>
      </c>
      <c r="D39" s="11">
        <f>SUM(B39/D1)</f>
        <v>7.9333333333333327</v>
      </c>
      <c r="E39" s="11">
        <f>SUM(B39/E1)</f>
        <v>8.4</v>
      </c>
      <c r="F39" s="11">
        <f>SUM(B39/F1)</f>
        <v>8.9249999999999989</v>
      </c>
      <c r="G39" s="11">
        <f>SUM(B39/G1)</f>
        <v>9.52</v>
      </c>
      <c r="H39" s="11">
        <f>SUM(B39/H1)</f>
        <v>10.200000000000001</v>
      </c>
      <c r="I39" s="11">
        <f>SUM(B39/I1)</f>
        <v>10.984615384615383</v>
      </c>
      <c r="J39" s="11">
        <f>SUM(B39/J1)</f>
        <v>11.9</v>
      </c>
      <c r="K39" s="11">
        <f>SUM(B39/K1)</f>
        <v>12.981818181818181</v>
      </c>
      <c r="L39" s="40">
        <f>SUM(B39/L1)</f>
        <v>14.28</v>
      </c>
      <c r="M39" s="11">
        <f>SUM(B39/M1)</f>
        <v>15.866666666666665</v>
      </c>
      <c r="N39" s="11">
        <f>SUM(B39/N1)</f>
        <v>17.849999999999998</v>
      </c>
      <c r="O39" s="11">
        <f>SUM(B39/O1)</f>
        <v>20.400000000000002</v>
      </c>
      <c r="P39" s="11">
        <f>SUM(B39/P1)</f>
        <v>23.8</v>
      </c>
      <c r="Q39" s="11">
        <f>SUM(B39/Q1)</f>
        <v>28.56</v>
      </c>
      <c r="R39" s="40">
        <f>SUM(B39/R1)</f>
        <v>35.699999999999996</v>
      </c>
      <c r="S39" s="11">
        <f>SUM(B39/S1)</f>
        <v>47.6</v>
      </c>
      <c r="T39" s="11">
        <f>SUM(B39/T1)</f>
        <v>71.399999999999991</v>
      </c>
      <c r="U39" s="11">
        <f>SUM(B39/U1)</f>
        <v>142.79999999999998</v>
      </c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 s="42"/>
      <c r="MV39" s="42"/>
      <c r="MW39" s="42"/>
      <c r="MX39" s="42"/>
      <c r="MY39" s="42"/>
      <c r="MZ39" s="42"/>
      <c r="NA39" s="42"/>
      <c r="NB39" s="42"/>
      <c r="NC39" s="42"/>
      <c r="ND39" s="42"/>
      <c r="NE39" s="42"/>
      <c r="NF39" s="42"/>
      <c r="NG39" s="42"/>
      <c r="NH39" s="42"/>
      <c r="NI39" s="42"/>
      <c r="NJ39" s="42"/>
      <c r="NK39" s="42"/>
      <c r="NL39" s="42"/>
      <c r="NM39" s="42"/>
      <c r="NN39" s="42"/>
      <c r="NO39" s="42"/>
      <c r="NP39" s="42"/>
      <c r="NQ39" s="42"/>
      <c r="NR39" s="42"/>
      <c r="NS39" s="42"/>
      <c r="NT39" s="42"/>
      <c r="NU39" s="42"/>
      <c r="NV39" s="42"/>
      <c r="NW39" s="42"/>
      <c r="NX39" s="42"/>
      <c r="NY39" s="42"/>
      <c r="NZ39" s="42"/>
      <c r="OA39" s="42"/>
      <c r="OB39" s="42"/>
      <c r="OC39" s="42"/>
      <c r="OD39" s="42"/>
      <c r="OE39" s="42"/>
      <c r="OF39" s="42"/>
      <c r="OG39" s="42"/>
      <c r="OH39" s="42"/>
      <c r="OI39" s="42"/>
      <c r="OJ39" s="42"/>
      <c r="OK39" s="42"/>
      <c r="OL39" s="42"/>
      <c r="OM39" s="42"/>
      <c r="ON39" s="42"/>
      <c r="OO39" s="42"/>
      <c r="OP39" s="42"/>
      <c r="OQ39" s="42"/>
      <c r="OR39" s="42"/>
      <c r="OS39" s="42"/>
      <c r="OT39" s="42"/>
      <c r="OU39" s="42"/>
      <c r="OV39" s="42"/>
      <c r="OW39" s="42"/>
      <c r="OX39" s="42"/>
      <c r="OY39" s="42"/>
      <c r="OZ39" s="42"/>
      <c r="PA39" s="42"/>
      <c r="PB39" s="42"/>
      <c r="PC39" s="42"/>
      <c r="PD39" s="42"/>
      <c r="PE39" s="42"/>
      <c r="PF39" s="42"/>
      <c r="PG39" s="42"/>
      <c r="PH39" s="42"/>
      <c r="PI39" s="42"/>
      <c r="PJ39" s="42"/>
      <c r="PK39" s="42"/>
      <c r="PL39" s="42"/>
      <c r="PM39" s="42"/>
      <c r="PN39" s="42"/>
      <c r="PO39" s="42"/>
      <c r="PP39" s="42"/>
      <c r="PQ39" s="42"/>
      <c r="PR39" s="42"/>
      <c r="PS39" s="42"/>
      <c r="PT39" s="42"/>
      <c r="PU39" s="42"/>
      <c r="PV39" s="42"/>
      <c r="PW39" s="42"/>
      <c r="PX39" s="42"/>
      <c r="PY39" s="42"/>
      <c r="PZ39" s="42"/>
      <c r="QA39" s="42"/>
      <c r="QB39" s="42"/>
      <c r="QC39" s="42"/>
      <c r="QD39" s="42"/>
      <c r="QE39" s="42"/>
      <c r="QF39" s="42"/>
      <c r="QG39" s="42"/>
      <c r="QH39" s="42"/>
      <c r="QI39" s="42"/>
      <c r="QJ39" s="42"/>
      <c r="QK39" s="42"/>
      <c r="QL39" s="42"/>
      <c r="QM39" s="42"/>
      <c r="QN39" s="42"/>
      <c r="QO39" s="42"/>
      <c r="QP39" s="42"/>
      <c r="QQ39" s="42"/>
      <c r="QR39" s="42"/>
      <c r="QS39" s="42"/>
      <c r="QT39" s="42"/>
      <c r="QU39" s="42"/>
      <c r="QV39" s="42"/>
      <c r="QW39" s="42"/>
      <c r="QX39" s="42"/>
      <c r="QY39" s="42"/>
      <c r="QZ39" s="42"/>
      <c r="RA39" s="42"/>
      <c r="RB39" s="42"/>
      <c r="RC39" s="42"/>
      <c r="RD39" s="42"/>
      <c r="RE39" s="42"/>
      <c r="RF39" s="42"/>
      <c r="RG39" s="42"/>
      <c r="RH39" s="42"/>
      <c r="RI39" s="42"/>
      <c r="RJ39" s="42"/>
      <c r="RK39" s="42"/>
      <c r="RL39" s="42"/>
      <c r="RM39" s="42"/>
      <c r="RN39" s="42"/>
      <c r="RO39" s="42"/>
      <c r="RP39" s="42"/>
      <c r="RQ39" s="42"/>
      <c r="RR39" s="42"/>
      <c r="RS39" s="42"/>
      <c r="RT39" s="42"/>
      <c r="RU39" s="42"/>
      <c r="RV39" s="42"/>
      <c r="RW39" s="42"/>
      <c r="RX39" s="42"/>
      <c r="RY39" s="42"/>
      <c r="RZ39" s="42"/>
      <c r="SA39" s="42"/>
      <c r="SB39" s="42"/>
      <c r="SC39" s="42"/>
      <c r="SD39" s="42"/>
      <c r="SE39" s="42"/>
      <c r="SF39" s="42"/>
      <c r="SG39" s="42"/>
      <c r="SH39" s="42"/>
      <c r="SI39" s="42"/>
      <c r="SJ39" s="42"/>
      <c r="SK39" s="42"/>
      <c r="SL39" s="42"/>
      <c r="SM39" s="42"/>
      <c r="SN39" s="42"/>
      <c r="SO39" s="42"/>
      <c r="SP39" s="42"/>
      <c r="SQ39" s="42"/>
      <c r="SR39" s="42"/>
      <c r="SS39" s="42"/>
      <c r="ST39" s="42"/>
      <c r="SU39" s="42"/>
      <c r="SV39" s="42"/>
      <c r="SW39" s="42"/>
      <c r="SX39" s="42"/>
      <c r="SY39" s="42"/>
      <c r="SZ39" s="42"/>
      <c r="TA39" s="42"/>
      <c r="TB39" s="42"/>
      <c r="TC39" s="42"/>
      <c r="TD39" s="42"/>
      <c r="TE39" s="42"/>
      <c r="TF39" s="42"/>
      <c r="TG39" s="42"/>
      <c r="TH39" s="42"/>
      <c r="TI39" s="42"/>
      <c r="TJ39" s="42"/>
      <c r="TK39" s="42"/>
      <c r="TL39" s="42"/>
      <c r="TM39" s="42"/>
      <c r="TN39" s="42"/>
      <c r="TO39" s="42"/>
      <c r="TP39" s="42"/>
      <c r="TQ39" s="42"/>
      <c r="TR39" s="42"/>
      <c r="TS39" s="42"/>
      <c r="TT39" s="42"/>
      <c r="TU39" s="42"/>
      <c r="TV39" s="42"/>
      <c r="TW39" s="42"/>
      <c r="TX39" s="42"/>
      <c r="TY39" s="42"/>
      <c r="TZ39" s="42"/>
      <c r="UA39" s="42"/>
      <c r="UB39" s="42"/>
      <c r="UC39" s="42"/>
      <c r="UD39" s="42"/>
      <c r="UE39" s="42"/>
      <c r="UF39" s="42"/>
      <c r="UG39" s="42"/>
      <c r="UH39" s="42"/>
      <c r="UI39" s="42"/>
      <c r="UJ39" s="42"/>
      <c r="UK39" s="42"/>
      <c r="UL39" s="42"/>
      <c r="UM39" s="42"/>
      <c r="UN39" s="42"/>
      <c r="UO39" s="42"/>
      <c r="UP39" s="42"/>
      <c r="UQ39" s="42"/>
      <c r="UR39" s="42"/>
      <c r="US39" s="42"/>
      <c r="UT39" s="42"/>
      <c r="UU39" s="42"/>
      <c r="UV39" s="42"/>
      <c r="UW39" s="42"/>
      <c r="UX39" s="42"/>
      <c r="UY39" s="42"/>
      <c r="UZ39" s="42"/>
      <c r="VA39" s="42"/>
      <c r="VB39" s="42"/>
      <c r="VC39" s="42"/>
      <c r="VD39" s="42"/>
      <c r="VE39" s="42"/>
      <c r="VF39" s="42"/>
      <c r="VG39" s="42"/>
      <c r="VH39" s="42"/>
      <c r="VI39" s="42"/>
      <c r="VJ39" s="42"/>
      <c r="VK39" s="42"/>
      <c r="VL39" s="42"/>
      <c r="VM39" s="42"/>
      <c r="VN39" s="42"/>
      <c r="VO39" s="42"/>
      <c r="VP39" s="42"/>
      <c r="VQ39" s="42"/>
      <c r="VR39" s="42"/>
      <c r="VS39" s="42"/>
      <c r="VT39" s="42"/>
      <c r="VU39" s="42"/>
      <c r="VV39" s="42"/>
      <c r="VW39" s="42"/>
      <c r="VX39" s="42"/>
      <c r="VY39" s="42"/>
      <c r="VZ39" s="42"/>
      <c r="WA39" s="42"/>
      <c r="WB39" s="42"/>
      <c r="WC39" s="42"/>
      <c r="WD39" s="42"/>
      <c r="WE39" s="42"/>
      <c r="WF39" s="42"/>
      <c r="WG39" s="42"/>
      <c r="WH39" s="42"/>
      <c r="WI39" s="42"/>
      <c r="WJ39" s="42"/>
      <c r="WK39" s="42"/>
      <c r="WL39" s="42"/>
      <c r="WM39" s="42"/>
      <c r="WN39" s="42"/>
      <c r="WO39" s="42"/>
      <c r="WP39" s="42"/>
      <c r="WQ39" s="42"/>
      <c r="WR39" s="42"/>
      <c r="WS39" s="42"/>
      <c r="WT39" s="42"/>
      <c r="WU39" s="42"/>
      <c r="WV39" s="42"/>
      <c r="WW39" s="42"/>
      <c r="WX39" s="42"/>
      <c r="WY39" s="42"/>
      <c r="WZ39" s="42"/>
      <c r="XA39" s="42"/>
      <c r="XB39" s="42"/>
      <c r="XC39" s="42"/>
      <c r="XD39" s="42"/>
      <c r="XE39" s="42"/>
      <c r="XF39" s="42"/>
      <c r="XG39" s="42"/>
      <c r="XH39" s="42"/>
      <c r="XI39" s="42"/>
      <c r="XJ39" s="42"/>
      <c r="XK39" s="42"/>
      <c r="XL39" s="42"/>
      <c r="XM39" s="42"/>
      <c r="XN39" s="42"/>
      <c r="XO39" s="42"/>
      <c r="XP39" s="42"/>
      <c r="XQ39" s="42"/>
      <c r="XR39" s="42"/>
      <c r="XS39" s="42"/>
      <c r="XT39" s="42"/>
      <c r="XU39" s="42"/>
      <c r="XV39" s="42"/>
      <c r="XW39" s="42"/>
      <c r="XX39" s="42"/>
      <c r="XY39" s="42"/>
      <c r="XZ39" s="42"/>
      <c r="YA39" s="42"/>
      <c r="YB39" s="42"/>
      <c r="YC39" s="42"/>
      <c r="YD39" s="42"/>
      <c r="YE39" s="42"/>
      <c r="YF39" s="42"/>
      <c r="YG39" s="42"/>
      <c r="YH39" s="42"/>
      <c r="YI39" s="42"/>
      <c r="YJ39" s="42"/>
      <c r="YK39" s="42"/>
      <c r="YL39" s="42"/>
      <c r="YM39" s="42"/>
      <c r="YN39" s="42"/>
      <c r="YO39" s="42"/>
      <c r="YP39" s="42"/>
      <c r="YQ39" s="42"/>
      <c r="YR39" s="42"/>
      <c r="YS39" s="42"/>
      <c r="YT39" s="42"/>
      <c r="YU39" s="42"/>
      <c r="YV39" s="42"/>
      <c r="YW39" s="42"/>
      <c r="YX39" s="42"/>
      <c r="YY39" s="42"/>
      <c r="YZ39" s="42"/>
      <c r="ZA39" s="42"/>
      <c r="ZB39" s="42"/>
      <c r="ZC39" s="42"/>
      <c r="ZD39" s="42"/>
      <c r="ZE39" s="42"/>
      <c r="ZF39" s="42"/>
      <c r="ZG39" s="42"/>
      <c r="ZH39" s="42"/>
      <c r="ZI39" s="42"/>
      <c r="ZJ39" s="42"/>
      <c r="ZK39" s="42"/>
      <c r="ZL39" s="42"/>
      <c r="ZM39" s="42"/>
      <c r="ZN39" s="42"/>
      <c r="ZO39" s="42"/>
      <c r="ZP39" s="42"/>
      <c r="ZQ39" s="42"/>
      <c r="ZR39" s="42"/>
      <c r="ZS39" s="42"/>
      <c r="ZT39" s="42"/>
      <c r="ZU39" s="42"/>
      <c r="ZV39" s="42"/>
      <c r="ZW39" s="42"/>
      <c r="ZX39" s="42"/>
      <c r="ZY39" s="42"/>
      <c r="ZZ39" s="42"/>
      <c r="AAA39" s="42"/>
      <c r="AAB39" s="42"/>
      <c r="AAC39" s="42"/>
      <c r="AAD39" s="42"/>
      <c r="AAE39" s="42"/>
      <c r="AAF39" s="42"/>
      <c r="AAG39" s="42"/>
      <c r="AAH39" s="42"/>
      <c r="AAI39" s="42"/>
      <c r="AAJ39" s="42"/>
      <c r="AAK39" s="42"/>
      <c r="AAL39" s="42"/>
      <c r="AAM39" s="42"/>
      <c r="AAN39" s="42"/>
      <c r="AAO39" s="42"/>
      <c r="AAP39" s="42"/>
      <c r="AAQ39" s="42"/>
      <c r="AAR39" s="42"/>
      <c r="AAS39" s="42"/>
      <c r="AAT39" s="42"/>
      <c r="AAU39" s="42"/>
      <c r="AAV39" s="42"/>
      <c r="AAW39" s="42"/>
      <c r="AAX39" s="42"/>
      <c r="AAY39" s="42"/>
      <c r="AAZ39" s="42"/>
      <c r="ABA39" s="42"/>
      <c r="ABB39" s="42"/>
      <c r="ABC39" s="42"/>
      <c r="ABD39" s="42"/>
      <c r="ABE39" s="42"/>
      <c r="ABF39" s="42"/>
      <c r="ABG39" s="42"/>
      <c r="ABH39" s="42"/>
      <c r="ABI39" s="42"/>
      <c r="ABJ39" s="42"/>
      <c r="ABK39" s="42"/>
      <c r="ABL39" s="42"/>
      <c r="ABM39" s="42"/>
      <c r="ABN39" s="42"/>
      <c r="ABO39" s="42"/>
      <c r="ABP39" s="42"/>
      <c r="ABQ39" s="42"/>
      <c r="ABR39" s="42"/>
      <c r="ABS39" s="42"/>
      <c r="ABT39" s="42"/>
      <c r="ABU39" s="42"/>
      <c r="ABV39" s="42"/>
      <c r="ABW39" s="42"/>
      <c r="ABX39" s="42"/>
      <c r="ABY39" s="42"/>
      <c r="ABZ39" s="42"/>
      <c r="ACA39" s="42"/>
      <c r="ACB39" s="42"/>
      <c r="ACC39" s="42"/>
      <c r="ACD39" s="42"/>
      <c r="ACE39" s="42"/>
      <c r="ACF39" s="42"/>
      <c r="ACG39" s="42"/>
      <c r="ACH39" s="42"/>
      <c r="ACI39" s="42"/>
      <c r="ACJ39" s="42"/>
      <c r="ACK39" s="42"/>
      <c r="ACL39" s="42"/>
      <c r="ACM39" s="42"/>
      <c r="ACN39" s="42"/>
      <c r="ACO39" s="42"/>
      <c r="ACP39" s="42"/>
      <c r="ACQ39" s="42"/>
      <c r="ACR39" s="42"/>
      <c r="ACS39" s="42"/>
      <c r="ACT39" s="42"/>
      <c r="ACU39" s="42"/>
      <c r="ACV39" s="42"/>
      <c r="ACW39" s="42"/>
      <c r="ACX39" s="42"/>
      <c r="ACY39" s="42"/>
      <c r="ACZ39" s="42"/>
      <c r="ADA39" s="42"/>
      <c r="ADB39" s="42"/>
      <c r="ADC39" s="42"/>
      <c r="ADD39" s="42"/>
      <c r="ADE39" s="42"/>
      <c r="ADF39" s="42"/>
      <c r="ADG39" s="42"/>
      <c r="ADH39" s="42"/>
      <c r="ADI39" s="42"/>
      <c r="ADJ39" s="42"/>
      <c r="ADK39" s="42"/>
      <c r="ADL39" s="42"/>
      <c r="ADM39" s="42"/>
      <c r="ADN39" s="42"/>
      <c r="ADO39" s="42"/>
      <c r="ADP39" s="42"/>
      <c r="ADQ39" s="42"/>
      <c r="ADR39" s="42"/>
      <c r="ADS39" s="42"/>
      <c r="ADT39" s="42"/>
      <c r="ADU39" s="42"/>
      <c r="ADV39" s="42"/>
      <c r="ADW39" s="42"/>
      <c r="ADX39" s="42"/>
      <c r="ADY39" s="42"/>
      <c r="ADZ39" s="42"/>
      <c r="AEA39" s="42"/>
      <c r="AEB39" s="42"/>
      <c r="AEC39" s="42"/>
      <c r="AED39" s="42"/>
      <c r="AEE39" s="42"/>
      <c r="AEF39" s="42"/>
      <c r="AEG39" s="42"/>
      <c r="AEH39" s="42"/>
      <c r="AEI39" s="42"/>
      <c r="AEJ39" s="42"/>
      <c r="AEK39" s="42"/>
      <c r="AEL39" s="42"/>
      <c r="AEM39" s="42"/>
      <c r="AEN39" s="42"/>
      <c r="AEO39" s="42"/>
      <c r="AEP39" s="42"/>
      <c r="AEQ39" s="42"/>
      <c r="AER39" s="42"/>
      <c r="AES39" s="42"/>
      <c r="AET39" s="42"/>
      <c r="AEU39" s="42"/>
      <c r="AEV39" s="42"/>
      <c r="AEW39" s="42"/>
      <c r="AEX39" s="42"/>
      <c r="AEY39" s="42"/>
      <c r="AEZ39" s="42"/>
      <c r="AFA39" s="42"/>
      <c r="AFB39" s="42"/>
      <c r="AFC39" s="42"/>
      <c r="AFD39" s="42"/>
      <c r="AFE39" s="42"/>
      <c r="AFF39" s="42"/>
      <c r="AFG39" s="42"/>
      <c r="AFH39" s="42"/>
      <c r="AFI39" s="42"/>
      <c r="AFJ39" s="42"/>
      <c r="AFK39" s="42"/>
      <c r="AFL39" s="42"/>
      <c r="AFM39" s="42"/>
      <c r="AFN39" s="42"/>
      <c r="AFO39" s="42"/>
      <c r="AFP39" s="42"/>
      <c r="AFQ39" s="42"/>
      <c r="AFR39" s="42"/>
      <c r="AFS39" s="42"/>
      <c r="AFT39" s="42"/>
      <c r="AFU39" s="42"/>
      <c r="AFV39" s="42"/>
      <c r="AFW39" s="42"/>
      <c r="AFX39" s="42"/>
      <c r="AFY39" s="42"/>
      <c r="AFZ39" s="42"/>
      <c r="AGA39" s="42"/>
      <c r="AGB39" s="42"/>
      <c r="AGC39" s="42"/>
      <c r="AGD39" s="42"/>
      <c r="AGE39" s="42"/>
      <c r="AGF39" s="42"/>
      <c r="AGG39" s="42"/>
      <c r="AGH39" s="42"/>
      <c r="AGI39" s="42"/>
      <c r="AGJ39" s="42"/>
      <c r="AGK39" s="42"/>
      <c r="AGL39" s="42"/>
      <c r="AGM39" s="42"/>
      <c r="AGN39" s="42"/>
      <c r="AGO39" s="42"/>
      <c r="AGP39" s="42"/>
      <c r="AGQ39" s="42"/>
      <c r="AGR39" s="42"/>
      <c r="AGS39" s="42"/>
      <c r="AGT39" s="42"/>
      <c r="AGU39" s="42"/>
      <c r="AGV39" s="42"/>
      <c r="AGW39" s="42"/>
      <c r="AGX39" s="42"/>
      <c r="AGY39" s="42"/>
      <c r="AGZ39" s="42"/>
      <c r="AHA39" s="42"/>
      <c r="AHB39" s="42"/>
      <c r="AHC39" s="42"/>
      <c r="AHD39" s="42"/>
      <c r="AHE39" s="42"/>
      <c r="AHF39" s="42"/>
      <c r="AHG39" s="42"/>
      <c r="AHH39" s="42"/>
      <c r="AHI39" s="42"/>
      <c r="AHJ39" s="42"/>
      <c r="AHK39" s="42"/>
      <c r="AHL39" s="42"/>
      <c r="AHM39" s="42"/>
      <c r="AHN39" s="42"/>
      <c r="AHO39" s="42"/>
      <c r="AHP39" s="42"/>
      <c r="AHQ39" s="42"/>
      <c r="AHR39" s="42"/>
      <c r="AHS39" s="42"/>
      <c r="AHT39" s="42"/>
      <c r="AHU39" s="42"/>
      <c r="AHV39" s="42"/>
      <c r="AHW39" s="42"/>
      <c r="AHX39" s="42"/>
      <c r="AHY39" s="42"/>
      <c r="AHZ39" s="42"/>
      <c r="AIA39" s="42"/>
      <c r="AIB39" s="42"/>
      <c r="AIC39" s="42"/>
      <c r="AID39" s="42"/>
      <c r="AIE39" s="42"/>
      <c r="AIF39" s="42"/>
      <c r="AIG39" s="42"/>
      <c r="AIH39" s="42"/>
      <c r="AII39" s="42"/>
      <c r="AIJ39" s="42"/>
      <c r="AIK39" s="42"/>
      <c r="AIL39" s="42"/>
      <c r="AIM39" s="42"/>
      <c r="AIN39" s="42"/>
      <c r="AIO39" s="42"/>
      <c r="AIP39" s="42"/>
      <c r="AIQ39" s="42"/>
      <c r="AIR39" s="42"/>
      <c r="AIS39" s="42"/>
      <c r="AIT39" s="42"/>
      <c r="AIU39" s="42"/>
      <c r="AIV39" s="42"/>
      <c r="AIW39" s="42"/>
      <c r="AIX39" s="42"/>
      <c r="AIY39" s="42"/>
      <c r="AIZ39" s="42"/>
      <c r="AJA39" s="42"/>
      <c r="AJB39" s="42"/>
      <c r="AJC39" s="42"/>
      <c r="AJD39" s="42"/>
      <c r="AJE39" s="42"/>
      <c r="AJF39" s="42"/>
      <c r="AJG39" s="42"/>
      <c r="AJH39" s="42"/>
      <c r="AJI39" s="42"/>
      <c r="AJJ39" s="42"/>
      <c r="AJK39" s="42"/>
      <c r="AJL39" s="42"/>
      <c r="AJM39" s="42"/>
      <c r="AJN39" s="42"/>
      <c r="AJO39" s="42"/>
      <c r="AJP39" s="42"/>
      <c r="AJQ39" s="42"/>
      <c r="AJR39" s="42"/>
      <c r="AJS39" s="42"/>
      <c r="AJT39" s="42"/>
      <c r="AJU39" s="42"/>
      <c r="AJV39" s="42"/>
      <c r="AJW39" s="42"/>
      <c r="AJX39" s="42"/>
      <c r="AJY39" s="42"/>
      <c r="AJZ39" s="42"/>
      <c r="AKA39" s="42"/>
      <c r="AKB39" s="42"/>
      <c r="AKC39" s="42"/>
      <c r="AKD39" s="42"/>
      <c r="AKE39" s="42"/>
      <c r="AKF39" s="42"/>
      <c r="AKG39" s="42"/>
      <c r="AKH39" s="42"/>
      <c r="AKI39" s="42"/>
      <c r="AKJ39" s="42"/>
      <c r="AKK39" s="42"/>
      <c r="AKL39" s="42"/>
      <c r="AKM39" s="42"/>
      <c r="AKN39" s="42"/>
      <c r="AKO39" s="42"/>
      <c r="AKP39" s="42"/>
      <c r="AKQ39" s="42"/>
      <c r="AKR39" s="42"/>
      <c r="AKS39" s="42"/>
      <c r="AKT39" s="42"/>
      <c r="AKU39" s="42"/>
      <c r="AKV39" s="42"/>
      <c r="AKW39" s="42"/>
      <c r="AKX39" s="42"/>
      <c r="AKY39" s="42"/>
      <c r="AKZ39" s="42"/>
      <c r="ALA39" s="42"/>
      <c r="ALB39" s="42"/>
      <c r="ALC39" s="42"/>
      <c r="ALD39" s="42"/>
      <c r="ALE39" s="42"/>
      <c r="ALF39" s="42"/>
      <c r="ALG39" s="42"/>
      <c r="ALH39" s="42"/>
      <c r="ALI39" s="42"/>
      <c r="ALJ39" s="42"/>
      <c r="ALK39" s="42"/>
      <c r="ALL39" s="42"/>
      <c r="ALM39" s="42"/>
      <c r="ALN39" s="42"/>
      <c r="ALO39" s="42"/>
      <c r="ALP39" s="42"/>
      <c r="ALQ39" s="42"/>
      <c r="ALR39" s="42"/>
      <c r="ALS39" s="42"/>
      <c r="ALT39" s="42"/>
      <c r="ALU39" s="42"/>
      <c r="ALV39" s="42"/>
      <c r="ALW39" s="42"/>
      <c r="ALX39" s="42"/>
      <c r="ALY39" s="42"/>
      <c r="ALZ39" s="42"/>
      <c r="AMA39" s="42"/>
      <c r="AMB39" s="42"/>
      <c r="AMC39" s="42"/>
      <c r="AMD39" s="42"/>
      <c r="AME39" s="42"/>
      <c r="AMF39" s="42"/>
      <c r="AMG39" s="42"/>
      <c r="AMH39" s="42"/>
      <c r="AMI39" s="42"/>
      <c r="AMJ39" s="42"/>
      <c r="AMK39" s="42"/>
      <c r="AML39" s="42"/>
      <c r="AMM39" s="42"/>
      <c r="AMN39" s="42"/>
      <c r="AMO39" s="42"/>
      <c r="AMP39" s="42"/>
      <c r="AMQ39" s="42"/>
      <c r="AMR39" s="42"/>
      <c r="AMS39" s="42"/>
      <c r="AMT39" s="42"/>
      <c r="AMU39" s="42"/>
      <c r="AMV39" s="42"/>
      <c r="AMW39" s="42"/>
      <c r="AMX39" s="42"/>
      <c r="AMY39" s="42"/>
      <c r="AMZ39" s="42"/>
      <c r="ANA39" s="42"/>
      <c r="ANB39" s="42"/>
      <c r="ANC39" s="42"/>
      <c r="AND39" s="42"/>
      <c r="ANE39" s="42"/>
      <c r="ANF39" s="42"/>
      <c r="ANG39" s="42"/>
      <c r="ANH39" s="42"/>
      <c r="ANI39" s="42"/>
      <c r="ANJ39" s="42"/>
      <c r="ANK39" s="42"/>
      <c r="ANL39" s="42"/>
      <c r="ANM39" s="42"/>
      <c r="ANN39" s="42"/>
      <c r="ANO39" s="42"/>
      <c r="ANP39" s="42"/>
      <c r="ANQ39" s="42"/>
      <c r="ANR39" s="42"/>
      <c r="ANS39" s="42"/>
      <c r="ANT39" s="42"/>
      <c r="ANU39" s="42"/>
      <c r="ANV39" s="42"/>
      <c r="ANW39" s="42"/>
      <c r="ANX39" s="42"/>
      <c r="ANY39" s="42"/>
      <c r="ANZ39" s="42"/>
      <c r="AOA39" s="42"/>
      <c r="AOB39" s="42"/>
      <c r="AOC39" s="42"/>
      <c r="AOD39" s="42"/>
      <c r="AOE39" s="42"/>
      <c r="AOF39" s="42"/>
      <c r="AOG39" s="42"/>
      <c r="AOH39" s="42"/>
      <c r="AOI39" s="42"/>
      <c r="AOJ39" s="42"/>
      <c r="AOK39" s="42"/>
      <c r="AOL39" s="42"/>
      <c r="AOM39" s="42"/>
      <c r="AON39" s="42"/>
      <c r="AOO39" s="42"/>
      <c r="AOP39" s="42"/>
      <c r="AOQ39" s="42"/>
      <c r="AOR39" s="42"/>
      <c r="AOS39" s="42"/>
      <c r="AOT39" s="42"/>
      <c r="AOU39" s="42"/>
      <c r="AOV39" s="42"/>
      <c r="AOW39" s="42"/>
      <c r="AOX39" s="42"/>
      <c r="AOY39" s="42"/>
      <c r="AOZ39" s="42"/>
      <c r="APA39" s="42"/>
      <c r="APB39" s="42"/>
      <c r="APC39" s="42"/>
      <c r="APD39" s="42"/>
      <c r="APE39" s="42"/>
      <c r="APF39" s="42"/>
      <c r="APG39" s="42"/>
      <c r="APH39" s="42"/>
      <c r="API39" s="42"/>
      <c r="APJ39" s="42"/>
      <c r="APK39" s="42"/>
      <c r="APL39" s="42"/>
      <c r="APM39" s="42"/>
      <c r="APN39" s="42"/>
      <c r="APO39" s="42"/>
      <c r="APP39" s="42"/>
      <c r="APQ39" s="42"/>
      <c r="APR39" s="42"/>
      <c r="APS39" s="42"/>
      <c r="APT39" s="42"/>
      <c r="APU39" s="42"/>
      <c r="APV39" s="42"/>
      <c r="APW39" s="42"/>
      <c r="APX39" s="42"/>
      <c r="APY39" s="42"/>
      <c r="APZ39" s="42"/>
      <c r="AQA39" s="42"/>
      <c r="AQB39" s="42"/>
      <c r="AQC39" s="42"/>
      <c r="AQD39" s="42"/>
      <c r="AQE39" s="42"/>
      <c r="AQF39" s="42"/>
      <c r="AQG39" s="42"/>
      <c r="AQH39" s="42"/>
      <c r="AQI39" s="42"/>
      <c r="AQJ39" s="42"/>
      <c r="AQK39" s="42"/>
      <c r="AQL39" s="42"/>
      <c r="AQM39" s="42"/>
      <c r="AQN39" s="42"/>
      <c r="AQO39" s="42"/>
      <c r="AQP39" s="42"/>
      <c r="AQQ39" s="42"/>
      <c r="AQR39" s="42"/>
      <c r="AQS39" s="42"/>
      <c r="AQT39" s="42"/>
      <c r="AQU39" s="42"/>
      <c r="AQV39" s="42"/>
      <c r="AQW39" s="42"/>
      <c r="AQX39" s="42"/>
      <c r="AQY39" s="42"/>
      <c r="AQZ39" s="42"/>
      <c r="ARA39" s="42"/>
      <c r="ARB39" s="42"/>
      <c r="ARC39" s="42"/>
      <c r="ARD39" s="42"/>
      <c r="ARE39" s="42"/>
      <c r="ARF39" s="42"/>
      <c r="ARG39" s="42"/>
      <c r="ARH39" s="42"/>
      <c r="ARI39" s="42"/>
      <c r="ARJ39" s="42"/>
      <c r="ARK39" s="42"/>
      <c r="ARL39" s="42"/>
      <c r="ARM39" s="42"/>
      <c r="ARN39" s="42"/>
      <c r="ARO39" s="42"/>
      <c r="ARP39" s="42"/>
      <c r="ARQ39" s="42"/>
      <c r="ARR39" s="42"/>
      <c r="ARS39" s="42"/>
      <c r="ART39" s="42"/>
      <c r="ARU39" s="42"/>
      <c r="ARV39" s="42"/>
      <c r="ARW39" s="42"/>
      <c r="ARX39" s="42"/>
      <c r="ARY39" s="42"/>
      <c r="ARZ39" s="42"/>
      <c r="ASA39" s="42"/>
      <c r="ASB39" s="42"/>
      <c r="ASC39" s="42"/>
      <c r="ASD39" s="42"/>
      <c r="ASE39" s="42"/>
      <c r="ASF39" s="42"/>
      <c r="ASG39" s="42"/>
      <c r="ASH39" s="42"/>
      <c r="ASI39" s="42"/>
      <c r="ASJ39" s="42"/>
      <c r="ASK39" s="42"/>
      <c r="ASL39" s="42"/>
      <c r="ASM39" s="42"/>
      <c r="ASN39" s="42"/>
      <c r="ASO39" s="42"/>
      <c r="ASP39" s="42"/>
      <c r="ASQ39" s="42"/>
      <c r="ASR39" s="42"/>
      <c r="ASS39" s="42"/>
      <c r="AST39" s="42"/>
      <c r="ASU39" s="42"/>
      <c r="ASV39" s="42"/>
      <c r="ASW39" s="42"/>
      <c r="ASX39" s="42"/>
      <c r="ASY39" s="42"/>
      <c r="ASZ39" s="42"/>
      <c r="ATA39" s="42"/>
      <c r="ATB39" s="42"/>
      <c r="ATC39" s="42"/>
      <c r="ATD39" s="42"/>
      <c r="ATE39" s="42"/>
      <c r="ATF39" s="42"/>
      <c r="ATG39" s="42"/>
      <c r="ATH39" s="42"/>
      <c r="ATI39" s="42"/>
      <c r="ATJ39" s="42"/>
      <c r="ATK39" s="42"/>
      <c r="ATL39" s="42"/>
      <c r="ATM39" s="42"/>
      <c r="ATN39" s="42"/>
      <c r="ATO39" s="42"/>
      <c r="ATP39" s="42"/>
      <c r="ATQ39" s="42"/>
      <c r="ATR39" s="42"/>
      <c r="ATS39" s="42"/>
      <c r="ATT39" s="42"/>
      <c r="ATU39" s="42"/>
      <c r="ATV39" s="42"/>
      <c r="ATW39" s="42"/>
      <c r="ATX39" s="42"/>
      <c r="ATY39" s="42"/>
      <c r="ATZ39" s="42"/>
      <c r="AUA39" s="42"/>
      <c r="AUB39" s="42"/>
      <c r="AUC39" s="42"/>
      <c r="AUD39" s="42"/>
      <c r="AUE39" s="42"/>
      <c r="AUF39" s="42"/>
      <c r="AUG39" s="42"/>
      <c r="AUH39" s="42"/>
      <c r="AUI39" s="42"/>
      <c r="AUJ39" s="42"/>
      <c r="AUK39" s="42"/>
      <c r="AUL39" s="42"/>
      <c r="AUM39" s="42"/>
      <c r="AUN39" s="42"/>
      <c r="AUO39" s="42"/>
      <c r="AUP39" s="42"/>
      <c r="AUQ39" s="42"/>
      <c r="AUR39" s="42"/>
      <c r="AUS39" s="42"/>
      <c r="AUT39" s="42"/>
      <c r="AUU39" s="42"/>
      <c r="AUV39" s="42"/>
      <c r="AUW39" s="42"/>
      <c r="AUX39" s="42"/>
      <c r="AUY39" s="42"/>
      <c r="AUZ39" s="42"/>
      <c r="AVA39" s="42"/>
      <c r="AVB39" s="42"/>
      <c r="AVC39" s="42"/>
      <c r="AVD39" s="42"/>
      <c r="AVE39" s="42"/>
      <c r="AVF39" s="42"/>
      <c r="AVG39" s="42"/>
      <c r="AVH39" s="42"/>
      <c r="AVI39" s="42"/>
      <c r="AVJ39" s="42"/>
      <c r="AVK39" s="42"/>
      <c r="AVL39" s="42"/>
      <c r="AVM39" s="42"/>
      <c r="AVN39" s="42"/>
      <c r="AVO39" s="42"/>
      <c r="AVP39" s="42"/>
      <c r="AVQ39" s="42"/>
      <c r="AVR39" s="42"/>
      <c r="AVS39" s="42"/>
      <c r="AVT39" s="42"/>
      <c r="AVU39" s="42"/>
      <c r="AVV39" s="42"/>
      <c r="AVW39" s="42"/>
      <c r="AVX39" s="42"/>
      <c r="AVY39" s="42"/>
      <c r="AVZ39" s="42"/>
      <c r="AWA39" s="42"/>
      <c r="AWB39" s="42"/>
      <c r="AWC39" s="42"/>
      <c r="AWD39" s="42"/>
      <c r="AWE39" s="42"/>
      <c r="AWF39" s="42"/>
      <c r="AWG39" s="42"/>
      <c r="AWH39" s="42"/>
      <c r="AWI39" s="42"/>
      <c r="AWJ39" s="42"/>
      <c r="AWK39" s="42"/>
      <c r="AWL39" s="42"/>
      <c r="AWM39" s="42"/>
      <c r="AWN39" s="42"/>
      <c r="AWO39" s="42"/>
      <c r="AWP39" s="42"/>
      <c r="AWQ39" s="42"/>
      <c r="AWR39" s="42"/>
      <c r="AWS39" s="42"/>
      <c r="AWT39" s="42"/>
      <c r="AWU39" s="42"/>
      <c r="AWV39" s="42"/>
      <c r="AWW39" s="42"/>
      <c r="AWX39" s="42"/>
      <c r="AWY39" s="42"/>
      <c r="AWZ39" s="42"/>
      <c r="AXA39" s="42"/>
      <c r="AXB39" s="42"/>
      <c r="AXC39" s="42"/>
      <c r="AXD39" s="42"/>
      <c r="AXE39" s="42"/>
      <c r="AXF39" s="42"/>
      <c r="AXG39" s="42"/>
      <c r="AXH39" s="42"/>
      <c r="AXI39" s="42"/>
      <c r="AXJ39" s="42"/>
      <c r="AXK39" s="42"/>
      <c r="AXL39" s="42"/>
      <c r="AXM39" s="42"/>
      <c r="AXN39" s="42"/>
      <c r="AXO39" s="42"/>
      <c r="AXP39" s="42"/>
      <c r="AXQ39" s="42"/>
      <c r="AXR39" s="42"/>
      <c r="AXS39" s="42"/>
      <c r="AXT39" s="42"/>
      <c r="AXU39" s="42"/>
      <c r="AXV39" s="42"/>
      <c r="AXW39" s="42"/>
      <c r="AXX39" s="42"/>
      <c r="AXY39" s="42"/>
      <c r="AXZ39" s="42"/>
      <c r="AYA39" s="42"/>
      <c r="AYB39" s="42"/>
      <c r="AYC39" s="42"/>
      <c r="AYD39" s="42"/>
      <c r="AYE39" s="42"/>
      <c r="AYF39" s="42"/>
      <c r="AYG39" s="42"/>
      <c r="AYH39" s="42"/>
      <c r="AYI39" s="42"/>
      <c r="AYJ39" s="42"/>
      <c r="AYK39" s="42"/>
      <c r="AYL39" s="42"/>
      <c r="AYM39" s="42"/>
      <c r="AYN39" s="42"/>
      <c r="AYO39" s="42"/>
      <c r="AYP39" s="42"/>
      <c r="AYQ39" s="42"/>
      <c r="AYR39" s="42"/>
      <c r="AYS39" s="42"/>
      <c r="AYT39" s="42"/>
      <c r="AYU39" s="42"/>
      <c r="AYV39" s="42"/>
      <c r="AYW39" s="42"/>
      <c r="AYX39" s="42"/>
      <c r="AYY39" s="42"/>
      <c r="AYZ39" s="42"/>
      <c r="AZA39" s="42"/>
      <c r="AZB39" s="42"/>
      <c r="AZC39" s="42"/>
      <c r="AZD39" s="42"/>
      <c r="AZE39" s="42"/>
      <c r="AZF39" s="42"/>
      <c r="AZG39" s="42"/>
      <c r="AZH39" s="42"/>
      <c r="AZI39" s="42"/>
      <c r="AZJ39" s="42"/>
      <c r="AZK39" s="42"/>
      <c r="AZL39" s="42"/>
      <c r="AZM39" s="42"/>
      <c r="AZN39" s="42"/>
      <c r="AZO39" s="42"/>
      <c r="AZP39" s="42"/>
      <c r="AZQ39" s="42"/>
      <c r="AZR39" s="42"/>
      <c r="AZS39" s="42"/>
      <c r="AZT39" s="42"/>
      <c r="AZU39" s="42"/>
      <c r="AZV39" s="42"/>
      <c r="AZW39" s="42"/>
      <c r="AZX39" s="42"/>
      <c r="AZY39" s="42"/>
      <c r="AZZ39" s="42"/>
      <c r="BAA39" s="42"/>
      <c r="BAB39" s="42"/>
      <c r="BAC39" s="42"/>
      <c r="BAD39" s="42"/>
      <c r="BAE39" s="42"/>
      <c r="BAF39" s="42"/>
      <c r="BAG39" s="42"/>
      <c r="BAH39" s="42"/>
      <c r="BAI39" s="42"/>
      <c r="BAJ39" s="42"/>
      <c r="BAK39" s="42"/>
      <c r="BAL39" s="42"/>
      <c r="BAM39" s="42"/>
      <c r="BAN39" s="42"/>
      <c r="BAO39" s="42"/>
      <c r="BAP39" s="42"/>
      <c r="BAQ39" s="42"/>
      <c r="BAR39" s="42"/>
      <c r="BAS39" s="42"/>
      <c r="BAT39" s="42"/>
      <c r="BAU39" s="42"/>
      <c r="BAV39" s="42"/>
      <c r="BAW39" s="42"/>
      <c r="BAX39" s="42"/>
      <c r="BAY39" s="42"/>
      <c r="BAZ39" s="42"/>
      <c r="BBA39" s="42"/>
      <c r="BBB39" s="42"/>
      <c r="BBC39" s="42"/>
      <c r="BBD39" s="42"/>
      <c r="BBE39" s="42"/>
    </row>
    <row r="40" spans="1:1409" s="8" customFormat="1" x14ac:dyDescent="0.35">
      <c r="A40" s="39" t="s">
        <v>59</v>
      </c>
      <c r="B40" s="11">
        <v>8.64</v>
      </c>
      <c r="C40" s="11">
        <f>SUM(B40/C1)</f>
        <v>9.0947368421052648</v>
      </c>
      <c r="D40" s="11">
        <f>SUM(B40/D1)</f>
        <v>9.6</v>
      </c>
      <c r="E40" s="11">
        <f>SUM(B40/E1)</f>
        <v>10.164705882352942</v>
      </c>
      <c r="F40" s="11">
        <f>SUM(B40/F1)</f>
        <v>10.8</v>
      </c>
      <c r="G40" s="11">
        <f>SUM(C40/G1)</f>
        <v>12.126315789473686</v>
      </c>
      <c r="H40" s="11">
        <f>SUM(B40/H1)</f>
        <v>12.342857142857145</v>
      </c>
      <c r="I40" s="11">
        <f>SUM(B40/I1)</f>
        <v>13.292307692307693</v>
      </c>
      <c r="J40" s="11">
        <f>SUM(B40/J1)</f>
        <v>14.400000000000002</v>
      </c>
      <c r="K40" s="11">
        <f>SUM(B40/K1)</f>
        <v>15.709090909090909</v>
      </c>
      <c r="L40" s="40">
        <f>SUM(B40/L1)</f>
        <v>17.28</v>
      </c>
      <c r="M40" s="11">
        <f>SUM(B40/M1)</f>
        <v>19.2</v>
      </c>
      <c r="N40" s="11">
        <f>SUM(B40/N1)</f>
        <v>21.6</v>
      </c>
      <c r="O40" s="11">
        <f>SUM(B40/O1)</f>
        <v>24.68571428571429</v>
      </c>
      <c r="P40" s="11">
        <f>SUM(B40/P1)</f>
        <v>28.800000000000004</v>
      </c>
      <c r="Q40" s="11">
        <f>SUM(B40/Q1)</f>
        <v>34.56</v>
      </c>
      <c r="R40" s="40">
        <f>SUM(B40/R1)</f>
        <v>43.2</v>
      </c>
      <c r="S40" s="11">
        <f>SUM(B40/S1)</f>
        <v>57.600000000000009</v>
      </c>
      <c r="T40" s="11">
        <f>SUM(B40/T1)</f>
        <v>86.4</v>
      </c>
      <c r="U40" s="11">
        <f>SUM(B40/U1)</f>
        <v>172.8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</row>
    <row r="41" spans="1:1409" s="8" customFormat="1" x14ac:dyDescent="0.35">
      <c r="A41" s="39" t="s">
        <v>60</v>
      </c>
      <c r="B41" s="11">
        <v>7.91</v>
      </c>
      <c r="C41" s="11">
        <f>SUM(B41/C1)</f>
        <v>8.3263157894736839</v>
      </c>
      <c r="D41" s="11">
        <f>SUM(B41/D1)</f>
        <v>8.7888888888888896</v>
      </c>
      <c r="E41" s="11">
        <f>SUM(B41/E1)</f>
        <v>9.3058823529411772</v>
      </c>
      <c r="F41" s="11">
        <f>SUM(B41/F1)</f>
        <v>9.8874999999999993</v>
      </c>
      <c r="G41" s="11">
        <f>SUM(B41/G1)</f>
        <v>10.546666666666667</v>
      </c>
      <c r="H41" s="11">
        <f>SUM(B41/H1)</f>
        <v>11.3</v>
      </c>
      <c r="I41" s="11">
        <f>SUM(B41/I1)</f>
        <v>12.169230769230769</v>
      </c>
      <c r="J41" s="11">
        <f>SUM(B41/J1)</f>
        <v>13.183333333333334</v>
      </c>
      <c r="K41" s="11">
        <f>SUM(B41/K1)</f>
        <v>14.381818181818181</v>
      </c>
      <c r="L41" s="40">
        <f>SUM(B41/L1)</f>
        <v>15.82</v>
      </c>
      <c r="M41" s="11">
        <f>SUM(B41/M1)</f>
        <v>17.577777777777779</v>
      </c>
      <c r="N41" s="11">
        <f>SUM(B41/N1)</f>
        <v>19.774999999999999</v>
      </c>
      <c r="O41" s="11">
        <f>SUM(B41/O1)</f>
        <v>22.6</v>
      </c>
      <c r="P41" s="11">
        <f>SUM(B41/P1)</f>
        <v>26.366666666666667</v>
      </c>
      <c r="Q41" s="11">
        <f>SUM(B41/Q1)</f>
        <v>31.64</v>
      </c>
      <c r="R41" s="40">
        <f>SUM(B41/R1)</f>
        <v>39.549999999999997</v>
      </c>
      <c r="S41" s="11">
        <f>SUM(B41/S1)</f>
        <v>52.733333333333334</v>
      </c>
      <c r="T41" s="11">
        <f>SUM(B41/T1)</f>
        <v>79.099999999999994</v>
      </c>
      <c r="U41" s="11">
        <f>SUM(B41/U1)</f>
        <v>158.19999999999999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</row>
    <row r="42" spans="1:1409" s="8" customFormat="1" x14ac:dyDescent="0.35">
      <c r="A42" s="39" t="s">
        <v>61</v>
      </c>
      <c r="B42" s="11">
        <v>5.76</v>
      </c>
      <c r="C42" s="11">
        <f>SUM(B42/C1)</f>
        <v>6.0631578947368423</v>
      </c>
      <c r="D42" s="11">
        <f>SUM(B42/D1)</f>
        <v>6.3999999999999995</v>
      </c>
      <c r="E42" s="11">
        <f>SUM(B42/E1)</f>
        <v>6.776470588235294</v>
      </c>
      <c r="F42" s="11">
        <f>SUM(B42/F1)</f>
        <v>7.1999999999999993</v>
      </c>
      <c r="G42" s="11">
        <f>SUM(B42/G1)</f>
        <v>7.68</v>
      </c>
      <c r="H42" s="11">
        <f>SUM(B42/H1)</f>
        <v>8.2285714285714295</v>
      </c>
      <c r="I42" s="11">
        <f>SUM(B42/I1)</f>
        <v>8.8615384615384603</v>
      </c>
      <c r="J42" s="11">
        <f>SUM(B42/J1)</f>
        <v>9.6</v>
      </c>
      <c r="K42" s="11">
        <f>SUM(B42/K1)</f>
        <v>10.472727272727271</v>
      </c>
      <c r="L42" s="40">
        <f>SUM(B42/L1)</f>
        <v>11.52</v>
      </c>
      <c r="M42" s="11">
        <f>SUM(B42/M1)</f>
        <v>12.799999999999999</v>
      </c>
      <c r="N42" s="11">
        <f>SUM(B42/N1)</f>
        <v>14.399999999999999</v>
      </c>
      <c r="O42" s="11">
        <f>SUM(B42/O1)</f>
        <v>16.457142857142859</v>
      </c>
      <c r="P42" s="11">
        <f>SUM(B42/P1)</f>
        <v>19.2</v>
      </c>
      <c r="Q42" s="11">
        <f>SUM(B42/Q1)</f>
        <v>23.04</v>
      </c>
      <c r="R42" s="40">
        <f>SUM(B42/R1)</f>
        <v>28.799999999999997</v>
      </c>
      <c r="S42" s="11">
        <f>SUM(B42/S1)</f>
        <v>38.4</v>
      </c>
      <c r="T42" s="11">
        <f>SUM(B42/T1)</f>
        <v>57.599999999999994</v>
      </c>
      <c r="U42" s="11">
        <f>SUM(B42/U1)</f>
        <v>115.19999999999999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</row>
    <row r="43" spans="1:1409" s="42" customFormat="1" x14ac:dyDescent="0.35">
      <c r="A43" s="39" t="s">
        <v>62</v>
      </c>
      <c r="B43" s="43">
        <v>7</v>
      </c>
      <c r="C43" s="43">
        <f>SUM(B43/C1)</f>
        <v>7.3684210526315796</v>
      </c>
      <c r="D43" s="43">
        <f>SUM(B43/D1)</f>
        <v>7.7777777777777777</v>
      </c>
      <c r="E43" s="43">
        <f>SUM(B43/E1)</f>
        <v>8.2352941176470598</v>
      </c>
      <c r="F43" s="43">
        <f>SUM(B43/F1)</f>
        <v>8.75</v>
      </c>
      <c r="G43" s="43">
        <f>SUM(B43/G1)</f>
        <v>9.3333333333333339</v>
      </c>
      <c r="H43" s="43">
        <f>SUM(B43/H1)</f>
        <v>10</v>
      </c>
      <c r="I43" s="43">
        <f>SUM(B43/I1)</f>
        <v>10.769230769230768</v>
      </c>
      <c r="J43" s="43">
        <f>SUM(B43/J1)</f>
        <v>11.666666666666668</v>
      </c>
      <c r="K43" s="43">
        <f>SUM(B43/K1)</f>
        <v>12.727272727272727</v>
      </c>
      <c r="L43" s="44">
        <f>SUM(B43/L1)</f>
        <v>14</v>
      </c>
      <c r="M43" s="43">
        <f>SUM(B43/M1)</f>
        <v>15.555555555555555</v>
      </c>
      <c r="N43" s="43">
        <f>SUM(B43/N1)</f>
        <v>17.5</v>
      </c>
      <c r="O43" s="43">
        <f>SUM(B43/O1)</f>
        <v>20</v>
      </c>
      <c r="P43" s="43">
        <f>SUM(B43/P1)</f>
        <v>23.333333333333336</v>
      </c>
      <c r="Q43" s="43">
        <f>SUM(B43/Q1)</f>
        <v>28</v>
      </c>
      <c r="R43" s="44">
        <f>SUM(B43/R1)</f>
        <v>35</v>
      </c>
      <c r="S43" s="43">
        <f>SUM(B43/S1)</f>
        <v>46.666666666666671</v>
      </c>
      <c r="T43" s="43">
        <f>SUM(B43/T1)</f>
        <v>70</v>
      </c>
      <c r="U43" s="45">
        <f>SUM(B43/U1)</f>
        <v>140</v>
      </c>
    </row>
    <row r="44" spans="1:1409" x14ac:dyDescent="0.35">
      <c r="A44" s="1" t="s">
        <v>63</v>
      </c>
      <c r="B44" s="3">
        <v>6.51</v>
      </c>
      <c r="C44" s="3">
        <f>SUM(B44/C1)</f>
        <v>6.8526315789473689</v>
      </c>
      <c r="D44" s="3">
        <f>SUM(B44/D1)</f>
        <v>7.2333333333333325</v>
      </c>
      <c r="E44" s="3">
        <f>SUM(B44/E1)</f>
        <v>7.658823529411765</v>
      </c>
      <c r="F44" s="3">
        <f>SUM(B44/F1)</f>
        <v>8.1374999999999993</v>
      </c>
      <c r="G44" s="3">
        <f>SUM(B44/G1)</f>
        <v>8.68</v>
      </c>
      <c r="H44" s="3">
        <f>SUM(B44/H1)</f>
        <v>9.3000000000000007</v>
      </c>
      <c r="I44" s="3">
        <f>SUM(B44/I1)</f>
        <v>10.015384615384615</v>
      </c>
      <c r="J44" s="3">
        <f>SUM(B44/J1)</f>
        <v>10.85</v>
      </c>
      <c r="K44" s="3">
        <f>SUM(B44/K1)</f>
        <v>11.836363636363634</v>
      </c>
      <c r="L44" s="2">
        <f>SUM(B44/L1)</f>
        <v>13.02</v>
      </c>
      <c r="M44" s="3">
        <f>SUM(B44/M1)</f>
        <v>14.466666666666665</v>
      </c>
      <c r="N44" s="3">
        <f>SUM(B44/N1)</f>
        <v>16.274999999999999</v>
      </c>
      <c r="O44" s="3">
        <f>SUM(B44/O1)</f>
        <v>18.600000000000001</v>
      </c>
      <c r="P44" s="3">
        <f>SUM(B44/P1)</f>
        <v>21.7</v>
      </c>
      <c r="Q44" s="3">
        <f>SUM(B44/Q1)</f>
        <v>26.04</v>
      </c>
      <c r="R44" s="2">
        <f>SUM(B44/R1)</f>
        <v>32.549999999999997</v>
      </c>
      <c r="S44" s="3">
        <f>SUM(B44/S1)</f>
        <v>43.4</v>
      </c>
      <c r="T44" s="3">
        <f>SUM(B44/T1)</f>
        <v>65.099999999999994</v>
      </c>
      <c r="U44" s="3">
        <f>SUM(B44/U1)</f>
        <v>130.19999999999999</v>
      </c>
    </row>
    <row r="45" spans="1:1409" x14ac:dyDescent="0.35">
      <c r="A45" s="39" t="s">
        <v>64</v>
      </c>
      <c r="B45" s="11">
        <v>6</v>
      </c>
      <c r="C45" s="11">
        <f>SUM(B45/C1)</f>
        <v>6.3157894736842106</v>
      </c>
      <c r="D45" s="11">
        <f>SUM(B45/D1)</f>
        <v>6.6666666666666661</v>
      </c>
      <c r="E45" s="11">
        <f>SUM(B45/E1)</f>
        <v>7.0588235294117645</v>
      </c>
      <c r="F45" s="11">
        <f>SUM(B45/F1)</f>
        <v>7.5</v>
      </c>
      <c r="G45" s="11">
        <f>SUM(B45/G1)</f>
        <v>8</v>
      </c>
      <c r="H45" s="11">
        <f>SUM(B45/H1)</f>
        <v>8.5714285714285712</v>
      </c>
      <c r="I45" s="11">
        <f>SUM(B45/I1)</f>
        <v>9.2307692307692299</v>
      </c>
      <c r="J45" s="11">
        <f>SUM(B45/J1)</f>
        <v>10</v>
      </c>
      <c r="K45" s="11">
        <f>SUM(B45/K1)</f>
        <v>10.909090909090908</v>
      </c>
      <c r="L45" s="40">
        <f>SUM(B45/L1)</f>
        <v>12</v>
      </c>
      <c r="M45" s="11">
        <f>SUM(B45/M1)</f>
        <v>13.333333333333332</v>
      </c>
      <c r="N45" s="11">
        <f>SUM(B45/N1)</f>
        <v>15</v>
      </c>
      <c r="O45" s="11">
        <f>SUM(B45/O1)</f>
        <v>17.142857142857142</v>
      </c>
      <c r="P45" s="11">
        <f>SUM(B45/P1)</f>
        <v>20</v>
      </c>
      <c r="Q45" s="11">
        <f>SUM(B45/Q1)</f>
        <v>24</v>
      </c>
      <c r="R45" s="40">
        <f>SUM(B45/R1)</f>
        <v>30</v>
      </c>
      <c r="S45" s="11">
        <f>SUM(B45/S1)</f>
        <v>40</v>
      </c>
      <c r="T45" s="11">
        <f>SUM(B45/T1)</f>
        <v>60</v>
      </c>
      <c r="U45" s="11">
        <f>SUM(B45/U1)</f>
        <v>120</v>
      </c>
    </row>
    <row r="46" spans="1:1409" x14ac:dyDescent="0.35">
      <c r="A46" s="1" t="s">
        <v>65</v>
      </c>
      <c r="B46" s="3">
        <v>6.58</v>
      </c>
      <c r="C46" s="3">
        <f>SUM(B46/C1)</f>
        <v>6.9263157894736844</v>
      </c>
      <c r="D46" s="3">
        <f>SUM(B46/D1)</f>
        <v>7.3111111111111109</v>
      </c>
      <c r="E46" s="3">
        <f>SUM(B46/E1)</f>
        <v>7.7411764705882353</v>
      </c>
      <c r="F46" s="3">
        <f>SUM(B46/F1)</f>
        <v>8.2249999999999996</v>
      </c>
      <c r="G46" s="3">
        <f>SUM(B46/G1)</f>
        <v>8.7733333333333334</v>
      </c>
      <c r="H46" s="3">
        <f>SUM(B46/H1)</f>
        <v>9.4</v>
      </c>
      <c r="I46" s="3">
        <f>SUM(B46/I1)</f>
        <v>10.123076923076923</v>
      </c>
      <c r="J46" s="3">
        <f>SUM(B46/J1)</f>
        <v>10.966666666666667</v>
      </c>
      <c r="K46" s="3">
        <f>SUM(B46/K1)</f>
        <v>11.963636363636363</v>
      </c>
      <c r="L46" s="2">
        <f>SUM(B46/L1)</f>
        <v>13.16</v>
      </c>
      <c r="M46" s="3">
        <f>SUM(B46/M1)</f>
        <v>14.622222222222222</v>
      </c>
      <c r="N46" s="3">
        <f>SUM(B46/N1)</f>
        <v>16.45</v>
      </c>
      <c r="O46" s="3">
        <f>SUM(B46/O1)</f>
        <v>18.8</v>
      </c>
      <c r="P46" s="3">
        <f>SUM(B46/P1)</f>
        <v>21.933333333333334</v>
      </c>
      <c r="Q46" s="3">
        <f>SUM(B46/Q1)</f>
        <v>26.32</v>
      </c>
      <c r="R46" s="2">
        <f>SUM(B46/R1)</f>
        <v>32.9</v>
      </c>
      <c r="S46" s="3">
        <f>SUM(B46/S1)</f>
        <v>43.866666666666667</v>
      </c>
      <c r="T46" s="3">
        <f>SUM(B46/T1)</f>
        <v>65.8</v>
      </c>
      <c r="U46" s="3">
        <f>SUM(B46/U1)</f>
        <v>131.6</v>
      </c>
    </row>
    <row r="47" spans="1:1409" s="12" customFormat="1" x14ac:dyDescent="0.35">
      <c r="A47" s="34" t="s">
        <v>66</v>
      </c>
      <c r="B47" s="35">
        <v>5.8</v>
      </c>
      <c r="C47" s="35">
        <f>SUM(B47/C1)</f>
        <v>6.1052631578947372</v>
      </c>
      <c r="D47" s="35">
        <f>SUM(B47/D1)</f>
        <v>6.4444444444444438</v>
      </c>
      <c r="E47" s="35">
        <f>SUM(B47/E1)</f>
        <v>6.8235294117647056</v>
      </c>
      <c r="F47" s="35">
        <f>SUM(B47/F1)</f>
        <v>7.2499999999999991</v>
      </c>
      <c r="G47" s="35">
        <f>SUM(B47/G1)</f>
        <v>7.7333333333333334</v>
      </c>
      <c r="H47" s="35">
        <f>SUM(B47/H1)</f>
        <v>8.2857142857142865</v>
      </c>
      <c r="I47" s="35">
        <f>SUM(B47/I1)</f>
        <v>8.9230769230769234</v>
      </c>
      <c r="J47" s="35">
        <f>SUM(B47/J1)</f>
        <v>9.6666666666666661</v>
      </c>
      <c r="K47" s="35">
        <f>SUM(B47/K1)</f>
        <v>10.545454545454545</v>
      </c>
      <c r="L47" s="36">
        <f>SUM(B47/L1)</f>
        <v>11.6</v>
      </c>
      <c r="M47" s="35">
        <f>SUM(B47/M1)</f>
        <v>12.888888888888888</v>
      </c>
      <c r="N47" s="35">
        <f>SUM(B47/N1)</f>
        <v>14.499999999999998</v>
      </c>
      <c r="O47" s="35">
        <f>SUM(B47/O1)</f>
        <v>16.571428571428573</v>
      </c>
      <c r="P47" s="35">
        <f>SUM(B47/P1)</f>
        <v>19.333333333333332</v>
      </c>
      <c r="Q47" s="35">
        <f>SUM(B47/Q1)</f>
        <v>23.2</v>
      </c>
      <c r="R47" s="36">
        <f>SUM(B47/R1)</f>
        <v>28.999999999999996</v>
      </c>
      <c r="S47" s="35">
        <f>SUM(B47/S1)</f>
        <v>38.666666666666664</v>
      </c>
      <c r="T47" s="35">
        <f>SUM(B47/T1)</f>
        <v>57.999999999999993</v>
      </c>
      <c r="U47" s="35">
        <f>SUM(B47/U1)</f>
        <v>115.99999999999999</v>
      </c>
      <c r="V47"/>
      <c r="W47"/>
      <c r="X47"/>
      <c r="Y47"/>
    </row>
    <row r="48" spans="1:1409" x14ac:dyDescent="0.35">
      <c r="A48" s="39" t="s">
        <v>67</v>
      </c>
      <c r="B48" s="11">
        <v>6.49</v>
      </c>
      <c r="C48" s="11">
        <f>SUM(B48/C1)</f>
        <v>6.8315789473684214</v>
      </c>
      <c r="D48" s="11">
        <f>SUM(B48/D1)</f>
        <v>7.2111111111111112</v>
      </c>
      <c r="E48" s="11">
        <f>SUM(B48/E1)</f>
        <v>7.6352941176470592</v>
      </c>
      <c r="F48" s="11">
        <f>SUM(B48/F1)</f>
        <v>8.1124999999999989</v>
      </c>
      <c r="G48" s="11">
        <f>SUM(B48/G1)</f>
        <v>8.6533333333333342</v>
      </c>
      <c r="H48" s="11">
        <f>SUM(B48/H1)</f>
        <v>9.2714285714285722</v>
      </c>
      <c r="I48" s="11">
        <f>SUM(B48/I1)</f>
        <v>9.9846153846153847</v>
      </c>
      <c r="J48" s="11">
        <f>SUM(B48/J1)</f>
        <v>10.816666666666668</v>
      </c>
      <c r="K48" s="11">
        <f>SUM(B48/K1)</f>
        <v>11.799999999999999</v>
      </c>
      <c r="L48" s="40">
        <f>SUM(B48/L1)</f>
        <v>12.98</v>
      </c>
      <c r="M48" s="11">
        <f>SUM(B48/M1)</f>
        <v>14.422222222222222</v>
      </c>
      <c r="N48" s="11">
        <f>SUM(B48/N1)</f>
        <v>16.224999999999998</v>
      </c>
      <c r="O48" s="11">
        <f>SUM(B48/O1)</f>
        <v>18.542857142857144</v>
      </c>
      <c r="P48" s="11">
        <f>SUM(B48/P1)</f>
        <v>21.633333333333336</v>
      </c>
      <c r="Q48" s="11">
        <f>SUM(B48/Q1)</f>
        <v>25.96</v>
      </c>
      <c r="R48" s="40">
        <f>SUM(B48/R1)</f>
        <v>32.449999999999996</v>
      </c>
      <c r="S48" s="11">
        <f>SUM(B48/S1)</f>
        <v>43.266666666666673</v>
      </c>
      <c r="T48" s="11">
        <f>SUM(B48/T1)</f>
        <v>64.899999999999991</v>
      </c>
      <c r="U48" s="11">
        <f>SUM(B48/U1)</f>
        <v>129.79999999999998</v>
      </c>
    </row>
    <row r="49" spans="1:24" s="42" customFormat="1" x14ac:dyDescent="0.35">
      <c r="A49" s="39" t="s">
        <v>68</v>
      </c>
      <c r="B49" s="11">
        <v>6.37</v>
      </c>
      <c r="C49" s="11">
        <f>SUM(B49/C1)</f>
        <v>6.7052631578947377</v>
      </c>
      <c r="D49" s="11">
        <f>SUM(B49/D1)</f>
        <v>7.0777777777777775</v>
      </c>
      <c r="E49" s="11">
        <f>SUM(B49/E1)</f>
        <v>7.4941176470588236</v>
      </c>
      <c r="F49" s="11">
        <f>SUM(B49/F1)</f>
        <v>7.9624999999999995</v>
      </c>
      <c r="G49" s="11">
        <f>SUM(B49/G1)</f>
        <v>8.4933333333333341</v>
      </c>
      <c r="H49" s="11">
        <f>SUM(B49/H1)</f>
        <v>9.1000000000000014</v>
      </c>
      <c r="I49" s="11">
        <f>SUM(B49/I1)</f>
        <v>9.8000000000000007</v>
      </c>
      <c r="J49" s="11">
        <f>SUM(B49/J1)</f>
        <v>10.616666666666667</v>
      </c>
      <c r="K49" s="11">
        <f>SUM(B49/K1)</f>
        <v>11.58181818181818</v>
      </c>
      <c r="L49" s="40">
        <f>SUM(B49/L1)</f>
        <v>12.74</v>
      </c>
      <c r="M49" s="11">
        <f>SUM(B49/M1)</f>
        <v>14.155555555555555</v>
      </c>
      <c r="N49" s="11">
        <f>SUM(B49/N1)</f>
        <v>15.924999999999999</v>
      </c>
      <c r="O49" s="11">
        <f>SUM(B49/O1)</f>
        <v>18.200000000000003</v>
      </c>
      <c r="P49" s="11">
        <f>SUM(B49/P1)</f>
        <v>21.233333333333334</v>
      </c>
      <c r="Q49" s="11">
        <f>SUM(B49/Q1)</f>
        <v>25.48</v>
      </c>
      <c r="R49" s="40">
        <f>SUM(B49/R1)</f>
        <v>31.849999999999998</v>
      </c>
      <c r="S49" s="11">
        <f>SUM(B49/S1)</f>
        <v>42.466666666666669</v>
      </c>
      <c r="T49" s="11">
        <f>SUM(B49/T1)</f>
        <v>63.699999999999996</v>
      </c>
      <c r="U49" s="11">
        <f>SUM(B49/U1)</f>
        <v>127.39999999999999</v>
      </c>
    </row>
    <row r="50" spans="1:24" x14ac:dyDescent="0.35">
      <c r="A50" s="1" t="s">
        <v>69</v>
      </c>
      <c r="B50" s="3">
        <v>7.07</v>
      </c>
      <c r="C50" s="3">
        <f>SUM(B50/C1)</f>
        <v>7.4421052631578952</v>
      </c>
      <c r="D50" s="3">
        <f>SUM(B50/D1)</f>
        <v>7.8555555555555561</v>
      </c>
      <c r="E50" s="3">
        <f>SUM(B50/E1)</f>
        <v>8.3176470588235301</v>
      </c>
      <c r="F50" s="3">
        <f>SUM(B50/F1)</f>
        <v>8.8375000000000004</v>
      </c>
      <c r="G50" s="3">
        <f>SUM(B50/G1)</f>
        <v>9.4266666666666676</v>
      </c>
      <c r="H50" s="3">
        <f>SUM(B50/H1)</f>
        <v>10.100000000000001</v>
      </c>
      <c r="I50" s="3">
        <f>SUM(B50/I1)</f>
        <v>10.876923076923077</v>
      </c>
      <c r="J50" s="3">
        <f>SUM(B50/J1)</f>
        <v>11.783333333333335</v>
      </c>
      <c r="K50" s="3">
        <f>SUM(B50/K1)</f>
        <v>12.854545454545454</v>
      </c>
      <c r="L50" s="2">
        <f>SUM(B50/L1)</f>
        <v>14.14</v>
      </c>
      <c r="M50" s="3">
        <f>SUM(B50/M1)</f>
        <v>15.711111111111112</v>
      </c>
      <c r="N50" s="3">
        <f>SUM(B50/N1)</f>
        <v>17.675000000000001</v>
      </c>
      <c r="O50" s="3">
        <f>SUM(B50/O1)</f>
        <v>20.200000000000003</v>
      </c>
      <c r="P50" s="3">
        <f>SUM(B50/P1)</f>
        <v>23.56666666666667</v>
      </c>
      <c r="Q50" s="3">
        <f>SUM(B50/Q1)</f>
        <v>28.28</v>
      </c>
      <c r="R50" s="2">
        <f>SUM(B50/R1)</f>
        <v>35.35</v>
      </c>
      <c r="S50" s="3">
        <f>SUM(B50/S1)</f>
        <v>47.13333333333334</v>
      </c>
      <c r="T50" s="3">
        <f>SUM(B50/T1)</f>
        <v>70.7</v>
      </c>
      <c r="U50" s="3">
        <f>SUM(B50/U1)</f>
        <v>141.4</v>
      </c>
    </row>
    <row r="51" spans="1:24" x14ac:dyDescent="0.35">
      <c r="A51" s="1" t="s">
        <v>70</v>
      </c>
      <c r="B51" s="3">
        <v>6.8</v>
      </c>
      <c r="C51" s="3">
        <f>SUM(B51/C1)</f>
        <v>7.1578947368421053</v>
      </c>
      <c r="D51" s="3">
        <f>SUM(B51/D1)</f>
        <v>7.5555555555555554</v>
      </c>
      <c r="E51" s="3">
        <f>SUM(B51/E1)</f>
        <v>8</v>
      </c>
      <c r="F51" s="3">
        <f>SUM(B51/F1)</f>
        <v>8.5</v>
      </c>
      <c r="G51" s="3">
        <f>SUM(B51/G1)</f>
        <v>9.0666666666666664</v>
      </c>
      <c r="H51" s="3">
        <f>SUM(B51/H1)</f>
        <v>9.7142857142857153</v>
      </c>
      <c r="I51" s="3">
        <f>SUM(B51/I1)</f>
        <v>10.461538461538462</v>
      </c>
      <c r="J51" s="3">
        <f>SUM(B51/J1)</f>
        <v>11.333333333333334</v>
      </c>
      <c r="K51" s="3">
        <f>SUM(B51/K1)</f>
        <v>12.363636363636362</v>
      </c>
      <c r="L51" s="2">
        <f>SUM(B51/L1)</f>
        <v>13.6</v>
      </c>
      <c r="M51" s="3">
        <f>SUM(B51/M1)</f>
        <v>15.111111111111111</v>
      </c>
      <c r="N51" s="3">
        <f>SUM(B51/N1)</f>
        <v>17</v>
      </c>
      <c r="O51" s="3">
        <f>SUM(B51/O1)</f>
        <v>19.428571428571431</v>
      </c>
      <c r="P51" s="3">
        <f>SUM(B51/P1)</f>
        <v>22.666666666666668</v>
      </c>
      <c r="Q51" s="3">
        <f>SUM(B51/Q1)</f>
        <v>27.2</v>
      </c>
      <c r="R51" s="2">
        <f>SUM(B51/R1)</f>
        <v>34</v>
      </c>
      <c r="S51" s="3">
        <f>SUM(B51/S1)</f>
        <v>45.333333333333336</v>
      </c>
      <c r="T51" s="3">
        <f>SUM(B51/T1)</f>
        <v>68</v>
      </c>
      <c r="U51" s="3">
        <f>SUM(B51/U1)</f>
        <v>136</v>
      </c>
    </row>
    <row r="52" spans="1:24" x14ac:dyDescent="0.35">
      <c r="A52" s="1" t="s">
        <v>71</v>
      </c>
      <c r="B52" s="3">
        <v>6.72</v>
      </c>
      <c r="C52" s="3">
        <f>SUM(B52/C1)</f>
        <v>7.0736842105263156</v>
      </c>
      <c r="D52" s="3">
        <f>SUM(B52/D1)</f>
        <v>7.4666666666666659</v>
      </c>
      <c r="E52" s="3">
        <f>SUM(B52/E1)</f>
        <v>7.9058823529411768</v>
      </c>
      <c r="F52" s="3">
        <f>SUM(B52/F1)</f>
        <v>8.3999999999999986</v>
      </c>
      <c r="G52" s="3">
        <f>SUM(B52/G1)</f>
        <v>8.9599999999999991</v>
      </c>
      <c r="H52" s="3">
        <f>SUM(B52/H1)</f>
        <v>9.6</v>
      </c>
      <c r="I52" s="3">
        <f>SUM(B52/I1)</f>
        <v>10.338461538461537</v>
      </c>
      <c r="J52" s="3">
        <f>SUM(B52/J1)</f>
        <v>11.2</v>
      </c>
      <c r="K52" s="3">
        <f>SUM(B52/K1)</f>
        <v>12.218181818181817</v>
      </c>
      <c r="L52" s="2">
        <f>SUM(B52/L1)</f>
        <v>13.44</v>
      </c>
      <c r="M52" s="3">
        <f>SUM(B52/M1)</f>
        <v>14.933333333333332</v>
      </c>
      <c r="N52" s="3">
        <f>SUM(B52/N1)</f>
        <v>16.799999999999997</v>
      </c>
      <c r="O52" s="3">
        <f>SUM(B52/O1)</f>
        <v>19.2</v>
      </c>
      <c r="P52" s="3">
        <f>SUM(B52/P1)</f>
        <v>22.4</v>
      </c>
      <c r="Q52" s="3">
        <f>SUM(B52/Q1)</f>
        <v>26.88</v>
      </c>
      <c r="R52" s="2">
        <f>SUM(B52/R1)</f>
        <v>33.599999999999994</v>
      </c>
      <c r="S52" s="3">
        <f>SUM(B52/S1)</f>
        <v>44.8</v>
      </c>
      <c r="T52" s="3">
        <f>SUM(B52/T1)</f>
        <v>67.199999999999989</v>
      </c>
      <c r="U52" s="3">
        <f>SUM(B52/U1)</f>
        <v>134.39999999999998</v>
      </c>
    </row>
    <row r="53" spans="1:24" x14ac:dyDescent="0.35">
      <c r="A53" s="39" t="s">
        <v>72</v>
      </c>
      <c r="B53" s="11">
        <v>6.18</v>
      </c>
      <c r="C53" s="11">
        <f>SUM(B53/C1)</f>
        <v>6.5052631578947366</v>
      </c>
      <c r="D53" s="11">
        <f>SUM(B53/D1)</f>
        <v>6.8666666666666663</v>
      </c>
      <c r="E53" s="11">
        <f>SUM(B53/E1)</f>
        <v>7.2705882352941176</v>
      </c>
      <c r="F53" s="11">
        <f>SUM(B53/F1)</f>
        <v>7.7249999999999996</v>
      </c>
      <c r="G53" s="11">
        <f>SUM(B53/G1)</f>
        <v>8.24</v>
      </c>
      <c r="H53" s="11">
        <f>SUM(B53/H1)</f>
        <v>8.8285714285714292</v>
      </c>
      <c r="I53" s="11">
        <f>SUM(B53/I1)</f>
        <v>9.5076923076923077</v>
      </c>
      <c r="J53" s="11">
        <f>SUM(B53/J1)</f>
        <v>10.3</v>
      </c>
      <c r="K53" s="11">
        <f>SUM(B53/K1)</f>
        <v>11.236363636363635</v>
      </c>
      <c r="L53" s="40">
        <f>SUM(B53/L1)</f>
        <v>12.36</v>
      </c>
      <c r="M53" s="11">
        <f>SUM(B53/M1)</f>
        <v>13.733333333333333</v>
      </c>
      <c r="N53" s="11">
        <f>SUM(B53/N1)</f>
        <v>15.45</v>
      </c>
      <c r="O53" s="11">
        <f>SUM(B53/O1)</f>
        <v>17.657142857142858</v>
      </c>
      <c r="P53" s="11">
        <f>SUM(B53/P1)</f>
        <v>20.6</v>
      </c>
      <c r="Q53" s="11">
        <f>SUM(B53/Q1)</f>
        <v>24.72</v>
      </c>
      <c r="R53" s="40">
        <f>SUM(B53/R1)</f>
        <v>30.9</v>
      </c>
      <c r="S53" s="11">
        <f>SUM(B53/S1)</f>
        <v>41.2</v>
      </c>
      <c r="T53" s="11">
        <f>SUM(B53/T1)</f>
        <v>61.8</v>
      </c>
      <c r="U53" s="11">
        <f>SUM(B53/U1)</f>
        <v>123.6</v>
      </c>
    </row>
    <row r="54" spans="1:24" x14ac:dyDescent="0.35">
      <c r="A54" s="1" t="s">
        <v>73</v>
      </c>
      <c r="B54" s="3">
        <v>5.9950000000000001</v>
      </c>
      <c r="C54" s="3">
        <f>SUM(B54/C1)</f>
        <v>6.310526315789474</v>
      </c>
      <c r="D54" s="3">
        <f>SUM(B54/D1)</f>
        <v>6.6611111111111114</v>
      </c>
      <c r="E54" s="3">
        <f>SUM(B54/E1)</f>
        <v>7.0529411764705889</v>
      </c>
      <c r="F54" s="3">
        <f>SUM(B54/F1)</f>
        <v>7.4937499999999995</v>
      </c>
      <c r="G54" s="3">
        <f>SUM(B54/G1)</f>
        <v>7.9933333333333332</v>
      </c>
      <c r="H54" s="3">
        <f>SUM(B54/H1)</f>
        <v>8.5642857142857149</v>
      </c>
      <c r="I54" s="3">
        <f>SUM(B54/I1)</f>
        <v>9.2230769230769223</v>
      </c>
      <c r="J54" s="3">
        <f>SUM(B54/J1)</f>
        <v>9.9916666666666671</v>
      </c>
      <c r="K54" s="3">
        <f>SUM(B54/K1)</f>
        <v>10.899999999999999</v>
      </c>
      <c r="L54" s="2">
        <f>SUM(B54/L1)</f>
        <v>11.99</v>
      </c>
      <c r="M54" s="3">
        <f>SUM(B54/M1)</f>
        <v>13.322222222222223</v>
      </c>
      <c r="N54" s="3">
        <f>SUM(B54/N1)</f>
        <v>14.987499999999999</v>
      </c>
      <c r="O54" s="3">
        <f>SUM(B54/O1)</f>
        <v>17.12857142857143</v>
      </c>
      <c r="P54" s="3">
        <f>SUM(B54/P1)</f>
        <v>19.983333333333334</v>
      </c>
      <c r="Q54" s="3">
        <f>SUM(B54/Q1)</f>
        <v>23.98</v>
      </c>
      <c r="R54" s="2">
        <f>SUM(B54/R1)</f>
        <v>29.974999999999998</v>
      </c>
      <c r="S54" s="3">
        <f>SUM(B54/S1)</f>
        <v>39.966666666666669</v>
      </c>
      <c r="T54" s="3">
        <f>SUM(B54/T1)</f>
        <v>59.949999999999996</v>
      </c>
      <c r="U54" s="3">
        <f>SUM(B54/U1)</f>
        <v>119.89999999999999</v>
      </c>
    </row>
    <row r="55" spans="1:24" s="42" customFormat="1" ht="15.75" customHeight="1" x14ac:dyDescent="0.35">
      <c r="A55" s="39" t="s">
        <v>74</v>
      </c>
      <c r="B55" s="11">
        <v>6.4349999999999996</v>
      </c>
      <c r="C55" s="11">
        <f>SUM(B55/C1)</f>
        <v>6.7736842105263158</v>
      </c>
      <c r="D55" s="11">
        <f>SUM(B55/D1)</f>
        <v>7.1499999999999995</v>
      </c>
      <c r="E55" s="11">
        <f>SUM(B55/E1)</f>
        <v>7.5705882352941174</v>
      </c>
      <c r="F55" s="11">
        <f>SUM(B55/F1)</f>
        <v>8.0437499999999993</v>
      </c>
      <c r="G55" s="11">
        <f>SUM(B55/G1)</f>
        <v>8.58</v>
      </c>
      <c r="H55" s="11">
        <f>SUM(B55/H1)</f>
        <v>9.1928571428571431</v>
      </c>
      <c r="I55" s="11">
        <f>SUM(B55/I1)</f>
        <v>9.8999999999999986</v>
      </c>
      <c r="J55" s="11">
        <f>SUM(B55/J1)</f>
        <v>10.725</v>
      </c>
      <c r="K55" s="11">
        <f>SUM(B55/K1)</f>
        <v>11.699999999999998</v>
      </c>
      <c r="L55" s="40">
        <f>SUM(B55/L1)</f>
        <v>12.87</v>
      </c>
      <c r="M55" s="11">
        <f>SUM(B55/M1)</f>
        <v>14.299999999999999</v>
      </c>
      <c r="N55" s="11">
        <f>SUM(B55/N1)</f>
        <v>16.087499999999999</v>
      </c>
      <c r="O55" s="11">
        <f>SUM(B55/O1)</f>
        <v>18.385714285714286</v>
      </c>
      <c r="P55" s="11">
        <f>SUM(B55/P1)</f>
        <v>21.45</v>
      </c>
      <c r="Q55" s="11">
        <f>SUM(B55/Q1)</f>
        <v>25.74</v>
      </c>
      <c r="R55" s="40">
        <f>SUM(B55/R1)</f>
        <v>32.174999999999997</v>
      </c>
      <c r="S55" s="11">
        <f>SUM(B55/S1)</f>
        <v>42.9</v>
      </c>
      <c r="T55" s="11">
        <f>SUM(B55/T1)</f>
        <v>64.349999999999994</v>
      </c>
      <c r="U55" s="11">
        <f>SUM(B55/U1)</f>
        <v>128.69999999999999</v>
      </c>
    </row>
    <row r="56" spans="1:24" ht="15.75" customHeight="1" x14ac:dyDescent="0.35">
      <c r="A56" s="39" t="s">
        <v>75</v>
      </c>
      <c r="B56" s="11">
        <v>5.04</v>
      </c>
      <c r="C56" s="11">
        <f>SUM(B56/C1)</f>
        <v>5.3052631578947373</v>
      </c>
      <c r="D56" s="11">
        <f>SUM(B56/D1)</f>
        <v>5.6</v>
      </c>
      <c r="E56" s="11">
        <f>SUM(B56/E1)</f>
        <v>5.9294117647058826</v>
      </c>
      <c r="F56" s="11">
        <f>SUM(B56/F1)</f>
        <v>6.3</v>
      </c>
      <c r="G56" s="11">
        <f>SUM(B56/G1)</f>
        <v>6.72</v>
      </c>
      <c r="H56" s="11">
        <f>SUM(B56/H1)</f>
        <v>7.2</v>
      </c>
      <c r="I56" s="11">
        <f>SUM(B56/I1)</f>
        <v>7.7538461538461538</v>
      </c>
      <c r="J56" s="11">
        <f>SUM(B56/J1)</f>
        <v>8.4</v>
      </c>
      <c r="K56" s="11">
        <f>SUM(B56/K1)</f>
        <v>9.1636363636363622</v>
      </c>
      <c r="L56" s="40">
        <f>SUM(B56/L1)</f>
        <v>10.08</v>
      </c>
      <c r="M56" s="11">
        <f>SUM(B56/M1)</f>
        <v>11.2</v>
      </c>
      <c r="N56" s="11">
        <f>SUM(B56/N1)</f>
        <v>12.6</v>
      </c>
      <c r="O56" s="11">
        <f>SUM(B56/O1)</f>
        <v>14.4</v>
      </c>
      <c r="P56" s="11">
        <f>SUM(B56/P1)</f>
        <v>16.8</v>
      </c>
      <c r="Q56" s="11">
        <f>SUM(B56/Q1)</f>
        <v>20.16</v>
      </c>
      <c r="R56" s="40">
        <f>SUM(B56/R1)</f>
        <v>25.2</v>
      </c>
      <c r="S56" s="11">
        <f>SUM(B56/S1)</f>
        <v>33.6</v>
      </c>
      <c r="T56" s="11">
        <f>SUM(B56/T1)</f>
        <v>50.4</v>
      </c>
      <c r="U56" s="11">
        <f>SUM(B56/U1)</f>
        <v>100.8</v>
      </c>
    </row>
    <row r="57" spans="1:24" x14ac:dyDescent="0.35">
      <c r="A57" s="39" t="s">
        <v>76</v>
      </c>
      <c r="B57" s="11">
        <v>5.9</v>
      </c>
      <c r="C57" s="11">
        <f>SUM(B57/C1)</f>
        <v>6.2105263157894743</v>
      </c>
      <c r="D57" s="11">
        <f>SUM(B57/D1)</f>
        <v>6.5555555555555554</v>
      </c>
      <c r="E57" s="11">
        <f>SUM(B57/E1)</f>
        <v>6.9411764705882355</v>
      </c>
      <c r="F57" s="11">
        <f>SUM(B57/F1)</f>
        <v>7.375</v>
      </c>
      <c r="G57" s="11">
        <f>SUM(B57/G1)</f>
        <v>7.8666666666666671</v>
      </c>
      <c r="H57" s="11">
        <f>SUM(B57/H1)</f>
        <v>8.4285714285714288</v>
      </c>
      <c r="I57" s="11">
        <f>SUM(B57/I1)</f>
        <v>9.0769230769230766</v>
      </c>
      <c r="J57" s="11">
        <f>SUM(B57/J1)</f>
        <v>9.8333333333333339</v>
      </c>
      <c r="K57" s="11">
        <f>SUM(B57/K1)</f>
        <v>10.727272727272727</v>
      </c>
      <c r="L57" s="40">
        <f>SUM(B57/L1)</f>
        <v>11.8</v>
      </c>
      <c r="M57" s="11">
        <f>SUM(B57/M1)</f>
        <v>13.111111111111111</v>
      </c>
      <c r="N57" s="11">
        <f>SUM(B57/N1)</f>
        <v>14.75</v>
      </c>
      <c r="O57" s="11">
        <f>SUM(B57/O1)</f>
        <v>16.857142857142858</v>
      </c>
      <c r="P57" s="11">
        <f>SUM(B57/P1)</f>
        <v>19.666666666666668</v>
      </c>
      <c r="Q57" s="11">
        <f>SUM(B57/Q1)</f>
        <v>23.6</v>
      </c>
      <c r="R57" s="40">
        <f>SUM(B57/R1)</f>
        <v>29.5</v>
      </c>
      <c r="S57" s="11">
        <f>SUM(B57/S1)</f>
        <v>39.333333333333336</v>
      </c>
      <c r="T57" s="11">
        <f>SUM(B57/T1)</f>
        <v>59</v>
      </c>
      <c r="U57" s="11">
        <f>SUM(B57/U1)</f>
        <v>118</v>
      </c>
    </row>
    <row r="58" spans="1:24" x14ac:dyDescent="0.35">
      <c r="A58" s="1" t="s">
        <v>77</v>
      </c>
      <c r="B58" s="3">
        <v>6.42</v>
      </c>
      <c r="C58" s="3">
        <f>SUM(B58/C1)</f>
        <v>6.7578947368421058</v>
      </c>
      <c r="D58" s="3">
        <f>SUM(B58/D1)</f>
        <v>7.1333333333333329</v>
      </c>
      <c r="E58" s="3">
        <f>SUM(B58/E1)</f>
        <v>7.552941176470588</v>
      </c>
      <c r="F58" s="3">
        <f>SUM(B58/F1)</f>
        <v>8.0249999999999986</v>
      </c>
      <c r="G58" s="3">
        <f>SUM(B58/G1)</f>
        <v>8.56</v>
      </c>
      <c r="H58" s="3">
        <f>SUM(B58/H1)</f>
        <v>9.1714285714285726</v>
      </c>
      <c r="I58" s="3">
        <f>SUM(B58/I1)</f>
        <v>9.8769230769230774</v>
      </c>
      <c r="J58" s="3">
        <f>SUM(B58/J1)</f>
        <v>10.700000000000001</v>
      </c>
      <c r="K58" s="3">
        <f>SUM(B58/K1)</f>
        <v>11.672727272727272</v>
      </c>
      <c r="L58" s="2">
        <f>SUM(B58/L1)</f>
        <v>12.84</v>
      </c>
      <c r="M58" s="3">
        <f>SUM(B58/M1)</f>
        <v>14.266666666666666</v>
      </c>
      <c r="N58" s="3">
        <f>SUM(B58/N1)</f>
        <v>16.049999999999997</v>
      </c>
      <c r="O58" s="3">
        <f>SUM(B58/O1)</f>
        <v>18.342857142857145</v>
      </c>
      <c r="P58" s="3">
        <f>SUM(B58/P1)</f>
        <v>21.400000000000002</v>
      </c>
      <c r="Q58" s="3">
        <f>SUM(B58/Q1)</f>
        <v>25.68</v>
      </c>
      <c r="R58" s="2">
        <f>SUM(B58/R1)</f>
        <v>32.099999999999994</v>
      </c>
      <c r="S58" s="3">
        <f>SUM(B58/S1)</f>
        <v>42.800000000000004</v>
      </c>
      <c r="T58" s="3">
        <f>SUM(B58/T1)</f>
        <v>64.199999999999989</v>
      </c>
      <c r="U58" s="3">
        <f>SUM(B58/U1)</f>
        <v>128.39999999999998</v>
      </c>
    </row>
    <row r="59" spans="1:24" x14ac:dyDescent="0.35">
      <c r="A59" s="1" t="s">
        <v>78</v>
      </c>
      <c r="B59" s="3">
        <v>5.83</v>
      </c>
      <c r="C59" s="3">
        <f>SUM(B59/C1)</f>
        <v>6.1368421052631579</v>
      </c>
      <c r="D59" s="3">
        <f>SUM(B59/D1)</f>
        <v>6.4777777777777779</v>
      </c>
      <c r="E59" s="3">
        <f>SUM(B59/E1)</f>
        <v>6.8588235294117652</v>
      </c>
      <c r="F59" s="3">
        <f>SUM(B59/F1)</f>
        <v>7.2874999999999996</v>
      </c>
      <c r="G59" s="3">
        <f>SUM(B59/G1)</f>
        <v>7.7733333333333334</v>
      </c>
      <c r="H59" s="3">
        <f>SUM(B59/H1)</f>
        <v>8.3285714285714292</v>
      </c>
      <c r="I59" s="3">
        <f>SUM(B59/I1)</f>
        <v>8.9692307692307693</v>
      </c>
      <c r="J59" s="3">
        <f>SUM(B59/J1)</f>
        <v>9.7166666666666668</v>
      </c>
      <c r="K59" s="3">
        <f>SUM(B59/K1)</f>
        <v>10.6</v>
      </c>
      <c r="L59" s="2">
        <f>SUM(B59/L1)</f>
        <v>11.66</v>
      </c>
      <c r="M59" s="3">
        <f>SUM(B59/M1)</f>
        <v>12.955555555555556</v>
      </c>
      <c r="N59" s="3">
        <f>SUM(B59/N1)</f>
        <v>14.574999999999999</v>
      </c>
      <c r="O59" s="3">
        <f>SUM(B59/O1)</f>
        <v>16.657142857142858</v>
      </c>
      <c r="P59" s="3">
        <f>SUM(B59/P1)</f>
        <v>19.433333333333334</v>
      </c>
      <c r="Q59" s="3">
        <f>SUM(B59/Q1)</f>
        <v>23.32</v>
      </c>
      <c r="R59" s="2">
        <f>SUM(B59/R1)</f>
        <v>29.15</v>
      </c>
      <c r="S59" s="3">
        <f>SUM(B59/S1)</f>
        <v>38.866666666666667</v>
      </c>
      <c r="T59" s="3">
        <f>SUM(B59/T1)</f>
        <v>58.3</v>
      </c>
      <c r="U59" s="3">
        <f>SUM(B59/U1)</f>
        <v>116.6</v>
      </c>
    </row>
    <row r="60" spans="1:24" x14ac:dyDescent="0.35">
      <c r="A60" s="13" t="s">
        <v>79</v>
      </c>
      <c r="B60" s="3">
        <v>6.02</v>
      </c>
      <c r="C60" s="3">
        <f>SUM($B60/C$1)</f>
        <v>6.3368421052631581</v>
      </c>
      <c r="D60" s="3">
        <f t="shared" ref="D60:U74" si="2">SUM($B60/D$1)</f>
        <v>6.6888888888888882</v>
      </c>
      <c r="E60" s="3">
        <f t="shared" si="2"/>
        <v>7.0823529411764703</v>
      </c>
      <c r="F60" s="3">
        <f t="shared" si="2"/>
        <v>7.5249999999999995</v>
      </c>
      <c r="G60" s="3">
        <f t="shared" si="2"/>
        <v>8.0266666666666655</v>
      </c>
      <c r="H60" s="3">
        <f t="shared" si="2"/>
        <v>8.6</v>
      </c>
      <c r="I60" s="3">
        <f t="shared" si="2"/>
        <v>9.2615384615384606</v>
      </c>
      <c r="J60" s="3">
        <f t="shared" si="2"/>
        <v>10.033333333333333</v>
      </c>
      <c r="K60" s="3">
        <f t="shared" si="2"/>
        <v>10.945454545454544</v>
      </c>
      <c r="L60" s="3">
        <f t="shared" si="2"/>
        <v>12.04</v>
      </c>
      <c r="M60" s="3">
        <f t="shared" si="2"/>
        <v>13.377777777777776</v>
      </c>
      <c r="N60" s="3">
        <f t="shared" si="2"/>
        <v>15.049999999999999</v>
      </c>
      <c r="O60" s="3">
        <f t="shared" si="2"/>
        <v>17.2</v>
      </c>
      <c r="P60" s="3">
        <f t="shared" si="2"/>
        <v>20.066666666666666</v>
      </c>
      <c r="Q60" s="3">
        <f t="shared" si="2"/>
        <v>24.08</v>
      </c>
      <c r="R60" s="3">
        <f t="shared" si="2"/>
        <v>30.099999999999998</v>
      </c>
      <c r="S60" s="3">
        <f t="shared" si="2"/>
        <v>40.133333333333333</v>
      </c>
      <c r="T60" s="3">
        <f t="shared" si="2"/>
        <v>60.199999999999996</v>
      </c>
      <c r="U60" s="3">
        <f t="shared" si="2"/>
        <v>120.39999999999999</v>
      </c>
    </row>
    <row r="61" spans="1:24" x14ac:dyDescent="0.35">
      <c r="A61" s="13" t="s">
        <v>80</v>
      </c>
      <c r="B61" s="3">
        <v>6.65</v>
      </c>
      <c r="C61" s="3">
        <f>SUM($B61/C$1)</f>
        <v>7.0000000000000009</v>
      </c>
      <c r="D61" s="3">
        <f t="shared" si="2"/>
        <v>7.3888888888888893</v>
      </c>
      <c r="E61" s="3">
        <f t="shared" si="2"/>
        <v>7.8235294117647065</v>
      </c>
      <c r="F61" s="3">
        <f t="shared" si="2"/>
        <v>8.3125</v>
      </c>
      <c r="G61" s="3">
        <f t="shared" si="2"/>
        <v>8.8666666666666671</v>
      </c>
      <c r="H61" s="3">
        <f t="shared" si="2"/>
        <v>9.5000000000000018</v>
      </c>
      <c r="I61" s="3">
        <f t="shared" si="2"/>
        <v>10.230769230769232</v>
      </c>
      <c r="J61" s="3">
        <f t="shared" si="2"/>
        <v>11.083333333333334</v>
      </c>
      <c r="K61" s="3">
        <f t="shared" si="2"/>
        <v>12.09090909090909</v>
      </c>
      <c r="L61" s="3">
        <f t="shared" si="2"/>
        <v>13.3</v>
      </c>
      <c r="M61" s="3">
        <f t="shared" si="2"/>
        <v>14.777777777777779</v>
      </c>
      <c r="N61" s="3">
        <f t="shared" si="2"/>
        <v>16.625</v>
      </c>
      <c r="O61" s="3">
        <f t="shared" si="2"/>
        <v>19.000000000000004</v>
      </c>
      <c r="P61" s="3">
        <f t="shared" si="2"/>
        <v>22.166666666666668</v>
      </c>
      <c r="Q61" s="3">
        <f t="shared" si="2"/>
        <v>26.6</v>
      </c>
      <c r="R61" s="3">
        <f t="shared" si="2"/>
        <v>33.25</v>
      </c>
      <c r="S61" s="3">
        <f t="shared" si="2"/>
        <v>44.333333333333336</v>
      </c>
      <c r="T61" s="3">
        <f t="shared" si="2"/>
        <v>66.5</v>
      </c>
      <c r="U61" s="3">
        <f t="shared" si="2"/>
        <v>133</v>
      </c>
    </row>
    <row r="62" spans="1:24" x14ac:dyDescent="0.35">
      <c r="A62" s="13" t="s">
        <v>81</v>
      </c>
      <c r="B62" s="3">
        <v>6.51</v>
      </c>
      <c r="C62" s="3">
        <f t="shared" ref="C62:R77" si="3">SUM($B62/C$1)</f>
        <v>6.8526315789473689</v>
      </c>
      <c r="D62" s="3">
        <f t="shared" si="3"/>
        <v>7.2333333333333325</v>
      </c>
      <c r="E62" s="3">
        <f t="shared" si="3"/>
        <v>7.658823529411765</v>
      </c>
      <c r="F62" s="3">
        <f t="shared" si="3"/>
        <v>8.1374999999999993</v>
      </c>
      <c r="G62" s="3">
        <f t="shared" si="3"/>
        <v>8.68</v>
      </c>
      <c r="H62" s="3">
        <f t="shared" si="3"/>
        <v>9.3000000000000007</v>
      </c>
      <c r="I62" s="3">
        <f t="shared" si="3"/>
        <v>10.015384615384615</v>
      </c>
      <c r="J62" s="3">
        <f t="shared" si="3"/>
        <v>10.85</v>
      </c>
      <c r="K62" s="3">
        <f t="shared" si="3"/>
        <v>11.836363636363634</v>
      </c>
      <c r="L62" s="3">
        <f t="shared" si="3"/>
        <v>13.02</v>
      </c>
      <c r="M62" s="3">
        <f t="shared" si="3"/>
        <v>14.466666666666665</v>
      </c>
      <c r="N62" s="3">
        <f t="shared" si="3"/>
        <v>16.274999999999999</v>
      </c>
      <c r="O62" s="3">
        <f t="shared" si="3"/>
        <v>18.600000000000001</v>
      </c>
      <c r="P62" s="3">
        <f t="shared" si="3"/>
        <v>21.7</v>
      </c>
      <c r="Q62" s="3">
        <f t="shared" si="3"/>
        <v>26.04</v>
      </c>
      <c r="R62" s="3">
        <f t="shared" si="3"/>
        <v>32.549999999999997</v>
      </c>
      <c r="S62" s="3">
        <f t="shared" si="2"/>
        <v>43.4</v>
      </c>
      <c r="T62" s="3">
        <f t="shared" si="2"/>
        <v>65.099999999999994</v>
      </c>
      <c r="U62" s="3">
        <f t="shared" si="2"/>
        <v>130.19999999999999</v>
      </c>
      <c r="X62" s="32"/>
    </row>
    <row r="63" spans="1:24" x14ac:dyDescent="0.35">
      <c r="A63" s="13" t="s">
        <v>82</v>
      </c>
      <c r="B63" s="3">
        <v>6.37</v>
      </c>
      <c r="C63" s="3">
        <f t="shared" si="3"/>
        <v>6.7052631578947377</v>
      </c>
      <c r="D63" s="3">
        <f t="shared" si="2"/>
        <v>7.0777777777777775</v>
      </c>
      <c r="E63" s="3">
        <f t="shared" si="2"/>
        <v>7.4941176470588236</v>
      </c>
      <c r="F63" s="3">
        <f t="shared" si="2"/>
        <v>7.9624999999999995</v>
      </c>
      <c r="G63" s="3">
        <f t="shared" si="2"/>
        <v>8.4933333333333341</v>
      </c>
      <c r="H63" s="3">
        <f t="shared" si="2"/>
        <v>9.1000000000000014</v>
      </c>
      <c r="I63" s="3">
        <f t="shared" si="2"/>
        <v>9.8000000000000007</v>
      </c>
      <c r="J63" s="3">
        <f t="shared" si="2"/>
        <v>10.616666666666667</v>
      </c>
      <c r="K63" s="3">
        <f t="shared" si="2"/>
        <v>11.58181818181818</v>
      </c>
      <c r="L63" s="3">
        <f t="shared" si="2"/>
        <v>12.74</v>
      </c>
      <c r="M63" s="3">
        <f t="shared" si="2"/>
        <v>14.155555555555555</v>
      </c>
      <c r="N63" s="3">
        <f t="shared" si="2"/>
        <v>15.924999999999999</v>
      </c>
      <c r="O63" s="3">
        <f t="shared" si="2"/>
        <v>18.200000000000003</v>
      </c>
      <c r="P63" s="3">
        <f t="shared" si="2"/>
        <v>21.233333333333334</v>
      </c>
      <c r="Q63" s="3">
        <f t="shared" si="2"/>
        <v>25.48</v>
      </c>
      <c r="R63" s="3">
        <f t="shared" si="2"/>
        <v>31.849999999999998</v>
      </c>
      <c r="S63" s="3">
        <f t="shared" si="2"/>
        <v>42.466666666666669</v>
      </c>
      <c r="T63" s="3">
        <f t="shared" si="2"/>
        <v>63.699999999999996</v>
      </c>
      <c r="U63" s="3">
        <f t="shared" si="2"/>
        <v>127.39999999999999</v>
      </c>
    </row>
    <row r="64" spans="1:24" x14ac:dyDescent="0.35">
      <c r="A64" s="13" t="s">
        <v>83</v>
      </c>
      <c r="B64" s="3">
        <v>6.09</v>
      </c>
      <c r="C64" s="3">
        <f t="shared" si="3"/>
        <v>6.4105263157894736</v>
      </c>
      <c r="D64" s="3">
        <f t="shared" si="2"/>
        <v>6.7666666666666666</v>
      </c>
      <c r="E64" s="3">
        <f t="shared" si="2"/>
        <v>7.1647058823529415</v>
      </c>
      <c r="F64" s="3">
        <f t="shared" si="2"/>
        <v>7.6124999999999998</v>
      </c>
      <c r="G64" s="3">
        <f t="shared" si="2"/>
        <v>8.1199999999999992</v>
      </c>
      <c r="H64" s="3">
        <f t="shared" si="2"/>
        <v>8.7000000000000011</v>
      </c>
      <c r="I64" s="3">
        <f t="shared" si="2"/>
        <v>9.3692307692307679</v>
      </c>
      <c r="J64" s="3">
        <f t="shared" si="2"/>
        <v>10.15</v>
      </c>
      <c r="K64" s="3">
        <f t="shared" si="2"/>
        <v>11.072727272727272</v>
      </c>
      <c r="L64" s="3">
        <f t="shared" si="2"/>
        <v>12.18</v>
      </c>
      <c r="M64" s="3">
        <f t="shared" si="2"/>
        <v>13.533333333333333</v>
      </c>
      <c r="N64" s="3">
        <f t="shared" si="2"/>
        <v>15.225</v>
      </c>
      <c r="O64" s="3">
        <f t="shared" si="2"/>
        <v>17.400000000000002</v>
      </c>
      <c r="P64" s="3">
        <f t="shared" si="2"/>
        <v>20.3</v>
      </c>
      <c r="Q64" s="3">
        <f t="shared" si="2"/>
        <v>24.36</v>
      </c>
      <c r="R64" s="3">
        <f t="shared" si="2"/>
        <v>30.45</v>
      </c>
      <c r="S64" s="3">
        <f t="shared" si="2"/>
        <v>40.6</v>
      </c>
      <c r="T64" s="3">
        <f t="shared" si="2"/>
        <v>60.9</v>
      </c>
      <c r="U64" s="3">
        <f t="shared" si="2"/>
        <v>121.8</v>
      </c>
    </row>
    <row r="65" spans="1:25" x14ac:dyDescent="0.35">
      <c r="A65" s="13" t="s">
        <v>84</v>
      </c>
      <c r="B65" s="3">
        <v>6.5650000000000004</v>
      </c>
      <c r="C65" s="3">
        <f t="shared" si="3"/>
        <v>6.9105263157894745</v>
      </c>
      <c r="D65" s="3">
        <f t="shared" si="2"/>
        <v>7.2944444444444443</v>
      </c>
      <c r="E65" s="3">
        <f t="shared" si="2"/>
        <v>7.7235294117647069</v>
      </c>
      <c r="F65" s="3">
        <f t="shared" si="2"/>
        <v>8.2062500000000007</v>
      </c>
      <c r="G65" s="3">
        <f t="shared" si="2"/>
        <v>8.7533333333333339</v>
      </c>
      <c r="H65" s="3">
        <f t="shared" si="2"/>
        <v>9.3785714285714299</v>
      </c>
      <c r="I65" s="3">
        <f t="shared" si="2"/>
        <v>10.1</v>
      </c>
      <c r="J65" s="3">
        <f t="shared" si="2"/>
        <v>10.941666666666668</v>
      </c>
      <c r="K65" s="3">
        <f t="shared" si="2"/>
        <v>11.936363636363636</v>
      </c>
      <c r="L65" s="3">
        <f t="shared" si="2"/>
        <v>13.13</v>
      </c>
      <c r="M65" s="3">
        <f t="shared" si="2"/>
        <v>14.588888888888889</v>
      </c>
      <c r="N65" s="3">
        <f t="shared" si="2"/>
        <v>16.412500000000001</v>
      </c>
      <c r="O65" s="3">
        <f t="shared" si="2"/>
        <v>18.75714285714286</v>
      </c>
      <c r="P65" s="3">
        <f t="shared" si="2"/>
        <v>21.883333333333336</v>
      </c>
      <c r="Q65" s="3">
        <f t="shared" si="2"/>
        <v>26.26</v>
      </c>
      <c r="R65" s="3">
        <f t="shared" si="2"/>
        <v>32.825000000000003</v>
      </c>
      <c r="S65" s="3">
        <f t="shared" si="2"/>
        <v>43.766666666666673</v>
      </c>
      <c r="T65" s="3">
        <f t="shared" si="2"/>
        <v>65.650000000000006</v>
      </c>
      <c r="U65" s="3">
        <f t="shared" si="2"/>
        <v>131.30000000000001</v>
      </c>
    </row>
    <row r="66" spans="1:25" x14ac:dyDescent="0.35">
      <c r="A66" s="13" t="s">
        <v>85</v>
      </c>
      <c r="B66" s="3">
        <v>3.5350000000000001</v>
      </c>
      <c r="C66" s="3">
        <f t="shared" si="3"/>
        <v>3.7210526315789476</v>
      </c>
      <c r="D66" s="3">
        <f t="shared" si="2"/>
        <v>3.927777777777778</v>
      </c>
      <c r="E66" s="3">
        <f t="shared" si="2"/>
        <v>4.158823529411765</v>
      </c>
      <c r="F66" s="3">
        <f t="shared" si="2"/>
        <v>4.4187500000000002</v>
      </c>
      <c r="G66" s="3">
        <f t="shared" si="2"/>
        <v>4.7133333333333338</v>
      </c>
      <c r="H66" s="3">
        <f t="shared" si="2"/>
        <v>5.0500000000000007</v>
      </c>
      <c r="I66" s="3">
        <f t="shared" si="2"/>
        <v>5.4384615384615387</v>
      </c>
      <c r="J66" s="3">
        <f t="shared" si="2"/>
        <v>5.8916666666666675</v>
      </c>
      <c r="K66" s="3">
        <f t="shared" si="2"/>
        <v>6.4272727272727268</v>
      </c>
      <c r="L66" s="3">
        <f t="shared" si="2"/>
        <v>7.07</v>
      </c>
      <c r="M66" s="3">
        <f t="shared" si="2"/>
        <v>7.8555555555555561</v>
      </c>
      <c r="N66" s="3">
        <f t="shared" si="2"/>
        <v>8.8375000000000004</v>
      </c>
      <c r="O66" s="3">
        <f t="shared" si="2"/>
        <v>10.100000000000001</v>
      </c>
      <c r="P66" s="3">
        <f t="shared" si="2"/>
        <v>11.783333333333335</v>
      </c>
      <c r="Q66" s="3">
        <f t="shared" si="2"/>
        <v>14.14</v>
      </c>
      <c r="R66" s="3">
        <f t="shared" si="2"/>
        <v>17.675000000000001</v>
      </c>
      <c r="S66" s="3">
        <f t="shared" si="2"/>
        <v>23.56666666666667</v>
      </c>
      <c r="T66" s="3">
        <f t="shared" si="2"/>
        <v>35.35</v>
      </c>
      <c r="U66" s="3">
        <f t="shared" si="2"/>
        <v>70.7</v>
      </c>
      <c r="W66" s="30"/>
      <c r="X66" s="31"/>
    </row>
    <row r="67" spans="1:25" x14ac:dyDescent="0.35">
      <c r="A67" s="13" t="s">
        <v>86</v>
      </c>
      <c r="B67" s="3">
        <v>5.25</v>
      </c>
      <c r="C67" s="3">
        <f t="shared" si="3"/>
        <v>5.5263157894736841</v>
      </c>
      <c r="D67" s="3">
        <f t="shared" si="2"/>
        <v>5.833333333333333</v>
      </c>
      <c r="E67" s="3">
        <f t="shared" si="2"/>
        <v>6.1764705882352944</v>
      </c>
      <c r="F67" s="3">
        <f t="shared" si="2"/>
        <v>6.5625</v>
      </c>
      <c r="G67" s="3">
        <f t="shared" si="2"/>
        <v>7</v>
      </c>
      <c r="H67" s="3">
        <f t="shared" si="2"/>
        <v>7.5000000000000009</v>
      </c>
      <c r="I67" s="3">
        <f t="shared" si="2"/>
        <v>8.0769230769230766</v>
      </c>
      <c r="J67" s="3">
        <f t="shared" si="2"/>
        <v>8.75</v>
      </c>
      <c r="K67" s="3">
        <f t="shared" si="2"/>
        <v>9.545454545454545</v>
      </c>
      <c r="L67" s="3">
        <f t="shared" si="2"/>
        <v>10.5</v>
      </c>
      <c r="M67" s="3">
        <f t="shared" si="2"/>
        <v>11.666666666666666</v>
      </c>
      <c r="N67" s="3">
        <f t="shared" si="2"/>
        <v>13.125</v>
      </c>
      <c r="O67" s="3">
        <f t="shared" si="2"/>
        <v>15.000000000000002</v>
      </c>
      <c r="P67" s="3">
        <f t="shared" si="2"/>
        <v>17.5</v>
      </c>
      <c r="Q67" s="3">
        <f t="shared" si="2"/>
        <v>21</v>
      </c>
      <c r="R67" s="3">
        <f t="shared" si="2"/>
        <v>26.25</v>
      </c>
      <c r="S67" s="3">
        <f t="shared" si="2"/>
        <v>35</v>
      </c>
      <c r="T67" s="3">
        <f t="shared" si="2"/>
        <v>52.5</v>
      </c>
      <c r="U67" s="3">
        <f t="shared" si="2"/>
        <v>105</v>
      </c>
      <c r="W67" s="30"/>
      <c r="X67" s="31"/>
    </row>
    <row r="68" spans="1:25" x14ac:dyDescent="0.35">
      <c r="A68" s="13" t="s">
        <v>87</v>
      </c>
      <c r="B68" s="3">
        <v>7.14</v>
      </c>
      <c r="C68" s="3">
        <f t="shared" si="3"/>
        <v>7.5157894736842108</v>
      </c>
      <c r="D68" s="3">
        <f t="shared" si="2"/>
        <v>7.9333333333333327</v>
      </c>
      <c r="E68" s="3">
        <f t="shared" si="2"/>
        <v>8.4</v>
      </c>
      <c r="F68" s="3">
        <f t="shared" si="2"/>
        <v>8.9249999999999989</v>
      </c>
      <c r="G68" s="3">
        <f t="shared" si="2"/>
        <v>9.52</v>
      </c>
      <c r="H68" s="3">
        <f t="shared" si="2"/>
        <v>10.200000000000001</v>
      </c>
      <c r="I68" s="3">
        <f t="shared" si="2"/>
        <v>10.984615384615383</v>
      </c>
      <c r="J68" s="3">
        <f t="shared" si="2"/>
        <v>11.9</v>
      </c>
      <c r="K68" s="3">
        <f t="shared" si="2"/>
        <v>12.981818181818181</v>
      </c>
      <c r="L68" s="3">
        <f t="shared" si="2"/>
        <v>14.28</v>
      </c>
      <c r="M68" s="3">
        <f t="shared" si="2"/>
        <v>15.866666666666665</v>
      </c>
      <c r="N68" s="3">
        <f t="shared" si="2"/>
        <v>17.849999999999998</v>
      </c>
      <c r="O68" s="3">
        <f t="shared" si="2"/>
        <v>20.400000000000002</v>
      </c>
      <c r="P68" s="3">
        <f t="shared" si="2"/>
        <v>23.8</v>
      </c>
      <c r="Q68" s="3">
        <f t="shared" si="2"/>
        <v>28.56</v>
      </c>
      <c r="R68" s="3">
        <f t="shared" si="2"/>
        <v>35.699999999999996</v>
      </c>
      <c r="S68" s="3">
        <f t="shared" si="2"/>
        <v>47.6</v>
      </c>
      <c r="T68" s="3">
        <f t="shared" si="2"/>
        <v>71.399999999999991</v>
      </c>
      <c r="U68" s="3">
        <f t="shared" si="2"/>
        <v>142.79999999999998</v>
      </c>
      <c r="W68" s="30"/>
      <c r="X68" s="31"/>
    </row>
    <row r="69" spans="1:25" x14ac:dyDescent="0.35">
      <c r="A69" s="13" t="s">
        <v>88</v>
      </c>
      <c r="B69" s="3">
        <v>5.665</v>
      </c>
      <c r="C69" s="3">
        <f t="shared" si="3"/>
        <v>5.9631578947368427</v>
      </c>
      <c r="D69" s="3">
        <f t="shared" si="2"/>
        <v>6.2944444444444443</v>
      </c>
      <c r="E69" s="3">
        <f t="shared" si="2"/>
        <v>6.6647058823529415</v>
      </c>
      <c r="F69" s="3">
        <f t="shared" si="2"/>
        <v>7.0812499999999998</v>
      </c>
      <c r="G69" s="3">
        <f t="shared" si="2"/>
        <v>7.5533333333333337</v>
      </c>
      <c r="H69" s="3">
        <f t="shared" si="2"/>
        <v>8.0928571428571434</v>
      </c>
      <c r="I69" s="3">
        <f t="shared" si="2"/>
        <v>8.7153846153846146</v>
      </c>
      <c r="J69" s="3">
        <f t="shared" si="2"/>
        <v>9.4416666666666664</v>
      </c>
      <c r="K69" s="3">
        <f t="shared" si="2"/>
        <v>10.299999999999999</v>
      </c>
      <c r="L69" s="3">
        <f t="shared" si="2"/>
        <v>11.33</v>
      </c>
      <c r="M69" s="3">
        <f t="shared" si="2"/>
        <v>12.588888888888889</v>
      </c>
      <c r="N69" s="3">
        <f t="shared" si="2"/>
        <v>14.1625</v>
      </c>
      <c r="O69" s="3">
        <f t="shared" si="2"/>
        <v>16.185714285714287</v>
      </c>
      <c r="P69" s="3">
        <f t="shared" si="2"/>
        <v>18.883333333333333</v>
      </c>
      <c r="Q69" s="3">
        <f t="shared" si="2"/>
        <v>22.66</v>
      </c>
      <c r="R69" s="3">
        <f t="shared" si="2"/>
        <v>28.324999999999999</v>
      </c>
      <c r="S69" s="3">
        <f t="shared" si="2"/>
        <v>37.766666666666666</v>
      </c>
      <c r="T69" s="3">
        <f t="shared" si="2"/>
        <v>56.65</v>
      </c>
      <c r="U69" s="3">
        <f t="shared" si="2"/>
        <v>113.3</v>
      </c>
    </row>
    <row r="70" spans="1:25" x14ac:dyDescent="0.35">
      <c r="A70" s="13" t="s">
        <v>89</v>
      </c>
      <c r="B70" s="3">
        <v>5.15</v>
      </c>
      <c r="C70" s="3">
        <f t="shared" si="3"/>
        <v>5.4210526315789478</v>
      </c>
      <c r="D70" s="3">
        <f t="shared" si="2"/>
        <v>5.7222222222222223</v>
      </c>
      <c r="E70" s="3">
        <f t="shared" si="2"/>
        <v>6.0588235294117654</v>
      </c>
      <c r="F70" s="3">
        <f t="shared" si="2"/>
        <v>6.4375</v>
      </c>
      <c r="G70" s="3">
        <f t="shared" si="2"/>
        <v>6.8666666666666671</v>
      </c>
      <c r="H70" s="3">
        <f t="shared" si="2"/>
        <v>7.3571428571428585</v>
      </c>
      <c r="I70" s="3">
        <f t="shared" si="2"/>
        <v>7.9230769230769234</v>
      </c>
      <c r="J70" s="3">
        <f t="shared" si="2"/>
        <v>8.5833333333333339</v>
      </c>
      <c r="K70" s="3">
        <f t="shared" si="2"/>
        <v>9.3636363636363633</v>
      </c>
      <c r="L70" s="3">
        <f t="shared" si="2"/>
        <v>10.3</v>
      </c>
      <c r="M70" s="3">
        <f t="shared" si="2"/>
        <v>11.444444444444445</v>
      </c>
      <c r="N70" s="3">
        <f t="shared" si="2"/>
        <v>12.875</v>
      </c>
      <c r="O70" s="3">
        <f t="shared" si="2"/>
        <v>14.714285714285717</v>
      </c>
      <c r="P70" s="3">
        <f t="shared" si="2"/>
        <v>17.166666666666668</v>
      </c>
      <c r="Q70" s="3">
        <f t="shared" si="2"/>
        <v>20.6</v>
      </c>
      <c r="R70" s="3">
        <f t="shared" si="2"/>
        <v>25.75</v>
      </c>
      <c r="S70" s="3">
        <f t="shared" si="2"/>
        <v>34.333333333333336</v>
      </c>
      <c r="T70" s="3">
        <f t="shared" si="2"/>
        <v>51.5</v>
      </c>
      <c r="U70" s="3">
        <f t="shared" si="2"/>
        <v>103</v>
      </c>
    </row>
    <row r="71" spans="1:25" x14ac:dyDescent="0.35">
      <c r="A71" s="13" t="s">
        <v>90</v>
      </c>
      <c r="B71" s="3">
        <v>5</v>
      </c>
      <c r="C71" s="3">
        <f t="shared" si="3"/>
        <v>5.2631578947368425</v>
      </c>
      <c r="D71" s="3">
        <f t="shared" si="2"/>
        <v>5.5555555555555554</v>
      </c>
      <c r="E71" s="3">
        <f t="shared" si="2"/>
        <v>5.882352941176471</v>
      </c>
      <c r="F71" s="3">
        <f t="shared" si="2"/>
        <v>6.25</v>
      </c>
      <c r="G71" s="3">
        <f t="shared" si="2"/>
        <v>6.666666666666667</v>
      </c>
      <c r="H71" s="3">
        <f t="shared" si="2"/>
        <v>7.1428571428571432</v>
      </c>
      <c r="I71" s="3">
        <f t="shared" si="2"/>
        <v>7.6923076923076916</v>
      </c>
      <c r="J71" s="3">
        <f t="shared" si="2"/>
        <v>8.3333333333333339</v>
      </c>
      <c r="K71" s="3">
        <f t="shared" si="2"/>
        <v>9.0909090909090899</v>
      </c>
      <c r="L71" s="3">
        <f t="shared" si="2"/>
        <v>10</v>
      </c>
      <c r="M71" s="3">
        <f t="shared" si="2"/>
        <v>11.111111111111111</v>
      </c>
      <c r="N71" s="3">
        <f t="shared" si="2"/>
        <v>12.5</v>
      </c>
      <c r="O71" s="3">
        <f t="shared" si="2"/>
        <v>14.285714285714286</v>
      </c>
      <c r="P71" s="3">
        <f t="shared" si="2"/>
        <v>16.666666666666668</v>
      </c>
      <c r="Q71" s="3">
        <f t="shared" si="2"/>
        <v>20</v>
      </c>
      <c r="R71" s="3">
        <f t="shared" si="2"/>
        <v>25</v>
      </c>
      <c r="S71" s="3">
        <f t="shared" si="2"/>
        <v>33.333333333333336</v>
      </c>
      <c r="T71" s="3">
        <f t="shared" si="2"/>
        <v>50</v>
      </c>
      <c r="U71" s="3">
        <f t="shared" si="2"/>
        <v>100</v>
      </c>
    </row>
    <row r="72" spans="1:25" x14ac:dyDescent="0.35">
      <c r="A72" s="13" t="s">
        <v>91</v>
      </c>
      <c r="B72" s="3">
        <v>4.45</v>
      </c>
      <c r="C72" s="3">
        <f t="shared" si="3"/>
        <v>4.6842105263157903</v>
      </c>
      <c r="D72" s="3">
        <f t="shared" si="2"/>
        <v>4.9444444444444446</v>
      </c>
      <c r="E72" s="3">
        <f t="shared" si="2"/>
        <v>5.2352941176470589</v>
      </c>
      <c r="F72" s="3">
        <f t="shared" si="2"/>
        <v>5.5625</v>
      </c>
      <c r="G72" s="3">
        <f t="shared" si="2"/>
        <v>5.9333333333333336</v>
      </c>
      <c r="H72" s="3">
        <f t="shared" si="2"/>
        <v>6.3571428571428577</v>
      </c>
      <c r="I72" s="3">
        <f t="shared" si="2"/>
        <v>6.8461538461538458</v>
      </c>
      <c r="J72" s="3">
        <f t="shared" si="2"/>
        <v>7.416666666666667</v>
      </c>
      <c r="K72" s="3">
        <f t="shared" si="2"/>
        <v>8.0909090909090899</v>
      </c>
      <c r="L72" s="3">
        <f t="shared" si="2"/>
        <v>8.9</v>
      </c>
      <c r="M72" s="3">
        <f t="shared" si="2"/>
        <v>9.8888888888888893</v>
      </c>
      <c r="N72" s="3">
        <f t="shared" si="2"/>
        <v>11.125</v>
      </c>
      <c r="O72" s="3">
        <f t="shared" si="2"/>
        <v>12.714285714285715</v>
      </c>
      <c r="P72" s="3">
        <f t="shared" si="2"/>
        <v>14.833333333333334</v>
      </c>
      <c r="Q72" s="3">
        <f t="shared" si="2"/>
        <v>17.8</v>
      </c>
      <c r="R72" s="3">
        <f t="shared" si="2"/>
        <v>22.25</v>
      </c>
      <c r="S72" s="3">
        <f t="shared" si="2"/>
        <v>29.666666666666668</v>
      </c>
      <c r="T72" s="3">
        <f t="shared" si="2"/>
        <v>44.5</v>
      </c>
      <c r="U72" s="3">
        <f t="shared" si="2"/>
        <v>89</v>
      </c>
    </row>
    <row r="73" spans="1:25" x14ac:dyDescent="0.35">
      <c r="A73" s="13" t="s">
        <v>92</v>
      </c>
      <c r="B73" s="3">
        <v>6.44</v>
      </c>
      <c r="C73" s="3">
        <f t="shared" si="3"/>
        <v>6.7789473684210533</v>
      </c>
      <c r="D73" s="3">
        <f t="shared" si="2"/>
        <v>7.1555555555555559</v>
      </c>
      <c r="E73" s="3">
        <f t="shared" si="2"/>
        <v>7.5764705882352947</v>
      </c>
      <c r="F73" s="3">
        <f t="shared" si="2"/>
        <v>8.0500000000000007</v>
      </c>
      <c r="G73" s="3">
        <f t="shared" si="2"/>
        <v>8.5866666666666678</v>
      </c>
      <c r="H73" s="3">
        <f t="shared" si="2"/>
        <v>9.2000000000000011</v>
      </c>
      <c r="I73" s="3">
        <f t="shared" si="2"/>
        <v>9.907692307692308</v>
      </c>
      <c r="J73" s="3">
        <f t="shared" si="2"/>
        <v>10.733333333333334</v>
      </c>
      <c r="K73" s="3">
        <f t="shared" si="2"/>
        <v>11.709090909090909</v>
      </c>
      <c r="L73" s="3">
        <f t="shared" si="2"/>
        <v>12.88</v>
      </c>
      <c r="M73" s="3">
        <f t="shared" si="2"/>
        <v>14.311111111111112</v>
      </c>
      <c r="N73" s="3">
        <f t="shared" si="2"/>
        <v>16.100000000000001</v>
      </c>
      <c r="O73" s="3">
        <f t="shared" si="2"/>
        <v>18.400000000000002</v>
      </c>
      <c r="P73" s="3">
        <f t="shared" si="2"/>
        <v>21.466666666666669</v>
      </c>
      <c r="Q73" s="3">
        <f t="shared" si="2"/>
        <v>25.76</v>
      </c>
      <c r="R73" s="3">
        <f t="shared" si="2"/>
        <v>32.200000000000003</v>
      </c>
      <c r="S73" s="3">
        <f t="shared" si="2"/>
        <v>42.933333333333337</v>
      </c>
      <c r="T73" s="3">
        <f t="shared" si="2"/>
        <v>64.400000000000006</v>
      </c>
      <c r="U73" s="3">
        <f t="shared" si="2"/>
        <v>128.80000000000001</v>
      </c>
    </row>
    <row r="74" spans="1:25" s="42" customFormat="1" x14ac:dyDescent="0.35">
      <c r="A74" s="51" t="s">
        <v>93</v>
      </c>
      <c r="B74" s="11">
        <v>4.8499999999999996</v>
      </c>
      <c r="C74" s="11">
        <f t="shared" si="3"/>
        <v>5.1052631578947363</v>
      </c>
      <c r="D74" s="11">
        <f t="shared" si="2"/>
        <v>5.3888888888888884</v>
      </c>
      <c r="E74" s="11">
        <f t="shared" si="2"/>
        <v>5.7058823529411766</v>
      </c>
      <c r="F74" s="11">
        <f t="shared" si="2"/>
        <v>6.0624999999999991</v>
      </c>
      <c r="G74" s="11">
        <f t="shared" si="2"/>
        <v>6.4666666666666659</v>
      </c>
      <c r="H74" s="11">
        <f t="shared" si="2"/>
        <v>6.9285714285714288</v>
      </c>
      <c r="I74" s="11">
        <f t="shared" si="2"/>
        <v>7.4615384615384608</v>
      </c>
      <c r="J74" s="11">
        <f t="shared" si="2"/>
        <v>8.0833333333333339</v>
      </c>
      <c r="K74" s="11">
        <f t="shared" si="2"/>
        <v>8.8181818181818166</v>
      </c>
      <c r="L74" s="11">
        <f t="shared" si="2"/>
        <v>9.6999999999999993</v>
      </c>
      <c r="M74" s="11">
        <f t="shared" si="2"/>
        <v>10.777777777777777</v>
      </c>
      <c r="N74" s="11">
        <f t="shared" si="2"/>
        <v>12.124999999999998</v>
      </c>
      <c r="O74" s="11">
        <f t="shared" si="2"/>
        <v>13.857142857142858</v>
      </c>
      <c r="P74" s="11">
        <f t="shared" si="2"/>
        <v>16.166666666666668</v>
      </c>
      <c r="Q74" s="11">
        <f t="shared" si="2"/>
        <v>19.399999999999999</v>
      </c>
      <c r="R74" s="11">
        <f t="shared" si="2"/>
        <v>24.249999999999996</v>
      </c>
      <c r="S74" s="11">
        <f t="shared" si="2"/>
        <v>32.333333333333336</v>
      </c>
      <c r="T74" s="11">
        <f t="shared" si="2"/>
        <v>48.499999999999993</v>
      </c>
      <c r="U74" s="11">
        <f t="shared" si="2"/>
        <v>96.999999999999986</v>
      </c>
    </row>
    <row r="75" spans="1:25" x14ac:dyDescent="0.35">
      <c r="A75" s="13" t="s">
        <v>94</v>
      </c>
      <c r="B75" s="3">
        <v>6.12</v>
      </c>
      <c r="C75" s="3">
        <f t="shared" si="3"/>
        <v>6.4421052631578952</v>
      </c>
      <c r="D75" s="3">
        <f t="shared" ref="D75:U75" si="4">SUM($B75/D$1)</f>
        <v>6.8</v>
      </c>
      <c r="E75" s="3">
        <f t="shared" si="4"/>
        <v>7.2</v>
      </c>
      <c r="F75" s="3">
        <f t="shared" si="4"/>
        <v>7.6499999999999995</v>
      </c>
      <c r="G75" s="3">
        <f t="shared" si="4"/>
        <v>8.16</v>
      </c>
      <c r="H75" s="3">
        <f t="shared" si="4"/>
        <v>8.7428571428571438</v>
      </c>
      <c r="I75" s="3">
        <f t="shared" si="4"/>
        <v>9.4153846153846157</v>
      </c>
      <c r="J75" s="3">
        <f t="shared" si="4"/>
        <v>10.200000000000001</v>
      </c>
      <c r="K75" s="3">
        <f t="shared" si="4"/>
        <v>11.127272727272727</v>
      </c>
      <c r="L75" s="3">
        <f t="shared" si="4"/>
        <v>12.24</v>
      </c>
      <c r="M75" s="3">
        <f t="shared" si="4"/>
        <v>13.6</v>
      </c>
      <c r="N75" s="3">
        <f t="shared" si="4"/>
        <v>15.299999999999999</v>
      </c>
      <c r="O75" s="3">
        <f t="shared" si="4"/>
        <v>17.485714285714288</v>
      </c>
      <c r="P75" s="3">
        <f t="shared" si="4"/>
        <v>20.400000000000002</v>
      </c>
      <c r="Q75" s="3">
        <f t="shared" si="4"/>
        <v>24.48</v>
      </c>
      <c r="R75" s="3">
        <f t="shared" si="4"/>
        <v>30.599999999999998</v>
      </c>
      <c r="S75" s="3">
        <f t="shared" si="4"/>
        <v>40.800000000000004</v>
      </c>
      <c r="T75" s="3">
        <f t="shared" si="4"/>
        <v>61.199999999999996</v>
      </c>
      <c r="U75" s="3">
        <f t="shared" si="4"/>
        <v>122.39999999999999</v>
      </c>
    </row>
    <row r="76" spans="1:25" x14ac:dyDescent="0.35">
      <c r="A76" s="2" t="s">
        <v>95</v>
      </c>
      <c r="B76" s="3">
        <v>6.76</v>
      </c>
      <c r="C76" s="3">
        <f t="shared" si="3"/>
        <v>7.1157894736842104</v>
      </c>
      <c r="D76" s="3">
        <f>SUM(B76/D1)</f>
        <v>7.5111111111111111</v>
      </c>
      <c r="E76" s="3">
        <f>SUM(B76/E1)</f>
        <v>7.9529411764705884</v>
      </c>
      <c r="F76" s="3">
        <f>SUM(B76/F1)</f>
        <v>8.4499999999999993</v>
      </c>
      <c r="G76" s="3">
        <f>SUM(B76/G1)</f>
        <v>9.0133333333333336</v>
      </c>
      <c r="H76" s="3">
        <f>SUM(B76/H1)</f>
        <v>9.6571428571428566</v>
      </c>
      <c r="I76" s="3">
        <f>SUM(B76/I1)</f>
        <v>10.399999999999999</v>
      </c>
      <c r="J76" s="3">
        <f>SUM(B76/J1)</f>
        <v>11.266666666666667</v>
      </c>
      <c r="K76" s="3">
        <f>SUM(B76/K1)</f>
        <v>12.290909090909089</v>
      </c>
      <c r="L76" s="2">
        <f>SUM(B76/L1)</f>
        <v>13.52</v>
      </c>
      <c r="M76" s="3">
        <f>SUM(B76/M1)</f>
        <v>15.022222222222222</v>
      </c>
      <c r="N76" s="3">
        <f>SUM(B76/N1)</f>
        <v>16.899999999999999</v>
      </c>
      <c r="O76" s="3">
        <f>SUM(B76/O1)</f>
        <v>19.314285714285713</v>
      </c>
      <c r="P76" s="3">
        <f>SUM(B76/P1)</f>
        <v>22.533333333333335</v>
      </c>
      <c r="Q76" s="3">
        <f>SUM(B76/Q1)</f>
        <v>27.04</v>
      </c>
      <c r="R76" s="2">
        <f>SUM(B76/R1)</f>
        <v>33.799999999999997</v>
      </c>
      <c r="S76" s="3">
        <f>SUM(B76/S1)</f>
        <v>45.06666666666667</v>
      </c>
      <c r="T76" s="3">
        <f>SUM(B76/T1)</f>
        <v>67.599999999999994</v>
      </c>
      <c r="U76" s="3">
        <f>SUM(B76/U1)</f>
        <v>135.19999999999999</v>
      </c>
    </row>
    <row r="77" spans="1:25" s="12" customFormat="1" x14ac:dyDescent="0.35">
      <c r="A77" s="21" t="s">
        <v>96</v>
      </c>
      <c r="B77" s="22">
        <v>6.76</v>
      </c>
      <c r="C77" s="3">
        <f t="shared" si="3"/>
        <v>7.1157894736842104</v>
      </c>
      <c r="D77" s="3">
        <f t="shared" ref="D77:U77" si="5">SUM($B77/D1)</f>
        <v>7.5111111111111111</v>
      </c>
      <c r="E77" s="3">
        <f t="shared" si="5"/>
        <v>7.9529411764705884</v>
      </c>
      <c r="F77" s="3">
        <f t="shared" si="5"/>
        <v>8.4499999999999993</v>
      </c>
      <c r="G77" s="3">
        <f t="shared" si="5"/>
        <v>9.0133333333333336</v>
      </c>
      <c r="H77" s="3">
        <f t="shared" si="5"/>
        <v>9.6571428571428566</v>
      </c>
      <c r="I77" s="3">
        <f t="shared" si="5"/>
        <v>10.399999999999999</v>
      </c>
      <c r="J77" s="3">
        <f t="shared" si="5"/>
        <v>11.266666666666667</v>
      </c>
      <c r="K77" s="3">
        <f t="shared" si="5"/>
        <v>12.290909090909089</v>
      </c>
      <c r="L77" s="3">
        <f t="shared" si="5"/>
        <v>13.52</v>
      </c>
      <c r="M77" s="3">
        <f t="shared" si="5"/>
        <v>15.022222222222222</v>
      </c>
      <c r="N77" s="3">
        <f t="shared" si="5"/>
        <v>16.899999999999999</v>
      </c>
      <c r="O77" s="3">
        <f t="shared" si="5"/>
        <v>19.314285714285713</v>
      </c>
      <c r="P77" s="3">
        <f t="shared" si="5"/>
        <v>22.533333333333335</v>
      </c>
      <c r="Q77" s="3">
        <f t="shared" si="5"/>
        <v>27.04</v>
      </c>
      <c r="R77" s="3">
        <f t="shared" si="5"/>
        <v>33.799999999999997</v>
      </c>
      <c r="S77" s="3">
        <f t="shared" si="5"/>
        <v>45.06666666666667</v>
      </c>
      <c r="T77" s="3">
        <f t="shared" si="5"/>
        <v>67.599999999999994</v>
      </c>
      <c r="U77" s="3">
        <f t="shared" si="5"/>
        <v>135.19999999999999</v>
      </c>
      <c r="V77"/>
      <c r="W77"/>
      <c r="X77" s="16"/>
      <c r="Y77" s="16"/>
    </row>
    <row r="78" spans="1:25" s="42" customFormat="1" x14ac:dyDescent="0.35">
      <c r="A78" s="48" t="s">
        <v>133</v>
      </c>
      <c r="B78" s="57">
        <v>5.75</v>
      </c>
      <c r="C78" s="11">
        <f t="shared" ref="C78:R79" si="6">SUM($B78/C$1)</f>
        <v>6.052631578947369</v>
      </c>
      <c r="D78" s="11">
        <f t="shared" si="6"/>
        <v>6.3888888888888884</v>
      </c>
      <c r="E78" s="11">
        <f t="shared" si="6"/>
        <v>6.7647058823529411</v>
      </c>
      <c r="F78" s="11">
        <f t="shared" si="6"/>
        <v>7.1875</v>
      </c>
      <c r="G78" s="11">
        <f t="shared" si="6"/>
        <v>7.666666666666667</v>
      </c>
      <c r="H78" s="11">
        <f t="shared" si="6"/>
        <v>8.2142857142857153</v>
      </c>
      <c r="I78" s="11">
        <f t="shared" si="6"/>
        <v>8.8461538461538467</v>
      </c>
      <c r="J78" s="11">
        <f t="shared" si="6"/>
        <v>9.5833333333333339</v>
      </c>
      <c r="K78" s="11">
        <f t="shared" si="6"/>
        <v>10.454545454545453</v>
      </c>
      <c r="L78" s="11">
        <f t="shared" si="6"/>
        <v>11.5</v>
      </c>
      <c r="M78" s="11">
        <f t="shared" si="6"/>
        <v>12.777777777777777</v>
      </c>
      <c r="N78" s="11">
        <f t="shared" si="6"/>
        <v>14.375</v>
      </c>
      <c r="O78" s="11">
        <f t="shared" si="6"/>
        <v>16.428571428571431</v>
      </c>
      <c r="P78" s="11">
        <f t="shared" si="6"/>
        <v>19.166666666666668</v>
      </c>
      <c r="Q78" s="11">
        <f t="shared" si="6"/>
        <v>23</v>
      </c>
      <c r="R78" s="11">
        <f t="shared" si="6"/>
        <v>28.75</v>
      </c>
      <c r="S78" s="11">
        <f t="shared" ref="S78:U79" si="7">SUM($B78/S$1)</f>
        <v>38.333333333333336</v>
      </c>
      <c r="T78" s="11">
        <f t="shared" si="7"/>
        <v>57.5</v>
      </c>
      <c r="U78" s="11">
        <f t="shared" si="7"/>
        <v>115</v>
      </c>
      <c r="X78" s="58"/>
      <c r="Y78" s="58"/>
    </row>
    <row r="79" spans="1:25" s="42" customFormat="1" x14ac:dyDescent="0.35">
      <c r="A79" s="48" t="s">
        <v>132</v>
      </c>
      <c r="B79" s="57">
        <v>3.8</v>
      </c>
      <c r="C79" s="11">
        <f t="shared" si="6"/>
        <v>4</v>
      </c>
      <c r="D79" s="11">
        <f t="shared" si="6"/>
        <v>4.2222222222222223</v>
      </c>
      <c r="E79" s="11">
        <f t="shared" si="6"/>
        <v>4.4705882352941178</v>
      </c>
      <c r="F79" s="11">
        <f t="shared" si="6"/>
        <v>4.7499999999999991</v>
      </c>
      <c r="G79" s="11">
        <f t="shared" si="6"/>
        <v>5.0666666666666664</v>
      </c>
      <c r="H79" s="11">
        <f t="shared" si="6"/>
        <v>5.4285714285714288</v>
      </c>
      <c r="I79" s="11">
        <f t="shared" si="6"/>
        <v>5.8461538461538458</v>
      </c>
      <c r="J79" s="11">
        <f t="shared" si="6"/>
        <v>6.333333333333333</v>
      </c>
      <c r="K79" s="11">
        <f t="shared" si="6"/>
        <v>6.9090909090909083</v>
      </c>
      <c r="L79" s="11">
        <f t="shared" si="6"/>
        <v>7.6</v>
      </c>
      <c r="M79" s="11">
        <f t="shared" si="6"/>
        <v>8.4444444444444446</v>
      </c>
      <c r="N79" s="11">
        <f t="shared" si="6"/>
        <v>9.4999999999999982</v>
      </c>
      <c r="O79" s="11">
        <f t="shared" si="6"/>
        <v>10.857142857142858</v>
      </c>
      <c r="P79" s="11">
        <f t="shared" si="6"/>
        <v>12.666666666666666</v>
      </c>
      <c r="Q79" s="11">
        <f t="shared" si="6"/>
        <v>15.2</v>
      </c>
      <c r="R79" s="11">
        <f t="shared" si="6"/>
        <v>18.999999999999996</v>
      </c>
      <c r="S79" s="11">
        <f t="shared" si="7"/>
        <v>25.333333333333332</v>
      </c>
      <c r="T79" s="11">
        <f t="shared" si="7"/>
        <v>37.999999999999993</v>
      </c>
      <c r="U79" s="11">
        <f t="shared" si="7"/>
        <v>75.999999999999986</v>
      </c>
      <c r="X79" s="58"/>
      <c r="Y79" s="58"/>
    </row>
    <row r="81" spans="1:21" ht="15" thickBot="1" x14ac:dyDescent="0.4">
      <c r="A81" s="10" t="s">
        <v>97</v>
      </c>
      <c r="B81" s="59" t="s">
        <v>98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</row>
    <row r="82" spans="1:21" x14ac:dyDescent="0.35">
      <c r="A82" s="9" t="s">
        <v>0</v>
      </c>
      <c r="B82" s="28" t="s">
        <v>1</v>
      </c>
      <c r="C82" s="29" t="s">
        <v>2</v>
      </c>
      <c r="D82" s="29" t="s">
        <v>3</v>
      </c>
      <c r="E82" s="29" t="s">
        <v>4</v>
      </c>
      <c r="F82" s="29" t="s">
        <v>5</v>
      </c>
      <c r="G82" s="29" t="s">
        <v>6</v>
      </c>
      <c r="H82" s="29" t="s">
        <v>7</v>
      </c>
      <c r="I82" s="6" t="s">
        <v>8</v>
      </c>
      <c r="J82" s="6" t="s">
        <v>9</v>
      </c>
      <c r="K82" s="6" t="s">
        <v>10</v>
      </c>
      <c r="L82" s="6" t="s">
        <v>11</v>
      </c>
      <c r="M82" s="6" t="s">
        <v>12</v>
      </c>
      <c r="N82" s="6" t="s">
        <v>13</v>
      </c>
      <c r="O82" s="6" t="s">
        <v>14</v>
      </c>
      <c r="P82" s="6" t="s">
        <v>15</v>
      </c>
      <c r="Q82" s="6" t="s">
        <v>16</v>
      </c>
      <c r="R82" s="6" t="s">
        <v>17</v>
      </c>
      <c r="S82" s="6" t="s">
        <v>18</v>
      </c>
      <c r="T82" s="6" t="s">
        <v>19</v>
      </c>
      <c r="U82" s="7" t="s">
        <v>20</v>
      </c>
    </row>
    <row r="83" spans="1:21" x14ac:dyDescent="0.35">
      <c r="A83" s="5" t="s">
        <v>21</v>
      </c>
      <c r="B83" s="2">
        <v>13.54</v>
      </c>
      <c r="C83" s="3">
        <f>SUM($B$83*$B$82/C82)</f>
        <v>14.252631578947367</v>
      </c>
      <c r="D83" s="3">
        <f t="shared" ref="D83:U83" si="8">SUM($B$83*$B$82/D82)</f>
        <v>15.044444444444443</v>
      </c>
      <c r="E83" s="3">
        <f t="shared" si="8"/>
        <v>15.929411764705883</v>
      </c>
      <c r="F83" s="3">
        <f t="shared" si="8"/>
        <v>16.924999999999997</v>
      </c>
      <c r="G83" s="3">
        <f t="shared" si="8"/>
        <v>18.053333333333331</v>
      </c>
      <c r="H83" s="3">
        <f t="shared" si="8"/>
        <v>19.342857142857142</v>
      </c>
      <c r="I83" s="3">
        <f t="shared" si="8"/>
        <v>20.830769230769228</v>
      </c>
      <c r="J83" s="3">
        <f t="shared" si="8"/>
        <v>22.566666666666666</v>
      </c>
      <c r="K83" s="3">
        <f t="shared" si="8"/>
        <v>24.618181818181814</v>
      </c>
      <c r="L83" s="3">
        <f t="shared" si="8"/>
        <v>27.08</v>
      </c>
      <c r="M83" s="3">
        <f t="shared" si="8"/>
        <v>30.088888888888885</v>
      </c>
      <c r="N83" s="3">
        <f t="shared" si="8"/>
        <v>33.849999999999994</v>
      </c>
      <c r="O83" s="3">
        <f t="shared" si="8"/>
        <v>38.685714285714283</v>
      </c>
      <c r="P83" s="3">
        <f t="shared" si="8"/>
        <v>45.133333333333333</v>
      </c>
      <c r="Q83" s="3">
        <f t="shared" si="8"/>
        <v>54.16</v>
      </c>
      <c r="R83" s="3">
        <f t="shared" si="8"/>
        <v>67.699999999999989</v>
      </c>
      <c r="S83" s="3">
        <f t="shared" si="8"/>
        <v>90.266666666666666</v>
      </c>
      <c r="T83" s="3">
        <f t="shared" si="8"/>
        <v>135.39999999999998</v>
      </c>
      <c r="U83" s="3">
        <f t="shared" si="8"/>
        <v>270.79999999999995</v>
      </c>
    </row>
    <row r="84" spans="1:21" x14ac:dyDescent="0.35">
      <c r="A84" s="5" t="s">
        <v>22</v>
      </c>
      <c r="B84" s="2">
        <v>13.54</v>
      </c>
      <c r="C84" s="3">
        <f>SUM($B$84*$B$82/C82)</f>
        <v>14.252631578947367</v>
      </c>
      <c r="D84" s="3">
        <f>SUM($B$84*$B$82/D82)</f>
        <v>15.044444444444443</v>
      </c>
      <c r="E84" s="3">
        <f>SUM($B$84*$B$82/E82)</f>
        <v>15.929411764705883</v>
      </c>
      <c r="F84" s="3">
        <f t="shared" ref="F84:U84" si="9">SUM($B$84*$B$82/F82)</f>
        <v>16.924999999999997</v>
      </c>
      <c r="G84" s="3">
        <f t="shared" si="9"/>
        <v>18.053333333333331</v>
      </c>
      <c r="H84" s="3">
        <f t="shared" si="9"/>
        <v>19.342857142857142</v>
      </c>
      <c r="I84" s="3">
        <f t="shared" si="9"/>
        <v>20.830769230769228</v>
      </c>
      <c r="J84" s="3">
        <f t="shared" si="9"/>
        <v>22.566666666666666</v>
      </c>
      <c r="K84" s="3">
        <f t="shared" si="9"/>
        <v>24.618181818181814</v>
      </c>
      <c r="L84" s="3">
        <f t="shared" si="9"/>
        <v>27.08</v>
      </c>
      <c r="M84" s="3">
        <f t="shared" si="9"/>
        <v>30.088888888888885</v>
      </c>
      <c r="N84" s="3">
        <f t="shared" si="9"/>
        <v>33.849999999999994</v>
      </c>
      <c r="O84" s="3">
        <f t="shared" si="9"/>
        <v>38.685714285714283</v>
      </c>
      <c r="P84" s="3">
        <f t="shared" si="9"/>
        <v>45.133333333333333</v>
      </c>
      <c r="Q84" s="3">
        <f t="shared" si="9"/>
        <v>54.16</v>
      </c>
      <c r="R84" s="3">
        <f t="shared" si="9"/>
        <v>67.699999999999989</v>
      </c>
      <c r="S84" s="3">
        <f t="shared" si="9"/>
        <v>90.266666666666666</v>
      </c>
      <c r="T84" s="3">
        <f t="shared" si="9"/>
        <v>135.39999999999998</v>
      </c>
      <c r="U84" s="3">
        <f t="shared" si="9"/>
        <v>270.79999999999995</v>
      </c>
    </row>
    <row r="85" spans="1:21" x14ac:dyDescent="0.35">
      <c r="A85" s="5" t="s">
        <v>23</v>
      </c>
      <c r="B85" s="2">
        <v>15.11</v>
      </c>
      <c r="C85" s="3">
        <f>SUM(B85*B82/C82)</f>
        <v>15.905263157894737</v>
      </c>
      <c r="D85" s="3">
        <f>SUM(B85*B82/D82)</f>
        <v>16.788888888888888</v>
      </c>
      <c r="E85" s="3">
        <f>SUM(B85*B82/E82)</f>
        <v>17.776470588235295</v>
      </c>
      <c r="F85" s="3">
        <f>SUM(B85*B82/F82)</f>
        <v>18.887499999999999</v>
      </c>
      <c r="G85" s="3">
        <f>SUM(B85*B82/G82)</f>
        <v>20.146666666666665</v>
      </c>
      <c r="H85" s="3">
        <f>SUM(B85*B82/H82)</f>
        <v>21.585714285714285</v>
      </c>
      <c r="I85" s="3">
        <f>SUM(B85*B82/I82)</f>
        <v>23.246153846153845</v>
      </c>
      <c r="J85" s="3">
        <f>SUM(B85*B82/J82)</f>
        <v>25.183333333333334</v>
      </c>
      <c r="K85" s="3">
        <f>SUM(B85*B82/K82)</f>
        <v>27.472727272727269</v>
      </c>
      <c r="L85" s="2">
        <f>SUM(B85*B82/L82)</f>
        <v>30.22</v>
      </c>
      <c r="M85" s="3">
        <f>SUM(B85*B82/M82)</f>
        <v>33.577777777777776</v>
      </c>
      <c r="N85" s="3">
        <f>SUM(B85*B82/N82)</f>
        <v>37.774999999999999</v>
      </c>
      <c r="O85" s="3">
        <f>SUM(B85*B82/O82)</f>
        <v>43.171428571428571</v>
      </c>
      <c r="P85" s="3">
        <f>SUM(B85*B82/P82)</f>
        <v>50.366666666666667</v>
      </c>
      <c r="Q85" s="3">
        <f>SUM(B85*B82/Q82)</f>
        <v>60.44</v>
      </c>
      <c r="R85" s="3">
        <f>SUM(B85*B82/R82)</f>
        <v>75.55</v>
      </c>
      <c r="S85" s="3">
        <f>SUM(B85*B82/S82)</f>
        <v>100.73333333333333</v>
      </c>
      <c r="T85" s="3">
        <f>SUM(B85*B82/T82)</f>
        <v>151.1</v>
      </c>
      <c r="U85" s="4">
        <f>SUM(B85*B82/U82)</f>
        <v>302.2</v>
      </c>
    </row>
    <row r="86" spans="1:21" x14ac:dyDescent="0.35">
      <c r="A86" s="1" t="s">
        <v>24</v>
      </c>
      <c r="B86" s="2">
        <v>13.56</v>
      </c>
      <c r="C86" s="3">
        <f>SUM(B86*B82/C82)</f>
        <v>14.273684210526318</v>
      </c>
      <c r="D86" s="3">
        <f>SUM(B86*B82/D82)</f>
        <v>15.066666666666666</v>
      </c>
      <c r="E86" s="3">
        <f>SUM(B86*B82/E82)</f>
        <v>15.952941176470588</v>
      </c>
      <c r="F86" s="3">
        <f>SUM(B86*B82/F82)</f>
        <v>16.95</v>
      </c>
      <c r="G86" s="3">
        <f>SUM(B86*B82/G82)</f>
        <v>18.080000000000002</v>
      </c>
      <c r="H86" s="3">
        <f>SUM(B86*B82/H82)</f>
        <v>19.371428571428574</v>
      </c>
      <c r="I86" s="3">
        <f>SUM(B86*B82/I82)</f>
        <v>20.861538461538462</v>
      </c>
      <c r="J86" s="3">
        <f>SUM(B86*B82/J82)</f>
        <v>22.6</v>
      </c>
      <c r="K86" s="3">
        <f>SUM(B86*B82/K82)</f>
        <v>24.654545454545453</v>
      </c>
      <c r="L86" s="2">
        <f>SUM(B86*B82/L82)</f>
        <v>27.12</v>
      </c>
      <c r="M86" s="3">
        <f>SUM(B86*B82/M82)</f>
        <v>30.133333333333333</v>
      </c>
      <c r="N86" s="3">
        <f>SUM(B86*B82/N82)</f>
        <v>33.9</v>
      </c>
      <c r="O86" s="3">
        <f>SUM(B86*B82/O82)</f>
        <v>38.742857142857147</v>
      </c>
      <c r="P86" s="3">
        <f>SUM(B86*B82/P82)</f>
        <v>45.2</v>
      </c>
      <c r="Q86" s="3">
        <f>SUM(B86*B82/Q82)</f>
        <v>54.24</v>
      </c>
      <c r="R86" s="3">
        <f>SUM(B86*B82/R82)</f>
        <v>67.8</v>
      </c>
      <c r="S86" s="3">
        <f>SUM(B86*B82/S82)</f>
        <v>90.4</v>
      </c>
      <c r="T86" s="3">
        <f>SUM(B86*B82/T82)</f>
        <v>135.6</v>
      </c>
      <c r="U86" s="4">
        <f>SUM(B86*B82/U82)</f>
        <v>271.2</v>
      </c>
    </row>
    <row r="87" spans="1:21" x14ac:dyDescent="0.35">
      <c r="A87" s="5" t="s">
        <v>25</v>
      </c>
      <c r="B87" s="2">
        <v>15.11</v>
      </c>
      <c r="C87" s="3">
        <f>SUM(B87*B82/C82)</f>
        <v>15.905263157894737</v>
      </c>
      <c r="D87" s="3">
        <f>SUM(B87*B82/D82)</f>
        <v>16.788888888888888</v>
      </c>
      <c r="E87" s="3">
        <f>SUM(B87*B82/E82)</f>
        <v>17.776470588235295</v>
      </c>
      <c r="F87" s="3">
        <f>SUM(B87*B82/F82)</f>
        <v>18.887499999999999</v>
      </c>
      <c r="G87" s="3">
        <f>SUM(B87*B82/G82)</f>
        <v>20.146666666666665</v>
      </c>
      <c r="H87" s="3">
        <f>SUM(B87*B82/H82)</f>
        <v>21.585714285714285</v>
      </c>
      <c r="I87" s="3">
        <f>SUM(B87*B82/I82)</f>
        <v>23.246153846153845</v>
      </c>
      <c r="J87" s="3">
        <f>SUM(B87*B82/J82)</f>
        <v>25.183333333333334</v>
      </c>
      <c r="K87" s="3">
        <f>SUM(B87*B82/K82)</f>
        <v>27.472727272727269</v>
      </c>
      <c r="L87" s="2">
        <f>SUM(B87*B82/L82)</f>
        <v>30.22</v>
      </c>
      <c r="M87" s="3">
        <f>SUM(K87*K82/M82)</f>
        <v>33.577777777777776</v>
      </c>
      <c r="N87" s="3">
        <f>SUM(B87*B82/N82)</f>
        <v>37.774999999999999</v>
      </c>
      <c r="O87" s="3">
        <f>SUM(M87*M82/O82)</f>
        <v>43.171428571428571</v>
      </c>
      <c r="P87" s="3">
        <f>SUM(B87*B82/P82)</f>
        <v>50.366666666666667</v>
      </c>
      <c r="Q87" s="3">
        <f>SUM(O87*O82/Q82)</f>
        <v>60.44</v>
      </c>
      <c r="R87" s="3">
        <f>SUM(B87*B82/R82)</f>
        <v>75.55</v>
      </c>
      <c r="S87" s="3">
        <f>SUM(Q87*Q82/S82)</f>
        <v>100.73333333333333</v>
      </c>
      <c r="T87" s="3">
        <f>SUM(B87*B82/T82)</f>
        <v>151.1</v>
      </c>
      <c r="U87" s="4">
        <f>SUM(S87*S82/U82)</f>
        <v>302.2</v>
      </c>
    </row>
    <row r="88" spans="1:21" x14ac:dyDescent="0.35">
      <c r="A88" s="1" t="s">
        <v>26</v>
      </c>
      <c r="B88" s="2">
        <v>9.86</v>
      </c>
      <c r="C88" s="3">
        <f>SUM(B88*B82/C82)</f>
        <v>10.378947368421052</v>
      </c>
      <c r="D88" s="3">
        <f>SUM(B88*B82/D82)</f>
        <v>10.955555555555554</v>
      </c>
      <c r="E88" s="3">
        <f>SUM(B88*B82/E82)</f>
        <v>11.6</v>
      </c>
      <c r="F88" s="3">
        <f>SUM(B88*B82/F82)</f>
        <v>12.324999999999999</v>
      </c>
      <c r="G88" s="3">
        <f>SUM(B88*B82/G82)</f>
        <v>13.146666666666667</v>
      </c>
      <c r="H88" s="3">
        <f>SUM(B88*B82/H82)</f>
        <v>14.085714285714285</v>
      </c>
      <c r="I88" s="3">
        <f>SUM(B88*B82/I82)</f>
        <v>15.169230769230769</v>
      </c>
      <c r="J88" s="3">
        <f>SUM(B88*B82/J82)</f>
        <v>16.433333333333334</v>
      </c>
      <c r="K88" s="3">
        <f>SUM(B88*B82/K82)</f>
        <v>17.927272727272726</v>
      </c>
      <c r="L88" s="2">
        <f>SUM(B88*B82/L82)</f>
        <v>19.72</v>
      </c>
      <c r="M88" s="3">
        <f>SUM(K88*K82/M82)</f>
        <v>21.911111111111108</v>
      </c>
      <c r="N88" s="3">
        <f>SUM(B88*B82/N82)</f>
        <v>24.65</v>
      </c>
      <c r="O88" s="3">
        <f>SUM(M88*M82/O82)</f>
        <v>28.171428571428571</v>
      </c>
      <c r="P88" s="3">
        <f>SUM(B88*B82/P82)</f>
        <v>32.866666666666667</v>
      </c>
      <c r="Q88" s="3">
        <f>SUM(O88*O82/Q82)</f>
        <v>39.44</v>
      </c>
      <c r="R88" s="3">
        <f>SUM(B88*B82/R82)</f>
        <v>49.3</v>
      </c>
      <c r="S88" s="3">
        <f>SUM(Q88*Q82/S82)</f>
        <v>65.733333333333334</v>
      </c>
      <c r="T88" s="3">
        <f>SUM(B88*B82/T82)</f>
        <v>98.6</v>
      </c>
      <c r="U88" s="4">
        <f>SUM(S88*S82/U82)</f>
        <v>197.2</v>
      </c>
    </row>
    <row r="89" spans="1:21" x14ac:dyDescent="0.35">
      <c r="A89" s="5" t="s">
        <v>27</v>
      </c>
      <c r="B89" s="2">
        <v>15.11</v>
      </c>
      <c r="C89" s="3">
        <f>SUM(B89*B82/C82)</f>
        <v>15.905263157894737</v>
      </c>
      <c r="D89" s="3">
        <f>SUM(B89*B82/D82)</f>
        <v>16.788888888888888</v>
      </c>
      <c r="E89" s="3">
        <f>SUM(B89*B82/E82)</f>
        <v>17.776470588235295</v>
      </c>
      <c r="F89" s="3">
        <f>SUM(B89*B82/F82)</f>
        <v>18.887499999999999</v>
      </c>
      <c r="G89" s="3">
        <f>SUM(B89*B82/G82)</f>
        <v>20.146666666666665</v>
      </c>
      <c r="H89" s="3">
        <f>SUM(B89*B82/H82)</f>
        <v>21.585714285714285</v>
      </c>
      <c r="I89" s="3">
        <f>SUM(B89*B82/I82)</f>
        <v>23.246153846153845</v>
      </c>
      <c r="J89" s="3">
        <f>SUM(B89*B82/J82)</f>
        <v>25.183333333333334</v>
      </c>
      <c r="K89" s="3">
        <f>SUM(B89*B82/K82)</f>
        <v>27.472727272727269</v>
      </c>
      <c r="L89" s="2">
        <f>SUM(B89*B82/L82)</f>
        <v>30.22</v>
      </c>
      <c r="M89" s="3">
        <f>SUM(K89*K82/M82)</f>
        <v>33.577777777777776</v>
      </c>
      <c r="N89" s="3">
        <f>SUM(B89*B82/N82)</f>
        <v>37.774999999999999</v>
      </c>
      <c r="O89" s="3">
        <f>SUM(M89*M82/O82)</f>
        <v>43.171428571428571</v>
      </c>
      <c r="P89" s="3">
        <f>SUM(B89*B82/P82)</f>
        <v>50.366666666666667</v>
      </c>
      <c r="Q89" s="3">
        <f>SUM(O89*O82/Q82)</f>
        <v>60.44</v>
      </c>
      <c r="R89" s="3">
        <f>SUM(B89*B82/R82)</f>
        <v>75.55</v>
      </c>
      <c r="S89" s="3">
        <f>SUM(Q89*Q82/S82)</f>
        <v>100.73333333333333</v>
      </c>
      <c r="T89" s="3">
        <f>SUM(B89*B82/T82)</f>
        <v>151.1</v>
      </c>
      <c r="U89" s="4">
        <f>SUM(S89*S82/U82)</f>
        <v>302.2</v>
      </c>
    </row>
    <row r="90" spans="1:21" x14ac:dyDescent="0.35">
      <c r="A90" s="1" t="s">
        <v>28</v>
      </c>
      <c r="B90" s="2">
        <v>15.11</v>
      </c>
      <c r="C90" s="3">
        <f>SUM(B90*B82/C82)</f>
        <v>15.905263157894737</v>
      </c>
      <c r="D90" s="3">
        <f>SUM(B90*B82/D82)</f>
        <v>16.788888888888888</v>
      </c>
      <c r="E90" s="3">
        <f>SUM(B90*B82/E82)</f>
        <v>17.776470588235295</v>
      </c>
      <c r="F90" s="3">
        <f>SUM(B90*B82/F82)</f>
        <v>18.887499999999999</v>
      </c>
      <c r="G90" s="3">
        <f>SUM(B90*B82/G82)</f>
        <v>20.146666666666665</v>
      </c>
      <c r="H90" s="3">
        <f>SUM(B90*B82/H82)</f>
        <v>21.585714285714285</v>
      </c>
      <c r="I90" s="3">
        <f>SUM(B90*B82/I82)</f>
        <v>23.246153846153845</v>
      </c>
      <c r="J90" s="3">
        <f>SUM(B90*B82/J82)</f>
        <v>25.183333333333334</v>
      </c>
      <c r="K90" s="3">
        <f>SUM(B90*B82/K82)</f>
        <v>27.472727272727269</v>
      </c>
      <c r="L90" s="2">
        <f>SUM(B90*B82/L82)</f>
        <v>30.22</v>
      </c>
      <c r="M90" s="3">
        <f>SUM(K90*K82/M82)</f>
        <v>33.577777777777776</v>
      </c>
      <c r="N90" s="3">
        <f>SUM(B90*B82/N82)</f>
        <v>37.774999999999999</v>
      </c>
      <c r="O90" s="3">
        <f>SUM(M90*M82/O82)</f>
        <v>43.171428571428571</v>
      </c>
      <c r="P90" s="3">
        <f>SUM(B90*B82/P82)</f>
        <v>50.366666666666667</v>
      </c>
      <c r="Q90" s="3">
        <f>SUM(O90*O82/Q82)</f>
        <v>60.44</v>
      </c>
      <c r="R90" s="3">
        <f>SUM(B90*B82/R82)</f>
        <v>75.55</v>
      </c>
      <c r="S90" s="3">
        <f>SUM(Q90*Q82/S82)</f>
        <v>100.73333333333333</v>
      </c>
      <c r="T90" s="3">
        <f>SUM(B90*B82/T82)</f>
        <v>151.1</v>
      </c>
      <c r="U90" s="4">
        <f>SUM(S90*S82/U82)</f>
        <v>302.2</v>
      </c>
    </row>
    <row r="91" spans="1:21" x14ac:dyDescent="0.35">
      <c r="A91" s="5" t="s">
        <v>29</v>
      </c>
      <c r="B91" s="2">
        <v>13.26</v>
      </c>
      <c r="C91" s="3">
        <f>SUM(B91*B82/C82)</f>
        <v>13.957894736842105</v>
      </c>
      <c r="D91" s="3">
        <f>SUM(B91*B82/D82)</f>
        <v>14.733333333333333</v>
      </c>
      <c r="E91" s="3">
        <f>SUM(B91*B82/E82)</f>
        <v>15.6</v>
      </c>
      <c r="F91" s="3">
        <f>SUM(B91*B82/F82)</f>
        <v>16.574999999999999</v>
      </c>
      <c r="G91" s="3">
        <f>SUM(B91*B82/G82)</f>
        <v>17.68</v>
      </c>
      <c r="H91" s="3">
        <f>SUM(B91*B82/H82)</f>
        <v>18.942857142857143</v>
      </c>
      <c r="I91" s="3">
        <f>SUM(B91*B82/I82)</f>
        <v>20.399999999999999</v>
      </c>
      <c r="J91" s="3">
        <f>SUM(B91*B82/J82)</f>
        <v>22.1</v>
      </c>
      <c r="K91" s="3">
        <f>SUM(B91*B82/K82)</f>
        <v>24.109090909090906</v>
      </c>
      <c r="L91" s="2">
        <f>SUM(B91*B82/L82)</f>
        <v>26.52</v>
      </c>
      <c r="M91" s="3">
        <f>SUM(K91*K82/M82)</f>
        <v>29.466666666666665</v>
      </c>
      <c r="N91" s="3">
        <f>SUM(B91*B82/N82)</f>
        <v>33.15</v>
      </c>
      <c r="O91" s="3">
        <f>SUM(M91*M82/O82)</f>
        <v>37.885714285714286</v>
      </c>
      <c r="P91" s="3">
        <f>SUM(B91*B82/P82)</f>
        <v>44.2</v>
      </c>
      <c r="Q91" s="3">
        <f>SUM(O91*O82/Q82)</f>
        <v>53.04</v>
      </c>
      <c r="R91" s="3">
        <f>SUM(B91*B82/R82)</f>
        <v>66.3</v>
      </c>
      <c r="S91" s="3">
        <f>SUM(Q91*Q82/S82)</f>
        <v>88.4</v>
      </c>
      <c r="T91" s="3">
        <f>SUM(B91*B82/T82)</f>
        <v>132.6</v>
      </c>
      <c r="U91" s="4">
        <f>SUM(S91*S82/U82)</f>
        <v>265.2</v>
      </c>
    </row>
    <row r="92" spans="1:21" x14ac:dyDescent="0.35">
      <c r="A92" s="1" t="s">
        <v>30</v>
      </c>
      <c r="B92" s="2">
        <v>15.11</v>
      </c>
      <c r="C92" s="3">
        <f>SUM(B92*B82/C82)</f>
        <v>15.905263157894737</v>
      </c>
      <c r="D92" s="3">
        <f>SUM(B92*B82/D82)</f>
        <v>16.788888888888888</v>
      </c>
      <c r="E92" s="3">
        <f>SUM(B92*B82/E82)</f>
        <v>17.776470588235295</v>
      </c>
      <c r="F92" s="3">
        <f>SUM(B92*B82/F82)</f>
        <v>18.887499999999999</v>
      </c>
      <c r="G92" s="3">
        <f>SUM(B92*B82/G82)</f>
        <v>20.146666666666665</v>
      </c>
      <c r="H92" s="3">
        <f>SUM(B92*B82/H82)</f>
        <v>21.585714285714285</v>
      </c>
      <c r="I92" s="3">
        <f>SUM(B92*B82/I82)</f>
        <v>23.246153846153845</v>
      </c>
      <c r="J92" s="3">
        <f>SUM(B92*B82/J82)</f>
        <v>25.183333333333334</v>
      </c>
      <c r="K92" s="3">
        <f>SUM(B92*B82/K82)</f>
        <v>27.472727272727269</v>
      </c>
      <c r="L92" s="2">
        <f>SUM(B92*B82/L82)</f>
        <v>30.22</v>
      </c>
      <c r="M92" s="3">
        <f>SUM(K92*K82/M82)</f>
        <v>33.577777777777776</v>
      </c>
      <c r="N92" s="3">
        <f>SUM(B92*B82/N82)</f>
        <v>37.774999999999999</v>
      </c>
      <c r="O92" s="3">
        <f>SUM(M92*M82/O82)</f>
        <v>43.171428571428571</v>
      </c>
      <c r="P92" s="3">
        <f>SUM(B92*B82/P82)</f>
        <v>50.366666666666667</v>
      </c>
      <c r="Q92" s="3">
        <f>SUM(O92*O82/Q82)</f>
        <v>60.44</v>
      </c>
      <c r="R92" s="3">
        <f>SUM(B92*B82/R82)</f>
        <v>75.55</v>
      </c>
      <c r="S92" s="3">
        <f>SUM(Q92*Q82/S82)</f>
        <v>100.73333333333333</v>
      </c>
      <c r="T92" s="3">
        <f>SUM(B92*B82/T82)</f>
        <v>151.1</v>
      </c>
      <c r="U92" s="4">
        <f>SUM(S92*S82/U82)</f>
        <v>302.2</v>
      </c>
    </row>
    <row r="93" spans="1:21" x14ac:dyDescent="0.35">
      <c r="A93" s="5" t="s">
        <v>31</v>
      </c>
      <c r="B93" s="2">
        <v>13.26</v>
      </c>
      <c r="C93" s="3">
        <f>SUM(B93*B82/C82)</f>
        <v>13.957894736842105</v>
      </c>
      <c r="D93" s="3">
        <f>SUM(B93*B82/D82)</f>
        <v>14.733333333333333</v>
      </c>
      <c r="E93" s="3">
        <f>SUM(B93*B82/E82)</f>
        <v>15.6</v>
      </c>
      <c r="F93" s="3">
        <f>SUM(B93*B82/F82)</f>
        <v>16.574999999999999</v>
      </c>
      <c r="G93" s="3">
        <f>SUM(B93*B82/G82)</f>
        <v>17.68</v>
      </c>
      <c r="H93" s="3">
        <f>SUM(B93*B82/H82)</f>
        <v>18.942857142857143</v>
      </c>
      <c r="I93" s="3">
        <f>SUM(B93*B82/I82)</f>
        <v>20.399999999999999</v>
      </c>
      <c r="J93" s="3">
        <f>SUM(B93*B82/J82)</f>
        <v>22.1</v>
      </c>
      <c r="K93" s="3">
        <f>SUM(B93*B82/K82)</f>
        <v>24.109090909090906</v>
      </c>
      <c r="L93" s="2">
        <f>SUM(B93*B82/L82)</f>
        <v>26.52</v>
      </c>
      <c r="M93" s="3">
        <f>SUM(K93*K82/M82)</f>
        <v>29.466666666666665</v>
      </c>
      <c r="N93" s="3">
        <f>SUM(B93*B82/N82)</f>
        <v>33.15</v>
      </c>
      <c r="O93" s="3">
        <f>SUM(M93*M82/O82)</f>
        <v>37.885714285714286</v>
      </c>
      <c r="P93" s="3">
        <f>SUM(B93*B82/P82)</f>
        <v>44.2</v>
      </c>
      <c r="Q93" s="3">
        <f>SUM(O93*O82/Q82)</f>
        <v>53.04</v>
      </c>
      <c r="R93" s="3">
        <f>SUM(B93*B82/R82)</f>
        <v>66.3</v>
      </c>
      <c r="S93" s="3">
        <f>SUM(Q93*Q82/S82)</f>
        <v>88.4</v>
      </c>
      <c r="T93" s="3">
        <f>SUM(B93*B82/T82)</f>
        <v>132.6</v>
      </c>
      <c r="U93" s="4">
        <f>SUM(S93*S82/U82)</f>
        <v>265.2</v>
      </c>
    </row>
    <row r="94" spans="1:21" x14ac:dyDescent="0.35">
      <c r="A94" s="1" t="s">
        <v>32</v>
      </c>
      <c r="B94" s="2">
        <v>15.11</v>
      </c>
      <c r="C94" s="3">
        <f>SUM(B94*B82/C82)</f>
        <v>15.905263157894737</v>
      </c>
      <c r="D94" s="3">
        <f>SUM(B94*B82/D82)</f>
        <v>16.788888888888888</v>
      </c>
      <c r="E94" s="3">
        <f>SUM(B94*B82/E82)</f>
        <v>17.776470588235295</v>
      </c>
      <c r="F94" s="3">
        <f>SUM(B94*B82/F82)</f>
        <v>18.887499999999999</v>
      </c>
      <c r="G94" s="3">
        <f>SUM(B94*B82/G82)</f>
        <v>20.146666666666665</v>
      </c>
      <c r="H94" s="3">
        <f>SUM(B94*B82/H82)</f>
        <v>21.585714285714285</v>
      </c>
      <c r="I94" s="3">
        <f>SUM(B94*B82/I82)</f>
        <v>23.246153846153845</v>
      </c>
      <c r="J94" s="3">
        <f>SUM(B94*B82/J82)</f>
        <v>25.183333333333334</v>
      </c>
      <c r="K94" s="3">
        <f>SUM(B94*B82/K82)</f>
        <v>27.472727272727269</v>
      </c>
      <c r="L94" s="2">
        <f>SUM(B94*B82/L82)</f>
        <v>30.22</v>
      </c>
      <c r="M94" s="3">
        <f>SUM(K94*K82/M82)</f>
        <v>33.577777777777776</v>
      </c>
      <c r="N94" s="3">
        <f>SUM(B94*B82/N82)</f>
        <v>37.774999999999999</v>
      </c>
      <c r="O94" s="3">
        <f>SUM(M94*M82/O82)</f>
        <v>43.171428571428571</v>
      </c>
      <c r="P94" s="3">
        <f>SUM(B94*B82/P82)</f>
        <v>50.366666666666667</v>
      </c>
      <c r="Q94" s="3">
        <f>SUM(O94*O82/Q82)</f>
        <v>60.44</v>
      </c>
      <c r="R94" s="3">
        <f>SUM(B94*B82/R82)</f>
        <v>75.55</v>
      </c>
      <c r="S94" s="3">
        <f>SUM(Q94*Q82/S82)</f>
        <v>100.73333333333333</v>
      </c>
      <c r="T94" s="3">
        <f>SUM(B94*B82/T82)</f>
        <v>151.1</v>
      </c>
      <c r="U94" s="4">
        <f>SUM(S94*S82/U82)</f>
        <v>302.2</v>
      </c>
    </row>
    <row r="95" spans="1:21" x14ac:dyDescent="0.35">
      <c r="A95" s="5" t="s">
        <v>33</v>
      </c>
      <c r="B95" s="2">
        <v>13.57</v>
      </c>
      <c r="C95" s="3">
        <f>SUM(B95*B82/C82)</f>
        <v>14.284210526315791</v>
      </c>
      <c r="D95" s="3">
        <f>SUM(B95*B82/D82)</f>
        <v>15.077777777777778</v>
      </c>
      <c r="E95" s="3">
        <f>SUM(B95*B82/E82)</f>
        <v>15.964705882352941</v>
      </c>
      <c r="F95" s="3">
        <f>SUM(B95*B82/F82)</f>
        <v>16.962499999999999</v>
      </c>
      <c r="G95" s="3">
        <f>SUM(B95*B82/G82)</f>
        <v>18.093333333333334</v>
      </c>
      <c r="H95" s="3">
        <f>SUM(B95*B82/H82)</f>
        <v>19.385714285714286</v>
      </c>
      <c r="I95" s="3">
        <f>SUM(B95*B82/I82)</f>
        <v>20.876923076923077</v>
      </c>
      <c r="J95" s="3">
        <f>SUM(B95*B82/J82)</f>
        <v>22.616666666666667</v>
      </c>
      <c r="K95" s="3">
        <f>SUM(B95*B82/K82)</f>
        <v>24.672727272727272</v>
      </c>
      <c r="L95" s="2">
        <f>SUM(B95*B82/L82)</f>
        <v>27.14</v>
      </c>
      <c r="M95" s="3">
        <f>SUM(K95*K82/M82)</f>
        <v>30.155555555555555</v>
      </c>
      <c r="N95" s="3">
        <f>SUM(B95*B82/N82)</f>
        <v>33.924999999999997</v>
      </c>
      <c r="O95" s="3">
        <f>SUM(M95*M82/O82)</f>
        <v>38.771428571428572</v>
      </c>
      <c r="P95" s="3">
        <f>SUM(B95*B82/P82)</f>
        <v>45.233333333333334</v>
      </c>
      <c r="Q95" s="3">
        <f>SUM(O95*O82/Q82)</f>
        <v>54.28</v>
      </c>
      <c r="R95" s="3">
        <f>SUM(B95*B82/R82)</f>
        <v>67.849999999999994</v>
      </c>
      <c r="S95" s="3">
        <f>SUM(Q95*Q82/S82)</f>
        <v>90.466666666666669</v>
      </c>
      <c r="T95" s="3">
        <f>SUM(B95*B82/T82)</f>
        <v>135.69999999999999</v>
      </c>
      <c r="U95" s="4">
        <f>SUM(S95*S82/U82)</f>
        <v>271.39999999999998</v>
      </c>
    </row>
    <row r="96" spans="1:21" x14ac:dyDescent="0.35">
      <c r="A96" s="1" t="s">
        <v>34</v>
      </c>
      <c r="B96" s="2">
        <v>15.11</v>
      </c>
      <c r="C96" s="3">
        <f>SUM(B96*B82/C82)</f>
        <v>15.905263157894737</v>
      </c>
      <c r="D96" s="3">
        <f>SUM(B96*B82/D82)</f>
        <v>16.788888888888888</v>
      </c>
      <c r="E96" s="3">
        <f>SUM(B96*B82/E82)</f>
        <v>17.776470588235295</v>
      </c>
      <c r="F96" s="3">
        <f>SUM(B96*B82/F82)</f>
        <v>18.887499999999999</v>
      </c>
      <c r="G96" s="3">
        <f>SUM(B96*B82/G82)</f>
        <v>20.146666666666665</v>
      </c>
      <c r="H96" s="3">
        <f>SUM(B96*B82/H82)</f>
        <v>21.585714285714285</v>
      </c>
      <c r="I96" s="3">
        <f>SUM(B96*B82/I82)</f>
        <v>23.246153846153845</v>
      </c>
      <c r="J96" s="3">
        <f>SUM(B96*B82/J82)</f>
        <v>25.183333333333334</v>
      </c>
      <c r="K96" s="3">
        <f>SUM(B96*B82/K82)</f>
        <v>27.472727272727269</v>
      </c>
      <c r="L96" s="2">
        <f>SUM(B96*B82/L82)</f>
        <v>30.22</v>
      </c>
      <c r="M96" s="3">
        <f>SUM(K96*K82/M82)</f>
        <v>33.577777777777776</v>
      </c>
      <c r="N96" s="3">
        <f>SUM(B96*B82/N82)</f>
        <v>37.774999999999999</v>
      </c>
      <c r="O96" s="3">
        <f>SUM(M96*M82/O82)</f>
        <v>43.171428571428571</v>
      </c>
      <c r="P96" s="3">
        <f>SUM(B96*B82/P82)</f>
        <v>50.366666666666667</v>
      </c>
      <c r="Q96" s="3">
        <f>SUM(O96*O82/Q82)</f>
        <v>60.44</v>
      </c>
      <c r="R96" s="3">
        <f>SUM(B96*B82/R82)</f>
        <v>75.55</v>
      </c>
      <c r="S96" s="3">
        <f>SUM(Q96*Q82/S82)</f>
        <v>100.73333333333333</v>
      </c>
      <c r="T96" s="3">
        <f>SUM(B96*B82/T82)</f>
        <v>151.1</v>
      </c>
      <c r="U96" s="4">
        <f>SUM(S96*S82/U82)</f>
        <v>302.2</v>
      </c>
    </row>
    <row r="97" spans="1:21" x14ac:dyDescent="0.35">
      <c r="A97" s="5" t="s">
        <v>35</v>
      </c>
      <c r="B97" s="2">
        <v>10.02</v>
      </c>
      <c r="C97" s="3">
        <f>SUM(B97*B82/C82)</f>
        <v>10.547368421052632</v>
      </c>
      <c r="D97" s="3">
        <f>SUM(B97*B82/D82)</f>
        <v>11.133333333333333</v>
      </c>
      <c r="E97" s="3">
        <f>SUM(B97*B82/E82)</f>
        <v>11.788235294117646</v>
      </c>
      <c r="F97" s="3">
        <f>SUM(B97*B82/F82)</f>
        <v>12.524999999999999</v>
      </c>
      <c r="G97" s="3">
        <f>SUM(B97*B82/G82)</f>
        <v>13.36</v>
      </c>
      <c r="H97" s="3">
        <f>SUM(B97*B82/H82)</f>
        <v>14.314285714285715</v>
      </c>
      <c r="I97" s="3">
        <f>SUM(B97*B82/I82)</f>
        <v>15.415384615384614</v>
      </c>
      <c r="J97" s="3">
        <f>SUM(B97*B82/J82)</f>
        <v>16.7</v>
      </c>
      <c r="K97" s="3">
        <f>SUM(B97*B82/K82)</f>
        <v>18.218181818181815</v>
      </c>
      <c r="L97" s="2">
        <f>SUM(B97*B82/L82)</f>
        <v>20.04</v>
      </c>
      <c r="M97" s="3">
        <f>SUM(K97*K82/M82)</f>
        <v>22.266666666666666</v>
      </c>
      <c r="N97" s="3">
        <f>SUM(B97*B82/N82)</f>
        <v>25.049999999999997</v>
      </c>
      <c r="O97" s="3">
        <f>SUM(M97*M82/O82)</f>
        <v>28.62857142857143</v>
      </c>
      <c r="P97" s="3">
        <f>SUM(B97*B82/P82)</f>
        <v>33.4</v>
      </c>
      <c r="Q97" s="3">
        <f>SUM(O97*O82/Q82)</f>
        <v>40.08</v>
      </c>
      <c r="R97" s="3">
        <f>SUM(B97*B82/R82)</f>
        <v>50.099999999999994</v>
      </c>
      <c r="S97" s="3">
        <f>SUM(Q97*Q82/S82)</f>
        <v>66.8</v>
      </c>
      <c r="T97" s="3">
        <f>SUM(B97*B82/T82)</f>
        <v>100.19999999999999</v>
      </c>
      <c r="U97" s="4">
        <f>SUM(S97*S82/U82)</f>
        <v>200.39999999999998</v>
      </c>
    </row>
    <row r="98" spans="1:21" x14ac:dyDescent="0.35">
      <c r="A98" s="1" t="s">
        <v>36</v>
      </c>
      <c r="B98" s="2">
        <v>15.11</v>
      </c>
      <c r="C98" s="3">
        <f>SUM(B98*B82/C82)</f>
        <v>15.905263157894737</v>
      </c>
      <c r="D98" s="3">
        <f>SUM(B98*B82/D82)</f>
        <v>16.788888888888888</v>
      </c>
      <c r="E98" s="3">
        <f>SUM(B98*B82/E82)</f>
        <v>17.776470588235295</v>
      </c>
      <c r="F98" s="3">
        <f>SUM(B98*B82/F82)</f>
        <v>18.887499999999999</v>
      </c>
      <c r="G98" s="3">
        <f>SUM(B98*B82/G82)</f>
        <v>20.146666666666665</v>
      </c>
      <c r="H98" s="3">
        <f>SUM(B98*B82/H82)</f>
        <v>21.585714285714285</v>
      </c>
      <c r="I98" s="3">
        <f>SUM(B98*B82/I82)</f>
        <v>23.246153846153845</v>
      </c>
      <c r="J98" s="3">
        <f>SUM(B98*B82/J82)</f>
        <v>25.183333333333334</v>
      </c>
      <c r="K98" s="3">
        <f>SUM(B98*B82/K82)</f>
        <v>27.472727272727269</v>
      </c>
      <c r="L98" s="2">
        <f>SUM(B98*B82/L82)</f>
        <v>30.22</v>
      </c>
      <c r="M98" s="3">
        <f>SUM(K98*K82/M82)</f>
        <v>33.577777777777776</v>
      </c>
      <c r="N98" s="3">
        <f>SUM(B98*B82/N82)</f>
        <v>37.774999999999999</v>
      </c>
      <c r="O98" s="3">
        <f>SUM(M98*M82/O82)</f>
        <v>43.171428571428571</v>
      </c>
      <c r="P98" s="3">
        <f>SUM(B98*B82/P82)</f>
        <v>50.366666666666667</v>
      </c>
      <c r="Q98" s="3">
        <f>SUM(O98*O82/Q82)</f>
        <v>60.44</v>
      </c>
      <c r="R98" s="3">
        <f>SUM(B98*B82/R82)</f>
        <v>75.55</v>
      </c>
      <c r="S98" s="3">
        <f>SUM(Q98*Q82/S82)</f>
        <v>100.73333333333333</v>
      </c>
      <c r="T98" s="3">
        <f>SUM(B98*B82/T82)</f>
        <v>151.1</v>
      </c>
      <c r="U98" s="4">
        <f>SUM(S98*S82/U82)</f>
        <v>302.2</v>
      </c>
    </row>
    <row r="99" spans="1:21" x14ac:dyDescent="0.35">
      <c r="A99" s="5" t="s">
        <v>37</v>
      </c>
      <c r="B99" s="2">
        <v>15.11</v>
      </c>
      <c r="C99" s="3">
        <f>SUM(B99*B82/C82)</f>
        <v>15.905263157894737</v>
      </c>
      <c r="D99" s="3">
        <f>SUM(B99*B82/D82)</f>
        <v>16.788888888888888</v>
      </c>
      <c r="E99" s="3">
        <f>SUM(B99*B82/E82)</f>
        <v>17.776470588235295</v>
      </c>
      <c r="F99" s="3">
        <f>SUM(B99*B82/F82)</f>
        <v>18.887499999999999</v>
      </c>
      <c r="G99" s="3">
        <f>SUM(B99*B82/G82)</f>
        <v>20.146666666666665</v>
      </c>
      <c r="H99" s="3">
        <f>SUM(B99*B82/H82)</f>
        <v>21.585714285714285</v>
      </c>
      <c r="I99" s="3">
        <f>SUM(B99*B82/I82)</f>
        <v>23.246153846153845</v>
      </c>
      <c r="J99" s="3">
        <f>SUM(B99*B82/J82)</f>
        <v>25.183333333333334</v>
      </c>
      <c r="K99" s="3">
        <f>SUM(B99*B82/K82)</f>
        <v>27.472727272727269</v>
      </c>
      <c r="L99" s="2">
        <f>SUM(B99*B82/L82)</f>
        <v>30.22</v>
      </c>
      <c r="M99" s="3">
        <f>SUM(K99*K82/M82)</f>
        <v>33.577777777777776</v>
      </c>
      <c r="N99" s="3">
        <f>SUM(B99*B82/N82)</f>
        <v>37.774999999999999</v>
      </c>
      <c r="O99" s="3">
        <f>SUM(M99*M82/O82)</f>
        <v>43.171428571428571</v>
      </c>
      <c r="P99" s="3">
        <f>SUM(B99*B82/P82)</f>
        <v>50.366666666666667</v>
      </c>
      <c r="Q99" s="3">
        <f>SUM(O99*O82/Q82)</f>
        <v>60.44</v>
      </c>
      <c r="R99" s="3">
        <f>SUM(B99*B82/R82)</f>
        <v>75.55</v>
      </c>
      <c r="S99" s="3">
        <f>SUM(Q99*Q82/S82)</f>
        <v>100.73333333333333</v>
      </c>
      <c r="T99" s="3">
        <f>SUM(B99*B82/T82)</f>
        <v>151.1</v>
      </c>
      <c r="U99" s="4">
        <f>SUM(S99*S82/U82)</f>
        <v>302.2</v>
      </c>
    </row>
    <row r="100" spans="1:21" x14ac:dyDescent="0.35">
      <c r="A100" s="1" t="s">
        <v>38</v>
      </c>
      <c r="B100" s="2">
        <v>15.11</v>
      </c>
      <c r="C100" s="3">
        <f>SUM(B100*B82/C82)</f>
        <v>15.905263157894737</v>
      </c>
      <c r="D100" s="3">
        <f>SUM(B100*B82/D82)</f>
        <v>16.788888888888888</v>
      </c>
      <c r="E100" s="3">
        <f>SUM(B100*B82/E82)</f>
        <v>17.776470588235295</v>
      </c>
      <c r="F100" s="3">
        <f>SUM(B100*B82/F82)</f>
        <v>18.887499999999999</v>
      </c>
      <c r="G100" s="3">
        <f>SUM(B100*B82/G82)</f>
        <v>20.146666666666665</v>
      </c>
      <c r="H100" s="3">
        <f>SUM(B100*B82/H82)</f>
        <v>21.585714285714285</v>
      </c>
      <c r="I100" s="3">
        <f>SUM(B100*B82/I82)</f>
        <v>23.246153846153845</v>
      </c>
      <c r="J100" s="3">
        <f>SUM(B100*B82/J82)</f>
        <v>25.183333333333334</v>
      </c>
      <c r="K100" s="3">
        <f>SUM(B100*B82/K82)</f>
        <v>27.472727272727269</v>
      </c>
      <c r="L100" s="2">
        <f>SUM(B100*B82/L82)</f>
        <v>30.22</v>
      </c>
      <c r="M100" s="3">
        <f>SUM(K100*K82/M82)</f>
        <v>33.577777777777776</v>
      </c>
      <c r="N100" s="3">
        <f>SUM(B100*B82/N82)</f>
        <v>37.774999999999999</v>
      </c>
      <c r="O100" s="3">
        <f>SUM(M100*M82/O82)</f>
        <v>43.171428571428571</v>
      </c>
      <c r="P100" s="3">
        <f>SUM(B100*B82/P82)</f>
        <v>50.366666666666667</v>
      </c>
      <c r="Q100" s="3">
        <f>SUM(O100*O82/Q82)</f>
        <v>60.44</v>
      </c>
      <c r="R100" s="3">
        <f>SUM(B100*B82/R82)</f>
        <v>75.55</v>
      </c>
      <c r="S100" s="3">
        <f>SUM(Q100*Q82/S82)</f>
        <v>100.73333333333333</v>
      </c>
      <c r="T100" s="3">
        <f>SUM(B100*B82/T82)</f>
        <v>151.1</v>
      </c>
      <c r="U100" s="4">
        <f>SUM(S100*S82/U82)</f>
        <v>302.2</v>
      </c>
    </row>
    <row r="101" spans="1:21" x14ac:dyDescent="0.35">
      <c r="A101" s="5" t="s">
        <v>39</v>
      </c>
      <c r="B101" s="2">
        <v>15.11</v>
      </c>
      <c r="C101" s="3">
        <f>SUM(B101*B82/C82)</f>
        <v>15.905263157894737</v>
      </c>
      <c r="D101" s="3">
        <f>SUM(B101*B82/D82)</f>
        <v>16.788888888888888</v>
      </c>
      <c r="E101" s="3">
        <f>SUM(B101*B82/E82)</f>
        <v>17.776470588235295</v>
      </c>
      <c r="F101" s="3">
        <f>SUM(B101*B82/F82)</f>
        <v>18.887499999999999</v>
      </c>
      <c r="G101" s="3">
        <f>SUM(B101*B82/G82)</f>
        <v>20.146666666666665</v>
      </c>
      <c r="H101" s="3">
        <f>SUM(B101*B82/H82)</f>
        <v>21.585714285714285</v>
      </c>
      <c r="I101" s="3">
        <f>SUM(B101*B82/I82)</f>
        <v>23.246153846153845</v>
      </c>
      <c r="J101" s="3">
        <f>SUM(B101*B82/J82)</f>
        <v>25.183333333333334</v>
      </c>
      <c r="K101" s="3">
        <f>SUM(B101*B82/K82)</f>
        <v>27.472727272727269</v>
      </c>
      <c r="L101" s="2">
        <f>SUM(B101*B82/L82)</f>
        <v>30.22</v>
      </c>
      <c r="M101" s="3">
        <f>SUM(K101*K82/M82)</f>
        <v>33.577777777777776</v>
      </c>
      <c r="N101" s="3">
        <f>SUM(B101*B82/N82)</f>
        <v>37.774999999999999</v>
      </c>
      <c r="O101" s="3">
        <f>SUM(M101*M82/O82)</f>
        <v>43.171428571428571</v>
      </c>
      <c r="P101" s="3">
        <f>SUM(B101*B82/P82)</f>
        <v>50.366666666666667</v>
      </c>
      <c r="Q101" s="3">
        <f>SUM(O101*O82/Q82)</f>
        <v>60.44</v>
      </c>
      <c r="R101" s="3">
        <f>SUM(B101*B82/R82)</f>
        <v>75.55</v>
      </c>
      <c r="S101" s="3">
        <f>SUM(Q101*Q82/S82)</f>
        <v>100.73333333333333</v>
      </c>
      <c r="T101" s="3">
        <f>SUM(B101*B82/T82)</f>
        <v>151.1</v>
      </c>
      <c r="U101" s="4">
        <f>SUM(S101*S82/U82)</f>
        <v>302.2</v>
      </c>
    </row>
    <row r="102" spans="1:21" x14ac:dyDescent="0.35">
      <c r="A102" s="1" t="s">
        <v>40</v>
      </c>
      <c r="B102" s="2">
        <v>15.11</v>
      </c>
      <c r="C102" s="3">
        <f>SUM(B102*B82/C82)</f>
        <v>15.905263157894737</v>
      </c>
      <c r="D102" s="3">
        <f>SUM(B102*B82/D82)</f>
        <v>16.788888888888888</v>
      </c>
      <c r="E102" s="3">
        <f>SUM(B102*B82/E82)</f>
        <v>17.776470588235295</v>
      </c>
      <c r="F102" s="3">
        <f>SUM(B102*B82/F82)</f>
        <v>18.887499999999999</v>
      </c>
      <c r="G102" s="3">
        <f>SUM(B102*B82/G82)</f>
        <v>20.146666666666665</v>
      </c>
      <c r="H102" s="3">
        <f>SUM(B102*B82/H82)</f>
        <v>21.585714285714285</v>
      </c>
      <c r="I102" s="3">
        <f>SUM(B102*B82/I82)</f>
        <v>23.246153846153845</v>
      </c>
      <c r="J102" s="3">
        <f>SUM(B102*B82/J82)</f>
        <v>25.183333333333334</v>
      </c>
      <c r="K102" s="3">
        <f>SUM(B102*B82/K82)</f>
        <v>27.472727272727269</v>
      </c>
      <c r="L102" s="2">
        <f>SUM(B102*B82/L82)</f>
        <v>30.22</v>
      </c>
      <c r="M102" s="3">
        <f>SUM(K102*K82/M82)</f>
        <v>33.577777777777776</v>
      </c>
      <c r="N102" s="3">
        <f>SUM(B102*B82/N82)</f>
        <v>37.774999999999999</v>
      </c>
      <c r="O102" s="3">
        <f>SUM(M102*M82/O82)</f>
        <v>43.171428571428571</v>
      </c>
      <c r="P102" s="3">
        <f>SUM(B102*B82/P82)</f>
        <v>50.366666666666667</v>
      </c>
      <c r="Q102" s="3">
        <f>SUM(O102*O82/Q82)</f>
        <v>60.44</v>
      </c>
      <c r="R102" s="3">
        <f>SUM(B102*B82/R82)</f>
        <v>75.55</v>
      </c>
      <c r="S102" s="3">
        <f>SUM(Q102*Q82/S82)</f>
        <v>100.73333333333333</v>
      </c>
      <c r="T102" s="3">
        <f>SUM(B102*B82/T82)</f>
        <v>151.1</v>
      </c>
      <c r="U102" s="4">
        <f>SUM(S102*S82/U82)</f>
        <v>302.2</v>
      </c>
    </row>
    <row r="103" spans="1:21" x14ac:dyDescent="0.35">
      <c r="A103" s="5" t="s">
        <v>41</v>
      </c>
      <c r="B103" s="2">
        <v>15.11</v>
      </c>
      <c r="C103" s="3">
        <f>SUM(B103*B82/C82)</f>
        <v>15.905263157894737</v>
      </c>
      <c r="D103" s="3">
        <f>SUM(B103*B82/D82)</f>
        <v>16.788888888888888</v>
      </c>
      <c r="E103" s="3">
        <f>SUM(B103*B82/E82)</f>
        <v>17.776470588235295</v>
      </c>
      <c r="F103" s="3">
        <f>SUM(B103*B82/F82)</f>
        <v>18.887499999999999</v>
      </c>
      <c r="G103" s="3">
        <f>SUM(B103*B82/G82)</f>
        <v>20.146666666666665</v>
      </c>
      <c r="H103" s="3">
        <f>SUM(B103*B82/H82)</f>
        <v>21.585714285714285</v>
      </c>
      <c r="I103" s="3">
        <f>SUM(B103*B82/I82)</f>
        <v>23.246153846153845</v>
      </c>
      <c r="J103" s="3">
        <f>SUM(B103*B82/J82)</f>
        <v>25.183333333333334</v>
      </c>
      <c r="K103" s="3">
        <f>SUM(B103*B82/K82)</f>
        <v>27.472727272727269</v>
      </c>
      <c r="L103" s="2">
        <f>SUM(B103*B82/L82)</f>
        <v>30.22</v>
      </c>
      <c r="M103" s="3">
        <f>SUM(K103*K82/M82)</f>
        <v>33.577777777777776</v>
      </c>
      <c r="N103" s="3">
        <f>SUM(B103*B82/N82)</f>
        <v>37.774999999999999</v>
      </c>
      <c r="O103" s="3">
        <f>SUM(M103*M82/O82)</f>
        <v>43.171428571428571</v>
      </c>
      <c r="P103" s="3">
        <f>SUM(B103*B82/P82)</f>
        <v>50.366666666666667</v>
      </c>
      <c r="Q103" s="3">
        <f>SUM(O103*O82/Q82)</f>
        <v>60.44</v>
      </c>
      <c r="R103" s="3">
        <f>SUM(B103*B82/R82)</f>
        <v>75.55</v>
      </c>
      <c r="S103" s="3">
        <f>SUM(Q103*Q82/S82)</f>
        <v>100.73333333333333</v>
      </c>
      <c r="T103" s="3">
        <f>SUM(B103*B82/T82)</f>
        <v>151.1</v>
      </c>
      <c r="U103" s="4">
        <f>SUM(S103*S82/U82)</f>
        <v>302.2</v>
      </c>
    </row>
    <row r="104" spans="1:21" x14ac:dyDescent="0.35">
      <c r="A104" s="1" t="s">
        <v>42</v>
      </c>
      <c r="B104" s="2">
        <v>15.11</v>
      </c>
      <c r="C104" s="3">
        <f>SUM(B104*B82/C82)</f>
        <v>15.905263157894737</v>
      </c>
      <c r="D104" s="3">
        <f>SUM(B104*B82/D82)</f>
        <v>16.788888888888888</v>
      </c>
      <c r="E104" s="3">
        <f>SUM(B104*B82/E82)</f>
        <v>17.776470588235295</v>
      </c>
      <c r="F104" s="3">
        <f>SUM(B104*B82/F82)</f>
        <v>18.887499999999999</v>
      </c>
      <c r="G104" s="3">
        <f>SUM(B104*B82/G82)</f>
        <v>20.146666666666665</v>
      </c>
      <c r="H104" s="3">
        <f>SUM(B104*B82/H82)</f>
        <v>21.585714285714285</v>
      </c>
      <c r="I104" s="3">
        <f>SUM(B104*B82/I82)</f>
        <v>23.246153846153845</v>
      </c>
      <c r="J104" s="3">
        <f>SUM(B104*B82/J82)</f>
        <v>25.183333333333334</v>
      </c>
      <c r="K104" s="3">
        <f>SUM(B104*B82/K82)</f>
        <v>27.472727272727269</v>
      </c>
      <c r="L104" s="2">
        <f>SUM(B104*B82/L82)</f>
        <v>30.22</v>
      </c>
      <c r="M104" s="3">
        <f>SUM(K104*K82/M82)</f>
        <v>33.577777777777776</v>
      </c>
      <c r="N104" s="3">
        <f>SUM(B104*B82/N82)</f>
        <v>37.774999999999999</v>
      </c>
      <c r="O104" s="3">
        <f>SUM(M104*M82/O82)</f>
        <v>43.171428571428571</v>
      </c>
      <c r="P104" s="3">
        <f>SUM(B104*B82/P82)</f>
        <v>50.366666666666667</v>
      </c>
      <c r="Q104" s="3">
        <f>SUM(O104*O82/Q82)</f>
        <v>60.44</v>
      </c>
      <c r="R104" s="3">
        <f>SUM(B104*B82/R82)</f>
        <v>75.55</v>
      </c>
      <c r="S104" s="3">
        <f>SUM(Q104*Q82/S82)</f>
        <v>100.73333333333333</v>
      </c>
      <c r="T104" s="3">
        <f>SUM(B104*B82/T82)</f>
        <v>151.1</v>
      </c>
      <c r="U104" s="4">
        <f>SUM(S104*S82/U82)</f>
        <v>302.2</v>
      </c>
    </row>
    <row r="105" spans="1:21" x14ac:dyDescent="0.35">
      <c r="A105" s="5" t="s">
        <v>43</v>
      </c>
      <c r="B105" s="2">
        <v>15.11</v>
      </c>
      <c r="C105" s="3">
        <f>SUM(B105*B82/C82)</f>
        <v>15.905263157894737</v>
      </c>
      <c r="D105" s="3">
        <f>SUM(B105*B82/D82)</f>
        <v>16.788888888888888</v>
      </c>
      <c r="E105" s="3">
        <f>SUM(B105*B82/E82)</f>
        <v>17.776470588235295</v>
      </c>
      <c r="F105" s="3">
        <f>SUM(B105*B82/F82)</f>
        <v>18.887499999999999</v>
      </c>
      <c r="G105" s="3">
        <f>SUM(B105*B82/G82)</f>
        <v>20.146666666666665</v>
      </c>
      <c r="H105" s="3">
        <f>SUM(B105*B82/H82)</f>
        <v>21.585714285714285</v>
      </c>
      <c r="I105" s="3">
        <f>SUM(B105*B82/I82)</f>
        <v>23.246153846153845</v>
      </c>
      <c r="J105" s="3">
        <f>SUM(B105*B82/J82)</f>
        <v>25.183333333333334</v>
      </c>
      <c r="K105" s="3">
        <f>SUM(B105*B82/K82)</f>
        <v>27.472727272727269</v>
      </c>
      <c r="L105" s="2">
        <f>SUM(B105*B82/L82)</f>
        <v>30.22</v>
      </c>
      <c r="M105" s="3">
        <f>SUM(K105*K82/M82)</f>
        <v>33.577777777777776</v>
      </c>
      <c r="N105" s="3">
        <f>SUM(B105*B82/N82)</f>
        <v>37.774999999999999</v>
      </c>
      <c r="O105" s="3">
        <f>SUM(M105*M82/O82)</f>
        <v>43.171428571428571</v>
      </c>
      <c r="P105" s="3">
        <f>SUM(B105*B82/P82)</f>
        <v>50.366666666666667</v>
      </c>
      <c r="Q105" s="3">
        <f>SUM(O105*O82/Q82)</f>
        <v>60.44</v>
      </c>
      <c r="R105" s="3">
        <f>SUM(B105*B82/R82)</f>
        <v>75.55</v>
      </c>
      <c r="S105" s="3">
        <f>SUM(Q105*Q82/S82)</f>
        <v>100.73333333333333</v>
      </c>
      <c r="T105" s="3">
        <f>SUM(B105*B82/T82)</f>
        <v>151.1</v>
      </c>
      <c r="U105" s="4">
        <f>SUM(S105*S82/U82)</f>
        <v>302.2</v>
      </c>
    </row>
    <row r="106" spans="1:21" x14ac:dyDescent="0.35">
      <c r="A106" s="1" t="s">
        <v>44</v>
      </c>
      <c r="B106" s="2">
        <v>15.11</v>
      </c>
      <c r="C106" s="3">
        <f>SUM(B106*B82/C82)</f>
        <v>15.905263157894737</v>
      </c>
      <c r="D106" s="3">
        <f>SUM(B106*B82/D82)</f>
        <v>16.788888888888888</v>
      </c>
      <c r="E106" s="3">
        <f>SUM(B106*B82/E82)</f>
        <v>17.776470588235295</v>
      </c>
      <c r="F106" s="3">
        <f>SUM(B106*B82/F82)</f>
        <v>18.887499999999999</v>
      </c>
      <c r="G106" s="3">
        <f>SUM(B106*B82/G82)</f>
        <v>20.146666666666665</v>
      </c>
      <c r="H106" s="3">
        <f>SUM(B106*B82/H82)</f>
        <v>21.585714285714285</v>
      </c>
      <c r="I106" s="3">
        <f>SUM(B106*B82/I82)</f>
        <v>23.246153846153845</v>
      </c>
      <c r="J106" s="3">
        <f>SUM(B106*B82/J82)</f>
        <v>25.183333333333334</v>
      </c>
      <c r="K106" s="3">
        <f>SUM(B106*B82/K82)</f>
        <v>27.472727272727269</v>
      </c>
      <c r="L106" s="2">
        <f>SUM(B106*B82/L82)</f>
        <v>30.22</v>
      </c>
      <c r="M106" s="3">
        <f>SUM(K106*K82/M82)</f>
        <v>33.577777777777776</v>
      </c>
      <c r="N106" s="3">
        <f>SUM(B106*B82/N82)</f>
        <v>37.774999999999999</v>
      </c>
      <c r="O106" s="3">
        <f>SUM(M106*M82/O82)</f>
        <v>43.171428571428571</v>
      </c>
      <c r="P106" s="3">
        <f>SUM(B106*B82/P82)</f>
        <v>50.366666666666667</v>
      </c>
      <c r="Q106" s="3">
        <f>SUM(O106*O82/Q82)</f>
        <v>60.44</v>
      </c>
      <c r="R106" s="3">
        <f>SUM(B106*B82/R82)</f>
        <v>75.55</v>
      </c>
      <c r="S106" s="3">
        <f>SUM(Q106*Q82/S82)</f>
        <v>100.73333333333333</v>
      </c>
      <c r="T106" s="3">
        <f>SUM(B106*B82/T82)</f>
        <v>151.1</v>
      </c>
      <c r="U106" s="4">
        <f>SUM(S106*S82/U82)</f>
        <v>302.2</v>
      </c>
    </row>
    <row r="107" spans="1:21" x14ac:dyDescent="0.35">
      <c r="A107" s="5" t="s">
        <v>45</v>
      </c>
      <c r="B107" s="2">
        <v>15.11</v>
      </c>
      <c r="C107" s="3">
        <f>SUM(B107*B82/C82)</f>
        <v>15.905263157894737</v>
      </c>
      <c r="D107" s="3">
        <f>SUM(B107*B82/D82)</f>
        <v>16.788888888888888</v>
      </c>
      <c r="E107" s="3">
        <f>SUM(B107*B82/E82)</f>
        <v>17.776470588235295</v>
      </c>
      <c r="F107" s="3">
        <f>SUM(B107*B82/F82)</f>
        <v>18.887499999999999</v>
      </c>
      <c r="G107" s="3">
        <f>SUM(B107*B82/G82)</f>
        <v>20.146666666666665</v>
      </c>
      <c r="H107" s="3">
        <f>SUM(B107*B82/H82)</f>
        <v>21.585714285714285</v>
      </c>
      <c r="I107" s="3">
        <f>SUM(B107*B82/I82)</f>
        <v>23.246153846153845</v>
      </c>
      <c r="J107" s="3">
        <f>SUM(B107*B82/J82)</f>
        <v>25.183333333333334</v>
      </c>
      <c r="K107" s="3">
        <f>SUM(B107*B82/K82)</f>
        <v>27.472727272727269</v>
      </c>
      <c r="L107" s="2">
        <f>SUM(B107*B82/L82)</f>
        <v>30.22</v>
      </c>
      <c r="M107" s="3">
        <f>SUM(K107*K82/M82)</f>
        <v>33.577777777777776</v>
      </c>
      <c r="N107" s="3">
        <f>SUM(B107*B82/N82)</f>
        <v>37.774999999999999</v>
      </c>
      <c r="O107" s="3">
        <f>SUM(M107*M82/O82)</f>
        <v>43.171428571428571</v>
      </c>
      <c r="P107" s="3">
        <f>SUM(B107*B82/P82)</f>
        <v>50.366666666666667</v>
      </c>
      <c r="Q107" s="3">
        <f>SUM(O107*O82/Q82)</f>
        <v>60.44</v>
      </c>
      <c r="R107" s="3">
        <f>SUM(B107*B82/R82)</f>
        <v>75.55</v>
      </c>
      <c r="S107" s="3">
        <f>SUM(Q107*Q82/S82)</f>
        <v>100.73333333333333</v>
      </c>
      <c r="T107" s="3">
        <f>SUM(B107*B82/T82)</f>
        <v>151.1</v>
      </c>
      <c r="U107" s="4">
        <f>SUM(S107*S82/U82)</f>
        <v>302.2</v>
      </c>
    </row>
    <row r="108" spans="1:21" x14ac:dyDescent="0.35">
      <c r="A108" s="1" t="s">
        <v>46</v>
      </c>
      <c r="B108" s="2">
        <v>15.11</v>
      </c>
      <c r="C108" s="3">
        <f>SUM(B108*B82/C82)</f>
        <v>15.905263157894737</v>
      </c>
      <c r="D108" s="3">
        <f>SUM(B108*B82/D82)</f>
        <v>16.788888888888888</v>
      </c>
      <c r="E108" s="3">
        <f>SUM(B108*B82/E82)</f>
        <v>17.776470588235295</v>
      </c>
      <c r="F108" s="3">
        <f>SUM(B108*B82/F82)</f>
        <v>18.887499999999999</v>
      </c>
      <c r="G108" s="3">
        <f>SUM(B108*B82/G82)</f>
        <v>20.146666666666665</v>
      </c>
      <c r="H108" s="3">
        <f>SUM(B108*B82/H82)</f>
        <v>21.585714285714285</v>
      </c>
      <c r="I108" s="3">
        <f>SUM(B108*B82/I82)</f>
        <v>23.246153846153845</v>
      </c>
      <c r="J108" s="3">
        <f>SUM(B108*B82/J82)</f>
        <v>25.183333333333334</v>
      </c>
      <c r="K108" s="3">
        <f>SUM(B108*B82/K82)</f>
        <v>27.472727272727269</v>
      </c>
      <c r="L108" s="2">
        <f>SUM(B108*B82/L82)</f>
        <v>30.22</v>
      </c>
      <c r="M108" s="3">
        <f>SUM(K108*K82/M82)</f>
        <v>33.577777777777776</v>
      </c>
      <c r="N108" s="3">
        <f>SUM(B108*B82/N82)</f>
        <v>37.774999999999999</v>
      </c>
      <c r="O108" s="3">
        <f>SUM(M108*M82/O82)</f>
        <v>43.171428571428571</v>
      </c>
      <c r="P108" s="3">
        <f>SUM(B108*B82/P82)</f>
        <v>50.366666666666667</v>
      </c>
      <c r="Q108" s="3">
        <f>SUM(O108*O82/Q82)</f>
        <v>60.44</v>
      </c>
      <c r="R108" s="3">
        <f>SUM(B108*B82/R82)</f>
        <v>75.55</v>
      </c>
      <c r="S108" s="3">
        <f>SUM(Q108*Q82/S82)</f>
        <v>100.73333333333333</v>
      </c>
      <c r="T108" s="3">
        <f>SUM(B108*B82/T82)</f>
        <v>151.1</v>
      </c>
      <c r="U108" s="4">
        <f>SUM(S108*S82/U82)</f>
        <v>302.2</v>
      </c>
    </row>
    <row r="109" spans="1:21" x14ac:dyDescent="0.35">
      <c r="A109" s="5" t="s">
        <v>47</v>
      </c>
      <c r="B109" s="2">
        <v>12.17</v>
      </c>
      <c r="C109" s="3">
        <f>SUM(B109*B82/C82)</f>
        <v>12.810526315789474</v>
      </c>
      <c r="D109" s="3">
        <f>SUM(B109*B82/D82)</f>
        <v>13.522222222222222</v>
      </c>
      <c r="E109" s="3">
        <f>SUM(B109*B82/E82)</f>
        <v>14.31764705882353</v>
      </c>
      <c r="F109" s="3">
        <f>SUM(B109*B82/F82)</f>
        <v>15.212499999999999</v>
      </c>
      <c r="G109" s="3">
        <f>SUM(B109*B82/G82)</f>
        <v>16.226666666666667</v>
      </c>
      <c r="H109" s="3">
        <f>SUM(B109*B82/H82)</f>
        <v>17.385714285714286</v>
      </c>
      <c r="I109" s="3">
        <f>SUM(B109*B82/I82)</f>
        <v>18.723076923076924</v>
      </c>
      <c r="J109" s="3">
        <f>SUM(B109*B82/J82)</f>
        <v>20.283333333333335</v>
      </c>
      <c r="K109" s="3">
        <f>SUM(B109*B82/K82)</f>
        <v>22.127272727272725</v>
      </c>
      <c r="L109" s="2">
        <f>SUM(B109*B82/L82)</f>
        <v>24.34</v>
      </c>
      <c r="M109" s="3">
        <f>SUM(K109*K82/M82)</f>
        <v>27.044444444444444</v>
      </c>
      <c r="N109" s="3">
        <f>SUM(B109*B82/N82)</f>
        <v>30.424999999999997</v>
      </c>
      <c r="O109" s="3">
        <f>SUM(M109*M82/O82)</f>
        <v>34.771428571428572</v>
      </c>
      <c r="P109" s="3">
        <f>SUM(B109*B82/P82)</f>
        <v>40.56666666666667</v>
      </c>
      <c r="Q109" s="3">
        <f>SUM(O109*O82/Q82)</f>
        <v>48.68</v>
      </c>
      <c r="R109" s="3">
        <f>SUM(B109*B82/R82)</f>
        <v>60.849999999999994</v>
      </c>
      <c r="S109" s="3">
        <f>SUM(Q109*Q82/S82)</f>
        <v>81.13333333333334</v>
      </c>
      <c r="T109" s="3">
        <f>SUM(B109*B82/T82)</f>
        <v>121.69999999999999</v>
      </c>
      <c r="U109" s="4">
        <f>SUM(S109*S82/U82)</f>
        <v>243.39999999999998</v>
      </c>
    </row>
    <row r="110" spans="1:21" x14ac:dyDescent="0.35">
      <c r="A110" s="1" t="s">
        <v>48</v>
      </c>
      <c r="B110" s="2">
        <v>15.11</v>
      </c>
      <c r="C110" s="3">
        <f>SUM(B110*B82/C82)</f>
        <v>15.905263157894737</v>
      </c>
      <c r="D110" s="3">
        <f>SUM(B110*B82/D82)</f>
        <v>16.788888888888888</v>
      </c>
      <c r="E110" s="3">
        <f>SUM(B110*B82/E82)</f>
        <v>17.776470588235295</v>
      </c>
      <c r="F110" s="3">
        <f>SUM(B110*B82/F82)</f>
        <v>18.887499999999999</v>
      </c>
      <c r="G110" s="3">
        <f>SUM(B110*B82/G82)</f>
        <v>20.146666666666665</v>
      </c>
      <c r="H110" s="3">
        <f>SUM(B110*B82/H82)</f>
        <v>21.585714285714285</v>
      </c>
      <c r="I110" s="3">
        <f>SUM(B110*B82/I82)</f>
        <v>23.246153846153845</v>
      </c>
      <c r="J110" s="3">
        <f>SUM(B110*B82/J82)</f>
        <v>25.183333333333334</v>
      </c>
      <c r="K110" s="3">
        <f>SUM(B110*B82/K82)</f>
        <v>27.472727272727269</v>
      </c>
      <c r="L110" s="2">
        <f>SUM(B110*B82/L82)</f>
        <v>30.22</v>
      </c>
      <c r="M110" s="3">
        <f>SUM(K110*K82/M82)</f>
        <v>33.577777777777776</v>
      </c>
      <c r="N110" s="3">
        <f>SUM(B110*B82/N82)</f>
        <v>37.774999999999999</v>
      </c>
      <c r="O110" s="3">
        <f>SUM(M110*M82/O82)</f>
        <v>43.171428571428571</v>
      </c>
      <c r="P110" s="3">
        <f>SUM(B110*B82/P82)</f>
        <v>50.366666666666667</v>
      </c>
      <c r="Q110" s="3">
        <f>SUM(O110*O82/Q82)</f>
        <v>60.44</v>
      </c>
      <c r="R110" s="3">
        <f>SUM(B110*B82/R82)</f>
        <v>75.55</v>
      </c>
      <c r="S110" s="3">
        <f>SUM(Q110*Q82/S82)</f>
        <v>100.73333333333333</v>
      </c>
      <c r="T110" s="3">
        <f>SUM(B110*B82/T82)</f>
        <v>151.1</v>
      </c>
      <c r="U110" s="4">
        <f>SUM(S110*S82/U82)</f>
        <v>302.2</v>
      </c>
    </row>
    <row r="111" spans="1:21" x14ac:dyDescent="0.35">
      <c r="A111" s="5" t="s">
        <v>49</v>
      </c>
      <c r="B111" s="2">
        <v>12.17</v>
      </c>
      <c r="C111" s="3">
        <f>SUM(B111*B82/C82)</f>
        <v>12.810526315789474</v>
      </c>
      <c r="D111" s="3">
        <f>SUM(B111*B82/D82)</f>
        <v>13.522222222222222</v>
      </c>
      <c r="E111" s="3">
        <f>SUM(B111*B82/E82)</f>
        <v>14.31764705882353</v>
      </c>
      <c r="F111" s="3">
        <f>SUM(B111*B82/F82)</f>
        <v>15.212499999999999</v>
      </c>
      <c r="G111" s="3">
        <f>SUM(B111*B82/G82)</f>
        <v>16.226666666666667</v>
      </c>
      <c r="H111" s="3">
        <f>SUM(B111*B82/H82)</f>
        <v>17.385714285714286</v>
      </c>
      <c r="I111" s="3">
        <f>SUM(B111*B82/I82)</f>
        <v>18.723076923076924</v>
      </c>
      <c r="J111" s="3">
        <f>SUM(B111*B82/J82)</f>
        <v>20.283333333333335</v>
      </c>
      <c r="K111" s="3">
        <f>SUM(B111*B82/K82)</f>
        <v>22.127272727272725</v>
      </c>
      <c r="L111" s="2">
        <f>SUM(B111*B82/L82)</f>
        <v>24.34</v>
      </c>
      <c r="M111" s="3">
        <f>SUM(K111*K82/M82)</f>
        <v>27.044444444444444</v>
      </c>
      <c r="N111" s="3">
        <f>SUM(B111*B82/N82)</f>
        <v>30.424999999999997</v>
      </c>
      <c r="O111" s="3">
        <f>SUM(M111*M82/O82)</f>
        <v>34.771428571428572</v>
      </c>
      <c r="P111" s="3">
        <f>SUM(B111*B82/P82)</f>
        <v>40.56666666666667</v>
      </c>
      <c r="Q111" s="3">
        <f>SUM(O111*O82/Q82)</f>
        <v>48.68</v>
      </c>
      <c r="R111" s="3">
        <f>SUM(B111*B82/R82)</f>
        <v>60.849999999999994</v>
      </c>
      <c r="S111" s="3">
        <f>SUM(Q111*Q82/S82)</f>
        <v>81.13333333333334</v>
      </c>
      <c r="T111" s="3">
        <f>SUM(B111*B82/T82)</f>
        <v>121.69999999999999</v>
      </c>
      <c r="U111" s="4">
        <f>SUM(S111*S82/U82)</f>
        <v>243.39999999999998</v>
      </c>
    </row>
    <row r="112" spans="1:21" x14ac:dyDescent="0.35">
      <c r="A112" s="1" t="s">
        <v>50</v>
      </c>
      <c r="B112" s="2">
        <v>14.13</v>
      </c>
      <c r="C112" s="3">
        <f>SUM(B112*B82/C82)</f>
        <v>14.873684210526317</v>
      </c>
      <c r="D112" s="3">
        <f>SUM(B112*B82/D82)</f>
        <v>15.700000000000001</v>
      </c>
      <c r="E112" s="3">
        <f>SUM(B112*B82/E82)</f>
        <v>16.623529411764707</v>
      </c>
      <c r="F112" s="3">
        <f>SUM(B112*B82/F82)</f>
        <v>17.662500000000001</v>
      </c>
      <c r="G112" s="3">
        <f>SUM(B112*B82/G82)</f>
        <v>18.84</v>
      </c>
      <c r="H112" s="3">
        <f>SUM(B112*B82/H82)</f>
        <v>20.185714285714287</v>
      </c>
      <c r="I112" s="3">
        <f>SUM(B112*B82/I82)</f>
        <v>21.738461538461539</v>
      </c>
      <c r="J112" s="3">
        <f>SUM(B112*B82/J82)</f>
        <v>23.55</v>
      </c>
      <c r="K112" s="3">
        <f>SUM(B112*B82/K82)</f>
        <v>25.690909090909091</v>
      </c>
      <c r="L112" s="2">
        <f>SUM(B112*B82/L82)</f>
        <v>28.26</v>
      </c>
      <c r="M112" s="3">
        <f>SUM(K112*K82/M82)</f>
        <v>31.400000000000002</v>
      </c>
      <c r="N112" s="3">
        <f>SUM(B112*B82/N82)</f>
        <v>35.325000000000003</v>
      </c>
      <c r="O112" s="3">
        <f>SUM(M112*M82/O82)</f>
        <v>40.371428571428574</v>
      </c>
      <c r="P112" s="3">
        <f>SUM(B112*B82/P82)</f>
        <v>47.1</v>
      </c>
      <c r="Q112" s="3">
        <f>SUM(O112*O82/Q82)</f>
        <v>56.519999999999996</v>
      </c>
      <c r="R112" s="3">
        <f>SUM(B112*B82/R82)</f>
        <v>70.650000000000006</v>
      </c>
      <c r="S112" s="3">
        <f>SUM(Q112*Q82/S82)</f>
        <v>94.2</v>
      </c>
      <c r="T112" s="3">
        <f>SUM(B112*B82/T82)</f>
        <v>141.30000000000001</v>
      </c>
      <c r="U112" s="4">
        <f>SUM(S112*S82/U82)</f>
        <v>282.60000000000002</v>
      </c>
    </row>
    <row r="113" spans="1:21" x14ac:dyDescent="0.35">
      <c r="A113" s="5" t="s">
        <v>51</v>
      </c>
      <c r="B113" s="2">
        <v>10.79</v>
      </c>
      <c r="C113" s="3">
        <f>SUM(B113*B82/C82)</f>
        <v>11.357894736842105</v>
      </c>
      <c r="D113" s="3">
        <f>SUM(B113*B82/D82)</f>
        <v>11.988888888888887</v>
      </c>
      <c r="E113" s="3">
        <f>SUM(B113*B82/E82)</f>
        <v>12.694117647058823</v>
      </c>
      <c r="F113" s="3">
        <f>SUM(B113*B82/F82)</f>
        <v>13.487499999999999</v>
      </c>
      <c r="G113" s="3">
        <f>SUM(B113*B82/G82)</f>
        <v>14.386666666666665</v>
      </c>
      <c r="H113" s="3">
        <f>SUM(B113*B82/H82)</f>
        <v>15.414285714285715</v>
      </c>
      <c r="I113" s="3">
        <f>SUM(B113*B82/I82)</f>
        <v>16.599999999999998</v>
      </c>
      <c r="J113" s="3">
        <f>SUM(B113*B82/J82)</f>
        <v>17.983333333333334</v>
      </c>
      <c r="K113" s="3">
        <f>SUM(B113*B82/K82)</f>
        <v>19.618181818181814</v>
      </c>
      <c r="L113" s="2">
        <f>SUM(B113*B82/L82)</f>
        <v>21.58</v>
      </c>
      <c r="M113" s="3">
        <f>SUM(K113*K82/M82)</f>
        <v>23.977777777777774</v>
      </c>
      <c r="N113" s="3">
        <f>SUM(B113*B82/N82)</f>
        <v>26.974999999999998</v>
      </c>
      <c r="O113" s="3">
        <f>SUM(M113*M82/O82)</f>
        <v>30.828571428571429</v>
      </c>
      <c r="P113" s="3">
        <f>SUM(B113*B82/P82)</f>
        <v>35.966666666666669</v>
      </c>
      <c r="Q113" s="3">
        <f>SUM(O113*O82/Q82)</f>
        <v>43.16</v>
      </c>
      <c r="R113" s="3">
        <f>SUM(B113*B82/R82)</f>
        <v>53.949999999999996</v>
      </c>
      <c r="S113" s="3">
        <f>SUM(Q113*Q82/S82)</f>
        <v>71.933333333333337</v>
      </c>
      <c r="T113" s="3">
        <f>SUM(B113*B82/T82)</f>
        <v>107.89999999999999</v>
      </c>
      <c r="U113" s="4">
        <f>SUM(S113*S82/U82)</f>
        <v>215.8</v>
      </c>
    </row>
    <row r="114" spans="1:21" x14ac:dyDescent="0.35">
      <c r="A114" s="1" t="s">
        <v>52</v>
      </c>
      <c r="B114" s="2">
        <v>15.11</v>
      </c>
      <c r="C114" s="3">
        <f>SUM(B114*B82/C82)</f>
        <v>15.905263157894737</v>
      </c>
      <c r="D114" s="3">
        <f>SUM(B114*B82/D82)</f>
        <v>16.788888888888888</v>
      </c>
      <c r="E114" s="3">
        <f>SUM(B114*B82/E82)</f>
        <v>17.776470588235295</v>
      </c>
      <c r="F114" s="3">
        <f>SUM(B114*B82/F82)</f>
        <v>18.887499999999999</v>
      </c>
      <c r="G114" s="3">
        <f>SUM(B114*B82/G82)</f>
        <v>20.146666666666665</v>
      </c>
      <c r="H114" s="3">
        <f>SUM(B114*B82/H82)</f>
        <v>21.585714285714285</v>
      </c>
      <c r="I114" s="3">
        <f>SUM(B114*B82/I82)</f>
        <v>23.246153846153845</v>
      </c>
      <c r="J114" s="3">
        <f>SUM(B114*B82/J82)</f>
        <v>25.183333333333334</v>
      </c>
      <c r="K114" s="3">
        <f>SUM(B114*B82/K82)</f>
        <v>27.472727272727269</v>
      </c>
      <c r="L114" s="2">
        <f>SUM(B114*B82/L82)</f>
        <v>30.22</v>
      </c>
      <c r="M114" s="3">
        <f>SUM(K114*K82/M82)</f>
        <v>33.577777777777776</v>
      </c>
      <c r="N114" s="3">
        <f>SUM(B114*B82/N82)</f>
        <v>37.774999999999999</v>
      </c>
      <c r="O114" s="3">
        <f>SUM(M114*M82/O82)</f>
        <v>43.171428571428571</v>
      </c>
      <c r="P114" s="3">
        <f>SUM(B114*B82/P82)</f>
        <v>50.366666666666667</v>
      </c>
      <c r="Q114" s="3">
        <f>SUM(O114*O82/Q82)</f>
        <v>60.44</v>
      </c>
      <c r="R114" s="3">
        <f>SUM(B114*B82/R82)</f>
        <v>75.55</v>
      </c>
      <c r="S114" s="3">
        <f>SUM(Q114*Q82/S82)</f>
        <v>100.73333333333333</v>
      </c>
      <c r="T114" s="3">
        <f>SUM(B114*B82/T82)</f>
        <v>151.1</v>
      </c>
      <c r="U114" s="4">
        <f>SUM(S114*S82/U82)</f>
        <v>302.2</v>
      </c>
    </row>
    <row r="115" spans="1:21" x14ac:dyDescent="0.35">
      <c r="A115" s="5" t="s">
        <v>53</v>
      </c>
      <c r="B115" s="2">
        <v>15.11</v>
      </c>
      <c r="C115" s="3">
        <f>SUM(B115*B82/C82)</f>
        <v>15.905263157894737</v>
      </c>
      <c r="D115" s="3">
        <f>SUM(B115*B82/D82)</f>
        <v>16.788888888888888</v>
      </c>
      <c r="E115" s="3">
        <f>SUM(B115*B82/E82)</f>
        <v>17.776470588235295</v>
      </c>
      <c r="F115" s="3">
        <f>SUM(B115*B82/F82)</f>
        <v>18.887499999999999</v>
      </c>
      <c r="G115" s="3">
        <f>SUM(B115*B82/G82)</f>
        <v>20.146666666666665</v>
      </c>
      <c r="H115" s="3">
        <f>SUM(B115*B82/H82)</f>
        <v>21.585714285714285</v>
      </c>
      <c r="I115" s="3">
        <f>SUM(B115*B82/I82)</f>
        <v>23.246153846153845</v>
      </c>
      <c r="J115" s="3">
        <f>SUM(B115*B82/J82)</f>
        <v>25.183333333333334</v>
      </c>
      <c r="K115" s="3">
        <f>SUM(B115*B82/K82)</f>
        <v>27.472727272727269</v>
      </c>
      <c r="L115" s="2">
        <f>SUM(B115*B82/L82)</f>
        <v>30.22</v>
      </c>
      <c r="M115" s="3">
        <f>SUM(K115*K82/M82)</f>
        <v>33.577777777777776</v>
      </c>
      <c r="N115" s="3">
        <f>SUM(B115*B82/N82)</f>
        <v>37.774999999999999</v>
      </c>
      <c r="O115" s="3">
        <f>SUM(M115*M82/O82)</f>
        <v>43.171428571428571</v>
      </c>
      <c r="P115" s="3">
        <f>SUM(B115*B82/P82)</f>
        <v>50.366666666666667</v>
      </c>
      <c r="Q115" s="3">
        <f>SUM(O115*O82/Q82)</f>
        <v>60.44</v>
      </c>
      <c r="R115" s="3">
        <f>SUM(B115*B82/R82)</f>
        <v>75.55</v>
      </c>
      <c r="S115" s="3">
        <f>SUM(Q115*Q82/S82)</f>
        <v>100.73333333333333</v>
      </c>
      <c r="T115" s="3">
        <f>SUM(B115*B82/T82)</f>
        <v>151.1</v>
      </c>
      <c r="U115" s="4">
        <f>SUM(S115*S82/U82)</f>
        <v>302.2</v>
      </c>
    </row>
    <row r="116" spans="1:21" x14ac:dyDescent="0.35">
      <c r="A116" s="1" t="s">
        <v>54</v>
      </c>
      <c r="B116" s="2">
        <v>14.5</v>
      </c>
      <c r="C116" s="3">
        <f>SUM(B116*B82/C82)</f>
        <v>15.263157894736842</v>
      </c>
      <c r="D116" s="3">
        <f>SUM(B116*B82/D82)</f>
        <v>16.111111111111111</v>
      </c>
      <c r="E116" s="3">
        <f>SUM(B116*B82/E82)</f>
        <v>17.058823529411764</v>
      </c>
      <c r="F116" s="3">
        <f>SUM(B116*B82/F82)</f>
        <v>18.125</v>
      </c>
      <c r="G116" s="3">
        <f>SUM(B116*B82/G82)</f>
        <v>19.333333333333332</v>
      </c>
      <c r="H116" s="3">
        <f>SUM(B116*B82/H82)</f>
        <v>20.714285714285715</v>
      </c>
      <c r="I116" s="3">
        <f>SUM(B116*B82/I82)</f>
        <v>22.307692307692307</v>
      </c>
      <c r="J116" s="3">
        <f>SUM(B116*B82/J82)</f>
        <v>24.166666666666668</v>
      </c>
      <c r="K116" s="3">
        <f>SUM(B116*B82/K82)</f>
        <v>26.36363636363636</v>
      </c>
      <c r="L116" s="2">
        <f>SUM(B116*B82/L82)</f>
        <v>29</v>
      </c>
      <c r="M116" s="3">
        <f>SUM(K116*K82/M82)</f>
        <v>32.222222222222214</v>
      </c>
      <c r="N116" s="3">
        <f>SUM(B116*B82/N82)</f>
        <v>36.25</v>
      </c>
      <c r="O116" s="3">
        <f>SUM(M116*M82/O82)</f>
        <v>41.428571428571423</v>
      </c>
      <c r="P116" s="3">
        <f>SUM(B116*B82/P82)</f>
        <v>48.333333333333336</v>
      </c>
      <c r="Q116" s="3">
        <f>SUM(O116*O82/Q82)</f>
        <v>57.999999999999986</v>
      </c>
      <c r="R116" s="3">
        <f>SUM(B116*B82/R82)</f>
        <v>72.5</v>
      </c>
      <c r="S116" s="3">
        <f>SUM(Q116*Q82/S82)</f>
        <v>96.666666666666643</v>
      </c>
      <c r="T116" s="3">
        <f>SUM(B116*B82/T82)</f>
        <v>145</v>
      </c>
      <c r="U116" s="4">
        <f>SUM(S116*S82/U82)</f>
        <v>289.99999999999989</v>
      </c>
    </row>
    <row r="117" spans="1:21" x14ac:dyDescent="0.35">
      <c r="A117" s="5" t="s">
        <v>55</v>
      </c>
      <c r="B117" s="2">
        <v>14.18</v>
      </c>
      <c r="C117" s="3">
        <f>SUM(B117*B82/C82)</f>
        <v>14.926315789473685</v>
      </c>
      <c r="D117" s="3">
        <f>SUM(B117*B82/D82)</f>
        <v>15.755555555555555</v>
      </c>
      <c r="E117" s="3">
        <f>SUM(B117*B82/E82)</f>
        <v>16.682352941176472</v>
      </c>
      <c r="F117" s="3">
        <f>SUM(B117*B82/F82)</f>
        <v>17.724999999999998</v>
      </c>
      <c r="G117" s="3">
        <f>SUM(B117*B82/G82)</f>
        <v>18.906666666666666</v>
      </c>
      <c r="H117" s="3">
        <f>SUM(B117*B82/H82)</f>
        <v>20.25714285714286</v>
      </c>
      <c r="I117" s="3">
        <f>SUM(B117*B82/I82)</f>
        <v>21.815384615384612</v>
      </c>
      <c r="J117" s="3">
        <f>SUM(B117*B82/J82)</f>
        <v>23.633333333333333</v>
      </c>
      <c r="K117" s="3">
        <f>SUM(B117*B82/K82)</f>
        <v>25.781818181818178</v>
      </c>
      <c r="L117" s="2">
        <f>SUM(B117*B82/L82)</f>
        <v>28.36</v>
      </c>
      <c r="M117" s="3">
        <f>SUM(K117*K82/M82)</f>
        <v>31.511111111111109</v>
      </c>
      <c r="N117" s="3">
        <f>SUM(B117*B82/N82)</f>
        <v>35.449999999999996</v>
      </c>
      <c r="O117" s="3">
        <f>SUM(M117*M82/O82)</f>
        <v>40.51428571428572</v>
      </c>
      <c r="P117" s="3">
        <f>SUM(B117*B82/P82)</f>
        <v>47.266666666666666</v>
      </c>
      <c r="Q117" s="3">
        <f>SUM(O117*O82/Q82)</f>
        <v>56.720000000000006</v>
      </c>
      <c r="R117" s="3">
        <f>SUM(B117*B82/R82)</f>
        <v>70.899999999999991</v>
      </c>
      <c r="S117" s="3">
        <f>SUM(Q117*Q82/S82)</f>
        <v>94.533333333333346</v>
      </c>
      <c r="T117" s="3">
        <f>SUM(B117*B82/T82)</f>
        <v>141.79999999999998</v>
      </c>
      <c r="U117" s="4">
        <f>SUM(S117*S82/U82)</f>
        <v>283.60000000000002</v>
      </c>
    </row>
    <row r="118" spans="1:21" x14ac:dyDescent="0.35">
      <c r="A118" s="1" t="s">
        <v>56</v>
      </c>
      <c r="B118" s="2">
        <v>15.11</v>
      </c>
      <c r="C118" s="3">
        <f>SUM(B118*B82/C82)</f>
        <v>15.905263157894737</v>
      </c>
      <c r="D118" s="3">
        <f>SUM(B118*B82/D82)</f>
        <v>16.788888888888888</v>
      </c>
      <c r="E118" s="3">
        <f>SUM(B118*B82/E82)</f>
        <v>17.776470588235295</v>
      </c>
      <c r="F118" s="3">
        <f>SUM(B118*B82/F82)</f>
        <v>18.887499999999999</v>
      </c>
      <c r="G118" s="3">
        <f>SUM(B118*B82/G82)</f>
        <v>20.146666666666665</v>
      </c>
      <c r="H118" s="3">
        <f>SUM(B118*B82/H82)</f>
        <v>21.585714285714285</v>
      </c>
      <c r="I118" s="3">
        <f>SUM(B118*B82/I82)</f>
        <v>23.246153846153845</v>
      </c>
      <c r="J118" s="3">
        <f>SUM(B118*B82/J82)</f>
        <v>25.183333333333334</v>
      </c>
      <c r="K118" s="3">
        <f>SUM(B118*B82/K82)</f>
        <v>27.472727272727269</v>
      </c>
      <c r="L118" s="2">
        <f>SUM(B118*B82/L82)</f>
        <v>30.22</v>
      </c>
      <c r="M118" s="3">
        <f>SUM(K118*K82/M82)</f>
        <v>33.577777777777776</v>
      </c>
      <c r="N118" s="3">
        <f>SUM(B118*B82/N82)</f>
        <v>37.774999999999999</v>
      </c>
      <c r="O118" s="3">
        <f>SUM(M118*M82/O82)</f>
        <v>43.171428571428571</v>
      </c>
      <c r="P118" s="3">
        <f>SUM(B118*B82/P82)</f>
        <v>50.366666666666667</v>
      </c>
      <c r="Q118" s="3">
        <f>SUM(O118*O82/Q82)</f>
        <v>60.44</v>
      </c>
      <c r="R118" s="3">
        <f>SUM(B118*B82/R82)</f>
        <v>75.55</v>
      </c>
      <c r="S118" s="3">
        <f>SUM(Q118*Q82/S82)</f>
        <v>100.73333333333333</v>
      </c>
      <c r="T118" s="3">
        <f>SUM(B118*B82/T82)</f>
        <v>151.1</v>
      </c>
      <c r="U118" s="3">
        <f>SUM(S118*S82/U82)</f>
        <v>302.2</v>
      </c>
    </row>
    <row r="119" spans="1:21" x14ac:dyDescent="0.35">
      <c r="A119" s="5" t="s">
        <v>57</v>
      </c>
      <c r="B119" s="2">
        <v>15.58</v>
      </c>
      <c r="C119" s="3">
        <f>SUM(B119*B82/C82)</f>
        <v>16.400000000000002</v>
      </c>
      <c r="D119" s="3">
        <f>SUM(B119*B82/D82)</f>
        <v>17.31111111111111</v>
      </c>
      <c r="E119" s="3">
        <f>SUM(B119*B82/E82)</f>
        <v>18.329411764705881</v>
      </c>
      <c r="F119" s="3">
        <f>SUM(B119*B82/F82)</f>
        <v>19.474999999999998</v>
      </c>
      <c r="G119" s="3">
        <f>SUM(B119*B82/G82)</f>
        <v>20.773333333333333</v>
      </c>
      <c r="H119" s="3">
        <f>SUM(B119*B82/H82)</f>
        <v>22.25714285714286</v>
      </c>
      <c r="I119" s="3">
        <f>SUM(B119*B82/I82)</f>
        <v>23.969230769230769</v>
      </c>
      <c r="J119" s="3">
        <f>SUM(B119*B82/J82)</f>
        <v>25.966666666666669</v>
      </c>
      <c r="K119" s="3">
        <f>SUM(B119*B82/K82)</f>
        <v>28.327272727272724</v>
      </c>
      <c r="L119" s="2">
        <f>SUM(B119*B82/L82)</f>
        <v>31.16</v>
      </c>
      <c r="M119" s="3">
        <f>SUM(K119*K82/M82)</f>
        <v>34.62222222222222</v>
      </c>
      <c r="N119" s="3">
        <f>SUM(B119*B82/N82)</f>
        <v>38.949999999999996</v>
      </c>
      <c r="O119" s="3">
        <f>SUM(M119*M82/O82)</f>
        <v>44.51428571428572</v>
      </c>
      <c r="P119" s="3">
        <f>SUM(B119*B82/P82)</f>
        <v>51.933333333333337</v>
      </c>
      <c r="Q119" s="3">
        <f>SUM(O119*O82/Q82)</f>
        <v>62.32</v>
      </c>
      <c r="R119" s="3">
        <f>SUM(B119*B82/R82)</f>
        <v>77.899999999999991</v>
      </c>
      <c r="S119" s="3">
        <f>SUM(Q119*Q82/S82)</f>
        <v>103.86666666666667</v>
      </c>
      <c r="T119" s="3">
        <f>SUM(B119*B82/T82)</f>
        <v>155.79999999999998</v>
      </c>
      <c r="U119" s="3">
        <f>SUM(S119*S82/U82)</f>
        <v>311.59999999999997</v>
      </c>
    </row>
    <row r="120" spans="1:21" x14ac:dyDescent="0.35">
      <c r="A120" s="1" t="s">
        <v>58</v>
      </c>
      <c r="B120" s="2">
        <v>15.58</v>
      </c>
      <c r="C120" s="3">
        <f>SUM(B120*B82/C82)</f>
        <v>16.400000000000002</v>
      </c>
      <c r="D120" s="3">
        <f>SUM(B120*B82/D82)</f>
        <v>17.31111111111111</v>
      </c>
      <c r="E120" s="3">
        <f>SUM(B120*B82/E82)</f>
        <v>18.329411764705881</v>
      </c>
      <c r="F120" s="3">
        <f>SUM(B120*B82/F82)</f>
        <v>19.474999999999998</v>
      </c>
      <c r="G120" s="3">
        <f>SUM(B120*B82/G82)</f>
        <v>20.773333333333333</v>
      </c>
      <c r="H120" s="3">
        <f>SUM(B120*B82/H82)</f>
        <v>22.25714285714286</v>
      </c>
      <c r="I120" s="3">
        <f>SUM(B120*B82/I82)</f>
        <v>23.969230769230769</v>
      </c>
      <c r="J120" s="3">
        <f>SUM(B120*B82/J82)</f>
        <v>25.966666666666669</v>
      </c>
      <c r="K120" s="3">
        <f>SUM(B120*B82/K82)</f>
        <v>28.327272727272724</v>
      </c>
      <c r="L120" s="2">
        <f>SUM(B120*B82/L82)</f>
        <v>31.16</v>
      </c>
      <c r="M120" s="3">
        <f>SUM(K120*K82/M82)</f>
        <v>34.62222222222222</v>
      </c>
      <c r="N120" s="3">
        <f>SUM(B120*B82/N82)</f>
        <v>38.949999999999996</v>
      </c>
      <c r="O120" s="3">
        <f>SUM(M120*M82/O82)</f>
        <v>44.51428571428572</v>
      </c>
      <c r="P120" s="3">
        <f>SUM(B120*B82/P82)</f>
        <v>51.933333333333337</v>
      </c>
      <c r="Q120" s="3">
        <f>SUM(O120*O82/Q82)</f>
        <v>62.32</v>
      </c>
      <c r="R120" s="3">
        <f>SUM(B120*B82/R82)</f>
        <v>77.899999999999991</v>
      </c>
      <c r="S120" s="3">
        <f>SUM(Q120*Q82/S82)</f>
        <v>103.86666666666667</v>
      </c>
      <c r="T120" s="3">
        <f>SUM(B120*B82/T82)</f>
        <v>155.79999999999998</v>
      </c>
      <c r="U120" s="3">
        <f>SUM(S120*S82/U82)</f>
        <v>311.59999999999997</v>
      </c>
    </row>
    <row r="121" spans="1:21" x14ac:dyDescent="0.35">
      <c r="A121" s="5" t="s">
        <v>59</v>
      </c>
      <c r="B121" s="2">
        <v>10.61</v>
      </c>
      <c r="C121" s="3">
        <f>SUM(B121*B82/C82)</f>
        <v>11.168421052631579</v>
      </c>
      <c r="D121" s="3">
        <f>SUM(B121*B82/D82)</f>
        <v>11.788888888888888</v>
      </c>
      <c r="E121" s="3">
        <f>SUM(B121*B82/E82)</f>
        <v>12.482352941176471</v>
      </c>
      <c r="F121" s="3">
        <f>SUM(B121*B82/F82)</f>
        <v>13.262499999999999</v>
      </c>
      <c r="G121" s="3">
        <f>SUM(B121*B82/G82)</f>
        <v>14.146666666666667</v>
      </c>
      <c r="H121" s="3">
        <f>SUM(B121*B82/H82)</f>
        <v>15.157142857142857</v>
      </c>
      <c r="I121" s="3">
        <f>SUM(B121*B82/I82)</f>
        <v>16.323076923076922</v>
      </c>
      <c r="J121" s="3">
        <f>SUM(B121*B82/J82)</f>
        <v>17.683333333333334</v>
      </c>
      <c r="K121" s="3">
        <f>SUM(B121*B82/K82)</f>
        <v>19.290909090909089</v>
      </c>
      <c r="L121" s="2">
        <f>SUM(B121*B82/L82)</f>
        <v>21.22</v>
      </c>
      <c r="M121" s="3">
        <f>SUM(K121*K82/M82)</f>
        <v>23.577777777777776</v>
      </c>
      <c r="N121" s="3">
        <f>SUM(B121*B82/N82)</f>
        <v>26.524999999999999</v>
      </c>
      <c r="O121" s="3">
        <f>SUM(M121*M82/O82)</f>
        <v>30.314285714285713</v>
      </c>
      <c r="P121" s="3">
        <f>SUM(B121*B82/P82)</f>
        <v>35.366666666666667</v>
      </c>
      <c r="Q121" s="3">
        <f>SUM(O121*O82/Q82)</f>
        <v>42.44</v>
      </c>
      <c r="R121" s="3">
        <f>SUM(B121*B82/R82)</f>
        <v>53.05</v>
      </c>
      <c r="S121" s="3">
        <f>SUM(Q121*Q82/S82)</f>
        <v>70.733333333333334</v>
      </c>
      <c r="T121" s="3">
        <f>SUM(B121*B82/T82)</f>
        <v>106.1</v>
      </c>
      <c r="U121" s="3">
        <f>SUM(S121*S82/U82)</f>
        <v>212.2</v>
      </c>
    </row>
    <row r="122" spans="1:21" x14ac:dyDescent="0.35">
      <c r="A122" s="1" t="s">
        <v>60</v>
      </c>
      <c r="B122" s="2">
        <v>14.5</v>
      </c>
      <c r="C122" s="3">
        <f>SUM(B122*B82/C82)</f>
        <v>15.263157894736842</v>
      </c>
      <c r="D122" s="3">
        <f>SUM(B122*B82/D82)</f>
        <v>16.111111111111111</v>
      </c>
      <c r="E122" s="3">
        <f>SUM(B122*B82/E82)</f>
        <v>17.058823529411764</v>
      </c>
      <c r="F122" s="3">
        <f>SUM(B122*B82/F82)</f>
        <v>18.125</v>
      </c>
      <c r="G122" s="3">
        <f>SUM(B122*B82/G82)</f>
        <v>19.333333333333332</v>
      </c>
      <c r="H122" s="3">
        <f>SUM(B122*B82/H82)</f>
        <v>20.714285714285715</v>
      </c>
      <c r="I122" s="3">
        <f>SUM(B122*B82/I82)</f>
        <v>22.307692307692307</v>
      </c>
      <c r="J122" s="3">
        <f>SUM(B122*B82/J82)</f>
        <v>24.166666666666668</v>
      </c>
      <c r="K122" s="3">
        <f>SUM(B122*B82/K82)</f>
        <v>26.36363636363636</v>
      </c>
      <c r="L122" s="2">
        <f>SUM(B122*B82/L82)</f>
        <v>29</v>
      </c>
      <c r="M122" s="3">
        <f>SUM(K122*K82/M82)</f>
        <v>32.222222222222214</v>
      </c>
      <c r="N122" s="3">
        <f>SUM(B122*B82/N82)</f>
        <v>36.25</v>
      </c>
      <c r="O122" s="3">
        <f>SUM(M122*M82/O82)</f>
        <v>41.428571428571423</v>
      </c>
      <c r="P122" s="3">
        <f>SUM(B122*B82/P82)</f>
        <v>48.333333333333336</v>
      </c>
      <c r="Q122" s="3">
        <f>SUM(O122*O82/Q82)</f>
        <v>57.999999999999986</v>
      </c>
      <c r="R122" s="3">
        <f>SUM(B122*B82/R82)</f>
        <v>72.5</v>
      </c>
      <c r="S122" s="3">
        <f>SUM(Q122*Q82/S82)</f>
        <v>96.666666666666643</v>
      </c>
      <c r="T122" s="3">
        <f>SUM(B122*B82/T82)</f>
        <v>145</v>
      </c>
      <c r="U122" s="3">
        <f>SUM(S122*S82/U82)</f>
        <v>289.99999999999989</v>
      </c>
    </row>
    <row r="123" spans="1:21" x14ac:dyDescent="0.35">
      <c r="A123" s="5" t="s">
        <v>61</v>
      </c>
      <c r="B123" s="2">
        <v>12.62</v>
      </c>
      <c r="C123" s="3">
        <f>SUM(B123*B82/C82)</f>
        <v>13.284210526315789</v>
      </c>
      <c r="D123" s="3">
        <f>SUM(B123*B82/D82)</f>
        <v>14.02222222222222</v>
      </c>
      <c r="E123" s="3">
        <f>SUM(B123*B82/E82)</f>
        <v>14.847058823529411</v>
      </c>
      <c r="F123" s="3">
        <f>SUM(B123*B82/F82)</f>
        <v>15.774999999999999</v>
      </c>
      <c r="G123" s="3">
        <f>SUM(B123*B82/G82)</f>
        <v>16.826666666666664</v>
      </c>
      <c r="H123" s="3">
        <f>SUM(B123*B82/H82)</f>
        <v>18.028571428571428</v>
      </c>
      <c r="I123" s="3">
        <f>SUM(B123*B82/I82)</f>
        <v>19.415384615384614</v>
      </c>
      <c r="J123" s="3">
        <f>SUM(B123*B82/J82)</f>
        <v>21.033333333333331</v>
      </c>
      <c r="K123" s="3">
        <f>SUM(B123*B82/K82)</f>
        <v>22.945454545454542</v>
      </c>
      <c r="L123" s="2">
        <f>SUM(B123*B82/L82)</f>
        <v>25.24</v>
      </c>
      <c r="M123" s="3">
        <f>SUM(K123*K82/M82)</f>
        <v>28.044444444444441</v>
      </c>
      <c r="N123" s="3">
        <f>SUM(B123*B82/N82)</f>
        <v>31.549999999999997</v>
      </c>
      <c r="O123" s="3">
        <f>SUM(M123*M82/O82)</f>
        <v>36.057142857142857</v>
      </c>
      <c r="P123" s="3">
        <f>SUM(B123*B82/P82)</f>
        <v>42.066666666666663</v>
      </c>
      <c r="Q123" s="3">
        <f>SUM(O123*O82/Q82)</f>
        <v>50.48</v>
      </c>
      <c r="R123" s="3">
        <f>SUM(B123*B82/R82)</f>
        <v>63.099999999999994</v>
      </c>
      <c r="S123" s="3">
        <f>SUM(Q123*Q82/S82)</f>
        <v>84.133333333333326</v>
      </c>
      <c r="T123" s="3">
        <f>SUM(B123*B82/T82)</f>
        <v>126.19999999999999</v>
      </c>
      <c r="U123" s="3">
        <f>SUM(S123*S82/U82)</f>
        <v>252.39999999999998</v>
      </c>
    </row>
    <row r="124" spans="1:21" x14ac:dyDescent="0.35">
      <c r="A124" s="1" t="s">
        <v>62</v>
      </c>
      <c r="B124" s="2">
        <v>15.58</v>
      </c>
      <c r="C124" s="3">
        <f>SUM(B124*B82/C82)</f>
        <v>16.400000000000002</v>
      </c>
      <c r="D124" s="3">
        <f>SUM(B124*B82/D82)</f>
        <v>17.31111111111111</v>
      </c>
      <c r="E124" s="3">
        <f>SUM(B124*B82/E82)</f>
        <v>18.329411764705881</v>
      </c>
      <c r="F124" s="3">
        <f>SUM(B124*B82/F82)</f>
        <v>19.474999999999998</v>
      </c>
      <c r="G124" s="3">
        <f>SUM(B124*B82/G82)</f>
        <v>20.773333333333333</v>
      </c>
      <c r="H124" s="3">
        <f>SUM(B124*B82/H82)</f>
        <v>22.25714285714286</v>
      </c>
      <c r="I124" s="3">
        <f>SUM(B124*B82/I82)</f>
        <v>23.969230769230769</v>
      </c>
      <c r="J124" s="3">
        <f>SUM(B124*B82/J82)</f>
        <v>25.966666666666669</v>
      </c>
      <c r="K124" s="3">
        <f>SUM(B124*B82/K82)</f>
        <v>28.327272727272724</v>
      </c>
      <c r="L124" s="2">
        <f>SUM(B124*B82/L82)</f>
        <v>31.16</v>
      </c>
      <c r="M124" s="3">
        <f>SUM(K124*K82/M82)</f>
        <v>34.62222222222222</v>
      </c>
      <c r="N124" s="3">
        <f>SUM(B124*B82/N82)</f>
        <v>38.949999999999996</v>
      </c>
      <c r="O124" s="3">
        <f>SUM(M124*M82/O82)</f>
        <v>44.51428571428572</v>
      </c>
      <c r="P124" s="3">
        <f>SUM(B124*B82/P82)</f>
        <v>51.933333333333337</v>
      </c>
      <c r="Q124" s="3">
        <f>SUM(O124*O82/Q82)</f>
        <v>62.32</v>
      </c>
      <c r="R124" s="3">
        <f>SUM(B124*B82/R82)</f>
        <v>77.899999999999991</v>
      </c>
      <c r="S124" s="3">
        <f>SUM(Q124*Q82/S82)</f>
        <v>103.86666666666667</v>
      </c>
      <c r="T124" s="3">
        <f>SUM(B124*B82/T82)</f>
        <v>155.79999999999998</v>
      </c>
      <c r="U124" s="3">
        <f>SUM(S124*S82/U82)</f>
        <v>311.59999999999997</v>
      </c>
    </row>
    <row r="125" spans="1:21" x14ac:dyDescent="0.35">
      <c r="A125" s="5" t="s">
        <v>63</v>
      </c>
      <c r="B125" s="2">
        <v>14.92</v>
      </c>
      <c r="C125" s="3">
        <f>SUM(B125*B82/C82)</f>
        <v>15.705263157894738</v>
      </c>
      <c r="D125" s="3">
        <f>SUM(B125*B82/D82)</f>
        <v>16.577777777777776</v>
      </c>
      <c r="E125" s="3">
        <f>SUM(B125*B82/E82)</f>
        <v>17.55294117647059</v>
      </c>
      <c r="F125" s="3">
        <f>SUM(B125*B82/F82)</f>
        <v>18.649999999999999</v>
      </c>
      <c r="G125" s="3">
        <f>SUM(B125*B82/G82)</f>
        <v>19.893333333333334</v>
      </c>
      <c r="H125" s="3">
        <f>SUM(B125*B82/H82)</f>
        <v>21.314285714285717</v>
      </c>
      <c r="I125" s="3">
        <f>SUM(B125*B82/I82)</f>
        <v>22.953846153846154</v>
      </c>
      <c r="J125" s="3">
        <f>SUM(B125*B82/J82)</f>
        <v>24.866666666666667</v>
      </c>
      <c r="K125" s="3">
        <f>SUM(B125*B82/K82)</f>
        <v>27.127272727272725</v>
      </c>
      <c r="L125" s="2">
        <f>SUM(B125*B82/L82)</f>
        <v>29.84</v>
      </c>
      <c r="M125" s="3">
        <f>SUM(K125*K82/M82)</f>
        <v>33.155555555555551</v>
      </c>
      <c r="N125" s="3">
        <f>SUM(B125*B82/N82)</f>
        <v>37.299999999999997</v>
      </c>
      <c r="O125" s="3">
        <f>SUM(M125*M82/O82)</f>
        <v>42.628571428571426</v>
      </c>
      <c r="P125" s="3">
        <f>SUM(B125*B82/P82)</f>
        <v>49.733333333333334</v>
      </c>
      <c r="Q125" s="3">
        <f>SUM(O125*O82/Q82)</f>
        <v>59.679999999999993</v>
      </c>
      <c r="R125" s="3">
        <f>SUM(B125*B82/R82)</f>
        <v>74.599999999999994</v>
      </c>
      <c r="S125" s="3">
        <f>SUM(Q125*Q82/S82)</f>
        <v>99.466666666666654</v>
      </c>
      <c r="T125" s="3">
        <f>SUM(B125*B82/T82)</f>
        <v>149.19999999999999</v>
      </c>
      <c r="U125" s="3">
        <f>SUM(S125*S82/U82)</f>
        <v>298.39999999999992</v>
      </c>
    </row>
    <row r="126" spans="1:21" x14ac:dyDescent="0.35">
      <c r="A126" s="1" t="s">
        <v>64</v>
      </c>
      <c r="B126" s="2">
        <v>12.62</v>
      </c>
      <c r="C126" s="3">
        <f>SUM(B126*B82/C82)</f>
        <v>13.284210526315789</v>
      </c>
      <c r="D126" s="3">
        <f>SUM(B126*B82/D82)</f>
        <v>14.02222222222222</v>
      </c>
      <c r="E126" s="3">
        <f>SUM(B126*B82/E82)</f>
        <v>14.847058823529411</v>
      </c>
      <c r="F126" s="3">
        <f>SUM(B126*B82/F82)</f>
        <v>15.774999999999999</v>
      </c>
      <c r="G126" s="3">
        <f>SUM(B126*B82/G82)</f>
        <v>16.826666666666664</v>
      </c>
      <c r="H126" s="3">
        <f>SUM(B126*B82/H82)</f>
        <v>18.028571428571428</v>
      </c>
      <c r="I126" s="3">
        <f>SUM(B126*B82/I82)</f>
        <v>19.415384615384614</v>
      </c>
      <c r="J126" s="3">
        <f>SUM(B126*B82/J82)</f>
        <v>21.033333333333331</v>
      </c>
      <c r="K126" s="3">
        <f>SUM(B126*B82/K82)</f>
        <v>22.945454545454542</v>
      </c>
      <c r="L126" s="2">
        <f>SUM(B126*B82/L82)</f>
        <v>25.24</v>
      </c>
      <c r="M126" s="3">
        <f>SUM(K126*K82/M82)</f>
        <v>28.044444444444441</v>
      </c>
      <c r="N126" s="3">
        <f>SUM(B126*B82/N82)</f>
        <v>31.549999999999997</v>
      </c>
      <c r="O126" s="3">
        <f>SUM(M126*M82/O82)</f>
        <v>36.057142857142857</v>
      </c>
      <c r="P126" s="3">
        <f>SUM(B126*B82/P82)</f>
        <v>42.066666666666663</v>
      </c>
      <c r="Q126" s="3">
        <f>SUM(O126*O82/Q82)</f>
        <v>50.48</v>
      </c>
      <c r="R126" s="3">
        <f>SUM(B126*B82/R82)</f>
        <v>63.099999999999994</v>
      </c>
      <c r="S126" s="3">
        <f>SUM(Q126*Q82/S82)</f>
        <v>84.133333333333326</v>
      </c>
      <c r="T126" s="3">
        <f>SUM(B126*B82/T82)</f>
        <v>126.19999999999999</v>
      </c>
      <c r="U126" s="3">
        <f>SUM(S126*S82/U82)</f>
        <v>252.39999999999998</v>
      </c>
    </row>
    <row r="127" spans="1:21" x14ac:dyDescent="0.35">
      <c r="A127" s="5" t="s">
        <v>65</v>
      </c>
      <c r="B127" s="2">
        <v>14.92</v>
      </c>
      <c r="C127" s="3">
        <f>SUM(B127*B82/C82)</f>
        <v>15.705263157894738</v>
      </c>
      <c r="D127" s="3">
        <f>SUM(B127*B82/D82)</f>
        <v>16.577777777777776</v>
      </c>
      <c r="E127" s="3">
        <f>SUM(B127*B82/E82)</f>
        <v>17.55294117647059</v>
      </c>
      <c r="F127" s="3">
        <f>SUM(B127*B82/F82)</f>
        <v>18.649999999999999</v>
      </c>
      <c r="G127" s="3">
        <f>SUM(B127*B82/G82)</f>
        <v>19.893333333333334</v>
      </c>
      <c r="H127" s="3">
        <f>SUM(B127*B82/H82)</f>
        <v>21.314285714285717</v>
      </c>
      <c r="I127" s="3">
        <f>SUM(B127*B82/I82)</f>
        <v>22.953846153846154</v>
      </c>
      <c r="J127" s="3">
        <f>SUM(B127*B82/J82)</f>
        <v>24.866666666666667</v>
      </c>
      <c r="K127" s="3">
        <f>SUM(B127*B82/K82)</f>
        <v>27.127272727272725</v>
      </c>
      <c r="L127" s="2">
        <f>SUM(B127*B82/L82)</f>
        <v>29.84</v>
      </c>
      <c r="M127" s="3">
        <f>SUM(K127*K82/M82)</f>
        <v>33.155555555555551</v>
      </c>
      <c r="N127" s="3">
        <f>SUM(B127*B82/N82)</f>
        <v>37.299999999999997</v>
      </c>
      <c r="O127" s="3">
        <f>SUM(M127*M82/O82)</f>
        <v>42.628571428571426</v>
      </c>
      <c r="P127" s="3">
        <f>SUM(B127*B82/P82)</f>
        <v>49.733333333333334</v>
      </c>
      <c r="Q127" s="3">
        <f>SUM(O127*O82/Q82)</f>
        <v>59.679999999999993</v>
      </c>
      <c r="R127" s="3">
        <f>SUM(B127*B82/R82)</f>
        <v>74.599999999999994</v>
      </c>
      <c r="S127" s="3">
        <f>SUM(Q127*Q82/S82)</f>
        <v>99.466666666666654</v>
      </c>
      <c r="T127" s="3">
        <f>SUM(B127*B82/T82)</f>
        <v>149.19999999999999</v>
      </c>
      <c r="U127" s="3">
        <f>SUM(S127*S82/U82)</f>
        <v>298.39999999999992</v>
      </c>
    </row>
    <row r="128" spans="1:21" x14ac:dyDescent="0.35">
      <c r="A128" s="1" t="s">
        <v>66</v>
      </c>
      <c r="B128" s="2">
        <v>11.06</v>
      </c>
      <c r="C128" s="3">
        <f>SUM(B128*B82/C82)</f>
        <v>11.642105263157896</v>
      </c>
      <c r="D128" s="3">
        <f>SUM(B128*B82/D82)</f>
        <v>12.28888888888889</v>
      </c>
      <c r="E128" s="3">
        <f>SUM(B128*B82/E82)</f>
        <v>13.011764705882355</v>
      </c>
      <c r="F128" s="3">
        <f>SUM(B128*B82/F82)</f>
        <v>13.824999999999999</v>
      </c>
      <c r="G128" s="3">
        <f>SUM(B128*B82/G82)</f>
        <v>14.746666666666668</v>
      </c>
      <c r="H128" s="3">
        <f>SUM(B128*B82/H82)</f>
        <v>15.800000000000002</v>
      </c>
      <c r="I128" s="3">
        <f>SUM(B128*B82/I82)</f>
        <v>17.015384615384615</v>
      </c>
      <c r="J128" s="3">
        <f>SUM(B128*B82/J82)</f>
        <v>18.433333333333334</v>
      </c>
      <c r="K128" s="3">
        <f>SUM(B128*B82/K82)</f>
        <v>20.109090909090909</v>
      </c>
      <c r="L128" s="2">
        <f>SUM(B128*B82/L82)</f>
        <v>22.12</v>
      </c>
      <c r="M128" s="3">
        <f>SUM(K128*K82/M82)</f>
        <v>24.577777777777779</v>
      </c>
      <c r="N128" s="3">
        <f>SUM(B128*B82/N82)</f>
        <v>27.65</v>
      </c>
      <c r="O128" s="3">
        <f>SUM(M128*M82/O82)</f>
        <v>31.600000000000005</v>
      </c>
      <c r="P128" s="3">
        <f>SUM(B128*B82/P82)</f>
        <v>36.866666666666667</v>
      </c>
      <c r="Q128" s="3">
        <f>SUM(O128*O82/Q82)</f>
        <v>44.24</v>
      </c>
      <c r="R128" s="3">
        <f>SUM(B128*B82/R82)</f>
        <v>55.3</v>
      </c>
      <c r="S128" s="3">
        <f>SUM(Q128*Q82/S82)</f>
        <v>73.733333333333334</v>
      </c>
      <c r="T128" s="3">
        <f>SUM(B128*B82/T82)</f>
        <v>110.6</v>
      </c>
      <c r="U128" s="3">
        <f>SUM(S128*S82/U82)</f>
        <v>221.2</v>
      </c>
    </row>
    <row r="129" spans="1:21" x14ac:dyDescent="0.35">
      <c r="A129" s="5" t="s">
        <v>67</v>
      </c>
      <c r="B129" s="2">
        <v>14.05</v>
      </c>
      <c r="C129" s="3">
        <f>SUM(B129*B82/C82)</f>
        <v>14.789473684210527</v>
      </c>
      <c r="D129" s="3">
        <f>SUM(B129*B82/D82)</f>
        <v>15.611111111111111</v>
      </c>
      <c r="E129" s="3">
        <f>SUM(B129*B82/E82)</f>
        <v>16.529411764705884</v>
      </c>
      <c r="F129" s="3">
        <f>SUM(B129*B82/F82)</f>
        <v>17.5625</v>
      </c>
      <c r="G129" s="3">
        <f>SUM(B129*B82/G82)</f>
        <v>18.733333333333334</v>
      </c>
      <c r="H129" s="3">
        <f>SUM(B129*B82/H82)</f>
        <v>20.071428571428573</v>
      </c>
      <c r="I129" s="3">
        <f>SUM(B129*B82/I82)</f>
        <v>21.615384615384617</v>
      </c>
      <c r="J129" s="3">
        <f>SUM(B129*B82/J82)</f>
        <v>23.416666666666668</v>
      </c>
      <c r="K129" s="3">
        <f>SUM(B129*B82/K82)</f>
        <v>25.545454545454543</v>
      </c>
      <c r="L129" s="2">
        <f>SUM(B129*B82/L82)</f>
        <v>28.1</v>
      </c>
      <c r="M129" s="3">
        <f>SUM(K129*K82/M82)</f>
        <v>31.222222222222221</v>
      </c>
      <c r="N129" s="3">
        <f>SUM(B129*B82/N82)</f>
        <v>35.125</v>
      </c>
      <c r="O129" s="3">
        <f>SUM(M129*M82/O82)</f>
        <v>40.142857142857146</v>
      </c>
      <c r="P129" s="3">
        <f>SUM(B129*B82/P82)</f>
        <v>46.833333333333336</v>
      </c>
      <c r="Q129" s="3">
        <f>SUM(O129*O82/Q82)</f>
        <v>56.2</v>
      </c>
      <c r="R129" s="3">
        <f>SUM(B129*B82/R82)</f>
        <v>70.25</v>
      </c>
      <c r="S129" s="3">
        <f>SUM(Q129*Q82/S82)</f>
        <v>93.666666666666671</v>
      </c>
      <c r="T129" s="3">
        <f>SUM(B129*B82/T82)</f>
        <v>140.5</v>
      </c>
      <c r="U129" s="3">
        <f>SUM(S129*S82/U82)</f>
        <v>281</v>
      </c>
    </row>
    <row r="130" spans="1:21" x14ac:dyDescent="0.35">
      <c r="A130" s="1" t="s">
        <v>68</v>
      </c>
      <c r="B130" s="2">
        <v>16.05</v>
      </c>
      <c r="C130" s="3">
        <f t="shared" ref="C130:C134" si="10">SUM(B130*$B$82/$C$82)</f>
        <v>16.894736842105264</v>
      </c>
      <c r="D130" s="3">
        <f>SUM(B130*B82/D82)</f>
        <v>17.833333333333332</v>
      </c>
      <c r="E130" s="3">
        <f>SUM(B130*B82/E82)</f>
        <v>18.882352941176471</v>
      </c>
      <c r="F130" s="3">
        <f>SUM(B130*B82/F82)</f>
        <v>20.0625</v>
      </c>
      <c r="G130" s="3">
        <f>SUM(B130*B82/G82)</f>
        <v>21.400000000000002</v>
      </c>
      <c r="H130" s="3">
        <f>SUM(B130*B82/H82)</f>
        <v>22.928571428571431</v>
      </c>
      <c r="I130" s="3">
        <f>SUM(B130*B82/I82)</f>
        <v>24.692307692307693</v>
      </c>
      <c r="J130" s="3">
        <f>SUM(B130*B82/J82)</f>
        <v>26.750000000000004</v>
      </c>
      <c r="K130" s="3">
        <f>SUM(B130*B82/K82)</f>
        <v>29.18181818181818</v>
      </c>
      <c r="L130" s="2">
        <f>SUM(B130*B82/L82)</f>
        <v>32.1</v>
      </c>
      <c r="M130" s="3">
        <f>SUM(K130*K82/M82)</f>
        <v>35.666666666666664</v>
      </c>
      <c r="N130" s="3">
        <f>SUM(B130*B82/N82)</f>
        <v>40.125</v>
      </c>
      <c r="O130" s="3">
        <f>SUM(M130*M82/O82)</f>
        <v>45.857142857142861</v>
      </c>
      <c r="P130" s="3">
        <f>SUM(B130*B82/P82)</f>
        <v>53.500000000000007</v>
      </c>
      <c r="Q130" s="3">
        <f>SUM(O130*O82/Q82)</f>
        <v>64.2</v>
      </c>
      <c r="R130" s="3">
        <f>SUM(B130*B82/R82)</f>
        <v>80.25</v>
      </c>
      <c r="S130" s="3">
        <f>SUM(Q130*Q82/S82)</f>
        <v>107.00000000000001</v>
      </c>
      <c r="T130" s="3">
        <f>SUM(B130*B82/T82)</f>
        <v>160.5</v>
      </c>
      <c r="U130" s="3">
        <f>SUM(S130*S82/U82)</f>
        <v>321</v>
      </c>
    </row>
    <row r="131" spans="1:21" x14ac:dyDescent="0.35">
      <c r="A131" s="5" t="s">
        <v>69</v>
      </c>
      <c r="B131" s="2">
        <v>16.05</v>
      </c>
      <c r="C131" s="3">
        <f t="shared" si="10"/>
        <v>16.894736842105264</v>
      </c>
      <c r="D131" s="3">
        <f t="shared" ref="D131:D134" si="11">SUM(B131*$B$82/$D$82)</f>
        <v>17.833333333333332</v>
      </c>
      <c r="E131" s="3">
        <f t="shared" ref="E131:E134" si="12">SUM(B131*$B$82/$E$82)</f>
        <v>18.882352941176471</v>
      </c>
      <c r="F131" s="3">
        <f t="shared" ref="F131:F134" si="13">SUM(B131*$B$82/$F$82)</f>
        <v>20.0625</v>
      </c>
      <c r="G131" s="3">
        <f t="shared" ref="G131:G134" si="14">SUM(B131*$B$82/$G$82)</f>
        <v>21.400000000000002</v>
      </c>
      <c r="H131" s="3">
        <f t="shared" ref="H131:H134" si="15">SUM(B131*$B$82/$H$82)</f>
        <v>22.928571428571431</v>
      </c>
      <c r="I131" s="3">
        <f t="shared" ref="I131:I134" si="16">SUM(B131*$B$82/$I$82)</f>
        <v>24.692307692307693</v>
      </c>
      <c r="J131" s="3">
        <f t="shared" ref="J131:J134" si="17">SUM(B131*$B$82/$J$82)</f>
        <v>26.750000000000004</v>
      </c>
      <c r="K131" s="3">
        <f t="shared" ref="K131:K134" si="18">SUM(B131*$B$82/$K$82)</f>
        <v>29.18181818181818</v>
      </c>
      <c r="L131" s="2">
        <f t="shared" ref="L131:L134" si="19">SUM(B131*$B$82/$L$82)</f>
        <v>32.1</v>
      </c>
      <c r="M131" s="3">
        <f t="shared" ref="M131:M134" si="20">SUM(K131*$K$82/$M$82)</f>
        <v>35.666666666666664</v>
      </c>
      <c r="N131" s="3">
        <f t="shared" ref="N131:N134" si="21">SUM(B131*$B$82/$N$82)</f>
        <v>40.125</v>
      </c>
      <c r="O131" s="3">
        <f t="shared" ref="O131:O134" si="22">SUM(M131*$M$82/$O$82)</f>
        <v>45.857142857142861</v>
      </c>
      <c r="P131" s="3">
        <f t="shared" ref="P131:P134" si="23">SUM(B131*$B$82/$P$82)</f>
        <v>53.500000000000007</v>
      </c>
      <c r="Q131" s="3">
        <f t="shared" ref="Q131:Q134" si="24">SUM(O131*$O$82/$Q$82)</f>
        <v>64.2</v>
      </c>
      <c r="R131" s="3">
        <f t="shared" ref="R131:R134" si="25">SUM(B131*$B$82/$R$82)</f>
        <v>80.25</v>
      </c>
      <c r="S131" s="3">
        <f t="shared" ref="S131:S134" si="26">SUM(Q131*$Q$82/$S$82)</f>
        <v>107.00000000000001</v>
      </c>
      <c r="T131" s="3">
        <f t="shared" ref="T131:T134" si="27">SUM(B131*$B$82/$T$82)</f>
        <v>160.5</v>
      </c>
      <c r="U131" s="3">
        <f t="shared" ref="U131:U134" si="28">SUM(S131*$S$82/$U$82)</f>
        <v>321</v>
      </c>
    </row>
    <row r="132" spans="1:21" ht="13.5" customHeight="1" x14ac:dyDescent="0.35">
      <c r="A132" s="1" t="s">
        <v>70</v>
      </c>
      <c r="B132" s="2">
        <v>16.05</v>
      </c>
      <c r="C132" s="3">
        <f t="shared" si="10"/>
        <v>16.894736842105264</v>
      </c>
      <c r="D132" s="3">
        <f t="shared" si="11"/>
        <v>17.833333333333332</v>
      </c>
      <c r="E132" s="3">
        <f t="shared" si="12"/>
        <v>18.882352941176471</v>
      </c>
      <c r="F132" s="3">
        <f t="shared" si="13"/>
        <v>20.0625</v>
      </c>
      <c r="G132" s="3">
        <f t="shared" si="14"/>
        <v>21.400000000000002</v>
      </c>
      <c r="H132" s="3">
        <f t="shared" si="15"/>
        <v>22.928571428571431</v>
      </c>
      <c r="I132" s="3">
        <f t="shared" si="16"/>
        <v>24.692307692307693</v>
      </c>
      <c r="J132" s="3">
        <f t="shared" si="17"/>
        <v>26.750000000000004</v>
      </c>
      <c r="K132" s="3">
        <f t="shared" si="18"/>
        <v>29.18181818181818</v>
      </c>
      <c r="L132" s="2">
        <f t="shared" si="19"/>
        <v>32.1</v>
      </c>
      <c r="M132" s="3">
        <f t="shared" si="20"/>
        <v>35.666666666666664</v>
      </c>
      <c r="N132" s="3">
        <f t="shared" si="21"/>
        <v>40.125</v>
      </c>
      <c r="O132" s="3">
        <f t="shared" si="22"/>
        <v>45.857142857142861</v>
      </c>
      <c r="P132" s="3">
        <f t="shared" si="23"/>
        <v>53.500000000000007</v>
      </c>
      <c r="Q132" s="3">
        <f t="shared" si="24"/>
        <v>64.2</v>
      </c>
      <c r="R132" s="3">
        <f t="shared" si="25"/>
        <v>80.25</v>
      </c>
      <c r="S132" s="3">
        <f t="shared" si="26"/>
        <v>107.00000000000001</v>
      </c>
      <c r="T132" s="3">
        <f t="shared" si="27"/>
        <v>160.5</v>
      </c>
      <c r="U132" s="3">
        <f t="shared" si="28"/>
        <v>321</v>
      </c>
    </row>
    <row r="133" spans="1:21" x14ac:dyDescent="0.35">
      <c r="A133" s="5" t="s">
        <v>71</v>
      </c>
      <c r="B133" s="2">
        <v>14.1</v>
      </c>
      <c r="C133" s="3">
        <f t="shared" si="10"/>
        <v>14.842105263157896</v>
      </c>
      <c r="D133" s="3">
        <f t="shared" si="11"/>
        <v>15.666666666666666</v>
      </c>
      <c r="E133" s="3">
        <f t="shared" si="12"/>
        <v>16.588235294117649</v>
      </c>
      <c r="F133" s="3">
        <f t="shared" si="13"/>
        <v>17.625</v>
      </c>
      <c r="G133" s="3">
        <f t="shared" si="14"/>
        <v>18.8</v>
      </c>
      <c r="H133" s="3">
        <f t="shared" si="15"/>
        <v>20.142857142857142</v>
      </c>
      <c r="I133" s="3">
        <f t="shared" si="16"/>
        <v>21.69230769230769</v>
      </c>
      <c r="J133" s="3">
        <f t="shared" si="17"/>
        <v>23.5</v>
      </c>
      <c r="K133" s="3">
        <f t="shared" si="18"/>
        <v>25.636363636363633</v>
      </c>
      <c r="L133" s="2">
        <f t="shared" si="19"/>
        <v>28.2</v>
      </c>
      <c r="M133" s="3">
        <f t="shared" si="20"/>
        <v>31.333333333333332</v>
      </c>
      <c r="N133" s="3">
        <f t="shared" si="21"/>
        <v>35.25</v>
      </c>
      <c r="O133" s="3">
        <f t="shared" si="22"/>
        <v>40.285714285714285</v>
      </c>
      <c r="P133" s="3">
        <f t="shared" si="23"/>
        <v>47</v>
      </c>
      <c r="Q133" s="3">
        <f t="shared" si="24"/>
        <v>56.399999999999991</v>
      </c>
      <c r="R133" s="3">
        <f t="shared" si="25"/>
        <v>70.5</v>
      </c>
      <c r="S133" s="3">
        <f t="shared" si="26"/>
        <v>93.999999999999986</v>
      </c>
      <c r="T133" s="3">
        <f t="shared" si="27"/>
        <v>141</v>
      </c>
      <c r="U133" s="3">
        <f t="shared" si="28"/>
        <v>281.99999999999994</v>
      </c>
    </row>
    <row r="134" spans="1:21" x14ac:dyDescent="0.35">
      <c r="A134" s="1" t="s">
        <v>72</v>
      </c>
      <c r="B134" s="2">
        <v>13.26</v>
      </c>
      <c r="C134" s="3">
        <f t="shared" si="10"/>
        <v>13.957894736842105</v>
      </c>
      <c r="D134" s="3">
        <f t="shared" si="11"/>
        <v>14.733333333333333</v>
      </c>
      <c r="E134" s="3">
        <f t="shared" si="12"/>
        <v>15.6</v>
      </c>
      <c r="F134" s="3">
        <f t="shared" si="13"/>
        <v>16.574999999999999</v>
      </c>
      <c r="G134" s="3">
        <f t="shared" si="14"/>
        <v>17.68</v>
      </c>
      <c r="H134" s="3">
        <f t="shared" si="15"/>
        <v>18.942857142857143</v>
      </c>
      <c r="I134" s="3">
        <f t="shared" si="16"/>
        <v>20.399999999999999</v>
      </c>
      <c r="J134" s="3">
        <f t="shared" si="17"/>
        <v>22.1</v>
      </c>
      <c r="K134" s="3">
        <f t="shared" si="18"/>
        <v>24.109090909090906</v>
      </c>
      <c r="L134" s="2">
        <f t="shared" si="19"/>
        <v>26.52</v>
      </c>
      <c r="M134" s="3">
        <f t="shared" si="20"/>
        <v>29.466666666666665</v>
      </c>
      <c r="N134" s="3">
        <f t="shared" si="21"/>
        <v>33.15</v>
      </c>
      <c r="O134" s="3">
        <f t="shared" si="22"/>
        <v>37.885714285714286</v>
      </c>
      <c r="P134" s="3">
        <f t="shared" si="23"/>
        <v>44.2</v>
      </c>
      <c r="Q134" s="3">
        <f t="shared" si="24"/>
        <v>53.04</v>
      </c>
      <c r="R134" s="3">
        <f t="shared" si="25"/>
        <v>66.3</v>
      </c>
      <c r="S134" s="3">
        <f t="shared" si="26"/>
        <v>88.4</v>
      </c>
      <c r="T134" s="3">
        <f t="shared" si="27"/>
        <v>132.6</v>
      </c>
      <c r="U134" s="3">
        <f t="shared" si="28"/>
        <v>265.2</v>
      </c>
    </row>
    <row r="135" spans="1:21" x14ac:dyDescent="0.35">
      <c r="A135" s="5" t="s">
        <v>73</v>
      </c>
      <c r="B135" s="2">
        <v>13.26</v>
      </c>
      <c r="C135" s="3">
        <f t="shared" ref="C135:C139" si="29">SUM(B135*$B$82/$C$82)</f>
        <v>13.957894736842105</v>
      </c>
      <c r="D135" s="3">
        <f t="shared" ref="D135:D160" si="30">SUM(B135*$B$82/$D$82)</f>
        <v>14.733333333333333</v>
      </c>
      <c r="E135" s="3">
        <f t="shared" ref="E135:E160" si="31">SUM(B135*$B$82/$E$82)</f>
        <v>15.6</v>
      </c>
      <c r="F135" s="3">
        <f t="shared" ref="F135:F158" si="32">SUM(B135*$B$82/$F$82)</f>
        <v>16.574999999999999</v>
      </c>
      <c r="G135" s="3">
        <f t="shared" ref="G135:G160" si="33">SUM(B135*$B$82/$G$82)</f>
        <v>17.68</v>
      </c>
      <c r="H135" s="3">
        <f t="shared" ref="H135:H160" si="34">SUM(B135*$B$82/$H$82)</f>
        <v>18.942857142857143</v>
      </c>
      <c r="I135" s="3">
        <f t="shared" ref="I135:I160" si="35">SUM(B135*$B$82/$I$82)</f>
        <v>20.399999999999999</v>
      </c>
      <c r="J135" s="3">
        <f t="shared" ref="J135:J160" si="36">SUM(B135*$B$82/$J$82)</f>
        <v>22.1</v>
      </c>
      <c r="K135" s="3">
        <f t="shared" ref="K135:K159" si="37">SUM(B135*$B$82/$K$82)</f>
        <v>24.109090909090906</v>
      </c>
      <c r="L135" s="2">
        <f t="shared" ref="L135:L160" si="38">SUM(B135*$B$82/$L$82)</f>
        <v>26.52</v>
      </c>
      <c r="M135" s="3">
        <f t="shared" ref="M135:M160" si="39">SUM(K135*$K$82/$M$82)</f>
        <v>29.466666666666665</v>
      </c>
      <c r="N135" s="3">
        <f t="shared" ref="N135:N160" si="40">SUM(B135*$B$82/$N$82)</f>
        <v>33.15</v>
      </c>
      <c r="O135" s="3">
        <f t="shared" ref="O135:O160" si="41">SUM(M135*$M$82/$O$82)</f>
        <v>37.885714285714286</v>
      </c>
      <c r="P135" s="3">
        <f t="shared" ref="P135:P160" si="42">SUM(B135*$B$82/$P$82)</f>
        <v>44.2</v>
      </c>
      <c r="Q135" s="3">
        <f t="shared" ref="Q135:Q160" si="43">SUM(O135*$O$82/$Q$82)</f>
        <v>53.04</v>
      </c>
      <c r="R135" s="3">
        <f t="shared" ref="R135:R160" si="44">SUM(B135*$B$82/$R$82)</f>
        <v>66.3</v>
      </c>
      <c r="S135" s="3">
        <f t="shared" ref="S135:S160" si="45">SUM(Q135*$Q$82/$S$82)</f>
        <v>88.4</v>
      </c>
      <c r="T135" s="3">
        <f t="shared" ref="T135:T160" si="46">SUM(B135*$B$82/$T$82)</f>
        <v>132.6</v>
      </c>
      <c r="U135" s="3">
        <f t="shared" ref="U135:U160" si="47">SUM(S135*$S$82/$U$82)</f>
        <v>265.2</v>
      </c>
    </row>
    <row r="136" spans="1:21" x14ac:dyDescent="0.35">
      <c r="A136" s="1" t="s">
        <v>74</v>
      </c>
      <c r="B136" s="2">
        <v>16.05</v>
      </c>
      <c r="C136" s="3">
        <f t="shared" si="29"/>
        <v>16.894736842105264</v>
      </c>
      <c r="D136" s="3">
        <f t="shared" si="30"/>
        <v>17.833333333333332</v>
      </c>
      <c r="E136" s="3">
        <f t="shared" si="31"/>
        <v>18.882352941176471</v>
      </c>
      <c r="F136" s="3">
        <f t="shared" si="32"/>
        <v>20.0625</v>
      </c>
      <c r="G136" s="3">
        <f t="shared" si="33"/>
        <v>21.400000000000002</v>
      </c>
      <c r="H136" s="3">
        <f t="shared" si="34"/>
        <v>22.928571428571431</v>
      </c>
      <c r="I136" s="3">
        <f t="shared" si="35"/>
        <v>24.692307692307693</v>
      </c>
      <c r="J136" s="3">
        <f t="shared" si="36"/>
        <v>26.750000000000004</v>
      </c>
      <c r="K136" s="3">
        <f t="shared" si="37"/>
        <v>29.18181818181818</v>
      </c>
      <c r="L136" s="2">
        <f t="shared" si="38"/>
        <v>32.1</v>
      </c>
      <c r="M136" s="3">
        <f t="shared" si="39"/>
        <v>35.666666666666664</v>
      </c>
      <c r="N136" s="3">
        <f t="shared" si="40"/>
        <v>40.125</v>
      </c>
      <c r="O136" s="3">
        <f t="shared" si="41"/>
        <v>45.857142857142861</v>
      </c>
      <c r="P136" s="3">
        <f t="shared" si="42"/>
        <v>53.500000000000007</v>
      </c>
      <c r="Q136" s="3">
        <f t="shared" si="43"/>
        <v>64.2</v>
      </c>
      <c r="R136" s="3">
        <f t="shared" si="44"/>
        <v>80.25</v>
      </c>
      <c r="S136" s="3">
        <f t="shared" si="45"/>
        <v>107.00000000000001</v>
      </c>
      <c r="T136" s="3">
        <f t="shared" si="46"/>
        <v>160.5</v>
      </c>
      <c r="U136" s="3">
        <f t="shared" si="47"/>
        <v>321</v>
      </c>
    </row>
    <row r="137" spans="1:21" x14ac:dyDescent="0.35">
      <c r="A137" s="5" t="s">
        <v>75</v>
      </c>
      <c r="B137" s="2">
        <v>10.94</v>
      </c>
      <c r="C137" s="3">
        <f t="shared" si="29"/>
        <v>11.51578947368421</v>
      </c>
      <c r="D137" s="3">
        <f t="shared" si="30"/>
        <v>12.155555555555555</v>
      </c>
      <c r="E137" s="3">
        <f t="shared" si="31"/>
        <v>12.870588235294118</v>
      </c>
      <c r="F137" s="3">
        <f t="shared" si="32"/>
        <v>13.674999999999999</v>
      </c>
      <c r="G137" s="3">
        <f t="shared" si="33"/>
        <v>14.586666666666666</v>
      </c>
      <c r="H137" s="3">
        <f t="shared" si="34"/>
        <v>15.628571428571428</v>
      </c>
      <c r="I137" s="3">
        <f t="shared" si="35"/>
        <v>16.830769230769228</v>
      </c>
      <c r="J137" s="3">
        <f t="shared" si="36"/>
        <v>18.233333333333334</v>
      </c>
      <c r="K137" s="3">
        <f t="shared" si="37"/>
        <v>19.890909090909087</v>
      </c>
      <c r="L137" s="2">
        <f t="shared" si="38"/>
        <v>21.88</v>
      </c>
      <c r="M137" s="3">
        <f t="shared" si="39"/>
        <v>24.31111111111111</v>
      </c>
      <c r="N137" s="3">
        <f t="shared" si="40"/>
        <v>27.349999999999998</v>
      </c>
      <c r="O137" s="3">
        <f t="shared" si="41"/>
        <v>31.257142857142856</v>
      </c>
      <c r="P137" s="3">
        <f t="shared" si="42"/>
        <v>36.466666666666669</v>
      </c>
      <c r="Q137" s="3">
        <f t="shared" si="43"/>
        <v>43.76</v>
      </c>
      <c r="R137" s="3">
        <f t="shared" si="44"/>
        <v>54.699999999999996</v>
      </c>
      <c r="S137" s="3">
        <f t="shared" si="45"/>
        <v>72.933333333333337</v>
      </c>
      <c r="T137" s="3">
        <f t="shared" si="46"/>
        <v>109.39999999999999</v>
      </c>
      <c r="U137" s="3">
        <f t="shared" si="47"/>
        <v>218.79999999999998</v>
      </c>
    </row>
    <row r="138" spans="1:21" x14ac:dyDescent="0.35">
      <c r="A138" s="1" t="s">
        <v>76</v>
      </c>
      <c r="B138" s="2">
        <v>13.57</v>
      </c>
      <c r="C138" s="3">
        <f t="shared" si="29"/>
        <v>14.284210526315791</v>
      </c>
      <c r="D138" s="3">
        <f t="shared" si="30"/>
        <v>15.077777777777778</v>
      </c>
      <c r="E138" s="3">
        <f t="shared" si="31"/>
        <v>15.964705882352941</v>
      </c>
      <c r="F138" s="3">
        <f t="shared" si="32"/>
        <v>16.962499999999999</v>
      </c>
      <c r="G138" s="3">
        <f t="shared" si="33"/>
        <v>18.093333333333334</v>
      </c>
      <c r="H138" s="3">
        <f t="shared" si="34"/>
        <v>19.385714285714286</v>
      </c>
      <c r="I138" s="3">
        <f t="shared" si="35"/>
        <v>20.876923076923077</v>
      </c>
      <c r="J138" s="3">
        <f t="shared" si="36"/>
        <v>22.616666666666667</v>
      </c>
      <c r="K138" s="3">
        <f t="shared" si="37"/>
        <v>24.672727272727272</v>
      </c>
      <c r="L138" s="2">
        <f t="shared" si="38"/>
        <v>27.14</v>
      </c>
      <c r="M138" s="3">
        <f t="shared" si="39"/>
        <v>30.155555555555555</v>
      </c>
      <c r="N138" s="3">
        <f t="shared" si="40"/>
        <v>33.924999999999997</v>
      </c>
      <c r="O138" s="3">
        <f t="shared" si="41"/>
        <v>38.771428571428572</v>
      </c>
      <c r="P138" s="3">
        <f t="shared" si="42"/>
        <v>45.233333333333334</v>
      </c>
      <c r="Q138" s="3">
        <f t="shared" si="43"/>
        <v>54.28</v>
      </c>
      <c r="R138" s="3">
        <f t="shared" si="44"/>
        <v>67.849999999999994</v>
      </c>
      <c r="S138" s="3">
        <f t="shared" si="45"/>
        <v>90.466666666666669</v>
      </c>
      <c r="T138" s="3">
        <f t="shared" si="46"/>
        <v>135.69999999999999</v>
      </c>
      <c r="U138" s="3">
        <f t="shared" si="47"/>
        <v>271.39999999999998</v>
      </c>
    </row>
    <row r="139" spans="1:21" x14ac:dyDescent="0.35">
      <c r="A139" s="5" t="s">
        <v>77</v>
      </c>
      <c r="B139" s="2">
        <v>15.11</v>
      </c>
      <c r="C139" s="3">
        <f t="shared" si="29"/>
        <v>15.905263157894737</v>
      </c>
      <c r="D139" s="3">
        <f t="shared" si="30"/>
        <v>16.788888888888888</v>
      </c>
      <c r="E139" s="3">
        <f t="shared" si="31"/>
        <v>17.776470588235295</v>
      </c>
      <c r="F139" s="3">
        <f t="shared" si="32"/>
        <v>18.887499999999999</v>
      </c>
      <c r="G139" s="3">
        <f t="shared" si="33"/>
        <v>20.146666666666665</v>
      </c>
      <c r="H139" s="3">
        <f t="shared" si="34"/>
        <v>21.585714285714285</v>
      </c>
      <c r="I139" s="3">
        <f t="shared" si="35"/>
        <v>23.246153846153845</v>
      </c>
      <c r="J139" s="3">
        <f t="shared" si="36"/>
        <v>25.183333333333334</v>
      </c>
      <c r="K139" s="3">
        <f t="shared" si="37"/>
        <v>27.472727272727269</v>
      </c>
      <c r="L139" s="2">
        <f t="shared" si="38"/>
        <v>30.22</v>
      </c>
      <c r="M139" s="3">
        <f t="shared" si="39"/>
        <v>33.577777777777776</v>
      </c>
      <c r="N139" s="3">
        <f t="shared" si="40"/>
        <v>37.774999999999999</v>
      </c>
      <c r="O139" s="3">
        <f t="shared" si="41"/>
        <v>43.171428571428571</v>
      </c>
      <c r="P139" s="3">
        <f t="shared" si="42"/>
        <v>50.366666666666667</v>
      </c>
      <c r="Q139" s="3">
        <f t="shared" si="43"/>
        <v>60.44</v>
      </c>
      <c r="R139" s="3">
        <f t="shared" si="44"/>
        <v>75.55</v>
      </c>
      <c r="S139" s="3">
        <f t="shared" si="45"/>
        <v>100.73333333333333</v>
      </c>
      <c r="T139" s="3">
        <f t="shared" si="46"/>
        <v>151.1</v>
      </c>
      <c r="U139" s="3">
        <f t="shared" si="47"/>
        <v>302.2</v>
      </c>
    </row>
    <row r="140" spans="1:21" x14ac:dyDescent="0.35">
      <c r="A140" s="1" t="s">
        <v>78</v>
      </c>
      <c r="B140" s="2">
        <v>15.57</v>
      </c>
      <c r="C140" s="3">
        <f>SUM(B140*$B$82/$C$82)</f>
        <v>16.389473684210529</v>
      </c>
      <c r="D140" s="3">
        <f>SUM(B140*$B$82/$D$82)</f>
        <v>17.3</v>
      </c>
      <c r="E140" s="3">
        <f t="shared" si="31"/>
        <v>18.317647058823532</v>
      </c>
      <c r="F140" s="3">
        <f>SUM(B140*$B$82/$F$82)</f>
        <v>19.462499999999999</v>
      </c>
      <c r="G140" s="3">
        <f t="shared" si="33"/>
        <v>20.76</v>
      </c>
      <c r="H140" s="3">
        <f>SUM(B140*$B$82/$H$82)</f>
        <v>22.242857142857144</v>
      </c>
      <c r="I140" s="3">
        <f t="shared" si="35"/>
        <v>23.953846153846154</v>
      </c>
      <c r="J140" s="3">
        <f>SUM(B140*$B$82/$J$82)</f>
        <v>25.950000000000003</v>
      </c>
      <c r="K140" s="3">
        <f t="shared" si="37"/>
        <v>28.309090909090909</v>
      </c>
      <c r="L140" s="2">
        <f t="shared" si="38"/>
        <v>31.14</v>
      </c>
      <c r="M140" s="3">
        <f t="shared" si="39"/>
        <v>34.6</v>
      </c>
      <c r="N140" s="3">
        <f t="shared" si="40"/>
        <v>38.924999999999997</v>
      </c>
      <c r="O140" s="3">
        <f t="shared" si="41"/>
        <v>44.485714285714288</v>
      </c>
      <c r="P140" s="3">
        <f t="shared" si="42"/>
        <v>51.900000000000006</v>
      </c>
      <c r="Q140" s="3">
        <f t="shared" si="43"/>
        <v>62.28</v>
      </c>
      <c r="R140" s="3">
        <f t="shared" si="44"/>
        <v>77.849999999999994</v>
      </c>
      <c r="S140" s="3">
        <f t="shared" si="45"/>
        <v>103.80000000000001</v>
      </c>
      <c r="T140" s="3">
        <f t="shared" si="46"/>
        <v>155.69999999999999</v>
      </c>
      <c r="U140" s="3">
        <f t="shared" si="47"/>
        <v>311.39999999999998</v>
      </c>
    </row>
    <row r="141" spans="1:21" x14ac:dyDescent="0.35">
      <c r="A141" s="5" t="s">
        <v>79</v>
      </c>
      <c r="B141" s="2">
        <v>15.11</v>
      </c>
      <c r="C141" s="3">
        <f t="shared" ref="C141:C160" si="48">SUM(B141*$B$82/$C$82)</f>
        <v>15.905263157894737</v>
      </c>
      <c r="D141" s="3">
        <f t="shared" ref="D141:D156" si="49">SUM(B141*$B$82/$D$82)</f>
        <v>16.788888888888888</v>
      </c>
      <c r="E141" s="3">
        <f t="shared" ref="E141:E156" si="50">SUM(B141*$B$82/$E$82)</f>
        <v>17.776470588235295</v>
      </c>
      <c r="F141" s="3">
        <f t="shared" ref="F141:F156" si="51">SUM(B141*$B$82/$F$82)</f>
        <v>18.887499999999999</v>
      </c>
      <c r="G141" s="3">
        <f t="shared" ref="G141:G156" si="52">SUM(B141*$B$82/$G$82)</f>
        <v>20.146666666666665</v>
      </c>
      <c r="H141" s="3">
        <f t="shared" ref="H141:H156" si="53">SUM(B141*$B$82/$H$82)</f>
        <v>21.585714285714285</v>
      </c>
      <c r="I141" s="3">
        <f t="shared" ref="I141:I156" si="54">SUM(B141*$B$82/$I$82)</f>
        <v>23.246153846153845</v>
      </c>
      <c r="J141" s="3">
        <f t="shared" ref="J141:J156" si="55">SUM(B141*$B$82/$J$82)</f>
        <v>25.183333333333334</v>
      </c>
      <c r="K141" s="3">
        <f t="shared" ref="K141:K156" si="56">SUM(B141*$B$82/$K$82)</f>
        <v>27.472727272727269</v>
      </c>
      <c r="L141" s="3">
        <f t="shared" ref="L141:L156" si="57">SUM(B141*$B$82/$L$82)</f>
        <v>30.22</v>
      </c>
      <c r="M141" s="3">
        <f t="shared" ref="M141:M156" si="58">SUM(K141*$K$82/$M$82)</f>
        <v>33.577777777777776</v>
      </c>
      <c r="N141" s="3">
        <f t="shared" ref="N141:N156" si="59">SUM(B141*$B$82/$N$82)</f>
        <v>37.774999999999999</v>
      </c>
      <c r="O141" s="3">
        <f t="shared" ref="O141:O156" si="60">SUM(M141*$M$82/$O$82)</f>
        <v>43.171428571428571</v>
      </c>
      <c r="P141" s="3">
        <f t="shared" ref="P141:P156" si="61">SUM(B141*$B$82/$P$82)</f>
        <v>50.366666666666667</v>
      </c>
      <c r="Q141" s="3">
        <f t="shared" ref="Q141:Q156" si="62">SUM(O141*$O$82/$Q$82)</f>
        <v>60.44</v>
      </c>
      <c r="R141" s="3">
        <f t="shared" ref="R141:R156" si="63">SUM(B141*$B$82/$R$82)</f>
        <v>75.55</v>
      </c>
      <c r="S141" s="3">
        <f t="shared" ref="S141:S156" si="64">SUM(Q141*$Q$82/$S$82)</f>
        <v>100.73333333333333</v>
      </c>
      <c r="T141" s="3">
        <f t="shared" ref="T141:T156" si="65">SUM(B141*$B$82/$T$82)</f>
        <v>151.1</v>
      </c>
      <c r="U141" s="3">
        <f t="shared" ref="U141:U156" si="66">SUM(S141*$S$82/$U$82)</f>
        <v>302.2</v>
      </c>
    </row>
    <row r="142" spans="1:21" x14ac:dyDescent="0.35">
      <c r="A142" s="1" t="s">
        <v>80</v>
      </c>
      <c r="B142" s="2">
        <v>15.11</v>
      </c>
      <c r="C142" s="3">
        <f t="shared" si="48"/>
        <v>15.905263157894737</v>
      </c>
      <c r="D142" s="3">
        <f t="shared" si="49"/>
        <v>16.788888888888888</v>
      </c>
      <c r="E142" s="3">
        <f t="shared" si="50"/>
        <v>17.776470588235295</v>
      </c>
      <c r="F142" s="3">
        <f t="shared" si="51"/>
        <v>18.887499999999999</v>
      </c>
      <c r="G142" s="3">
        <f t="shared" si="52"/>
        <v>20.146666666666665</v>
      </c>
      <c r="H142" s="3">
        <f t="shared" si="53"/>
        <v>21.585714285714285</v>
      </c>
      <c r="I142" s="3">
        <f t="shared" si="54"/>
        <v>23.246153846153845</v>
      </c>
      <c r="J142" s="3">
        <f t="shared" si="55"/>
        <v>25.183333333333334</v>
      </c>
      <c r="K142" s="3">
        <f t="shared" si="56"/>
        <v>27.472727272727269</v>
      </c>
      <c r="L142" s="3">
        <f t="shared" si="57"/>
        <v>30.22</v>
      </c>
      <c r="M142" s="3">
        <f t="shared" si="58"/>
        <v>33.577777777777776</v>
      </c>
      <c r="N142" s="3">
        <f t="shared" si="59"/>
        <v>37.774999999999999</v>
      </c>
      <c r="O142" s="3">
        <f t="shared" si="60"/>
        <v>43.171428571428571</v>
      </c>
      <c r="P142" s="3">
        <f t="shared" si="61"/>
        <v>50.366666666666667</v>
      </c>
      <c r="Q142" s="3">
        <f t="shared" si="62"/>
        <v>60.44</v>
      </c>
      <c r="R142" s="3">
        <f t="shared" si="63"/>
        <v>75.55</v>
      </c>
      <c r="S142" s="3">
        <f t="shared" si="64"/>
        <v>100.73333333333333</v>
      </c>
      <c r="T142" s="3">
        <f t="shared" si="65"/>
        <v>151.1</v>
      </c>
      <c r="U142" s="3">
        <f t="shared" si="66"/>
        <v>302.2</v>
      </c>
    </row>
    <row r="143" spans="1:21" x14ac:dyDescent="0.35">
      <c r="A143" s="5" t="s">
        <v>81</v>
      </c>
      <c r="B143" s="2">
        <v>14.8</v>
      </c>
      <c r="C143" s="3">
        <f t="shared" si="48"/>
        <v>15.578947368421055</v>
      </c>
      <c r="D143" s="3">
        <f t="shared" si="49"/>
        <v>16.444444444444446</v>
      </c>
      <c r="E143" s="3">
        <f t="shared" si="50"/>
        <v>17.411764705882355</v>
      </c>
      <c r="F143" s="3">
        <f t="shared" si="51"/>
        <v>18.5</v>
      </c>
      <c r="G143" s="3">
        <f t="shared" si="52"/>
        <v>19.733333333333334</v>
      </c>
      <c r="H143" s="3">
        <f t="shared" si="53"/>
        <v>21.142857142857146</v>
      </c>
      <c r="I143" s="3">
        <f t="shared" si="54"/>
        <v>22.76923076923077</v>
      </c>
      <c r="J143" s="3">
        <f t="shared" si="55"/>
        <v>24.666666666666668</v>
      </c>
      <c r="K143" s="3">
        <f t="shared" si="56"/>
        <v>26.909090909090907</v>
      </c>
      <c r="L143" s="3">
        <f t="shared" si="57"/>
        <v>29.6</v>
      </c>
      <c r="M143" s="3">
        <f t="shared" si="58"/>
        <v>32.888888888888886</v>
      </c>
      <c r="N143" s="3">
        <f t="shared" si="59"/>
        <v>37</v>
      </c>
      <c r="O143" s="3">
        <f t="shared" si="60"/>
        <v>42.285714285714285</v>
      </c>
      <c r="P143" s="3">
        <f t="shared" si="61"/>
        <v>49.333333333333336</v>
      </c>
      <c r="Q143" s="3">
        <f t="shared" si="62"/>
        <v>59.199999999999996</v>
      </c>
      <c r="R143" s="3">
        <f t="shared" si="63"/>
        <v>74</v>
      </c>
      <c r="S143" s="3">
        <f t="shared" si="64"/>
        <v>98.666666666666657</v>
      </c>
      <c r="T143" s="3">
        <f t="shared" si="65"/>
        <v>148</v>
      </c>
      <c r="U143" s="3">
        <f t="shared" si="66"/>
        <v>295.99999999999994</v>
      </c>
    </row>
    <row r="144" spans="1:21" x14ac:dyDescent="0.35">
      <c r="A144" s="1" t="s">
        <v>82</v>
      </c>
      <c r="B144" s="2">
        <v>15.11</v>
      </c>
      <c r="C144" s="3">
        <f t="shared" si="48"/>
        <v>15.905263157894737</v>
      </c>
      <c r="D144" s="3">
        <f t="shared" si="49"/>
        <v>16.788888888888888</v>
      </c>
      <c r="E144" s="3">
        <f t="shared" si="50"/>
        <v>17.776470588235295</v>
      </c>
      <c r="F144" s="3">
        <f t="shared" si="51"/>
        <v>18.887499999999999</v>
      </c>
      <c r="G144" s="3">
        <f t="shared" si="52"/>
        <v>20.146666666666665</v>
      </c>
      <c r="H144" s="3">
        <f t="shared" si="53"/>
        <v>21.585714285714285</v>
      </c>
      <c r="I144" s="3">
        <f t="shared" si="54"/>
        <v>23.246153846153845</v>
      </c>
      <c r="J144" s="3">
        <f t="shared" si="55"/>
        <v>25.183333333333334</v>
      </c>
      <c r="K144" s="3">
        <f t="shared" si="56"/>
        <v>27.472727272727269</v>
      </c>
      <c r="L144" s="3">
        <f t="shared" si="57"/>
        <v>30.22</v>
      </c>
      <c r="M144" s="3">
        <f t="shared" si="58"/>
        <v>33.577777777777776</v>
      </c>
      <c r="N144" s="3">
        <f t="shared" si="59"/>
        <v>37.774999999999999</v>
      </c>
      <c r="O144" s="3">
        <f t="shared" si="60"/>
        <v>43.171428571428571</v>
      </c>
      <c r="P144" s="3">
        <f t="shared" si="61"/>
        <v>50.366666666666667</v>
      </c>
      <c r="Q144" s="3">
        <f t="shared" si="62"/>
        <v>60.44</v>
      </c>
      <c r="R144" s="3">
        <f t="shared" si="63"/>
        <v>75.55</v>
      </c>
      <c r="S144" s="3">
        <f t="shared" si="64"/>
        <v>100.73333333333333</v>
      </c>
      <c r="T144" s="3">
        <f t="shared" si="65"/>
        <v>151.1</v>
      </c>
      <c r="U144" s="3">
        <f t="shared" si="66"/>
        <v>302.2</v>
      </c>
    </row>
    <row r="145" spans="1:21" x14ac:dyDescent="0.35">
      <c r="A145" s="5" t="s">
        <v>83</v>
      </c>
      <c r="B145" s="2">
        <v>14.8</v>
      </c>
      <c r="C145" s="3">
        <f t="shared" si="48"/>
        <v>15.578947368421055</v>
      </c>
      <c r="D145" s="3">
        <f t="shared" si="49"/>
        <v>16.444444444444446</v>
      </c>
      <c r="E145" s="3">
        <f t="shared" si="50"/>
        <v>17.411764705882355</v>
      </c>
      <c r="F145" s="3">
        <f t="shared" si="51"/>
        <v>18.5</v>
      </c>
      <c r="G145" s="3">
        <f t="shared" si="52"/>
        <v>19.733333333333334</v>
      </c>
      <c r="H145" s="3">
        <f t="shared" si="53"/>
        <v>21.142857142857146</v>
      </c>
      <c r="I145" s="3">
        <f t="shared" si="54"/>
        <v>22.76923076923077</v>
      </c>
      <c r="J145" s="3">
        <f t="shared" si="55"/>
        <v>24.666666666666668</v>
      </c>
      <c r="K145" s="3">
        <f t="shared" si="56"/>
        <v>26.909090909090907</v>
      </c>
      <c r="L145" s="3">
        <f t="shared" si="57"/>
        <v>29.6</v>
      </c>
      <c r="M145" s="3">
        <f t="shared" si="58"/>
        <v>32.888888888888886</v>
      </c>
      <c r="N145" s="3">
        <f t="shared" si="59"/>
        <v>37</v>
      </c>
      <c r="O145" s="3">
        <f t="shared" si="60"/>
        <v>42.285714285714285</v>
      </c>
      <c r="P145" s="3">
        <f t="shared" si="61"/>
        <v>49.333333333333336</v>
      </c>
      <c r="Q145" s="3">
        <f t="shared" si="62"/>
        <v>59.199999999999996</v>
      </c>
      <c r="R145" s="3">
        <f t="shared" si="63"/>
        <v>74</v>
      </c>
      <c r="S145" s="3">
        <f t="shared" si="64"/>
        <v>98.666666666666657</v>
      </c>
      <c r="T145" s="3">
        <f t="shared" si="65"/>
        <v>148</v>
      </c>
      <c r="U145" s="3">
        <f t="shared" si="66"/>
        <v>295.99999999999994</v>
      </c>
    </row>
    <row r="146" spans="1:21" x14ac:dyDescent="0.35">
      <c r="A146" s="1" t="s">
        <v>84</v>
      </c>
      <c r="B146" s="2">
        <v>14.65</v>
      </c>
      <c r="C146" s="3">
        <f t="shared" si="48"/>
        <v>15.421052631578949</v>
      </c>
      <c r="D146" s="3">
        <f t="shared" si="49"/>
        <v>16.277777777777779</v>
      </c>
      <c r="E146" s="3">
        <f t="shared" si="50"/>
        <v>17.235294117647058</v>
      </c>
      <c r="F146" s="3">
        <f t="shared" si="51"/>
        <v>18.3125</v>
      </c>
      <c r="G146" s="3">
        <f t="shared" si="52"/>
        <v>19.533333333333335</v>
      </c>
      <c r="H146" s="3">
        <f t="shared" si="53"/>
        <v>20.928571428571431</v>
      </c>
      <c r="I146" s="3">
        <f t="shared" si="54"/>
        <v>22.538461538461537</v>
      </c>
      <c r="J146" s="3">
        <f t="shared" si="55"/>
        <v>24.416666666666668</v>
      </c>
      <c r="K146" s="3">
        <f t="shared" si="56"/>
        <v>26.636363636363633</v>
      </c>
      <c r="L146" s="3">
        <f t="shared" si="57"/>
        <v>29.3</v>
      </c>
      <c r="M146" s="3">
        <f t="shared" si="58"/>
        <v>32.55555555555555</v>
      </c>
      <c r="N146" s="3">
        <f t="shared" si="59"/>
        <v>36.625</v>
      </c>
      <c r="O146" s="3">
        <f t="shared" si="60"/>
        <v>41.857142857142854</v>
      </c>
      <c r="P146" s="3">
        <f t="shared" si="61"/>
        <v>48.833333333333336</v>
      </c>
      <c r="Q146" s="3">
        <f t="shared" si="62"/>
        <v>58.599999999999994</v>
      </c>
      <c r="R146" s="3">
        <f t="shared" si="63"/>
        <v>73.25</v>
      </c>
      <c r="S146" s="3">
        <f t="shared" si="64"/>
        <v>97.666666666666657</v>
      </c>
      <c r="T146" s="3">
        <f t="shared" si="65"/>
        <v>146.5</v>
      </c>
      <c r="U146" s="3">
        <f t="shared" si="66"/>
        <v>292.99999999999994</v>
      </c>
    </row>
    <row r="147" spans="1:21" x14ac:dyDescent="0.35">
      <c r="A147" s="5" t="s">
        <v>85</v>
      </c>
      <c r="B147" s="2">
        <v>7.33</v>
      </c>
      <c r="C147" s="3">
        <f t="shared" si="48"/>
        <v>7.715789473684211</v>
      </c>
      <c r="D147" s="3">
        <f t="shared" si="49"/>
        <v>8.1444444444444439</v>
      </c>
      <c r="E147" s="3">
        <f t="shared" si="50"/>
        <v>8.6235294117647054</v>
      </c>
      <c r="F147" s="3">
        <f t="shared" si="51"/>
        <v>9.1624999999999996</v>
      </c>
      <c r="G147" s="3">
        <f t="shared" si="52"/>
        <v>9.7733333333333334</v>
      </c>
      <c r="H147" s="3">
        <f t="shared" si="53"/>
        <v>10.471428571428572</v>
      </c>
      <c r="I147" s="3">
        <f t="shared" si="54"/>
        <v>11.276923076923076</v>
      </c>
      <c r="J147" s="3">
        <f t="shared" si="55"/>
        <v>12.216666666666667</v>
      </c>
      <c r="K147" s="3">
        <f t="shared" si="56"/>
        <v>13.327272727272726</v>
      </c>
      <c r="L147" s="3">
        <f t="shared" si="57"/>
        <v>14.66</v>
      </c>
      <c r="M147" s="3">
        <f t="shared" si="58"/>
        <v>16.288888888888888</v>
      </c>
      <c r="N147" s="3">
        <f t="shared" si="59"/>
        <v>18.324999999999999</v>
      </c>
      <c r="O147" s="3">
        <f t="shared" si="60"/>
        <v>20.942857142857143</v>
      </c>
      <c r="P147" s="3">
        <f t="shared" si="61"/>
        <v>24.433333333333334</v>
      </c>
      <c r="Q147" s="3">
        <f t="shared" si="62"/>
        <v>29.319999999999997</v>
      </c>
      <c r="R147" s="3">
        <f t="shared" si="63"/>
        <v>36.65</v>
      </c>
      <c r="S147" s="3">
        <f t="shared" si="64"/>
        <v>48.86666666666666</v>
      </c>
      <c r="T147" s="3">
        <f t="shared" si="65"/>
        <v>73.3</v>
      </c>
      <c r="U147" s="3">
        <f t="shared" si="66"/>
        <v>146.59999999999997</v>
      </c>
    </row>
    <row r="148" spans="1:21" x14ac:dyDescent="0.35">
      <c r="A148" s="1" t="s">
        <v>86</v>
      </c>
      <c r="B148" s="2">
        <v>11.22</v>
      </c>
      <c r="C148" s="3">
        <f t="shared" si="48"/>
        <v>11.810526315789476</v>
      </c>
      <c r="D148" s="3">
        <f t="shared" si="49"/>
        <v>12.466666666666667</v>
      </c>
      <c r="E148" s="3">
        <f t="shared" si="50"/>
        <v>13.200000000000001</v>
      </c>
      <c r="F148" s="3">
        <f t="shared" si="51"/>
        <v>14.025</v>
      </c>
      <c r="G148" s="3">
        <f t="shared" si="52"/>
        <v>14.96</v>
      </c>
      <c r="H148" s="3">
        <f t="shared" si="53"/>
        <v>16.028571428571432</v>
      </c>
      <c r="I148" s="3">
        <f t="shared" si="54"/>
        <v>17.261538461538461</v>
      </c>
      <c r="J148" s="3">
        <f t="shared" si="55"/>
        <v>18.700000000000003</v>
      </c>
      <c r="K148" s="3">
        <f t="shared" si="56"/>
        <v>20.399999999999999</v>
      </c>
      <c r="L148" s="3">
        <f>SUM(B148*$B$82/$L$82)</f>
        <v>22.44</v>
      </c>
      <c r="M148" s="3">
        <f t="shared" si="58"/>
        <v>24.933333333333334</v>
      </c>
      <c r="N148" s="3">
        <f t="shared" si="59"/>
        <v>28.05</v>
      </c>
      <c r="O148" s="3">
        <f t="shared" si="60"/>
        <v>32.057142857142864</v>
      </c>
      <c r="P148" s="3">
        <f t="shared" si="61"/>
        <v>37.400000000000006</v>
      </c>
      <c r="Q148" s="3">
        <f t="shared" si="62"/>
        <v>44.88000000000001</v>
      </c>
      <c r="R148" s="3">
        <f t="shared" si="63"/>
        <v>56.1</v>
      </c>
      <c r="S148" s="3">
        <f t="shared" si="64"/>
        <v>74.800000000000026</v>
      </c>
      <c r="T148" s="3">
        <f t="shared" si="65"/>
        <v>112.2</v>
      </c>
      <c r="U148" s="3">
        <f t="shared" si="66"/>
        <v>224.40000000000006</v>
      </c>
    </row>
    <row r="149" spans="1:21" x14ac:dyDescent="0.35">
      <c r="A149" s="5" t="s">
        <v>87</v>
      </c>
      <c r="B149" s="2">
        <v>15.47</v>
      </c>
      <c r="C149" s="3">
        <f t="shared" si="48"/>
        <v>16.284210526315793</v>
      </c>
      <c r="D149" s="3">
        <f t="shared" si="49"/>
        <v>17.18888888888889</v>
      </c>
      <c r="E149" s="3">
        <f t="shared" si="50"/>
        <v>18.200000000000003</v>
      </c>
      <c r="F149" s="3">
        <f t="shared" si="51"/>
        <v>19.337499999999999</v>
      </c>
      <c r="G149" s="3">
        <f t="shared" si="52"/>
        <v>20.626666666666669</v>
      </c>
      <c r="H149" s="3">
        <f t="shared" si="53"/>
        <v>22.1</v>
      </c>
      <c r="I149" s="3">
        <f t="shared" si="54"/>
        <v>23.8</v>
      </c>
      <c r="J149" s="3">
        <f t="shared" si="55"/>
        <v>25.783333333333335</v>
      </c>
      <c r="K149" s="3">
        <f t="shared" si="56"/>
        <v>28.127272727272725</v>
      </c>
      <c r="L149" s="3">
        <f t="shared" si="57"/>
        <v>30.94</v>
      </c>
      <c r="M149" s="3">
        <f t="shared" si="58"/>
        <v>34.37777777777778</v>
      </c>
      <c r="N149" s="3">
        <f t="shared" si="59"/>
        <v>38.674999999999997</v>
      </c>
      <c r="O149" s="3">
        <f t="shared" si="60"/>
        <v>44.2</v>
      </c>
      <c r="P149" s="3">
        <f t="shared" si="61"/>
        <v>51.56666666666667</v>
      </c>
      <c r="Q149" s="3">
        <f t="shared" si="62"/>
        <v>61.88</v>
      </c>
      <c r="R149" s="3">
        <f t="shared" si="63"/>
        <v>77.349999999999994</v>
      </c>
      <c r="S149" s="3">
        <f t="shared" si="64"/>
        <v>103.13333333333334</v>
      </c>
      <c r="T149" s="3">
        <f t="shared" si="65"/>
        <v>154.69999999999999</v>
      </c>
      <c r="U149" s="3">
        <f t="shared" si="66"/>
        <v>309.39999999999998</v>
      </c>
    </row>
    <row r="150" spans="1:21" x14ac:dyDescent="0.35">
      <c r="A150" s="1" t="s">
        <v>88</v>
      </c>
      <c r="B150" s="2">
        <v>12.33</v>
      </c>
      <c r="C150" s="3">
        <f t="shared" si="48"/>
        <v>12.978947368421053</v>
      </c>
      <c r="D150" s="3">
        <f t="shared" si="49"/>
        <v>13.7</v>
      </c>
      <c r="E150" s="3">
        <f t="shared" si="50"/>
        <v>14.505882352941176</v>
      </c>
      <c r="F150" s="3">
        <f t="shared" si="51"/>
        <v>15.4125</v>
      </c>
      <c r="G150" s="3">
        <f t="shared" si="52"/>
        <v>16.440000000000001</v>
      </c>
      <c r="H150" s="3">
        <f t="shared" si="53"/>
        <v>17.614285714285714</v>
      </c>
      <c r="I150" s="3">
        <f t="shared" si="54"/>
        <v>18.969230769230769</v>
      </c>
      <c r="J150" s="3">
        <f t="shared" si="55"/>
        <v>20.55</v>
      </c>
      <c r="K150" s="3">
        <f t="shared" si="56"/>
        <v>22.418181818181818</v>
      </c>
      <c r="L150" s="3">
        <f t="shared" si="57"/>
        <v>24.66</v>
      </c>
      <c r="M150" s="3">
        <f t="shared" si="58"/>
        <v>27.4</v>
      </c>
      <c r="N150" s="3">
        <f t="shared" si="59"/>
        <v>30.824999999999999</v>
      </c>
      <c r="O150" s="3">
        <f t="shared" si="60"/>
        <v>35.228571428571428</v>
      </c>
      <c r="P150" s="3">
        <f t="shared" si="61"/>
        <v>41.1</v>
      </c>
      <c r="Q150" s="3">
        <f t="shared" si="62"/>
        <v>49.319999999999993</v>
      </c>
      <c r="R150" s="3">
        <f t="shared" si="63"/>
        <v>61.65</v>
      </c>
      <c r="S150" s="3">
        <f t="shared" si="64"/>
        <v>82.199999999999989</v>
      </c>
      <c r="T150" s="3">
        <f t="shared" si="65"/>
        <v>123.3</v>
      </c>
      <c r="U150" s="3">
        <f t="shared" si="66"/>
        <v>246.59999999999997</v>
      </c>
    </row>
    <row r="151" spans="1:21" x14ac:dyDescent="0.35">
      <c r="A151" s="5" t="s">
        <v>89</v>
      </c>
      <c r="B151" s="2">
        <v>10.94</v>
      </c>
      <c r="C151" s="3">
        <f t="shared" si="48"/>
        <v>11.51578947368421</v>
      </c>
      <c r="D151" s="3">
        <f t="shared" si="49"/>
        <v>12.155555555555555</v>
      </c>
      <c r="E151" s="3">
        <f t="shared" si="50"/>
        <v>12.870588235294118</v>
      </c>
      <c r="F151" s="3">
        <f t="shared" si="51"/>
        <v>13.674999999999999</v>
      </c>
      <c r="G151" s="3">
        <f t="shared" si="52"/>
        <v>14.586666666666666</v>
      </c>
      <c r="H151" s="3">
        <f t="shared" si="53"/>
        <v>15.628571428571428</v>
      </c>
      <c r="I151" s="3">
        <f t="shared" si="54"/>
        <v>16.830769230769228</v>
      </c>
      <c r="J151" s="3">
        <f t="shared" si="55"/>
        <v>18.233333333333334</v>
      </c>
      <c r="K151" s="3">
        <f t="shared" si="56"/>
        <v>19.890909090909087</v>
      </c>
      <c r="L151" s="3">
        <f t="shared" si="57"/>
        <v>21.88</v>
      </c>
      <c r="M151" s="3">
        <f t="shared" si="58"/>
        <v>24.31111111111111</v>
      </c>
      <c r="N151" s="3">
        <f t="shared" si="59"/>
        <v>27.349999999999998</v>
      </c>
      <c r="O151" s="3">
        <f t="shared" si="60"/>
        <v>31.257142857142856</v>
      </c>
      <c r="P151" s="3">
        <f t="shared" si="61"/>
        <v>36.466666666666669</v>
      </c>
      <c r="Q151" s="3">
        <f t="shared" si="62"/>
        <v>43.76</v>
      </c>
      <c r="R151" s="3">
        <f t="shared" si="63"/>
        <v>54.699999999999996</v>
      </c>
      <c r="S151" s="3">
        <f t="shared" si="64"/>
        <v>72.933333333333337</v>
      </c>
      <c r="T151" s="3">
        <f t="shared" si="65"/>
        <v>109.39999999999999</v>
      </c>
      <c r="U151" s="3">
        <f t="shared" si="66"/>
        <v>218.79999999999998</v>
      </c>
    </row>
    <row r="152" spans="1:21" x14ac:dyDescent="0.35">
      <c r="A152" s="1" t="s">
        <v>90</v>
      </c>
      <c r="B152" s="2">
        <v>10.94</v>
      </c>
      <c r="C152" s="3">
        <f t="shared" si="48"/>
        <v>11.51578947368421</v>
      </c>
      <c r="D152" s="3">
        <f t="shared" si="49"/>
        <v>12.155555555555555</v>
      </c>
      <c r="E152" s="3">
        <f t="shared" si="50"/>
        <v>12.870588235294118</v>
      </c>
      <c r="F152" s="3">
        <f t="shared" si="51"/>
        <v>13.674999999999999</v>
      </c>
      <c r="G152" s="3">
        <f t="shared" si="52"/>
        <v>14.586666666666666</v>
      </c>
      <c r="H152" s="3">
        <f t="shared" si="53"/>
        <v>15.628571428571428</v>
      </c>
      <c r="I152" s="3">
        <f t="shared" si="54"/>
        <v>16.830769230769228</v>
      </c>
      <c r="J152" s="3">
        <f t="shared" si="55"/>
        <v>18.233333333333334</v>
      </c>
      <c r="K152" s="3">
        <f t="shared" si="56"/>
        <v>19.890909090909087</v>
      </c>
      <c r="L152" s="3">
        <f t="shared" si="57"/>
        <v>21.88</v>
      </c>
      <c r="M152" s="3">
        <f t="shared" si="58"/>
        <v>24.31111111111111</v>
      </c>
      <c r="N152" s="3">
        <f t="shared" si="59"/>
        <v>27.349999999999998</v>
      </c>
      <c r="O152" s="3">
        <f t="shared" si="60"/>
        <v>31.257142857142856</v>
      </c>
      <c r="P152" s="3">
        <f t="shared" si="61"/>
        <v>36.466666666666669</v>
      </c>
      <c r="Q152" s="3">
        <f t="shared" si="62"/>
        <v>43.76</v>
      </c>
      <c r="R152" s="3">
        <f t="shared" si="63"/>
        <v>54.699999999999996</v>
      </c>
      <c r="S152" s="3">
        <f t="shared" si="64"/>
        <v>72.933333333333337</v>
      </c>
      <c r="T152" s="3">
        <f t="shared" si="65"/>
        <v>109.39999999999999</v>
      </c>
      <c r="U152" s="3">
        <f t="shared" si="66"/>
        <v>218.79999999999998</v>
      </c>
    </row>
    <row r="153" spans="1:21" x14ac:dyDescent="0.35">
      <c r="A153" s="5" t="s">
        <v>91</v>
      </c>
      <c r="B153" s="2">
        <v>10.94</v>
      </c>
      <c r="C153" s="3">
        <f t="shared" si="48"/>
        <v>11.51578947368421</v>
      </c>
      <c r="D153" s="3">
        <f t="shared" si="49"/>
        <v>12.155555555555555</v>
      </c>
      <c r="E153" s="3">
        <f t="shared" si="50"/>
        <v>12.870588235294118</v>
      </c>
      <c r="F153" s="3">
        <f t="shared" si="51"/>
        <v>13.674999999999999</v>
      </c>
      <c r="G153" s="3">
        <f t="shared" si="52"/>
        <v>14.586666666666666</v>
      </c>
      <c r="H153" s="3">
        <f t="shared" si="53"/>
        <v>15.628571428571428</v>
      </c>
      <c r="I153" s="3">
        <f t="shared" si="54"/>
        <v>16.830769230769228</v>
      </c>
      <c r="J153" s="3">
        <f t="shared" si="55"/>
        <v>18.233333333333334</v>
      </c>
      <c r="K153" s="3">
        <f t="shared" si="56"/>
        <v>19.890909090909087</v>
      </c>
      <c r="L153" s="3">
        <f t="shared" si="57"/>
        <v>21.88</v>
      </c>
      <c r="M153" s="3">
        <f t="shared" si="58"/>
        <v>24.31111111111111</v>
      </c>
      <c r="N153" s="3">
        <f t="shared" si="59"/>
        <v>27.349999999999998</v>
      </c>
      <c r="O153" s="3">
        <f t="shared" si="60"/>
        <v>31.257142857142856</v>
      </c>
      <c r="P153" s="3">
        <f t="shared" si="61"/>
        <v>36.466666666666669</v>
      </c>
      <c r="Q153" s="3">
        <f t="shared" si="62"/>
        <v>43.76</v>
      </c>
      <c r="R153" s="3">
        <f t="shared" si="63"/>
        <v>54.699999999999996</v>
      </c>
      <c r="S153" s="3">
        <f t="shared" si="64"/>
        <v>72.933333333333337</v>
      </c>
      <c r="T153" s="3">
        <f t="shared" si="65"/>
        <v>109.39999999999999</v>
      </c>
      <c r="U153" s="3">
        <f t="shared" si="66"/>
        <v>218.79999999999998</v>
      </c>
    </row>
    <row r="154" spans="1:21" x14ac:dyDescent="0.35">
      <c r="A154" s="1" t="s">
        <v>92</v>
      </c>
      <c r="B154" s="2">
        <v>15.11</v>
      </c>
      <c r="C154" s="3">
        <f t="shared" si="48"/>
        <v>15.905263157894737</v>
      </c>
      <c r="D154" s="3">
        <f t="shared" si="49"/>
        <v>16.788888888888888</v>
      </c>
      <c r="E154" s="3">
        <f t="shared" si="50"/>
        <v>17.776470588235295</v>
      </c>
      <c r="F154" s="3">
        <f t="shared" si="51"/>
        <v>18.887499999999999</v>
      </c>
      <c r="G154" s="3">
        <f t="shared" si="52"/>
        <v>20.146666666666665</v>
      </c>
      <c r="H154" s="3">
        <f t="shared" si="53"/>
        <v>21.585714285714285</v>
      </c>
      <c r="I154" s="3">
        <f t="shared" si="54"/>
        <v>23.246153846153845</v>
      </c>
      <c r="J154" s="3">
        <f t="shared" si="55"/>
        <v>25.183333333333334</v>
      </c>
      <c r="K154" s="3">
        <f t="shared" si="56"/>
        <v>27.472727272727269</v>
      </c>
      <c r="L154" s="3">
        <f t="shared" si="57"/>
        <v>30.22</v>
      </c>
      <c r="M154" s="3">
        <f t="shared" si="58"/>
        <v>33.577777777777776</v>
      </c>
      <c r="N154" s="3">
        <f t="shared" si="59"/>
        <v>37.774999999999999</v>
      </c>
      <c r="O154" s="3">
        <f t="shared" si="60"/>
        <v>43.171428571428571</v>
      </c>
      <c r="P154" s="3">
        <f t="shared" si="61"/>
        <v>50.366666666666667</v>
      </c>
      <c r="Q154" s="3">
        <f t="shared" si="62"/>
        <v>60.44</v>
      </c>
      <c r="R154" s="3">
        <f t="shared" si="63"/>
        <v>75.55</v>
      </c>
      <c r="S154" s="3">
        <f t="shared" si="64"/>
        <v>100.73333333333333</v>
      </c>
      <c r="T154" s="3">
        <f t="shared" si="65"/>
        <v>151.1</v>
      </c>
      <c r="U154" s="3">
        <f t="shared" si="66"/>
        <v>302.2</v>
      </c>
    </row>
    <row r="155" spans="1:21" x14ac:dyDescent="0.35">
      <c r="A155" s="5" t="s">
        <v>93</v>
      </c>
      <c r="B155" s="2">
        <v>7.39</v>
      </c>
      <c r="C155" s="3">
        <f t="shared" si="48"/>
        <v>7.7789473684210524</v>
      </c>
      <c r="D155" s="3">
        <f t="shared" si="49"/>
        <v>8.2111111111111104</v>
      </c>
      <c r="E155" s="3">
        <f t="shared" si="50"/>
        <v>8.6941176470588228</v>
      </c>
      <c r="F155" s="3">
        <f t="shared" si="51"/>
        <v>9.2374999999999989</v>
      </c>
      <c r="G155" s="3">
        <f t="shared" si="52"/>
        <v>9.8533333333333335</v>
      </c>
      <c r="H155" s="3">
        <f t="shared" si="53"/>
        <v>10.557142857142857</v>
      </c>
      <c r="I155" s="3">
        <f t="shared" si="54"/>
        <v>11.369230769230768</v>
      </c>
      <c r="J155" s="3">
        <f t="shared" si="55"/>
        <v>12.316666666666666</v>
      </c>
      <c r="K155" s="3">
        <f t="shared" si="56"/>
        <v>13.436363636363634</v>
      </c>
      <c r="L155" s="3">
        <f t="shared" si="57"/>
        <v>14.78</v>
      </c>
      <c r="M155" s="3">
        <f t="shared" si="58"/>
        <v>16.422222222222221</v>
      </c>
      <c r="N155" s="3">
        <f t="shared" si="59"/>
        <v>18.474999999999998</v>
      </c>
      <c r="O155" s="3">
        <f t="shared" si="60"/>
        <v>21.114285714285714</v>
      </c>
      <c r="P155" s="3">
        <f t="shared" si="61"/>
        <v>24.633333333333333</v>
      </c>
      <c r="Q155" s="3">
        <f t="shared" si="62"/>
        <v>29.56</v>
      </c>
      <c r="R155" s="3">
        <f t="shared" si="63"/>
        <v>36.949999999999996</v>
      </c>
      <c r="S155" s="3">
        <f t="shared" si="64"/>
        <v>49.266666666666666</v>
      </c>
      <c r="T155" s="3">
        <f t="shared" si="65"/>
        <v>73.899999999999991</v>
      </c>
      <c r="U155" s="3">
        <f t="shared" si="66"/>
        <v>147.79999999999998</v>
      </c>
    </row>
    <row r="156" spans="1:21" x14ac:dyDescent="0.35">
      <c r="A156" s="1" t="s">
        <v>94</v>
      </c>
      <c r="B156" s="2">
        <v>13.88</v>
      </c>
      <c r="C156" s="3">
        <f t="shared" si="48"/>
        <v>14.610526315789475</v>
      </c>
      <c r="D156" s="3">
        <f t="shared" si="49"/>
        <v>15.422222222222222</v>
      </c>
      <c r="E156" s="3">
        <f t="shared" si="50"/>
        <v>16.329411764705885</v>
      </c>
      <c r="F156" s="3">
        <f t="shared" si="51"/>
        <v>17.350000000000001</v>
      </c>
      <c r="G156" s="3">
        <f t="shared" si="52"/>
        <v>18.506666666666668</v>
      </c>
      <c r="H156" s="3">
        <f t="shared" si="53"/>
        <v>19.828571428571429</v>
      </c>
      <c r="I156" s="3">
        <f t="shared" si="54"/>
        <v>21.353846153846153</v>
      </c>
      <c r="J156" s="3">
        <f t="shared" si="55"/>
        <v>23.133333333333336</v>
      </c>
      <c r="K156" s="3">
        <f t="shared" si="56"/>
        <v>25.236363636363635</v>
      </c>
      <c r="L156" s="3">
        <f t="shared" si="57"/>
        <v>27.76</v>
      </c>
      <c r="M156" s="3">
        <f t="shared" si="58"/>
        <v>30.844444444444445</v>
      </c>
      <c r="N156" s="3">
        <f t="shared" si="59"/>
        <v>34.700000000000003</v>
      </c>
      <c r="O156" s="3">
        <f t="shared" si="60"/>
        <v>39.657142857142858</v>
      </c>
      <c r="P156" s="3">
        <f t="shared" si="61"/>
        <v>46.266666666666673</v>
      </c>
      <c r="Q156" s="3">
        <f t="shared" si="62"/>
        <v>55.519999999999996</v>
      </c>
      <c r="R156" s="3">
        <f t="shared" si="63"/>
        <v>69.400000000000006</v>
      </c>
      <c r="S156" s="3">
        <f t="shared" si="64"/>
        <v>92.533333333333331</v>
      </c>
      <c r="T156" s="3">
        <f t="shared" si="65"/>
        <v>138.80000000000001</v>
      </c>
      <c r="U156" s="3">
        <f t="shared" si="66"/>
        <v>277.59999999999997</v>
      </c>
    </row>
    <row r="157" spans="1:21" x14ac:dyDescent="0.35">
      <c r="A157" s="2" t="s">
        <v>95</v>
      </c>
      <c r="B157" s="2">
        <v>16.05</v>
      </c>
      <c r="C157" s="3">
        <f t="shared" si="48"/>
        <v>16.894736842105264</v>
      </c>
      <c r="D157" s="3">
        <f t="shared" si="30"/>
        <v>17.833333333333332</v>
      </c>
      <c r="E157" s="3">
        <f t="shared" si="31"/>
        <v>18.882352941176471</v>
      </c>
      <c r="F157" s="3">
        <f t="shared" si="32"/>
        <v>20.0625</v>
      </c>
      <c r="G157" s="3">
        <f t="shared" si="33"/>
        <v>21.400000000000002</v>
      </c>
      <c r="H157" s="3">
        <f t="shared" si="34"/>
        <v>22.928571428571431</v>
      </c>
      <c r="I157" s="3">
        <f t="shared" si="35"/>
        <v>24.692307692307693</v>
      </c>
      <c r="J157" s="3">
        <f t="shared" si="36"/>
        <v>26.750000000000004</v>
      </c>
      <c r="K157" s="3">
        <f t="shared" si="37"/>
        <v>29.18181818181818</v>
      </c>
      <c r="L157" s="2">
        <f t="shared" si="38"/>
        <v>32.1</v>
      </c>
      <c r="M157" s="3">
        <f t="shared" si="39"/>
        <v>35.666666666666664</v>
      </c>
      <c r="N157" s="3">
        <f t="shared" si="40"/>
        <v>40.125</v>
      </c>
      <c r="O157" s="3">
        <f t="shared" si="41"/>
        <v>45.857142857142861</v>
      </c>
      <c r="P157" s="3">
        <f t="shared" si="42"/>
        <v>53.500000000000007</v>
      </c>
      <c r="Q157" s="3">
        <f t="shared" si="43"/>
        <v>64.2</v>
      </c>
      <c r="R157" s="3">
        <f t="shared" si="44"/>
        <v>80.25</v>
      </c>
      <c r="S157" s="3">
        <f t="shared" si="45"/>
        <v>107.00000000000001</v>
      </c>
      <c r="T157" s="3">
        <f t="shared" si="46"/>
        <v>160.5</v>
      </c>
      <c r="U157" s="3">
        <f t="shared" si="47"/>
        <v>321</v>
      </c>
    </row>
    <row r="158" spans="1:21" x14ac:dyDescent="0.35">
      <c r="A158" s="21" t="s">
        <v>96</v>
      </c>
      <c r="B158" s="21">
        <v>16.05</v>
      </c>
      <c r="C158" s="3">
        <f t="shared" si="48"/>
        <v>16.894736842105264</v>
      </c>
      <c r="D158" s="3">
        <f t="shared" si="30"/>
        <v>17.833333333333332</v>
      </c>
      <c r="E158" s="3">
        <f t="shared" si="31"/>
        <v>18.882352941176471</v>
      </c>
      <c r="F158" s="3">
        <f t="shared" si="32"/>
        <v>20.0625</v>
      </c>
      <c r="G158" s="3">
        <f t="shared" si="33"/>
        <v>21.400000000000002</v>
      </c>
      <c r="H158" s="3">
        <f t="shared" si="34"/>
        <v>22.928571428571431</v>
      </c>
      <c r="I158" s="3">
        <f t="shared" si="35"/>
        <v>24.692307692307693</v>
      </c>
      <c r="J158" s="3">
        <f t="shared" si="36"/>
        <v>26.750000000000004</v>
      </c>
      <c r="K158" s="3">
        <f t="shared" si="37"/>
        <v>29.18181818181818</v>
      </c>
      <c r="L158" s="2">
        <f t="shared" si="38"/>
        <v>32.1</v>
      </c>
      <c r="M158" s="3">
        <f t="shared" si="39"/>
        <v>35.666666666666664</v>
      </c>
      <c r="N158" s="3">
        <f t="shared" si="40"/>
        <v>40.125</v>
      </c>
      <c r="O158" s="3">
        <f t="shared" si="41"/>
        <v>45.857142857142861</v>
      </c>
      <c r="P158" s="3">
        <f t="shared" si="42"/>
        <v>53.500000000000007</v>
      </c>
      <c r="Q158" s="3">
        <f t="shared" si="43"/>
        <v>64.2</v>
      </c>
      <c r="R158" s="3">
        <f t="shared" si="44"/>
        <v>80.25</v>
      </c>
      <c r="S158" s="3">
        <f t="shared" si="45"/>
        <v>107.00000000000001</v>
      </c>
      <c r="T158" s="3">
        <f t="shared" si="46"/>
        <v>160.5</v>
      </c>
      <c r="U158" s="3">
        <f t="shared" si="47"/>
        <v>321</v>
      </c>
    </row>
    <row r="159" spans="1:21" x14ac:dyDescent="0.35">
      <c r="A159" s="21" t="s">
        <v>133</v>
      </c>
      <c r="B159" s="21">
        <v>11.2</v>
      </c>
      <c r="C159" s="3">
        <f t="shared" si="48"/>
        <v>11.789473684210526</v>
      </c>
      <c r="D159" s="3">
        <f t="shared" si="30"/>
        <v>12.444444444444443</v>
      </c>
      <c r="E159" s="3">
        <f t="shared" si="31"/>
        <v>13.176470588235293</v>
      </c>
      <c r="F159" s="3">
        <f>SUM(B159*$B$82/$F$82)</f>
        <v>13.999999999999998</v>
      </c>
      <c r="G159" s="3">
        <f t="shared" si="33"/>
        <v>14.933333333333332</v>
      </c>
      <c r="H159" s="3">
        <f t="shared" si="34"/>
        <v>16</v>
      </c>
      <c r="I159" s="3">
        <f t="shared" si="35"/>
        <v>17.23076923076923</v>
      </c>
      <c r="J159" s="3">
        <f t="shared" si="36"/>
        <v>18.666666666666668</v>
      </c>
      <c r="K159" s="3">
        <f t="shared" si="37"/>
        <v>20.36363636363636</v>
      </c>
      <c r="L159" s="2">
        <f t="shared" si="38"/>
        <v>22.4</v>
      </c>
      <c r="M159" s="3">
        <f t="shared" si="39"/>
        <v>24.888888888888886</v>
      </c>
      <c r="N159" s="3">
        <f t="shared" si="40"/>
        <v>27.999999999999996</v>
      </c>
      <c r="O159" s="3">
        <f t="shared" si="41"/>
        <v>32</v>
      </c>
      <c r="P159" s="3">
        <f t="shared" si="42"/>
        <v>37.333333333333336</v>
      </c>
      <c r="Q159" s="3">
        <f t="shared" si="43"/>
        <v>44.8</v>
      </c>
      <c r="R159" s="3">
        <f t="shared" si="44"/>
        <v>55.999999999999993</v>
      </c>
      <c r="S159" s="3">
        <f t="shared" si="45"/>
        <v>74.666666666666671</v>
      </c>
      <c r="T159" s="3">
        <f t="shared" si="46"/>
        <v>111.99999999999999</v>
      </c>
      <c r="U159" s="3">
        <f t="shared" si="47"/>
        <v>224</v>
      </c>
    </row>
    <row r="160" spans="1:21" x14ac:dyDescent="0.35">
      <c r="A160" s="21" t="s">
        <v>132</v>
      </c>
      <c r="B160" s="21">
        <v>7.9</v>
      </c>
      <c r="C160" s="3">
        <f t="shared" si="48"/>
        <v>8.3157894736842106</v>
      </c>
      <c r="D160" s="3">
        <f t="shared" si="30"/>
        <v>8.7777777777777786</v>
      </c>
      <c r="E160" s="3">
        <f t="shared" si="31"/>
        <v>9.2941176470588243</v>
      </c>
      <c r="F160" s="3">
        <f>SUM(B160*$B$82/$F$82)</f>
        <v>9.875</v>
      </c>
      <c r="G160" s="3">
        <f t="shared" si="33"/>
        <v>10.533333333333333</v>
      </c>
      <c r="H160" s="3">
        <f t="shared" si="34"/>
        <v>11.285714285714286</v>
      </c>
      <c r="I160" s="3">
        <f t="shared" si="35"/>
        <v>12.153846153846153</v>
      </c>
      <c r="J160" s="3">
        <f t="shared" si="36"/>
        <v>13.166666666666668</v>
      </c>
      <c r="K160" s="3">
        <f t="shared" ref="K160" si="67">SUM(B160*$B$82/$K$82)</f>
        <v>14.363636363636363</v>
      </c>
      <c r="L160" s="2">
        <f t="shared" si="38"/>
        <v>15.8</v>
      </c>
      <c r="M160" s="3">
        <f t="shared" si="39"/>
        <v>17.555555555555557</v>
      </c>
      <c r="N160" s="3">
        <f t="shared" si="40"/>
        <v>19.75</v>
      </c>
      <c r="O160" s="3">
        <f t="shared" si="41"/>
        <v>22.571428571428577</v>
      </c>
      <c r="P160" s="3">
        <f t="shared" si="42"/>
        <v>26.333333333333336</v>
      </c>
      <c r="Q160" s="3">
        <f t="shared" si="43"/>
        <v>31.600000000000005</v>
      </c>
      <c r="R160" s="3">
        <f t="shared" si="44"/>
        <v>39.5</v>
      </c>
      <c r="S160" s="3">
        <f t="shared" si="45"/>
        <v>52.666666666666679</v>
      </c>
      <c r="T160" s="3">
        <f t="shared" si="46"/>
        <v>79</v>
      </c>
      <c r="U160" s="3">
        <f t="shared" si="47"/>
        <v>158.00000000000003</v>
      </c>
    </row>
  </sheetData>
  <mergeCells count="1">
    <mergeCell ref="B81:U81"/>
  </mergeCells>
  <phoneticPr fontId="2" type="noConversion"/>
  <printOptions horizontalCentered="1"/>
  <pageMargins left="3.937007874015748E-2" right="3.937007874015748E-2" top="0.19685039370078741" bottom="0.19685039370078741" header="0.11811023622047245" footer="0.11811023622047245"/>
  <pageSetup paperSize="9" scale="70" fitToWidth="0" orientation="landscape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6521-D4C5-463B-AAA4-B7C1B1B3D541}">
  <dimension ref="A1:Y67"/>
  <sheetViews>
    <sheetView showGridLines="0" zoomScale="120" zoomScaleNormal="120" workbookViewId="0">
      <pane ySplit="1" topLeftCell="A2" activePane="bottomLeft" state="frozen"/>
      <selection pane="bottomLeft" activeCell="B20" sqref="B20"/>
    </sheetView>
  </sheetViews>
  <sheetFormatPr defaultColWidth="0" defaultRowHeight="14.5" x14ac:dyDescent="0.35"/>
  <cols>
    <col min="1" max="2" width="9.1796875" customWidth="1"/>
    <col min="3" max="3" width="10.81640625" bestFit="1" customWidth="1"/>
    <col min="4" max="11" width="9.81640625" bestFit="1" customWidth="1"/>
    <col min="12" max="17" width="9.54296875" bestFit="1" customWidth="1"/>
    <col min="18" max="18" width="9.81640625" bestFit="1" customWidth="1"/>
    <col min="19" max="21" width="10.54296875" bestFit="1" customWidth="1"/>
    <col min="22" max="25" width="9.1796875" customWidth="1"/>
    <col min="26" max="16384" width="9.1796875" hidden="1"/>
  </cols>
  <sheetData>
    <row r="1" spans="1:2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5" t="s">
        <v>20</v>
      </c>
    </row>
    <row r="2" spans="1:21" x14ac:dyDescent="0.35">
      <c r="A2" s="2" t="s">
        <v>99</v>
      </c>
      <c r="B2" s="8">
        <v>5.28</v>
      </c>
      <c r="C2" s="17">
        <f>SUM(B2/C1)</f>
        <v>5.5578947368421057</v>
      </c>
      <c r="D2" s="17">
        <f>SUM(B2/D1)</f>
        <v>5.8666666666666671</v>
      </c>
      <c r="E2" s="17">
        <f>SUM(B2/E1)</f>
        <v>6.2117647058823531</v>
      </c>
      <c r="F2" s="17">
        <f>SUM(B2/F1)</f>
        <v>6.6</v>
      </c>
      <c r="G2" s="17">
        <f>SUM(B2/G1)</f>
        <v>7.04</v>
      </c>
      <c r="H2" s="17">
        <f>SUM(B2/H1)</f>
        <v>7.5428571428571436</v>
      </c>
      <c r="I2" s="17">
        <f>SUM(B2/I1)</f>
        <v>8.1230769230769226</v>
      </c>
      <c r="J2" s="17">
        <f>SUM(B2/J1)</f>
        <v>8.8000000000000007</v>
      </c>
      <c r="K2" s="17">
        <f>SUM(B2/K1)</f>
        <v>9.6</v>
      </c>
      <c r="L2" s="17">
        <f>SUM(B2/L1)</f>
        <v>10.56</v>
      </c>
      <c r="M2" s="17">
        <f>SUM(B2/M1)</f>
        <v>11.733333333333334</v>
      </c>
      <c r="N2" s="17">
        <f>SUM(B2/N1)</f>
        <v>13.2</v>
      </c>
      <c r="O2" s="17">
        <f>SUM(B2/O1)</f>
        <v>15.085714285714287</v>
      </c>
      <c r="P2" s="17">
        <f>SUM(B2/P1)</f>
        <v>17.600000000000001</v>
      </c>
      <c r="Q2" s="17">
        <f>SUM(B2/Q1)</f>
        <v>21.12</v>
      </c>
      <c r="R2" s="17">
        <f>SUM(B2/R1)</f>
        <v>26.4</v>
      </c>
      <c r="S2" s="17">
        <f>SUM(B2/S1)</f>
        <v>35.200000000000003</v>
      </c>
      <c r="T2" s="17">
        <f>SUM(B2/T1)</f>
        <v>52.8</v>
      </c>
      <c r="U2" s="17">
        <f>SUM(B2/U1)</f>
        <v>105.6</v>
      </c>
    </row>
    <row r="3" spans="1:21" x14ac:dyDescent="0.35">
      <c r="A3" s="2" t="s">
        <v>100</v>
      </c>
      <c r="B3" s="17">
        <v>5.35</v>
      </c>
      <c r="C3" s="17">
        <f>SUM(B3/C1)</f>
        <v>5.6315789473684212</v>
      </c>
      <c r="D3" s="17">
        <f>SUM(B3/D1)</f>
        <v>5.9444444444444438</v>
      </c>
      <c r="E3" s="17">
        <f>SUM(B3/E1)</f>
        <v>6.2941176470588234</v>
      </c>
      <c r="F3" s="17">
        <f>SUM(B3/F1)</f>
        <v>6.6874999999999991</v>
      </c>
      <c r="G3" s="17">
        <f>SUM(B3/G1)</f>
        <v>7.1333333333333329</v>
      </c>
      <c r="H3" s="17">
        <f>SUM(B3/H1)</f>
        <v>7.6428571428571432</v>
      </c>
      <c r="I3" s="17">
        <f>SUM(B3/I1)</f>
        <v>8.2307692307692299</v>
      </c>
      <c r="J3" s="17">
        <f>SUM(B3/J1)</f>
        <v>8.9166666666666661</v>
      </c>
      <c r="K3" s="17">
        <f>SUM(B3/K1)</f>
        <v>9.7272727272727266</v>
      </c>
      <c r="L3" s="17">
        <f>SUM(B3/L1)</f>
        <v>10.7</v>
      </c>
      <c r="M3" s="17">
        <f>SUM(B3/M1)</f>
        <v>11.888888888888888</v>
      </c>
      <c r="N3" s="17">
        <f>SUM(B3/N1)</f>
        <v>13.374999999999998</v>
      </c>
      <c r="O3" s="17">
        <f>SUM(B3/O1)</f>
        <v>15.285714285714286</v>
      </c>
      <c r="P3" s="17">
        <f>SUM(B3/P1)</f>
        <v>17.833333333333332</v>
      </c>
      <c r="Q3" s="17">
        <f>SUM(B3/Q1)</f>
        <v>21.4</v>
      </c>
      <c r="R3" s="17">
        <f>SUM(B3/R1)</f>
        <v>26.749999999999996</v>
      </c>
      <c r="S3" s="17">
        <f>SUM(B3/S1)</f>
        <v>35.666666666666664</v>
      </c>
      <c r="T3" s="17">
        <f>SUM(B3/T1)</f>
        <v>53.499999999999993</v>
      </c>
      <c r="U3" s="17">
        <f>SUM(B3/U1)</f>
        <v>106.99999999999999</v>
      </c>
    </row>
    <row r="4" spans="1:21" x14ac:dyDescent="0.35">
      <c r="A4" s="2" t="s">
        <v>101</v>
      </c>
      <c r="B4" s="17">
        <v>5.35</v>
      </c>
      <c r="C4" s="17">
        <f>SUM(B4/C1)</f>
        <v>5.6315789473684212</v>
      </c>
      <c r="D4" s="17">
        <f>SUM(B4/D1)</f>
        <v>5.9444444444444438</v>
      </c>
      <c r="E4" s="17">
        <f>SUM(B4/E1)</f>
        <v>6.2941176470588234</v>
      </c>
      <c r="F4" s="17">
        <f>SUM(B4/F1)</f>
        <v>6.6874999999999991</v>
      </c>
      <c r="G4" s="17">
        <f>SUM(B4/G1)</f>
        <v>7.1333333333333329</v>
      </c>
      <c r="H4" s="17">
        <f>SUM(B4/H1)</f>
        <v>7.6428571428571432</v>
      </c>
      <c r="I4" s="17">
        <f>SUM(B4/I1)</f>
        <v>8.2307692307692299</v>
      </c>
      <c r="J4" s="17">
        <f>SUM(B4/J1)</f>
        <v>8.9166666666666661</v>
      </c>
      <c r="K4" s="17">
        <f>SUM(B4/K1)</f>
        <v>9.7272727272727266</v>
      </c>
      <c r="L4" s="17">
        <f>SUM(B4/L1)</f>
        <v>10.7</v>
      </c>
      <c r="M4" s="17">
        <f>SUM(B4/M1)</f>
        <v>11.888888888888888</v>
      </c>
      <c r="N4" s="17">
        <f>SUM(B4/N1)</f>
        <v>13.374999999999998</v>
      </c>
      <c r="O4" s="17">
        <f>SUM(B4/O1)</f>
        <v>15.285714285714286</v>
      </c>
      <c r="P4" s="17">
        <f>SUM(B4/P1)</f>
        <v>17.833333333333332</v>
      </c>
      <c r="Q4" s="17">
        <f>SUM(B4/Q1)</f>
        <v>21.4</v>
      </c>
      <c r="R4" s="17">
        <f>SUM(B4/R1)</f>
        <v>26.749999999999996</v>
      </c>
      <c r="S4" s="17">
        <f>SUM(B4/S1)</f>
        <v>35.666666666666664</v>
      </c>
      <c r="T4" s="17">
        <f>SUM(B4/T1)</f>
        <v>53.499999999999993</v>
      </c>
      <c r="U4" s="17">
        <f>SUM(B4/U1)</f>
        <v>106.99999999999999</v>
      </c>
    </row>
    <row r="5" spans="1:21" x14ac:dyDescent="0.35">
      <c r="A5" s="2" t="s">
        <v>102</v>
      </c>
      <c r="B5" s="17">
        <v>4.95</v>
      </c>
      <c r="C5" s="17">
        <f>SUM(B5/C1)</f>
        <v>5.2105263157894743</v>
      </c>
      <c r="D5" s="17">
        <f>SUM(B5/D1)</f>
        <v>5.5</v>
      </c>
      <c r="E5" s="17">
        <f>SUM(B5/E1)</f>
        <v>5.8235294117647065</v>
      </c>
      <c r="F5" s="17">
        <f>SUM(B5/F1)</f>
        <v>6.1875</v>
      </c>
      <c r="G5" s="17">
        <f>SUM(B5/G1)</f>
        <v>6.6000000000000005</v>
      </c>
      <c r="H5" s="17">
        <f>SUM(B5/H1)</f>
        <v>7.0714285714285721</v>
      </c>
      <c r="I5" s="17">
        <f>SUM(B5/I1)</f>
        <v>7.615384615384615</v>
      </c>
      <c r="J5" s="17">
        <f>SUM(B5/J1)</f>
        <v>8.25</v>
      </c>
      <c r="K5" s="17">
        <f>SUM(B5/K1)</f>
        <v>9</v>
      </c>
      <c r="L5" s="17">
        <f>SUM(B5/L1)</f>
        <v>9.9</v>
      </c>
      <c r="M5" s="17">
        <f>SUM(B5/M1)</f>
        <v>11</v>
      </c>
      <c r="N5" s="17">
        <f>SUM(B5/N1)</f>
        <v>12.375</v>
      </c>
      <c r="O5" s="17">
        <f>SUM(B5/O1)</f>
        <v>14.142857142857144</v>
      </c>
      <c r="P5" s="17">
        <f>SUM(B5/P1)</f>
        <v>16.5</v>
      </c>
      <c r="Q5" s="17">
        <f>SUM(B5/Q1)</f>
        <v>19.8</v>
      </c>
      <c r="R5" s="17">
        <f>SUM(B5/R1)</f>
        <v>24.75</v>
      </c>
      <c r="S5" s="17">
        <f>SUM(B5/S1)</f>
        <v>33</v>
      </c>
      <c r="T5" s="17">
        <f>SUM(B5/T1)</f>
        <v>49.5</v>
      </c>
      <c r="U5" s="17">
        <f>SUM(B5/U1)</f>
        <v>99</v>
      </c>
    </row>
    <row r="6" spans="1:21" x14ac:dyDescent="0.35">
      <c r="A6" s="2" t="s">
        <v>103</v>
      </c>
      <c r="B6" s="17">
        <v>4.9000000000000004</v>
      </c>
      <c r="C6" s="17">
        <f>SUM(B6/C1)</f>
        <v>5.1578947368421062</v>
      </c>
      <c r="D6" s="17">
        <f>SUM(B6/D1)</f>
        <v>5.4444444444444446</v>
      </c>
      <c r="E6" s="17">
        <f>SUM(B6/E1)</f>
        <v>5.764705882352942</v>
      </c>
      <c r="F6" s="17">
        <f>SUM(B6/F1)</f>
        <v>6.125</v>
      </c>
      <c r="G6" s="17">
        <f>SUM(B6/G1)</f>
        <v>6.5333333333333341</v>
      </c>
      <c r="H6" s="17">
        <f>SUM(B6/H1)</f>
        <v>7.0000000000000009</v>
      </c>
      <c r="I6" s="17">
        <f>SUM(B6/I1)</f>
        <v>7.5384615384615383</v>
      </c>
      <c r="J6" s="17">
        <f>SUM(B6/J1)</f>
        <v>8.1666666666666679</v>
      </c>
      <c r="K6" s="17">
        <f>SUM(B6/K1)</f>
        <v>8.9090909090909083</v>
      </c>
      <c r="L6" s="17">
        <f>SUM(B6/L1)</f>
        <v>9.8000000000000007</v>
      </c>
      <c r="M6" s="17">
        <f>SUM(B6/M1)</f>
        <v>10.888888888888889</v>
      </c>
      <c r="N6" s="17">
        <f>SUM(B6/N1)</f>
        <v>12.25</v>
      </c>
      <c r="O6" s="17">
        <f>SUM(B6/O1)</f>
        <v>14.000000000000002</v>
      </c>
      <c r="P6" s="17">
        <f>SUM(B6/P1)</f>
        <v>16.333333333333336</v>
      </c>
      <c r="Q6" s="17">
        <f>SUM(B6/Q1)</f>
        <v>19.600000000000001</v>
      </c>
      <c r="R6" s="17">
        <f>SUM(B6/R1)</f>
        <v>24.5</v>
      </c>
      <c r="S6" s="17">
        <f>SUM(B6/S1)</f>
        <v>32.666666666666671</v>
      </c>
      <c r="T6" s="17">
        <f>SUM(B6/T1)</f>
        <v>49</v>
      </c>
      <c r="U6" s="17">
        <f>SUM(B6/U1)</f>
        <v>98</v>
      </c>
    </row>
    <row r="7" spans="1:21" x14ac:dyDescent="0.35">
      <c r="A7" s="2" t="s">
        <v>104</v>
      </c>
      <c r="B7" s="17">
        <v>5.34</v>
      </c>
      <c r="C7" s="17">
        <f>SUM(B7/C1)</f>
        <v>5.6210526315789471</v>
      </c>
      <c r="D7" s="17">
        <f>SUM(B7/D1)</f>
        <v>5.9333333333333327</v>
      </c>
      <c r="E7" s="17">
        <f>SUM(B7/E1)</f>
        <v>6.2823529411764705</v>
      </c>
      <c r="F7" s="17">
        <f>SUM(B7/F1)</f>
        <v>6.6749999999999998</v>
      </c>
      <c r="G7" s="17">
        <f>SUM(B7/G1)</f>
        <v>7.12</v>
      </c>
      <c r="H7" s="17">
        <f>SUM(B7/H1)</f>
        <v>7.628571428571429</v>
      </c>
      <c r="I7" s="17">
        <f>SUM(B7/I1)</f>
        <v>8.2153846153846146</v>
      </c>
      <c r="J7" s="17">
        <f>SUM(B7/J1)</f>
        <v>8.9</v>
      </c>
      <c r="K7" s="17">
        <f>SUM(B7/K1)</f>
        <v>9.7090909090909072</v>
      </c>
      <c r="L7" s="17">
        <f>SUM(B7/L1)</f>
        <v>10.68</v>
      </c>
      <c r="M7" s="17">
        <f>SUM(B7/M1)</f>
        <v>11.866666666666665</v>
      </c>
      <c r="N7" s="17">
        <f>SUM(B7/N1)</f>
        <v>13.35</v>
      </c>
      <c r="O7" s="17">
        <f>SUM(B7/O1)</f>
        <v>15.257142857142858</v>
      </c>
      <c r="P7" s="17">
        <f>SUM(B7/P1)</f>
        <v>17.8</v>
      </c>
      <c r="Q7" s="17">
        <f>SUM(B7/Q1)</f>
        <v>21.36</v>
      </c>
      <c r="R7" s="17">
        <f>SUM(B7/R1)</f>
        <v>26.7</v>
      </c>
      <c r="S7" s="17">
        <f>SUM(B7/S1)</f>
        <v>35.6</v>
      </c>
      <c r="T7" s="17">
        <f>SUM(B7/T1)</f>
        <v>53.4</v>
      </c>
      <c r="U7" s="17">
        <f>SUM(B7/U1)</f>
        <v>106.8</v>
      </c>
    </row>
    <row r="8" spans="1:21" x14ac:dyDescent="0.35">
      <c r="A8" s="2" t="s">
        <v>105</v>
      </c>
      <c r="B8" s="17">
        <v>4.95</v>
      </c>
      <c r="C8" s="17">
        <f>SUM(B8/C1)</f>
        <v>5.2105263157894743</v>
      </c>
      <c r="D8" s="17">
        <f>SUM(B8/D1)</f>
        <v>5.5</v>
      </c>
      <c r="E8" s="17">
        <f>SUM(B8/E1)</f>
        <v>5.8235294117647065</v>
      </c>
      <c r="F8" s="17">
        <f>SUM(B8/F1)</f>
        <v>6.1875</v>
      </c>
      <c r="G8" s="17">
        <f>SUM(B8/G1)</f>
        <v>6.6000000000000005</v>
      </c>
      <c r="H8" s="17">
        <f>SUM(B8/H1)</f>
        <v>7.0714285714285721</v>
      </c>
      <c r="I8" s="17">
        <f>SUM(B8/I1)</f>
        <v>7.615384615384615</v>
      </c>
      <c r="J8" s="17">
        <f>SUM(B8/J1)</f>
        <v>8.25</v>
      </c>
      <c r="K8" s="17">
        <f>SUM(B8/K1)</f>
        <v>9</v>
      </c>
      <c r="L8" s="17">
        <f>SUM(B8/L1)</f>
        <v>9.9</v>
      </c>
      <c r="M8" s="17">
        <f>SUM(B8/M1)</f>
        <v>11</v>
      </c>
      <c r="N8" s="17">
        <f>SUM(B8/N1)</f>
        <v>12.375</v>
      </c>
      <c r="O8" s="17">
        <f>SUM(B8/O1)</f>
        <v>14.142857142857144</v>
      </c>
      <c r="P8" s="17">
        <f>SUM(B8/P1)</f>
        <v>16.5</v>
      </c>
      <c r="Q8" s="17">
        <f>SUM(B8/Q1)</f>
        <v>19.8</v>
      </c>
      <c r="R8" s="17">
        <f>SUM(B8/R1)</f>
        <v>24.75</v>
      </c>
      <c r="S8" s="17">
        <f>SUM(B8/S1)</f>
        <v>33</v>
      </c>
      <c r="T8" s="17">
        <f>SUM(B8/T1)</f>
        <v>49.5</v>
      </c>
      <c r="U8" s="17">
        <f>SUM(B8/U1)</f>
        <v>99</v>
      </c>
    </row>
    <row r="9" spans="1:21" x14ac:dyDescent="0.35">
      <c r="A9" s="2" t="s">
        <v>106</v>
      </c>
      <c r="B9" s="17">
        <v>4.9000000000000004</v>
      </c>
      <c r="C9" s="17">
        <f>SUM(B9/C1)</f>
        <v>5.1578947368421062</v>
      </c>
      <c r="D9" s="17">
        <f>SUM(B9/D1)</f>
        <v>5.4444444444444446</v>
      </c>
      <c r="E9" s="17">
        <f>SUM(B9/E1)</f>
        <v>5.764705882352942</v>
      </c>
      <c r="F9" s="17">
        <f>SUM(B9/F1)</f>
        <v>6.125</v>
      </c>
      <c r="G9" s="17">
        <f>SUM(B9/G1)</f>
        <v>6.5333333333333341</v>
      </c>
      <c r="H9" s="17">
        <f>SUM(B9/H1)</f>
        <v>7.0000000000000009</v>
      </c>
      <c r="I9" s="17">
        <f>SUM(B9/I1)</f>
        <v>7.5384615384615383</v>
      </c>
      <c r="J9" s="17">
        <f>SUM(B9/J1)</f>
        <v>8.1666666666666679</v>
      </c>
      <c r="K9" s="17">
        <f>SUM(B9/K1)</f>
        <v>8.9090909090909083</v>
      </c>
      <c r="L9" s="17">
        <f>SUM(B9/L1)</f>
        <v>9.8000000000000007</v>
      </c>
      <c r="M9" s="17">
        <f>SUM(B9/M1)</f>
        <v>10.888888888888889</v>
      </c>
      <c r="N9" s="17">
        <f>SUM(B9/N1)</f>
        <v>12.25</v>
      </c>
      <c r="O9" s="17">
        <f>SUM(B9/O1)</f>
        <v>14.000000000000002</v>
      </c>
      <c r="P9" s="17">
        <f>SUM(B9/P1)</f>
        <v>16.333333333333336</v>
      </c>
      <c r="Q9" s="17">
        <f>SUM(B9/Q1)</f>
        <v>19.600000000000001</v>
      </c>
      <c r="R9" s="17">
        <f>SUM(B9/R1)</f>
        <v>24.5</v>
      </c>
      <c r="S9" s="17">
        <f>SUM(B9/S1)</f>
        <v>32.666666666666671</v>
      </c>
      <c r="T9" s="17">
        <f>SUM(B9/T1)</f>
        <v>49</v>
      </c>
      <c r="U9" s="17">
        <f>SUM(B9/U1)</f>
        <v>98</v>
      </c>
    </row>
    <row r="10" spans="1:21" x14ac:dyDescent="0.35">
      <c r="A10" s="2" t="s">
        <v>107</v>
      </c>
      <c r="B10" s="17">
        <v>5.2</v>
      </c>
      <c r="C10" s="17">
        <f>SUM(B10/C1)</f>
        <v>5.4736842105263159</v>
      </c>
      <c r="D10" s="17">
        <f>SUM(B10/D1)</f>
        <v>5.7777777777777777</v>
      </c>
      <c r="E10" s="17">
        <f>SUM(B10/E1)</f>
        <v>6.1176470588235299</v>
      </c>
      <c r="F10" s="17">
        <f>SUM(B10/F1)</f>
        <v>6.5</v>
      </c>
      <c r="G10" s="17">
        <f>SUM(B10/G1)</f>
        <v>6.9333333333333336</v>
      </c>
      <c r="H10" s="17">
        <f>SUM(B10/H1)</f>
        <v>7.4285714285714297</v>
      </c>
      <c r="I10" s="17">
        <f>SUM(B10/I1)</f>
        <v>8</v>
      </c>
      <c r="J10" s="17">
        <f>SUM(B10/J1)</f>
        <v>8.6666666666666679</v>
      </c>
      <c r="K10" s="17">
        <f>SUM(B10/K1)</f>
        <v>9.4545454545454533</v>
      </c>
      <c r="L10" s="17">
        <f>SUM(B10/L1)</f>
        <v>10.4</v>
      </c>
      <c r="M10" s="17">
        <f>SUM(B10/M1)</f>
        <v>11.555555555555555</v>
      </c>
      <c r="N10" s="17">
        <f>SUM(B10/N1)</f>
        <v>13</v>
      </c>
      <c r="O10" s="17">
        <f>SUM(B10/O1)</f>
        <v>14.857142857142859</v>
      </c>
      <c r="P10" s="17">
        <f>SUM(B10/P1)</f>
        <v>17.333333333333336</v>
      </c>
      <c r="Q10" s="17">
        <f>SUM(B10/Q1)</f>
        <v>20.8</v>
      </c>
      <c r="R10" s="17">
        <f>SUM(B10/R1)</f>
        <v>26</v>
      </c>
      <c r="S10" s="17">
        <f>SUM(B10/S1)</f>
        <v>34.666666666666671</v>
      </c>
      <c r="T10" s="17">
        <f>SUM(B10/T1)</f>
        <v>52</v>
      </c>
      <c r="U10" s="17">
        <f>SUM(B10/U1)</f>
        <v>104</v>
      </c>
    </row>
    <row r="11" spans="1:21" ht="17.25" customHeight="1" x14ac:dyDescent="0.35">
      <c r="A11" s="2" t="s">
        <v>108</v>
      </c>
      <c r="B11" s="17">
        <v>5.4</v>
      </c>
      <c r="C11" s="17">
        <f>SUM(B11/C1)</f>
        <v>5.6842105263157903</v>
      </c>
      <c r="D11" s="17">
        <f>SUM(B11/D1)</f>
        <v>6</v>
      </c>
      <c r="E11" s="17">
        <f>SUM(B11/E1)</f>
        <v>6.3529411764705888</v>
      </c>
      <c r="F11" s="17">
        <f>SUM(B11/F1)</f>
        <v>6.75</v>
      </c>
      <c r="G11" s="17">
        <f>SUM(B11/G1)</f>
        <v>7.2</v>
      </c>
      <c r="H11" s="17">
        <f>SUM(B11/H1)</f>
        <v>7.7142857142857153</v>
      </c>
      <c r="I11" s="17">
        <f>SUM(B11/I1)</f>
        <v>8.3076923076923084</v>
      </c>
      <c r="J11" s="17">
        <f>SUM(B11/J1)</f>
        <v>9.0000000000000018</v>
      </c>
      <c r="K11" s="17">
        <f>SUM(B11/K1)</f>
        <v>9.8181818181818183</v>
      </c>
      <c r="L11" s="8">
        <f>SUM(B11/L1)</f>
        <v>10.8</v>
      </c>
      <c r="M11" s="17">
        <f>SUM(B11/M1)</f>
        <v>12</v>
      </c>
      <c r="N11" s="8">
        <f>SUM(B11/N1)</f>
        <v>13.5</v>
      </c>
      <c r="O11" s="17">
        <f>SUM(B11/O1)</f>
        <v>15.428571428571431</v>
      </c>
      <c r="P11" s="17">
        <f>SUM(B11/P1)</f>
        <v>18.000000000000004</v>
      </c>
      <c r="Q11" s="8">
        <f>SUM(B11/Q1)</f>
        <v>21.6</v>
      </c>
      <c r="R11" s="8">
        <f>SUM(B11/R1)</f>
        <v>27</v>
      </c>
      <c r="S11" s="17">
        <f>SUM(B11/S1)</f>
        <v>36.000000000000007</v>
      </c>
      <c r="T11" s="17">
        <f>SUM(B11/T1)</f>
        <v>54</v>
      </c>
      <c r="U11" s="17">
        <f>SUM(B11/U1)</f>
        <v>108</v>
      </c>
    </row>
    <row r="12" spans="1:21" x14ac:dyDescent="0.35">
      <c r="A12" s="2" t="s">
        <v>109</v>
      </c>
      <c r="B12" s="8">
        <v>6.86</v>
      </c>
      <c r="C12" s="17">
        <f>SUM($B$12/C1)</f>
        <v>7.2210526315789476</v>
      </c>
      <c r="D12" s="17">
        <f t="shared" ref="D12:U12" si="0">SUM($B$12/D1)</f>
        <v>7.6222222222222227</v>
      </c>
      <c r="E12" s="17">
        <f t="shared" si="0"/>
        <v>8.0705882352941174</v>
      </c>
      <c r="F12" s="17">
        <f t="shared" si="0"/>
        <v>8.5749999999999993</v>
      </c>
      <c r="G12" s="17">
        <f t="shared" si="0"/>
        <v>9.1466666666666665</v>
      </c>
      <c r="H12" s="17">
        <f t="shared" si="0"/>
        <v>9.8000000000000007</v>
      </c>
      <c r="I12" s="17">
        <f t="shared" si="0"/>
        <v>10.553846153846154</v>
      </c>
      <c r="J12" s="17">
        <f t="shared" si="0"/>
        <v>11.433333333333334</v>
      </c>
      <c r="K12" s="17">
        <f t="shared" si="0"/>
        <v>12.472727272727273</v>
      </c>
      <c r="L12" s="17">
        <f t="shared" si="0"/>
        <v>13.72</v>
      </c>
      <c r="M12" s="17">
        <f t="shared" si="0"/>
        <v>15.244444444444445</v>
      </c>
      <c r="N12" s="17">
        <f t="shared" si="0"/>
        <v>17.149999999999999</v>
      </c>
      <c r="O12" s="17">
        <f t="shared" si="0"/>
        <v>19.600000000000001</v>
      </c>
      <c r="P12" s="17">
        <f t="shared" si="0"/>
        <v>22.866666666666667</v>
      </c>
      <c r="Q12" s="17">
        <f t="shared" si="0"/>
        <v>27.44</v>
      </c>
      <c r="R12" s="17">
        <f t="shared" si="0"/>
        <v>34.299999999999997</v>
      </c>
      <c r="S12" s="17">
        <f t="shared" si="0"/>
        <v>45.733333333333334</v>
      </c>
      <c r="T12" s="17">
        <f t="shared" si="0"/>
        <v>68.599999999999994</v>
      </c>
      <c r="U12" s="17">
        <f t="shared" si="0"/>
        <v>137.19999999999999</v>
      </c>
    </row>
    <row r="13" spans="1:21" x14ac:dyDescent="0.35">
      <c r="A13" s="2" t="s">
        <v>110</v>
      </c>
      <c r="B13" s="8">
        <v>6.23</v>
      </c>
      <c r="C13" s="17">
        <f>SUM($B$13/C1)</f>
        <v>6.5578947368421057</v>
      </c>
      <c r="D13" s="17">
        <f t="shared" ref="D13:U13" si="1">SUM($B$13/D1)</f>
        <v>6.9222222222222225</v>
      </c>
      <c r="E13" s="17">
        <f t="shared" si="1"/>
        <v>7.329411764705883</v>
      </c>
      <c r="F13" s="17">
        <f t="shared" si="1"/>
        <v>7.7875000000000005</v>
      </c>
      <c r="G13" s="17">
        <f t="shared" si="1"/>
        <v>8.3066666666666666</v>
      </c>
      <c r="H13" s="17">
        <f t="shared" si="1"/>
        <v>8.9</v>
      </c>
      <c r="I13" s="17">
        <f t="shared" si="1"/>
        <v>9.5846153846153843</v>
      </c>
      <c r="J13" s="17">
        <f t="shared" si="1"/>
        <v>10.383333333333335</v>
      </c>
      <c r="K13" s="17">
        <f t="shared" si="1"/>
        <v>11.327272727272726</v>
      </c>
      <c r="L13" s="17">
        <f t="shared" si="1"/>
        <v>12.46</v>
      </c>
      <c r="M13" s="17">
        <f t="shared" si="1"/>
        <v>13.844444444444445</v>
      </c>
      <c r="N13" s="17">
        <f t="shared" si="1"/>
        <v>15.575000000000001</v>
      </c>
      <c r="O13" s="17">
        <f t="shared" si="1"/>
        <v>17.8</v>
      </c>
      <c r="P13" s="17">
        <f t="shared" si="1"/>
        <v>20.766666666666669</v>
      </c>
      <c r="Q13" s="17">
        <f t="shared" si="1"/>
        <v>24.92</v>
      </c>
      <c r="R13" s="17">
        <f t="shared" si="1"/>
        <v>31.150000000000002</v>
      </c>
      <c r="S13" s="17">
        <f t="shared" si="1"/>
        <v>41.533333333333339</v>
      </c>
      <c r="T13" s="17">
        <f t="shared" si="1"/>
        <v>62.300000000000004</v>
      </c>
      <c r="U13" s="17">
        <f t="shared" si="1"/>
        <v>124.60000000000001</v>
      </c>
    </row>
    <row r="14" spans="1:21" x14ac:dyDescent="0.35">
      <c r="A14" s="2" t="s">
        <v>111</v>
      </c>
      <c r="B14" s="8">
        <v>6.3</v>
      </c>
      <c r="C14" s="17">
        <f>SUM($B$14/C1)</f>
        <v>6.6315789473684212</v>
      </c>
      <c r="D14" s="17">
        <f>SUM($B$14/D1)</f>
        <v>7</v>
      </c>
      <c r="E14" s="17">
        <f t="shared" ref="E14:U14" si="2">SUM($B$14/E1)</f>
        <v>7.4117647058823533</v>
      </c>
      <c r="F14" s="17">
        <f t="shared" si="2"/>
        <v>7.8749999999999991</v>
      </c>
      <c r="G14" s="17">
        <f t="shared" si="2"/>
        <v>8.4</v>
      </c>
      <c r="H14" s="17">
        <f t="shared" si="2"/>
        <v>9</v>
      </c>
      <c r="I14" s="17">
        <f t="shared" si="2"/>
        <v>9.6923076923076916</v>
      </c>
      <c r="J14" s="17">
        <f t="shared" si="2"/>
        <v>10.5</v>
      </c>
      <c r="K14" s="17">
        <f t="shared" si="2"/>
        <v>11.454545454545453</v>
      </c>
      <c r="L14" s="17">
        <f t="shared" si="2"/>
        <v>12.6</v>
      </c>
      <c r="M14" s="17">
        <f t="shared" si="2"/>
        <v>14</v>
      </c>
      <c r="N14" s="17">
        <f t="shared" si="2"/>
        <v>15.749999999999998</v>
      </c>
      <c r="O14" s="17">
        <f t="shared" si="2"/>
        <v>18</v>
      </c>
      <c r="P14" s="17">
        <f t="shared" si="2"/>
        <v>21</v>
      </c>
      <c r="Q14" s="17">
        <f t="shared" si="2"/>
        <v>25.2</v>
      </c>
      <c r="R14" s="17">
        <f t="shared" si="2"/>
        <v>31.499999999999996</v>
      </c>
      <c r="S14" s="17">
        <f t="shared" si="2"/>
        <v>42</v>
      </c>
      <c r="T14" s="17">
        <f t="shared" si="2"/>
        <v>62.999999999999993</v>
      </c>
      <c r="U14" s="17">
        <f t="shared" si="2"/>
        <v>125.99999999999999</v>
      </c>
    </row>
    <row r="15" spans="1:21" x14ac:dyDescent="0.35">
      <c r="A15" s="2" t="s">
        <v>112</v>
      </c>
      <c r="B15" s="8">
        <v>5.74</v>
      </c>
      <c r="C15" s="17">
        <f>SUM($B$15/C1)</f>
        <v>6.0421052631578949</v>
      </c>
      <c r="D15" s="17">
        <f t="shared" ref="D15:U15" si="3">SUM($B$15/D1)</f>
        <v>6.3777777777777782</v>
      </c>
      <c r="E15" s="17">
        <f t="shared" si="3"/>
        <v>6.7529411764705882</v>
      </c>
      <c r="F15" s="17">
        <f t="shared" si="3"/>
        <v>7.1749999999999998</v>
      </c>
      <c r="G15" s="17">
        <f t="shared" si="3"/>
        <v>7.6533333333333333</v>
      </c>
      <c r="H15" s="17">
        <f t="shared" si="3"/>
        <v>8.2000000000000011</v>
      </c>
      <c r="I15" s="17">
        <f t="shared" si="3"/>
        <v>8.8307692307692314</v>
      </c>
      <c r="J15" s="17">
        <f t="shared" si="3"/>
        <v>9.5666666666666682</v>
      </c>
      <c r="K15" s="17">
        <f t="shared" si="3"/>
        <v>10.436363636363636</v>
      </c>
      <c r="L15" s="17">
        <f t="shared" si="3"/>
        <v>11.48</v>
      </c>
      <c r="M15" s="17">
        <f t="shared" si="3"/>
        <v>12.755555555555556</v>
      </c>
      <c r="N15" s="17">
        <f t="shared" si="3"/>
        <v>14.35</v>
      </c>
      <c r="O15" s="17">
        <f t="shared" si="3"/>
        <v>16.400000000000002</v>
      </c>
      <c r="P15" s="17">
        <f t="shared" si="3"/>
        <v>19.133333333333336</v>
      </c>
      <c r="Q15" s="17">
        <f t="shared" si="3"/>
        <v>22.96</v>
      </c>
      <c r="R15" s="17">
        <f t="shared" si="3"/>
        <v>28.7</v>
      </c>
      <c r="S15" s="17">
        <f t="shared" si="3"/>
        <v>38.266666666666673</v>
      </c>
      <c r="T15" s="17">
        <f t="shared" si="3"/>
        <v>57.4</v>
      </c>
      <c r="U15" s="17">
        <f t="shared" si="3"/>
        <v>114.8</v>
      </c>
    </row>
    <row r="16" spans="1:21" x14ac:dyDescent="0.35">
      <c r="A16" s="2" t="s">
        <v>113</v>
      </c>
      <c r="B16" s="8">
        <v>6.93</v>
      </c>
      <c r="C16" s="17">
        <f>SUM($B$16/C1)</f>
        <v>7.2947368421052632</v>
      </c>
      <c r="D16" s="17">
        <f t="shared" ref="D16:U16" si="4">SUM($B$16/D1)</f>
        <v>7.6999999999999993</v>
      </c>
      <c r="E16" s="17">
        <f t="shared" si="4"/>
        <v>8.1529411764705877</v>
      </c>
      <c r="F16" s="17">
        <f t="shared" si="4"/>
        <v>8.6624999999999996</v>
      </c>
      <c r="G16" s="17">
        <f t="shared" si="4"/>
        <v>9.24</v>
      </c>
      <c r="H16" s="17">
        <f t="shared" si="4"/>
        <v>9.9</v>
      </c>
      <c r="I16" s="17">
        <f t="shared" si="4"/>
        <v>10.661538461538461</v>
      </c>
      <c r="J16" s="17">
        <f t="shared" si="4"/>
        <v>11.55</v>
      </c>
      <c r="K16" s="17">
        <f t="shared" si="4"/>
        <v>12.599999999999998</v>
      </c>
      <c r="L16" s="17">
        <f t="shared" si="4"/>
        <v>13.86</v>
      </c>
      <c r="M16" s="17">
        <f t="shared" si="4"/>
        <v>15.399999999999999</v>
      </c>
      <c r="N16" s="17">
        <f t="shared" si="4"/>
        <v>17.324999999999999</v>
      </c>
      <c r="O16" s="17">
        <f t="shared" si="4"/>
        <v>19.8</v>
      </c>
      <c r="P16" s="17">
        <f t="shared" si="4"/>
        <v>23.1</v>
      </c>
      <c r="Q16" s="17">
        <f t="shared" si="4"/>
        <v>27.72</v>
      </c>
      <c r="R16" s="17">
        <f t="shared" si="4"/>
        <v>34.65</v>
      </c>
      <c r="S16" s="17">
        <f t="shared" si="4"/>
        <v>46.2</v>
      </c>
      <c r="T16" s="17">
        <f t="shared" si="4"/>
        <v>69.3</v>
      </c>
      <c r="U16" s="17">
        <f t="shared" si="4"/>
        <v>138.6</v>
      </c>
    </row>
    <row r="17" spans="1:21" x14ac:dyDescent="0.35">
      <c r="A17" s="2" t="s">
        <v>114</v>
      </c>
      <c r="B17" s="8">
        <v>6.44</v>
      </c>
      <c r="C17" s="17">
        <f>SUM($B$17/C1)</f>
        <v>6.7789473684210533</v>
      </c>
      <c r="D17" s="17">
        <f t="shared" ref="D17:U17" si="5">SUM($B$17/D1)</f>
        <v>7.1555555555555559</v>
      </c>
      <c r="E17" s="17">
        <f t="shared" si="5"/>
        <v>7.5764705882352947</v>
      </c>
      <c r="F17" s="17">
        <f t="shared" si="5"/>
        <v>8.0500000000000007</v>
      </c>
      <c r="G17" s="17">
        <f t="shared" si="5"/>
        <v>8.5866666666666678</v>
      </c>
      <c r="H17" s="17">
        <f t="shared" si="5"/>
        <v>9.2000000000000011</v>
      </c>
      <c r="I17" s="17">
        <f t="shared" si="5"/>
        <v>9.907692307692308</v>
      </c>
      <c r="J17" s="17">
        <f t="shared" si="5"/>
        <v>10.733333333333334</v>
      </c>
      <c r="K17" s="17">
        <f t="shared" si="5"/>
        <v>11.709090909090909</v>
      </c>
      <c r="L17" s="17">
        <f t="shared" si="5"/>
        <v>12.88</v>
      </c>
      <c r="M17" s="17">
        <f t="shared" si="5"/>
        <v>14.311111111111112</v>
      </c>
      <c r="N17" s="17">
        <f t="shared" si="5"/>
        <v>16.100000000000001</v>
      </c>
      <c r="O17" s="17">
        <f t="shared" si="5"/>
        <v>18.400000000000002</v>
      </c>
      <c r="P17" s="17">
        <f t="shared" si="5"/>
        <v>21.466666666666669</v>
      </c>
      <c r="Q17" s="17">
        <f t="shared" si="5"/>
        <v>25.76</v>
      </c>
      <c r="R17" s="17">
        <f t="shared" si="5"/>
        <v>32.200000000000003</v>
      </c>
      <c r="S17" s="17">
        <f t="shared" si="5"/>
        <v>42.933333333333337</v>
      </c>
      <c r="T17" s="17">
        <f t="shared" si="5"/>
        <v>64.400000000000006</v>
      </c>
      <c r="U17" s="17">
        <f t="shared" si="5"/>
        <v>128.80000000000001</v>
      </c>
    </row>
    <row r="18" spans="1:21" s="42" customFormat="1" x14ac:dyDescent="0.35">
      <c r="A18" s="40" t="s">
        <v>115</v>
      </c>
      <c r="B18" s="46">
        <v>6.93</v>
      </c>
      <c r="C18" s="47">
        <f>SUM($B$18/C1)</f>
        <v>7.2947368421052632</v>
      </c>
      <c r="D18" s="47">
        <f t="shared" ref="D18:U18" si="6">SUM($B$18/D1)</f>
        <v>7.6999999999999993</v>
      </c>
      <c r="E18" s="47">
        <f t="shared" si="6"/>
        <v>8.1529411764705877</v>
      </c>
      <c r="F18" s="47">
        <f t="shared" si="6"/>
        <v>8.6624999999999996</v>
      </c>
      <c r="G18" s="47">
        <f t="shared" si="6"/>
        <v>9.24</v>
      </c>
      <c r="H18" s="47">
        <f t="shared" si="6"/>
        <v>9.9</v>
      </c>
      <c r="I18" s="47">
        <f t="shared" si="6"/>
        <v>10.661538461538461</v>
      </c>
      <c r="J18" s="47">
        <f t="shared" si="6"/>
        <v>11.55</v>
      </c>
      <c r="K18" s="47">
        <f t="shared" si="6"/>
        <v>12.599999999999998</v>
      </c>
      <c r="L18" s="47">
        <f t="shared" si="6"/>
        <v>13.86</v>
      </c>
      <c r="M18" s="47">
        <f t="shared" si="6"/>
        <v>15.399999999999999</v>
      </c>
      <c r="N18" s="47">
        <f t="shared" si="6"/>
        <v>17.324999999999999</v>
      </c>
      <c r="O18" s="47">
        <f t="shared" si="6"/>
        <v>19.8</v>
      </c>
      <c r="P18" s="47">
        <f t="shared" si="6"/>
        <v>23.1</v>
      </c>
      <c r="Q18" s="47">
        <f t="shared" si="6"/>
        <v>27.72</v>
      </c>
      <c r="R18" s="47">
        <f t="shared" si="6"/>
        <v>34.65</v>
      </c>
      <c r="S18" s="47">
        <f t="shared" si="6"/>
        <v>46.2</v>
      </c>
      <c r="T18" s="47">
        <f t="shared" si="6"/>
        <v>69.3</v>
      </c>
      <c r="U18" s="47">
        <f t="shared" si="6"/>
        <v>138.6</v>
      </c>
    </row>
    <row r="19" spans="1:21" s="42" customFormat="1" x14ac:dyDescent="0.35">
      <c r="A19" s="40" t="s">
        <v>116</v>
      </c>
      <c r="B19" s="46">
        <v>6.79</v>
      </c>
      <c r="C19" s="47">
        <f>SUM($B$19/C1)</f>
        <v>7.147368421052632</v>
      </c>
      <c r="D19" s="47">
        <f t="shared" ref="D19:U19" si="7">SUM($B$19/D1)</f>
        <v>7.5444444444444443</v>
      </c>
      <c r="E19" s="47">
        <f t="shared" si="7"/>
        <v>7.9882352941176471</v>
      </c>
      <c r="F19" s="47">
        <f t="shared" si="7"/>
        <v>8.4874999999999989</v>
      </c>
      <c r="G19" s="47">
        <f t="shared" si="7"/>
        <v>9.0533333333333328</v>
      </c>
      <c r="H19" s="47">
        <f t="shared" si="7"/>
        <v>9.7000000000000011</v>
      </c>
      <c r="I19" s="47">
        <f t="shared" si="7"/>
        <v>10.446153846153846</v>
      </c>
      <c r="J19" s="47">
        <f t="shared" si="7"/>
        <v>11.316666666666666</v>
      </c>
      <c r="K19" s="47">
        <f t="shared" si="7"/>
        <v>12.345454545454544</v>
      </c>
      <c r="L19" s="47">
        <f t="shared" si="7"/>
        <v>13.58</v>
      </c>
      <c r="M19" s="47">
        <f t="shared" si="7"/>
        <v>15.088888888888889</v>
      </c>
      <c r="N19" s="47">
        <f t="shared" si="7"/>
        <v>16.974999999999998</v>
      </c>
      <c r="O19" s="47">
        <f t="shared" si="7"/>
        <v>19.400000000000002</v>
      </c>
      <c r="P19" s="47">
        <f t="shared" si="7"/>
        <v>22.633333333333333</v>
      </c>
      <c r="Q19" s="47">
        <f t="shared" si="7"/>
        <v>27.16</v>
      </c>
      <c r="R19" s="47">
        <f t="shared" si="7"/>
        <v>33.949999999999996</v>
      </c>
      <c r="S19" s="47">
        <f t="shared" si="7"/>
        <v>45.266666666666666</v>
      </c>
      <c r="T19" s="47">
        <f t="shared" si="7"/>
        <v>67.899999999999991</v>
      </c>
      <c r="U19" s="47">
        <f t="shared" si="7"/>
        <v>135.79999999999998</v>
      </c>
    </row>
    <row r="20" spans="1:21" x14ac:dyDescent="0.35">
      <c r="A20" s="2" t="s">
        <v>117</v>
      </c>
      <c r="B20" s="8">
        <v>6.79</v>
      </c>
      <c r="C20" s="17">
        <f>SUM($B$20/C1)</f>
        <v>7.147368421052632</v>
      </c>
      <c r="D20" s="17">
        <f t="shared" ref="D20:U20" si="8">SUM($B$20/D1)</f>
        <v>7.5444444444444443</v>
      </c>
      <c r="E20" s="17">
        <f t="shared" si="8"/>
        <v>7.9882352941176471</v>
      </c>
      <c r="F20" s="17">
        <f t="shared" si="8"/>
        <v>8.4874999999999989</v>
      </c>
      <c r="G20" s="17">
        <f t="shared" si="8"/>
        <v>9.0533333333333328</v>
      </c>
      <c r="H20" s="17">
        <f>SUM($B$20/H1)</f>
        <v>9.7000000000000011</v>
      </c>
      <c r="I20" s="17">
        <f t="shared" si="8"/>
        <v>10.446153846153846</v>
      </c>
      <c r="J20" s="17">
        <f t="shared" si="8"/>
        <v>11.316666666666666</v>
      </c>
      <c r="K20" s="17">
        <f t="shared" si="8"/>
        <v>12.345454545454544</v>
      </c>
      <c r="L20" s="17">
        <f t="shared" si="8"/>
        <v>13.58</v>
      </c>
      <c r="M20" s="17">
        <f t="shared" si="8"/>
        <v>15.088888888888889</v>
      </c>
      <c r="N20" s="17">
        <f t="shared" si="8"/>
        <v>16.974999999999998</v>
      </c>
      <c r="O20" s="17">
        <f t="shared" si="8"/>
        <v>19.400000000000002</v>
      </c>
      <c r="P20" s="17">
        <f t="shared" si="8"/>
        <v>22.633333333333333</v>
      </c>
      <c r="Q20" s="17">
        <f t="shared" si="8"/>
        <v>27.16</v>
      </c>
      <c r="R20" s="17">
        <f t="shared" si="8"/>
        <v>33.949999999999996</v>
      </c>
      <c r="S20" s="17">
        <f t="shared" si="8"/>
        <v>45.266666666666666</v>
      </c>
      <c r="T20" s="17">
        <f t="shared" si="8"/>
        <v>67.899999999999991</v>
      </c>
      <c r="U20" s="17">
        <f t="shared" si="8"/>
        <v>135.79999999999998</v>
      </c>
    </row>
    <row r="21" spans="1:21" x14ac:dyDescent="0.35">
      <c r="A21" s="40" t="s">
        <v>118</v>
      </c>
      <c r="B21" s="46">
        <v>6.65</v>
      </c>
      <c r="C21" s="47">
        <f>SUM($B$21/C1)</f>
        <v>7.0000000000000009</v>
      </c>
      <c r="D21" s="47">
        <f t="shared" ref="D21:U21" si="9">SUM($B$21/D1)</f>
        <v>7.3888888888888893</v>
      </c>
      <c r="E21" s="47">
        <f t="shared" si="9"/>
        <v>7.8235294117647065</v>
      </c>
      <c r="F21" s="47">
        <f t="shared" si="9"/>
        <v>8.3125</v>
      </c>
      <c r="G21" s="47">
        <f t="shared" si="9"/>
        <v>8.8666666666666671</v>
      </c>
      <c r="H21" s="47">
        <f t="shared" si="9"/>
        <v>9.5000000000000018</v>
      </c>
      <c r="I21" s="47">
        <f t="shared" si="9"/>
        <v>10.230769230769232</v>
      </c>
      <c r="J21" s="47">
        <f t="shared" si="9"/>
        <v>11.083333333333334</v>
      </c>
      <c r="K21" s="47">
        <f t="shared" si="9"/>
        <v>12.09090909090909</v>
      </c>
      <c r="L21" s="47">
        <f t="shared" si="9"/>
        <v>13.3</v>
      </c>
      <c r="M21" s="47">
        <f t="shared" si="9"/>
        <v>14.777777777777779</v>
      </c>
      <c r="N21" s="47">
        <f t="shared" si="9"/>
        <v>16.625</v>
      </c>
      <c r="O21" s="47">
        <f t="shared" si="9"/>
        <v>19.000000000000004</v>
      </c>
      <c r="P21" s="47">
        <f t="shared" si="9"/>
        <v>22.166666666666668</v>
      </c>
      <c r="Q21" s="47">
        <f t="shared" si="9"/>
        <v>26.6</v>
      </c>
      <c r="R21" s="47">
        <f t="shared" si="9"/>
        <v>33.25</v>
      </c>
      <c r="S21" s="47">
        <f t="shared" si="9"/>
        <v>44.333333333333336</v>
      </c>
      <c r="T21" s="47">
        <f t="shared" si="9"/>
        <v>66.5</v>
      </c>
      <c r="U21" s="47">
        <f t="shared" si="9"/>
        <v>133</v>
      </c>
    </row>
    <row r="22" spans="1:21" x14ac:dyDescent="0.35">
      <c r="A22" s="2" t="s">
        <v>119</v>
      </c>
      <c r="B22" s="8">
        <v>6.37</v>
      </c>
      <c r="C22" s="17">
        <f>SUM($B$22/C1)</f>
        <v>6.7052631578947377</v>
      </c>
      <c r="D22" s="17">
        <f t="shared" ref="D22:U22" si="10">SUM($B$22/D1)</f>
        <v>7.0777777777777775</v>
      </c>
      <c r="E22" s="17">
        <f t="shared" si="10"/>
        <v>7.4941176470588236</v>
      </c>
      <c r="F22" s="17">
        <f t="shared" si="10"/>
        <v>7.9624999999999995</v>
      </c>
      <c r="G22" s="17">
        <f t="shared" si="10"/>
        <v>8.4933333333333341</v>
      </c>
      <c r="H22" s="17">
        <f t="shared" si="10"/>
        <v>9.1000000000000014</v>
      </c>
      <c r="I22" s="17">
        <f t="shared" si="10"/>
        <v>9.8000000000000007</v>
      </c>
      <c r="J22" s="17">
        <f t="shared" si="10"/>
        <v>10.616666666666667</v>
      </c>
      <c r="K22" s="17">
        <f t="shared" si="10"/>
        <v>11.58181818181818</v>
      </c>
      <c r="L22" s="17">
        <f t="shared" si="10"/>
        <v>12.74</v>
      </c>
      <c r="M22" s="17">
        <f t="shared" si="10"/>
        <v>14.155555555555555</v>
      </c>
      <c r="N22" s="17">
        <f t="shared" si="10"/>
        <v>15.924999999999999</v>
      </c>
      <c r="O22" s="17">
        <f t="shared" si="10"/>
        <v>18.200000000000003</v>
      </c>
      <c r="P22" s="17">
        <f t="shared" si="10"/>
        <v>21.233333333333334</v>
      </c>
      <c r="Q22" s="17">
        <f t="shared" si="10"/>
        <v>25.48</v>
      </c>
      <c r="R22" s="17">
        <f t="shared" si="10"/>
        <v>31.849999999999998</v>
      </c>
      <c r="S22" s="17">
        <f t="shared" si="10"/>
        <v>42.466666666666669</v>
      </c>
      <c r="T22" s="17">
        <f t="shared" si="10"/>
        <v>63.699999999999996</v>
      </c>
      <c r="U22" s="17">
        <f t="shared" si="10"/>
        <v>127.39999999999999</v>
      </c>
    </row>
    <row r="23" spans="1:21" x14ac:dyDescent="0.35">
      <c r="A23" s="2" t="s">
        <v>120</v>
      </c>
      <c r="B23" s="8">
        <v>6.65</v>
      </c>
      <c r="C23" s="17">
        <f>SUM($B$23/C1)</f>
        <v>7.0000000000000009</v>
      </c>
      <c r="D23" s="17">
        <f t="shared" ref="D23:U23" si="11">SUM($B$23/D1)</f>
        <v>7.3888888888888893</v>
      </c>
      <c r="E23" s="17">
        <f t="shared" si="11"/>
        <v>7.8235294117647065</v>
      </c>
      <c r="F23" s="17">
        <f t="shared" si="11"/>
        <v>8.3125</v>
      </c>
      <c r="G23" s="17">
        <f t="shared" si="11"/>
        <v>8.8666666666666671</v>
      </c>
      <c r="H23" s="17">
        <f t="shared" si="11"/>
        <v>9.5000000000000018</v>
      </c>
      <c r="I23" s="17">
        <f t="shared" si="11"/>
        <v>10.230769230769232</v>
      </c>
      <c r="J23" s="17">
        <f t="shared" si="11"/>
        <v>11.083333333333334</v>
      </c>
      <c r="K23" s="17">
        <f t="shared" si="11"/>
        <v>12.09090909090909</v>
      </c>
      <c r="L23" s="17">
        <f t="shared" si="11"/>
        <v>13.3</v>
      </c>
      <c r="M23" s="17">
        <f t="shared" si="11"/>
        <v>14.777777777777779</v>
      </c>
      <c r="N23" s="17">
        <f t="shared" si="11"/>
        <v>16.625</v>
      </c>
      <c r="O23" s="17">
        <f t="shared" si="11"/>
        <v>19.000000000000004</v>
      </c>
      <c r="P23" s="17">
        <f t="shared" si="11"/>
        <v>22.166666666666668</v>
      </c>
      <c r="Q23" s="17">
        <f t="shared" si="11"/>
        <v>26.6</v>
      </c>
      <c r="R23" s="17">
        <f t="shared" si="11"/>
        <v>33.25</v>
      </c>
      <c r="S23" s="17">
        <f t="shared" si="11"/>
        <v>44.333333333333336</v>
      </c>
      <c r="T23" s="17">
        <f t="shared" si="11"/>
        <v>66.5</v>
      </c>
      <c r="U23" s="17">
        <f t="shared" si="11"/>
        <v>133</v>
      </c>
    </row>
    <row r="24" spans="1:21" s="42" customFormat="1" x14ac:dyDescent="0.35">
      <c r="A24" s="40" t="s">
        <v>121</v>
      </c>
      <c r="B24" s="46">
        <v>6.3</v>
      </c>
      <c r="C24" s="47">
        <f>SUM($B$24/C1)</f>
        <v>6.6315789473684212</v>
      </c>
      <c r="D24" s="47">
        <f t="shared" ref="D24:U24" si="12">SUM($B$24/D1)</f>
        <v>7</v>
      </c>
      <c r="E24" s="47">
        <f t="shared" si="12"/>
        <v>7.4117647058823533</v>
      </c>
      <c r="F24" s="47">
        <f t="shared" si="12"/>
        <v>7.8749999999999991</v>
      </c>
      <c r="G24" s="47">
        <f t="shared" si="12"/>
        <v>8.4</v>
      </c>
      <c r="H24" s="47">
        <f t="shared" si="12"/>
        <v>9</v>
      </c>
      <c r="I24" s="47">
        <f t="shared" si="12"/>
        <v>9.6923076923076916</v>
      </c>
      <c r="J24" s="47">
        <f t="shared" si="12"/>
        <v>10.5</v>
      </c>
      <c r="K24" s="47">
        <f t="shared" si="12"/>
        <v>11.454545454545453</v>
      </c>
      <c r="L24" s="47">
        <f t="shared" si="12"/>
        <v>12.6</v>
      </c>
      <c r="M24" s="47">
        <f t="shared" si="12"/>
        <v>14</v>
      </c>
      <c r="N24" s="47">
        <f t="shared" si="12"/>
        <v>15.749999999999998</v>
      </c>
      <c r="O24" s="47">
        <f t="shared" si="12"/>
        <v>18</v>
      </c>
      <c r="P24" s="47">
        <f t="shared" si="12"/>
        <v>21</v>
      </c>
      <c r="Q24" s="47">
        <f t="shared" si="12"/>
        <v>25.2</v>
      </c>
      <c r="R24" s="47">
        <f t="shared" si="12"/>
        <v>31.499999999999996</v>
      </c>
      <c r="S24" s="47">
        <f t="shared" si="12"/>
        <v>42</v>
      </c>
      <c r="T24" s="47">
        <f t="shared" si="12"/>
        <v>62.999999999999993</v>
      </c>
      <c r="U24" s="47">
        <f t="shared" si="12"/>
        <v>125.99999999999999</v>
      </c>
    </row>
    <row r="25" spans="1:21" s="42" customFormat="1" x14ac:dyDescent="0.35">
      <c r="A25" s="40" t="s">
        <v>122</v>
      </c>
      <c r="B25" s="46">
        <v>5.39</v>
      </c>
      <c r="C25" s="47">
        <f>SUM($B$25/C1)</f>
        <v>5.6736842105263161</v>
      </c>
      <c r="D25" s="47">
        <f t="shared" ref="D25:U25" si="13">SUM($B$25/D1)</f>
        <v>5.988888888888888</v>
      </c>
      <c r="E25" s="47">
        <f t="shared" si="13"/>
        <v>6.341176470588235</v>
      </c>
      <c r="F25" s="47">
        <f>SUM($B$25/F1)</f>
        <v>6.7374999999999989</v>
      </c>
      <c r="G25" s="47">
        <f t="shared" si="13"/>
        <v>7.1866666666666665</v>
      </c>
      <c r="H25" s="47">
        <f t="shared" si="13"/>
        <v>7.7</v>
      </c>
      <c r="I25" s="47">
        <f t="shared" si="13"/>
        <v>8.2923076923076913</v>
      </c>
      <c r="J25" s="47">
        <f t="shared" si="13"/>
        <v>8.9833333333333325</v>
      </c>
      <c r="K25" s="47">
        <f t="shared" si="13"/>
        <v>9.7999999999999989</v>
      </c>
      <c r="L25" s="47">
        <f t="shared" si="13"/>
        <v>10.78</v>
      </c>
      <c r="M25" s="47">
        <f t="shared" si="13"/>
        <v>11.977777777777776</v>
      </c>
      <c r="N25" s="47">
        <f t="shared" si="13"/>
        <v>13.474999999999998</v>
      </c>
      <c r="O25" s="47">
        <f t="shared" si="13"/>
        <v>15.4</v>
      </c>
      <c r="P25" s="47">
        <f t="shared" si="13"/>
        <v>17.966666666666665</v>
      </c>
      <c r="Q25" s="47">
        <f t="shared" si="13"/>
        <v>21.56</v>
      </c>
      <c r="R25" s="47">
        <f t="shared" si="13"/>
        <v>26.949999999999996</v>
      </c>
      <c r="S25" s="47">
        <f t="shared" si="13"/>
        <v>35.93333333333333</v>
      </c>
      <c r="T25" s="47">
        <f t="shared" si="13"/>
        <v>53.899999999999991</v>
      </c>
      <c r="U25" s="47">
        <f t="shared" si="13"/>
        <v>107.79999999999998</v>
      </c>
    </row>
    <row r="26" spans="1:21" s="42" customFormat="1" x14ac:dyDescent="0.35">
      <c r="A26" s="40" t="s">
        <v>123</v>
      </c>
      <c r="B26" s="46">
        <v>6.11</v>
      </c>
      <c r="C26" s="47">
        <f>SUM($B$26/C1)</f>
        <v>6.431578947368422</v>
      </c>
      <c r="D26" s="47">
        <f t="shared" ref="D26:U26" si="14">SUM($B$26/D1)</f>
        <v>6.7888888888888888</v>
      </c>
      <c r="E26" s="47">
        <f t="shared" si="14"/>
        <v>7.1882352941176473</v>
      </c>
      <c r="F26" s="47">
        <f t="shared" si="14"/>
        <v>7.6375000000000002</v>
      </c>
      <c r="G26" s="47">
        <f t="shared" si="14"/>
        <v>8.1466666666666665</v>
      </c>
      <c r="H26" s="47">
        <f t="shared" si="14"/>
        <v>8.7285714285714295</v>
      </c>
      <c r="I26" s="47">
        <f t="shared" si="14"/>
        <v>9.4</v>
      </c>
      <c r="J26" s="47">
        <f t="shared" si="14"/>
        <v>10.183333333333334</v>
      </c>
      <c r="K26" s="47">
        <f t="shared" si="14"/>
        <v>11.109090909090909</v>
      </c>
      <c r="L26" s="47">
        <f t="shared" si="14"/>
        <v>12.22</v>
      </c>
      <c r="M26" s="47">
        <f t="shared" si="14"/>
        <v>13.577777777777778</v>
      </c>
      <c r="N26" s="47">
        <f t="shared" si="14"/>
        <v>15.275</v>
      </c>
      <c r="O26" s="47">
        <f t="shared" si="14"/>
        <v>17.457142857142859</v>
      </c>
      <c r="P26" s="47">
        <f t="shared" si="14"/>
        <v>20.366666666666667</v>
      </c>
      <c r="Q26" s="47">
        <f t="shared" si="14"/>
        <v>24.44</v>
      </c>
      <c r="R26" s="47">
        <f t="shared" si="14"/>
        <v>30.55</v>
      </c>
      <c r="S26" s="47">
        <f t="shared" si="14"/>
        <v>40.733333333333334</v>
      </c>
      <c r="T26" s="47">
        <f t="shared" si="14"/>
        <v>61.1</v>
      </c>
      <c r="U26" s="47">
        <f t="shared" si="14"/>
        <v>122.2</v>
      </c>
    </row>
    <row r="27" spans="1:21" s="42" customFormat="1" x14ac:dyDescent="0.35">
      <c r="A27" s="40" t="s">
        <v>124</v>
      </c>
      <c r="B27" s="46">
        <v>5.3</v>
      </c>
      <c r="C27" s="47">
        <f>SUM($B$27/C1)</f>
        <v>5.5789473684210531</v>
      </c>
      <c r="D27" s="47">
        <f t="shared" ref="D27:U27" si="15">SUM($B$27/D1)</f>
        <v>5.8888888888888884</v>
      </c>
      <c r="E27" s="47">
        <f t="shared" si="15"/>
        <v>6.2352941176470589</v>
      </c>
      <c r="F27" s="47">
        <f t="shared" si="15"/>
        <v>6.6249999999999991</v>
      </c>
      <c r="G27" s="47">
        <f t="shared" si="15"/>
        <v>7.0666666666666664</v>
      </c>
      <c r="H27" s="47">
        <f t="shared" si="15"/>
        <v>7.5714285714285721</v>
      </c>
      <c r="I27" s="47">
        <f t="shared" si="15"/>
        <v>8.1538461538461533</v>
      </c>
      <c r="J27" s="47">
        <f t="shared" si="15"/>
        <v>8.8333333333333339</v>
      </c>
      <c r="K27" s="47">
        <f t="shared" si="15"/>
        <v>9.6363636363636349</v>
      </c>
      <c r="L27" s="47">
        <f t="shared" si="15"/>
        <v>10.6</v>
      </c>
      <c r="M27" s="47">
        <f t="shared" si="15"/>
        <v>11.777777777777777</v>
      </c>
      <c r="N27" s="47">
        <f t="shared" si="15"/>
        <v>13.249999999999998</v>
      </c>
      <c r="O27" s="47">
        <f t="shared" si="15"/>
        <v>15.142857142857144</v>
      </c>
      <c r="P27" s="47">
        <f t="shared" si="15"/>
        <v>17.666666666666668</v>
      </c>
      <c r="Q27" s="47">
        <f t="shared" si="15"/>
        <v>21.2</v>
      </c>
      <c r="R27" s="47">
        <f t="shared" si="15"/>
        <v>26.499999999999996</v>
      </c>
      <c r="S27" s="47">
        <f t="shared" si="15"/>
        <v>35.333333333333336</v>
      </c>
      <c r="T27" s="47">
        <f t="shared" si="15"/>
        <v>52.999999999999993</v>
      </c>
      <c r="U27" s="47">
        <f t="shared" si="15"/>
        <v>105.99999999999999</v>
      </c>
    </row>
    <row r="28" spans="1:21" s="42" customFormat="1" x14ac:dyDescent="0.35">
      <c r="A28" s="40" t="s">
        <v>125</v>
      </c>
      <c r="B28" s="46">
        <v>5.72</v>
      </c>
      <c r="C28" s="47">
        <f>SUM($B$28/C1)</f>
        <v>6.0210526315789474</v>
      </c>
      <c r="D28" s="47">
        <f t="shared" ref="D28:U28" si="16">SUM($B$28/D1)</f>
        <v>6.3555555555555552</v>
      </c>
      <c r="E28" s="47">
        <f t="shared" si="16"/>
        <v>6.7294117647058824</v>
      </c>
      <c r="F28" s="47">
        <f t="shared" si="16"/>
        <v>7.1499999999999995</v>
      </c>
      <c r="G28" s="47">
        <f t="shared" si="16"/>
        <v>7.626666666666666</v>
      </c>
      <c r="H28" s="47">
        <f t="shared" si="16"/>
        <v>8.1714285714285708</v>
      </c>
      <c r="I28" s="47">
        <f t="shared" si="16"/>
        <v>8.7999999999999989</v>
      </c>
      <c r="J28" s="47">
        <f t="shared" si="16"/>
        <v>9.5333333333333332</v>
      </c>
      <c r="K28" s="47">
        <f t="shared" si="16"/>
        <v>10.399999999999999</v>
      </c>
      <c r="L28" s="47">
        <f t="shared" si="16"/>
        <v>11.44</v>
      </c>
      <c r="M28" s="47">
        <f t="shared" si="16"/>
        <v>12.71111111111111</v>
      </c>
      <c r="N28" s="47">
        <f t="shared" si="16"/>
        <v>14.299999999999999</v>
      </c>
      <c r="O28" s="47">
        <f t="shared" si="16"/>
        <v>16.342857142857142</v>
      </c>
      <c r="P28" s="47">
        <f t="shared" si="16"/>
        <v>19.066666666666666</v>
      </c>
      <c r="Q28" s="47">
        <f t="shared" si="16"/>
        <v>22.88</v>
      </c>
      <c r="R28" s="47">
        <f t="shared" si="16"/>
        <v>28.599999999999998</v>
      </c>
      <c r="S28" s="47">
        <f t="shared" si="16"/>
        <v>38.133333333333333</v>
      </c>
      <c r="T28" s="47">
        <f t="shared" si="16"/>
        <v>57.199999999999996</v>
      </c>
      <c r="U28" s="47">
        <f t="shared" si="16"/>
        <v>114.39999999999999</v>
      </c>
    </row>
    <row r="29" spans="1:21" s="42" customFormat="1" x14ac:dyDescent="0.35">
      <c r="A29" s="40" t="s">
        <v>126</v>
      </c>
      <c r="B29" s="46">
        <v>5.55</v>
      </c>
      <c r="C29" s="47">
        <f>SUM($B$29/C1)</f>
        <v>5.8421052631578947</v>
      </c>
      <c r="D29" s="47">
        <f t="shared" ref="D29:U29" si="17">SUM($B$29/D1)</f>
        <v>6.1666666666666661</v>
      </c>
      <c r="E29" s="47">
        <f t="shared" si="17"/>
        <v>6.5294117647058822</v>
      </c>
      <c r="F29" s="47">
        <f t="shared" si="17"/>
        <v>6.9374999999999991</v>
      </c>
      <c r="G29" s="47">
        <f t="shared" si="17"/>
        <v>7.3999999999999995</v>
      </c>
      <c r="H29" s="47">
        <f t="shared" si="17"/>
        <v>7.9285714285714288</v>
      </c>
      <c r="I29" s="47">
        <f t="shared" si="17"/>
        <v>8.5384615384615383</v>
      </c>
      <c r="J29" s="47">
        <f t="shared" si="17"/>
        <v>9.25</v>
      </c>
      <c r="K29" s="47">
        <f t="shared" si="17"/>
        <v>10.09090909090909</v>
      </c>
      <c r="L29" s="47">
        <f t="shared" si="17"/>
        <v>11.1</v>
      </c>
      <c r="M29" s="47">
        <f t="shared" si="17"/>
        <v>12.333333333333332</v>
      </c>
      <c r="N29" s="47">
        <f t="shared" si="17"/>
        <v>13.874999999999998</v>
      </c>
      <c r="O29" s="47">
        <f t="shared" si="17"/>
        <v>15.857142857142858</v>
      </c>
      <c r="P29" s="47">
        <f t="shared" si="17"/>
        <v>18.5</v>
      </c>
      <c r="Q29" s="47">
        <f t="shared" si="17"/>
        <v>22.2</v>
      </c>
      <c r="R29" s="47">
        <f t="shared" si="17"/>
        <v>27.749999999999996</v>
      </c>
      <c r="S29" s="47">
        <f t="shared" si="17"/>
        <v>37</v>
      </c>
      <c r="T29" s="47">
        <f t="shared" si="17"/>
        <v>55.499999999999993</v>
      </c>
      <c r="U29" s="47">
        <f t="shared" si="17"/>
        <v>110.99999999999999</v>
      </c>
    </row>
    <row r="30" spans="1:21" x14ac:dyDescent="0.35">
      <c r="A30" s="2" t="s">
        <v>127</v>
      </c>
      <c r="B30" s="8">
        <v>6.44</v>
      </c>
      <c r="C30" s="17">
        <f>SUM($B$30/C1)</f>
        <v>6.7789473684210533</v>
      </c>
      <c r="D30" s="17">
        <f>SUM($B$30/D1)</f>
        <v>7.1555555555555559</v>
      </c>
      <c r="E30" s="17">
        <f>SUM($B$30/E1)</f>
        <v>7.5764705882352947</v>
      </c>
      <c r="F30" s="17">
        <f t="shared" ref="F30:U30" si="18">SUM($B$30/F1)</f>
        <v>8.0500000000000007</v>
      </c>
      <c r="G30" s="17">
        <f t="shared" si="18"/>
        <v>8.5866666666666678</v>
      </c>
      <c r="H30" s="17">
        <f>SUM($B$30/H1)</f>
        <v>9.2000000000000011</v>
      </c>
      <c r="I30" s="17">
        <f t="shared" si="18"/>
        <v>9.907692307692308</v>
      </c>
      <c r="J30" s="17">
        <f t="shared" si="18"/>
        <v>10.733333333333334</v>
      </c>
      <c r="K30" s="17">
        <f t="shared" si="18"/>
        <v>11.709090909090909</v>
      </c>
      <c r="L30" s="17">
        <f t="shared" si="18"/>
        <v>12.88</v>
      </c>
      <c r="M30" s="17">
        <f t="shared" si="18"/>
        <v>14.311111111111112</v>
      </c>
      <c r="N30" s="17">
        <f t="shared" si="18"/>
        <v>16.100000000000001</v>
      </c>
      <c r="O30" s="17">
        <f t="shared" si="18"/>
        <v>18.400000000000002</v>
      </c>
      <c r="P30" s="17">
        <f t="shared" si="18"/>
        <v>21.466666666666669</v>
      </c>
      <c r="Q30" s="17">
        <f t="shared" si="18"/>
        <v>25.76</v>
      </c>
      <c r="R30" s="17">
        <f t="shared" si="18"/>
        <v>32.200000000000003</v>
      </c>
      <c r="S30" s="17">
        <f t="shared" si="18"/>
        <v>42.933333333333337</v>
      </c>
      <c r="T30" s="17">
        <f t="shared" si="18"/>
        <v>64.400000000000006</v>
      </c>
      <c r="U30" s="17">
        <f t="shared" si="18"/>
        <v>128.80000000000001</v>
      </c>
    </row>
    <row r="31" spans="1:21" x14ac:dyDescent="0.35">
      <c r="A31" s="2" t="s">
        <v>128</v>
      </c>
      <c r="B31" s="8">
        <v>7.67</v>
      </c>
      <c r="C31" s="17">
        <f>SUM($B$31/C1)</f>
        <v>8.0736842105263165</v>
      </c>
      <c r="D31" s="17">
        <f>SUM($B$31/D1)</f>
        <v>8.5222222222222221</v>
      </c>
      <c r="E31" s="17">
        <f t="shared" ref="E31:U31" si="19">SUM($B$31/E1)</f>
        <v>9.0235294117647058</v>
      </c>
      <c r="F31" s="17">
        <f t="shared" si="19"/>
        <v>9.5874999999999986</v>
      </c>
      <c r="G31" s="17">
        <f t="shared" si="19"/>
        <v>10.226666666666667</v>
      </c>
      <c r="H31" s="17">
        <f t="shared" si="19"/>
        <v>10.957142857142857</v>
      </c>
      <c r="I31" s="17">
        <f t="shared" si="19"/>
        <v>11.799999999999999</v>
      </c>
      <c r="J31" s="17">
        <f t="shared" si="19"/>
        <v>12.783333333333333</v>
      </c>
      <c r="K31" s="17">
        <f t="shared" si="19"/>
        <v>13.945454545454544</v>
      </c>
      <c r="L31" s="17">
        <f t="shared" si="19"/>
        <v>15.34</v>
      </c>
      <c r="M31" s="17">
        <f t="shared" si="19"/>
        <v>17.044444444444444</v>
      </c>
      <c r="N31" s="17">
        <f t="shared" si="19"/>
        <v>19.174999999999997</v>
      </c>
      <c r="O31" s="17">
        <f t="shared" si="19"/>
        <v>21.914285714285715</v>
      </c>
      <c r="P31" s="17">
        <f t="shared" si="19"/>
        <v>25.566666666666666</v>
      </c>
      <c r="Q31" s="17">
        <f t="shared" si="19"/>
        <v>30.68</v>
      </c>
      <c r="R31" s="17">
        <f t="shared" si="19"/>
        <v>38.349999999999994</v>
      </c>
      <c r="S31" s="17">
        <f t="shared" si="19"/>
        <v>51.133333333333333</v>
      </c>
      <c r="T31" s="17">
        <f t="shared" si="19"/>
        <v>76.699999999999989</v>
      </c>
      <c r="U31" s="17">
        <f t="shared" si="19"/>
        <v>153.39999999999998</v>
      </c>
    </row>
    <row r="32" spans="1:21" x14ac:dyDescent="0.35">
      <c r="A32" s="2" t="s">
        <v>129</v>
      </c>
      <c r="B32" s="8">
        <v>7.63</v>
      </c>
      <c r="C32" s="17">
        <f>SUM($B$32/C1)</f>
        <v>8.0315789473684216</v>
      </c>
      <c r="D32" s="17">
        <f>SUM($B$32/D1)</f>
        <v>8.4777777777777779</v>
      </c>
      <c r="E32" s="17">
        <f t="shared" ref="E32:U32" si="20">SUM($B$32/E1)</f>
        <v>8.9764705882352942</v>
      </c>
      <c r="F32" s="17">
        <f t="shared" si="20"/>
        <v>9.5374999999999996</v>
      </c>
      <c r="G32" s="17">
        <f t="shared" si="20"/>
        <v>10.173333333333334</v>
      </c>
      <c r="H32" s="17">
        <f t="shared" si="20"/>
        <v>10.9</v>
      </c>
      <c r="I32" s="17">
        <f t="shared" si="20"/>
        <v>11.738461538461538</v>
      </c>
      <c r="J32" s="17">
        <f t="shared" si="20"/>
        <v>12.716666666666667</v>
      </c>
      <c r="K32" s="17">
        <f t="shared" si="20"/>
        <v>13.872727272727271</v>
      </c>
      <c r="L32" s="17">
        <f>SUM($B$32/L1)</f>
        <v>15.26</v>
      </c>
      <c r="M32" s="17">
        <f t="shared" si="20"/>
        <v>16.955555555555556</v>
      </c>
      <c r="N32" s="17">
        <f t="shared" si="20"/>
        <v>19.074999999999999</v>
      </c>
      <c r="O32" s="17">
        <f t="shared" si="20"/>
        <v>21.8</v>
      </c>
      <c r="P32" s="17">
        <f t="shared" si="20"/>
        <v>25.433333333333334</v>
      </c>
      <c r="Q32" s="17">
        <f t="shared" si="20"/>
        <v>30.52</v>
      </c>
      <c r="R32" s="17">
        <f t="shared" si="20"/>
        <v>38.15</v>
      </c>
      <c r="S32" s="17">
        <f t="shared" si="20"/>
        <v>50.866666666666667</v>
      </c>
      <c r="T32" s="17">
        <f t="shared" si="20"/>
        <v>76.3</v>
      </c>
      <c r="U32" s="17">
        <f t="shared" si="20"/>
        <v>152.6</v>
      </c>
    </row>
    <row r="33" spans="1:21" s="42" customFormat="1" x14ac:dyDescent="0.35">
      <c r="A33" s="48" t="s">
        <v>130</v>
      </c>
      <c r="B33" s="49">
        <v>5.4450000000000003</v>
      </c>
      <c r="C33" s="50">
        <f>SUM($B$33/C1)</f>
        <v>5.7315789473684218</v>
      </c>
      <c r="D33" s="50">
        <f t="shared" ref="D33:U33" si="21">SUM($B$33/D1)</f>
        <v>6.05</v>
      </c>
      <c r="E33" s="50">
        <f t="shared" si="21"/>
        <v>6.4058823529411768</v>
      </c>
      <c r="F33" s="50">
        <f t="shared" si="21"/>
        <v>6.8062500000000004</v>
      </c>
      <c r="G33" s="50">
        <f t="shared" si="21"/>
        <v>7.2600000000000007</v>
      </c>
      <c r="H33" s="50">
        <f t="shared" si="21"/>
        <v>7.7785714285714294</v>
      </c>
      <c r="I33" s="50">
        <f t="shared" si="21"/>
        <v>8.3769230769230774</v>
      </c>
      <c r="J33" s="50">
        <f t="shared" si="21"/>
        <v>9.0750000000000011</v>
      </c>
      <c r="K33" s="50">
        <f t="shared" si="21"/>
        <v>9.9</v>
      </c>
      <c r="L33" s="50">
        <f t="shared" si="21"/>
        <v>10.89</v>
      </c>
      <c r="M33" s="50">
        <f t="shared" si="21"/>
        <v>12.1</v>
      </c>
      <c r="N33" s="50">
        <f t="shared" si="21"/>
        <v>13.612500000000001</v>
      </c>
      <c r="O33" s="50">
        <f t="shared" si="21"/>
        <v>15.557142857142859</v>
      </c>
      <c r="P33" s="50">
        <f t="shared" si="21"/>
        <v>18.150000000000002</v>
      </c>
      <c r="Q33" s="50">
        <f t="shared" si="21"/>
        <v>21.78</v>
      </c>
      <c r="R33" s="50">
        <f t="shared" si="21"/>
        <v>27.225000000000001</v>
      </c>
      <c r="S33" s="50">
        <f t="shared" si="21"/>
        <v>36.300000000000004</v>
      </c>
      <c r="T33" s="50">
        <f t="shared" si="21"/>
        <v>54.45</v>
      </c>
      <c r="U33" s="50">
        <f t="shared" si="21"/>
        <v>108.9</v>
      </c>
    </row>
    <row r="34" spans="1:21" ht="15" thickBot="1" x14ac:dyDescent="0.4">
      <c r="A34" s="59" t="s">
        <v>131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35">
      <c r="A35" s="23" t="s">
        <v>0</v>
      </c>
      <c r="B35" s="24" t="s">
        <v>1</v>
      </c>
      <c r="C35" s="24" t="s">
        <v>2</v>
      </c>
      <c r="D35" s="24" t="s">
        <v>3</v>
      </c>
      <c r="E35" s="24" t="s">
        <v>4</v>
      </c>
      <c r="F35" s="24" t="s">
        <v>5</v>
      </c>
      <c r="G35" s="24" t="s">
        <v>6</v>
      </c>
      <c r="H35" s="24" t="s">
        <v>7</v>
      </c>
      <c r="I35" s="24" t="s">
        <v>8</v>
      </c>
      <c r="J35" s="24" t="s">
        <v>9</v>
      </c>
      <c r="K35" s="24" t="s">
        <v>10</v>
      </c>
      <c r="L35" s="24" t="s">
        <v>11</v>
      </c>
      <c r="M35" s="24" t="s">
        <v>12</v>
      </c>
      <c r="N35" s="24" t="s">
        <v>13</v>
      </c>
      <c r="O35" s="24" t="s">
        <v>14</v>
      </c>
      <c r="P35" s="24" t="s">
        <v>15</v>
      </c>
      <c r="Q35" s="24" t="s">
        <v>16</v>
      </c>
      <c r="R35" s="24" t="s">
        <v>17</v>
      </c>
      <c r="S35" s="24" t="s">
        <v>18</v>
      </c>
      <c r="T35" s="24" t="s">
        <v>19</v>
      </c>
      <c r="U35" s="25" t="s">
        <v>20</v>
      </c>
    </row>
    <row r="36" spans="1:21" x14ac:dyDescent="0.35">
      <c r="A36" s="2" t="s">
        <v>99</v>
      </c>
      <c r="B36" s="8">
        <v>13.26</v>
      </c>
      <c r="C36" s="17">
        <f>SUM($B$36*$B$35/C35)</f>
        <v>13.957894736842105</v>
      </c>
      <c r="D36" s="17">
        <f t="shared" ref="D36:U36" si="22">SUM($B$36*$B$35/D35)</f>
        <v>14.733333333333333</v>
      </c>
      <c r="E36" s="17">
        <f t="shared" si="22"/>
        <v>15.6</v>
      </c>
      <c r="F36" s="17">
        <f t="shared" si="22"/>
        <v>16.574999999999999</v>
      </c>
      <c r="G36" s="17">
        <f t="shared" si="22"/>
        <v>17.68</v>
      </c>
      <c r="H36" s="17">
        <f t="shared" si="22"/>
        <v>18.942857142857143</v>
      </c>
      <c r="I36" s="17">
        <f t="shared" si="22"/>
        <v>20.399999999999999</v>
      </c>
      <c r="J36" s="17">
        <f t="shared" si="22"/>
        <v>22.1</v>
      </c>
      <c r="K36" s="17">
        <f t="shared" si="22"/>
        <v>24.109090909090906</v>
      </c>
      <c r="L36" s="17">
        <f t="shared" si="22"/>
        <v>26.52</v>
      </c>
      <c r="M36" s="17">
        <f t="shared" si="22"/>
        <v>29.466666666666665</v>
      </c>
      <c r="N36" s="17">
        <f t="shared" si="22"/>
        <v>33.15</v>
      </c>
      <c r="O36" s="17">
        <f t="shared" si="22"/>
        <v>37.885714285714286</v>
      </c>
      <c r="P36" s="17">
        <f t="shared" si="22"/>
        <v>44.2</v>
      </c>
      <c r="Q36" s="17">
        <f t="shared" si="22"/>
        <v>53.04</v>
      </c>
      <c r="R36" s="17">
        <f t="shared" si="22"/>
        <v>66.3</v>
      </c>
      <c r="S36" s="17">
        <f t="shared" si="22"/>
        <v>88.4</v>
      </c>
      <c r="T36" s="17">
        <f t="shared" si="22"/>
        <v>132.6</v>
      </c>
      <c r="U36" s="17">
        <f t="shared" si="22"/>
        <v>265.2</v>
      </c>
    </row>
    <row r="37" spans="1:21" x14ac:dyDescent="0.35">
      <c r="A37" s="2" t="s">
        <v>100</v>
      </c>
      <c r="B37" s="8">
        <v>12.18</v>
      </c>
      <c r="C37" s="17">
        <f>SUM($B$37*$B$35/C35)</f>
        <v>12.821052631578947</v>
      </c>
      <c r="D37" s="17">
        <f t="shared" ref="D37:U37" si="23">SUM($B$37*$B$35/D35)</f>
        <v>13.533333333333333</v>
      </c>
      <c r="E37" s="17">
        <f t="shared" si="23"/>
        <v>14.329411764705883</v>
      </c>
      <c r="F37" s="17">
        <f t="shared" si="23"/>
        <v>15.225</v>
      </c>
      <c r="G37" s="17">
        <f t="shared" si="23"/>
        <v>16.239999999999998</v>
      </c>
      <c r="H37" s="17">
        <f t="shared" si="23"/>
        <v>17.400000000000002</v>
      </c>
      <c r="I37" s="17">
        <f t="shared" si="23"/>
        <v>18.738461538461536</v>
      </c>
      <c r="J37" s="17">
        <f t="shared" si="23"/>
        <v>20.3</v>
      </c>
      <c r="K37" s="17">
        <f t="shared" si="23"/>
        <v>22.145454545454545</v>
      </c>
      <c r="L37" s="17">
        <f t="shared" si="23"/>
        <v>24.36</v>
      </c>
      <c r="M37" s="17">
        <f t="shared" si="23"/>
        <v>27.066666666666666</v>
      </c>
      <c r="N37" s="17">
        <f t="shared" si="23"/>
        <v>30.45</v>
      </c>
      <c r="O37" s="17">
        <f t="shared" si="23"/>
        <v>34.800000000000004</v>
      </c>
      <c r="P37" s="17">
        <f t="shared" si="23"/>
        <v>40.6</v>
      </c>
      <c r="Q37" s="17">
        <f t="shared" si="23"/>
        <v>48.72</v>
      </c>
      <c r="R37" s="17">
        <f t="shared" si="23"/>
        <v>60.9</v>
      </c>
      <c r="S37" s="17">
        <f t="shared" si="23"/>
        <v>81.2</v>
      </c>
      <c r="T37" s="17">
        <f t="shared" si="23"/>
        <v>121.8</v>
      </c>
      <c r="U37" s="17">
        <f t="shared" si="23"/>
        <v>243.6</v>
      </c>
    </row>
    <row r="38" spans="1:21" x14ac:dyDescent="0.35">
      <c r="A38" s="2" t="s">
        <v>101</v>
      </c>
      <c r="B38" s="8">
        <v>12.18</v>
      </c>
      <c r="C38" s="17">
        <f>SUM($B$38*$B$35/C35)</f>
        <v>12.821052631578947</v>
      </c>
      <c r="D38" s="17">
        <f t="shared" ref="D38:U38" si="24">SUM($B$38*$B$35/D35)</f>
        <v>13.533333333333333</v>
      </c>
      <c r="E38" s="17">
        <f>SUM($B$38*$B$35/E35)</f>
        <v>14.329411764705883</v>
      </c>
      <c r="F38" s="17">
        <f t="shared" si="24"/>
        <v>15.225</v>
      </c>
      <c r="G38" s="17">
        <f t="shared" si="24"/>
        <v>16.239999999999998</v>
      </c>
      <c r="H38" s="17">
        <f t="shared" si="24"/>
        <v>17.400000000000002</v>
      </c>
      <c r="I38" s="17">
        <f t="shared" si="24"/>
        <v>18.738461538461536</v>
      </c>
      <c r="J38" s="17">
        <f t="shared" si="24"/>
        <v>20.3</v>
      </c>
      <c r="K38" s="17">
        <f t="shared" si="24"/>
        <v>22.145454545454545</v>
      </c>
      <c r="L38" s="17">
        <f t="shared" si="24"/>
        <v>24.36</v>
      </c>
      <c r="M38" s="17">
        <f t="shared" si="24"/>
        <v>27.066666666666666</v>
      </c>
      <c r="N38" s="17">
        <f t="shared" si="24"/>
        <v>30.45</v>
      </c>
      <c r="O38" s="17">
        <f t="shared" si="24"/>
        <v>34.800000000000004</v>
      </c>
      <c r="P38" s="17">
        <f t="shared" si="24"/>
        <v>40.6</v>
      </c>
      <c r="Q38" s="17">
        <f t="shared" si="24"/>
        <v>48.72</v>
      </c>
      <c r="R38" s="17">
        <f t="shared" si="24"/>
        <v>60.9</v>
      </c>
      <c r="S38" s="17">
        <f t="shared" si="24"/>
        <v>81.2</v>
      </c>
      <c r="T38" s="17">
        <f t="shared" si="24"/>
        <v>121.8</v>
      </c>
      <c r="U38" s="17">
        <f t="shared" si="24"/>
        <v>243.6</v>
      </c>
    </row>
    <row r="39" spans="1:21" x14ac:dyDescent="0.35">
      <c r="A39" s="2" t="s">
        <v>102</v>
      </c>
      <c r="B39" s="8">
        <v>12.18</v>
      </c>
      <c r="C39" s="17">
        <v>12.821052631578947</v>
      </c>
      <c r="D39" s="17">
        <v>13.533333333333333</v>
      </c>
      <c r="E39" s="17">
        <v>14.329411764705901</v>
      </c>
      <c r="F39" s="17">
        <v>15.225</v>
      </c>
      <c r="G39" s="17">
        <v>16.239999999999998</v>
      </c>
      <c r="H39" s="17">
        <v>17.400000000000002</v>
      </c>
      <c r="I39" s="17">
        <v>18.738461538461536</v>
      </c>
      <c r="J39" s="17">
        <v>20.3</v>
      </c>
      <c r="K39" s="17">
        <v>22.145454545454545</v>
      </c>
      <c r="L39" s="17">
        <v>24.36</v>
      </c>
      <c r="M39" s="17">
        <v>27.066666666666666</v>
      </c>
      <c r="N39" s="17">
        <v>30.45</v>
      </c>
      <c r="O39" s="17">
        <v>34.800000000000004</v>
      </c>
      <c r="P39" s="17">
        <v>40.6</v>
      </c>
      <c r="Q39" s="17">
        <v>48.72</v>
      </c>
      <c r="R39" s="17">
        <v>60.9</v>
      </c>
      <c r="S39" s="17">
        <v>81.2</v>
      </c>
      <c r="T39" s="17">
        <v>121.8</v>
      </c>
      <c r="U39" s="17">
        <v>243.6</v>
      </c>
    </row>
    <row r="40" spans="1:21" x14ac:dyDescent="0.35">
      <c r="A40" s="2" t="s">
        <v>103</v>
      </c>
      <c r="B40" s="8">
        <v>12.18</v>
      </c>
      <c r="C40" s="17">
        <v>12.821052631578947</v>
      </c>
      <c r="D40" s="17">
        <v>13.533333333333333</v>
      </c>
      <c r="E40" s="17">
        <v>14.329411764705883</v>
      </c>
      <c r="F40" s="17">
        <v>15.225</v>
      </c>
      <c r="G40" s="17">
        <v>16.239999999999998</v>
      </c>
      <c r="H40" s="17">
        <v>17.400000000000002</v>
      </c>
      <c r="I40" s="17">
        <v>18.738461538461536</v>
      </c>
      <c r="J40" s="17">
        <v>20.3</v>
      </c>
      <c r="K40" s="17">
        <v>22.145454545454545</v>
      </c>
      <c r="L40" s="17">
        <v>24.36</v>
      </c>
      <c r="M40" s="17">
        <v>27.066666666666666</v>
      </c>
      <c r="N40" s="17">
        <v>30.45</v>
      </c>
      <c r="O40" s="17">
        <v>34.800000000000004</v>
      </c>
      <c r="P40" s="17">
        <v>40.6</v>
      </c>
      <c r="Q40" s="17">
        <v>48.72</v>
      </c>
      <c r="R40" s="17">
        <v>60.9</v>
      </c>
      <c r="S40" s="17">
        <v>81.2</v>
      </c>
      <c r="T40" s="17">
        <v>121.8</v>
      </c>
      <c r="U40" s="17">
        <v>243.6</v>
      </c>
    </row>
    <row r="41" spans="1:21" x14ac:dyDescent="0.35">
      <c r="A41" s="2" t="s">
        <v>104</v>
      </c>
      <c r="B41" s="8">
        <v>12.18</v>
      </c>
      <c r="C41" s="17">
        <v>12.821052631578947</v>
      </c>
      <c r="D41" s="17">
        <v>13.533333333333333</v>
      </c>
      <c r="E41" s="17">
        <v>14.329411764705883</v>
      </c>
      <c r="F41" s="17">
        <v>15.225</v>
      </c>
      <c r="G41" s="17">
        <v>16.239999999999998</v>
      </c>
      <c r="H41" s="17">
        <v>17.400000000000002</v>
      </c>
      <c r="I41" s="17">
        <v>18.738461538461536</v>
      </c>
      <c r="J41" s="17">
        <v>20.3</v>
      </c>
      <c r="K41" s="17">
        <v>22.145454545454545</v>
      </c>
      <c r="L41" s="17">
        <v>24.36</v>
      </c>
      <c r="M41" s="17">
        <v>27.066666666666666</v>
      </c>
      <c r="N41" s="17">
        <v>30.45</v>
      </c>
      <c r="O41" s="17">
        <v>34.800000000000004</v>
      </c>
      <c r="P41" s="17">
        <v>40.6</v>
      </c>
      <c r="Q41" s="17">
        <v>48.72</v>
      </c>
      <c r="R41" s="17">
        <v>60.9</v>
      </c>
      <c r="S41" s="17">
        <v>81.2</v>
      </c>
      <c r="T41" s="17">
        <v>121.8</v>
      </c>
      <c r="U41" s="17">
        <v>243.6</v>
      </c>
    </row>
    <row r="42" spans="1:21" x14ac:dyDescent="0.35">
      <c r="A42" s="2" t="s">
        <v>105</v>
      </c>
      <c r="B42" s="8">
        <v>12.18</v>
      </c>
      <c r="C42" s="17">
        <v>12.821052631578947</v>
      </c>
      <c r="D42" s="17">
        <v>13.533333333333333</v>
      </c>
      <c r="E42" s="17">
        <v>14.329411764705883</v>
      </c>
      <c r="F42" s="17">
        <v>15.225</v>
      </c>
      <c r="G42" s="17">
        <v>16.239999999999998</v>
      </c>
      <c r="H42" s="17">
        <v>17.400000000000002</v>
      </c>
      <c r="I42" s="17">
        <v>18.738461538461536</v>
      </c>
      <c r="J42" s="17">
        <v>20.3</v>
      </c>
      <c r="K42" s="17">
        <v>22.145454545454545</v>
      </c>
      <c r="L42" s="17">
        <v>24.36</v>
      </c>
      <c r="M42" s="17">
        <v>27.066666666666666</v>
      </c>
      <c r="N42" s="17">
        <v>30.45</v>
      </c>
      <c r="O42" s="17">
        <v>34.800000000000004</v>
      </c>
      <c r="P42" s="17">
        <v>40.6</v>
      </c>
      <c r="Q42" s="17">
        <v>48.72</v>
      </c>
      <c r="R42" s="17">
        <v>60.9</v>
      </c>
      <c r="S42" s="17">
        <v>81.2</v>
      </c>
      <c r="T42" s="17">
        <v>121.8</v>
      </c>
      <c r="U42" s="17">
        <v>243.6</v>
      </c>
    </row>
    <row r="43" spans="1:21" x14ac:dyDescent="0.35">
      <c r="A43" s="2" t="s">
        <v>106</v>
      </c>
      <c r="B43" s="8">
        <v>12.18</v>
      </c>
      <c r="C43" s="17">
        <v>12.821052631578947</v>
      </c>
      <c r="D43" s="17">
        <v>13.533333333333333</v>
      </c>
      <c r="E43" s="17">
        <v>14.329411764705883</v>
      </c>
      <c r="F43" s="17">
        <v>15.225</v>
      </c>
      <c r="G43" s="17">
        <v>16.239999999999998</v>
      </c>
      <c r="H43" s="17">
        <v>17.400000000000002</v>
      </c>
      <c r="I43" s="17">
        <v>18.738461538461536</v>
      </c>
      <c r="J43" s="17">
        <v>20.3</v>
      </c>
      <c r="K43" s="17">
        <v>22.145454545454545</v>
      </c>
      <c r="L43" s="17">
        <v>24.36</v>
      </c>
      <c r="M43" s="17">
        <v>27.066666666666666</v>
      </c>
      <c r="N43" s="17">
        <v>30.45</v>
      </c>
      <c r="O43" s="17">
        <v>34.800000000000004</v>
      </c>
      <c r="P43" s="17">
        <v>40.6</v>
      </c>
      <c r="Q43" s="17">
        <v>48.72</v>
      </c>
      <c r="R43" s="17">
        <v>60.9</v>
      </c>
      <c r="S43" s="17">
        <v>81.2</v>
      </c>
      <c r="T43" s="17">
        <v>121.8</v>
      </c>
      <c r="U43" s="17">
        <v>243.6</v>
      </c>
    </row>
    <row r="44" spans="1:21" x14ac:dyDescent="0.35">
      <c r="A44" s="2" t="s">
        <v>107</v>
      </c>
      <c r="B44" s="8">
        <v>12.18</v>
      </c>
      <c r="C44" s="17">
        <v>12.821052631578947</v>
      </c>
      <c r="D44" s="17">
        <v>13.533333333333299</v>
      </c>
      <c r="E44" s="17">
        <v>14.329411764705883</v>
      </c>
      <c r="F44" s="17">
        <v>15.225</v>
      </c>
      <c r="G44" s="17">
        <v>16.239999999999998</v>
      </c>
      <c r="H44" s="17">
        <v>17.400000000000002</v>
      </c>
      <c r="I44" s="17">
        <v>18.738461538461536</v>
      </c>
      <c r="J44" s="17">
        <v>20.3</v>
      </c>
      <c r="K44" s="17">
        <v>22.145454545454545</v>
      </c>
      <c r="L44" s="17">
        <v>24.36</v>
      </c>
      <c r="M44" s="17">
        <v>27.066666666666666</v>
      </c>
      <c r="N44" s="17">
        <v>30.45</v>
      </c>
      <c r="O44" s="17">
        <v>34.800000000000004</v>
      </c>
      <c r="P44" s="17">
        <v>40.6</v>
      </c>
      <c r="Q44" s="17">
        <v>48.72</v>
      </c>
      <c r="R44" s="17">
        <v>60.9</v>
      </c>
      <c r="S44" s="17">
        <v>81.2</v>
      </c>
      <c r="T44" s="17">
        <v>121.8</v>
      </c>
      <c r="U44" s="17">
        <v>243.6</v>
      </c>
    </row>
    <row r="45" spans="1:21" x14ac:dyDescent="0.35">
      <c r="A45" s="2" t="s">
        <v>108</v>
      </c>
      <c r="B45" s="8">
        <v>12.18</v>
      </c>
      <c r="C45" s="17">
        <v>12.821052631578947</v>
      </c>
      <c r="D45" s="17">
        <v>13.533333333333333</v>
      </c>
      <c r="E45" s="17">
        <v>14.329411764705883</v>
      </c>
      <c r="F45" s="17">
        <v>15.225</v>
      </c>
      <c r="G45" s="17">
        <v>16.239999999999998</v>
      </c>
      <c r="H45" s="17">
        <v>17.400000000000002</v>
      </c>
      <c r="I45" s="17">
        <v>18.738461538461536</v>
      </c>
      <c r="J45" s="17">
        <v>20.3</v>
      </c>
      <c r="K45" s="17">
        <v>22.145454545454545</v>
      </c>
      <c r="L45" s="17">
        <v>24.36</v>
      </c>
      <c r="M45" s="17">
        <v>27.066666666666698</v>
      </c>
      <c r="N45" s="17">
        <v>30.45</v>
      </c>
      <c r="O45" s="17">
        <v>34.800000000000004</v>
      </c>
      <c r="P45" s="17">
        <v>40.6</v>
      </c>
      <c r="Q45" s="17">
        <v>48.72</v>
      </c>
      <c r="R45" s="17">
        <v>60.9</v>
      </c>
      <c r="S45" s="17">
        <v>81.2</v>
      </c>
      <c r="T45" s="17">
        <v>121.8</v>
      </c>
      <c r="U45" s="17">
        <v>243.6</v>
      </c>
    </row>
    <row r="46" spans="1:21" x14ac:dyDescent="0.35">
      <c r="A46" s="2" t="s">
        <v>109</v>
      </c>
      <c r="B46" s="8">
        <v>15.26</v>
      </c>
      <c r="C46" s="17">
        <f t="shared" ref="C46:U46" si="25">SUM($B$46*$B$1/C1)</f>
        <v>16.063157894736843</v>
      </c>
      <c r="D46" s="17">
        <f t="shared" si="25"/>
        <v>16.955555555555556</v>
      </c>
      <c r="E46" s="17">
        <f t="shared" si="25"/>
        <v>17.952941176470588</v>
      </c>
      <c r="F46" s="17">
        <f t="shared" si="25"/>
        <v>19.074999999999999</v>
      </c>
      <c r="G46" s="17">
        <f t="shared" si="25"/>
        <v>20.346666666666668</v>
      </c>
      <c r="H46" s="17">
        <f t="shared" si="25"/>
        <v>21.8</v>
      </c>
      <c r="I46" s="17">
        <f t="shared" si="25"/>
        <v>23.476923076923075</v>
      </c>
      <c r="J46" s="17">
        <f t="shared" si="25"/>
        <v>25.433333333333334</v>
      </c>
      <c r="K46" s="17">
        <f t="shared" si="25"/>
        <v>27.745454545454542</v>
      </c>
      <c r="L46" s="17">
        <f t="shared" si="25"/>
        <v>30.52</v>
      </c>
      <c r="M46" s="17">
        <f t="shared" si="25"/>
        <v>33.911111111111111</v>
      </c>
      <c r="N46" s="17">
        <f t="shared" si="25"/>
        <v>38.15</v>
      </c>
      <c r="O46" s="17">
        <f t="shared" si="25"/>
        <v>43.6</v>
      </c>
      <c r="P46" s="17">
        <f t="shared" si="25"/>
        <v>50.866666666666667</v>
      </c>
      <c r="Q46" s="17">
        <f t="shared" si="25"/>
        <v>61.04</v>
      </c>
      <c r="R46" s="17">
        <f t="shared" si="25"/>
        <v>76.3</v>
      </c>
      <c r="S46" s="17">
        <f t="shared" si="25"/>
        <v>101.73333333333333</v>
      </c>
      <c r="T46" s="17">
        <f t="shared" si="25"/>
        <v>152.6</v>
      </c>
      <c r="U46" s="17">
        <f t="shared" si="25"/>
        <v>305.2</v>
      </c>
    </row>
    <row r="47" spans="1:21" x14ac:dyDescent="0.35">
      <c r="A47" s="2" t="s">
        <v>110</v>
      </c>
      <c r="B47" s="8">
        <v>15.25</v>
      </c>
      <c r="C47" s="17">
        <f t="shared" ref="C47:S47" si="26">SUM($B$47*$B$1/C1)</f>
        <v>16.05263157894737</v>
      </c>
      <c r="D47" s="17">
        <f t="shared" si="26"/>
        <v>16.944444444444443</v>
      </c>
      <c r="E47" s="17">
        <f t="shared" si="26"/>
        <v>17.941176470588236</v>
      </c>
      <c r="F47" s="17">
        <f t="shared" si="26"/>
        <v>19.0625</v>
      </c>
      <c r="G47" s="17">
        <f t="shared" si="26"/>
        <v>20.333333333333332</v>
      </c>
      <c r="H47" s="17">
        <f t="shared" si="26"/>
        <v>21.785714285714288</v>
      </c>
      <c r="I47" s="17">
        <f t="shared" si="26"/>
        <v>23.46153846153846</v>
      </c>
      <c r="J47" s="17">
        <f t="shared" si="26"/>
        <v>25.416666666666668</v>
      </c>
      <c r="K47" s="17">
        <f t="shared" si="26"/>
        <v>27.727272727272727</v>
      </c>
      <c r="L47" s="17">
        <f t="shared" si="26"/>
        <v>30.5</v>
      </c>
      <c r="M47" s="17">
        <f t="shared" si="26"/>
        <v>33.888888888888886</v>
      </c>
      <c r="N47" s="17">
        <f t="shared" si="26"/>
        <v>38.125</v>
      </c>
      <c r="O47" s="17">
        <f t="shared" si="26"/>
        <v>43.571428571428577</v>
      </c>
      <c r="P47" s="17">
        <f t="shared" si="26"/>
        <v>50.833333333333336</v>
      </c>
      <c r="Q47" s="17">
        <f t="shared" si="26"/>
        <v>61</v>
      </c>
      <c r="R47" s="17">
        <f t="shared" si="26"/>
        <v>76.25</v>
      </c>
      <c r="S47" s="17">
        <f t="shared" si="26"/>
        <v>101.66666666666667</v>
      </c>
      <c r="T47" s="17">
        <f>SUM(S47*S1/T1)</f>
        <v>152.5</v>
      </c>
      <c r="U47" s="17">
        <f>SUM(T47*T1/U1)</f>
        <v>305</v>
      </c>
    </row>
    <row r="48" spans="1:21" x14ac:dyDescent="0.35">
      <c r="A48" s="2" t="s">
        <v>111</v>
      </c>
      <c r="B48" s="8">
        <v>13.26</v>
      </c>
      <c r="C48" s="17">
        <f t="shared" ref="C48:U48" si="27">SUM($B$48*$B$1/C1)</f>
        <v>13.957894736842105</v>
      </c>
      <c r="D48" s="17">
        <f t="shared" si="27"/>
        <v>14.733333333333333</v>
      </c>
      <c r="E48" s="17">
        <f t="shared" si="27"/>
        <v>15.6</v>
      </c>
      <c r="F48" s="17">
        <f t="shared" si="27"/>
        <v>16.574999999999999</v>
      </c>
      <c r="G48" s="17">
        <f t="shared" si="27"/>
        <v>17.68</v>
      </c>
      <c r="H48" s="17">
        <f t="shared" si="27"/>
        <v>18.942857142857143</v>
      </c>
      <c r="I48" s="17">
        <f t="shared" si="27"/>
        <v>20.399999999999999</v>
      </c>
      <c r="J48" s="17">
        <f t="shared" si="27"/>
        <v>22.1</v>
      </c>
      <c r="K48" s="17">
        <f t="shared" si="27"/>
        <v>24.109090909090906</v>
      </c>
      <c r="L48" s="17">
        <f t="shared" si="27"/>
        <v>26.52</v>
      </c>
      <c r="M48" s="17">
        <f t="shared" si="27"/>
        <v>29.466666666666665</v>
      </c>
      <c r="N48" s="17">
        <f t="shared" si="27"/>
        <v>33.15</v>
      </c>
      <c r="O48" s="17">
        <f t="shared" si="27"/>
        <v>37.885714285714286</v>
      </c>
      <c r="P48" s="17">
        <f t="shared" si="27"/>
        <v>44.2</v>
      </c>
      <c r="Q48" s="17">
        <f t="shared" si="27"/>
        <v>53.04</v>
      </c>
      <c r="R48" s="17">
        <f t="shared" si="27"/>
        <v>66.3</v>
      </c>
      <c r="S48" s="17">
        <f t="shared" si="27"/>
        <v>88.4</v>
      </c>
      <c r="T48" s="17">
        <f t="shared" si="27"/>
        <v>132.6</v>
      </c>
      <c r="U48" s="17">
        <f t="shared" si="27"/>
        <v>265.2</v>
      </c>
    </row>
    <row r="49" spans="1:21" x14ac:dyDescent="0.35">
      <c r="A49" s="2" t="s">
        <v>112</v>
      </c>
      <c r="B49" s="8">
        <v>15.26</v>
      </c>
      <c r="C49" s="17">
        <f t="shared" ref="C49:U49" si="28">SUM($B$49*$B$1/C1)</f>
        <v>16.063157894736843</v>
      </c>
      <c r="D49" s="17">
        <f t="shared" si="28"/>
        <v>16.955555555555556</v>
      </c>
      <c r="E49" s="17">
        <f t="shared" si="28"/>
        <v>17.952941176470588</v>
      </c>
      <c r="F49" s="17">
        <f t="shared" si="28"/>
        <v>19.074999999999999</v>
      </c>
      <c r="G49" s="17">
        <f t="shared" si="28"/>
        <v>20.346666666666668</v>
      </c>
      <c r="H49" s="17">
        <f t="shared" si="28"/>
        <v>21.8</v>
      </c>
      <c r="I49" s="17">
        <f t="shared" si="28"/>
        <v>23.476923076923075</v>
      </c>
      <c r="J49" s="17">
        <f t="shared" si="28"/>
        <v>25.433333333333334</v>
      </c>
      <c r="K49" s="17">
        <f t="shared" si="28"/>
        <v>27.745454545454542</v>
      </c>
      <c r="L49" s="17">
        <f t="shared" si="28"/>
        <v>30.52</v>
      </c>
      <c r="M49" s="17">
        <f t="shared" si="28"/>
        <v>33.911111111111111</v>
      </c>
      <c r="N49" s="17">
        <f t="shared" si="28"/>
        <v>38.15</v>
      </c>
      <c r="O49" s="17">
        <f t="shared" si="28"/>
        <v>43.6</v>
      </c>
      <c r="P49" s="17">
        <f t="shared" si="28"/>
        <v>50.866666666666667</v>
      </c>
      <c r="Q49" s="17">
        <f t="shared" si="28"/>
        <v>61.04</v>
      </c>
      <c r="R49" s="17">
        <f t="shared" si="28"/>
        <v>76.3</v>
      </c>
      <c r="S49" s="17">
        <f t="shared" si="28"/>
        <v>101.73333333333333</v>
      </c>
      <c r="T49" s="17">
        <f t="shared" si="28"/>
        <v>152.6</v>
      </c>
      <c r="U49" s="17">
        <f t="shared" si="28"/>
        <v>305.2</v>
      </c>
    </row>
    <row r="50" spans="1:21" x14ac:dyDescent="0.35">
      <c r="A50" s="2" t="s">
        <v>113</v>
      </c>
      <c r="B50" s="8">
        <v>15.26</v>
      </c>
      <c r="C50" s="17">
        <f t="shared" ref="C50:U50" si="29">SUM($B$50*$B$1/C1)</f>
        <v>16.063157894736843</v>
      </c>
      <c r="D50" s="17">
        <f t="shared" si="29"/>
        <v>16.955555555555556</v>
      </c>
      <c r="E50" s="17">
        <f t="shared" si="29"/>
        <v>17.952941176470588</v>
      </c>
      <c r="F50" s="17">
        <f t="shared" si="29"/>
        <v>19.074999999999999</v>
      </c>
      <c r="G50" s="17">
        <f t="shared" si="29"/>
        <v>20.346666666666668</v>
      </c>
      <c r="H50" s="17">
        <f t="shared" si="29"/>
        <v>21.8</v>
      </c>
      <c r="I50" s="17">
        <f t="shared" si="29"/>
        <v>23.476923076923075</v>
      </c>
      <c r="J50" s="17">
        <f t="shared" si="29"/>
        <v>25.433333333333334</v>
      </c>
      <c r="K50" s="17">
        <f t="shared" si="29"/>
        <v>27.745454545454542</v>
      </c>
      <c r="L50" s="17">
        <f t="shared" si="29"/>
        <v>30.52</v>
      </c>
      <c r="M50" s="17">
        <f t="shared" si="29"/>
        <v>33.911111111111111</v>
      </c>
      <c r="N50" s="17">
        <f t="shared" si="29"/>
        <v>38.15</v>
      </c>
      <c r="O50" s="17">
        <f t="shared" si="29"/>
        <v>43.6</v>
      </c>
      <c r="P50" s="17">
        <f t="shared" si="29"/>
        <v>50.866666666666667</v>
      </c>
      <c r="Q50" s="17">
        <f t="shared" si="29"/>
        <v>61.04</v>
      </c>
      <c r="R50" s="17">
        <f t="shared" si="29"/>
        <v>76.3</v>
      </c>
      <c r="S50" s="17">
        <f t="shared" si="29"/>
        <v>101.73333333333333</v>
      </c>
      <c r="T50" s="17">
        <f t="shared" si="29"/>
        <v>152.6</v>
      </c>
      <c r="U50" s="17">
        <f t="shared" si="29"/>
        <v>305.2</v>
      </c>
    </row>
    <row r="51" spans="1:21" x14ac:dyDescent="0.35">
      <c r="A51" s="2" t="s">
        <v>114</v>
      </c>
      <c r="B51" s="8">
        <v>15.26</v>
      </c>
      <c r="C51" s="17">
        <f t="shared" ref="C51:U51" si="30">SUM($B$51*$B$1/C1)</f>
        <v>16.063157894736843</v>
      </c>
      <c r="D51" s="17">
        <f t="shared" si="30"/>
        <v>16.955555555555556</v>
      </c>
      <c r="E51" s="17">
        <f t="shared" si="30"/>
        <v>17.952941176470588</v>
      </c>
      <c r="F51" s="17">
        <f t="shared" si="30"/>
        <v>19.074999999999999</v>
      </c>
      <c r="G51" s="17">
        <f t="shared" si="30"/>
        <v>20.346666666666668</v>
      </c>
      <c r="H51" s="17">
        <f t="shared" si="30"/>
        <v>21.8</v>
      </c>
      <c r="I51" s="17">
        <f t="shared" si="30"/>
        <v>23.476923076923075</v>
      </c>
      <c r="J51" s="17">
        <f t="shared" si="30"/>
        <v>25.433333333333334</v>
      </c>
      <c r="K51" s="17">
        <f t="shared" si="30"/>
        <v>27.745454545454542</v>
      </c>
      <c r="L51" s="17">
        <f t="shared" si="30"/>
        <v>30.52</v>
      </c>
      <c r="M51" s="17">
        <f t="shared" si="30"/>
        <v>33.911111111111111</v>
      </c>
      <c r="N51" s="17">
        <f t="shared" si="30"/>
        <v>38.15</v>
      </c>
      <c r="O51" s="17">
        <f t="shared" si="30"/>
        <v>43.6</v>
      </c>
      <c r="P51" s="17">
        <f t="shared" si="30"/>
        <v>50.866666666666667</v>
      </c>
      <c r="Q51" s="17">
        <f t="shared" si="30"/>
        <v>61.04</v>
      </c>
      <c r="R51" s="17">
        <f t="shared" si="30"/>
        <v>76.3</v>
      </c>
      <c r="S51" s="17">
        <f t="shared" si="30"/>
        <v>101.73333333333333</v>
      </c>
      <c r="T51" s="17">
        <f t="shared" si="30"/>
        <v>152.6</v>
      </c>
      <c r="U51" s="17">
        <f t="shared" si="30"/>
        <v>305.2</v>
      </c>
    </row>
    <row r="52" spans="1:21" x14ac:dyDescent="0.35">
      <c r="A52" s="2" t="s">
        <v>115</v>
      </c>
      <c r="B52" s="8">
        <v>15.25</v>
      </c>
      <c r="C52" s="17">
        <f t="shared" ref="C52:U52" si="31">SUM($B$52*$B$1/C1)</f>
        <v>16.05263157894737</v>
      </c>
      <c r="D52" s="17">
        <f t="shared" si="31"/>
        <v>16.944444444444443</v>
      </c>
      <c r="E52" s="17">
        <f t="shared" si="31"/>
        <v>17.941176470588236</v>
      </c>
      <c r="F52" s="17">
        <f t="shared" si="31"/>
        <v>19.0625</v>
      </c>
      <c r="G52" s="17">
        <f t="shared" si="31"/>
        <v>20.333333333333332</v>
      </c>
      <c r="H52" s="17">
        <f t="shared" si="31"/>
        <v>21.785714285714288</v>
      </c>
      <c r="I52" s="17">
        <f t="shared" si="31"/>
        <v>23.46153846153846</v>
      </c>
      <c r="J52" s="17">
        <f t="shared" si="31"/>
        <v>25.416666666666668</v>
      </c>
      <c r="K52" s="17">
        <f t="shared" si="31"/>
        <v>27.727272727272727</v>
      </c>
      <c r="L52" s="17">
        <f t="shared" si="31"/>
        <v>30.5</v>
      </c>
      <c r="M52" s="17">
        <f t="shared" si="31"/>
        <v>33.888888888888886</v>
      </c>
      <c r="N52" s="17">
        <f t="shared" si="31"/>
        <v>38.125</v>
      </c>
      <c r="O52" s="17">
        <f t="shared" si="31"/>
        <v>43.571428571428577</v>
      </c>
      <c r="P52" s="17">
        <f t="shared" si="31"/>
        <v>50.833333333333336</v>
      </c>
      <c r="Q52" s="17">
        <f t="shared" si="31"/>
        <v>61</v>
      </c>
      <c r="R52" s="17">
        <f t="shared" si="31"/>
        <v>76.25</v>
      </c>
      <c r="S52" s="17">
        <f t="shared" si="31"/>
        <v>101.66666666666667</v>
      </c>
      <c r="T52" s="17">
        <f t="shared" si="31"/>
        <v>152.5</v>
      </c>
      <c r="U52" s="17">
        <f t="shared" si="31"/>
        <v>305</v>
      </c>
    </row>
    <row r="53" spans="1:21" x14ac:dyDescent="0.35">
      <c r="A53" s="2" t="s">
        <v>116</v>
      </c>
      <c r="B53" s="8">
        <v>15.26</v>
      </c>
      <c r="C53" s="17">
        <f t="shared" ref="C53:U53" si="32">SUM($B$53*$B$1/C1)</f>
        <v>16.063157894736843</v>
      </c>
      <c r="D53" s="17">
        <f t="shared" si="32"/>
        <v>16.955555555555556</v>
      </c>
      <c r="E53" s="17">
        <f t="shared" si="32"/>
        <v>17.952941176470588</v>
      </c>
      <c r="F53" s="17">
        <f t="shared" si="32"/>
        <v>19.074999999999999</v>
      </c>
      <c r="G53" s="17">
        <f t="shared" si="32"/>
        <v>20.346666666666668</v>
      </c>
      <c r="H53" s="17">
        <f t="shared" si="32"/>
        <v>21.8</v>
      </c>
      <c r="I53" s="17">
        <f t="shared" si="32"/>
        <v>23.476923076923075</v>
      </c>
      <c r="J53" s="17">
        <f t="shared" si="32"/>
        <v>25.433333333333334</v>
      </c>
      <c r="K53" s="17">
        <f t="shared" si="32"/>
        <v>27.745454545454542</v>
      </c>
      <c r="L53" s="17">
        <f t="shared" si="32"/>
        <v>30.52</v>
      </c>
      <c r="M53" s="17">
        <f t="shared" si="32"/>
        <v>33.911111111111111</v>
      </c>
      <c r="N53" s="17">
        <f t="shared" si="32"/>
        <v>38.15</v>
      </c>
      <c r="O53" s="17">
        <f t="shared" si="32"/>
        <v>43.6</v>
      </c>
      <c r="P53" s="17">
        <f t="shared" si="32"/>
        <v>50.866666666666667</v>
      </c>
      <c r="Q53" s="17">
        <f t="shared" si="32"/>
        <v>61.04</v>
      </c>
      <c r="R53" s="17">
        <f t="shared" si="32"/>
        <v>76.3</v>
      </c>
      <c r="S53" s="17">
        <f t="shared" si="32"/>
        <v>101.73333333333333</v>
      </c>
      <c r="T53" s="17">
        <f t="shared" si="32"/>
        <v>152.6</v>
      </c>
      <c r="U53" s="17">
        <f t="shared" si="32"/>
        <v>305.2</v>
      </c>
    </row>
    <row r="54" spans="1:21" x14ac:dyDescent="0.35">
      <c r="A54" s="2" t="s">
        <v>117</v>
      </c>
      <c r="B54" s="8">
        <v>15.26</v>
      </c>
      <c r="C54" s="17">
        <f t="shared" ref="C54:U54" si="33">SUM($B$54*$B$1/C1)</f>
        <v>16.063157894736843</v>
      </c>
      <c r="D54" s="17">
        <f t="shared" si="33"/>
        <v>16.955555555555556</v>
      </c>
      <c r="E54" s="17">
        <f t="shared" si="33"/>
        <v>17.952941176470588</v>
      </c>
      <c r="F54" s="17">
        <f t="shared" si="33"/>
        <v>19.074999999999999</v>
      </c>
      <c r="G54" s="17">
        <f t="shared" si="33"/>
        <v>20.346666666666668</v>
      </c>
      <c r="H54" s="17">
        <f t="shared" si="33"/>
        <v>21.8</v>
      </c>
      <c r="I54" s="17">
        <f t="shared" si="33"/>
        <v>23.476923076923075</v>
      </c>
      <c r="J54" s="17">
        <f t="shared" si="33"/>
        <v>25.433333333333334</v>
      </c>
      <c r="K54" s="17">
        <f t="shared" si="33"/>
        <v>27.745454545454542</v>
      </c>
      <c r="L54" s="17">
        <f t="shared" si="33"/>
        <v>30.52</v>
      </c>
      <c r="M54" s="17">
        <f t="shared" si="33"/>
        <v>33.911111111111111</v>
      </c>
      <c r="N54" s="17">
        <f t="shared" si="33"/>
        <v>38.15</v>
      </c>
      <c r="O54" s="17">
        <f t="shared" si="33"/>
        <v>43.6</v>
      </c>
      <c r="P54" s="17">
        <f t="shared" si="33"/>
        <v>50.866666666666667</v>
      </c>
      <c r="Q54" s="17">
        <f t="shared" si="33"/>
        <v>61.04</v>
      </c>
      <c r="R54" s="17">
        <f t="shared" si="33"/>
        <v>76.3</v>
      </c>
      <c r="S54" s="17">
        <f t="shared" si="33"/>
        <v>101.73333333333333</v>
      </c>
      <c r="T54" s="17">
        <f t="shared" si="33"/>
        <v>152.6</v>
      </c>
      <c r="U54" s="17">
        <f t="shared" si="33"/>
        <v>305.2</v>
      </c>
    </row>
    <row r="55" spans="1:21" x14ac:dyDescent="0.35">
      <c r="A55" s="2" t="s">
        <v>118</v>
      </c>
      <c r="B55" s="8">
        <v>15.26</v>
      </c>
      <c r="C55" s="17">
        <f t="shared" ref="C55:U55" si="34">SUM($B$55*$B$1/C1)</f>
        <v>16.063157894736843</v>
      </c>
      <c r="D55" s="17">
        <f t="shared" si="34"/>
        <v>16.955555555555556</v>
      </c>
      <c r="E55" s="17">
        <f t="shared" si="34"/>
        <v>17.952941176470588</v>
      </c>
      <c r="F55" s="17">
        <f t="shared" si="34"/>
        <v>19.074999999999999</v>
      </c>
      <c r="G55" s="17">
        <f t="shared" si="34"/>
        <v>20.346666666666668</v>
      </c>
      <c r="H55" s="17">
        <f t="shared" si="34"/>
        <v>21.8</v>
      </c>
      <c r="I55" s="17">
        <f t="shared" si="34"/>
        <v>23.476923076923075</v>
      </c>
      <c r="J55" s="17">
        <f t="shared" si="34"/>
        <v>25.433333333333334</v>
      </c>
      <c r="K55" s="17">
        <f t="shared" si="34"/>
        <v>27.745454545454542</v>
      </c>
      <c r="L55" s="17">
        <f t="shared" si="34"/>
        <v>30.52</v>
      </c>
      <c r="M55" s="17">
        <f t="shared" si="34"/>
        <v>33.911111111111111</v>
      </c>
      <c r="N55" s="17">
        <f t="shared" si="34"/>
        <v>38.15</v>
      </c>
      <c r="O55" s="17">
        <f t="shared" si="34"/>
        <v>43.6</v>
      </c>
      <c r="P55" s="17">
        <f t="shared" si="34"/>
        <v>50.866666666666667</v>
      </c>
      <c r="Q55" s="17">
        <f t="shared" si="34"/>
        <v>61.04</v>
      </c>
      <c r="R55" s="17">
        <f t="shared" si="34"/>
        <v>76.3</v>
      </c>
      <c r="S55" s="17">
        <f t="shared" si="34"/>
        <v>101.73333333333333</v>
      </c>
      <c r="T55" s="17">
        <f t="shared" si="34"/>
        <v>152.6</v>
      </c>
      <c r="U55" s="17">
        <f t="shared" si="34"/>
        <v>305.2</v>
      </c>
    </row>
    <row r="56" spans="1:21" x14ac:dyDescent="0.35">
      <c r="A56" s="2" t="s">
        <v>119</v>
      </c>
      <c r="B56" s="8">
        <v>15.25</v>
      </c>
      <c r="C56" s="17">
        <f t="shared" ref="C56:U56" si="35">SUM($B$56*$B$1/C1)</f>
        <v>16.05263157894737</v>
      </c>
      <c r="D56" s="17">
        <f t="shared" si="35"/>
        <v>16.944444444444443</v>
      </c>
      <c r="E56" s="17">
        <f t="shared" si="35"/>
        <v>17.941176470588236</v>
      </c>
      <c r="F56" s="17">
        <f t="shared" si="35"/>
        <v>19.0625</v>
      </c>
      <c r="G56" s="17">
        <f t="shared" si="35"/>
        <v>20.333333333333332</v>
      </c>
      <c r="H56" s="17">
        <f t="shared" si="35"/>
        <v>21.785714285714288</v>
      </c>
      <c r="I56" s="17">
        <f t="shared" si="35"/>
        <v>23.46153846153846</v>
      </c>
      <c r="J56" s="17">
        <f t="shared" si="35"/>
        <v>25.416666666666668</v>
      </c>
      <c r="K56" s="17">
        <f t="shared" si="35"/>
        <v>27.727272727272727</v>
      </c>
      <c r="L56" s="17">
        <f t="shared" si="35"/>
        <v>30.5</v>
      </c>
      <c r="M56" s="17">
        <f t="shared" si="35"/>
        <v>33.888888888888886</v>
      </c>
      <c r="N56" s="17">
        <f t="shared" si="35"/>
        <v>38.125</v>
      </c>
      <c r="O56" s="17">
        <f t="shared" si="35"/>
        <v>43.571428571428577</v>
      </c>
      <c r="P56" s="17">
        <f t="shared" si="35"/>
        <v>50.833333333333336</v>
      </c>
      <c r="Q56" s="17">
        <f t="shared" si="35"/>
        <v>61</v>
      </c>
      <c r="R56" s="17">
        <f t="shared" si="35"/>
        <v>76.25</v>
      </c>
      <c r="S56" s="17">
        <f t="shared" si="35"/>
        <v>101.66666666666667</v>
      </c>
      <c r="T56" s="17">
        <f t="shared" si="35"/>
        <v>152.5</v>
      </c>
      <c r="U56" s="17">
        <f t="shared" si="35"/>
        <v>305</v>
      </c>
    </row>
    <row r="57" spans="1:21" x14ac:dyDescent="0.35">
      <c r="A57" s="2" t="s">
        <v>120</v>
      </c>
      <c r="B57" s="8">
        <v>15.26</v>
      </c>
      <c r="C57" s="17">
        <f t="shared" ref="C57:U57" si="36">SUM($B$57*$B$1/C1)</f>
        <v>16.063157894736843</v>
      </c>
      <c r="D57" s="17">
        <f t="shared" si="36"/>
        <v>16.955555555555556</v>
      </c>
      <c r="E57" s="17">
        <f t="shared" si="36"/>
        <v>17.952941176470588</v>
      </c>
      <c r="F57" s="17">
        <f t="shared" si="36"/>
        <v>19.074999999999999</v>
      </c>
      <c r="G57" s="17">
        <f t="shared" si="36"/>
        <v>20.346666666666668</v>
      </c>
      <c r="H57" s="17">
        <f t="shared" si="36"/>
        <v>21.8</v>
      </c>
      <c r="I57" s="17">
        <f t="shared" si="36"/>
        <v>23.476923076923075</v>
      </c>
      <c r="J57" s="17">
        <f t="shared" si="36"/>
        <v>25.433333333333334</v>
      </c>
      <c r="K57" s="17">
        <f t="shared" si="36"/>
        <v>27.745454545454542</v>
      </c>
      <c r="L57" s="17">
        <f t="shared" si="36"/>
        <v>30.52</v>
      </c>
      <c r="M57" s="17">
        <f t="shared" si="36"/>
        <v>33.911111111111111</v>
      </c>
      <c r="N57" s="17">
        <f t="shared" si="36"/>
        <v>38.15</v>
      </c>
      <c r="O57" s="17">
        <f t="shared" si="36"/>
        <v>43.6</v>
      </c>
      <c r="P57" s="17">
        <f t="shared" si="36"/>
        <v>50.866666666666667</v>
      </c>
      <c r="Q57" s="17">
        <f t="shared" si="36"/>
        <v>61.04</v>
      </c>
      <c r="R57" s="17">
        <f t="shared" si="36"/>
        <v>76.3</v>
      </c>
      <c r="S57" s="17">
        <f t="shared" si="36"/>
        <v>101.73333333333333</v>
      </c>
      <c r="T57" s="17">
        <f t="shared" si="36"/>
        <v>152.6</v>
      </c>
      <c r="U57" s="17">
        <f t="shared" si="36"/>
        <v>305.2</v>
      </c>
    </row>
    <row r="58" spans="1:21" x14ac:dyDescent="0.35">
      <c r="A58" s="2" t="s">
        <v>121</v>
      </c>
      <c r="B58" s="8">
        <v>15.25</v>
      </c>
      <c r="C58" s="17">
        <f t="shared" ref="C58:U58" si="37">SUM($B$58*$B$1/C1)</f>
        <v>16.05263157894737</v>
      </c>
      <c r="D58" s="17">
        <f t="shared" si="37"/>
        <v>16.944444444444443</v>
      </c>
      <c r="E58" s="17">
        <f t="shared" si="37"/>
        <v>17.941176470588236</v>
      </c>
      <c r="F58" s="17">
        <f t="shared" si="37"/>
        <v>19.0625</v>
      </c>
      <c r="G58" s="17">
        <f t="shared" si="37"/>
        <v>20.333333333333332</v>
      </c>
      <c r="H58" s="17">
        <f t="shared" si="37"/>
        <v>21.785714285714288</v>
      </c>
      <c r="I58" s="17">
        <f t="shared" si="37"/>
        <v>23.46153846153846</v>
      </c>
      <c r="J58" s="17">
        <f t="shared" si="37"/>
        <v>25.416666666666668</v>
      </c>
      <c r="K58" s="17">
        <f t="shared" si="37"/>
        <v>27.727272727272727</v>
      </c>
      <c r="L58" s="17">
        <f t="shared" si="37"/>
        <v>30.5</v>
      </c>
      <c r="M58" s="17">
        <f t="shared" si="37"/>
        <v>33.888888888888886</v>
      </c>
      <c r="N58" s="17">
        <f t="shared" si="37"/>
        <v>38.125</v>
      </c>
      <c r="O58" s="17">
        <f t="shared" si="37"/>
        <v>43.571428571428577</v>
      </c>
      <c r="P58" s="17">
        <f t="shared" si="37"/>
        <v>50.833333333333336</v>
      </c>
      <c r="Q58" s="17">
        <f t="shared" si="37"/>
        <v>61</v>
      </c>
      <c r="R58" s="17">
        <f t="shared" si="37"/>
        <v>76.25</v>
      </c>
      <c r="S58" s="17">
        <f t="shared" si="37"/>
        <v>101.66666666666667</v>
      </c>
      <c r="T58" s="17">
        <f t="shared" si="37"/>
        <v>152.5</v>
      </c>
      <c r="U58" s="17">
        <f t="shared" si="37"/>
        <v>305</v>
      </c>
    </row>
    <row r="59" spans="1:21" x14ac:dyDescent="0.35">
      <c r="A59" s="2" t="s">
        <v>122</v>
      </c>
      <c r="B59" s="8">
        <v>12.33</v>
      </c>
      <c r="C59" s="17">
        <f t="shared" ref="C59:U59" si="38">SUM($B$59*$B$1/C1)</f>
        <v>12.978947368421053</v>
      </c>
      <c r="D59" s="17">
        <f t="shared" si="38"/>
        <v>13.7</v>
      </c>
      <c r="E59" s="17">
        <f t="shared" si="38"/>
        <v>14.505882352941176</v>
      </c>
      <c r="F59" s="17">
        <f t="shared" si="38"/>
        <v>15.4125</v>
      </c>
      <c r="G59" s="17">
        <f t="shared" si="38"/>
        <v>16.440000000000001</v>
      </c>
      <c r="H59" s="17">
        <f t="shared" si="38"/>
        <v>17.614285714285714</v>
      </c>
      <c r="I59" s="17">
        <f t="shared" si="38"/>
        <v>18.969230769230769</v>
      </c>
      <c r="J59" s="17">
        <f t="shared" si="38"/>
        <v>20.55</v>
      </c>
      <c r="K59" s="17">
        <f t="shared" si="38"/>
        <v>22.418181818181818</v>
      </c>
      <c r="L59" s="17">
        <f t="shared" si="38"/>
        <v>24.66</v>
      </c>
      <c r="M59" s="17">
        <f t="shared" si="38"/>
        <v>27.4</v>
      </c>
      <c r="N59" s="17">
        <f t="shared" si="38"/>
        <v>30.824999999999999</v>
      </c>
      <c r="O59" s="17">
        <f t="shared" si="38"/>
        <v>35.228571428571428</v>
      </c>
      <c r="P59" s="17">
        <f t="shared" si="38"/>
        <v>41.1</v>
      </c>
      <c r="Q59" s="17">
        <f t="shared" si="38"/>
        <v>49.32</v>
      </c>
      <c r="R59" s="17">
        <f t="shared" si="38"/>
        <v>61.65</v>
      </c>
      <c r="S59" s="17">
        <f t="shared" si="38"/>
        <v>82.2</v>
      </c>
      <c r="T59" s="17">
        <f t="shared" si="38"/>
        <v>123.3</v>
      </c>
      <c r="U59" s="17">
        <f t="shared" si="38"/>
        <v>246.6</v>
      </c>
    </row>
    <row r="60" spans="1:21" x14ac:dyDescent="0.35">
      <c r="A60" s="2" t="s">
        <v>123</v>
      </c>
      <c r="B60" s="8">
        <v>14.64</v>
      </c>
      <c r="C60" s="17">
        <f t="shared" ref="C60:U60" si="39">SUM($B$60*$B$1/C1)</f>
        <v>15.410526315789475</v>
      </c>
      <c r="D60" s="17">
        <f t="shared" si="39"/>
        <v>16.266666666666666</v>
      </c>
      <c r="E60" s="17">
        <f t="shared" si="39"/>
        <v>17.223529411764709</v>
      </c>
      <c r="F60" s="17">
        <f t="shared" si="39"/>
        <v>18.3</v>
      </c>
      <c r="G60" s="17">
        <f t="shared" si="39"/>
        <v>19.52</v>
      </c>
      <c r="H60" s="17">
        <f t="shared" si="39"/>
        <v>20.914285714285718</v>
      </c>
      <c r="I60" s="17">
        <f t="shared" si="39"/>
        <v>22.523076923076925</v>
      </c>
      <c r="J60" s="17">
        <f t="shared" si="39"/>
        <v>24.400000000000002</v>
      </c>
      <c r="K60" s="17">
        <f t="shared" si="39"/>
        <v>26.618181818181817</v>
      </c>
      <c r="L60" s="17">
        <f t="shared" si="39"/>
        <v>29.28</v>
      </c>
      <c r="M60" s="17">
        <f t="shared" si="39"/>
        <v>32.533333333333331</v>
      </c>
      <c r="N60" s="17">
        <f t="shared" si="39"/>
        <v>36.6</v>
      </c>
      <c r="O60" s="17">
        <f t="shared" si="39"/>
        <v>41.828571428571436</v>
      </c>
      <c r="P60" s="17">
        <f t="shared" si="39"/>
        <v>48.800000000000004</v>
      </c>
      <c r="Q60" s="17">
        <f t="shared" si="39"/>
        <v>58.56</v>
      </c>
      <c r="R60" s="17">
        <f t="shared" si="39"/>
        <v>73.2</v>
      </c>
      <c r="S60" s="17">
        <f t="shared" si="39"/>
        <v>97.600000000000009</v>
      </c>
      <c r="T60" s="17">
        <f t="shared" si="39"/>
        <v>146.4</v>
      </c>
      <c r="U60" s="17">
        <f t="shared" si="39"/>
        <v>292.8</v>
      </c>
    </row>
    <row r="61" spans="1:21" x14ac:dyDescent="0.35">
      <c r="A61" s="2" t="s">
        <v>124</v>
      </c>
      <c r="B61" s="8">
        <v>12.33</v>
      </c>
      <c r="C61" s="17">
        <f t="shared" ref="C61:U61" si="40">SUM($B$61*$B$1/C1)</f>
        <v>12.978947368421053</v>
      </c>
      <c r="D61" s="17">
        <f t="shared" si="40"/>
        <v>13.7</v>
      </c>
      <c r="E61" s="17">
        <f t="shared" si="40"/>
        <v>14.505882352941176</v>
      </c>
      <c r="F61" s="17">
        <f t="shared" si="40"/>
        <v>15.4125</v>
      </c>
      <c r="G61" s="17">
        <f t="shared" si="40"/>
        <v>16.440000000000001</v>
      </c>
      <c r="H61" s="17">
        <f t="shared" si="40"/>
        <v>17.614285714285714</v>
      </c>
      <c r="I61" s="17">
        <f t="shared" si="40"/>
        <v>18.969230769230769</v>
      </c>
      <c r="J61" s="17">
        <f t="shared" si="40"/>
        <v>20.55</v>
      </c>
      <c r="K61" s="17">
        <f t="shared" si="40"/>
        <v>22.418181818181818</v>
      </c>
      <c r="L61" s="17">
        <f t="shared" si="40"/>
        <v>24.66</v>
      </c>
      <c r="M61" s="17">
        <f t="shared" si="40"/>
        <v>27.4</v>
      </c>
      <c r="N61" s="17">
        <f t="shared" si="40"/>
        <v>30.824999999999999</v>
      </c>
      <c r="O61" s="17">
        <f t="shared" si="40"/>
        <v>35.228571428571428</v>
      </c>
      <c r="P61" s="17">
        <f t="shared" si="40"/>
        <v>41.1</v>
      </c>
      <c r="Q61" s="17">
        <f t="shared" si="40"/>
        <v>49.32</v>
      </c>
      <c r="R61" s="17">
        <f t="shared" si="40"/>
        <v>61.65</v>
      </c>
      <c r="S61" s="17">
        <f t="shared" si="40"/>
        <v>82.2</v>
      </c>
      <c r="T61" s="17">
        <f t="shared" si="40"/>
        <v>123.3</v>
      </c>
      <c r="U61" s="17">
        <f t="shared" si="40"/>
        <v>246.6</v>
      </c>
    </row>
    <row r="62" spans="1:21" x14ac:dyDescent="0.35">
      <c r="A62" s="2" t="s">
        <v>125</v>
      </c>
      <c r="B62" s="8">
        <v>14.64</v>
      </c>
      <c r="C62" s="17">
        <f t="shared" ref="C62:U62" si="41">SUM($B$62*$B$1/C1)</f>
        <v>15.410526315789475</v>
      </c>
      <c r="D62" s="17">
        <f t="shared" si="41"/>
        <v>16.266666666666666</v>
      </c>
      <c r="E62" s="17">
        <f t="shared" si="41"/>
        <v>17.223529411764709</v>
      </c>
      <c r="F62" s="17">
        <f t="shared" si="41"/>
        <v>18.3</v>
      </c>
      <c r="G62" s="17">
        <f t="shared" si="41"/>
        <v>19.52</v>
      </c>
      <c r="H62" s="17">
        <f t="shared" si="41"/>
        <v>20.914285714285718</v>
      </c>
      <c r="I62" s="17">
        <f t="shared" si="41"/>
        <v>22.523076923076925</v>
      </c>
      <c r="J62" s="17">
        <f t="shared" si="41"/>
        <v>24.400000000000002</v>
      </c>
      <c r="K62" s="17">
        <f t="shared" si="41"/>
        <v>26.618181818181817</v>
      </c>
      <c r="L62" s="17">
        <f t="shared" si="41"/>
        <v>29.28</v>
      </c>
      <c r="M62" s="17">
        <f t="shared" si="41"/>
        <v>32.533333333333331</v>
      </c>
      <c r="N62" s="17">
        <f t="shared" si="41"/>
        <v>36.6</v>
      </c>
      <c r="O62" s="17">
        <f t="shared" si="41"/>
        <v>41.828571428571436</v>
      </c>
      <c r="P62" s="17">
        <f t="shared" si="41"/>
        <v>48.800000000000004</v>
      </c>
      <c r="Q62" s="17">
        <f t="shared" si="41"/>
        <v>58.56</v>
      </c>
      <c r="R62" s="17">
        <f t="shared" si="41"/>
        <v>73.2</v>
      </c>
      <c r="S62" s="17">
        <f t="shared" si="41"/>
        <v>97.600000000000009</v>
      </c>
      <c r="T62" s="17">
        <f t="shared" si="41"/>
        <v>146.4</v>
      </c>
      <c r="U62" s="17">
        <f t="shared" si="41"/>
        <v>292.8</v>
      </c>
    </row>
    <row r="63" spans="1:21" x14ac:dyDescent="0.35">
      <c r="A63" s="2" t="s">
        <v>126</v>
      </c>
      <c r="B63" s="8">
        <v>12.33</v>
      </c>
      <c r="C63" s="17">
        <f t="shared" ref="C63:U63" si="42">SUM($B$63*$B$1/C1)</f>
        <v>12.978947368421053</v>
      </c>
      <c r="D63" s="17">
        <f t="shared" si="42"/>
        <v>13.7</v>
      </c>
      <c r="E63" s="17">
        <f t="shared" si="42"/>
        <v>14.505882352941176</v>
      </c>
      <c r="F63" s="17">
        <f t="shared" si="42"/>
        <v>15.4125</v>
      </c>
      <c r="G63" s="17">
        <f t="shared" si="42"/>
        <v>16.440000000000001</v>
      </c>
      <c r="H63" s="17">
        <f t="shared" si="42"/>
        <v>17.614285714285714</v>
      </c>
      <c r="I63" s="17">
        <f t="shared" si="42"/>
        <v>18.969230769230769</v>
      </c>
      <c r="J63" s="17">
        <f t="shared" si="42"/>
        <v>20.55</v>
      </c>
      <c r="K63" s="17">
        <f t="shared" si="42"/>
        <v>22.418181818181818</v>
      </c>
      <c r="L63" s="17">
        <f t="shared" si="42"/>
        <v>24.66</v>
      </c>
      <c r="M63" s="17">
        <f t="shared" si="42"/>
        <v>27.4</v>
      </c>
      <c r="N63" s="17">
        <f t="shared" si="42"/>
        <v>30.824999999999999</v>
      </c>
      <c r="O63" s="17">
        <f t="shared" si="42"/>
        <v>35.228571428571428</v>
      </c>
      <c r="P63" s="17">
        <f t="shared" si="42"/>
        <v>41.1</v>
      </c>
      <c r="Q63" s="17">
        <f t="shared" si="42"/>
        <v>49.32</v>
      </c>
      <c r="R63" s="17">
        <f t="shared" si="42"/>
        <v>61.65</v>
      </c>
      <c r="S63" s="17">
        <f t="shared" si="42"/>
        <v>82.2</v>
      </c>
      <c r="T63" s="17">
        <f t="shared" si="42"/>
        <v>123.3</v>
      </c>
      <c r="U63" s="17">
        <f t="shared" si="42"/>
        <v>246.6</v>
      </c>
    </row>
    <row r="64" spans="1:21" x14ac:dyDescent="0.35">
      <c r="A64" s="2" t="s">
        <v>127</v>
      </c>
      <c r="B64" s="8">
        <v>15.25</v>
      </c>
      <c r="C64" s="17">
        <f>SUM($B$64*$B$1/C1)</f>
        <v>16.05263157894737</v>
      </c>
      <c r="D64" s="17">
        <f t="shared" ref="D64:U64" si="43">SUM($B$64*$B$1/D1)</f>
        <v>16.944444444444443</v>
      </c>
      <c r="E64" s="17">
        <f t="shared" si="43"/>
        <v>17.941176470588236</v>
      </c>
      <c r="F64" s="17">
        <f t="shared" si="43"/>
        <v>19.0625</v>
      </c>
      <c r="G64" s="17">
        <f t="shared" si="43"/>
        <v>20.333333333333332</v>
      </c>
      <c r="H64" s="17">
        <f t="shared" si="43"/>
        <v>21.785714285714288</v>
      </c>
      <c r="I64" s="17">
        <f t="shared" si="43"/>
        <v>23.46153846153846</v>
      </c>
      <c r="J64" s="17">
        <f t="shared" si="43"/>
        <v>25.416666666666668</v>
      </c>
      <c r="K64" s="17">
        <f t="shared" si="43"/>
        <v>27.727272727272727</v>
      </c>
      <c r="L64" s="17">
        <f t="shared" si="43"/>
        <v>30.5</v>
      </c>
      <c r="M64" s="17">
        <f t="shared" si="43"/>
        <v>33.888888888888886</v>
      </c>
      <c r="N64" s="17">
        <f t="shared" si="43"/>
        <v>38.125</v>
      </c>
      <c r="O64" s="17">
        <f t="shared" si="43"/>
        <v>43.571428571428577</v>
      </c>
      <c r="P64" s="17">
        <f t="shared" si="43"/>
        <v>50.833333333333336</v>
      </c>
      <c r="Q64" s="17">
        <f t="shared" si="43"/>
        <v>61</v>
      </c>
      <c r="R64" s="17">
        <f t="shared" si="43"/>
        <v>76.25</v>
      </c>
      <c r="S64" s="17">
        <f t="shared" si="43"/>
        <v>101.66666666666667</v>
      </c>
      <c r="T64" s="17">
        <f t="shared" si="43"/>
        <v>152.5</v>
      </c>
      <c r="U64" s="17">
        <f t="shared" si="43"/>
        <v>305</v>
      </c>
    </row>
    <row r="65" spans="1:21" x14ac:dyDescent="0.35">
      <c r="A65" s="2" t="s">
        <v>128</v>
      </c>
      <c r="B65" s="8">
        <v>10.52</v>
      </c>
      <c r="C65" s="17">
        <f>SUM($B$65*$B$1/C1)</f>
        <v>11.073684210526316</v>
      </c>
      <c r="D65" s="17">
        <f>SUM($B$65*$B$1/D1)</f>
        <v>11.688888888888888</v>
      </c>
      <c r="E65" s="17">
        <f t="shared" ref="E65:U65" si="44">SUM($B$65*$B$1/E1)</f>
        <v>12.376470588235295</v>
      </c>
      <c r="F65" s="17">
        <f t="shared" si="44"/>
        <v>13.149999999999999</v>
      </c>
      <c r="G65" s="17">
        <f t="shared" si="44"/>
        <v>14.026666666666666</v>
      </c>
      <c r="H65" s="17">
        <f t="shared" si="44"/>
        <v>15.028571428571428</v>
      </c>
      <c r="I65" s="17">
        <f t="shared" si="44"/>
        <v>16.184615384615384</v>
      </c>
      <c r="J65" s="17">
        <f>SUM($B$65*$B$1/J1)</f>
        <v>17.533333333333335</v>
      </c>
      <c r="K65" s="17">
        <f t="shared" si="44"/>
        <v>19.127272727272725</v>
      </c>
      <c r="L65" s="17">
        <f t="shared" si="44"/>
        <v>21.04</v>
      </c>
      <c r="M65" s="17">
        <f t="shared" si="44"/>
        <v>23.377777777777776</v>
      </c>
      <c r="N65" s="17">
        <f t="shared" si="44"/>
        <v>26.299999999999997</v>
      </c>
      <c r="O65" s="17">
        <f t="shared" si="44"/>
        <v>30.057142857142857</v>
      </c>
      <c r="P65" s="17">
        <f t="shared" si="44"/>
        <v>35.06666666666667</v>
      </c>
      <c r="Q65" s="17">
        <f t="shared" si="44"/>
        <v>42.08</v>
      </c>
      <c r="R65" s="17">
        <f t="shared" si="44"/>
        <v>52.599999999999994</v>
      </c>
      <c r="S65" s="17">
        <f t="shared" si="44"/>
        <v>70.13333333333334</v>
      </c>
      <c r="T65" s="17">
        <f t="shared" si="44"/>
        <v>105.19999999999999</v>
      </c>
      <c r="U65" s="17">
        <f t="shared" si="44"/>
        <v>210.39999999999998</v>
      </c>
    </row>
    <row r="66" spans="1:21" x14ac:dyDescent="0.35">
      <c r="A66" s="2" t="s">
        <v>129</v>
      </c>
      <c r="B66" s="8">
        <v>10.52</v>
      </c>
      <c r="C66" s="17">
        <f>SUM($B$66*$B$1/C1)</f>
        <v>11.073684210526316</v>
      </c>
      <c r="D66" s="17">
        <f>SUM($B$66*$B$1/D1)</f>
        <v>11.688888888888888</v>
      </c>
      <c r="E66" s="17">
        <f t="shared" ref="E66:U66" si="45">SUM($B$66*$B$1/E1)</f>
        <v>12.376470588235295</v>
      </c>
      <c r="F66" s="17">
        <f t="shared" si="45"/>
        <v>13.149999999999999</v>
      </c>
      <c r="G66" s="17">
        <f t="shared" si="45"/>
        <v>14.026666666666666</v>
      </c>
      <c r="H66" s="17">
        <f t="shared" si="45"/>
        <v>15.028571428571428</v>
      </c>
      <c r="I66" s="17">
        <f t="shared" si="45"/>
        <v>16.184615384615384</v>
      </c>
      <c r="J66" s="17">
        <f t="shared" si="45"/>
        <v>17.533333333333335</v>
      </c>
      <c r="K66" s="17">
        <f t="shared" si="45"/>
        <v>19.127272727272725</v>
      </c>
      <c r="L66" s="17">
        <f t="shared" si="45"/>
        <v>21.04</v>
      </c>
      <c r="M66" s="17">
        <f t="shared" si="45"/>
        <v>23.377777777777776</v>
      </c>
      <c r="N66" s="17">
        <f t="shared" si="45"/>
        <v>26.299999999999997</v>
      </c>
      <c r="O66" s="17">
        <f t="shared" si="45"/>
        <v>30.057142857142857</v>
      </c>
      <c r="P66" s="17">
        <f t="shared" si="45"/>
        <v>35.06666666666667</v>
      </c>
      <c r="Q66" s="17">
        <f t="shared" si="45"/>
        <v>42.08</v>
      </c>
      <c r="R66" s="17">
        <f t="shared" si="45"/>
        <v>52.599999999999994</v>
      </c>
      <c r="S66" s="17">
        <f t="shared" si="45"/>
        <v>70.13333333333334</v>
      </c>
      <c r="T66" s="17">
        <f t="shared" si="45"/>
        <v>105.19999999999999</v>
      </c>
      <c r="U66" s="17">
        <f t="shared" si="45"/>
        <v>210.39999999999998</v>
      </c>
    </row>
    <row r="67" spans="1:21" x14ac:dyDescent="0.35">
      <c r="A67" s="21" t="s">
        <v>130</v>
      </c>
      <c r="B67" s="26">
        <v>12.17</v>
      </c>
      <c r="C67" s="27">
        <f>SUM($B$67*$B$1/C1)</f>
        <v>12.810526315789474</v>
      </c>
      <c r="D67" s="27">
        <f>SUM($B$67*$B$1/D1)</f>
        <v>13.522222222222222</v>
      </c>
      <c r="E67" s="27">
        <f t="shared" ref="E67:U67" si="46">SUM($B$67*$B$1/E1)</f>
        <v>14.31764705882353</v>
      </c>
      <c r="F67" s="27">
        <f t="shared" si="46"/>
        <v>15.212499999999999</v>
      </c>
      <c r="G67" s="27">
        <f t="shared" si="46"/>
        <v>16.226666666666667</v>
      </c>
      <c r="H67" s="27">
        <f t="shared" si="46"/>
        <v>17.385714285714286</v>
      </c>
      <c r="I67" s="27">
        <f t="shared" si="46"/>
        <v>18.723076923076924</v>
      </c>
      <c r="J67" s="27">
        <f t="shared" si="46"/>
        <v>20.283333333333335</v>
      </c>
      <c r="K67" s="27">
        <f t="shared" si="46"/>
        <v>22.127272727272725</v>
      </c>
      <c r="L67" s="27">
        <f t="shared" si="46"/>
        <v>24.34</v>
      </c>
      <c r="M67" s="27">
        <f t="shared" si="46"/>
        <v>27.044444444444444</v>
      </c>
      <c r="N67" s="27">
        <f t="shared" si="46"/>
        <v>30.424999999999997</v>
      </c>
      <c r="O67" s="27">
        <f t="shared" si="46"/>
        <v>34.771428571428572</v>
      </c>
      <c r="P67" s="27">
        <f t="shared" si="46"/>
        <v>40.56666666666667</v>
      </c>
      <c r="Q67" s="27">
        <f t="shared" si="46"/>
        <v>48.68</v>
      </c>
      <c r="R67" s="27">
        <f t="shared" si="46"/>
        <v>60.849999999999994</v>
      </c>
      <c r="S67" s="27">
        <f t="shared" si="46"/>
        <v>81.13333333333334</v>
      </c>
      <c r="T67" s="27">
        <f t="shared" si="46"/>
        <v>121.69999999999999</v>
      </c>
      <c r="U67" s="27">
        <f t="shared" si="46"/>
        <v>243.39999999999998</v>
      </c>
    </row>
  </sheetData>
  <mergeCells count="1">
    <mergeCell ref="A34:U3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481189-68C5-4001-8B04-81BDDCD5E5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B9F769-31CB-4EE7-B65B-CE6FDD49C9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C475A4-AE88-43A8-AEAD-739248738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Karitel</vt:lpstr>
      <vt:lpstr>RDM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Collet</dc:creator>
  <cp:keywords/>
  <dc:description/>
  <cp:lastModifiedBy>Alcione Oliveira Viana</cp:lastModifiedBy>
  <cp:revision/>
  <dcterms:created xsi:type="dcterms:W3CDTF">2017-05-03T13:32:54Z</dcterms:created>
  <dcterms:modified xsi:type="dcterms:W3CDTF">2026-07-30T13:00:10Z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