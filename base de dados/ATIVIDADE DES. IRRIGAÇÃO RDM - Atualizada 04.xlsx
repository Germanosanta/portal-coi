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threadedComments/threadedComment2.xml" ContentType="application/vnd.ms-excel.threadedcomments+xml"/>
  <Override PartName="/xl/comments15.xml" ContentType="application/vnd.openxmlformats-officedocument.spreadsheetml.comments+xml"/>
  <Override PartName="/xl/threadedComments/threadedComment3.xml" ContentType="application/vnd.ms-excel.threaded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threadedComments/threadedComment4.xml" ContentType="application/vnd.ms-excel.threadedcomments+xml"/>
  <Override PartName="/xl/comments18.xml" ContentType="application/vnd.openxmlformats-officedocument.spreadsheetml.comments+xml"/>
  <Override PartName="/xl/threadedComments/threadedComment5.xml" ContentType="application/vnd.ms-excel.threaded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threadedComments/threadedComment6.xml" ContentType="application/vnd.ms-excel.threaded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threadedComments/threadedComment7.xml" ContentType="application/vnd.ms-excel.threadedcomments+xml"/>
  <Override PartName="/xl/comments26.xml" ContentType="application/vnd.openxmlformats-officedocument.spreadsheetml.comments+xml"/>
  <Override PartName="/xl/threadedComments/threadedComment8.xml" ContentType="application/vnd.ms-excel.threadedcomments+xml"/>
  <Override PartName="/xl/comments27.xml" ContentType="application/vnd.openxmlformats-officedocument.spreadsheetml.comments+xml"/>
  <Override PartName="/xl/threadedComments/threadedComment9.xml" ContentType="application/vnd.ms-excel.threadedcomments+xml"/>
  <Override PartName="/xl/comments28.xml" ContentType="application/vnd.openxmlformats-officedocument.spreadsheetml.comments+xml"/>
  <Override PartName="/xl/threadedComments/threadedComment10.xml" ContentType="application/vnd.ms-excel.threadedcomments+xml"/>
  <Override PartName="/xl/comments29.xml" ContentType="application/vnd.openxmlformats-officedocument.spreadsheetml.comments+xml"/>
  <Override PartName="/xl/threadedComments/threadedComment11.xml" ContentType="application/vnd.ms-excel.threadedcomments+xml"/>
  <Override PartName="/xl/comments30.xml" ContentType="application/vnd.openxmlformats-officedocument.spreadsheetml.comments+xml"/>
  <Override PartName="/xl/threadedComments/threadedComment12.xml" ContentType="application/vnd.ms-excel.threaded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ATIVIDADE DE IRRIGAÇÃO/"/>
    </mc:Choice>
  </mc:AlternateContent>
  <xr:revisionPtr revIDLastSave="53" documentId="14_{98E335F8-DC75-4994-A0CA-EADE49430690}" xr6:coauthVersionLast="47" xr6:coauthVersionMax="47" xr10:uidLastSave="{596786A0-58CE-4848-9AF8-8B5709EAACD2}"/>
  <bookViews>
    <workbookView xWindow="-120" yWindow="-120" windowWidth="29040" windowHeight="15720" tabRatio="945" firstSheet="31" activeTab="31" xr2:uid="{EC931632-5ED1-4141-9A2D-663374A8D4EA}"/>
  </bookViews>
  <sheets>
    <sheet name="PIVÔ 101" sheetId="1" r:id="rId1"/>
    <sheet name="PIVÔ 102" sheetId="2" r:id="rId2"/>
    <sheet name="PIVÔ 103" sheetId="3" r:id="rId3"/>
    <sheet name="PIVÔ 104" sheetId="4" r:id="rId4"/>
    <sheet name="PIVÔ 105" sheetId="5" r:id="rId5"/>
    <sheet name="PIVÔ 106" sheetId="6" r:id="rId6"/>
    <sheet name="PIVÔ 107" sheetId="7" r:id="rId7"/>
    <sheet name="PIVÔ 108" sheetId="8" r:id="rId8"/>
    <sheet name="PIVÔ 109" sheetId="9" r:id="rId9"/>
    <sheet name="PIVÔ 110" sheetId="10" r:id="rId10"/>
    <sheet name="PIVÔ 112" sheetId="15" r:id="rId11"/>
    <sheet name="PIVÔ 113" sheetId="16" r:id="rId12"/>
    <sheet name="PIVÔ 114" sheetId="17" r:id="rId13"/>
    <sheet name="PIVÔ 115" sheetId="18" r:id="rId14"/>
    <sheet name="PIVÔ 116" sheetId="19" r:id="rId15"/>
    <sheet name="PIVÔ 117" sheetId="20" r:id="rId16"/>
    <sheet name="PIVÔ 118" sheetId="21" r:id="rId17"/>
    <sheet name="PIVÔ 119" sheetId="22" r:id="rId18"/>
    <sheet name="PIVÔ 120" sheetId="23" r:id="rId19"/>
    <sheet name="PIVÔ 121" sheetId="24" r:id="rId20"/>
    <sheet name="PIVÔ 122" sheetId="25" r:id="rId21"/>
    <sheet name="PIVÔ 123" sheetId="27" r:id="rId22"/>
    <sheet name="PIVÔ 124" sheetId="28" r:id="rId23"/>
    <sheet name="PIVÔ 125" sheetId="29" r:id="rId24"/>
    <sheet name="PIVÔ 126" sheetId="30" r:id="rId25"/>
    <sheet name="PIVÔ 127" sheetId="31" r:id="rId26"/>
    <sheet name="PIVÔ 128" sheetId="32" r:id="rId27"/>
    <sheet name="PIVÔ 129" sheetId="33" r:id="rId28"/>
    <sheet name="PIVÔ 130" sheetId="34" r:id="rId29"/>
    <sheet name="PIVÔ 131" sheetId="39" r:id="rId30"/>
    <sheet name="PIVÔ 132" sheetId="40" r:id="rId31"/>
    <sheet name="PIVÔ 133" sheetId="35" r:id="rId32"/>
    <sheet name="PIVÔ 201 (D)" sheetId="11" r:id="rId33"/>
    <sheet name="PIVÔ 202 (D)" sheetId="12" r:id="rId34"/>
    <sheet name="PIVÔ 203 (D)" sheetId="13" r:id="rId35"/>
    <sheet name="PIVÔ 204 (D)" sheetId="14" r:id="rId36"/>
    <sheet name="Planilha1" sheetId="36" r:id="rId37"/>
    <sheet name="Planilha2" sheetId="37" r:id="rId38"/>
    <sheet name="Planilha3" sheetId="38" r:id="rId39"/>
    <sheet name="Planilha4" sheetId="41" r:id="rId40"/>
  </sheets>
  <definedNames>
    <definedName name="_FilterDatabase" localSheetId="4" hidden="1">'PIVÔ 105'!$A$7:$K$34</definedName>
    <definedName name="_xlnm._FilterDatabase" localSheetId="0" hidden="1">'PIVÔ 101'!$A$222:$I$317</definedName>
    <definedName name="_xlnm._FilterDatabase" localSheetId="1" hidden="1">'PIVÔ 102'!$A$596:$K$668</definedName>
    <definedName name="_xlnm._FilterDatabase" localSheetId="2" hidden="1">'PIVÔ 103'!$A$281:$I$375</definedName>
    <definedName name="_xlnm._FilterDatabase" localSheetId="3" hidden="1">'PIVÔ 104'!$A$266:$K$356</definedName>
    <definedName name="_xlnm._FilterDatabase" localSheetId="4" hidden="1">'PIVÔ 105'!$A$453:$K$519</definedName>
    <definedName name="_xlnm._FilterDatabase" localSheetId="5" hidden="1">'PIVÔ 106'!$A$638:$K$695</definedName>
    <definedName name="_xlnm._FilterDatabase" localSheetId="6" hidden="1">'PIVÔ 107'!$A$475:$K$540</definedName>
    <definedName name="_xlnm._FilterDatabase" localSheetId="7" hidden="1">'PIVÔ 108'!$A$510:$K$558</definedName>
    <definedName name="_xlnm._FilterDatabase" localSheetId="8" hidden="1">'PIVÔ 109'!$A$375:$K$473</definedName>
    <definedName name="_xlnm._FilterDatabase" localSheetId="10" hidden="1">'PIVÔ 112'!$A$199:$K$279</definedName>
    <definedName name="_xlnm._FilterDatabase" localSheetId="11" hidden="1">'PIVÔ 113'!$A$277:$K$369</definedName>
    <definedName name="_xlnm._FilterDatabase" localSheetId="12" hidden="1">'PIVÔ 114'!$A$194:$K$259</definedName>
    <definedName name="_xlnm._FilterDatabase" localSheetId="13" hidden="1">'PIVÔ 115'!$A$253:$K$312</definedName>
    <definedName name="_xlnm._FilterDatabase" localSheetId="14" hidden="1">'PIVÔ 116'!$A$110:$K$191</definedName>
    <definedName name="_xlnm._FilterDatabase" localSheetId="15" hidden="1">'PIVÔ 117'!$A$183:$K$221</definedName>
    <definedName name="_xlnm._FilterDatabase" localSheetId="16" hidden="1">'PIVÔ 118'!$A$136:$K$205</definedName>
    <definedName name="_xlnm._FilterDatabase" localSheetId="17" hidden="1">'PIVÔ 119'!$A$183:$K$247</definedName>
    <definedName name="_xlnm._FilterDatabase" localSheetId="18" hidden="1">'PIVÔ 120'!$A$135:$K$192</definedName>
    <definedName name="_xlnm._FilterDatabase" localSheetId="19" hidden="1">'PIVÔ 121'!$A$120:$K$166</definedName>
    <definedName name="_xlnm._FilterDatabase" localSheetId="20" hidden="1">'PIVÔ 122'!$A$136:$K$241</definedName>
    <definedName name="_xlnm._FilterDatabase" localSheetId="21" hidden="1">'PIVÔ 123'!$A$131:$K$195</definedName>
    <definedName name="_xlnm._FilterDatabase" localSheetId="22" hidden="1">'PIVÔ 124'!$A$212:$K$272</definedName>
    <definedName name="_xlnm._FilterDatabase" localSheetId="24" hidden="1">'PIVÔ 126'!$A$185:$K$208</definedName>
    <definedName name="_xlnm._FilterDatabase" localSheetId="26" hidden="1">'PIVÔ 128'!$A$211:$K$297</definedName>
    <definedName name="_xlnm._FilterDatabase" localSheetId="27" hidden="1">'PIVÔ 129'!$A$188:$K$259</definedName>
    <definedName name="_xlnm._FilterDatabase" localSheetId="28" hidden="1">'PIVÔ 130'!$A$239:$K$324</definedName>
    <definedName name="_xlnm._FilterDatabase" localSheetId="29" hidden="1">'PIVÔ 131'!$A$136:$K$181</definedName>
    <definedName name="_xlnm._FilterDatabase" localSheetId="30" hidden="1">'PIVÔ 132'!$A$64:$K$109</definedName>
    <definedName name="_xlnm._FilterDatabase" localSheetId="31" hidden="1">'PIVÔ 133'!$A$158:$K$220</definedName>
    <definedName name="a">'PIVÔ 102'!#REF!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5" i="19" l="1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71" i="17"/>
  <c r="K270" i="17"/>
  <c r="K269" i="17"/>
  <c r="K285" i="17"/>
  <c r="K286" i="17"/>
  <c r="K287" i="17"/>
  <c r="K288" i="17"/>
  <c r="K289" i="17"/>
  <c r="K290" i="17"/>
  <c r="K291" i="17"/>
  <c r="K292" i="17"/>
  <c r="K293" i="17"/>
  <c r="K268" i="17"/>
  <c r="J520" i="5"/>
  <c r="K520" i="5"/>
  <c r="J521" i="5"/>
  <c r="K521" i="5"/>
  <c r="J522" i="5"/>
  <c r="K522" i="5"/>
  <c r="J523" i="5"/>
  <c r="K523" i="5"/>
  <c r="J524" i="5"/>
  <c r="K524" i="5"/>
  <c r="J525" i="5"/>
  <c r="K525" i="5"/>
  <c r="J526" i="5"/>
  <c r="K526" i="5"/>
  <c r="J527" i="5"/>
  <c r="K527" i="5"/>
  <c r="J528" i="5"/>
  <c r="K528" i="5"/>
  <c r="J529" i="5"/>
  <c r="K529" i="5"/>
  <c r="J530" i="5"/>
  <c r="K530" i="5"/>
  <c r="J531" i="5"/>
  <c r="K531" i="5"/>
  <c r="J532" i="5"/>
  <c r="K532" i="5"/>
  <c r="J533" i="5"/>
  <c r="K533" i="5"/>
  <c r="J534" i="5"/>
  <c r="K534" i="5"/>
  <c r="J535" i="5"/>
  <c r="K535" i="5"/>
  <c r="J536" i="5"/>
  <c r="K536" i="5"/>
  <c r="J537" i="5"/>
  <c r="K537" i="5"/>
  <c r="J538" i="5"/>
  <c r="K538" i="5"/>
  <c r="J539" i="5"/>
  <c r="K539" i="5"/>
  <c r="J540" i="5"/>
  <c r="K540" i="5"/>
  <c r="J541" i="5"/>
  <c r="K541" i="5"/>
  <c r="J542" i="5"/>
  <c r="K542" i="5"/>
  <c r="J543" i="5"/>
  <c r="K543" i="5"/>
  <c r="J544" i="5"/>
  <c r="K544" i="5"/>
  <c r="J545" i="5"/>
  <c r="K545" i="5"/>
  <c r="J546" i="5"/>
  <c r="K546" i="5"/>
  <c r="J547" i="5"/>
  <c r="K547" i="5"/>
  <c r="J548" i="5"/>
  <c r="K548" i="5"/>
  <c r="J549" i="5"/>
  <c r="K549" i="5"/>
  <c r="J550" i="5"/>
  <c r="K550" i="5"/>
  <c r="J551" i="5"/>
  <c r="K551" i="5"/>
  <c r="J652" i="2"/>
  <c r="K230" i="35"/>
  <c r="K229" i="35"/>
  <c r="K228" i="35"/>
  <c r="K223" i="30"/>
  <c r="K222" i="30"/>
  <c r="K224" i="30"/>
  <c r="K225" i="30"/>
  <c r="K226" i="30"/>
  <c r="K227" i="30"/>
  <c r="K228" i="30"/>
  <c r="K229" i="30"/>
  <c r="K230" i="30"/>
  <c r="K231" i="30"/>
  <c r="K232" i="30"/>
  <c r="K233" i="30"/>
  <c r="K234" i="30"/>
  <c r="K209" i="30"/>
  <c r="K220" i="30"/>
  <c r="J204" i="19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11" i="18"/>
  <c r="J313" i="18"/>
  <c r="K313" i="18"/>
  <c r="J314" i="18"/>
  <c r="K314" i="18"/>
  <c r="J315" i="18"/>
  <c r="K315" i="18"/>
  <c r="J316" i="18"/>
  <c r="K316" i="18"/>
  <c r="J317" i="18"/>
  <c r="K317" i="18"/>
  <c r="J318" i="18"/>
  <c r="K318" i="18"/>
  <c r="J319" i="18"/>
  <c r="K319" i="18"/>
  <c r="J320" i="18"/>
  <c r="K320" i="18"/>
  <c r="J321" i="18"/>
  <c r="K321" i="18"/>
  <c r="J322" i="18"/>
  <c r="K322" i="18"/>
  <c r="J323" i="18"/>
  <c r="K323" i="18"/>
  <c r="J324" i="18"/>
  <c r="K324" i="18"/>
  <c r="J325" i="18"/>
  <c r="K325" i="18"/>
  <c r="J326" i="18"/>
  <c r="K326" i="18"/>
  <c r="J327" i="18"/>
  <c r="K327" i="18"/>
  <c r="J328" i="18"/>
  <c r="K328" i="18"/>
  <c r="J329" i="18"/>
  <c r="K329" i="18"/>
  <c r="J330" i="18"/>
  <c r="K330" i="18"/>
  <c r="J331" i="18"/>
  <c r="K331" i="18"/>
  <c r="J332" i="18"/>
  <c r="K332" i="18"/>
  <c r="J333" i="18"/>
  <c r="K333" i="18"/>
  <c r="J334" i="18"/>
  <c r="K334" i="18"/>
  <c r="J335" i="18"/>
  <c r="K335" i="18"/>
  <c r="J336" i="18"/>
  <c r="K336" i="18"/>
  <c r="J337" i="18"/>
  <c r="K337" i="18"/>
  <c r="K333" i="16"/>
  <c r="J333" i="16"/>
  <c r="J229" i="35"/>
  <c r="J228" i="35"/>
  <c r="J230" i="35"/>
  <c r="J231" i="35"/>
  <c r="J232" i="35"/>
  <c r="J233" i="35"/>
  <c r="J234" i="35"/>
  <c r="J235" i="35"/>
  <c r="J236" i="35"/>
  <c r="J237" i="35"/>
  <c r="J238" i="35"/>
  <c r="J239" i="35"/>
  <c r="J240" i="35"/>
  <c r="J241" i="35"/>
  <c r="J242" i="35"/>
  <c r="J243" i="35"/>
  <c r="J244" i="35"/>
  <c r="J245" i="35"/>
  <c r="J246" i="35"/>
  <c r="J247" i="35"/>
  <c r="J248" i="35"/>
  <c r="J249" i="35"/>
  <c r="J250" i="35"/>
  <c r="J251" i="35"/>
  <c r="J252" i="35"/>
  <c r="J253" i="35"/>
  <c r="J254" i="35"/>
  <c r="J255" i="35"/>
  <c r="J256" i="35"/>
  <c r="J257" i="35"/>
  <c r="J258" i="35"/>
  <c r="J541" i="7"/>
  <c r="K541" i="7"/>
  <c r="J542" i="7"/>
  <c r="K542" i="7"/>
  <c r="J543" i="7"/>
  <c r="K543" i="7"/>
  <c r="J544" i="7"/>
  <c r="K544" i="7"/>
  <c r="J545" i="7"/>
  <c r="K545" i="7"/>
  <c r="J546" i="7"/>
  <c r="K546" i="7"/>
  <c r="J547" i="7"/>
  <c r="K547" i="7"/>
  <c r="J548" i="7"/>
  <c r="K548" i="7"/>
  <c r="J549" i="7"/>
  <c r="K549" i="7"/>
  <c r="J550" i="7"/>
  <c r="K550" i="7"/>
  <c r="J551" i="7"/>
  <c r="K551" i="7"/>
  <c r="J552" i="7"/>
  <c r="K552" i="7"/>
  <c r="J553" i="7"/>
  <c r="K553" i="7"/>
  <c r="J554" i="7"/>
  <c r="K554" i="7"/>
  <c r="J555" i="7"/>
  <c r="K555" i="7"/>
  <c r="J556" i="7"/>
  <c r="K556" i="7"/>
  <c r="J557" i="7"/>
  <c r="K557" i="7"/>
  <c r="J558" i="7"/>
  <c r="K558" i="7"/>
  <c r="J559" i="7"/>
  <c r="K559" i="7"/>
  <c r="J560" i="7"/>
  <c r="K560" i="7"/>
  <c r="J561" i="7"/>
  <c r="K561" i="7"/>
  <c r="J562" i="7"/>
  <c r="K562" i="7"/>
  <c r="J563" i="7"/>
  <c r="K563" i="7"/>
  <c r="J564" i="7"/>
  <c r="K564" i="7"/>
  <c r="J565" i="7"/>
  <c r="K565" i="7"/>
  <c r="J566" i="7"/>
  <c r="K566" i="7"/>
  <c r="J567" i="7"/>
  <c r="K567" i="7"/>
  <c r="J568" i="7"/>
  <c r="K568" i="7"/>
  <c r="J569" i="7"/>
  <c r="K569" i="7"/>
  <c r="J570" i="7"/>
  <c r="K570" i="7"/>
  <c r="J571" i="7"/>
  <c r="K571" i="7"/>
  <c r="J572" i="7"/>
  <c r="K572" i="7"/>
  <c r="J573" i="7"/>
  <c r="K573" i="7"/>
  <c r="J574" i="7"/>
  <c r="K574" i="7"/>
  <c r="J575" i="7"/>
  <c r="K575" i="7"/>
  <c r="J696" i="6"/>
  <c r="K696" i="6"/>
  <c r="J697" i="6"/>
  <c r="K697" i="6"/>
  <c r="J698" i="6"/>
  <c r="K698" i="6"/>
  <c r="J699" i="6"/>
  <c r="K699" i="6"/>
  <c r="J700" i="6"/>
  <c r="K700" i="6"/>
  <c r="J701" i="6"/>
  <c r="K701" i="6"/>
  <c r="J702" i="6"/>
  <c r="K702" i="6"/>
  <c r="J703" i="6"/>
  <c r="K703" i="6"/>
  <c r="J704" i="6"/>
  <c r="K704" i="6"/>
  <c r="J705" i="6"/>
  <c r="K705" i="6"/>
  <c r="J706" i="6"/>
  <c r="K706" i="6"/>
  <c r="J707" i="6"/>
  <c r="K707" i="6"/>
  <c r="J708" i="6"/>
  <c r="K708" i="6"/>
  <c r="J709" i="6"/>
  <c r="K709" i="6"/>
  <c r="J710" i="6"/>
  <c r="K710" i="6"/>
  <c r="J711" i="6"/>
  <c r="K711" i="6"/>
  <c r="J712" i="6"/>
  <c r="K712" i="6"/>
  <c r="J713" i="6"/>
  <c r="K713" i="6"/>
  <c r="J714" i="6"/>
  <c r="K714" i="6"/>
  <c r="J715" i="6"/>
  <c r="K715" i="6"/>
  <c r="J716" i="6"/>
  <c r="K716" i="6"/>
  <c r="J717" i="6"/>
  <c r="K717" i="6"/>
  <c r="J718" i="6"/>
  <c r="K718" i="6"/>
  <c r="J719" i="6"/>
  <c r="K719" i="6"/>
  <c r="J720" i="6"/>
  <c r="K720" i="6"/>
  <c r="J721" i="6"/>
  <c r="K721" i="6"/>
  <c r="J722" i="6"/>
  <c r="K722" i="6"/>
  <c r="J723" i="6"/>
  <c r="K723" i="6"/>
  <c r="J724" i="6"/>
  <c r="K724" i="6"/>
  <c r="K221" i="30"/>
  <c r="K427" i="10"/>
  <c r="J427" i="10"/>
  <c r="J203" i="19"/>
  <c r="J289" i="17"/>
  <c r="J290" i="17"/>
  <c r="J291" i="17"/>
  <c r="J292" i="17"/>
  <c r="J293" i="17"/>
  <c r="J202" i="19"/>
  <c r="K690" i="6"/>
  <c r="J690" i="6"/>
  <c r="J201" i="19"/>
  <c r="K560" i="8"/>
  <c r="J560" i="8"/>
  <c r="J561" i="8"/>
  <c r="K561" i="8"/>
  <c r="J562" i="8"/>
  <c r="K562" i="8"/>
  <c r="J563" i="8"/>
  <c r="K563" i="8"/>
  <c r="J564" i="8"/>
  <c r="K564" i="8"/>
  <c r="J565" i="8"/>
  <c r="K565" i="8"/>
  <c r="J566" i="8"/>
  <c r="K566" i="8"/>
  <c r="J567" i="8"/>
  <c r="K567" i="8"/>
  <c r="J568" i="8"/>
  <c r="K568" i="8"/>
  <c r="J469" i="4"/>
  <c r="K469" i="4"/>
  <c r="J470" i="4"/>
  <c r="K470" i="4"/>
  <c r="J471" i="4"/>
  <c r="K471" i="4"/>
  <c r="J472" i="4"/>
  <c r="K472" i="4"/>
  <c r="J473" i="4"/>
  <c r="K473" i="4"/>
  <c r="J474" i="4"/>
  <c r="K474" i="4"/>
  <c r="J475" i="4"/>
  <c r="K475" i="4"/>
  <c r="J476" i="4"/>
  <c r="K476" i="4"/>
  <c r="J477" i="4"/>
  <c r="K477" i="4"/>
  <c r="J478" i="4"/>
  <c r="K478" i="4"/>
  <c r="J479" i="4"/>
  <c r="K479" i="4"/>
  <c r="J480" i="4"/>
  <c r="K480" i="4"/>
  <c r="J481" i="4"/>
  <c r="K481" i="4"/>
  <c r="J482" i="4"/>
  <c r="K482" i="4"/>
  <c r="J483" i="4"/>
  <c r="K483" i="4"/>
  <c r="J484" i="4"/>
  <c r="K484" i="4"/>
  <c r="J485" i="4"/>
  <c r="K485" i="4"/>
  <c r="J486" i="4"/>
  <c r="K486" i="4"/>
  <c r="J487" i="4"/>
  <c r="K487" i="4"/>
  <c r="J488" i="4"/>
  <c r="K488" i="4"/>
  <c r="J489" i="4"/>
  <c r="K489" i="4"/>
  <c r="K464" i="4"/>
  <c r="J464" i="4"/>
  <c r="H419" i="1"/>
  <c r="H420" i="1"/>
  <c r="H421" i="1"/>
  <c r="H422" i="1"/>
  <c r="H423" i="1"/>
  <c r="H424" i="1"/>
  <c r="H425" i="1"/>
  <c r="I418" i="1"/>
  <c r="H418" i="1"/>
  <c r="I410" i="1"/>
  <c r="I419" i="1"/>
  <c r="I420" i="1"/>
  <c r="I421" i="1"/>
  <c r="I422" i="1"/>
  <c r="I423" i="1"/>
  <c r="I424" i="1"/>
  <c r="I425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J200" i="19"/>
  <c r="K640" i="2"/>
  <c r="J640" i="2"/>
  <c r="J268" i="17" l="1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09" i="30"/>
  <c r="J210" i="30"/>
  <c r="K210" i="30"/>
  <c r="J211" i="30"/>
  <c r="K211" i="30"/>
  <c r="J212" i="30"/>
  <c r="K212" i="30"/>
  <c r="J213" i="30"/>
  <c r="K213" i="30"/>
  <c r="J214" i="30"/>
  <c r="K214" i="30"/>
  <c r="J215" i="30"/>
  <c r="K215" i="30"/>
  <c r="J216" i="30"/>
  <c r="K216" i="30"/>
  <c r="J217" i="30"/>
  <c r="K217" i="30"/>
  <c r="J218" i="30"/>
  <c r="K218" i="30"/>
  <c r="J219" i="30"/>
  <c r="K219" i="30"/>
  <c r="J220" i="30"/>
  <c r="J221" i="30"/>
  <c r="J222" i="30"/>
  <c r="J223" i="30"/>
  <c r="J224" i="30"/>
  <c r="J225" i="30"/>
  <c r="J226" i="30"/>
  <c r="J227" i="30"/>
  <c r="J228" i="30"/>
  <c r="J229" i="30"/>
  <c r="J230" i="30"/>
  <c r="J231" i="30"/>
  <c r="J232" i="30"/>
  <c r="J233" i="30"/>
  <c r="J234" i="30"/>
  <c r="J199" i="19"/>
  <c r="J198" i="19"/>
  <c r="K210" i="25"/>
  <c r="J210" i="25"/>
  <c r="J197" i="19"/>
  <c r="J196" i="19"/>
  <c r="J195" i="19"/>
  <c r="J194" i="19"/>
  <c r="J282" i="28"/>
  <c r="K282" i="28"/>
  <c r="J283" i="28"/>
  <c r="K283" i="28"/>
  <c r="J284" i="28"/>
  <c r="K284" i="28"/>
  <c r="J285" i="28"/>
  <c r="K285" i="28"/>
  <c r="J286" i="28"/>
  <c r="K286" i="28"/>
  <c r="J287" i="28"/>
  <c r="K287" i="28"/>
  <c r="J288" i="28"/>
  <c r="K288" i="28"/>
  <c r="J289" i="28"/>
  <c r="K289" i="28"/>
  <c r="J290" i="28"/>
  <c r="K290" i="28"/>
  <c r="J291" i="28"/>
  <c r="K291" i="28"/>
  <c r="J292" i="28"/>
  <c r="K292" i="28"/>
  <c r="J293" i="28"/>
  <c r="K293" i="28"/>
  <c r="J294" i="28"/>
  <c r="K294" i="28"/>
  <c r="J295" i="28"/>
  <c r="K295" i="28"/>
  <c r="J296" i="28"/>
  <c r="K296" i="28"/>
  <c r="J297" i="28"/>
  <c r="K297" i="28"/>
  <c r="J298" i="28"/>
  <c r="K298" i="28"/>
  <c r="J299" i="28"/>
  <c r="K299" i="28"/>
  <c r="J300" i="28"/>
  <c r="K300" i="28"/>
  <c r="J301" i="28"/>
  <c r="K301" i="28"/>
  <c r="J302" i="28"/>
  <c r="K302" i="28"/>
  <c r="J303" i="28"/>
  <c r="K303" i="28"/>
  <c r="J304" i="28"/>
  <c r="K304" i="28"/>
  <c r="J305" i="28"/>
  <c r="K305" i="28"/>
  <c r="J306" i="28"/>
  <c r="K306" i="28"/>
  <c r="J307" i="28"/>
  <c r="K307" i="28"/>
  <c r="J308" i="28"/>
  <c r="K308" i="28"/>
  <c r="J309" i="28"/>
  <c r="K309" i="28"/>
  <c r="J310" i="28"/>
  <c r="K310" i="28"/>
  <c r="J311" i="28"/>
  <c r="K311" i="28"/>
  <c r="J312" i="28"/>
  <c r="K312" i="28"/>
  <c r="J313" i="28"/>
  <c r="K313" i="28"/>
  <c r="J314" i="28"/>
  <c r="K314" i="28"/>
  <c r="J315" i="28"/>
  <c r="K315" i="28"/>
  <c r="J193" i="19"/>
  <c r="J192" i="19"/>
  <c r="K531" i="7"/>
  <c r="K532" i="7"/>
  <c r="K533" i="7"/>
  <c r="K534" i="7"/>
  <c r="K535" i="7"/>
  <c r="K536" i="7"/>
  <c r="K537" i="7"/>
  <c r="K538" i="7"/>
  <c r="K539" i="7"/>
  <c r="K540" i="7"/>
  <c r="K530" i="7"/>
  <c r="J530" i="7"/>
  <c r="J270" i="32"/>
  <c r="K270" i="32"/>
  <c r="J271" i="32"/>
  <c r="K271" i="32"/>
  <c r="J272" i="32"/>
  <c r="K272" i="32"/>
  <c r="J273" i="32"/>
  <c r="K273" i="32"/>
  <c r="J274" i="32"/>
  <c r="K274" i="32"/>
  <c r="J275" i="32"/>
  <c r="K275" i="32"/>
  <c r="J276" i="32"/>
  <c r="K276" i="32"/>
  <c r="J277" i="32"/>
  <c r="K277" i="32"/>
  <c r="J278" i="32"/>
  <c r="K278" i="32"/>
  <c r="J279" i="32"/>
  <c r="K279" i="32"/>
  <c r="J280" i="32"/>
  <c r="K280" i="32"/>
  <c r="J281" i="32"/>
  <c r="K281" i="32"/>
  <c r="J282" i="32"/>
  <c r="K282" i="32"/>
  <c r="J283" i="32"/>
  <c r="K283" i="32"/>
  <c r="J284" i="32"/>
  <c r="K284" i="32"/>
  <c r="J285" i="32"/>
  <c r="K285" i="32"/>
  <c r="J286" i="32"/>
  <c r="K286" i="32"/>
  <c r="J287" i="32"/>
  <c r="K287" i="32"/>
  <c r="J288" i="32"/>
  <c r="K288" i="32"/>
  <c r="J289" i="32"/>
  <c r="K289" i="32"/>
  <c r="J290" i="32"/>
  <c r="K290" i="32"/>
  <c r="J291" i="32"/>
  <c r="K291" i="32"/>
  <c r="J292" i="32"/>
  <c r="K292" i="32"/>
  <c r="J293" i="32"/>
  <c r="K293" i="32"/>
  <c r="J294" i="32"/>
  <c r="K294" i="32"/>
  <c r="J295" i="32"/>
  <c r="K295" i="32"/>
  <c r="J296" i="32"/>
  <c r="K296" i="32"/>
  <c r="J297" i="32"/>
  <c r="K297" i="32"/>
  <c r="K269" i="32"/>
  <c r="J269" i="32"/>
  <c r="J193" i="23"/>
  <c r="K193" i="23"/>
  <c r="J194" i="23"/>
  <c r="K194" i="23"/>
  <c r="J195" i="23"/>
  <c r="K195" i="23"/>
  <c r="J196" i="23"/>
  <c r="K196" i="23"/>
  <c r="J197" i="23"/>
  <c r="K197" i="23"/>
  <c r="J198" i="23"/>
  <c r="K198" i="23"/>
  <c r="J199" i="23"/>
  <c r="K199" i="23"/>
  <c r="J200" i="23"/>
  <c r="K200" i="23"/>
  <c r="J201" i="23"/>
  <c r="K201" i="23"/>
  <c r="J202" i="23"/>
  <c r="K202" i="23"/>
  <c r="K230" i="19"/>
  <c r="K229" i="19"/>
  <c r="K228" i="19"/>
  <c r="K227" i="19"/>
  <c r="K226" i="19"/>
  <c r="K225" i="19"/>
  <c r="K224" i="19"/>
  <c r="K223" i="19"/>
  <c r="K222" i="19"/>
  <c r="K221" i="19"/>
  <c r="K220" i="19"/>
  <c r="K219" i="19"/>
  <c r="K218" i="19"/>
  <c r="K217" i="19"/>
  <c r="K216" i="19"/>
  <c r="K215" i="19"/>
  <c r="K214" i="19"/>
  <c r="K213" i="19"/>
  <c r="K212" i="19"/>
  <c r="K211" i="19"/>
  <c r="K210" i="19"/>
  <c r="K209" i="19"/>
  <c r="K208" i="19"/>
  <c r="K207" i="19"/>
  <c r="K206" i="19"/>
  <c r="K205" i="19"/>
  <c r="K204" i="19"/>
  <c r="K203" i="19"/>
  <c r="K202" i="19"/>
  <c r="K201" i="19"/>
  <c r="K200" i="19"/>
  <c r="K199" i="19"/>
  <c r="K198" i="19"/>
  <c r="K197" i="19"/>
  <c r="K196" i="19"/>
  <c r="K195" i="19"/>
  <c r="K194" i="19"/>
  <c r="K193" i="19"/>
  <c r="K192" i="19"/>
  <c r="J139" i="39"/>
  <c r="K139" i="39"/>
  <c r="J140" i="39"/>
  <c r="K140" i="39"/>
  <c r="J141" i="39"/>
  <c r="K141" i="39"/>
  <c r="J142" i="39"/>
  <c r="K142" i="39"/>
  <c r="J143" i="39"/>
  <c r="K143" i="39"/>
  <c r="J144" i="39"/>
  <c r="K144" i="39"/>
  <c r="J145" i="39"/>
  <c r="K145" i="39"/>
  <c r="J146" i="39"/>
  <c r="K146" i="39"/>
  <c r="J147" i="39"/>
  <c r="K147" i="39"/>
  <c r="J148" i="39"/>
  <c r="K148" i="39"/>
  <c r="J149" i="39"/>
  <c r="K149" i="39"/>
  <c r="J150" i="39"/>
  <c r="K150" i="39"/>
  <c r="J151" i="39"/>
  <c r="K151" i="39"/>
  <c r="J152" i="39"/>
  <c r="K152" i="39"/>
  <c r="J153" i="39"/>
  <c r="K153" i="39"/>
  <c r="J154" i="39"/>
  <c r="K154" i="39"/>
  <c r="J155" i="39"/>
  <c r="K155" i="39"/>
  <c r="J156" i="39"/>
  <c r="K156" i="39"/>
  <c r="J157" i="39"/>
  <c r="K157" i="39"/>
  <c r="J158" i="39"/>
  <c r="K158" i="39"/>
  <c r="J159" i="39"/>
  <c r="K159" i="39"/>
  <c r="J160" i="39"/>
  <c r="K160" i="39"/>
  <c r="J161" i="39"/>
  <c r="K161" i="39"/>
  <c r="J162" i="39"/>
  <c r="K162" i="39"/>
  <c r="J163" i="39"/>
  <c r="K163" i="39"/>
  <c r="J164" i="39"/>
  <c r="K164" i="39"/>
  <c r="J165" i="39"/>
  <c r="K165" i="39"/>
  <c r="J166" i="39"/>
  <c r="K166" i="39"/>
  <c r="J167" i="39"/>
  <c r="K167" i="39"/>
  <c r="J168" i="39"/>
  <c r="K168" i="39"/>
  <c r="J169" i="39"/>
  <c r="K169" i="39"/>
  <c r="J170" i="39"/>
  <c r="K170" i="39"/>
  <c r="J171" i="39"/>
  <c r="K171" i="39"/>
  <c r="J172" i="39"/>
  <c r="K172" i="39"/>
  <c r="J173" i="39"/>
  <c r="K173" i="39"/>
  <c r="J174" i="39"/>
  <c r="K174" i="39"/>
  <c r="J175" i="39"/>
  <c r="K175" i="39"/>
  <c r="J176" i="39"/>
  <c r="K176" i="39"/>
  <c r="J177" i="39"/>
  <c r="K177" i="39"/>
  <c r="J178" i="39"/>
  <c r="K178" i="39"/>
  <c r="J179" i="39"/>
  <c r="K179" i="39"/>
  <c r="J180" i="39"/>
  <c r="K180" i="39"/>
  <c r="J181" i="39"/>
  <c r="K181" i="39"/>
  <c r="K137" i="39"/>
  <c r="K138" i="39"/>
  <c r="K139" i="25"/>
  <c r="K140" i="25"/>
  <c r="K141" i="25"/>
  <c r="K142" i="25"/>
  <c r="K143" i="25"/>
  <c r="K144" i="25"/>
  <c r="K145" i="25"/>
  <c r="K146" i="25"/>
  <c r="K147" i="25"/>
  <c r="K148" i="25"/>
  <c r="K149" i="25"/>
  <c r="K150" i="25"/>
  <c r="K151" i="25"/>
  <c r="K152" i="25"/>
  <c r="K153" i="25"/>
  <c r="K154" i="25"/>
  <c r="K155" i="25"/>
  <c r="K156" i="25"/>
  <c r="K157" i="25"/>
  <c r="K158" i="25"/>
  <c r="K159" i="25"/>
  <c r="K160" i="25"/>
  <c r="K161" i="25"/>
  <c r="K162" i="25"/>
  <c r="K163" i="25"/>
  <c r="K164" i="25"/>
  <c r="K165" i="25"/>
  <c r="K166" i="25"/>
  <c r="K167" i="25"/>
  <c r="K168" i="25"/>
  <c r="K169" i="25"/>
  <c r="K170" i="25"/>
  <c r="K171" i="25"/>
  <c r="K172" i="25"/>
  <c r="K173" i="25"/>
  <c r="K174" i="25"/>
  <c r="K175" i="25"/>
  <c r="K176" i="25"/>
  <c r="K177" i="25"/>
  <c r="K178" i="25"/>
  <c r="K179" i="25"/>
  <c r="K180" i="25"/>
  <c r="K181" i="25"/>
  <c r="K182" i="25"/>
  <c r="K183" i="25"/>
  <c r="K184" i="25"/>
  <c r="K185" i="25"/>
  <c r="K186" i="25"/>
  <c r="K187" i="25"/>
  <c r="K188" i="25"/>
  <c r="K189" i="25"/>
  <c r="K190" i="25"/>
  <c r="K191" i="25"/>
  <c r="K192" i="25"/>
  <c r="K193" i="25"/>
  <c r="K194" i="25"/>
  <c r="K211" i="25"/>
  <c r="K212" i="25"/>
  <c r="K213" i="25"/>
  <c r="K214" i="25"/>
  <c r="K215" i="25"/>
  <c r="K216" i="25"/>
  <c r="K217" i="25"/>
  <c r="K218" i="25"/>
  <c r="K219" i="25"/>
  <c r="K220" i="25"/>
  <c r="K221" i="25"/>
  <c r="K222" i="25"/>
  <c r="K223" i="25"/>
  <c r="K224" i="25"/>
  <c r="K225" i="25"/>
  <c r="K226" i="25"/>
  <c r="K227" i="25"/>
  <c r="K228" i="25"/>
  <c r="K229" i="25"/>
  <c r="K230" i="25"/>
  <c r="K231" i="25"/>
  <c r="K232" i="25"/>
  <c r="K233" i="25"/>
  <c r="K234" i="25"/>
  <c r="K235" i="25"/>
  <c r="K236" i="25"/>
  <c r="K237" i="25"/>
  <c r="K238" i="25"/>
  <c r="K239" i="25"/>
  <c r="K240" i="25"/>
  <c r="K241" i="25"/>
  <c r="K138" i="25"/>
  <c r="K137" i="25"/>
  <c r="K125" i="25"/>
  <c r="K126" i="25"/>
  <c r="K127" i="25"/>
  <c r="K128" i="25"/>
  <c r="J138" i="25"/>
  <c r="J139" i="25"/>
  <c r="J140" i="25"/>
  <c r="J141" i="25"/>
  <c r="J142" i="25"/>
  <c r="J143" i="25"/>
  <c r="J137" i="25"/>
  <c r="J128" i="25" l="1"/>
  <c r="J136" i="23"/>
  <c r="K137" i="23"/>
  <c r="K136" i="23"/>
  <c r="J137" i="23"/>
  <c r="J138" i="23"/>
  <c r="K138" i="23"/>
  <c r="J139" i="23"/>
  <c r="K139" i="23"/>
  <c r="J117" i="23"/>
  <c r="J118" i="23"/>
  <c r="J119" i="23"/>
  <c r="K120" i="23"/>
  <c r="K121" i="23"/>
  <c r="K122" i="23"/>
  <c r="K123" i="23"/>
  <c r="K140" i="23"/>
  <c r="K141" i="23"/>
  <c r="K142" i="23"/>
  <c r="K143" i="23"/>
  <c r="K144" i="23"/>
  <c r="K145" i="23"/>
  <c r="K146" i="23"/>
  <c r="K147" i="23"/>
  <c r="K148" i="23"/>
  <c r="K149" i="23"/>
  <c r="K150" i="23"/>
  <c r="K151" i="23"/>
  <c r="K152" i="23"/>
  <c r="K153" i="23"/>
  <c r="K154" i="23"/>
  <c r="K155" i="23"/>
  <c r="K156" i="23"/>
  <c r="K157" i="23"/>
  <c r="K158" i="23"/>
  <c r="K159" i="23"/>
  <c r="K160" i="23"/>
  <c r="K161" i="23"/>
  <c r="K162" i="23"/>
  <c r="K163" i="23"/>
  <c r="K164" i="23"/>
  <c r="K165" i="23"/>
  <c r="K166" i="23"/>
  <c r="K167" i="23"/>
  <c r="K168" i="23"/>
  <c r="K169" i="23"/>
  <c r="K170" i="23"/>
  <c r="K171" i="23"/>
  <c r="K172" i="23"/>
  <c r="K173" i="23"/>
  <c r="K174" i="23"/>
  <c r="K175" i="23"/>
  <c r="K176" i="23"/>
  <c r="K177" i="23"/>
  <c r="K178" i="23"/>
  <c r="K179" i="23"/>
  <c r="K180" i="23"/>
  <c r="K181" i="23"/>
  <c r="K182" i="23"/>
  <c r="K183" i="23"/>
  <c r="K184" i="23"/>
  <c r="K185" i="23"/>
  <c r="K186" i="23"/>
  <c r="K187" i="23"/>
  <c r="K188" i="23"/>
  <c r="K189" i="23"/>
  <c r="K190" i="23"/>
  <c r="K191" i="23"/>
  <c r="K192" i="23"/>
  <c r="K124" i="23"/>
  <c r="K125" i="23"/>
  <c r="K126" i="23"/>
  <c r="K127" i="23"/>
  <c r="K119" i="23"/>
  <c r="K118" i="23"/>
  <c r="K117" i="23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185" i="20"/>
  <c r="K184" i="20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192" i="25"/>
  <c r="J193" i="25"/>
  <c r="J194" i="25"/>
  <c r="J211" i="25"/>
  <c r="J212" i="25"/>
  <c r="J213" i="25"/>
  <c r="J214" i="25"/>
  <c r="J215" i="25"/>
  <c r="J216" i="25"/>
  <c r="J217" i="25"/>
  <c r="J218" i="25"/>
  <c r="J219" i="25"/>
  <c r="J220" i="25"/>
  <c r="J221" i="25"/>
  <c r="J222" i="25"/>
  <c r="J223" i="25"/>
  <c r="J224" i="25"/>
  <c r="J225" i="25"/>
  <c r="J226" i="25"/>
  <c r="J227" i="25"/>
  <c r="J228" i="25"/>
  <c r="J229" i="25"/>
  <c r="J230" i="25"/>
  <c r="J231" i="25"/>
  <c r="J232" i="25"/>
  <c r="J233" i="25"/>
  <c r="J234" i="25"/>
  <c r="J235" i="25"/>
  <c r="J236" i="25"/>
  <c r="J237" i="25"/>
  <c r="J238" i="25"/>
  <c r="J239" i="25"/>
  <c r="J240" i="25"/>
  <c r="J241" i="25"/>
  <c r="J259" i="32"/>
  <c r="K259" i="32"/>
  <c r="J260" i="32"/>
  <c r="K260" i="32"/>
  <c r="J261" i="32"/>
  <c r="K261" i="32"/>
  <c r="J159" i="21"/>
  <c r="K159" i="21"/>
  <c r="J160" i="21"/>
  <c r="K160" i="21"/>
  <c r="J161" i="21"/>
  <c r="K161" i="21"/>
  <c r="J162" i="21"/>
  <c r="K162" i="21"/>
  <c r="J163" i="21"/>
  <c r="K163" i="21"/>
  <c r="J164" i="21"/>
  <c r="K164" i="21"/>
  <c r="J165" i="21"/>
  <c r="K165" i="21"/>
  <c r="J166" i="21"/>
  <c r="K166" i="21"/>
  <c r="J167" i="21"/>
  <c r="K167" i="21"/>
  <c r="J168" i="21"/>
  <c r="K168" i="21"/>
  <c r="J169" i="21"/>
  <c r="K169" i="21"/>
  <c r="J170" i="21"/>
  <c r="K170" i="21"/>
  <c r="J171" i="21"/>
  <c r="K171" i="21"/>
  <c r="J172" i="21"/>
  <c r="K172" i="21"/>
  <c r="J173" i="21"/>
  <c r="K173" i="21"/>
  <c r="J174" i="21"/>
  <c r="K174" i="21"/>
  <c r="J175" i="21"/>
  <c r="K175" i="21"/>
  <c r="J176" i="21"/>
  <c r="K176" i="21"/>
  <c r="J177" i="21"/>
  <c r="K177" i="21"/>
  <c r="J178" i="21"/>
  <c r="K178" i="21"/>
  <c r="J179" i="21"/>
  <c r="K179" i="21"/>
  <c r="J180" i="21"/>
  <c r="K180" i="21"/>
  <c r="J181" i="21"/>
  <c r="K181" i="21"/>
  <c r="J182" i="21"/>
  <c r="K182" i="21"/>
  <c r="J183" i="21"/>
  <c r="K183" i="21"/>
  <c r="J184" i="21"/>
  <c r="K184" i="21"/>
  <c r="J185" i="21"/>
  <c r="K185" i="21"/>
  <c r="J186" i="21"/>
  <c r="K186" i="21"/>
  <c r="J187" i="21"/>
  <c r="K187" i="21"/>
  <c r="J188" i="21"/>
  <c r="K188" i="21"/>
  <c r="J189" i="21"/>
  <c r="K189" i="21"/>
  <c r="J190" i="21"/>
  <c r="K190" i="21"/>
  <c r="J191" i="21"/>
  <c r="K191" i="21"/>
  <c r="J192" i="21"/>
  <c r="K192" i="21"/>
  <c r="J193" i="21"/>
  <c r="K193" i="21"/>
  <c r="J194" i="21"/>
  <c r="K194" i="21"/>
  <c r="J195" i="21"/>
  <c r="K195" i="21"/>
  <c r="J196" i="21"/>
  <c r="K196" i="21"/>
  <c r="J197" i="21"/>
  <c r="K197" i="21"/>
  <c r="J198" i="21"/>
  <c r="K198" i="21"/>
  <c r="J199" i="21"/>
  <c r="K199" i="21"/>
  <c r="J200" i="21"/>
  <c r="K200" i="21"/>
  <c r="J201" i="21"/>
  <c r="K201" i="21"/>
  <c r="J202" i="21"/>
  <c r="K202" i="21"/>
  <c r="J203" i="21"/>
  <c r="K203" i="21"/>
  <c r="J204" i="21"/>
  <c r="K204" i="21"/>
  <c r="J205" i="21"/>
  <c r="K205" i="21"/>
  <c r="J210" i="33"/>
  <c r="K210" i="33"/>
  <c r="J211" i="33"/>
  <c r="K211" i="33"/>
  <c r="J212" i="33"/>
  <c r="K212" i="33"/>
  <c r="J213" i="33"/>
  <c r="K213" i="33"/>
  <c r="J214" i="33"/>
  <c r="K214" i="33"/>
  <c r="J215" i="33"/>
  <c r="K215" i="33"/>
  <c r="J216" i="33"/>
  <c r="K216" i="33"/>
  <c r="J217" i="33"/>
  <c r="K217" i="33"/>
  <c r="J218" i="33"/>
  <c r="K218" i="33"/>
  <c r="J219" i="33"/>
  <c r="K219" i="33"/>
  <c r="J220" i="33"/>
  <c r="K220" i="33"/>
  <c r="J221" i="33"/>
  <c r="K221" i="33"/>
  <c r="J222" i="33"/>
  <c r="K222" i="33"/>
  <c r="J223" i="33"/>
  <c r="K223" i="33"/>
  <c r="J224" i="33"/>
  <c r="K224" i="33"/>
  <c r="J225" i="33"/>
  <c r="K225" i="33"/>
  <c r="J226" i="33"/>
  <c r="K226" i="33"/>
  <c r="J227" i="33"/>
  <c r="K227" i="33"/>
  <c r="J228" i="33"/>
  <c r="K228" i="33"/>
  <c r="J229" i="33"/>
  <c r="K229" i="33"/>
  <c r="J230" i="33"/>
  <c r="K230" i="33"/>
  <c r="J231" i="33"/>
  <c r="K231" i="33"/>
  <c r="J232" i="33"/>
  <c r="K232" i="33"/>
  <c r="J233" i="33"/>
  <c r="K233" i="33"/>
  <c r="J234" i="33"/>
  <c r="K234" i="33"/>
  <c r="J235" i="33"/>
  <c r="K235" i="33"/>
  <c r="J236" i="33"/>
  <c r="K236" i="33"/>
  <c r="J237" i="33"/>
  <c r="K237" i="33"/>
  <c r="J238" i="33"/>
  <c r="K238" i="33"/>
  <c r="J239" i="33"/>
  <c r="K239" i="33"/>
  <c r="J240" i="33"/>
  <c r="K240" i="33"/>
  <c r="J241" i="33"/>
  <c r="K241" i="33"/>
  <c r="J242" i="33"/>
  <c r="K242" i="33"/>
  <c r="J243" i="33"/>
  <c r="K243" i="33"/>
  <c r="J244" i="33"/>
  <c r="K244" i="33"/>
  <c r="J245" i="33"/>
  <c r="K245" i="33"/>
  <c r="J246" i="33"/>
  <c r="K246" i="33"/>
  <c r="J247" i="33"/>
  <c r="K247" i="33"/>
  <c r="J248" i="33"/>
  <c r="K248" i="33"/>
  <c r="J249" i="33"/>
  <c r="K249" i="33"/>
  <c r="J250" i="33"/>
  <c r="K250" i="33"/>
  <c r="J251" i="33"/>
  <c r="K251" i="33"/>
  <c r="J252" i="33"/>
  <c r="K252" i="33"/>
  <c r="J253" i="33"/>
  <c r="K253" i="33"/>
  <c r="J254" i="33"/>
  <c r="K254" i="33"/>
  <c r="J255" i="33"/>
  <c r="K255" i="33"/>
  <c r="J256" i="33"/>
  <c r="K256" i="33"/>
  <c r="J257" i="33"/>
  <c r="K257" i="33"/>
  <c r="J258" i="33"/>
  <c r="K258" i="33"/>
  <c r="J259" i="33"/>
  <c r="K259" i="33"/>
  <c r="K207" i="27"/>
  <c r="J207" i="27"/>
  <c r="K206" i="27"/>
  <c r="J206" i="27"/>
  <c r="K205" i="27"/>
  <c r="J205" i="27"/>
  <c r="K204" i="27"/>
  <c r="J204" i="27"/>
  <c r="K203" i="27"/>
  <c r="J203" i="27"/>
  <c r="K202" i="27"/>
  <c r="J202" i="27"/>
  <c r="K201" i="27"/>
  <c r="J201" i="27"/>
  <c r="J176" i="24" l="1"/>
  <c r="K176" i="24"/>
  <c r="J177" i="24"/>
  <c r="K177" i="24"/>
  <c r="J178" i="24"/>
  <c r="K178" i="24"/>
  <c r="J179" i="24"/>
  <c r="K179" i="24"/>
  <c r="J180" i="24"/>
  <c r="K180" i="24"/>
  <c r="J181" i="24"/>
  <c r="K181" i="24"/>
  <c r="J182" i="24"/>
  <c r="K182" i="24"/>
  <c r="J183" i="24"/>
  <c r="K183" i="24"/>
  <c r="J184" i="24"/>
  <c r="K184" i="24"/>
  <c r="J185" i="24"/>
  <c r="K185" i="24"/>
  <c r="J186" i="24"/>
  <c r="K186" i="24"/>
  <c r="J187" i="24"/>
  <c r="K187" i="24"/>
  <c r="J188" i="24"/>
  <c r="K188" i="24"/>
  <c r="J189" i="24"/>
  <c r="K189" i="24"/>
  <c r="J190" i="24"/>
  <c r="K190" i="24"/>
  <c r="J191" i="24"/>
  <c r="K191" i="24"/>
  <c r="J192" i="24"/>
  <c r="K192" i="24"/>
  <c r="J193" i="24"/>
  <c r="K193" i="24"/>
  <c r="J194" i="24"/>
  <c r="K194" i="24"/>
  <c r="J195" i="24"/>
  <c r="K195" i="24"/>
  <c r="J196" i="24"/>
  <c r="K196" i="24"/>
  <c r="J197" i="24"/>
  <c r="K197" i="24"/>
  <c r="J198" i="24"/>
  <c r="K198" i="24"/>
  <c r="J199" i="24"/>
  <c r="K199" i="24"/>
  <c r="J200" i="24"/>
  <c r="K200" i="24"/>
  <c r="J201" i="24"/>
  <c r="K201" i="24"/>
  <c r="J202" i="24"/>
  <c r="K202" i="24"/>
  <c r="J203" i="24"/>
  <c r="K203" i="24"/>
  <c r="J204" i="24"/>
  <c r="K204" i="24"/>
  <c r="J205" i="24"/>
  <c r="K205" i="24"/>
  <c r="J206" i="24"/>
  <c r="K206" i="24"/>
  <c r="J207" i="24"/>
  <c r="K207" i="24"/>
  <c r="J208" i="24"/>
  <c r="K208" i="24"/>
  <c r="J209" i="24"/>
  <c r="K209" i="24"/>
  <c r="J210" i="24"/>
  <c r="K210" i="24"/>
  <c r="J211" i="24"/>
  <c r="K211" i="24"/>
  <c r="J212" i="24"/>
  <c r="K212" i="24"/>
  <c r="J213" i="24"/>
  <c r="K213" i="24"/>
  <c r="J214" i="24"/>
  <c r="K214" i="24"/>
  <c r="J215" i="24"/>
  <c r="K215" i="24"/>
  <c r="J216" i="24"/>
  <c r="K216" i="24"/>
  <c r="J217" i="24"/>
  <c r="K217" i="24"/>
  <c r="J218" i="24"/>
  <c r="K218" i="24"/>
  <c r="J219" i="24"/>
  <c r="K219" i="24"/>
  <c r="J220" i="24"/>
  <c r="K220" i="24"/>
  <c r="J221" i="24"/>
  <c r="K221" i="24"/>
  <c r="J222" i="24"/>
  <c r="K222" i="24"/>
  <c r="J223" i="24"/>
  <c r="K223" i="24"/>
  <c r="J224" i="24"/>
  <c r="K224" i="24"/>
  <c r="J225" i="24"/>
  <c r="K225" i="24"/>
  <c r="J226" i="24"/>
  <c r="K226" i="24"/>
  <c r="J227" i="24"/>
  <c r="K227" i="24"/>
  <c r="K175" i="24"/>
  <c r="J175" i="24"/>
  <c r="K279" i="28"/>
  <c r="K280" i="28"/>
  <c r="K281" i="28"/>
  <c r="K278" i="28"/>
  <c r="J278" i="28"/>
  <c r="J198" i="35" l="1"/>
  <c r="K198" i="35"/>
  <c r="J199" i="35"/>
  <c r="K199" i="35"/>
  <c r="J200" i="35"/>
  <c r="K200" i="35"/>
  <c r="J201" i="35"/>
  <c r="K201" i="35"/>
  <c r="J202" i="35"/>
  <c r="K202" i="35"/>
  <c r="J203" i="35"/>
  <c r="K203" i="35"/>
  <c r="J204" i="35"/>
  <c r="K204" i="35"/>
  <c r="J205" i="35"/>
  <c r="K205" i="35"/>
  <c r="J206" i="35"/>
  <c r="K206" i="35"/>
  <c r="J207" i="35"/>
  <c r="K207" i="35"/>
  <c r="J208" i="35"/>
  <c r="K208" i="35"/>
  <c r="J209" i="35"/>
  <c r="K209" i="35"/>
  <c r="J210" i="35"/>
  <c r="K210" i="35"/>
  <c r="J211" i="35"/>
  <c r="K211" i="35"/>
  <c r="J212" i="35"/>
  <c r="K212" i="35"/>
  <c r="J213" i="35"/>
  <c r="K213" i="35"/>
  <c r="J214" i="35"/>
  <c r="K214" i="35"/>
  <c r="J215" i="35"/>
  <c r="K215" i="35"/>
  <c r="J216" i="35"/>
  <c r="K216" i="35"/>
  <c r="J217" i="35"/>
  <c r="K217" i="35"/>
  <c r="J218" i="35"/>
  <c r="K218" i="35"/>
  <c r="J219" i="35"/>
  <c r="K219" i="35"/>
  <c r="J220" i="35"/>
  <c r="K220" i="35"/>
  <c r="J149" i="19"/>
  <c r="K149" i="19"/>
  <c r="J150" i="19"/>
  <c r="K150" i="19"/>
  <c r="J151" i="19"/>
  <c r="K151" i="19"/>
  <c r="J152" i="19"/>
  <c r="K152" i="19"/>
  <c r="J153" i="19"/>
  <c r="K153" i="19"/>
  <c r="J154" i="19"/>
  <c r="K154" i="19"/>
  <c r="J155" i="19"/>
  <c r="K155" i="19"/>
  <c r="J156" i="19"/>
  <c r="K156" i="19"/>
  <c r="J157" i="19"/>
  <c r="K157" i="19"/>
  <c r="J158" i="19"/>
  <c r="K158" i="19"/>
  <c r="J159" i="19"/>
  <c r="K159" i="19"/>
  <c r="J160" i="19"/>
  <c r="K160" i="19"/>
  <c r="J161" i="19"/>
  <c r="K161" i="19"/>
  <c r="J162" i="19"/>
  <c r="K162" i="19"/>
  <c r="J163" i="19"/>
  <c r="K163" i="19"/>
  <c r="J164" i="19"/>
  <c r="K164" i="19"/>
  <c r="J165" i="19"/>
  <c r="K165" i="19"/>
  <c r="J166" i="19"/>
  <c r="K166" i="19"/>
  <c r="J167" i="19"/>
  <c r="K167" i="19"/>
  <c r="J168" i="19"/>
  <c r="K168" i="19"/>
  <c r="J169" i="19"/>
  <c r="K169" i="19"/>
  <c r="J170" i="19"/>
  <c r="K170" i="19"/>
  <c r="J171" i="19"/>
  <c r="K171" i="19"/>
  <c r="J172" i="19"/>
  <c r="K172" i="19"/>
  <c r="J173" i="19"/>
  <c r="K173" i="19"/>
  <c r="J174" i="19"/>
  <c r="K174" i="19"/>
  <c r="J175" i="19"/>
  <c r="K175" i="19"/>
  <c r="J176" i="19"/>
  <c r="K176" i="19"/>
  <c r="J177" i="19"/>
  <c r="K177" i="19"/>
  <c r="J178" i="19"/>
  <c r="K178" i="19"/>
  <c r="J179" i="19"/>
  <c r="K179" i="19"/>
  <c r="J180" i="19"/>
  <c r="K180" i="19"/>
  <c r="J181" i="19"/>
  <c r="K181" i="19"/>
  <c r="J182" i="19"/>
  <c r="K182" i="19"/>
  <c r="J183" i="19"/>
  <c r="K183" i="19"/>
  <c r="J184" i="19"/>
  <c r="K184" i="19"/>
  <c r="J185" i="19"/>
  <c r="K185" i="19"/>
  <c r="J186" i="19"/>
  <c r="K186" i="19"/>
  <c r="J187" i="19"/>
  <c r="K187" i="19"/>
  <c r="J188" i="19"/>
  <c r="K188" i="19"/>
  <c r="J189" i="19"/>
  <c r="K189" i="19"/>
  <c r="J190" i="19"/>
  <c r="K190" i="19"/>
  <c r="J191" i="19"/>
  <c r="K191" i="19"/>
  <c r="J221" i="20"/>
  <c r="J280" i="34"/>
  <c r="K280" i="34"/>
  <c r="J281" i="34"/>
  <c r="K281" i="34"/>
  <c r="J282" i="34"/>
  <c r="K282" i="34"/>
  <c r="J283" i="34"/>
  <c r="K283" i="34"/>
  <c r="J284" i="34"/>
  <c r="K284" i="34"/>
  <c r="J285" i="34"/>
  <c r="K285" i="34"/>
  <c r="J286" i="34"/>
  <c r="K286" i="34"/>
  <c r="J287" i="34"/>
  <c r="K287" i="34"/>
  <c r="J288" i="34"/>
  <c r="K288" i="34"/>
  <c r="J289" i="34"/>
  <c r="K289" i="34"/>
  <c r="J290" i="34"/>
  <c r="K290" i="34"/>
  <c r="J291" i="34"/>
  <c r="K291" i="34"/>
  <c r="J292" i="34"/>
  <c r="K292" i="34"/>
  <c r="J293" i="34"/>
  <c r="K293" i="34"/>
  <c r="J294" i="34"/>
  <c r="K294" i="34"/>
  <c r="J295" i="34"/>
  <c r="K295" i="34"/>
  <c r="J296" i="34"/>
  <c r="K296" i="34"/>
  <c r="J297" i="34"/>
  <c r="K297" i="34"/>
  <c r="J298" i="34"/>
  <c r="K298" i="34"/>
  <c r="J299" i="34"/>
  <c r="K299" i="34"/>
  <c r="J300" i="34"/>
  <c r="K300" i="34"/>
  <c r="J301" i="34"/>
  <c r="K301" i="34"/>
  <c r="J302" i="34"/>
  <c r="K302" i="34"/>
  <c r="J303" i="34"/>
  <c r="K303" i="34"/>
  <c r="J304" i="34"/>
  <c r="K304" i="34"/>
  <c r="J305" i="34"/>
  <c r="K305" i="34"/>
  <c r="J306" i="34"/>
  <c r="K306" i="34"/>
  <c r="J307" i="34"/>
  <c r="K307" i="34"/>
  <c r="J308" i="34"/>
  <c r="K308" i="34"/>
  <c r="J309" i="34"/>
  <c r="K309" i="34"/>
  <c r="J310" i="34"/>
  <c r="K310" i="34"/>
  <c r="J311" i="34"/>
  <c r="K311" i="34"/>
  <c r="J312" i="34"/>
  <c r="K312" i="34"/>
  <c r="J313" i="34"/>
  <c r="K313" i="34"/>
  <c r="J314" i="34"/>
  <c r="K314" i="34"/>
  <c r="J315" i="34"/>
  <c r="K315" i="34"/>
  <c r="J316" i="34"/>
  <c r="K316" i="34"/>
  <c r="J317" i="34"/>
  <c r="K317" i="34"/>
  <c r="J318" i="34"/>
  <c r="K318" i="34"/>
  <c r="J319" i="34"/>
  <c r="K319" i="34"/>
  <c r="J320" i="34"/>
  <c r="K320" i="34"/>
  <c r="J321" i="34"/>
  <c r="K321" i="34"/>
  <c r="J322" i="34"/>
  <c r="K322" i="34"/>
  <c r="J323" i="34"/>
  <c r="K323" i="34"/>
  <c r="J324" i="34"/>
  <c r="K324" i="34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222" i="22"/>
  <c r="K222" i="22"/>
  <c r="J223" i="22"/>
  <c r="K223" i="22"/>
  <c r="J224" i="22"/>
  <c r="K224" i="22"/>
  <c r="J225" i="22"/>
  <c r="K225" i="22"/>
  <c r="J226" i="22"/>
  <c r="K226" i="22"/>
  <c r="J227" i="22"/>
  <c r="K227" i="22"/>
  <c r="J228" i="22"/>
  <c r="K228" i="22"/>
  <c r="J229" i="22"/>
  <c r="K229" i="22"/>
  <c r="J230" i="22"/>
  <c r="K230" i="22"/>
  <c r="J231" i="22"/>
  <c r="K231" i="22"/>
  <c r="J232" i="22"/>
  <c r="K232" i="22"/>
  <c r="J233" i="22"/>
  <c r="K233" i="22"/>
  <c r="J234" i="22"/>
  <c r="K234" i="22"/>
  <c r="J235" i="22"/>
  <c r="K235" i="22"/>
  <c r="J236" i="22"/>
  <c r="K236" i="22"/>
  <c r="J237" i="22"/>
  <c r="K237" i="22"/>
  <c r="J238" i="22"/>
  <c r="K238" i="22"/>
  <c r="J239" i="22"/>
  <c r="K239" i="22"/>
  <c r="J240" i="22"/>
  <c r="K240" i="22"/>
  <c r="J241" i="22"/>
  <c r="K241" i="22"/>
  <c r="J242" i="22"/>
  <c r="K242" i="22"/>
  <c r="J243" i="22"/>
  <c r="K243" i="22"/>
  <c r="J244" i="22"/>
  <c r="K244" i="22"/>
  <c r="J245" i="22"/>
  <c r="K245" i="22"/>
  <c r="J246" i="22"/>
  <c r="K246" i="22"/>
  <c r="J247" i="22"/>
  <c r="K247" i="22"/>
  <c r="K176" i="30"/>
  <c r="K174" i="30"/>
  <c r="K175" i="30"/>
  <c r="K177" i="30"/>
  <c r="K178" i="30"/>
  <c r="K173" i="30"/>
  <c r="J144" i="21" l="1"/>
  <c r="K144" i="21"/>
  <c r="J145" i="21"/>
  <c r="K145" i="21"/>
  <c r="J146" i="21"/>
  <c r="K146" i="21"/>
  <c r="J147" i="21"/>
  <c r="K147" i="21"/>
  <c r="J148" i="21"/>
  <c r="K148" i="21"/>
  <c r="J149" i="21"/>
  <c r="K149" i="21"/>
  <c r="J150" i="21"/>
  <c r="K150" i="21"/>
  <c r="J151" i="21"/>
  <c r="K151" i="21"/>
  <c r="J152" i="21"/>
  <c r="K152" i="21"/>
  <c r="J153" i="21"/>
  <c r="K153" i="21"/>
  <c r="J154" i="21"/>
  <c r="K154" i="21"/>
  <c r="J155" i="21"/>
  <c r="K155" i="21"/>
  <c r="J156" i="21"/>
  <c r="K156" i="21"/>
  <c r="J157" i="21"/>
  <c r="K157" i="21"/>
  <c r="J158" i="21"/>
  <c r="K158" i="21"/>
  <c r="J269" i="34" l="1"/>
  <c r="K269" i="34"/>
  <c r="J270" i="34"/>
  <c r="K270" i="34"/>
  <c r="J271" i="34"/>
  <c r="K271" i="34"/>
  <c r="J272" i="34"/>
  <c r="K272" i="34"/>
  <c r="J273" i="34"/>
  <c r="K273" i="34"/>
  <c r="J274" i="34"/>
  <c r="K274" i="34"/>
  <c r="J275" i="34"/>
  <c r="K275" i="34"/>
  <c r="J276" i="34"/>
  <c r="K276" i="34"/>
  <c r="J277" i="34"/>
  <c r="K277" i="34"/>
  <c r="J278" i="34"/>
  <c r="K278" i="34"/>
  <c r="J279" i="34"/>
  <c r="K279" i="34"/>
  <c r="J137" i="29"/>
  <c r="K137" i="29"/>
  <c r="J138" i="29"/>
  <c r="K138" i="29"/>
  <c r="J139" i="29"/>
  <c r="K139" i="29"/>
  <c r="J140" i="29"/>
  <c r="K140" i="29"/>
  <c r="J141" i="29"/>
  <c r="K141" i="29"/>
  <c r="J142" i="29"/>
  <c r="K142" i="29"/>
  <c r="J143" i="29"/>
  <c r="K143" i="29"/>
  <c r="J138" i="39" l="1"/>
  <c r="J137" i="39"/>
  <c r="J166" i="24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91" i="6"/>
  <c r="K692" i="6"/>
  <c r="K693" i="6"/>
  <c r="K694" i="6"/>
  <c r="K695" i="6"/>
  <c r="J201" i="33"/>
  <c r="K201" i="33"/>
  <c r="J202" i="33"/>
  <c r="K202" i="33"/>
  <c r="J203" i="33"/>
  <c r="K203" i="33"/>
  <c r="J204" i="33"/>
  <c r="K204" i="33"/>
  <c r="J205" i="33"/>
  <c r="K205" i="33"/>
  <c r="J206" i="33"/>
  <c r="K206" i="33"/>
  <c r="J207" i="33"/>
  <c r="K207" i="33"/>
  <c r="J208" i="33"/>
  <c r="K208" i="33"/>
  <c r="J209" i="33"/>
  <c r="K209" i="33"/>
  <c r="J165" i="24"/>
  <c r="K138" i="21"/>
  <c r="K139" i="21"/>
  <c r="K140" i="21"/>
  <c r="K141" i="21"/>
  <c r="K142" i="21"/>
  <c r="K143" i="21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K137" i="21"/>
  <c r="J137" i="21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02" i="22"/>
  <c r="J203" i="22"/>
  <c r="J204" i="22"/>
  <c r="J205" i="22"/>
  <c r="J206" i="22"/>
  <c r="J207" i="22"/>
  <c r="J208" i="22"/>
  <c r="J209" i="22"/>
  <c r="J210" i="22"/>
  <c r="J211" i="22"/>
  <c r="J212" i="22"/>
  <c r="J213" i="22"/>
  <c r="J214" i="22"/>
  <c r="J215" i="22"/>
  <c r="J216" i="22"/>
  <c r="J217" i="22"/>
  <c r="J218" i="22"/>
  <c r="J219" i="22"/>
  <c r="J220" i="22"/>
  <c r="J221" i="22"/>
  <c r="K186" i="30"/>
  <c r="J186" i="30"/>
  <c r="J630" i="2"/>
  <c r="K630" i="2"/>
  <c r="J631" i="2"/>
  <c r="K631" i="2"/>
  <c r="J632" i="2"/>
  <c r="K632" i="2"/>
  <c r="J641" i="2"/>
  <c r="K641" i="2"/>
  <c r="J642" i="2"/>
  <c r="K642" i="2"/>
  <c r="J643" i="2"/>
  <c r="K643" i="2"/>
  <c r="J644" i="2"/>
  <c r="K644" i="2"/>
  <c r="J645" i="2"/>
  <c r="K645" i="2"/>
  <c r="J646" i="2"/>
  <c r="K646" i="2"/>
  <c r="J647" i="2"/>
  <c r="K647" i="2"/>
  <c r="J648" i="2"/>
  <c r="K648" i="2"/>
  <c r="J649" i="2"/>
  <c r="K649" i="2"/>
  <c r="J650" i="2"/>
  <c r="K650" i="2"/>
  <c r="J651" i="2"/>
  <c r="K651" i="2"/>
  <c r="K652" i="2"/>
  <c r="J653" i="2"/>
  <c r="K653" i="2"/>
  <c r="J654" i="2"/>
  <c r="K654" i="2"/>
  <c r="J655" i="2"/>
  <c r="K655" i="2"/>
  <c r="J656" i="2"/>
  <c r="K656" i="2"/>
  <c r="J657" i="2"/>
  <c r="K657" i="2"/>
  <c r="J658" i="2"/>
  <c r="K658" i="2"/>
  <c r="J659" i="2"/>
  <c r="K659" i="2"/>
  <c r="J660" i="2"/>
  <c r="K660" i="2"/>
  <c r="J661" i="2"/>
  <c r="K661" i="2"/>
  <c r="J662" i="2"/>
  <c r="K662" i="2"/>
  <c r="J663" i="2"/>
  <c r="K663" i="2"/>
  <c r="J664" i="2"/>
  <c r="K664" i="2"/>
  <c r="J665" i="2"/>
  <c r="K665" i="2"/>
  <c r="J666" i="2"/>
  <c r="K666" i="2"/>
  <c r="J667" i="2"/>
  <c r="K667" i="2"/>
  <c r="J668" i="2"/>
  <c r="K668" i="2"/>
  <c r="K188" i="22"/>
  <c r="K189" i="22"/>
  <c r="J164" i="24"/>
  <c r="J163" i="24"/>
  <c r="K166" i="24" l="1"/>
  <c r="J162" i="24"/>
  <c r="J161" i="24"/>
  <c r="J144" i="25"/>
  <c r="J145" i="25"/>
  <c r="J146" i="25"/>
  <c r="J147" i="25"/>
  <c r="J148" i="25"/>
  <c r="J149" i="25"/>
  <c r="J150" i="25"/>
  <c r="J151" i="25"/>
  <c r="J152" i="25"/>
  <c r="J153" i="25"/>
  <c r="J154" i="25"/>
  <c r="J155" i="25"/>
  <c r="J156" i="25"/>
  <c r="J157" i="25"/>
  <c r="J158" i="25"/>
  <c r="J159" i="25"/>
  <c r="J160" i="25"/>
  <c r="J161" i="25"/>
  <c r="J162" i="25"/>
  <c r="J163" i="25"/>
  <c r="J164" i="25"/>
  <c r="J165" i="25"/>
  <c r="J166" i="25"/>
  <c r="J167" i="25"/>
  <c r="J168" i="25"/>
  <c r="J169" i="25"/>
  <c r="J170" i="25"/>
  <c r="J171" i="25"/>
  <c r="J172" i="25"/>
  <c r="J173" i="25"/>
  <c r="J174" i="25"/>
  <c r="J175" i="25"/>
  <c r="J176" i="25"/>
  <c r="J238" i="15"/>
  <c r="K238" i="15"/>
  <c r="J239" i="15"/>
  <c r="K239" i="15"/>
  <c r="J240" i="15"/>
  <c r="K240" i="15"/>
  <c r="J241" i="15"/>
  <c r="K241" i="15"/>
  <c r="J242" i="15"/>
  <c r="K242" i="15"/>
  <c r="J243" i="15"/>
  <c r="K243" i="15"/>
  <c r="J244" i="15"/>
  <c r="K244" i="15"/>
  <c r="J245" i="15"/>
  <c r="K245" i="15"/>
  <c r="J246" i="15"/>
  <c r="K246" i="15"/>
  <c r="J247" i="15"/>
  <c r="K247" i="15"/>
  <c r="J255" i="15"/>
  <c r="K255" i="15"/>
  <c r="J256" i="15"/>
  <c r="K256" i="15"/>
  <c r="J257" i="15"/>
  <c r="K257" i="15"/>
  <c r="J258" i="15"/>
  <c r="K258" i="15"/>
  <c r="J259" i="15"/>
  <c r="K259" i="15"/>
  <c r="J260" i="15"/>
  <c r="K260" i="15"/>
  <c r="J261" i="15"/>
  <c r="K261" i="15"/>
  <c r="J262" i="15"/>
  <c r="K262" i="15"/>
  <c r="J263" i="15"/>
  <c r="K263" i="15"/>
  <c r="J264" i="15"/>
  <c r="K264" i="15"/>
  <c r="J265" i="15"/>
  <c r="K265" i="15"/>
  <c r="J266" i="15"/>
  <c r="K266" i="15"/>
  <c r="J267" i="15"/>
  <c r="K267" i="15"/>
  <c r="J268" i="15"/>
  <c r="K268" i="15"/>
  <c r="J269" i="15"/>
  <c r="K269" i="15"/>
  <c r="J270" i="15"/>
  <c r="K270" i="15"/>
  <c r="J271" i="15"/>
  <c r="K271" i="15"/>
  <c r="J272" i="15"/>
  <c r="K272" i="15"/>
  <c r="J273" i="15"/>
  <c r="K273" i="15"/>
  <c r="J274" i="15"/>
  <c r="K274" i="15"/>
  <c r="J275" i="15"/>
  <c r="K275" i="15"/>
  <c r="J276" i="15"/>
  <c r="K276" i="15"/>
  <c r="J277" i="15"/>
  <c r="K277" i="15"/>
  <c r="J278" i="15"/>
  <c r="K278" i="15"/>
  <c r="J279" i="15"/>
  <c r="K279" i="15"/>
  <c r="J160" i="24" l="1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J159" i="24"/>
  <c r="J158" i="24"/>
  <c r="J317" i="16"/>
  <c r="K317" i="16"/>
  <c r="J318" i="16"/>
  <c r="K318" i="16"/>
  <c r="J319" i="16"/>
  <c r="K319" i="16"/>
  <c r="J320" i="16"/>
  <c r="K320" i="16"/>
  <c r="J321" i="16"/>
  <c r="K321" i="16"/>
  <c r="J322" i="16"/>
  <c r="K322" i="16"/>
  <c r="J323" i="16"/>
  <c r="K323" i="16"/>
  <c r="J324" i="16"/>
  <c r="K324" i="16"/>
  <c r="J325" i="16"/>
  <c r="K325" i="16"/>
  <c r="J334" i="16"/>
  <c r="K334" i="16"/>
  <c r="J335" i="16"/>
  <c r="K335" i="16"/>
  <c r="J336" i="16"/>
  <c r="K336" i="16"/>
  <c r="J337" i="16"/>
  <c r="K337" i="16"/>
  <c r="J338" i="16"/>
  <c r="K338" i="16"/>
  <c r="J339" i="16"/>
  <c r="K339" i="16"/>
  <c r="J340" i="16"/>
  <c r="K340" i="16"/>
  <c r="J341" i="16"/>
  <c r="K341" i="16"/>
  <c r="J342" i="16"/>
  <c r="K342" i="16"/>
  <c r="J343" i="16"/>
  <c r="K343" i="16"/>
  <c r="J344" i="16"/>
  <c r="K344" i="16"/>
  <c r="J345" i="16"/>
  <c r="K345" i="16"/>
  <c r="J346" i="16"/>
  <c r="K346" i="16"/>
  <c r="J347" i="16"/>
  <c r="K347" i="16"/>
  <c r="J348" i="16"/>
  <c r="K348" i="16"/>
  <c r="J349" i="16"/>
  <c r="K349" i="16"/>
  <c r="J350" i="16"/>
  <c r="K350" i="16"/>
  <c r="J351" i="16"/>
  <c r="K351" i="16"/>
  <c r="J352" i="16"/>
  <c r="K352" i="16"/>
  <c r="J353" i="16"/>
  <c r="K353" i="16"/>
  <c r="J354" i="16"/>
  <c r="K354" i="16"/>
  <c r="J355" i="16"/>
  <c r="K355" i="16"/>
  <c r="J356" i="16"/>
  <c r="K356" i="16"/>
  <c r="J357" i="16"/>
  <c r="K357" i="16"/>
  <c r="J358" i="16"/>
  <c r="K358" i="16"/>
  <c r="J359" i="16"/>
  <c r="K359" i="16"/>
  <c r="J360" i="16"/>
  <c r="K360" i="16"/>
  <c r="J361" i="16"/>
  <c r="K361" i="16"/>
  <c r="J362" i="16"/>
  <c r="K362" i="16"/>
  <c r="J363" i="16"/>
  <c r="K363" i="16"/>
  <c r="J364" i="16"/>
  <c r="K364" i="16"/>
  <c r="J365" i="16"/>
  <c r="K365" i="16"/>
  <c r="J366" i="16"/>
  <c r="K366" i="16"/>
  <c r="J367" i="16"/>
  <c r="K367" i="16"/>
  <c r="J368" i="16"/>
  <c r="K368" i="16"/>
  <c r="J369" i="16"/>
  <c r="K369" i="16"/>
  <c r="J486" i="5"/>
  <c r="K486" i="5"/>
  <c r="J487" i="5"/>
  <c r="K487" i="5"/>
  <c r="J488" i="5"/>
  <c r="K488" i="5"/>
  <c r="J489" i="5"/>
  <c r="K489" i="5"/>
  <c r="J490" i="5"/>
  <c r="K490" i="5"/>
  <c r="J491" i="5"/>
  <c r="K491" i="5"/>
  <c r="J492" i="5"/>
  <c r="K492" i="5"/>
  <c r="J493" i="5"/>
  <c r="K493" i="5"/>
  <c r="J494" i="5"/>
  <c r="K494" i="5"/>
  <c r="J495" i="5"/>
  <c r="K495" i="5"/>
  <c r="J496" i="5"/>
  <c r="K496" i="5"/>
  <c r="J497" i="5"/>
  <c r="K497" i="5"/>
  <c r="J498" i="5"/>
  <c r="K498" i="5"/>
  <c r="J499" i="5"/>
  <c r="K499" i="5"/>
  <c r="J507" i="5"/>
  <c r="K507" i="5"/>
  <c r="J508" i="5"/>
  <c r="K508" i="5"/>
  <c r="J509" i="5"/>
  <c r="K509" i="5"/>
  <c r="J510" i="5"/>
  <c r="K510" i="5"/>
  <c r="J511" i="5"/>
  <c r="K511" i="5"/>
  <c r="J512" i="5"/>
  <c r="K512" i="5"/>
  <c r="J513" i="5"/>
  <c r="K513" i="5"/>
  <c r="J514" i="5"/>
  <c r="K514" i="5"/>
  <c r="J515" i="5"/>
  <c r="K515" i="5"/>
  <c r="J516" i="5"/>
  <c r="K516" i="5"/>
  <c r="J517" i="5"/>
  <c r="K517" i="5"/>
  <c r="J518" i="5"/>
  <c r="K518" i="5"/>
  <c r="J519" i="5"/>
  <c r="K519" i="5"/>
  <c r="J157" i="24" l="1"/>
  <c r="J114" i="19"/>
  <c r="K114" i="19"/>
  <c r="J115" i="19"/>
  <c r="K115" i="19"/>
  <c r="J116" i="19"/>
  <c r="K116" i="19"/>
  <c r="J117" i="19"/>
  <c r="K117" i="19"/>
  <c r="J118" i="19"/>
  <c r="K118" i="19"/>
  <c r="J119" i="19"/>
  <c r="K119" i="19"/>
  <c r="J120" i="19"/>
  <c r="K120" i="19"/>
  <c r="J121" i="19"/>
  <c r="K121" i="19"/>
  <c r="J122" i="19"/>
  <c r="K122" i="19"/>
  <c r="J123" i="19"/>
  <c r="K123" i="19"/>
  <c r="J124" i="19"/>
  <c r="K124" i="19"/>
  <c r="J125" i="19"/>
  <c r="K125" i="19"/>
  <c r="J126" i="19"/>
  <c r="K126" i="19"/>
  <c r="J127" i="19"/>
  <c r="K127" i="19"/>
  <c r="J128" i="19"/>
  <c r="K128" i="19"/>
  <c r="J129" i="19"/>
  <c r="K129" i="19"/>
  <c r="J130" i="19"/>
  <c r="K130" i="19"/>
  <c r="J131" i="19"/>
  <c r="K131" i="19"/>
  <c r="J132" i="19"/>
  <c r="K132" i="19"/>
  <c r="J133" i="19"/>
  <c r="K133" i="19"/>
  <c r="J134" i="19"/>
  <c r="K134" i="19"/>
  <c r="J135" i="19"/>
  <c r="K135" i="19"/>
  <c r="J136" i="19"/>
  <c r="K136" i="19"/>
  <c r="J137" i="19"/>
  <c r="K137" i="19"/>
  <c r="J138" i="19"/>
  <c r="K138" i="19"/>
  <c r="J139" i="19"/>
  <c r="K139" i="19"/>
  <c r="J140" i="19"/>
  <c r="K140" i="19"/>
  <c r="J141" i="19"/>
  <c r="K141" i="19"/>
  <c r="J142" i="19"/>
  <c r="K142" i="19"/>
  <c r="J143" i="19"/>
  <c r="K143" i="19"/>
  <c r="J144" i="19"/>
  <c r="K144" i="19"/>
  <c r="J145" i="19"/>
  <c r="K145" i="19"/>
  <c r="J146" i="19"/>
  <c r="K146" i="19"/>
  <c r="J147" i="19"/>
  <c r="K147" i="19"/>
  <c r="J148" i="19"/>
  <c r="K148" i="19"/>
  <c r="K112" i="19"/>
  <c r="J112" i="19"/>
  <c r="K111" i="19"/>
  <c r="J111" i="19"/>
  <c r="J408" i="9" l="1"/>
  <c r="J156" i="24"/>
  <c r="J161" i="35" l="1"/>
  <c r="K161" i="35"/>
  <c r="J162" i="35"/>
  <c r="K162" i="35"/>
  <c r="J163" i="35"/>
  <c r="K163" i="35"/>
  <c r="J164" i="35"/>
  <c r="K164" i="35"/>
  <c r="J165" i="35"/>
  <c r="K165" i="35"/>
  <c r="J166" i="35"/>
  <c r="K166" i="35"/>
  <c r="J167" i="35"/>
  <c r="K167" i="35"/>
  <c r="J168" i="35"/>
  <c r="K168" i="35"/>
  <c r="J169" i="35"/>
  <c r="K169" i="35"/>
  <c r="J170" i="35"/>
  <c r="K170" i="35"/>
  <c r="J171" i="35"/>
  <c r="K171" i="35"/>
  <c r="J172" i="35"/>
  <c r="K172" i="35"/>
  <c r="J173" i="35"/>
  <c r="K173" i="35"/>
  <c r="J174" i="35"/>
  <c r="K174" i="35"/>
  <c r="J175" i="35"/>
  <c r="K175" i="35"/>
  <c r="J176" i="35"/>
  <c r="K176" i="35"/>
  <c r="J177" i="35"/>
  <c r="K177" i="35"/>
  <c r="J178" i="35"/>
  <c r="K178" i="35"/>
  <c r="J179" i="35"/>
  <c r="K179" i="35"/>
  <c r="J180" i="35"/>
  <c r="K180" i="35"/>
  <c r="J181" i="35"/>
  <c r="K181" i="35"/>
  <c r="J182" i="35"/>
  <c r="K182" i="35"/>
  <c r="J183" i="35"/>
  <c r="K183" i="35"/>
  <c r="J184" i="35"/>
  <c r="K184" i="35"/>
  <c r="J185" i="35"/>
  <c r="K185" i="35"/>
  <c r="J186" i="35"/>
  <c r="K186" i="35"/>
  <c r="J187" i="35"/>
  <c r="K187" i="35"/>
  <c r="J188" i="35"/>
  <c r="K188" i="35"/>
  <c r="J189" i="35"/>
  <c r="K189" i="35"/>
  <c r="J190" i="35"/>
  <c r="K190" i="35"/>
  <c r="J191" i="35"/>
  <c r="K191" i="35"/>
  <c r="J192" i="35"/>
  <c r="K192" i="35"/>
  <c r="J193" i="35"/>
  <c r="K193" i="35"/>
  <c r="J194" i="35"/>
  <c r="K194" i="35"/>
  <c r="J195" i="35"/>
  <c r="K195" i="35"/>
  <c r="J196" i="35"/>
  <c r="K196" i="35"/>
  <c r="J197" i="35"/>
  <c r="K197" i="35"/>
  <c r="K160" i="35"/>
  <c r="J160" i="35"/>
  <c r="K159" i="35"/>
  <c r="J159" i="35"/>
  <c r="K505" i="7" l="1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31" i="7"/>
  <c r="J532" i="7"/>
  <c r="J533" i="7"/>
  <c r="J534" i="7"/>
  <c r="J535" i="7"/>
  <c r="J536" i="7"/>
  <c r="J537" i="7"/>
  <c r="J538" i="7"/>
  <c r="J539" i="7"/>
  <c r="J540" i="7"/>
  <c r="J221" i="32"/>
  <c r="K221" i="32"/>
  <c r="J222" i="32"/>
  <c r="K222" i="32"/>
  <c r="J223" i="32"/>
  <c r="K223" i="32"/>
  <c r="J224" i="32"/>
  <c r="K224" i="32"/>
  <c r="J225" i="32"/>
  <c r="K225" i="32"/>
  <c r="J226" i="32"/>
  <c r="K226" i="32"/>
  <c r="J227" i="32"/>
  <c r="K227" i="32"/>
  <c r="J228" i="32"/>
  <c r="K228" i="32"/>
  <c r="J229" i="32"/>
  <c r="K229" i="32"/>
  <c r="J230" i="32"/>
  <c r="K230" i="32"/>
  <c r="J231" i="32"/>
  <c r="K231" i="32"/>
  <c r="J232" i="32"/>
  <c r="K232" i="32"/>
  <c r="J233" i="32"/>
  <c r="K233" i="32"/>
  <c r="J234" i="32"/>
  <c r="K234" i="32"/>
  <c r="J235" i="32"/>
  <c r="K235" i="32"/>
  <c r="J236" i="32"/>
  <c r="K236" i="32"/>
  <c r="J237" i="32"/>
  <c r="K237" i="32"/>
  <c r="J238" i="32"/>
  <c r="K238" i="32"/>
  <c r="J239" i="32"/>
  <c r="K239" i="32"/>
  <c r="J240" i="32"/>
  <c r="K240" i="32"/>
  <c r="J241" i="32"/>
  <c r="K241" i="32"/>
  <c r="J242" i="32"/>
  <c r="K242" i="32"/>
  <c r="J243" i="32"/>
  <c r="K243" i="32"/>
  <c r="J244" i="32"/>
  <c r="K244" i="32"/>
  <c r="J245" i="32"/>
  <c r="K245" i="32"/>
  <c r="J246" i="32"/>
  <c r="K246" i="32"/>
  <c r="J247" i="32"/>
  <c r="K247" i="32"/>
  <c r="J248" i="32"/>
  <c r="K248" i="32"/>
  <c r="J249" i="32"/>
  <c r="K249" i="32"/>
  <c r="J250" i="32"/>
  <c r="K250" i="32"/>
  <c r="J251" i="32"/>
  <c r="K251" i="32"/>
  <c r="J252" i="32"/>
  <c r="K252" i="32"/>
  <c r="J253" i="32"/>
  <c r="K253" i="32"/>
  <c r="J254" i="32"/>
  <c r="K254" i="32"/>
  <c r="J255" i="32"/>
  <c r="K255" i="32"/>
  <c r="J256" i="32"/>
  <c r="K256" i="32"/>
  <c r="J257" i="32"/>
  <c r="K257" i="32"/>
  <c r="J258" i="32"/>
  <c r="K258" i="32"/>
  <c r="J155" i="24"/>
  <c r="J414" i="10"/>
  <c r="J407" i="9"/>
  <c r="K190" i="33"/>
  <c r="J190" i="33"/>
  <c r="K189" i="33"/>
  <c r="J189" i="33"/>
  <c r="J504" i="7"/>
  <c r="J154" i="24"/>
  <c r="J503" i="7"/>
  <c r="J253" i="28"/>
  <c r="K253" i="28"/>
  <c r="J254" i="28"/>
  <c r="K254" i="28"/>
  <c r="J255" i="28"/>
  <c r="K255" i="28"/>
  <c r="J256" i="28"/>
  <c r="K256" i="28"/>
  <c r="J257" i="28"/>
  <c r="K257" i="28"/>
  <c r="J258" i="28"/>
  <c r="K258" i="28"/>
  <c r="J259" i="28"/>
  <c r="K259" i="28"/>
  <c r="J260" i="28"/>
  <c r="K260" i="28"/>
  <c r="J261" i="28"/>
  <c r="K261" i="28"/>
  <c r="J262" i="28"/>
  <c r="K262" i="28"/>
  <c r="J263" i="28"/>
  <c r="K263" i="28"/>
  <c r="J264" i="28"/>
  <c r="K264" i="28"/>
  <c r="J265" i="28"/>
  <c r="K265" i="28"/>
  <c r="J266" i="28"/>
  <c r="K266" i="28"/>
  <c r="J267" i="28"/>
  <c r="K267" i="28"/>
  <c r="J268" i="28"/>
  <c r="K268" i="28"/>
  <c r="J269" i="28"/>
  <c r="K269" i="28"/>
  <c r="J279" i="28"/>
  <c r="J280" i="28"/>
  <c r="J281" i="28"/>
  <c r="J413" i="10"/>
  <c r="J406" i="9"/>
  <c r="K82" i="40"/>
  <c r="K213" i="32"/>
  <c r="J213" i="32"/>
  <c r="K212" i="32"/>
  <c r="J212" i="32"/>
  <c r="J153" i="24"/>
  <c r="J226" i="17"/>
  <c r="K242" i="34"/>
  <c r="K243" i="34"/>
  <c r="K240" i="34"/>
  <c r="K241" i="34"/>
  <c r="K114" i="21" l="1"/>
  <c r="K113" i="21"/>
  <c r="J113" i="21"/>
  <c r="K155" i="27"/>
  <c r="K154" i="27"/>
  <c r="J154" i="27"/>
  <c r="J242" i="34"/>
  <c r="J240" i="34"/>
  <c r="J502" i="7"/>
  <c r="J152" i="24" l="1"/>
  <c r="J501" i="7"/>
  <c r="J174" i="27"/>
  <c r="K174" i="27"/>
  <c r="J175" i="27"/>
  <c r="K175" i="27"/>
  <c r="J176" i="27"/>
  <c r="K176" i="27"/>
  <c r="J177" i="27"/>
  <c r="K177" i="27"/>
  <c r="J178" i="27"/>
  <c r="K178" i="27"/>
  <c r="J179" i="27"/>
  <c r="K179" i="27"/>
  <c r="J180" i="27"/>
  <c r="K180" i="27"/>
  <c r="J181" i="27"/>
  <c r="K181" i="27"/>
  <c r="J182" i="27"/>
  <c r="K182" i="27"/>
  <c r="J183" i="27"/>
  <c r="K183" i="27"/>
  <c r="J184" i="27"/>
  <c r="K184" i="27"/>
  <c r="J185" i="27"/>
  <c r="K185" i="27"/>
  <c r="J186" i="27"/>
  <c r="K186" i="27"/>
  <c r="J187" i="27"/>
  <c r="K187" i="27"/>
  <c r="J188" i="27"/>
  <c r="K188" i="27"/>
  <c r="J189" i="27"/>
  <c r="K189" i="27"/>
  <c r="J190" i="27"/>
  <c r="K190" i="27"/>
  <c r="J191" i="27"/>
  <c r="K191" i="27"/>
  <c r="J192" i="27"/>
  <c r="K192" i="27"/>
  <c r="J193" i="27"/>
  <c r="K193" i="27"/>
  <c r="J208" i="27"/>
  <c r="K208" i="27"/>
  <c r="J209" i="27"/>
  <c r="K209" i="27"/>
  <c r="J210" i="27"/>
  <c r="K210" i="27"/>
  <c r="J211" i="27"/>
  <c r="K211" i="27"/>
  <c r="J212" i="27"/>
  <c r="K212" i="27"/>
  <c r="J213" i="27"/>
  <c r="K213" i="27"/>
  <c r="J214" i="27"/>
  <c r="K214" i="27"/>
  <c r="J215" i="27"/>
  <c r="K215" i="27"/>
  <c r="J216" i="27"/>
  <c r="K216" i="27"/>
  <c r="J217" i="27"/>
  <c r="K217" i="27"/>
  <c r="J218" i="27"/>
  <c r="K218" i="27"/>
  <c r="J219" i="27"/>
  <c r="K219" i="27"/>
  <c r="J220" i="27"/>
  <c r="K220" i="27"/>
  <c r="J221" i="27"/>
  <c r="K221" i="27"/>
  <c r="J222" i="27"/>
  <c r="K222" i="27"/>
  <c r="J223" i="27"/>
  <c r="K223" i="27"/>
  <c r="J224" i="27"/>
  <c r="K224" i="27"/>
  <c r="J225" i="27"/>
  <c r="K225" i="27"/>
  <c r="J226" i="27"/>
  <c r="K226" i="27"/>
  <c r="J227" i="27"/>
  <c r="K227" i="27"/>
  <c r="J228" i="27"/>
  <c r="K228" i="27"/>
  <c r="J229" i="27"/>
  <c r="K229" i="27"/>
  <c r="J230" i="27"/>
  <c r="K230" i="27"/>
  <c r="J231" i="27"/>
  <c r="K231" i="27"/>
  <c r="J232" i="27"/>
  <c r="K232" i="27"/>
  <c r="J233" i="27"/>
  <c r="K233" i="27"/>
  <c r="J234" i="27"/>
  <c r="K234" i="27"/>
  <c r="J235" i="27"/>
  <c r="K235" i="27"/>
  <c r="J236" i="27"/>
  <c r="K236" i="27"/>
  <c r="J237" i="27"/>
  <c r="K237" i="27"/>
  <c r="J238" i="27"/>
  <c r="K238" i="27"/>
  <c r="J239" i="27"/>
  <c r="K239" i="27"/>
  <c r="J240" i="27"/>
  <c r="K240" i="27"/>
  <c r="J241" i="27"/>
  <c r="K241" i="27"/>
  <c r="J242" i="27"/>
  <c r="K242" i="27"/>
  <c r="J243" i="27"/>
  <c r="K243" i="27"/>
  <c r="J244" i="27"/>
  <c r="K244" i="27"/>
  <c r="J245" i="27"/>
  <c r="K245" i="27"/>
  <c r="J246" i="27"/>
  <c r="K246" i="27"/>
  <c r="J151" i="24"/>
  <c r="J412" i="10"/>
  <c r="J405" i="9"/>
  <c r="J225" i="17"/>
  <c r="J228" i="17"/>
  <c r="K228" i="17"/>
  <c r="J229" i="17"/>
  <c r="K229" i="17"/>
  <c r="J230" i="17"/>
  <c r="K230" i="17"/>
  <c r="J231" i="17"/>
  <c r="K231" i="17"/>
  <c r="J232" i="17"/>
  <c r="K232" i="17"/>
  <c r="J233" i="17"/>
  <c r="K233" i="17"/>
  <c r="J234" i="17"/>
  <c r="K234" i="17"/>
  <c r="J235" i="17"/>
  <c r="K235" i="17"/>
  <c r="J236" i="17"/>
  <c r="K236" i="17"/>
  <c r="J237" i="17"/>
  <c r="K237" i="17"/>
  <c r="J238" i="17"/>
  <c r="K238" i="17"/>
  <c r="J239" i="17"/>
  <c r="K239" i="17"/>
  <c r="J240" i="17"/>
  <c r="K240" i="17"/>
  <c r="J241" i="17"/>
  <c r="K241" i="17"/>
  <c r="J242" i="17"/>
  <c r="K242" i="17"/>
  <c r="J243" i="17"/>
  <c r="K243" i="17"/>
  <c r="J244" i="17"/>
  <c r="K244" i="17"/>
  <c r="J245" i="17"/>
  <c r="K245" i="17"/>
  <c r="J246" i="17"/>
  <c r="K246" i="17"/>
  <c r="J247" i="17"/>
  <c r="K247" i="17"/>
  <c r="J248" i="17"/>
  <c r="K248" i="17"/>
  <c r="J249" i="17"/>
  <c r="K249" i="17"/>
  <c r="J250" i="17"/>
  <c r="K250" i="17"/>
  <c r="J251" i="17"/>
  <c r="K251" i="17"/>
  <c r="J252" i="17"/>
  <c r="K252" i="17"/>
  <c r="J253" i="17"/>
  <c r="K253" i="17"/>
  <c r="J254" i="17"/>
  <c r="K254" i="17"/>
  <c r="J255" i="17"/>
  <c r="K255" i="17"/>
  <c r="J256" i="17"/>
  <c r="K256" i="17"/>
  <c r="J257" i="17"/>
  <c r="K257" i="17"/>
  <c r="J258" i="17"/>
  <c r="K258" i="17"/>
  <c r="J259" i="17"/>
  <c r="K259" i="17"/>
  <c r="J500" i="7"/>
  <c r="J243" i="34"/>
  <c r="J244" i="34"/>
  <c r="K244" i="34"/>
  <c r="J245" i="34"/>
  <c r="K245" i="34"/>
  <c r="J246" i="34"/>
  <c r="K246" i="34"/>
  <c r="J247" i="34"/>
  <c r="K247" i="34"/>
  <c r="J248" i="34"/>
  <c r="K248" i="34"/>
  <c r="J249" i="34"/>
  <c r="K249" i="34"/>
  <c r="J250" i="34"/>
  <c r="K250" i="34"/>
  <c r="J251" i="34"/>
  <c r="K251" i="34"/>
  <c r="J252" i="34"/>
  <c r="K252" i="34"/>
  <c r="J253" i="34"/>
  <c r="K253" i="34"/>
  <c r="J254" i="34"/>
  <c r="K254" i="34"/>
  <c r="J255" i="34"/>
  <c r="K255" i="34"/>
  <c r="J256" i="34"/>
  <c r="K256" i="34"/>
  <c r="J257" i="34"/>
  <c r="K257" i="34"/>
  <c r="J258" i="34"/>
  <c r="K258" i="34"/>
  <c r="J259" i="34"/>
  <c r="K259" i="34"/>
  <c r="J260" i="34"/>
  <c r="K260" i="34"/>
  <c r="J261" i="34"/>
  <c r="K261" i="34"/>
  <c r="J262" i="34"/>
  <c r="K262" i="34"/>
  <c r="J263" i="34"/>
  <c r="K263" i="34"/>
  <c r="J264" i="34"/>
  <c r="K264" i="34"/>
  <c r="J265" i="34"/>
  <c r="K265" i="34"/>
  <c r="J266" i="34"/>
  <c r="K266" i="34"/>
  <c r="J267" i="34"/>
  <c r="K267" i="34"/>
  <c r="J268" i="34"/>
  <c r="K268" i="34"/>
  <c r="J660" i="6"/>
  <c r="J224" i="17"/>
  <c r="J499" i="7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91" i="6"/>
  <c r="J692" i="6"/>
  <c r="J693" i="6"/>
  <c r="J694" i="6"/>
  <c r="J695" i="6"/>
  <c r="J659" i="6"/>
  <c r="J411" i="10"/>
  <c r="J416" i="10"/>
  <c r="K416" i="10"/>
  <c r="J417" i="10"/>
  <c r="K417" i="10"/>
  <c r="J418" i="10"/>
  <c r="K418" i="10"/>
  <c r="J419" i="10"/>
  <c r="K419" i="10"/>
  <c r="J428" i="10"/>
  <c r="K428" i="10"/>
  <c r="J429" i="10"/>
  <c r="K429" i="10"/>
  <c r="J430" i="10"/>
  <c r="K430" i="10"/>
  <c r="J431" i="10"/>
  <c r="K431" i="10"/>
  <c r="J432" i="10"/>
  <c r="K432" i="10"/>
  <c r="J433" i="10"/>
  <c r="K433" i="10"/>
  <c r="J434" i="10"/>
  <c r="K434" i="10"/>
  <c r="J435" i="10"/>
  <c r="K435" i="10"/>
  <c r="J436" i="10"/>
  <c r="K436" i="10"/>
  <c r="J437" i="10"/>
  <c r="K437" i="10"/>
  <c r="J438" i="10"/>
  <c r="K438" i="10"/>
  <c r="J439" i="10"/>
  <c r="K439" i="10"/>
  <c r="J440" i="10"/>
  <c r="K440" i="10"/>
  <c r="J441" i="10"/>
  <c r="K441" i="10"/>
  <c r="J442" i="10"/>
  <c r="K442" i="10"/>
  <c r="J443" i="10"/>
  <c r="K443" i="10"/>
  <c r="J444" i="10"/>
  <c r="K444" i="10"/>
  <c r="J445" i="10"/>
  <c r="K445" i="10"/>
  <c r="J446" i="10"/>
  <c r="K446" i="10"/>
  <c r="J447" i="10"/>
  <c r="K447" i="10"/>
  <c r="J448" i="10"/>
  <c r="K448" i="10"/>
  <c r="J449" i="10"/>
  <c r="K449" i="10"/>
  <c r="J450" i="10"/>
  <c r="K450" i="10"/>
  <c r="J451" i="10"/>
  <c r="K451" i="10"/>
  <c r="J452" i="10"/>
  <c r="K452" i="10"/>
  <c r="J453" i="10"/>
  <c r="K453" i="10"/>
  <c r="J454" i="10"/>
  <c r="K454" i="10"/>
  <c r="J455" i="10"/>
  <c r="K455" i="10"/>
  <c r="J456" i="10"/>
  <c r="K456" i="10"/>
  <c r="J457" i="10"/>
  <c r="K457" i="10"/>
  <c r="J458" i="10"/>
  <c r="K458" i="10"/>
  <c r="J459" i="10"/>
  <c r="K459" i="10"/>
  <c r="J460" i="10"/>
  <c r="K460" i="10"/>
  <c r="J461" i="10"/>
  <c r="K461" i="10"/>
  <c r="J462" i="10"/>
  <c r="K462" i="10"/>
  <c r="J463" i="10"/>
  <c r="K463" i="10"/>
  <c r="J464" i="10"/>
  <c r="K464" i="10"/>
  <c r="J465" i="10"/>
  <c r="K465" i="10"/>
  <c r="J466" i="10"/>
  <c r="K466" i="10"/>
  <c r="J467" i="10"/>
  <c r="K467" i="10"/>
  <c r="J468" i="10"/>
  <c r="K468" i="10"/>
  <c r="J469" i="10"/>
  <c r="K469" i="10"/>
  <c r="J470" i="10"/>
  <c r="K470" i="10"/>
  <c r="J471" i="10"/>
  <c r="K471" i="10"/>
  <c r="J472" i="10"/>
  <c r="K472" i="10"/>
  <c r="J473" i="10"/>
  <c r="K473" i="10"/>
  <c r="J474" i="10"/>
  <c r="K474" i="10"/>
  <c r="J410" i="9"/>
  <c r="K410" i="9"/>
  <c r="J411" i="9"/>
  <c r="K411" i="9"/>
  <c r="J412" i="9"/>
  <c r="K412" i="9"/>
  <c r="J413" i="9"/>
  <c r="K413" i="9"/>
  <c r="J414" i="9"/>
  <c r="K414" i="9"/>
  <c r="J415" i="9"/>
  <c r="K415" i="9"/>
  <c r="J416" i="9"/>
  <c r="K416" i="9"/>
  <c r="J417" i="9"/>
  <c r="K417" i="9"/>
  <c r="J418" i="9"/>
  <c r="K418" i="9"/>
  <c r="J419" i="9"/>
  <c r="K419" i="9"/>
  <c r="J420" i="9"/>
  <c r="K420" i="9"/>
  <c r="J421" i="9"/>
  <c r="K421" i="9"/>
  <c r="J422" i="9"/>
  <c r="K422" i="9"/>
  <c r="J423" i="9"/>
  <c r="K423" i="9"/>
  <c r="J424" i="9"/>
  <c r="K424" i="9"/>
  <c r="J425" i="9"/>
  <c r="K425" i="9"/>
  <c r="J426" i="9"/>
  <c r="K426" i="9"/>
  <c r="J427" i="9"/>
  <c r="K427" i="9"/>
  <c r="J428" i="9"/>
  <c r="K428" i="9"/>
  <c r="J429" i="9"/>
  <c r="K429" i="9"/>
  <c r="J430" i="9"/>
  <c r="K430" i="9"/>
  <c r="J431" i="9"/>
  <c r="K431" i="9"/>
  <c r="J432" i="9"/>
  <c r="K432" i="9"/>
  <c r="J433" i="9"/>
  <c r="K433" i="9"/>
  <c r="J434" i="9"/>
  <c r="K434" i="9"/>
  <c r="J435" i="9"/>
  <c r="K435" i="9"/>
  <c r="J436" i="9"/>
  <c r="K436" i="9"/>
  <c r="J437" i="9"/>
  <c r="K437" i="9"/>
  <c r="J438" i="9"/>
  <c r="K438" i="9"/>
  <c r="J439" i="9"/>
  <c r="K439" i="9"/>
  <c r="J440" i="9"/>
  <c r="K440" i="9"/>
  <c r="J441" i="9"/>
  <c r="K441" i="9"/>
  <c r="J442" i="9"/>
  <c r="K442" i="9"/>
  <c r="J443" i="9"/>
  <c r="K443" i="9"/>
  <c r="J444" i="9"/>
  <c r="K444" i="9"/>
  <c r="J445" i="9"/>
  <c r="K445" i="9"/>
  <c r="J446" i="9"/>
  <c r="K446" i="9"/>
  <c r="J447" i="9"/>
  <c r="K447" i="9"/>
  <c r="J448" i="9"/>
  <c r="K448" i="9"/>
  <c r="J449" i="9"/>
  <c r="K449" i="9"/>
  <c r="J450" i="9"/>
  <c r="K450" i="9"/>
  <c r="J451" i="9"/>
  <c r="K451" i="9"/>
  <c r="J452" i="9"/>
  <c r="K452" i="9"/>
  <c r="J453" i="9"/>
  <c r="K453" i="9"/>
  <c r="J454" i="9"/>
  <c r="K454" i="9"/>
  <c r="J455" i="9"/>
  <c r="K455" i="9"/>
  <c r="J456" i="9"/>
  <c r="K456" i="9"/>
  <c r="J457" i="9"/>
  <c r="K457" i="9"/>
  <c r="J458" i="9"/>
  <c r="K458" i="9"/>
  <c r="J459" i="9"/>
  <c r="K459" i="9"/>
  <c r="J460" i="9"/>
  <c r="K460" i="9"/>
  <c r="J461" i="9"/>
  <c r="K461" i="9"/>
  <c r="J462" i="9"/>
  <c r="K462" i="9"/>
  <c r="J463" i="9"/>
  <c r="K463" i="9"/>
  <c r="J464" i="9"/>
  <c r="K464" i="9"/>
  <c r="J465" i="9"/>
  <c r="K465" i="9"/>
  <c r="J466" i="9"/>
  <c r="K466" i="9"/>
  <c r="J467" i="9"/>
  <c r="K467" i="9"/>
  <c r="J468" i="9"/>
  <c r="K468" i="9"/>
  <c r="J469" i="9"/>
  <c r="K469" i="9"/>
  <c r="J470" i="9"/>
  <c r="K470" i="9"/>
  <c r="J471" i="9"/>
  <c r="K471" i="9"/>
  <c r="J472" i="9"/>
  <c r="K472" i="9"/>
  <c r="J473" i="9"/>
  <c r="K473" i="9"/>
  <c r="J404" i="9"/>
  <c r="J150" i="24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11" i="18"/>
  <c r="J312" i="18"/>
  <c r="K312" i="18"/>
  <c r="J498" i="7"/>
  <c r="J658" i="6"/>
  <c r="J657" i="6"/>
  <c r="J79" i="40"/>
  <c r="K79" i="40"/>
  <c r="J80" i="40"/>
  <c r="K80" i="40"/>
  <c r="J81" i="40"/>
  <c r="K81" i="40"/>
  <c r="J82" i="40"/>
  <c r="J83" i="40"/>
  <c r="K83" i="40"/>
  <c r="J84" i="40"/>
  <c r="K84" i="40"/>
  <c r="J85" i="40"/>
  <c r="K85" i="40"/>
  <c r="J86" i="40"/>
  <c r="K86" i="40"/>
  <c r="J87" i="40"/>
  <c r="K87" i="40"/>
  <c r="J88" i="40"/>
  <c r="K88" i="40"/>
  <c r="J89" i="40"/>
  <c r="K89" i="40"/>
  <c r="J90" i="40"/>
  <c r="K90" i="40"/>
  <c r="J91" i="40"/>
  <c r="K91" i="40"/>
  <c r="J92" i="40"/>
  <c r="K92" i="40"/>
  <c r="J93" i="40"/>
  <c r="K93" i="40"/>
  <c r="J94" i="40"/>
  <c r="K94" i="40"/>
  <c r="J95" i="40"/>
  <c r="K95" i="40"/>
  <c r="J96" i="40"/>
  <c r="K96" i="40"/>
  <c r="J97" i="40"/>
  <c r="K97" i="40"/>
  <c r="J98" i="40"/>
  <c r="K98" i="40"/>
  <c r="J99" i="40"/>
  <c r="K99" i="40"/>
  <c r="J100" i="40"/>
  <c r="K100" i="40"/>
  <c r="J101" i="40"/>
  <c r="K101" i="40"/>
  <c r="J102" i="40"/>
  <c r="K102" i="40"/>
  <c r="J103" i="40"/>
  <c r="K103" i="40"/>
  <c r="J104" i="40"/>
  <c r="K104" i="40"/>
  <c r="J105" i="40"/>
  <c r="K105" i="40"/>
  <c r="J106" i="40"/>
  <c r="K106" i="40"/>
  <c r="J107" i="40"/>
  <c r="K107" i="40"/>
  <c r="J108" i="40"/>
  <c r="K108" i="40"/>
  <c r="J109" i="40"/>
  <c r="K109" i="40"/>
  <c r="J121" i="23" l="1"/>
  <c r="J120" i="23"/>
  <c r="J223" i="17"/>
  <c r="J410" i="10"/>
  <c r="J403" i="9"/>
  <c r="K119" i="29"/>
  <c r="J119" i="29"/>
  <c r="K118" i="29"/>
  <c r="J118" i="29"/>
  <c r="K180" i="31"/>
  <c r="J180" i="31"/>
  <c r="K179" i="31"/>
  <c r="J179" i="31"/>
  <c r="J497" i="7"/>
  <c r="K122" i="25"/>
  <c r="K121" i="25"/>
  <c r="K120" i="25"/>
  <c r="J125" i="25"/>
  <c r="J126" i="25"/>
  <c r="J127" i="25"/>
  <c r="K123" i="25"/>
  <c r="K124" i="25"/>
  <c r="J121" i="25"/>
  <c r="J120" i="25"/>
  <c r="J496" i="7"/>
  <c r="J149" i="24"/>
  <c r="K83" i="19"/>
  <c r="K84" i="19"/>
  <c r="K85" i="19"/>
  <c r="K86" i="19"/>
  <c r="K87" i="19"/>
  <c r="K88" i="19"/>
  <c r="J83" i="19"/>
  <c r="J84" i="19"/>
  <c r="J85" i="19"/>
  <c r="J86" i="19"/>
  <c r="J222" i="17"/>
  <c r="J409" i="10"/>
  <c r="J402" i="9"/>
  <c r="J167" i="30"/>
  <c r="K167" i="30"/>
  <c r="J168" i="30"/>
  <c r="K168" i="30"/>
  <c r="J169" i="30"/>
  <c r="K169" i="30"/>
  <c r="J170" i="30"/>
  <c r="K170" i="30"/>
  <c r="J171" i="30"/>
  <c r="K171" i="30"/>
  <c r="J172" i="30"/>
  <c r="K172" i="30"/>
  <c r="J173" i="30"/>
  <c r="J174" i="30"/>
  <c r="J175" i="30"/>
  <c r="J176" i="30"/>
  <c r="J177" i="30"/>
  <c r="J178" i="30"/>
  <c r="J187" i="30"/>
  <c r="K187" i="30"/>
  <c r="J188" i="30"/>
  <c r="K188" i="30"/>
  <c r="J189" i="30"/>
  <c r="K189" i="30"/>
  <c r="J190" i="30"/>
  <c r="K190" i="30"/>
  <c r="J191" i="30"/>
  <c r="K191" i="30"/>
  <c r="J192" i="30"/>
  <c r="K192" i="30"/>
  <c r="J193" i="30"/>
  <c r="K193" i="30"/>
  <c r="J194" i="30"/>
  <c r="K194" i="30"/>
  <c r="J195" i="30"/>
  <c r="K195" i="30"/>
  <c r="J196" i="30"/>
  <c r="K196" i="30"/>
  <c r="J197" i="30"/>
  <c r="K197" i="30"/>
  <c r="J198" i="30"/>
  <c r="K198" i="30"/>
  <c r="J199" i="30"/>
  <c r="K199" i="30"/>
  <c r="J200" i="30"/>
  <c r="K200" i="30"/>
  <c r="J201" i="30"/>
  <c r="K201" i="30"/>
  <c r="J122" i="23"/>
  <c r="J123" i="23"/>
  <c r="J124" i="23"/>
  <c r="J125" i="23"/>
  <c r="J126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530" i="8"/>
  <c r="K530" i="8"/>
  <c r="J531" i="8"/>
  <c r="K531" i="8"/>
  <c r="J532" i="8"/>
  <c r="K532" i="8"/>
  <c r="J533" i="8"/>
  <c r="K533" i="8"/>
  <c r="J534" i="8"/>
  <c r="K534" i="8"/>
  <c r="J535" i="8"/>
  <c r="K535" i="8"/>
  <c r="J536" i="8"/>
  <c r="K536" i="8"/>
  <c r="J537" i="8"/>
  <c r="K537" i="8"/>
  <c r="J538" i="8"/>
  <c r="K538" i="8"/>
  <c r="J539" i="8"/>
  <c r="K539" i="8"/>
  <c r="J540" i="8"/>
  <c r="K540" i="8"/>
  <c r="J541" i="8"/>
  <c r="K541" i="8"/>
  <c r="J542" i="8"/>
  <c r="K542" i="8"/>
  <c r="J543" i="8"/>
  <c r="K543" i="8"/>
  <c r="J544" i="8"/>
  <c r="K544" i="8"/>
  <c r="J545" i="8"/>
  <c r="K545" i="8"/>
  <c r="J546" i="8"/>
  <c r="K546" i="8"/>
  <c r="J547" i="8"/>
  <c r="K547" i="8"/>
  <c r="J548" i="8"/>
  <c r="K548" i="8"/>
  <c r="J549" i="8"/>
  <c r="K549" i="8"/>
  <c r="J550" i="8"/>
  <c r="K550" i="8"/>
  <c r="J551" i="8"/>
  <c r="K551" i="8"/>
  <c r="J552" i="8"/>
  <c r="K552" i="8"/>
  <c r="J495" i="7"/>
  <c r="J148" i="24"/>
  <c r="J221" i="17"/>
  <c r="J408" i="10"/>
  <c r="J401" i="9"/>
  <c r="J123" i="21"/>
  <c r="K123" i="21"/>
  <c r="J124" i="21"/>
  <c r="K124" i="21"/>
  <c r="J125" i="21"/>
  <c r="K125" i="21"/>
  <c r="J126" i="21"/>
  <c r="K126" i="21"/>
  <c r="J127" i="21"/>
  <c r="K127" i="21"/>
  <c r="J128" i="21"/>
  <c r="K128" i="21"/>
  <c r="J129" i="21"/>
  <c r="K129" i="21"/>
  <c r="J138" i="21"/>
  <c r="J139" i="21"/>
  <c r="J140" i="21"/>
  <c r="J141" i="21"/>
  <c r="J142" i="21"/>
  <c r="J143" i="21"/>
  <c r="K142" i="30" l="1"/>
  <c r="J142" i="30"/>
  <c r="K123" i="24"/>
  <c r="K124" i="24"/>
  <c r="K125" i="24"/>
  <c r="K126" i="24"/>
  <c r="K127" i="24"/>
  <c r="K128" i="24"/>
  <c r="K129" i="24"/>
  <c r="K130" i="24"/>
  <c r="K131" i="24"/>
  <c r="J123" i="24"/>
  <c r="J220" i="17"/>
  <c r="J407" i="10"/>
  <c r="J494" i="7"/>
  <c r="J147" i="24"/>
  <c r="J109" i="29"/>
  <c r="K109" i="29"/>
  <c r="J110" i="29"/>
  <c r="K110" i="29"/>
  <c r="J120" i="29"/>
  <c r="K120" i="29"/>
  <c r="J121" i="29"/>
  <c r="K121" i="29"/>
  <c r="J122" i="29"/>
  <c r="K122" i="29"/>
  <c r="J123" i="29"/>
  <c r="K123" i="29"/>
  <c r="J124" i="29"/>
  <c r="K124" i="29"/>
  <c r="J125" i="29"/>
  <c r="K125" i="29"/>
  <c r="J126" i="29"/>
  <c r="K126" i="29"/>
  <c r="J127" i="29"/>
  <c r="K127" i="29"/>
  <c r="J128" i="29"/>
  <c r="K128" i="29"/>
  <c r="J129" i="29"/>
  <c r="K129" i="29"/>
  <c r="J130" i="29"/>
  <c r="K130" i="29"/>
  <c r="J131" i="29"/>
  <c r="K131" i="29"/>
  <c r="J132" i="29"/>
  <c r="K132" i="29"/>
  <c r="J133" i="29"/>
  <c r="K133" i="29"/>
  <c r="J134" i="29"/>
  <c r="K134" i="29"/>
  <c r="J135" i="29"/>
  <c r="K135" i="29"/>
  <c r="J136" i="29"/>
  <c r="K136" i="29"/>
  <c r="J146" i="24"/>
  <c r="J219" i="17"/>
  <c r="J406" i="10"/>
  <c r="J400" i="9"/>
  <c r="J145" i="24"/>
  <c r="J656" i="6"/>
  <c r="J144" i="24"/>
  <c r="J218" i="17"/>
  <c r="J399" i="9"/>
  <c r="J493" i="7"/>
  <c r="K158" i="27"/>
  <c r="K159" i="27"/>
  <c r="K157" i="27"/>
  <c r="J157" i="27"/>
  <c r="K212" i="22"/>
  <c r="K213" i="22"/>
  <c r="K214" i="22"/>
  <c r="K215" i="22"/>
  <c r="K216" i="22"/>
  <c r="K217" i="22"/>
  <c r="K218" i="22"/>
  <c r="K219" i="22"/>
  <c r="K220" i="22"/>
  <c r="K221" i="22"/>
  <c r="J217" i="17"/>
  <c r="J398" i="9"/>
  <c r="J492" i="7"/>
  <c r="J143" i="24"/>
  <c r="K272" i="18"/>
  <c r="K273" i="18"/>
  <c r="K274" i="18"/>
  <c r="K275" i="18"/>
  <c r="K276" i="18"/>
  <c r="K277" i="18"/>
  <c r="J655" i="6"/>
  <c r="J142" i="24"/>
  <c r="K96" i="19"/>
  <c r="K97" i="19"/>
  <c r="K98" i="19"/>
  <c r="K99" i="19"/>
  <c r="K100" i="19"/>
  <c r="K101" i="19"/>
  <c r="K102" i="19"/>
  <c r="K103" i="19"/>
  <c r="K113" i="19"/>
  <c r="K94" i="19"/>
  <c r="K95" i="19"/>
  <c r="J654" i="6"/>
  <c r="K382" i="10" l="1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J405" i="10"/>
  <c r="J404" i="10"/>
  <c r="J403" i="10"/>
  <c r="J397" i="9"/>
  <c r="J491" i="7"/>
  <c r="J141" i="24"/>
  <c r="J216" i="17"/>
  <c r="J140" i="24"/>
  <c r="J473" i="5" l="1"/>
  <c r="K473" i="5"/>
  <c r="J474" i="5"/>
  <c r="K474" i="5"/>
  <c r="J475" i="5"/>
  <c r="K475" i="5"/>
  <c r="J476" i="5"/>
  <c r="K476" i="5"/>
  <c r="J477" i="5"/>
  <c r="K477" i="5"/>
  <c r="J478" i="5"/>
  <c r="K478" i="5"/>
  <c r="J479" i="5"/>
  <c r="K479" i="5"/>
  <c r="J480" i="5"/>
  <c r="K480" i="5"/>
  <c r="J481" i="5"/>
  <c r="K481" i="5"/>
  <c r="J482" i="5"/>
  <c r="K482" i="5"/>
  <c r="J483" i="5"/>
  <c r="K483" i="5"/>
  <c r="J484" i="5"/>
  <c r="K484" i="5"/>
  <c r="J485" i="5"/>
  <c r="K485" i="5"/>
  <c r="J402" i="10"/>
  <c r="J490" i="7"/>
  <c r="J139" i="24"/>
  <c r="J215" i="17"/>
  <c r="J231" i="28"/>
  <c r="K231" i="28"/>
  <c r="J232" i="28"/>
  <c r="K232" i="28"/>
  <c r="J233" i="28"/>
  <c r="K233" i="28"/>
  <c r="J234" i="28"/>
  <c r="K234" i="28"/>
  <c r="J235" i="28"/>
  <c r="K235" i="28"/>
  <c r="J236" i="28"/>
  <c r="K236" i="28"/>
  <c r="J237" i="28"/>
  <c r="K237" i="28"/>
  <c r="J238" i="28"/>
  <c r="K238" i="28"/>
  <c r="J239" i="28"/>
  <c r="K239" i="28"/>
  <c r="J240" i="28"/>
  <c r="K240" i="28"/>
  <c r="J241" i="28"/>
  <c r="K241" i="28"/>
  <c r="J242" i="28"/>
  <c r="K242" i="28"/>
  <c r="J243" i="28"/>
  <c r="K243" i="28"/>
  <c r="J244" i="28"/>
  <c r="K244" i="28"/>
  <c r="J245" i="28"/>
  <c r="K245" i="28"/>
  <c r="J246" i="28"/>
  <c r="K246" i="28"/>
  <c r="J247" i="28"/>
  <c r="K247" i="28"/>
  <c r="J248" i="28"/>
  <c r="K248" i="28"/>
  <c r="J249" i="28"/>
  <c r="K249" i="28"/>
  <c r="J250" i="28"/>
  <c r="K250" i="28"/>
  <c r="J251" i="28"/>
  <c r="K251" i="28"/>
  <c r="J252" i="28"/>
  <c r="K252" i="28"/>
  <c r="J653" i="6"/>
  <c r="J138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J214" i="17" l="1"/>
  <c r="J652" i="6" l="1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150" i="27"/>
  <c r="K150" i="27"/>
  <c r="J151" i="27"/>
  <c r="K151" i="27"/>
  <c r="J152" i="27"/>
  <c r="K152" i="27"/>
  <c r="J153" i="27"/>
  <c r="K153" i="27"/>
  <c r="J155" i="27"/>
  <c r="J156" i="27"/>
  <c r="K156" i="27"/>
  <c r="J158" i="27"/>
  <c r="J159" i="27"/>
  <c r="J160" i="27"/>
  <c r="K160" i="27"/>
  <c r="J161" i="27"/>
  <c r="K161" i="27"/>
  <c r="J162" i="27"/>
  <c r="K162" i="27"/>
  <c r="J163" i="27"/>
  <c r="K163" i="27"/>
  <c r="J164" i="27"/>
  <c r="K164" i="27"/>
  <c r="J165" i="27"/>
  <c r="K165" i="27"/>
  <c r="J166" i="27"/>
  <c r="K166" i="27"/>
  <c r="J167" i="27"/>
  <c r="K167" i="27"/>
  <c r="J168" i="27"/>
  <c r="K168" i="27"/>
  <c r="J169" i="27"/>
  <c r="K169" i="27"/>
  <c r="J170" i="27"/>
  <c r="K170" i="27"/>
  <c r="J171" i="27"/>
  <c r="K171" i="27"/>
  <c r="J172" i="27"/>
  <c r="K172" i="27"/>
  <c r="J173" i="27"/>
  <c r="K173" i="27"/>
  <c r="J137" i="24"/>
  <c r="J401" i="10"/>
  <c r="J489" i="7"/>
  <c r="J447" i="4"/>
  <c r="K447" i="4"/>
  <c r="J448" i="4"/>
  <c r="K448" i="4"/>
  <c r="J449" i="4"/>
  <c r="K449" i="4"/>
  <c r="J450" i="4"/>
  <c r="K450" i="4"/>
  <c r="J451" i="4"/>
  <c r="K451" i="4"/>
  <c r="J452" i="4"/>
  <c r="K452" i="4"/>
  <c r="J453" i="4"/>
  <c r="K453" i="4"/>
  <c r="J454" i="4"/>
  <c r="K454" i="4"/>
  <c r="J455" i="4"/>
  <c r="K455" i="4"/>
  <c r="J456" i="4"/>
  <c r="K456" i="4"/>
  <c r="J465" i="4"/>
  <c r="K465" i="4"/>
  <c r="J466" i="4"/>
  <c r="K466" i="4"/>
  <c r="J467" i="4"/>
  <c r="K467" i="4"/>
  <c r="J468" i="4"/>
  <c r="K468" i="4"/>
  <c r="J213" i="17"/>
  <c r="J651" i="6"/>
  <c r="K80" i="25"/>
  <c r="J182" i="33"/>
  <c r="K182" i="33"/>
  <c r="J191" i="33"/>
  <c r="K191" i="33"/>
  <c r="J192" i="33"/>
  <c r="K192" i="33"/>
  <c r="J193" i="33"/>
  <c r="K193" i="33"/>
  <c r="J194" i="33"/>
  <c r="K194" i="33"/>
  <c r="J195" i="33"/>
  <c r="K195" i="33"/>
  <c r="J196" i="33"/>
  <c r="K196" i="33"/>
  <c r="J197" i="33"/>
  <c r="K197" i="33"/>
  <c r="J198" i="33"/>
  <c r="K198" i="33"/>
  <c r="J199" i="33"/>
  <c r="K199" i="33"/>
  <c r="J200" i="33"/>
  <c r="K200" i="33"/>
  <c r="J136" i="24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400" i="10"/>
  <c r="J488" i="7"/>
  <c r="J135" i="24"/>
  <c r="J212" i="17"/>
  <c r="J396" i="9"/>
  <c r="J650" i="6"/>
  <c r="J487" i="7"/>
  <c r="J134" i="24"/>
  <c r="K106" i="21"/>
  <c r="K105" i="21"/>
  <c r="K104" i="21"/>
  <c r="K103" i="21"/>
  <c r="J220" i="28"/>
  <c r="K216" i="28"/>
  <c r="K217" i="28"/>
  <c r="K218" i="28"/>
  <c r="K219" i="28"/>
  <c r="K220" i="28"/>
  <c r="K221" i="28"/>
  <c r="J138" i="27"/>
  <c r="K138" i="27"/>
  <c r="J133" i="24"/>
  <c r="K133" i="24"/>
  <c r="K134" i="24"/>
  <c r="K135" i="24"/>
  <c r="K136" i="24"/>
  <c r="K137" i="24"/>
  <c r="K138" i="24"/>
  <c r="K139" i="24"/>
  <c r="K140" i="24"/>
  <c r="K141" i="24"/>
  <c r="K142" i="24"/>
  <c r="K143" i="24"/>
  <c r="K213" i="15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K89" i="19" l="1"/>
  <c r="K394" i="9" l="1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393" i="9"/>
  <c r="J113" i="19"/>
  <c r="J103" i="19"/>
  <c r="J102" i="19"/>
  <c r="J101" i="19"/>
  <c r="J100" i="19"/>
  <c r="J99" i="19"/>
  <c r="J98" i="19"/>
  <c r="J97" i="19"/>
  <c r="J96" i="19"/>
  <c r="J95" i="19"/>
  <c r="J94" i="19"/>
  <c r="K93" i="19"/>
  <c r="J93" i="19"/>
  <c r="K92" i="19"/>
  <c r="J92" i="19"/>
  <c r="K91" i="19"/>
  <c r="J91" i="19"/>
  <c r="K90" i="19"/>
  <c r="J90" i="19"/>
  <c r="J89" i="19"/>
  <c r="J88" i="19"/>
  <c r="J211" i="17"/>
  <c r="J299" i="16"/>
  <c r="K299" i="16"/>
  <c r="J300" i="16"/>
  <c r="K300" i="16"/>
  <c r="J301" i="16"/>
  <c r="K301" i="16"/>
  <c r="J302" i="16"/>
  <c r="K302" i="16"/>
  <c r="J303" i="16"/>
  <c r="K303" i="16"/>
  <c r="J304" i="16"/>
  <c r="K304" i="16"/>
  <c r="J305" i="16"/>
  <c r="K305" i="16"/>
  <c r="J306" i="16"/>
  <c r="K306" i="16"/>
  <c r="J307" i="16"/>
  <c r="K307" i="16"/>
  <c r="J308" i="16"/>
  <c r="K308" i="16"/>
  <c r="J309" i="16"/>
  <c r="K309" i="16"/>
  <c r="J310" i="16"/>
  <c r="K310" i="16"/>
  <c r="J311" i="16"/>
  <c r="K311" i="16"/>
  <c r="J312" i="16"/>
  <c r="K312" i="16"/>
  <c r="J313" i="16"/>
  <c r="K313" i="16"/>
  <c r="J314" i="16"/>
  <c r="K314" i="16"/>
  <c r="J315" i="16"/>
  <c r="K315" i="16"/>
  <c r="J316" i="16"/>
  <c r="K316" i="16"/>
  <c r="J399" i="10"/>
  <c r="J395" i="9"/>
  <c r="J649" i="6"/>
  <c r="J152" i="30"/>
  <c r="K152" i="30"/>
  <c r="J153" i="30"/>
  <c r="K153" i="30"/>
  <c r="J154" i="30"/>
  <c r="K154" i="30"/>
  <c r="J155" i="30"/>
  <c r="K155" i="30"/>
  <c r="J156" i="30"/>
  <c r="K156" i="30"/>
  <c r="J157" i="30"/>
  <c r="K157" i="30"/>
  <c r="J158" i="30"/>
  <c r="K158" i="30"/>
  <c r="J159" i="30"/>
  <c r="K159" i="30"/>
  <c r="J160" i="30"/>
  <c r="K160" i="30"/>
  <c r="J161" i="30"/>
  <c r="K161" i="30"/>
  <c r="J162" i="30"/>
  <c r="K162" i="30"/>
  <c r="J163" i="30"/>
  <c r="K163" i="30"/>
  <c r="J164" i="30"/>
  <c r="K164" i="30"/>
  <c r="J165" i="30"/>
  <c r="K165" i="30"/>
  <c r="J166" i="30"/>
  <c r="K166" i="30"/>
  <c r="J210" i="17"/>
  <c r="J218" i="15"/>
  <c r="K218" i="15"/>
  <c r="J219" i="15"/>
  <c r="K219" i="15"/>
  <c r="J220" i="15"/>
  <c r="K220" i="15"/>
  <c r="J221" i="15"/>
  <c r="K221" i="15"/>
  <c r="J222" i="15"/>
  <c r="K222" i="15"/>
  <c r="J223" i="15"/>
  <c r="K223" i="15"/>
  <c r="J224" i="15"/>
  <c r="K224" i="15"/>
  <c r="J225" i="15"/>
  <c r="K225" i="15"/>
  <c r="J226" i="15"/>
  <c r="K226" i="15"/>
  <c r="J227" i="15"/>
  <c r="K227" i="15"/>
  <c r="J228" i="15"/>
  <c r="K228" i="15"/>
  <c r="J229" i="15"/>
  <c r="K229" i="15"/>
  <c r="J230" i="15"/>
  <c r="K230" i="15"/>
  <c r="J231" i="15"/>
  <c r="K231" i="15"/>
  <c r="J232" i="15"/>
  <c r="K232" i="15"/>
  <c r="J233" i="15"/>
  <c r="K233" i="15"/>
  <c r="J234" i="15"/>
  <c r="K234" i="15"/>
  <c r="J235" i="15"/>
  <c r="K235" i="15"/>
  <c r="J236" i="15"/>
  <c r="K236" i="15"/>
  <c r="J237" i="15"/>
  <c r="K237" i="15"/>
  <c r="K122" i="21"/>
  <c r="J122" i="21"/>
  <c r="K121" i="21"/>
  <c r="J121" i="21"/>
  <c r="K120" i="21"/>
  <c r="J120" i="21"/>
  <c r="K119" i="21"/>
  <c r="J119" i="21"/>
  <c r="K118" i="21"/>
  <c r="J118" i="21"/>
  <c r="K117" i="21"/>
  <c r="J117" i="21"/>
  <c r="K116" i="21"/>
  <c r="J116" i="21"/>
  <c r="K115" i="21"/>
  <c r="J115" i="21"/>
  <c r="J114" i="21"/>
  <c r="K112" i="21"/>
  <c r="J112" i="21"/>
  <c r="K111" i="21"/>
  <c r="J111" i="21"/>
  <c r="K110" i="21"/>
  <c r="J110" i="21"/>
  <c r="K109" i="21"/>
  <c r="J109" i="21"/>
  <c r="K108" i="21"/>
  <c r="J108" i="21"/>
  <c r="K107" i="21"/>
  <c r="J107" i="21"/>
  <c r="J106" i="21"/>
  <c r="J105" i="21"/>
  <c r="D66" i="19"/>
  <c r="J63" i="19"/>
  <c r="K64" i="19"/>
  <c r="K63" i="19"/>
  <c r="K75" i="21"/>
  <c r="K76" i="21"/>
  <c r="K77" i="21"/>
  <c r="J67" i="19"/>
  <c r="K67" i="19"/>
  <c r="J68" i="19"/>
  <c r="K68" i="19"/>
  <c r="K65" i="40"/>
  <c r="J65" i="40"/>
  <c r="K597" i="2"/>
  <c r="J597" i="2"/>
  <c r="J218" i="28"/>
  <c r="J132" i="24"/>
  <c r="J397" i="10"/>
  <c r="J647" i="6"/>
  <c r="J217" i="28" l="1"/>
  <c r="J393" i="9"/>
  <c r="J486" i="7"/>
  <c r="J398" i="10"/>
  <c r="J394" i="9"/>
  <c r="J392" i="9" l="1"/>
  <c r="J131" i="24"/>
  <c r="J209" i="17"/>
  <c r="J208" i="17"/>
  <c r="J396" i="10"/>
  <c r="J485" i="7"/>
  <c r="J130" i="24"/>
  <c r="J84" i="21"/>
  <c r="J391" i="9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J187" i="20"/>
  <c r="J127" i="24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132" i="24" l="1"/>
  <c r="J390" i="9"/>
  <c r="K390" i="9"/>
  <c r="K391" i="9"/>
  <c r="K392" i="9"/>
  <c r="J215" i="28"/>
  <c r="K215" i="28"/>
  <c r="J216" i="28"/>
  <c r="J219" i="28"/>
  <c r="J221" i="28"/>
  <c r="J222" i="28"/>
  <c r="K222" i="28"/>
  <c r="J223" i="28"/>
  <c r="K223" i="28"/>
  <c r="J224" i="28"/>
  <c r="K224" i="28"/>
  <c r="J225" i="28"/>
  <c r="K225" i="28"/>
  <c r="J226" i="28"/>
  <c r="K226" i="28"/>
  <c r="J227" i="28"/>
  <c r="K227" i="28"/>
  <c r="J228" i="28"/>
  <c r="K228" i="28"/>
  <c r="J229" i="28"/>
  <c r="K229" i="28"/>
  <c r="J230" i="28"/>
  <c r="K230" i="28"/>
  <c r="K213" i="28"/>
  <c r="K214" i="28"/>
  <c r="J214" i="28"/>
  <c r="J213" i="28"/>
  <c r="J462" i="5"/>
  <c r="K462" i="5"/>
  <c r="J463" i="5"/>
  <c r="K463" i="5"/>
  <c r="J464" i="5"/>
  <c r="K464" i="5"/>
  <c r="J465" i="5"/>
  <c r="K465" i="5"/>
  <c r="J466" i="5"/>
  <c r="K466" i="5"/>
  <c r="J467" i="5"/>
  <c r="K467" i="5"/>
  <c r="J468" i="5"/>
  <c r="K468" i="5"/>
  <c r="J469" i="5"/>
  <c r="K469" i="5"/>
  <c r="J470" i="5"/>
  <c r="K470" i="5"/>
  <c r="J471" i="5"/>
  <c r="K471" i="5"/>
  <c r="J472" i="5"/>
  <c r="K472" i="5"/>
  <c r="J145" i="30"/>
  <c r="K145" i="30"/>
  <c r="J146" i="30"/>
  <c r="K146" i="30"/>
  <c r="J147" i="30"/>
  <c r="K147" i="30"/>
  <c r="J148" i="30"/>
  <c r="K148" i="30"/>
  <c r="J149" i="30"/>
  <c r="K149" i="30"/>
  <c r="J150" i="30"/>
  <c r="K150" i="30"/>
  <c r="J151" i="30"/>
  <c r="K151" i="30"/>
  <c r="J82" i="19"/>
  <c r="K82" i="19"/>
  <c r="J83" i="21"/>
  <c r="J121" i="24"/>
  <c r="K121" i="24"/>
  <c r="J122" i="24"/>
  <c r="K122" i="24"/>
  <c r="J124" i="24"/>
  <c r="J125" i="24"/>
  <c r="J126" i="24"/>
  <c r="J128" i="24"/>
  <c r="J129" i="24"/>
  <c r="K140" i="30"/>
  <c r="K131" i="30"/>
  <c r="J82" i="21"/>
  <c r="J184" i="22"/>
  <c r="K184" i="22"/>
  <c r="J185" i="22"/>
  <c r="K185" i="22"/>
  <c r="J186" i="22"/>
  <c r="K186" i="22"/>
  <c r="J187" i="22"/>
  <c r="K187" i="22"/>
  <c r="J81" i="21"/>
  <c r="J80" i="21"/>
  <c r="J79" i="21"/>
  <c r="J476" i="7"/>
  <c r="K476" i="7"/>
  <c r="J477" i="7"/>
  <c r="K477" i="7"/>
  <c r="J478" i="7"/>
  <c r="K478" i="7"/>
  <c r="J78" i="21"/>
  <c r="J77" i="21"/>
  <c r="J76" i="21"/>
  <c r="J130" i="30"/>
  <c r="K130" i="30"/>
  <c r="J131" i="30"/>
  <c r="J132" i="30"/>
  <c r="K132" i="30"/>
  <c r="J133" i="30"/>
  <c r="K133" i="30"/>
  <c r="J134" i="30"/>
  <c r="K134" i="30"/>
  <c r="J135" i="30"/>
  <c r="K135" i="30"/>
  <c r="J169" i="20"/>
  <c r="J168" i="20"/>
  <c r="J161" i="20"/>
  <c r="J162" i="20"/>
  <c r="J163" i="20"/>
  <c r="J164" i="20"/>
  <c r="J165" i="20"/>
  <c r="J166" i="20"/>
  <c r="J167" i="20"/>
  <c r="J170" i="20"/>
  <c r="J171" i="20"/>
  <c r="J172" i="20"/>
  <c r="J173" i="20"/>
  <c r="J174" i="20"/>
  <c r="J175" i="20"/>
  <c r="J184" i="20"/>
  <c r="J185" i="20"/>
  <c r="J186" i="20"/>
  <c r="J75" i="21"/>
  <c r="J74" i="21"/>
  <c r="J289" i="16"/>
  <c r="K289" i="16"/>
  <c r="J290" i="16"/>
  <c r="K290" i="16"/>
  <c r="J291" i="16"/>
  <c r="K291" i="16"/>
  <c r="J292" i="16"/>
  <c r="K292" i="16"/>
  <c r="J293" i="16"/>
  <c r="K293" i="16"/>
  <c r="J294" i="16"/>
  <c r="K294" i="16"/>
  <c r="J295" i="16"/>
  <c r="K295" i="16"/>
  <c r="J296" i="16"/>
  <c r="K296" i="16"/>
  <c r="J297" i="16"/>
  <c r="K297" i="16"/>
  <c r="J298" i="16"/>
  <c r="K298" i="16"/>
  <c r="J107" i="29"/>
  <c r="K107" i="29"/>
  <c r="J108" i="29"/>
  <c r="K108" i="29"/>
  <c r="K74" i="21"/>
  <c r="K78" i="21"/>
  <c r="K79" i="21"/>
  <c r="K80" i="21"/>
  <c r="K81" i="21"/>
  <c r="K82" i="21"/>
  <c r="K83" i="21"/>
  <c r="J261" i="18"/>
  <c r="K261" i="18"/>
  <c r="J262" i="18"/>
  <c r="K262" i="18"/>
  <c r="J263" i="18"/>
  <c r="K263" i="18"/>
  <c r="J264" i="18"/>
  <c r="K264" i="18"/>
  <c r="J265" i="18"/>
  <c r="K265" i="18"/>
  <c r="J266" i="18"/>
  <c r="K266" i="18"/>
  <c r="J267" i="18"/>
  <c r="K267" i="18"/>
  <c r="J268" i="18"/>
  <c r="K268" i="18"/>
  <c r="J269" i="18"/>
  <c r="K269" i="18"/>
  <c r="J270" i="18"/>
  <c r="K270" i="18"/>
  <c r="J271" i="18"/>
  <c r="K271" i="18"/>
  <c r="J146" i="35"/>
  <c r="K146" i="35"/>
  <c r="J147" i="35"/>
  <c r="K147" i="35"/>
  <c r="J148" i="35"/>
  <c r="K148" i="35"/>
  <c r="J149" i="35"/>
  <c r="K149" i="35"/>
  <c r="J150" i="35"/>
  <c r="K150" i="35"/>
  <c r="J151" i="35"/>
  <c r="K151" i="35"/>
  <c r="J137" i="35"/>
  <c r="K137" i="35"/>
  <c r="J138" i="35"/>
  <c r="K138" i="35"/>
  <c r="J139" i="35"/>
  <c r="K139" i="35"/>
  <c r="J140" i="35"/>
  <c r="K140" i="35"/>
  <c r="J141" i="35"/>
  <c r="K141" i="35"/>
  <c r="J142" i="35"/>
  <c r="K142" i="35"/>
  <c r="J143" i="35"/>
  <c r="K143" i="35"/>
  <c r="J144" i="35"/>
  <c r="K144" i="35"/>
  <c r="J145" i="35"/>
  <c r="K145" i="35"/>
  <c r="J136" i="30"/>
  <c r="K136" i="30"/>
  <c r="J137" i="30"/>
  <c r="K137" i="30"/>
  <c r="J138" i="30"/>
  <c r="K138" i="30"/>
  <c r="J139" i="30"/>
  <c r="K139" i="30"/>
  <c r="J140" i="30"/>
  <c r="J141" i="30"/>
  <c r="K141" i="30"/>
  <c r="J143" i="30"/>
  <c r="K143" i="30"/>
  <c r="J144" i="30"/>
  <c r="K144" i="30"/>
  <c r="K122" i="30"/>
  <c r="J68" i="21" l="1"/>
  <c r="K68" i="21"/>
  <c r="J69" i="21"/>
  <c r="K69" i="21"/>
  <c r="J70" i="21"/>
  <c r="K70" i="21"/>
  <c r="J71" i="21"/>
  <c r="K71" i="21"/>
  <c r="J72" i="21"/>
  <c r="K72" i="21"/>
  <c r="J73" i="21"/>
  <c r="K73" i="21"/>
  <c r="K67" i="21"/>
  <c r="J67" i="21"/>
  <c r="K52" i="21"/>
  <c r="K53" i="21"/>
  <c r="K54" i="21"/>
  <c r="K55" i="21"/>
  <c r="K56" i="21"/>
  <c r="K57" i="21"/>
  <c r="K58" i="21"/>
  <c r="K50" i="21"/>
  <c r="K603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8" i="2"/>
  <c r="K598" i="2"/>
  <c r="J599" i="2"/>
  <c r="K599" i="2"/>
  <c r="J600" i="2"/>
  <c r="K600" i="2"/>
  <c r="J601" i="2"/>
  <c r="K601" i="2"/>
  <c r="J602" i="2"/>
  <c r="K602" i="2"/>
  <c r="J603" i="2"/>
  <c r="J391" i="10"/>
  <c r="J392" i="10"/>
  <c r="J393" i="10"/>
  <c r="J394" i="10"/>
  <c r="J395" i="10"/>
  <c r="J415" i="10"/>
  <c r="J283" i="16"/>
  <c r="K283" i="16"/>
  <c r="J284" i="16"/>
  <c r="K284" i="16"/>
  <c r="J285" i="16"/>
  <c r="K285" i="16"/>
  <c r="J286" i="16"/>
  <c r="K286" i="16"/>
  <c r="J287" i="16"/>
  <c r="K287" i="16"/>
  <c r="J288" i="16"/>
  <c r="K288" i="16"/>
  <c r="K282" i="16"/>
  <c r="J282" i="16"/>
  <c r="J124" i="39"/>
  <c r="K124" i="39"/>
  <c r="J125" i="39"/>
  <c r="K125" i="39"/>
  <c r="J126" i="39"/>
  <c r="K126" i="39"/>
  <c r="J127" i="39"/>
  <c r="K127" i="39"/>
  <c r="J128" i="39"/>
  <c r="K128" i="39"/>
  <c r="J129" i="39"/>
  <c r="K129" i="39"/>
  <c r="J69" i="19"/>
  <c r="K69" i="19"/>
  <c r="J70" i="19"/>
  <c r="K70" i="19"/>
  <c r="J71" i="19"/>
  <c r="K71" i="19"/>
  <c r="J72" i="19"/>
  <c r="K72" i="19"/>
  <c r="J73" i="19"/>
  <c r="K73" i="19"/>
  <c r="J74" i="19"/>
  <c r="K74" i="19"/>
  <c r="J75" i="19"/>
  <c r="K75" i="19"/>
  <c r="J76" i="19"/>
  <c r="K76" i="19"/>
  <c r="J77" i="19"/>
  <c r="K77" i="19"/>
  <c r="J78" i="19"/>
  <c r="K78" i="19"/>
  <c r="J79" i="19"/>
  <c r="K79" i="19"/>
  <c r="J80" i="19"/>
  <c r="K80" i="19"/>
  <c r="J81" i="19"/>
  <c r="K81" i="19"/>
  <c r="J443" i="5"/>
  <c r="J444" i="5"/>
  <c r="J99" i="23"/>
  <c r="K99" i="23"/>
  <c r="J100" i="23"/>
  <c r="K100" i="23"/>
  <c r="J101" i="23"/>
  <c r="K101" i="23"/>
  <c r="J102" i="23"/>
  <c r="K102" i="23"/>
  <c r="J103" i="23"/>
  <c r="K103" i="23"/>
  <c r="J104" i="23"/>
  <c r="K104" i="23"/>
  <c r="J105" i="23"/>
  <c r="K105" i="23"/>
  <c r="J106" i="23"/>
  <c r="K106" i="23"/>
  <c r="J107" i="23"/>
  <c r="K107" i="23"/>
  <c r="J108" i="23"/>
  <c r="K108" i="23"/>
  <c r="J257" i="18"/>
  <c r="K257" i="18"/>
  <c r="J258" i="18"/>
  <c r="K258" i="18"/>
  <c r="J259" i="18"/>
  <c r="K259" i="18"/>
  <c r="J260" i="18"/>
  <c r="K260" i="18"/>
  <c r="J204" i="15"/>
  <c r="K204" i="15"/>
  <c r="J205" i="15"/>
  <c r="K205" i="15"/>
  <c r="J206" i="15"/>
  <c r="K206" i="15"/>
  <c r="J207" i="15"/>
  <c r="K207" i="15"/>
  <c r="J208" i="15"/>
  <c r="K208" i="15"/>
  <c r="J209" i="15"/>
  <c r="K209" i="15"/>
  <c r="J210" i="15"/>
  <c r="K210" i="15"/>
  <c r="J211" i="15"/>
  <c r="K211" i="15"/>
  <c r="J212" i="15"/>
  <c r="K212" i="15"/>
  <c r="J214" i="15"/>
  <c r="K214" i="15"/>
  <c r="J215" i="15"/>
  <c r="K215" i="15"/>
  <c r="J216" i="15"/>
  <c r="K216" i="15"/>
  <c r="J217" i="15"/>
  <c r="K217" i="15"/>
  <c r="K278" i="16"/>
  <c r="K281" i="16"/>
  <c r="J281" i="16"/>
  <c r="K280" i="16"/>
  <c r="J280" i="16"/>
  <c r="K279" i="16"/>
  <c r="J279" i="16"/>
  <c r="J278" i="16"/>
  <c r="J198" i="17"/>
  <c r="K198" i="17"/>
  <c r="J199" i="17"/>
  <c r="K199" i="17"/>
  <c r="J200" i="17"/>
  <c r="K200" i="17"/>
  <c r="J201" i="17"/>
  <c r="K201" i="17"/>
  <c r="J202" i="17"/>
  <c r="K202" i="17"/>
  <c r="J203" i="17"/>
  <c r="K203" i="17"/>
  <c r="J204" i="17"/>
  <c r="K204" i="17"/>
  <c r="J205" i="17"/>
  <c r="K205" i="17"/>
  <c r="J206" i="17"/>
  <c r="K206" i="17"/>
  <c r="J207" i="17"/>
  <c r="K207" i="17"/>
  <c r="J227" i="17"/>
  <c r="K227" i="17"/>
  <c r="J381" i="9"/>
  <c r="K381" i="9"/>
  <c r="J382" i="9"/>
  <c r="K382" i="9"/>
  <c r="J383" i="9"/>
  <c r="K383" i="9"/>
  <c r="J384" i="9"/>
  <c r="K384" i="9"/>
  <c r="J385" i="9"/>
  <c r="K385" i="9"/>
  <c r="J386" i="9"/>
  <c r="K386" i="9"/>
  <c r="J387" i="9"/>
  <c r="K387" i="9"/>
  <c r="J388" i="9"/>
  <c r="K388" i="9"/>
  <c r="J389" i="9"/>
  <c r="K389" i="9"/>
  <c r="J409" i="9"/>
  <c r="K65" i="19"/>
  <c r="K66" i="19"/>
  <c r="K53" i="19"/>
  <c r="K54" i="19"/>
  <c r="J66" i="19"/>
  <c r="J65" i="19"/>
  <c r="J64" i="19"/>
  <c r="J100" i="25"/>
  <c r="K100" i="25"/>
  <c r="J101" i="25"/>
  <c r="K101" i="25"/>
  <c r="J102" i="25"/>
  <c r="K102" i="25"/>
  <c r="J103" i="25"/>
  <c r="K103" i="25"/>
  <c r="J104" i="25"/>
  <c r="K104" i="25"/>
  <c r="J105" i="25"/>
  <c r="K105" i="25"/>
  <c r="J106" i="25"/>
  <c r="K106" i="25"/>
  <c r="J107" i="25"/>
  <c r="K107" i="25"/>
  <c r="J108" i="25"/>
  <c r="K108" i="25"/>
  <c r="J109" i="25"/>
  <c r="K109" i="25"/>
  <c r="J110" i="25"/>
  <c r="K110" i="25"/>
  <c r="J111" i="25"/>
  <c r="K111" i="25"/>
  <c r="J122" i="25"/>
  <c r="J123" i="25"/>
  <c r="J124" i="25"/>
  <c r="K443" i="5"/>
  <c r="K444" i="5"/>
  <c r="J445" i="5"/>
  <c r="K445" i="5"/>
  <c r="J446" i="5"/>
  <c r="K446" i="5"/>
  <c r="J454" i="5"/>
  <c r="K454" i="5"/>
  <c r="J455" i="5"/>
  <c r="K455" i="5"/>
  <c r="J456" i="5"/>
  <c r="K456" i="5"/>
  <c r="J457" i="5"/>
  <c r="K457" i="5"/>
  <c r="J458" i="5"/>
  <c r="K458" i="5"/>
  <c r="J459" i="5"/>
  <c r="K459" i="5"/>
  <c r="J460" i="5"/>
  <c r="K460" i="5"/>
  <c r="J461" i="5"/>
  <c r="K461" i="5"/>
  <c r="J423" i="4"/>
  <c r="K423" i="4"/>
  <c r="J424" i="4"/>
  <c r="K424" i="4"/>
  <c r="J425" i="4"/>
  <c r="K425" i="4"/>
  <c r="J426" i="4"/>
  <c r="K426" i="4"/>
  <c r="J427" i="4"/>
  <c r="K427" i="4"/>
  <c r="J428" i="4"/>
  <c r="K428" i="4"/>
  <c r="J429" i="4"/>
  <c r="K429" i="4"/>
  <c r="J430" i="4"/>
  <c r="K430" i="4"/>
  <c r="J431" i="4"/>
  <c r="K431" i="4"/>
  <c r="J432" i="4"/>
  <c r="K432" i="4"/>
  <c r="J433" i="4"/>
  <c r="K433" i="4"/>
  <c r="J434" i="4"/>
  <c r="K434" i="4"/>
  <c r="J435" i="4"/>
  <c r="K435" i="4"/>
  <c r="J436" i="4"/>
  <c r="K436" i="4"/>
  <c r="J437" i="4"/>
  <c r="K437" i="4"/>
  <c r="J438" i="4"/>
  <c r="K438" i="4"/>
  <c r="J439" i="4"/>
  <c r="K439" i="4"/>
  <c r="J440" i="4"/>
  <c r="K440" i="4"/>
  <c r="J441" i="4"/>
  <c r="K441" i="4"/>
  <c r="J442" i="4"/>
  <c r="K442" i="4"/>
  <c r="J443" i="4"/>
  <c r="K443" i="4"/>
  <c r="J444" i="4"/>
  <c r="K444" i="4"/>
  <c r="J445" i="4"/>
  <c r="K445" i="4"/>
  <c r="J446" i="4"/>
  <c r="K446" i="4"/>
  <c r="J96" i="29"/>
  <c r="K96" i="29"/>
  <c r="J97" i="29"/>
  <c r="K97" i="29"/>
  <c r="J98" i="29"/>
  <c r="K98" i="29"/>
  <c r="J99" i="29"/>
  <c r="K99" i="29"/>
  <c r="J100" i="29"/>
  <c r="K100" i="29"/>
  <c r="J101" i="29"/>
  <c r="K101" i="29"/>
  <c r="J102" i="29"/>
  <c r="K102" i="29"/>
  <c r="J103" i="29"/>
  <c r="K103" i="29"/>
  <c r="J104" i="29"/>
  <c r="K104" i="29"/>
  <c r="J105" i="29"/>
  <c r="K105" i="29"/>
  <c r="J106" i="29"/>
  <c r="K106" i="29"/>
  <c r="J166" i="31"/>
  <c r="K166" i="31"/>
  <c r="J167" i="31"/>
  <c r="K167" i="31"/>
  <c r="J168" i="31"/>
  <c r="K168" i="31"/>
  <c r="J169" i="31"/>
  <c r="K169" i="31"/>
  <c r="J170" i="31"/>
  <c r="K170" i="31"/>
  <c r="J171" i="31"/>
  <c r="K171" i="31"/>
  <c r="J181" i="31"/>
  <c r="K181" i="31"/>
  <c r="J182" i="31"/>
  <c r="K182" i="31"/>
  <c r="J183" i="31"/>
  <c r="K183" i="31"/>
  <c r="J184" i="31"/>
  <c r="K184" i="31"/>
  <c r="J185" i="31"/>
  <c r="K185" i="31"/>
  <c r="J186" i="31"/>
  <c r="K186" i="31"/>
  <c r="J187" i="31"/>
  <c r="K187" i="31"/>
  <c r="J188" i="31"/>
  <c r="K188" i="31"/>
  <c r="J189" i="31"/>
  <c r="K189" i="31"/>
  <c r="J190" i="31"/>
  <c r="K190" i="31"/>
  <c r="J191" i="31"/>
  <c r="K191" i="31"/>
  <c r="J192" i="31"/>
  <c r="K192" i="31"/>
  <c r="J193" i="31"/>
  <c r="K193" i="31"/>
  <c r="J194" i="31"/>
  <c r="K194" i="31"/>
  <c r="J195" i="31"/>
  <c r="K195" i="31"/>
  <c r="J196" i="31"/>
  <c r="K196" i="31"/>
  <c r="J197" i="31"/>
  <c r="K197" i="31"/>
  <c r="J198" i="31"/>
  <c r="K198" i="31"/>
  <c r="J199" i="31"/>
  <c r="K199" i="31"/>
  <c r="J200" i="31"/>
  <c r="K200" i="31"/>
  <c r="J201" i="31"/>
  <c r="K201" i="31"/>
  <c r="J202" i="31"/>
  <c r="K202" i="31"/>
  <c r="J203" i="31"/>
  <c r="K203" i="31"/>
  <c r="J204" i="31"/>
  <c r="K204" i="31"/>
  <c r="J205" i="31"/>
  <c r="K205" i="31"/>
  <c r="J206" i="31"/>
  <c r="K206" i="31"/>
  <c r="J207" i="31"/>
  <c r="K207" i="31"/>
  <c r="J208" i="31"/>
  <c r="K208" i="31"/>
  <c r="J209" i="31"/>
  <c r="K209" i="31"/>
  <c r="J210" i="31"/>
  <c r="K210" i="31"/>
  <c r="J211" i="31"/>
  <c r="K211" i="31"/>
  <c r="J212" i="31"/>
  <c r="K212" i="31"/>
  <c r="J213" i="31"/>
  <c r="K213" i="31"/>
  <c r="J214" i="31"/>
  <c r="K214" i="31"/>
  <c r="J215" i="31"/>
  <c r="K215" i="31"/>
  <c r="J216" i="31"/>
  <c r="K216" i="31"/>
  <c r="J217" i="31"/>
  <c r="K217" i="31"/>
  <c r="J218" i="31"/>
  <c r="K218" i="31"/>
  <c r="J219" i="31"/>
  <c r="K219" i="31"/>
  <c r="J220" i="31"/>
  <c r="K220" i="31"/>
  <c r="J221" i="31"/>
  <c r="K221" i="31"/>
  <c r="J222" i="31"/>
  <c r="K222" i="31"/>
  <c r="J223" i="31"/>
  <c r="K223" i="31"/>
  <c r="J224" i="31"/>
  <c r="K224" i="31"/>
  <c r="J225" i="31"/>
  <c r="K225" i="31"/>
  <c r="J226" i="31"/>
  <c r="K226" i="31"/>
  <c r="J227" i="31"/>
  <c r="K227" i="31"/>
  <c r="J228" i="31"/>
  <c r="K228" i="31"/>
  <c r="J229" i="31"/>
  <c r="K229" i="31"/>
  <c r="J230" i="31"/>
  <c r="K230" i="31"/>
  <c r="J231" i="31"/>
  <c r="K231" i="31"/>
  <c r="J232" i="31"/>
  <c r="K232" i="31"/>
  <c r="J233" i="31"/>
  <c r="K233" i="31"/>
  <c r="J234" i="31"/>
  <c r="K234" i="31"/>
  <c r="J235" i="31"/>
  <c r="K235" i="31"/>
  <c r="J236" i="31"/>
  <c r="K236" i="31"/>
  <c r="J237" i="31"/>
  <c r="K237" i="31"/>
  <c r="J238" i="31"/>
  <c r="K238" i="31"/>
  <c r="J239" i="31"/>
  <c r="K239" i="31"/>
  <c r="J240" i="31"/>
  <c r="K240" i="31"/>
  <c r="J241" i="31"/>
  <c r="K241" i="31"/>
  <c r="J242" i="31"/>
  <c r="K242" i="31"/>
  <c r="J243" i="31"/>
  <c r="K243" i="31"/>
  <c r="J244" i="31"/>
  <c r="K244" i="31"/>
  <c r="J245" i="31"/>
  <c r="K245" i="31"/>
  <c r="J246" i="31"/>
  <c r="K246" i="31"/>
  <c r="J247" i="31"/>
  <c r="K247" i="31"/>
  <c r="J248" i="31"/>
  <c r="K248" i="31"/>
  <c r="J249" i="31"/>
  <c r="K249" i="31"/>
  <c r="J250" i="31"/>
  <c r="K250" i="31"/>
  <c r="J251" i="31"/>
  <c r="K251" i="31"/>
  <c r="J252" i="31"/>
  <c r="K252" i="31"/>
  <c r="J253" i="31"/>
  <c r="K253" i="31"/>
  <c r="J254" i="31"/>
  <c r="K254" i="31"/>
  <c r="J255" i="31"/>
  <c r="K255" i="31"/>
  <c r="J256" i="31"/>
  <c r="K256" i="31"/>
  <c r="J257" i="31"/>
  <c r="K257" i="31"/>
  <c r="J258" i="31"/>
  <c r="K258" i="31"/>
  <c r="J259" i="31"/>
  <c r="K259" i="31"/>
  <c r="J260" i="31"/>
  <c r="K260" i="31"/>
  <c r="J261" i="31"/>
  <c r="K261" i="31"/>
  <c r="J262" i="31"/>
  <c r="K262" i="31"/>
  <c r="J497" i="8"/>
  <c r="K497" i="8"/>
  <c r="J498" i="8"/>
  <c r="K498" i="8"/>
  <c r="J499" i="8"/>
  <c r="K499" i="8"/>
  <c r="J500" i="8"/>
  <c r="K500" i="8"/>
  <c r="J501" i="8"/>
  <c r="K501" i="8"/>
  <c r="J502" i="8"/>
  <c r="K502" i="8"/>
  <c r="J503" i="8"/>
  <c r="K503" i="8"/>
  <c r="J511" i="8"/>
  <c r="K511" i="8"/>
  <c r="J512" i="8"/>
  <c r="K512" i="8"/>
  <c r="J513" i="8"/>
  <c r="K513" i="8"/>
  <c r="J514" i="8"/>
  <c r="K514" i="8"/>
  <c r="J515" i="8"/>
  <c r="K515" i="8"/>
  <c r="J516" i="8"/>
  <c r="K516" i="8"/>
  <c r="J517" i="8"/>
  <c r="K517" i="8"/>
  <c r="J518" i="8"/>
  <c r="K518" i="8"/>
  <c r="J519" i="8"/>
  <c r="K519" i="8"/>
  <c r="J520" i="8"/>
  <c r="K520" i="8"/>
  <c r="J521" i="8"/>
  <c r="K521" i="8"/>
  <c r="J522" i="8"/>
  <c r="K522" i="8"/>
  <c r="J523" i="8"/>
  <c r="K523" i="8"/>
  <c r="J524" i="8"/>
  <c r="K524" i="8"/>
  <c r="J525" i="8"/>
  <c r="K525" i="8"/>
  <c r="J526" i="8"/>
  <c r="K526" i="8"/>
  <c r="J527" i="8"/>
  <c r="K527" i="8"/>
  <c r="J528" i="8"/>
  <c r="K528" i="8"/>
  <c r="J529" i="8"/>
  <c r="K529" i="8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J208" i="34"/>
  <c r="K208" i="34"/>
  <c r="J209" i="34"/>
  <c r="K209" i="34"/>
  <c r="J210" i="34"/>
  <c r="K210" i="34"/>
  <c r="J211" i="34"/>
  <c r="K211" i="34"/>
  <c r="J212" i="34"/>
  <c r="K212" i="34"/>
  <c r="J213" i="34"/>
  <c r="K213" i="34"/>
  <c r="J214" i="34"/>
  <c r="K214" i="34"/>
  <c r="J215" i="34"/>
  <c r="K215" i="34"/>
  <c r="J216" i="34"/>
  <c r="K216" i="34"/>
  <c r="J217" i="34"/>
  <c r="K217" i="34"/>
  <c r="J218" i="34"/>
  <c r="K218" i="34"/>
  <c r="J219" i="34"/>
  <c r="K219" i="34"/>
  <c r="J220" i="34"/>
  <c r="K220" i="34"/>
  <c r="J221" i="34"/>
  <c r="K221" i="34"/>
  <c r="J222" i="34"/>
  <c r="K222" i="34"/>
  <c r="J223" i="34"/>
  <c r="K223" i="34"/>
  <c r="J224" i="34"/>
  <c r="K224" i="34"/>
  <c r="J225" i="34"/>
  <c r="K225" i="34"/>
  <c r="J226" i="34"/>
  <c r="K226" i="34"/>
  <c r="J227" i="34"/>
  <c r="K227" i="34"/>
  <c r="J228" i="34"/>
  <c r="K228" i="34"/>
  <c r="J229" i="34"/>
  <c r="K229" i="34"/>
  <c r="J230" i="34"/>
  <c r="K230" i="34"/>
  <c r="J231" i="34"/>
  <c r="K231" i="34"/>
  <c r="J232" i="34"/>
  <c r="K232" i="34"/>
  <c r="J41" i="40"/>
  <c r="K41" i="40"/>
  <c r="J42" i="40"/>
  <c r="K42" i="40"/>
  <c r="J43" i="40"/>
  <c r="K43" i="40"/>
  <c r="J44" i="40"/>
  <c r="K44" i="40"/>
  <c r="J45" i="40"/>
  <c r="K45" i="40"/>
  <c r="J46" i="40"/>
  <c r="K46" i="40"/>
  <c r="J47" i="40"/>
  <c r="K47" i="40"/>
  <c r="J48" i="40"/>
  <c r="K48" i="40"/>
  <c r="J49" i="40"/>
  <c r="K49" i="40"/>
  <c r="J50" i="40"/>
  <c r="K50" i="40"/>
  <c r="J51" i="40"/>
  <c r="K51" i="40"/>
  <c r="J52" i="40"/>
  <c r="K52" i="40"/>
  <c r="J53" i="40"/>
  <c r="K53" i="40"/>
  <c r="J54" i="40"/>
  <c r="K54" i="40"/>
  <c r="J55" i="40"/>
  <c r="K55" i="40"/>
  <c r="J56" i="40"/>
  <c r="K56" i="40"/>
  <c r="J57" i="40"/>
  <c r="K57" i="40"/>
  <c r="J66" i="40"/>
  <c r="K66" i="40"/>
  <c r="J67" i="40"/>
  <c r="K67" i="40"/>
  <c r="J68" i="40"/>
  <c r="K68" i="40"/>
  <c r="J69" i="40"/>
  <c r="K69" i="40"/>
  <c r="J70" i="40"/>
  <c r="K70" i="40"/>
  <c r="J71" i="40"/>
  <c r="K71" i="40"/>
  <c r="J72" i="40"/>
  <c r="K72" i="40"/>
  <c r="J73" i="40"/>
  <c r="K73" i="40"/>
  <c r="J74" i="40"/>
  <c r="K74" i="40"/>
  <c r="J75" i="40"/>
  <c r="K75" i="40"/>
  <c r="J76" i="40"/>
  <c r="K76" i="40"/>
  <c r="J77" i="40"/>
  <c r="K77" i="40"/>
  <c r="J78" i="40"/>
  <c r="K78" i="40"/>
  <c r="J92" i="25"/>
  <c r="K92" i="25"/>
  <c r="J93" i="25"/>
  <c r="K93" i="25"/>
  <c r="J94" i="25"/>
  <c r="K94" i="25"/>
  <c r="J95" i="25"/>
  <c r="K95" i="25"/>
  <c r="J96" i="25"/>
  <c r="K96" i="25"/>
  <c r="J97" i="25"/>
  <c r="K97" i="25"/>
  <c r="J98" i="25"/>
  <c r="K98" i="25"/>
  <c r="J99" i="25"/>
  <c r="K99" i="25"/>
  <c r="J618" i="6" l="1"/>
  <c r="K618" i="6"/>
  <c r="J619" i="6"/>
  <c r="K619" i="6"/>
  <c r="J620" i="6"/>
  <c r="K620" i="6"/>
  <c r="J621" i="6"/>
  <c r="K621" i="6"/>
  <c r="J622" i="6"/>
  <c r="K622" i="6"/>
  <c r="J623" i="6"/>
  <c r="K623" i="6"/>
  <c r="J624" i="6"/>
  <c r="K624" i="6"/>
  <c r="J625" i="6"/>
  <c r="K625" i="6"/>
  <c r="J626" i="6"/>
  <c r="K626" i="6"/>
  <c r="J627" i="6"/>
  <c r="K627" i="6"/>
  <c r="J628" i="6"/>
  <c r="K628" i="6"/>
  <c r="J629" i="6"/>
  <c r="K629" i="6"/>
  <c r="J630" i="6"/>
  <c r="K630" i="6"/>
  <c r="J631" i="6"/>
  <c r="K631" i="6"/>
  <c r="J639" i="6"/>
  <c r="K639" i="6"/>
  <c r="J640" i="6"/>
  <c r="J641" i="6"/>
  <c r="J642" i="6"/>
  <c r="J643" i="6"/>
  <c r="J644" i="6"/>
  <c r="J645" i="6"/>
  <c r="J646" i="6"/>
  <c r="J648" i="6"/>
  <c r="J661" i="6"/>
  <c r="J179" i="32"/>
  <c r="K179" i="32"/>
  <c r="J180" i="32"/>
  <c r="K180" i="32"/>
  <c r="J181" i="32"/>
  <c r="K181" i="32"/>
  <c r="J182" i="32"/>
  <c r="K182" i="32"/>
  <c r="J183" i="32"/>
  <c r="K183" i="32"/>
  <c r="J184" i="32"/>
  <c r="K184" i="32"/>
  <c r="J185" i="32"/>
  <c r="K185" i="32"/>
  <c r="J186" i="32"/>
  <c r="K186" i="32"/>
  <c r="J187" i="32"/>
  <c r="K187" i="32"/>
  <c r="J188" i="32"/>
  <c r="K188" i="32"/>
  <c r="J189" i="32"/>
  <c r="K189" i="32"/>
  <c r="J190" i="32"/>
  <c r="K190" i="32"/>
  <c r="J191" i="32"/>
  <c r="K191" i="32"/>
  <c r="J192" i="32"/>
  <c r="K192" i="32"/>
  <c r="J193" i="32"/>
  <c r="K193" i="32"/>
  <c r="J194" i="32"/>
  <c r="K194" i="32"/>
  <c r="J195" i="32"/>
  <c r="K195" i="32"/>
  <c r="J196" i="32"/>
  <c r="K196" i="32"/>
  <c r="J197" i="32"/>
  <c r="K197" i="32"/>
  <c r="J198" i="32"/>
  <c r="K198" i="32"/>
  <c r="J199" i="32"/>
  <c r="K199" i="32"/>
  <c r="J200" i="32"/>
  <c r="K200" i="32"/>
  <c r="J201" i="32"/>
  <c r="K201" i="32"/>
  <c r="J202" i="32"/>
  <c r="K202" i="32"/>
  <c r="J203" i="32"/>
  <c r="K203" i="32"/>
  <c r="J204" i="32"/>
  <c r="K204" i="32"/>
  <c r="J214" i="32"/>
  <c r="K214" i="32"/>
  <c r="J215" i="32"/>
  <c r="K215" i="32"/>
  <c r="J216" i="32"/>
  <c r="K216" i="32"/>
  <c r="J217" i="32"/>
  <c r="K217" i="32"/>
  <c r="J218" i="32"/>
  <c r="K218" i="32"/>
  <c r="J219" i="32"/>
  <c r="K219" i="32"/>
  <c r="J220" i="32"/>
  <c r="K220" i="32"/>
  <c r="J162" i="33" l="1"/>
  <c r="K162" i="33"/>
  <c r="J163" i="33"/>
  <c r="K163" i="33"/>
  <c r="J164" i="33"/>
  <c r="K164" i="33"/>
  <c r="J165" i="33"/>
  <c r="K165" i="33"/>
  <c r="J166" i="33"/>
  <c r="K166" i="33"/>
  <c r="J167" i="33"/>
  <c r="K167" i="33"/>
  <c r="J168" i="33"/>
  <c r="K168" i="33"/>
  <c r="J169" i="33"/>
  <c r="K169" i="33"/>
  <c r="J170" i="33"/>
  <c r="K170" i="33"/>
  <c r="J171" i="33"/>
  <c r="K171" i="33"/>
  <c r="J172" i="33"/>
  <c r="K172" i="33"/>
  <c r="J173" i="33"/>
  <c r="K173" i="33"/>
  <c r="J174" i="33"/>
  <c r="K174" i="33"/>
  <c r="J175" i="33"/>
  <c r="K175" i="33"/>
  <c r="J176" i="33"/>
  <c r="K176" i="33"/>
  <c r="J177" i="33"/>
  <c r="K177" i="33"/>
  <c r="J178" i="33"/>
  <c r="K178" i="33"/>
  <c r="J179" i="33"/>
  <c r="K179" i="33"/>
  <c r="J180" i="33"/>
  <c r="K180" i="33"/>
  <c r="J181" i="33"/>
  <c r="K181" i="33"/>
  <c r="K123" i="35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452" i="7" l="1"/>
  <c r="K452" i="7"/>
  <c r="J453" i="7"/>
  <c r="K453" i="7"/>
  <c r="J454" i="7"/>
  <c r="K454" i="7"/>
  <c r="J455" i="7"/>
  <c r="K455" i="7"/>
  <c r="J456" i="7"/>
  <c r="K456" i="7"/>
  <c r="J457" i="7"/>
  <c r="K457" i="7"/>
  <c r="J458" i="7"/>
  <c r="K458" i="7"/>
  <c r="J459" i="7"/>
  <c r="K459" i="7"/>
  <c r="J460" i="7"/>
  <c r="K460" i="7"/>
  <c r="J461" i="7"/>
  <c r="K461" i="7"/>
  <c r="J462" i="7"/>
  <c r="K462" i="7"/>
  <c r="J463" i="7"/>
  <c r="K463" i="7"/>
  <c r="J464" i="7"/>
  <c r="K464" i="7"/>
  <c r="J465" i="7"/>
  <c r="K465" i="7"/>
  <c r="J466" i="7"/>
  <c r="K466" i="7"/>
  <c r="J467" i="7"/>
  <c r="K467" i="7"/>
  <c r="J468" i="7"/>
  <c r="K468" i="7"/>
  <c r="J479" i="7"/>
  <c r="K479" i="7"/>
  <c r="J480" i="7"/>
  <c r="K480" i="7"/>
  <c r="J481" i="7"/>
  <c r="K481" i="7"/>
  <c r="J482" i="7"/>
  <c r="K482" i="7"/>
  <c r="J483" i="7"/>
  <c r="K483" i="7"/>
  <c r="J484" i="7"/>
  <c r="K484" i="7"/>
  <c r="J505" i="7"/>
  <c r="J550" i="2" l="1"/>
  <c r="J551" i="2"/>
  <c r="J417" i="5"/>
  <c r="J170" i="32"/>
  <c r="K170" i="32"/>
  <c r="J171" i="32"/>
  <c r="K171" i="32"/>
  <c r="J172" i="32"/>
  <c r="K172" i="32"/>
  <c r="J173" i="32"/>
  <c r="K173" i="32"/>
  <c r="J174" i="32"/>
  <c r="K174" i="32"/>
  <c r="J175" i="32"/>
  <c r="K175" i="32"/>
  <c r="J176" i="32"/>
  <c r="K176" i="32"/>
  <c r="J177" i="32"/>
  <c r="K177" i="32"/>
  <c r="J178" i="32"/>
  <c r="K178" i="32"/>
  <c r="K167" i="32"/>
  <c r="K168" i="32"/>
  <c r="K169" i="32"/>
  <c r="J484" i="8"/>
  <c r="K484" i="8"/>
  <c r="J485" i="8"/>
  <c r="K485" i="8"/>
  <c r="J486" i="8"/>
  <c r="K486" i="8"/>
  <c r="J487" i="8"/>
  <c r="K487" i="8"/>
  <c r="J488" i="8"/>
  <c r="K488" i="8"/>
  <c r="J489" i="8"/>
  <c r="K489" i="8"/>
  <c r="J490" i="8"/>
  <c r="K490" i="8"/>
  <c r="J491" i="8"/>
  <c r="K491" i="8"/>
  <c r="J492" i="8"/>
  <c r="K492" i="8"/>
  <c r="J493" i="8"/>
  <c r="K493" i="8"/>
  <c r="J494" i="8"/>
  <c r="K494" i="8"/>
  <c r="J495" i="8"/>
  <c r="K495" i="8"/>
  <c r="J496" i="8"/>
  <c r="K496" i="8"/>
  <c r="J106" i="39" l="1"/>
  <c r="K106" i="39"/>
  <c r="J107" i="39"/>
  <c r="K107" i="39"/>
  <c r="J108" i="39"/>
  <c r="K108" i="39"/>
  <c r="J109" i="39"/>
  <c r="K109" i="39"/>
  <c r="J110" i="39"/>
  <c r="K110" i="39"/>
  <c r="J111" i="39"/>
  <c r="K111" i="39"/>
  <c r="J112" i="39"/>
  <c r="K112" i="39"/>
  <c r="J113" i="39"/>
  <c r="K113" i="39"/>
  <c r="J114" i="39"/>
  <c r="K114" i="39"/>
  <c r="J115" i="39"/>
  <c r="K115" i="39"/>
  <c r="J116" i="39"/>
  <c r="K116" i="39"/>
  <c r="J117" i="39"/>
  <c r="K117" i="39"/>
  <c r="J118" i="39"/>
  <c r="K118" i="39"/>
  <c r="J119" i="39"/>
  <c r="K119" i="39"/>
  <c r="J120" i="39"/>
  <c r="K120" i="39"/>
  <c r="J121" i="39"/>
  <c r="K121" i="39"/>
  <c r="J122" i="39"/>
  <c r="K122" i="39"/>
  <c r="J123" i="39"/>
  <c r="K123" i="39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47" i="33"/>
  <c r="K148" i="33"/>
  <c r="J81" i="29"/>
  <c r="K81" i="29"/>
  <c r="J82" i="29"/>
  <c r="K82" i="29"/>
  <c r="J83" i="29"/>
  <c r="K83" i="29"/>
  <c r="J84" i="29"/>
  <c r="K84" i="29"/>
  <c r="J85" i="29"/>
  <c r="K85" i="29"/>
  <c r="J86" i="29"/>
  <c r="K86" i="29"/>
  <c r="J87" i="29"/>
  <c r="K87" i="29"/>
  <c r="J88" i="29"/>
  <c r="K88" i="29"/>
  <c r="J89" i="29"/>
  <c r="K89" i="29"/>
  <c r="J90" i="29"/>
  <c r="K90" i="29"/>
  <c r="J91" i="29"/>
  <c r="K91" i="29"/>
  <c r="J92" i="29"/>
  <c r="K92" i="29"/>
  <c r="J93" i="29"/>
  <c r="K93" i="29"/>
  <c r="J94" i="29"/>
  <c r="K94" i="29"/>
  <c r="J95" i="29"/>
  <c r="K95" i="29"/>
  <c r="K29" i="40"/>
  <c r="K30" i="40"/>
  <c r="K31" i="40"/>
  <c r="K32" i="40"/>
  <c r="K33" i="40"/>
  <c r="K34" i="40"/>
  <c r="K35" i="40"/>
  <c r="K36" i="40"/>
  <c r="K37" i="40"/>
  <c r="K38" i="40"/>
  <c r="K39" i="40"/>
  <c r="K40" i="40"/>
  <c r="J30" i="40"/>
  <c r="J31" i="40"/>
  <c r="J32" i="40"/>
  <c r="J33" i="40"/>
  <c r="J34" i="40"/>
  <c r="J35" i="40"/>
  <c r="J36" i="40"/>
  <c r="J37" i="40"/>
  <c r="J38" i="40"/>
  <c r="J39" i="40"/>
  <c r="J40" i="40"/>
  <c r="J245" i="18"/>
  <c r="K245" i="18"/>
  <c r="J246" i="18"/>
  <c r="K246" i="18"/>
  <c r="J254" i="18"/>
  <c r="K254" i="18"/>
  <c r="J255" i="18"/>
  <c r="K255" i="18"/>
  <c r="J256" i="18"/>
  <c r="K256" i="18"/>
  <c r="K146" i="33"/>
  <c r="K145" i="33"/>
  <c r="J146" i="33"/>
  <c r="J147" i="33"/>
  <c r="J148" i="33"/>
  <c r="J149" i="33"/>
  <c r="J150" i="33"/>
  <c r="J151" i="33"/>
  <c r="J152" i="33"/>
  <c r="J153" i="33"/>
  <c r="J154" i="33"/>
  <c r="J155" i="33"/>
  <c r="J156" i="33"/>
  <c r="J157" i="33"/>
  <c r="J158" i="33"/>
  <c r="J159" i="33"/>
  <c r="J160" i="33"/>
  <c r="J161" i="33"/>
  <c r="J145" i="33"/>
  <c r="J161" i="32"/>
  <c r="K161" i="32"/>
  <c r="J162" i="32"/>
  <c r="K162" i="32"/>
  <c r="J163" i="32"/>
  <c r="K163" i="32"/>
  <c r="J164" i="32"/>
  <c r="K164" i="32"/>
  <c r="J165" i="32"/>
  <c r="K165" i="32"/>
  <c r="J166" i="32"/>
  <c r="K166" i="32"/>
  <c r="J167" i="32"/>
  <c r="J168" i="32"/>
  <c r="J169" i="32"/>
  <c r="K83" i="25"/>
  <c r="K82" i="25"/>
  <c r="K84" i="25"/>
  <c r="K85" i="25"/>
  <c r="K86" i="25"/>
  <c r="K87" i="25"/>
  <c r="K88" i="25"/>
  <c r="K89" i="25"/>
  <c r="K90" i="25"/>
  <c r="K91" i="25"/>
  <c r="K76" i="23"/>
  <c r="K77" i="23"/>
  <c r="K78" i="23"/>
  <c r="K79" i="23"/>
  <c r="K80" i="23"/>
  <c r="K81" i="23"/>
  <c r="K82" i="23"/>
  <c r="K83" i="23"/>
  <c r="K84" i="23"/>
  <c r="K85" i="23"/>
  <c r="K86" i="23"/>
  <c r="K87" i="23"/>
  <c r="K88" i="23"/>
  <c r="K89" i="23"/>
  <c r="K90" i="23"/>
  <c r="K91" i="23"/>
  <c r="K92" i="23"/>
  <c r="K93" i="23"/>
  <c r="K94" i="23"/>
  <c r="K95" i="23"/>
  <c r="K96" i="23"/>
  <c r="K97" i="23"/>
  <c r="K98" i="23"/>
  <c r="K74" i="23"/>
  <c r="K75" i="23"/>
  <c r="K81" i="25"/>
  <c r="K70" i="25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74" i="23"/>
  <c r="J110" i="35"/>
  <c r="K110" i="35"/>
  <c r="J111" i="35"/>
  <c r="K111" i="35"/>
  <c r="J112" i="35"/>
  <c r="K112" i="35"/>
  <c r="J113" i="35"/>
  <c r="K113" i="35"/>
  <c r="J114" i="35"/>
  <c r="K114" i="35"/>
  <c r="J115" i="35"/>
  <c r="K115" i="35"/>
  <c r="J116" i="35"/>
  <c r="K116" i="35"/>
  <c r="J117" i="35"/>
  <c r="K117" i="35"/>
  <c r="J118" i="35"/>
  <c r="K118" i="35"/>
  <c r="J119" i="35"/>
  <c r="K119" i="35"/>
  <c r="J120" i="35"/>
  <c r="K120" i="35"/>
  <c r="J121" i="35"/>
  <c r="K121" i="35"/>
  <c r="J122" i="35"/>
  <c r="K122" i="35"/>
  <c r="J123" i="35"/>
  <c r="J124" i="35"/>
  <c r="K124" i="35"/>
  <c r="J125" i="35"/>
  <c r="K125" i="35"/>
  <c r="J126" i="35"/>
  <c r="K126" i="35"/>
  <c r="J127" i="35"/>
  <c r="K127" i="35"/>
  <c r="J128" i="35"/>
  <c r="K128" i="35"/>
  <c r="J129" i="35"/>
  <c r="K129" i="35"/>
  <c r="J130" i="35"/>
  <c r="K130" i="35"/>
  <c r="J131" i="35"/>
  <c r="K131" i="35"/>
  <c r="J132" i="35"/>
  <c r="K132" i="35"/>
  <c r="J133" i="35"/>
  <c r="K133" i="35"/>
  <c r="J134" i="35"/>
  <c r="K134" i="35"/>
  <c r="J135" i="35"/>
  <c r="K135" i="35"/>
  <c r="J136" i="35"/>
  <c r="K136" i="35"/>
  <c r="K173" i="20"/>
  <c r="K174" i="20"/>
  <c r="K175" i="20"/>
  <c r="J416" i="5" l="1"/>
  <c r="K416" i="5"/>
  <c r="K417" i="5"/>
  <c r="J418" i="5"/>
  <c r="K418" i="5"/>
  <c r="J419" i="5"/>
  <c r="K419" i="5"/>
  <c r="J420" i="5"/>
  <c r="K420" i="5"/>
  <c r="J421" i="5"/>
  <c r="K421" i="5"/>
  <c r="J422" i="5"/>
  <c r="K422" i="5"/>
  <c r="J423" i="5"/>
  <c r="K423" i="5"/>
  <c r="J424" i="5"/>
  <c r="K424" i="5"/>
  <c r="J425" i="5"/>
  <c r="K425" i="5"/>
  <c r="J426" i="5"/>
  <c r="K426" i="5"/>
  <c r="J427" i="5"/>
  <c r="K427" i="5"/>
  <c r="J428" i="5"/>
  <c r="K428" i="5"/>
  <c r="J429" i="5"/>
  <c r="K429" i="5"/>
  <c r="J430" i="5"/>
  <c r="K430" i="5"/>
  <c r="J431" i="5"/>
  <c r="K431" i="5"/>
  <c r="J432" i="5"/>
  <c r="K432" i="5"/>
  <c r="J433" i="5"/>
  <c r="K433" i="5"/>
  <c r="J434" i="5"/>
  <c r="K434" i="5"/>
  <c r="J435" i="5"/>
  <c r="K435" i="5"/>
  <c r="J436" i="5"/>
  <c r="K436" i="5"/>
  <c r="J437" i="5"/>
  <c r="K437" i="5"/>
  <c r="J438" i="5"/>
  <c r="K438" i="5"/>
  <c r="J439" i="5"/>
  <c r="K439" i="5"/>
  <c r="J440" i="5"/>
  <c r="K440" i="5"/>
  <c r="J441" i="5"/>
  <c r="K441" i="5"/>
  <c r="J442" i="5"/>
  <c r="K442" i="5"/>
  <c r="J602" i="6" l="1"/>
  <c r="K602" i="6"/>
  <c r="J603" i="6"/>
  <c r="K603" i="6"/>
  <c r="J604" i="6"/>
  <c r="K604" i="6"/>
  <c r="J605" i="6"/>
  <c r="K605" i="6"/>
  <c r="J606" i="6"/>
  <c r="K606" i="6"/>
  <c r="J607" i="6"/>
  <c r="K607" i="6"/>
  <c r="J608" i="6"/>
  <c r="K608" i="6"/>
  <c r="J609" i="6"/>
  <c r="K609" i="6"/>
  <c r="J610" i="6"/>
  <c r="K610" i="6"/>
  <c r="J611" i="6"/>
  <c r="K611" i="6"/>
  <c r="J612" i="6"/>
  <c r="K612" i="6"/>
  <c r="J613" i="6"/>
  <c r="K613" i="6"/>
  <c r="J614" i="6"/>
  <c r="K614" i="6"/>
  <c r="J615" i="6"/>
  <c r="K615" i="6"/>
  <c r="J616" i="6"/>
  <c r="K616" i="6"/>
  <c r="J617" i="6"/>
  <c r="K617" i="6"/>
  <c r="J544" i="2"/>
  <c r="K544" i="2"/>
  <c r="J545" i="2"/>
  <c r="K545" i="2"/>
  <c r="J546" i="2"/>
  <c r="K546" i="2"/>
  <c r="J547" i="2"/>
  <c r="K547" i="2"/>
  <c r="J548" i="2"/>
  <c r="K548" i="2"/>
  <c r="J549" i="2"/>
  <c r="K549" i="2"/>
  <c r="K550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K542" i="2"/>
  <c r="K543" i="2"/>
  <c r="K541" i="2"/>
  <c r="J541" i="2"/>
  <c r="J98" i="39"/>
  <c r="K98" i="39"/>
  <c r="J99" i="39"/>
  <c r="K99" i="39"/>
  <c r="J100" i="39"/>
  <c r="K100" i="39"/>
  <c r="J101" i="39"/>
  <c r="K101" i="39"/>
  <c r="J102" i="39"/>
  <c r="K102" i="39"/>
  <c r="J103" i="39"/>
  <c r="K103" i="39"/>
  <c r="J104" i="39"/>
  <c r="K104" i="39"/>
  <c r="J105" i="39"/>
  <c r="K105" i="39"/>
  <c r="J141" i="31"/>
  <c r="K141" i="31"/>
  <c r="J142" i="31"/>
  <c r="K142" i="31"/>
  <c r="J143" i="31"/>
  <c r="K143" i="31"/>
  <c r="J144" i="31"/>
  <c r="K144" i="31"/>
  <c r="J145" i="31"/>
  <c r="K145" i="31"/>
  <c r="J146" i="31"/>
  <c r="K146" i="31"/>
  <c r="J147" i="31"/>
  <c r="K147" i="31"/>
  <c r="J148" i="31"/>
  <c r="K148" i="31"/>
  <c r="J149" i="31"/>
  <c r="K149" i="31"/>
  <c r="J150" i="31"/>
  <c r="K150" i="31"/>
  <c r="J151" i="31"/>
  <c r="K151" i="31"/>
  <c r="J152" i="31"/>
  <c r="K152" i="31"/>
  <c r="J153" i="31"/>
  <c r="K153" i="31"/>
  <c r="J154" i="31"/>
  <c r="K154" i="31"/>
  <c r="J155" i="31"/>
  <c r="K155" i="31"/>
  <c r="J156" i="31"/>
  <c r="K156" i="31"/>
  <c r="J157" i="31"/>
  <c r="K157" i="31"/>
  <c r="J158" i="31"/>
  <c r="K158" i="31"/>
  <c r="J159" i="31"/>
  <c r="K159" i="31"/>
  <c r="J160" i="31"/>
  <c r="K160" i="31"/>
  <c r="J161" i="31"/>
  <c r="K161" i="31"/>
  <c r="J162" i="31"/>
  <c r="K162" i="31"/>
  <c r="J163" i="31"/>
  <c r="K163" i="31"/>
  <c r="J164" i="31"/>
  <c r="K164" i="31"/>
  <c r="J165" i="31"/>
  <c r="K165" i="31"/>
  <c r="J475" i="8"/>
  <c r="K475" i="8"/>
  <c r="J476" i="8"/>
  <c r="K476" i="8"/>
  <c r="J477" i="8"/>
  <c r="K477" i="8"/>
  <c r="J478" i="8"/>
  <c r="K478" i="8"/>
  <c r="J479" i="8"/>
  <c r="K479" i="8"/>
  <c r="J480" i="8"/>
  <c r="K480" i="8"/>
  <c r="J481" i="8"/>
  <c r="K481" i="8"/>
  <c r="J482" i="8"/>
  <c r="K482" i="8"/>
  <c r="J483" i="8"/>
  <c r="K483" i="8"/>
  <c r="J438" i="7" l="1"/>
  <c r="K438" i="7"/>
  <c r="J439" i="7"/>
  <c r="K439" i="7"/>
  <c r="J440" i="7"/>
  <c r="K440" i="7"/>
  <c r="J441" i="7"/>
  <c r="K441" i="7"/>
  <c r="J442" i="7"/>
  <c r="K442" i="7"/>
  <c r="J443" i="7"/>
  <c r="K443" i="7"/>
  <c r="J444" i="7"/>
  <c r="K444" i="7"/>
  <c r="J445" i="7"/>
  <c r="K445" i="7"/>
  <c r="J446" i="7"/>
  <c r="K446" i="7"/>
  <c r="J447" i="7"/>
  <c r="K447" i="7"/>
  <c r="J448" i="7"/>
  <c r="K448" i="7"/>
  <c r="J449" i="7"/>
  <c r="K449" i="7"/>
  <c r="J450" i="7"/>
  <c r="K450" i="7"/>
  <c r="J451" i="7"/>
  <c r="K451" i="7"/>
  <c r="J163" i="22"/>
  <c r="K163" i="22"/>
  <c r="J164" i="22"/>
  <c r="K164" i="22"/>
  <c r="J165" i="22"/>
  <c r="K165" i="22"/>
  <c r="J166" i="22"/>
  <c r="K166" i="22"/>
  <c r="J167" i="22"/>
  <c r="K167" i="22"/>
  <c r="J168" i="22"/>
  <c r="K168" i="22"/>
  <c r="J169" i="22"/>
  <c r="K169" i="22"/>
  <c r="J170" i="22"/>
  <c r="K170" i="22"/>
  <c r="J171" i="22"/>
  <c r="K171" i="22"/>
  <c r="J172" i="22"/>
  <c r="K172" i="22"/>
  <c r="J173" i="22"/>
  <c r="K173" i="22"/>
  <c r="J174" i="22"/>
  <c r="K174" i="22"/>
  <c r="J175" i="22"/>
  <c r="K175" i="22"/>
  <c r="J176" i="22"/>
  <c r="K176" i="22"/>
  <c r="J233" i="18"/>
  <c r="K233" i="18"/>
  <c r="J234" i="18"/>
  <c r="K234" i="18"/>
  <c r="J235" i="18"/>
  <c r="K235" i="18"/>
  <c r="J236" i="18"/>
  <c r="K236" i="18"/>
  <c r="J237" i="18"/>
  <c r="K237" i="18"/>
  <c r="J238" i="18"/>
  <c r="K238" i="18"/>
  <c r="J239" i="18"/>
  <c r="K239" i="18"/>
  <c r="J240" i="18"/>
  <c r="K240" i="18"/>
  <c r="J241" i="18"/>
  <c r="K241" i="18"/>
  <c r="J242" i="18"/>
  <c r="K242" i="18"/>
  <c r="J243" i="18"/>
  <c r="K243" i="18"/>
  <c r="J244" i="18"/>
  <c r="K244" i="18"/>
  <c r="K262" i="16"/>
  <c r="K261" i="16"/>
  <c r="K410" i="5"/>
  <c r="K471" i="8"/>
  <c r="K472" i="8"/>
  <c r="K473" i="8"/>
  <c r="J471" i="8"/>
  <c r="J160" i="20"/>
  <c r="J159" i="20"/>
  <c r="J71" i="29"/>
  <c r="K71" i="29"/>
  <c r="J72" i="29"/>
  <c r="K72" i="29"/>
  <c r="J73" i="29"/>
  <c r="K73" i="29"/>
  <c r="J74" i="29"/>
  <c r="K74" i="29"/>
  <c r="J75" i="29"/>
  <c r="K75" i="29"/>
  <c r="J76" i="29"/>
  <c r="K76" i="29"/>
  <c r="J77" i="29"/>
  <c r="K77" i="29"/>
  <c r="J78" i="29"/>
  <c r="K78" i="29"/>
  <c r="J79" i="29"/>
  <c r="K79" i="29"/>
  <c r="J80" i="29"/>
  <c r="K80" i="29"/>
  <c r="J158" i="20"/>
  <c r="J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J156" i="20"/>
  <c r="K66" i="29"/>
  <c r="K61" i="29"/>
  <c r="K58" i="29"/>
  <c r="K59" i="29"/>
  <c r="K60" i="29"/>
  <c r="K62" i="29"/>
  <c r="K63" i="29"/>
  <c r="K64" i="29"/>
  <c r="K65" i="29"/>
  <c r="K67" i="29"/>
  <c r="K68" i="29"/>
  <c r="K69" i="29"/>
  <c r="K70" i="29"/>
  <c r="K57" i="29"/>
  <c r="K56" i="29"/>
  <c r="K127" i="31"/>
  <c r="K132" i="31"/>
  <c r="J155" i="20"/>
  <c r="J154" i="20"/>
  <c r="J64" i="29" l="1"/>
  <c r="J65" i="29"/>
  <c r="J66" i="29"/>
  <c r="J67" i="29"/>
  <c r="J68" i="29"/>
  <c r="J69" i="29"/>
  <c r="J70" i="29"/>
  <c r="K47" i="29"/>
  <c r="J153" i="20"/>
  <c r="J152" i="20"/>
  <c r="J592" i="6"/>
  <c r="K592" i="6"/>
  <c r="J593" i="6"/>
  <c r="K593" i="6"/>
  <c r="J594" i="6"/>
  <c r="K594" i="6"/>
  <c r="J595" i="6"/>
  <c r="K595" i="6"/>
  <c r="J596" i="6"/>
  <c r="K596" i="6"/>
  <c r="J597" i="6"/>
  <c r="K597" i="6"/>
  <c r="J598" i="6"/>
  <c r="K598" i="6"/>
  <c r="J599" i="6"/>
  <c r="K599" i="6"/>
  <c r="J600" i="6"/>
  <c r="K600" i="6"/>
  <c r="J601" i="6"/>
  <c r="K601" i="6"/>
  <c r="J404" i="5"/>
  <c r="K404" i="5"/>
  <c r="J405" i="5"/>
  <c r="K405" i="5"/>
  <c r="J406" i="5"/>
  <c r="K406" i="5"/>
  <c r="J407" i="5"/>
  <c r="K407" i="5"/>
  <c r="J408" i="5"/>
  <c r="K408" i="5"/>
  <c r="J409" i="5"/>
  <c r="K409" i="5"/>
  <c r="J410" i="5"/>
  <c r="J411" i="5"/>
  <c r="K411" i="5"/>
  <c r="J412" i="5"/>
  <c r="K412" i="5"/>
  <c r="J413" i="5"/>
  <c r="K413" i="5"/>
  <c r="J414" i="5"/>
  <c r="K414" i="5"/>
  <c r="J415" i="5"/>
  <c r="K415" i="5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2" i="2"/>
  <c r="J543" i="2"/>
  <c r="J12" i="40"/>
  <c r="K12" i="40"/>
  <c r="J13" i="40"/>
  <c r="K13" i="40"/>
  <c r="J14" i="40"/>
  <c r="K14" i="40"/>
  <c r="J15" i="40"/>
  <c r="K15" i="40"/>
  <c r="J16" i="40"/>
  <c r="K16" i="40"/>
  <c r="J17" i="40"/>
  <c r="K17" i="40"/>
  <c r="J18" i="40"/>
  <c r="K18" i="40"/>
  <c r="J19" i="40"/>
  <c r="K19" i="40"/>
  <c r="J20" i="40"/>
  <c r="K20" i="40"/>
  <c r="J21" i="40"/>
  <c r="K21" i="40"/>
  <c r="J22" i="40"/>
  <c r="K22" i="40"/>
  <c r="J23" i="40"/>
  <c r="K23" i="40"/>
  <c r="J24" i="40"/>
  <c r="K24" i="40"/>
  <c r="J25" i="40"/>
  <c r="K25" i="40"/>
  <c r="J26" i="40"/>
  <c r="K26" i="40"/>
  <c r="J27" i="40"/>
  <c r="K27" i="40"/>
  <c r="J28" i="40"/>
  <c r="K28" i="40"/>
  <c r="J29" i="40"/>
  <c r="J131" i="31"/>
  <c r="K131" i="31"/>
  <c r="J132" i="31"/>
  <c r="J133" i="31"/>
  <c r="K133" i="31"/>
  <c r="J134" i="31"/>
  <c r="K134" i="31"/>
  <c r="J135" i="31"/>
  <c r="K135" i="31"/>
  <c r="J136" i="31"/>
  <c r="K136" i="31"/>
  <c r="J137" i="31"/>
  <c r="K137" i="31"/>
  <c r="J138" i="31"/>
  <c r="K138" i="31"/>
  <c r="J139" i="31"/>
  <c r="K139" i="31"/>
  <c r="J140" i="31"/>
  <c r="K140" i="31"/>
  <c r="J151" i="20"/>
  <c r="J221" i="18"/>
  <c r="K221" i="18"/>
  <c r="J222" i="18"/>
  <c r="K222" i="18"/>
  <c r="J223" i="18"/>
  <c r="K223" i="18"/>
  <c r="J224" i="18"/>
  <c r="K224" i="18"/>
  <c r="J225" i="18"/>
  <c r="K225" i="18"/>
  <c r="J226" i="18"/>
  <c r="K226" i="18"/>
  <c r="J227" i="18"/>
  <c r="K227" i="18"/>
  <c r="J228" i="18"/>
  <c r="K228" i="18"/>
  <c r="J229" i="18"/>
  <c r="K229" i="18"/>
  <c r="J230" i="18"/>
  <c r="K230" i="18"/>
  <c r="J231" i="18"/>
  <c r="K231" i="18"/>
  <c r="J232" i="18"/>
  <c r="K232" i="18"/>
  <c r="J462" i="8"/>
  <c r="K462" i="8"/>
  <c r="J463" i="8"/>
  <c r="K463" i="8"/>
  <c r="J464" i="8"/>
  <c r="K464" i="8"/>
  <c r="J465" i="8"/>
  <c r="K465" i="8"/>
  <c r="J466" i="8"/>
  <c r="K466" i="8"/>
  <c r="J467" i="8"/>
  <c r="K467" i="8"/>
  <c r="J468" i="8"/>
  <c r="K468" i="8"/>
  <c r="J469" i="8"/>
  <c r="K469" i="8"/>
  <c r="J470" i="8"/>
  <c r="K470" i="8"/>
  <c r="J472" i="8"/>
  <c r="J473" i="8"/>
  <c r="J474" i="8"/>
  <c r="K474" i="8"/>
  <c r="J427" i="7"/>
  <c r="K427" i="7"/>
  <c r="J428" i="7"/>
  <c r="K428" i="7"/>
  <c r="J429" i="7"/>
  <c r="K429" i="7"/>
  <c r="J430" i="7"/>
  <c r="K430" i="7"/>
  <c r="J431" i="7"/>
  <c r="K431" i="7"/>
  <c r="J432" i="7"/>
  <c r="K432" i="7"/>
  <c r="J433" i="7"/>
  <c r="K433" i="7"/>
  <c r="J434" i="7"/>
  <c r="K434" i="7"/>
  <c r="J435" i="7"/>
  <c r="K435" i="7"/>
  <c r="J436" i="7"/>
  <c r="K436" i="7"/>
  <c r="J437" i="7"/>
  <c r="K437" i="7"/>
  <c r="J84" i="39"/>
  <c r="K84" i="39"/>
  <c r="J85" i="39"/>
  <c r="K85" i="39"/>
  <c r="J86" i="39"/>
  <c r="K86" i="39"/>
  <c r="J87" i="39"/>
  <c r="K87" i="39"/>
  <c r="J88" i="39"/>
  <c r="K88" i="39"/>
  <c r="J89" i="39"/>
  <c r="K89" i="39"/>
  <c r="J90" i="39"/>
  <c r="K90" i="39"/>
  <c r="J91" i="39"/>
  <c r="K91" i="39"/>
  <c r="J92" i="39"/>
  <c r="K92" i="39"/>
  <c r="J93" i="39"/>
  <c r="K93" i="39"/>
  <c r="J94" i="39"/>
  <c r="K94" i="39"/>
  <c r="J95" i="39"/>
  <c r="K95" i="39"/>
  <c r="J96" i="39"/>
  <c r="K96" i="39"/>
  <c r="J97" i="39"/>
  <c r="K97" i="39"/>
  <c r="J150" i="20"/>
  <c r="J149" i="20"/>
  <c r="K129" i="31"/>
  <c r="K130" i="31"/>
  <c r="K128" i="31"/>
  <c r="J130" i="31"/>
  <c r="J129" i="31"/>
  <c r="J128" i="31"/>
  <c r="J127" i="31"/>
  <c r="J586" i="6" l="1"/>
  <c r="K586" i="6"/>
  <c r="J587" i="6"/>
  <c r="K587" i="6"/>
  <c r="J588" i="6"/>
  <c r="K588" i="6"/>
  <c r="J589" i="6"/>
  <c r="K589" i="6"/>
  <c r="J590" i="6"/>
  <c r="K590" i="6"/>
  <c r="J591" i="6"/>
  <c r="K591" i="6"/>
  <c r="J148" i="20"/>
  <c r="K11" i="40" l="1"/>
  <c r="J11" i="40"/>
  <c r="K10" i="40"/>
  <c r="J10" i="40"/>
  <c r="K9" i="40"/>
  <c r="J9" i="40"/>
  <c r="K8" i="40"/>
  <c r="J8" i="40"/>
  <c r="K83" i="39" l="1"/>
  <c r="J83" i="39"/>
  <c r="K82" i="39"/>
  <c r="J82" i="39"/>
  <c r="K81" i="39"/>
  <c r="J81" i="39"/>
  <c r="K80" i="39"/>
  <c r="J80" i="39"/>
  <c r="J147" i="20"/>
  <c r="J146" i="20" l="1"/>
  <c r="J145" i="20"/>
  <c r="J144" i="20"/>
  <c r="J143" i="20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142" i="20"/>
  <c r="J141" i="20"/>
  <c r="J140" i="20"/>
  <c r="J200" i="28"/>
  <c r="K200" i="28"/>
  <c r="J201" i="28"/>
  <c r="K201" i="28"/>
  <c r="J202" i="28"/>
  <c r="K202" i="28"/>
  <c r="J203" i="28"/>
  <c r="K203" i="28"/>
  <c r="J204" i="28"/>
  <c r="K204" i="28"/>
  <c r="J205" i="28"/>
  <c r="K205" i="28"/>
  <c r="K196" i="28"/>
  <c r="J139" i="20"/>
  <c r="J138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J210" i="18" l="1"/>
  <c r="K210" i="18"/>
  <c r="J211" i="18"/>
  <c r="K211" i="18"/>
  <c r="J212" i="18"/>
  <c r="K212" i="18"/>
  <c r="J213" i="18"/>
  <c r="K213" i="18"/>
  <c r="J214" i="18"/>
  <c r="K214" i="18"/>
  <c r="J215" i="18"/>
  <c r="K215" i="18"/>
  <c r="J216" i="18"/>
  <c r="K216" i="18"/>
  <c r="J217" i="18"/>
  <c r="K217" i="18"/>
  <c r="J218" i="18"/>
  <c r="K218" i="18"/>
  <c r="J219" i="18"/>
  <c r="K219" i="18"/>
  <c r="J220" i="18"/>
  <c r="K220" i="18"/>
  <c r="J196" i="28"/>
  <c r="J197" i="28"/>
  <c r="J198" i="28"/>
  <c r="J199" i="28"/>
  <c r="J195" i="28"/>
  <c r="K195" i="28"/>
  <c r="K185" i="28"/>
  <c r="K186" i="28"/>
  <c r="J186" i="28"/>
  <c r="K199" i="28"/>
  <c r="K198" i="28"/>
  <c r="K197" i="28"/>
  <c r="J137" i="20"/>
  <c r="J241" i="16"/>
  <c r="J393" i="5" l="1"/>
  <c r="J136" i="20" l="1"/>
  <c r="J135" i="20"/>
  <c r="J134" i="20" l="1"/>
  <c r="J450" i="8"/>
  <c r="J448" i="8"/>
  <c r="J449" i="8"/>
  <c r="J451" i="8"/>
  <c r="J452" i="8"/>
  <c r="J453" i="8"/>
  <c r="J454" i="8"/>
  <c r="J455" i="8"/>
  <c r="J456" i="8"/>
  <c r="J457" i="8"/>
  <c r="J458" i="8"/>
  <c r="J459" i="8"/>
  <c r="J460" i="8"/>
  <c r="J461" i="8"/>
  <c r="J133" i="20"/>
  <c r="J132" i="20"/>
  <c r="J131" i="20"/>
  <c r="J130" i="20" l="1"/>
  <c r="J201" i="18"/>
  <c r="K201" i="18"/>
  <c r="J202" i="18"/>
  <c r="K202" i="18"/>
  <c r="J203" i="18"/>
  <c r="K203" i="18"/>
  <c r="J204" i="18"/>
  <c r="K204" i="18"/>
  <c r="J205" i="18"/>
  <c r="K205" i="18"/>
  <c r="J206" i="18"/>
  <c r="K206" i="18"/>
  <c r="J207" i="18"/>
  <c r="K207" i="18"/>
  <c r="J208" i="18"/>
  <c r="K208" i="18"/>
  <c r="J209" i="18"/>
  <c r="K209" i="18"/>
  <c r="J390" i="10"/>
  <c r="J389" i="10"/>
  <c r="J388" i="10"/>
  <c r="J387" i="10"/>
  <c r="J386" i="10"/>
  <c r="J385" i="10"/>
  <c r="J384" i="10"/>
  <c r="J383" i="10"/>
  <c r="J382" i="10"/>
  <c r="K381" i="10"/>
  <c r="J381" i="10"/>
  <c r="J129" i="20"/>
  <c r="J128" i="20"/>
  <c r="J127" i="20"/>
  <c r="J126" i="20"/>
  <c r="J125" i="20"/>
  <c r="J578" i="6"/>
  <c r="J124" i="20"/>
  <c r="J123" i="20"/>
  <c r="J231" i="16"/>
  <c r="K231" i="16"/>
  <c r="J232" i="16"/>
  <c r="K232" i="16"/>
  <c r="J233" i="16"/>
  <c r="K233" i="16"/>
  <c r="J234" i="16"/>
  <c r="K234" i="16"/>
  <c r="J235" i="16"/>
  <c r="K235" i="16"/>
  <c r="J236" i="16"/>
  <c r="K236" i="16"/>
  <c r="J237" i="16"/>
  <c r="K237" i="16"/>
  <c r="J238" i="16"/>
  <c r="K238" i="16"/>
  <c r="J239" i="16"/>
  <c r="K239" i="16"/>
  <c r="J240" i="16"/>
  <c r="K240" i="16"/>
  <c r="K241" i="16"/>
  <c r="J242" i="16"/>
  <c r="K242" i="16"/>
  <c r="J243" i="16"/>
  <c r="K243" i="16"/>
  <c r="J244" i="16"/>
  <c r="K244" i="16"/>
  <c r="J245" i="16"/>
  <c r="K245" i="16"/>
  <c r="J246" i="16"/>
  <c r="K246" i="16"/>
  <c r="J247" i="16"/>
  <c r="K247" i="16"/>
  <c r="J248" i="16"/>
  <c r="K248" i="16"/>
  <c r="J249" i="16"/>
  <c r="K249" i="16"/>
  <c r="J250" i="16"/>
  <c r="K250" i="16"/>
  <c r="J251" i="16"/>
  <c r="K251" i="16"/>
  <c r="J252" i="16"/>
  <c r="K252" i="16"/>
  <c r="J253" i="16"/>
  <c r="K253" i="16"/>
  <c r="J254" i="16"/>
  <c r="K254" i="16"/>
  <c r="J255" i="16"/>
  <c r="K255" i="16"/>
  <c r="J256" i="16"/>
  <c r="K256" i="16"/>
  <c r="J257" i="16"/>
  <c r="K257" i="16"/>
  <c r="J258" i="16"/>
  <c r="K258" i="16"/>
  <c r="J259" i="16"/>
  <c r="K259" i="16"/>
  <c r="J260" i="16"/>
  <c r="K260" i="16"/>
  <c r="J261" i="16"/>
  <c r="J262" i="16"/>
  <c r="J263" i="16"/>
  <c r="K263" i="16"/>
  <c r="J264" i="16"/>
  <c r="K264" i="16"/>
  <c r="J265" i="16"/>
  <c r="K265" i="16"/>
  <c r="J266" i="16"/>
  <c r="K266" i="16"/>
  <c r="J267" i="16"/>
  <c r="K267" i="16"/>
  <c r="J268" i="16"/>
  <c r="K268" i="16"/>
  <c r="J269" i="16"/>
  <c r="K269" i="16"/>
  <c r="J270" i="16"/>
  <c r="K270" i="16"/>
  <c r="J122" i="22"/>
  <c r="K122" i="22"/>
  <c r="J123" i="22"/>
  <c r="K123" i="22"/>
  <c r="J124" i="22"/>
  <c r="K124" i="22"/>
  <c r="J125" i="22"/>
  <c r="K125" i="22"/>
  <c r="J126" i="22"/>
  <c r="K126" i="22"/>
  <c r="J127" i="22"/>
  <c r="K127" i="22"/>
  <c r="J128" i="22"/>
  <c r="K128" i="22"/>
  <c r="J129" i="22"/>
  <c r="K129" i="22"/>
  <c r="J130" i="22"/>
  <c r="K130" i="22"/>
  <c r="J131" i="22"/>
  <c r="K131" i="22"/>
  <c r="J132" i="22"/>
  <c r="K132" i="22"/>
  <c r="J133" i="22"/>
  <c r="K133" i="22"/>
  <c r="J134" i="22"/>
  <c r="K134" i="22"/>
  <c r="J135" i="22"/>
  <c r="K135" i="22"/>
  <c r="J136" i="22"/>
  <c r="K136" i="22"/>
  <c r="J137" i="22"/>
  <c r="K137" i="22"/>
  <c r="J138" i="22"/>
  <c r="K138" i="22"/>
  <c r="J139" i="22"/>
  <c r="K139" i="22"/>
  <c r="J140" i="22"/>
  <c r="K140" i="22"/>
  <c r="J141" i="22"/>
  <c r="K141" i="22"/>
  <c r="J142" i="22"/>
  <c r="K142" i="22"/>
  <c r="J143" i="22"/>
  <c r="K143" i="22"/>
  <c r="J144" i="22"/>
  <c r="K144" i="22"/>
  <c r="J145" i="22"/>
  <c r="K145" i="22"/>
  <c r="J146" i="22"/>
  <c r="K146" i="22"/>
  <c r="J147" i="22"/>
  <c r="K147" i="22"/>
  <c r="J148" i="22"/>
  <c r="K148" i="22"/>
  <c r="J149" i="22"/>
  <c r="K149" i="22"/>
  <c r="J150" i="22"/>
  <c r="K150" i="22"/>
  <c r="J151" i="22"/>
  <c r="K151" i="22"/>
  <c r="J152" i="22"/>
  <c r="K152" i="22"/>
  <c r="J153" i="22"/>
  <c r="K153" i="22"/>
  <c r="J154" i="22"/>
  <c r="K154" i="22"/>
  <c r="J155" i="22"/>
  <c r="K155" i="22"/>
  <c r="J156" i="22"/>
  <c r="K156" i="22"/>
  <c r="J157" i="22"/>
  <c r="K157" i="22"/>
  <c r="J158" i="22"/>
  <c r="K158" i="22"/>
  <c r="J159" i="22"/>
  <c r="K159" i="22"/>
  <c r="J160" i="22"/>
  <c r="K160" i="22"/>
  <c r="J161" i="22"/>
  <c r="K161" i="22"/>
  <c r="J162" i="22"/>
  <c r="K162" i="22"/>
  <c r="J122" i="20"/>
  <c r="J121" i="20"/>
  <c r="J120" i="20"/>
  <c r="K450" i="8"/>
  <c r="K451" i="8"/>
  <c r="K452" i="8"/>
  <c r="K453" i="8"/>
  <c r="K454" i="8"/>
  <c r="K455" i="8"/>
  <c r="K456" i="8"/>
  <c r="K457" i="8"/>
  <c r="K458" i="8"/>
  <c r="K459" i="8"/>
  <c r="K460" i="8"/>
  <c r="K461" i="8"/>
  <c r="J119" i="20"/>
  <c r="J224" i="16"/>
  <c r="K224" i="16"/>
  <c r="J225" i="16"/>
  <c r="K225" i="16"/>
  <c r="J226" i="16"/>
  <c r="K226" i="16"/>
  <c r="J227" i="16"/>
  <c r="K227" i="16"/>
  <c r="J228" i="16"/>
  <c r="K228" i="16"/>
  <c r="J229" i="16"/>
  <c r="K229" i="16"/>
  <c r="J230" i="16"/>
  <c r="K230" i="16"/>
  <c r="J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J117" i="20"/>
  <c r="J116" i="20"/>
  <c r="J115" i="20"/>
  <c r="J114" i="20" l="1"/>
  <c r="J113" i="20" l="1"/>
  <c r="J111" i="22"/>
  <c r="K111" i="22"/>
  <c r="J112" i="22"/>
  <c r="K112" i="22"/>
  <c r="J113" i="22"/>
  <c r="K113" i="22"/>
  <c r="J114" i="22"/>
  <c r="K114" i="22"/>
  <c r="J115" i="22"/>
  <c r="K115" i="22"/>
  <c r="J116" i="22"/>
  <c r="K116" i="22"/>
  <c r="J117" i="22"/>
  <c r="K117" i="22"/>
  <c r="J118" i="22"/>
  <c r="K118" i="22"/>
  <c r="J119" i="22"/>
  <c r="K119" i="22"/>
  <c r="J120" i="22"/>
  <c r="K120" i="22"/>
  <c r="J121" i="22"/>
  <c r="K121" i="22"/>
  <c r="J112" i="20"/>
  <c r="J111" i="20"/>
  <c r="J110" i="20" l="1"/>
  <c r="J109" i="20"/>
  <c r="K110" i="20"/>
  <c r="K111" i="20"/>
  <c r="K112" i="20"/>
  <c r="K113" i="20"/>
  <c r="K114" i="20"/>
  <c r="K115" i="20"/>
  <c r="K116" i="20"/>
  <c r="K117" i="20"/>
  <c r="K118" i="20"/>
  <c r="J106" i="20" l="1"/>
  <c r="K106" i="20"/>
  <c r="J107" i="20"/>
  <c r="K107" i="20"/>
  <c r="J108" i="20"/>
  <c r="K108" i="20"/>
  <c r="K109" i="20"/>
  <c r="J71" i="39"/>
  <c r="K71" i="39"/>
  <c r="K70" i="39"/>
  <c r="J104" i="22"/>
  <c r="K104" i="22"/>
  <c r="J105" i="22"/>
  <c r="K105" i="22"/>
  <c r="J106" i="22"/>
  <c r="K106" i="22"/>
  <c r="J107" i="22"/>
  <c r="K107" i="22"/>
  <c r="J108" i="22"/>
  <c r="K108" i="22"/>
  <c r="J109" i="22"/>
  <c r="K109" i="22"/>
  <c r="J110" i="22"/>
  <c r="K110" i="22"/>
  <c r="J70" i="39"/>
  <c r="J69" i="39"/>
  <c r="K69" i="39"/>
  <c r="J183" i="28"/>
  <c r="K183" i="28"/>
  <c r="J184" i="28"/>
  <c r="K184" i="28"/>
  <c r="J185" i="28"/>
  <c r="J177" i="18" l="1"/>
  <c r="K177" i="18"/>
  <c r="J178" i="18"/>
  <c r="K178" i="18"/>
  <c r="J179" i="18"/>
  <c r="K179" i="18"/>
  <c r="J180" i="18"/>
  <c r="K180" i="18"/>
  <c r="J181" i="18"/>
  <c r="K181" i="18"/>
  <c r="J182" i="18"/>
  <c r="K182" i="18"/>
  <c r="J183" i="18"/>
  <c r="K183" i="18"/>
  <c r="J184" i="18"/>
  <c r="K184" i="18"/>
  <c r="J185" i="18"/>
  <c r="K185" i="18"/>
  <c r="J186" i="18"/>
  <c r="K186" i="18"/>
  <c r="J187" i="18"/>
  <c r="K187" i="18"/>
  <c r="J188" i="18"/>
  <c r="K188" i="18"/>
  <c r="J189" i="18"/>
  <c r="K189" i="18"/>
  <c r="J190" i="18"/>
  <c r="K190" i="18"/>
  <c r="J191" i="18"/>
  <c r="K191" i="18"/>
  <c r="J192" i="18"/>
  <c r="K192" i="18"/>
  <c r="J193" i="18"/>
  <c r="K193" i="18"/>
  <c r="J194" i="18"/>
  <c r="K194" i="18"/>
  <c r="J195" i="18"/>
  <c r="K195" i="18"/>
  <c r="J196" i="18"/>
  <c r="K196" i="18"/>
  <c r="J197" i="18"/>
  <c r="K197" i="18"/>
  <c r="J198" i="18"/>
  <c r="K198" i="18"/>
  <c r="J199" i="18"/>
  <c r="K199" i="18"/>
  <c r="J200" i="18"/>
  <c r="K200" i="18"/>
  <c r="J203" i="16"/>
  <c r="K203" i="16"/>
  <c r="J204" i="16"/>
  <c r="K204" i="16"/>
  <c r="J205" i="16"/>
  <c r="K205" i="16"/>
  <c r="J206" i="16"/>
  <c r="K206" i="16"/>
  <c r="J207" i="16"/>
  <c r="K207" i="16"/>
  <c r="J208" i="16"/>
  <c r="K208" i="16"/>
  <c r="J209" i="16"/>
  <c r="K209" i="16"/>
  <c r="J210" i="16"/>
  <c r="K210" i="16"/>
  <c r="J211" i="16"/>
  <c r="K211" i="16"/>
  <c r="J212" i="16"/>
  <c r="K212" i="16"/>
  <c r="J213" i="16"/>
  <c r="K213" i="16"/>
  <c r="J214" i="16"/>
  <c r="K214" i="16"/>
  <c r="J215" i="16"/>
  <c r="K215" i="16"/>
  <c r="J216" i="16"/>
  <c r="K216" i="16"/>
  <c r="J217" i="16"/>
  <c r="K217" i="16"/>
  <c r="J218" i="16"/>
  <c r="K218" i="16"/>
  <c r="J219" i="16"/>
  <c r="K219" i="16"/>
  <c r="J220" i="16"/>
  <c r="K220" i="16"/>
  <c r="J221" i="16"/>
  <c r="K221" i="16"/>
  <c r="J222" i="16"/>
  <c r="K222" i="16"/>
  <c r="J223" i="16"/>
  <c r="K223" i="16"/>
  <c r="K181" i="28"/>
  <c r="K182" i="28"/>
  <c r="K180" i="28"/>
  <c r="K176" i="28" l="1"/>
  <c r="K177" i="28"/>
  <c r="K178" i="28"/>
  <c r="J176" i="28"/>
  <c r="J188" i="34"/>
  <c r="J189" i="34"/>
  <c r="J190" i="34"/>
  <c r="J191" i="34"/>
  <c r="J192" i="34"/>
  <c r="J193" i="34"/>
  <c r="J194" i="34"/>
  <c r="J195" i="34"/>
  <c r="J194" i="16"/>
  <c r="K194" i="16"/>
  <c r="J195" i="16"/>
  <c r="K195" i="16"/>
  <c r="J196" i="16"/>
  <c r="K196" i="16"/>
  <c r="J197" i="16"/>
  <c r="K197" i="16"/>
  <c r="J198" i="16"/>
  <c r="K198" i="16"/>
  <c r="J199" i="16"/>
  <c r="K199" i="16"/>
  <c r="J200" i="16"/>
  <c r="K200" i="16"/>
  <c r="J201" i="16"/>
  <c r="K201" i="16"/>
  <c r="J202" i="16"/>
  <c r="K202" i="16"/>
  <c r="J129" i="33"/>
  <c r="J130" i="33"/>
  <c r="J131" i="33"/>
  <c r="J132" i="33"/>
  <c r="J133" i="33"/>
  <c r="J134" i="33"/>
  <c r="J135" i="33"/>
  <c r="J136" i="33"/>
  <c r="J160" i="32"/>
  <c r="J159" i="32"/>
  <c r="J158" i="32"/>
  <c r="J147" i="32"/>
  <c r="K160" i="32"/>
  <c r="K159" i="32"/>
  <c r="K158" i="32"/>
  <c r="K129" i="33"/>
  <c r="K130" i="33"/>
  <c r="K131" i="33"/>
  <c r="K132" i="33"/>
  <c r="K133" i="33"/>
  <c r="K134" i="33"/>
  <c r="K135" i="33"/>
  <c r="K136" i="33"/>
  <c r="J63" i="39"/>
  <c r="K63" i="39"/>
  <c r="J64" i="39"/>
  <c r="K64" i="39"/>
  <c r="J65" i="39"/>
  <c r="K65" i="39"/>
  <c r="J66" i="39"/>
  <c r="K66" i="39"/>
  <c r="J67" i="39"/>
  <c r="K67" i="39"/>
  <c r="J68" i="39"/>
  <c r="K68" i="39"/>
  <c r="J174" i="28"/>
  <c r="J175" i="28"/>
  <c r="J177" i="28"/>
  <c r="J178" i="28"/>
  <c r="J179" i="28"/>
  <c r="J180" i="28"/>
  <c r="J181" i="28"/>
  <c r="J182" i="28"/>
  <c r="J96" i="22"/>
  <c r="K96" i="22"/>
  <c r="J97" i="22"/>
  <c r="K97" i="22"/>
  <c r="J98" i="22"/>
  <c r="K98" i="22"/>
  <c r="J99" i="22"/>
  <c r="K99" i="22"/>
  <c r="J100" i="22"/>
  <c r="K100" i="22"/>
  <c r="J101" i="22"/>
  <c r="K101" i="22"/>
  <c r="J102" i="22"/>
  <c r="K102" i="22"/>
  <c r="J103" i="22"/>
  <c r="K103" i="22"/>
  <c r="K174" i="28"/>
  <c r="K175" i="28"/>
  <c r="K179" i="28"/>
  <c r="K112" i="30"/>
  <c r="K113" i="30"/>
  <c r="K114" i="30"/>
  <c r="K115" i="30"/>
  <c r="K116" i="30"/>
  <c r="K117" i="30"/>
  <c r="K118" i="30"/>
  <c r="K119" i="30"/>
  <c r="K120" i="30"/>
  <c r="K111" i="30"/>
  <c r="J114" i="30"/>
  <c r="J52" i="21"/>
  <c r="J53" i="21"/>
  <c r="J54" i="21"/>
  <c r="J55" i="21"/>
  <c r="J56" i="21"/>
  <c r="J57" i="21"/>
  <c r="J58" i="21"/>
  <c r="K51" i="21"/>
  <c r="J51" i="21"/>
  <c r="J50" i="21"/>
  <c r="J167" i="18"/>
  <c r="K167" i="18"/>
  <c r="J168" i="18"/>
  <c r="K168" i="18"/>
  <c r="J169" i="18"/>
  <c r="K169" i="18"/>
  <c r="J170" i="18"/>
  <c r="K170" i="18"/>
  <c r="J171" i="18"/>
  <c r="K171" i="18"/>
  <c r="J172" i="18"/>
  <c r="K172" i="18"/>
  <c r="J173" i="18"/>
  <c r="K173" i="18"/>
  <c r="J174" i="18"/>
  <c r="K174" i="18"/>
  <c r="J175" i="18"/>
  <c r="K175" i="18"/>
  <c r="J176" i="18"/>
  <c r="K176" i="18"/>
  <c r="K185" i="16"/>
  <c r="K186" i="16"/>
  <c r="K187" i="16"/>
  <c r="K188" i="16"/>
  <c r="K189" i="16"/>
  <c r="K190" i="16"/>
  <c r="K191" i="16"/>
  <c r="K192" i="16"/>
  <c r="K193" i="16"/>
  <c r="J51" i="19"/>
  <c r="K51" i="19"/>
  <c r="J52" i="19"/>
  <c r="K52" i="19"/>
  <c r="J53" i="19"/>
  <c r="J54" i="19"/>
  <c r="K50" i="19"/>
  <c r="J50" i="19"/>
  <c r="K49" i="19"/>
  <c r="J49" i="19"/>
  <c r="J98" i="20"/>
  <c r="K98" i="20"/>
  <c r="J99" i="20"/>
  <c r="K99" i="20"/>
  <c r="J100" i="20"/>
  <c r="K100" i="20"/>
  <c r="J101" i="20"/>
  <c r="K101" i="20"/>
  <c r="J102" i="20"/>
  <c r="K102" i="20"/>
  <c r="J103" i="20"/>
  <c r="K103" i="20"/>
  <c r="J104" i="20"/>
  <c r="K104" i="20"/>
  <c r="J105" i="20"/>
  <c r="K105" i="20"/>
  <c r="J135" i="27"/>
  <c r="K135" i="27"/>
  <c r="J136" i="27"/>
  <c r="K136" i="27"/>
  <c r="J137" i="27"/>
  <c r="K137" i="27"/>
  <c r="J139" i="27"/>
  <c r="K139" i="27"/>
  <c r="J140" i="27"/>
  <c r="K140" i="27"/>
  <c r="J141" i="27"/>
  <c r="K141" i="27"/>
  <c r="J142" i="27"/>
  <c r="K142" i="27"/>
  <c r="J143" i="27"/>
  <c r="K143" i="27"/>
  <c r="J144" i="27"/>
  <c r="K144" i="27"/>
  <c r="J145" i="27"/>
  <c r="K145" i="27"/>
  <c r="J146" i="27"/>
  <c r="K146" i="27"/>
  <c r="J147" i="27"/>
  <c r="K147" i="27"/>
  <c r="J148" i="27"/>
  <c r="K148" i="27"/>
  <c r="J149" i="27"/>
  <c r="K149" i="27"/>
  <c r="K134" i="27"/>
  <c r="J134" i="27"/>
  <c r="K133" i="27"/>
  <c r="J133" i="27"/>
  <c r="K132" i="27"/>
  <c r="J132" i="27"/>
  <c r="J123" i="33"/>
  <c r="K123" i="33"/>
  <c r="J124" i="33"/>
  <c r="K124" i="33"/>
  <c r="J125" i="33"/>
  <c r="K125" i="33"/>
  <c r="J126" i="33"/>
  <c r="K126" i="33"/>
  <c r="J127" i="33"/>
  <c r="K127" i="33"/>
  <c r="J128" i="33"/>
  <c r="K128" i="33"/>
  <c r="J166" i="28" l="1"/>
  <c r="K166" i="28"/>
  <c r="J167" i="28"/>
  <c r="K167" i="28"/>
  <c r="J168" i="28"/>
  <c r="K168" i="28"/>
  <c r="J169" i="28"/>
  <c r="K169" i="28"/>
  <c r="J170" i="28"/>
  <c r="K170" i="28"/>
  <c r="J171" i="28"/>
  <c r="K171" i="28"/>
  <c r="J172" i="28"/>
  <c r="K172" i="28"/>
  <c r="J173" i="28"/>
  <c r="K173" i="28"/>
  <c r="J85" i="22"/>
  <c r="K85" i="22"/>
  <c r="J86" i="22"/>
  <c r="K86" i="22"/>
  <c r="J87" i="22"/>
  <c r="K87" i="22"/>
  <c r="J88" i="22"/>
  <c r="K88" i="22"/>
  <c r="J89" i="22"/>
  <c r="K89" i="22"/>
  <c r="J90" i="22"/>
  <c r="K90" i="22"/>
  <c r="J91" i="22"/>
  <c r="K91" i="22"/>
  <c r="J92" i="22"/>
  <c r="K92" i="22"/>
  <c r="J93" i="22"/>
  <c r="K93" i="22"/>
  <c r="J94" i="22"/>
  <c r="K94" i="22"/>
  <c r="J95" i="22"/>
  <c r="K95" i="22"/>
  <c r="J90" i="20"/>
  <c r="K90" i="20"/>
  <c r="J91" i="20"/>
  <c r="K91" i="20"/>
  <c r="J92" i="20"/>
  <c r="K92" i="20"/>
  <c r="J93" i="20"/>
  <c r="K93" i="20"/>
  <c r="J94" i="20"/>
  <c r="K94" i="20"/>
  <c r="J95" i="20"/>
  <c r="K95" i="20"/>
  <c r="J96" i="20"/>
  <c r="K96" i="20"/>
  <c r="J97" i="20"/>
  <c r="K97" i="20"/>
  <c r="J186" i="16"/>
  <c r="J187" i="16"/>
  <c r="J188" i="16"/>
  <c r="J189" i="16"/>
  <c r="J190" i="16"/>
  <c r="J191" i="16"/>
  <c r="J192" i="16"/>
  <c r="J193" i="16"/>
  <c r="J115" i="33"/>
  <c r="K115" i="33"/>
  <c r="J116" i="33"/>
  <c r="K116" i="33"/>
  <c r="J117" i="33"/>
  <c r="K117" i="33"/>
  <c r="J118" i="33"/>
  <c r="K118" i="33"/>
  <c r="J119" i="33"/>
  <c r="K119" i="33"/>
  <c r="J120" i="33"/>
  <c r="K120" i="33"/>
  <c r="J121" i="33"/>
  <c r="K121" i="33"/>
  <c r="J122" i="33"/>
  <c r="K122" i="33"/>
  <c r="J80" i="25"/>
  <c r="J81" i="25"/>
  <c r="J82" i="25"/>
  <c r="J83" i="25"/>
  <c r="J84" i="25"/>
  <c r="J85" i="25"/>
  <c r="J86" i="25"/>
  <c r="J87" i="25"/>
  <c r="J88" i="25"/>
  <c r="J89" i="25"/>
  <c r="J90" i="25"/>
  <c r="J91" i="25"/>
  <c r="J84" i="20"/>
  <c r="K84" i="20"/>
  <c r="J85" i="20"/>
  <c r="K85" i="20"/>
  <c r="J86" i="20"/>
  <c r="K86" i="20"/>
  <c r="J87" i="20"/>
  <c r="K87" i="20"/>
  <c r="J88" i="20"/>
  <c r="K88" i="20"/>
  <c r="J89" i="20"/>
  <c r="K89" i="20"/>
  <c r="J155" i="18"/>
  <c r="K155" i="18"/>
  <c r="J156" i="18"/>
  <c r="K156" i="18"/>
  <c r="J157" i="18"/>
  <c r="K157" i="18"/>
  <c r="J158" i="18"/>
  <c r="K158" i="18"/>
  <c r="J159" i="18"/>
  <c r="K159" i="18"/>
  <c r="J160" i="18"/>
  <c r="K160" i="18"/>
  <c r="J161" i="18"/>
  <c r="K161" i="18"/>
  <c r="J162" i="18"/>
  <c r="K162" i="18"/>
  <c r="J163" i="18"/>
  <c r="K163" i="18"/>
  <c r="J164" i="18"/>
  <c r="K164" i="18"/>
  <c r="J165" i="18"/>
  <c r="K165" i="18"/>
  <c r="J166" i="18"/>
  <c r="K166" i="18"/>
  <c r="J416" i="7"/>
  <c r="K416" i="7"/>
  <c r="J417" i="7"/>
  <c r="K417" i="7"/>
  <c r="J418" i="7"/>
  <c r="K418" i="7"/>
  <c r="J419" i="7"/>
  <c r="K419" i="7"/>
  <c r="J420" i="7"/>
  <c r="K420" i="7"/>
  <c r="J421" i="7"/>
  <c r="K421" i="7"/>
  <c r="J422" i="7"/>
  <c r="K422" i="7"/>
  <c r="J423" i="7"/>
  <c r="K423" i="7"/>
  <c r="J424" i="7"/>
  <c r="K424" i="7"/>
  <c r="J425" i="7"/>
  <c r="K425" i="7"/>
  <c r="J426" i="7"/>
  <c r="K426" i="7"/>
  <c r="K578" i="6"/>
  <c r="J579" i="6"/>
  <c r="K579" i="6"/>
  <c r="J580" i="6"/>
  <c r="K580" i="6"/>
  <c r="J581" i="6"/>
  <c r="K581" i="6"/>
  <c r="J582" i="6"/>
  <c r="K582" i="6"/>
  <c r="J583" i="6"/>
  <c r="K583" i="6"/>
  <c r="J584" i="6"/>
  <c r="K584" i="6"/>
  <c r="J585" i="6"/>
  <c r="K585" i="6"/>
  <c r="J392" i="5"/>
  <c r="K392" i="5"/>
  <c r="K393" i="5"/>
  <c r="J394" i="5"/>
  <c r="K394" i="5"/>
  <c r="J395" i="5"/>
  <c r="K395" i="5"/>
  <c r="J396" i="5"/>
  <c r="K396" i="5"/>
  <c r="J397" i="5"/>
  <c r="K397" i="5"/>
  <c r="J398" i="5"/>
  <c r="K398" i="5"/>
  <c r="J399" i="5"/>
  <c r="K399" i="5"/>
  <c r="J400" i="5"/>
  <c r="K400" i="5"/>
  <c r="J401" i="5"/>
  <c r="K401" i="5"/>
  <c r="J402" i="5"/>
  <c r="K402" i="5"/>
  <c r="J403" i="5"/>
  <c r="K403" i="5"/>
  <c r="J406" i="4"/>
  <c r="K406" i="4"/>
  <c r="J407" i="4"/>
  <c r="K407" i="4"/>
  <c r="J408" i="4"/>
  <c r="K408" i="4"/>
  <c r="J416" i="4"/>
  <c r="K416" i="4"/>
  <c r="J417" i="4"/>
  <c r="K417" i="4"/>
  <c r="J418" i="4"/>
  <c r="K418" i="4"/>
  <c r="J419" i="4"/>
  <c r="K419" i="4"/>
  <c r="J420" i="4"/>
  <c r="K420" i="4"/>
  <c r="J421" i="4"/>
  <c r="K421" i="4"/>
  <c r="J422" i="4"/>
  <c r="K422" i="4"/>
  <c r="H422" i="3"/>
  <c r="I422" i="3"/>
  <c r="H423" i="3"/>
  <c r="I423" i="3"/>
  <c r="H431" i="3"/>
  <c r="I431" i="3"/>
  <c r="H432" i="3"/>
  <c r="I432" i="3"/>
  <c r="J515" i="2"/>
  <c r="K515" i="2"/>
  <c r="J516" i="2"/>
  <c r="K516" i="2"/>
  <c r="J517" i="2"/>
  <c r="K517" i="2"/>
  <c r="J518" i="2"/>
  <c r="K518" i="2"/>
  <c r="J519" i="2"/>
  <c r="K519" i="2"/>
  <c r="J520" i="2"/>
  <c r="K520" i="2"/>
  <c r="J79" i="22"/>
  <c r="K79" i="22"/>
  <c r="J80" i="22"/>
  <c r="K80" i="22"/>
  <c r="J81" i="22"/>
  <c r="K81" i="22"/>
  <c r="J82" i="22"/>
  <c r="K82" i="22"/>
  <c r="J83" i="22"/>
  <c r="K83" i="22"/>
  <c r="J84" i="22"/>
  <c r="K84" i="22"/>
  <c r="J185" i="17"/>
  <c r="K185" i="17"/>
  <c r="J186" i="17"/>
  <c r="K186" i="17"/>
  <c r="J187" i="17"/>
  <c r="K187" i="17"/>
  <c r="J195" i="17"/>
  <c r="K195" i="17"/>
  <c r="J196" i="17"/>
  <c r="K196" i="17"/>
  <c r="J197" i="17"/>
  <c r="K197" i="17"/>
  <c r="J157" i="28"/>
  <c r="K157" i="28"/>
  <c r="J158" i="28"/>
  <c r="K158" i="28"/>
  <c r="J159" i="28"/>
  <c r="K159" i="28"/>
  <c r="J160" i="28"/>
  <c r="K160" i="28"/>
  <c r="J161" i="28"/>
  <c r="K161" i="28"/>
  <c r="J162" i="28"/>
  <c r="K162" i="28"/>
  <c r="J163" i="28"/>
  <c r="K163" i="28"/>
  <c r="J164" i="28"/>
  <c r="K164" i="28"/>
  <c r="J165" i="28"/>
  <c r="K165" i="28"/>
  <c r="K183" i="17" l="1"/>
  <c r="K184" i="17"/>
  <c r="K182" i="17"/>
  <c r="J184" i="17" l="1"/>
  <c r="J183" i="17"/>
  <c r="J182" i="17"/>
  <c r="J47" i="39"/>
  <c r="K47" i="39"/>
  <c r="J48" i="39"/>
  <c r="K48" i="39"/>
  <c r="J49" i="39"/>
  <c r="K49" i="39"/>
  <c r="J50" i="39"/>
  <c r="K50" i="39"/>
  <c r="J51" i="39"/>
  <c r="K51" i="39"/>
  <c r="J52" i="39"/>
  <c r="K52" i="39"/>
  <c r="J53" i="39"/>
  <c r="K53" i="39"/>
  <c r="J54" i="39"/>
  <c r="K54" i="39"/>
  <c r="J55" i="39"/>
  <c r="K55" i="39"/>
  <c r="J56" i="39"/>
  <c r="K56" i="39"/>
  <c r="J57" i="39"/>
  <c r="K57" i="39"/>
  <c r="J58" i="39"/>
  <c r="K58" i="39"/>
  <c r="J59" i="39"/>
  <c r="K59" i="39"/>
  <c r="J60" i="39"/>
  <c r="K60" i="39"/>
  <c r="J61" i="39"/>
  <c r="K61" i="39"/>
  <c r="J62" i="39"/>
  <c r="K62" i="39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J176" i="16"/>
  <c r="J177" i="16"/>
  <c r="J178" i="16"/>
  <c r="J179" i="16"/>
  <c r="J180" i="16"/>
  <c r="J181" i="16"/>
  <c r="J182" i="16"/>
  <c r="J183" i="16"/>
  <c r="J184" i="16"/>
  <c r="J185" i="16"/>
  <c r="J188" i="15"/>
  <c r="K188" i="15"/>
  <c r="J189" i="15"/>
  <c r="K189" i="15"/>
  <c r="J190" i="15"/>
  <c r="K190" i="15"/>
  <c r="J191" i="15"/>
  <c r="K191" i="15"/>
  <c r="J192" i="15"/>
  <c r="K192" i="15"/>
  <c r="J200" i="15"/>
  <c r="K200" i="15"/>
  <c r="J201" i="15"/>
  <c r="K201" i="15"/>
  <c r="J202" i="15"/>
  <c r="K202" i="15"/>
  <c r="J203" i="15"/>
  <c r="K203" i="15"/>
  <c r="K186" i="15" l="1"/>
  <c r="K185" i="15"/>
  <c r="K187" i="15"/>
  <c r="J187" i="15"/>
  <c r="J186" i="15"/>
  <c r="J185" i="15"/>
  <c r="J106" i="33"/>
  <c r="K106" i="33"/>
  <c r="J107" i="33"/>
  <c r="K107" i="33"/>
  <c r="J108" i="33"/>
  <c r="K108" i="33"/>
  <c r="J109" i="33"/>
  <c r="K109" i="33"/>
  <c r="J110" i="33"/>
  <c r="K110" i="33"/>
  <c r="J111" i="33"/>
  <c r="K111" i="33"/>
  <c r="J112" i="33"/>
  <c r="K112" i="33"/>
  <c r="J113" i="33"/>
  <c r="K113" i="33"/>
  <c r="J114" i="33"/>
  <c r="K114" i="33"/>
  <c r="I420" i="3"/>
  <c r="I419" i="3"/>
  <c r="I421" i="3"/>
  <c r="I418" i="3"/>
  <c r="I417" i="3"/>
  <c r="H421" i="3"/>
  <c r="H420" i="3"/>
  <c r="H419" i="3"/>
  <c r="H418" i="3"/>
  <c r="H417" i="3"/>
  <c r="K67" i="22"/>
  <c r="K68" i="22"/>
  <c r="K69" i="22"/>
  <c r="K70" i="22"/>
  <c r="K71" i="22"/>
  <c r="K72" i="22"/>
  <c r="K73" i="22"/>
  <c r="K74" i="22"/>
  <c r="K75" i="22"/>
  <c r="K76" i="22"/>
  <c r="K77" i="22"/>
  <c r="K78" i="22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68" i="20"/>
  <c r="K149" i="18"/>
  <c r="K150" i="18"/>
  <c r="K151" i="18"/>
  <c r="K152" i="18"/>
  <c r="K153" i="18"/>
  <c r="K154" i="18"/>
  <c r="K148" i="18"/>
  <c r="J435" i="8" l="1"/>
  <c r="K435" i="8"/>
  <c r="J436" i="8"/>
  <c r="K436" i="8"/>
  <c r="J437" i="8"/>
  <c r="K437" i="8"/>
  <c r="J438" i="8"/>
  <c r="K438" i="8"/>
  <c r="J439" i="8"/>
  <c r="K439" i="8"/>
  <c r="K448" i="8"/>
  <c r="K449" i="8"/>
  <c r="J119" i="27"/>
  <c r="K119" i="27"/>
  <c r="J120" i="27"/>
  <c r="K120" i="27"/>
  <c r="J121" i="27"/>
  <c r="K121" i="27"/>
  <c r="J122" i="27"/>
  <c r="K122" i="27"/>
  <c r="J123" i="27"/>
  <c r="K123" i="27"/>
  <c r="J367" i="10" l="1"/>
  <c r="J368" i="10"/>
  <c r="J369" i="10"/>
  <c r="J370" i="10"/>
  <c r="J371" i="10"/>
  <c r="J372" i="10"/>
  <c r="J60" i="31"/>
  <c r="K60" i="31"/>
  <c r="J61" i="31"/>
  <c r="K61" i="31"/>
  <c r="J62" i="31"/>
  <c r="K62" i="31"/>
  <c r="J63" i="31"/>
  <c r="K63" i="31"/>
  <c r="J64" i="31"/>
  <c r="K64" i="31"/>
  <c r="J65" i="31"/>
  <c r="K65" i="31"/>
  <c r="J66" i="31"/>
  <c r="K66" i="31"/>
  <c r="J67" i="31"/>
  <c r="K67" i="31"/>
  <c r="J68" i="31"/>
  <c r="K68" i="31"/>
  <c r="J69" i="31"/>
  <c r="K69" i="31"/>
  <c r="J70" i="31"/>
  <c r="K70" i="31"/>
  <c r="J71" i="31"/>
  <c r="K71" i="31"/>
  <c r="J72" i="31"/>
  <c r="K72" i="31"/>
  <c r="J73" i="31"/>
  <c r="K73" i="31"/>
  <c r="J74" i="31"/>
  <c r="K74" i="31"/>
  <c r="J75" i="31"/>
  <c r="K75" i="31"/>
  <c r="J76" i="31"/>
  <c r="K76" i="31"/>
  <c r="J77" i="31"/>
  <c r="K77" i="31"/>
  <c r="J78" i="31"/>
  <c r="K78" i="31"/>
  <c r="J79" i="31"/>
  <c r="K79" i="31"/>
  <c r="J80" i="31"/>
  <c r="K80" i="31"/>
  <c r="J81" i="31"/>
  <c r="K81" i="31"/>
  <c r="J82" i="31"/>
  <c r="K82" i="31"/>
  <c r="J83" i="31"/>
  <c r="K83" i="31"/>
  <c r="J84" i="31"/>
  <c r="K84" i="31"/>
  <c r="J85" i="31"/>
  <c r="K85" i="31"/>
  <c r="J86" i="31"/>
  <c r="K86" i="31"/>
  <c r="J87" i="31"/>
  <c r="K87" i="31"/>
  <c r="J88" i="31"/>
  <c r="K88" i="31"/>
  <c r="J89" i="31"/>
  <c r="K89" i="31"/>
  <c r="J90" i="31"/>
  <c r="K90" i="31"/>
  <c r="J91" i="31"/>
  <c r="K91" i="31"/>
  <c r="J92" i="31"/>
  <c r="K92" i="31"/>
  <c r="J93" i="31"/>
  <c r="K93" i="31"/>
  <c r="J94" i="31"/>
  <c r="K94" i="31"/>
  <c r="J95" i="31"/>
  <c r="K95" i="31"/>
  <c r="J96" i="31"/>
  <c r="K96" i="31"/>
  <c r="J97" i="31"/>
  <c r="K97" i="31"/>
  <c r="J98" i="31"/>
  <c r="K98" i="31"/>
  <c r="J99" i="31"/>
  <c r="K99" i="31"/>
  <c r="J100" i="31"/>
  <c r="K100" i="31"/>
  <c r="J101" i="31"/>
  <c r="K101" i="31"/>
  <c r="J102" i="31"/>
  <c r="K102" i="31"/>
  <c r="J103" i="31"/>
  <c r="K103" i="31"/>
  <c r="J104" i="31"/>
  <c r="K104" i="31"/>
  <c r="J105" i="31"/>
  <c r="K105" i="31"/>
  <c r="J106" i="31"/>
  <c r="K106" i="31"/>
  <c r="J115" i="31"/>
  <c r="K115" i="31"/>
  <c r="J116" i="31"/>
  <c r="K116" i="31"/>
  <c r="J117" i="31"/>
  <c r="K117" i="31"/>
  <c r="J118" i="31"/>
  <c r="K118" i="31"/>
  <c r="J141" i="28"/>
  <c r="K141" i="28"/>
  <c r="J142" i="28"/>
  <c r="K142" i="28"/>
  <c r="J143" i="28"/>
  <c r="K143" i="28"/>
  <c r="J144" i="28"/>
  <c r="K144" i="28"/>
  <c r="J145" i="28"/>
  <c r="K145" i="28"/>
  <c r="J146" i="28"/>
  <c r="K146" i="28"/>
  <c r="J147" i="28"/>
  <c r="K147" i="28"/>
  <c r="J148" i="28"/>
  <c r="K148" i="28"/>
  <c r="J149" i="28"/>
  <c r="K149" i="28"/>
  <c r="J150" i="28"/>
  <c r="K150" i="28"/>
  <c r="J151" i="28"/>
  <c r="K151" i="28"/>
  <c r="J152" i="28"/>
  <c r="K152" i="28"/>
  <c r="J153" i="28"/>
  <c r="K153" i="28"/>
  <c r="J154" i="28"/>
  <c r="K154" i="28"/>
  <c r="J155" i="28"/>
  <c r="K155" i="28"/>
  <c r="J156" i="28"/>
  <c r="K156" i="28"/>
  <c r="J363" i="9"/>
  <c r="K363" i="9"/>
  <c r="J364" i="9"/>
  <c r="K364" i="9"/>
  <c r="J365" i="9"/>
  <c r="K365" i="9"/>
  <c r="J366" i="9"/>
  <c r="K366" i="9"/>
  <c r="J367" i="9"/>
  <c r="K367" i="9"/>
  <c r="J368" i="9"/>
  <c r="K368" i="9"/>
  <c r="J376" i="9"/>
  <c r="K376" i="9"/>
  <c r="J377" i="9"/>
  <c r="K377" i="9"/>
  <c r="J378" i="9"/>
  <c r="K378" i="9"/>
  <c r="J379" i="9"/>
  <c r="K379" i="9"/>
  <c r="J380" i="9"/>
  <c r="K380" i="9"/>
  <c r="J92" i="33"/>
  <c r="K92" i="33"/>
  <c r="J93" i="33"/>
  <c r="K93" i="33"/>
  <c r="J94" i="33"/>
  <c r="K94" i="33"/>
  <c r="J95" i="33"/>
  <c r="K95" i="33"/>
  <c r="J96" i="33"/>
  <c r="K96" i="33"/>
  <c r="J97" i="33"/>
  <c r="K97" i="33"/>
  <c r="J98" i="33"/>
  <c r="K98" i="33"/>
  <c r="J99" i="33"/>
  <c r="K99" i="33"/>
  <c r="J100" i="33"/>
  <c r="K100" i="33"/>
  <c r="J101" i="33"/>
  <c r="K101" i="33"/>
  <c r="J102" i="33"/>
  <c r="K102" i="33"/>
  <c r="J103" i="33"/>
  <c r="K103" i="33"/>
  <c r="J104" i="33"/>
  <c r="K104" i="33"/>
  <c r="J105" i="33"/>
  <c r="K105" i="33"/>
  <c r="K33" i="39"/>
  <c r="J33" i="39"/>
  <c r="J34" i="39"/>
  <c r="K34" i="39"/>
  <c r="J35" i="39"/>
  <c r="K35" i="39"/>
  <c r="J36" i="39"/>
  <c r="K36" i="39"/>
  <c r="J37" i="39"/>
  <c r="K37" i="39"/>
  <c r="J38" i="39"/>
  <c r="K38" i="39"/>
  <c r="J39" i="39"/>
  <c r="K39" i="39"/>
  <c r="J40" i="39"/>
  <c r="K40" i="39"/>
  <c r="J41" i="39"/>
  <c r="K41" i="39"/>
  <c r="J42" i="39"/>
  <c r="K42" i="39"/>
  <c r="J43" i="39"/>
  <c r="K43" i="39"/>
  <c r="J44" i="39"/>
  <c r="K44" i="39"/>
  <c r="J45" i="39"/>
  <c r="K45" i="39"/>
  <c r="J46" i="39"/>
  <c r="K46" i="39"/>
  <c r="J119" i="30"/>
  <c r="J120" i="30"/>
  <c r="J121" i="30"/>
  <c r="K121" i="30"/>
  <c r="J122" i="30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35" i="31"/>
  <c r="J55" i="31"/>
  <c r="J56" i="31"/>
  <c r="J57" i="31"/>
  <c r="J58" i="31"/>
  <c r="J59" i="31"/>
  <c r="K17" i="33"/>
  <c r="K20" i="33"/>
  <c r="K43" i="33"/>
  <c r="K42" i="33"/>
  <c r="K53" i="33"/>
  <c r="K54" i="33"/>
  <c r="K55" i="33"/>
  <c r="K52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63" i="33"/>
  <c r="K404" i="4"/>
  <c r="K405" i="4"/>
  <c r="K403" i="4"/>
  <c r="K402" i="4"/>
  <c r="J405" i="4"/>
  <c r="J404" i="4"/>
  <c r="J403" i="4"/>
  <c r="J402" i="4"/>
  <c r="K123" i="28" l="1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22" i="28"/>
  <c r="K12" i="39"/>
  <c r="K10" i="39"/>
  <c r="K11" i="39"/>
  <c r="K13" i="39"/>
  <c r="K14" i="39"/>
  <c r="K15" i="39"/>
  <c r="K16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2" i="39"/>
  <c r="K9" i="39"/>
  <c r="K8" i="39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366" i="10"/>
  <c r="J490" i="2"/>
  <c r="K491" i="2"/>
  <c r="K490" i="2"/>
  <c r="K489" i="2"/>
  <c r="J489" i="2"/>
  <c r="J491" i="2"/>
  <c r="K162" i="34"/>
  <c r="J162" i="34"/>
  <c r="J69" i="22"/>
  <c r="J70" i="22"/>
  <c r="J71" i="22"/>
  <c r="J72" i="22"/>
  <c r="J73" i="22"/>
  <c r="J74" i="22"/>
  <c r="J75" i="22"/>
  <c r="J76" i="22"/>
  <c r="J77" i="22"/>
  <c r="J78" i="22"/>
  <c r="J68" i="22"/>
  <c r="J67" i="22"/>
  <c r="J148" i="18"/>
  <c r="J149" i="18"/>
  <c r="J150" i="18"/>
  <c r="J151" i="18"/>
  <c r="J152" i="18"/>
  <c r="J153" i="18"/>
  <c r="J154" i="18"/>
  <c r="K147" i="18"/>
  <c r="J147" i="18"/>
  <c r="J428" i="8"/>
  <c r="K428" i="8"/>
  <c r="J429" i="8"/>
  <c r="K429" i="8"/>
  <c r="J430" i="8"/>
  <c r="K430" i="8"/>
  <c r="J431" i="8"/>
  <c r="K431" i="8"/>
  <c r="J432" i="8"/>
  <c r="K432" i="8"/>
  <c r="J433" i="8"/>
  <c r="K433" i="8"/>
  <c r="J434" i="8"/>
  <c r="K434" i="8"/>
  <c r="J399" i="7"/>
  <c r="K399" i="7"/>
  <c r="J400" i="7"/>
  <c r="K400" i="7"/>
  <c r="J401" i="7"/>
  <c r="K401" i="7"/>
  <c r="J402" i="7"/>
  <c r="K402" i="7"/>
  <c r="J403" i="7"/>
  <c r="K403" i="7"/>
  <c r="J404" i="7"/>
  <c r="K404" i="7"/>
  <c r="J405" i="7"/>
  <c r="K405" i="7"/>
  <c r="J406" i="7"/>
  <c r="K406" i="7"/>
  <c r="J407" i="7"/>
  <c r="K407" i="7"/>
  <c r="J363" i="10"/>
  <c r="K366" i="10"/>
  <c r="K367" i="10"/>
  <c r="K368" i="10"/>
  <c r="K369" i="10"/>
  <c r="K370" i="10"/>
  <c r="K371" i="10"/>
  <c r="K372" i="1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K67" i="20"/>
  <c r="J67" i="20"/>
  <c r="J115" i="30"/>
  <c r="J116" i="30"/>
  <c r="J117" i="30"/>
  <c r="J118" i="30"/>
  <c r="J81" i="33"/>
  <c r="J82" i="33"/>
  <c r="J83" i="33"/>
  <c r="J84" i="33"/>
  <c r="J85" i="33"/>
  <c r="J86" i="33"/>
  <c r="J87" i="33"/>
  <c r="J88" i="33"/>
  <c r="J89" i="33"/>
  <c r="J90" i="33"/>
  <c r="J91" i="33"/>
  <c r="J131" i="28"/>
  <c r="J132" i="28"/>
  <c r="J133" i="28"/>
  <c r="J134" i="28"/>
  <c r="J135" i="28"/>
  <c r="J136" i="28"/>
  <c r="J137" i="28"/>
  <c r="J138" i="28"/>
  <c r="J139" i="28"/>
  <c r="J140" i="28"/>
  <c r="J123" i="28"/>
  <c r="J122" i="28"/>
  <c r="K121" i="28"/>
  <c r="J121" i="28"/>
  <c r="J125" i="28"/>
  <c r="J124" i="28"/>
  <c r="J126" i="28"/>
  <c r="J127" i="28"/>
  <c r="J128" i="28"/>
  <c r="J129" i="28"/>
  <c r="J130" i="28"/>
  <c r="J35" i="31" l="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73" i="33"/>
  <c r="J74" i="33"/>
  <c r="J75" i="33"/>
  <c r="J76" i="33"/>
  <c r="J77" i="33"/>
  <c r="J78" i="33"/>
  <c r="J79" i="33"/>
  <c r="J80" i="33"/>
  <c r="K111" i="28"/>
  <c r="K112" i="28"/>
  <c r="J113" i="28"/>
  <c r="K113" i="28"/>
  <c r="K62" i="33" l="1"/>
  <c r="J62" i="33"/>
  <c r="J63" i="33"/>
  <c r="J158" i="16"/>
  <c r="K157" i="16"/>
  <c r="J157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11" i="27"/>
  <c r="K111" i="27"/>
  <c r="J112" i="27"/>
  <c r="K112" i="27"/>
  <c r="J113" i="27"/>
  <c r="K113" i="27"/>
  <c r="J114" i="27"/>
  <c r="K114" i="27"/>
  <c r="J115" i="27"/>
  <c r="K115" i="27"/>
  <c r="J116" i="27"/>
  <c r="K116" i="27"/>
  <c r="J117" i="27"/>
  <c r="K117" i="27"/>
  <c r="J118" i="27"/>
  <c r="K118" i="27"/>
  <c r="K19" i="31" l="1"/>
  <c r="K18" i="31"/>
  <c r="J360" i="10"/>
  <c r="J47" i="29"/>
  <c r="J56" i="29"/>
  <c r="J57" i="29"/>
  <c r="J58" i="29"/>
  <c r="J59" i="29"/>
  <c r="J60" i="29"/>
  <c r="J61" i="29"/>
  <c r="J62" i="29"/>
  <c r="J63" i="29"/>
  <c r="J102" i="24"/>
  <c r="K102" i="24"/>
  <c r="J103" i="24"/>
  <c r="K103" i="24"/>
  <c r="J104" i="24"/>
  <c r="K104" i="24"/>
  <c r="J105" i="24"/>
  <c r="K105" i="24"/>
  <c r="J106" i="24"/>
  <c r="K106" i="24"/>
  <c r="J107" i="24"/>
  <c r="K107" i="24"/>
  <c r="J108" i="24"/>
  <c r="K108" i="24"/>
  <c r="J109" i="24"/>
  <c r="K109" i="24"/>
  <c r="J110" i="24"/>
  <c r="K110" i="24"/>
  <c r="J111" i="24"/>
  <c r="K111" i="24"/>
  <c r="J112" i="24"/>
  <c r="K112" i="24"/>
  <c r="J113" i="24"/>
  <c r="K113" i="24"/>
  <c r="K34" i="31"/>
  <c r="J34" i="31"/>
  <c r="J65" i="33"/>
  <c r="J66" i="33"/>
  <c r="J67" i="33"/>
  <c r="J68" i="33"/>
  <c r="J69" i="33"/>
  <c r="J70" i="33"/>
  <c r="J71" i="33"/>
  <c r="J72" i="33"/>
  <c r="J354" i="9" l="1"/>
  <c r="K354" i="9"/>
  <c r="J355" i="9"/>
  <c r="K355" i="9"/>
  <c r="J356" i="9"/>
  <c r="K356" i="9"/>
  <c r="J357" i="9"/>
  <c r="K357" i="9"/>
  <c r="J358" i="9"/>
  <c r="K358" i="9"/>
  <c r="J359" i="9"/>
  <c r="K359" i="9"/>
  <c r="J360" i="9"/>
  <c r="K360" i="9"/>
  <c r="J361" i="9"/>
  <c r="K361" i="9"/>
  <c r="J362" i="9"/>
  <c r="K362" i="9"/>
  <c r="J421" i="8"/>
  <c r="K421" i="8"/>
  <c r="J422" i="8"/>
  <c r="K422" i="8"/>
  <c r="J423" i="8"/>
  <c r="K423" i="8"/>
  <c r="J424" i="8"/>
  <c r="K424" i="8"/>
  <c r="J425" i="8"/>
  <c r="K425" i="8"/>
  <c r="J426" i="8"/>
  <c r="K426" i="8"/>
  <c r="J427" i="8"/>
  <c r="K427" i="8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9" i="39"/>
  <c r="J8" i="39"/>
  <c r="J357" i="10"/>
  <c r="J389" i="7"/>
  <c r="K389" i="7"/>
  <c r="J390" i="7"/>
  <c r="K390" i="7"/>
  <c r="J391" i="7"/>
  <c r="K391" i="7"/>
  <c r="J392" i="7"/>
  <c r="K392" i="7"/>
  <c r="J393" i="7"/>
  <c r="K393" i="7"/>
  <c r="J394" i="7"/>
  <c r="K394" i="7"/>
  <c r="J395" i="7"/>
  <c r="K395" i="7"/>
  <c r="J396" i="7"/>
  <c r="K396" i="7"/>
  <c r="J397" i="7"/>
  <c r="K397" i="7"/>
  <c r="J398" i="7"/>
  <c r="K398" i="7"/>
  <c r="J393" i="4" l="1"/>
  <c r="K393" i="4"/>
  <c r="H406" i="3"/>
  <c r="H407" i="3"/>
  <c r="J354" i="10"/>
  <c r="J102" i="27" l="1"/>
  <c r="K102" i="27"/>
  <c r="J103" i="27"/>
  <c r="K103" i="27"/>
  <c r="J104" i="27"/>
  <c r="K104" i="27"/>
  <c r="J105" i="27"/>
  <c r="K105" i="27"/>
  <c r="J106" i="27"/>
  <c r="K106" i="27"/>
  <c r="J107" i="27"/>
  <c r="K107" i="27"/>
  <c r="J108" i="27"/>
  <c r="K108" i="27"/>
  <c r="J109" i="27"/>
  <c r="K109" i="27"/>
  <c r="J110" i="27"/>
  <c r="K110" i="27"/>
  <c r="J34" i="29"/>
  <c r="K34" i="29"/>
  <c r="J35" i="29"/>
  <c r="K35" i="29"/>
  <c r="J36" i="29"/>
  <c r="K36" i="29"/>
  <c r="J37" i="29"/>
  <c r="K37" i="29"/>
  <c r="J38" i="29"/>
  <c r="K38" i="29"/>
  <c r="J39" i="29"/>
  <c r="K39" i="29"/>
  <c r="J40" i="29"/>
  <c r="K40" i="29"/>
  <c r="J41" i="29"/>
  <c r="K41" i="29"/>
  <c r="J42" i="29"/>
  <c r="K42" i="29"/>
  <c r="J43" i="29"/>
  <c r="K43" i="29"/>
  <c r="J44" i="29"/>
  <c r="K44" i="29"/>
  <c r="J45" i="29"/>
  <c r="K45" i="29"/>
  <c r="J46" i="29"/>
  <c r="K46" i="29"/>
  <c r="K33" i="29"/>
  <c r="J33" i="29"/>
  <c r="J101" i="30" l="1"/>
  <c r="K101" i="30"/>
  <c r="J102" i="30"/>
  <c r="K102" i="30"/>
  <c r="J103" i="30"/>
  <c r="K103" i="30"/>
  <c r="J104" i="30"/>
  <c r="K104" i="30"/>
  <c r="J105" i="30"/>
  <c r="K105" i="30"/>
  <c r="J106" i="30"/>
  <c r="K106" i="30"/>
  <c r="J107" i="30"/>
  <c r="K107" i="30"/>
  <c r="J108" i="30"/>
  <c r="K108" i="30"/>
  <c r="J109" i="30"/>
  <c r="K109" i="30"/>
  <c r="J110" i="30"/>
  <c r="K110" i="30"/>
  <c r="J111" i="30"/>
  <c r="J112" i="30"/>
  <c r="J113" i="30"/>
  <c r="K357" i="10"/>
  <c r="J358" i="10"/>
  <c r="K358" i="10"/>
  <c r="J359" i="10"/>
  <c r="K359" i="10"/>
  <c r="K360" i="10"/>
  <c r="J361" i="10"/>
  <c r="K361" i="10"/>
  <c r="J362" i="10"/>
  <c r="K362" i="10"/>
  <c r="K363" i="10"/>
  <c r="J364" i="10"/>
  <c r="K364" i="10"/>
  <c r="J365" i="10"/>
  <c r="K365" i="10"/>
  <c r="J552" i="6"/>
  <c r="K552" i="6"/>
  <c r="J553" i="6"/>
  <c r="K553" i="6"/>
  <c r="J554" i="6"/>
  <c r="K554" i="6"/>
  <c r="J555" i="6"/>
  <c r="K555" i="6"/>
  <c r="J556" i="6"/>
  <c r="K556" i="6"/>
  <c r="J557" i="6"/>
  <c r="K557" i="6"/>
  <c r="J558" i="6"/>
  <c r="K558" i="6"/>
  <c r="J559" i="6"/>
  <c r="K559" i="6"/>
  <c r="J560" i="6"/>
  <c r="K560" i="6"/>
  <c r="J561" i="6"/>
  <c r="K561" i="6"/>
  <c r="J562" i="6"/>
  <c r="K562" i="6"/>
  <c r="J563" i="6"/>
  <c r="K563" i="6"/>
  <c r="J564" i="6"/>
  <c r="K564" i="6"/>
  <c r="J565" i="6"/>
  <c r="K565" i="6"/>
  <c r="J566" i="6"/>
  <c r="K566" i="6"/>
  <c r="J567" i="6"/>
  <c r="K567" i="6"/>
  <c r="J568" i="6"/>
  <c r="K568" i="6"/>
  <c r="J569" i="6"/>
  <c r="K569" i="6"/>
  <c r="J570" i="6"/>
  <c r="K570" i="6"/>
  <c r="J351" i="10"/>
  <c r="J343" i="9"/>
  <c r="K343" i="9"/>
  <c r="J344" i="9"/>
  <c r="K344" i="9"/>
  <c r="J345" i="9"/>
  <c r="K345" i="9"/>
  <c r="J346" i="9"/>
  <c r="K346" i="9"/>
  <c r="J347" i="9"/>
  <c r="K347" i="9"/>
  <c r="J348" i="9"/>
  <c r="K348" i="9"/>
  <c r="J349" i="9"/>
  <c r="K349" i="9"/>
  <c r="J350" i="9"/>
  <c r="K350" i="9"/>
  <c r="J351" i="9"/>
  <c r="K351" i="9"/>
  <c r="J352" i="9"/>
  <c r="K352" i="9"/>
  <c r="J353" i="9"/>
  <c r="K353" i="9"/>
  <c r="J64" i="23"/>
  <c r="K64" i="23"/>
  <c r="J175" i="15"/>
  <c r="J176" i="15"/>
  <c r="J348" i="10"/>
  <c r="J410" i="8"/>
  <c r="K410" i="8"/>
  <c r="J411" i="8"/>
  <c r="K411" i="8"/>
  <c r="J412" i="8"/>
  <c r="K412" i="8"/>
  <c r="J413" i="8"/>
  <c r="K413" i="8"/>
  <c r="J414" i="8"/>
  <c r="K414" i="8"/>
  <c r="J415" i="8"/>
  <c r="K415" i="8"/>
  <c r="J416" i="8"/>
  <c r="K416" i="8"/>
  <c r="J417" i="8"/>
  <c r="K417" i="8"/>
  <c r="J418" i="8"/>
  <c r="K418" i="8"/>
  <c r="J419" i="8"/>
  <c r="K419" i="8"/>
  <c r="J420" i="8"/>
  <c r="K420" i="8"/>
  <c r="J381" i="7"/>
  <c r="K381" i="7"/>
  <c r="J382" i="7"/>
  <c r="K382" i="7"/>
  <c r="J383" i="7"/>
  <c r="K383" i="7"/>
  <c r="J384" i="7"/>
  <c r="K384" i="7"/>
  <c r="J385" i="7"/>
  <c r="K385" i="7"/>
  <c r="J386" i="7"/>
  <c r="K386" i="7"/>
  <c r="J387" i="7"/>
  <c r="K387" i="7"/>
  <c r="J388" i="7"/>
  <c r="K388" i="7"/>
  <c r="J91" i="30"/>
  <c r="K90" i="30"/>
  <c r="J90" i="30"/>
  <c r="K91" i="30"/>
  <c r="J92" i="30"/>
  <c r="K92" i="30"/>
  <c r="J93" i="30"/>
  <c r="K93" i="30"/>
  <c r="J94" i="30"/>
  <c r="K94" i="30"/>
  <c r="J95" i="30"/>
  <c r="K95" i="30"/>
  <c r="J96" i="30"/>
  <c r="K96" i="30"/>
  <c r="J97" i="30"/>
  <c r="K97" i="30"/>
  <c r="J98" i="30"/>
  <c r="K98" i="30"/>
  <c r="J99" i="30"/>
  <c r="K99" i="30"/>
  <c r="J100" i="30"/>
  <c r="K100" i="30"/>
  <c r="J57" i="22" l="1"/>
  <c r="J58" i="22"/>
  <c r="J345" i="10"/>
  <c r="J355" i="5"/>
  <c r="K355" i="5"/>
  <c r="J356" i="5"/>
  <c r="K356" i="5"/>
  <c r="J357" i="5"/>
  <c r="K357" i="5"/>
  <c r="J358" i="5"/>
  <c r="K358" i="5"/>
  <c r="J359" i="5"/>
  <c r="K359" i="5"/>
  <c r="J360" i="5"/>
  <c r="K360" i="5"/>
  <c r="J361" i="5"/>
  <c r="K361" i="5"/>
  <c r="J362" i="5"/>
  <c r="K362" i="5"/>
  <c r="J363" i="5"/>
  <c r="K363" i="5"/>
  <c r="J364" i="5"/>
  <c r="K364" i="5"/>
  <c r="J365" i="5"/>
  <c r="K365" i="5"/>
  <c r="J366" i="5"/>
  <c r="K366" i="5"/>
  <c r="J367" i="5"/>
  <c r="K367" i="5"/>
  <c r="J368" i="5"/>
  <c r="K368" i="5"/>
  <c r="J369" i="5"/>
  <c r="K369" i="5"/>
  <c r="J370" i="5"/>
  <c r="K370" i="5"/>
  <c r="J371" i="5"/>
  <c r="K371" i="5"/>
  <c r="J372" i="5"/>
  <c r="K372" i="5"/>
  <c r="J373" i="5"/>
  <c r="K373" i="5"/>
  <c r="J374" i="5"/>
  <c r="K374" i="5"/>
  <c r="J375" i="5"/>
  <c r="K375" i="5"/>
  <c r="J376" i="5"/>
  <c r="K376" i="5"/>
  <c r="J377" i="5"/>
  <c r="K377" i="5"/>
  <c r="J378" i="5"/>
  <c r="K378" i="5"/>
  <c r="J379" i="5"/>
  <c r="K379" i="5"/>
  <c r="J380" i="5"/>
  <c r="K380" i="5"/>
  <c r="J381" i="5"/>
  <c r="K381" i="5"/>
  <c r="J382" i="5"/>
  <c r="K382" i="5"/>
  <c r="J383" i="5"/>
  <c r="K383" i="5"/>
  <c r="J542" i="6"/>
  <c r="K542" i="6"/>
  <c r="J543" i="6"/>
  <c r="K543" i="6"/>
  <c r="J544" i="6"/>
  <c r="K544" i="6"/>
  <c r="J545" i="6"/>
  <c r="K545" i="6"/>
  <c r="J546" i="6"/>
  <c r="K546" i="6"/>
  <c r="J547" i="6"/>
  <c r="K547" i="6"/>
  <c r="J548" i="6"/>
  <c r="K548" i="6"/>
  <c r="J549" i="6"/>
  <c r="K549" i="6"/>
  <c r="J550" i="6"/>
  <c r="K550" i="6"/>
  <c r="J551" i="6"/>
  <c r="K551" i="6"/>
  <c r="K86" i="32"/>
  <c r="J121" i="32"/>
  <c r="K121" i="32"/>
  <c r="J123" i="32"/>
  <c r="K122" i="32"/>
  <c r="J122" i="32"/>
  <c r="K123" i="32"/>
  <c r="J124" i="32"/>
  <c r="K124" i="32"/>
  <c r="J125" i="32"/>
  <c r="K125" i="32"/>
  <c r="J126" i="32"/>
  <c r="K126" i="32"/>
  <c r="J127" i="32"/>
  <c r="K127" i="32"/>
  <c r="J128" i="32"/>
  <c r="K128" i="32"/>
  <c r="J129" i="32"/>
  <c r="K129" i="32"/>
  <c r="J130" i="32"/>
  <c r="K130" i="32"/>
  <c r="J131" i="32"/>
  <c r="K131" i="32"/>
  <c r="J132" i="32"/>
  <c r="K132" i="32"/>
  <c r="J133" i="32"/>
  <c r="K133" i="32"/>
  <c r="J134" i="32"/>
  <c r="K134" i="32"/>
  <c r="J135" i="32"/>
  <c r="K135" i="32"/>
  <c r="J136" i="32"/>
  <c r="K136" i="32"/>
  <c r="J137" i="32"/>
  <c r="K137" i="32"/>
  <c r="J138" i="32"/>
  <c r="K138" i="32"/>
  <c r="J139" i="32"/>
  <c r="K139" i="32"/>
  <c r="J140" i="32"/>
  <c r="K140" i="32"/>
  <c r="J141" i="32"/>
  <c r="K141" i="32"/>
  <c r="J142" i="32"/>
  <c r="K142" i="32"/>
  <c r="J143" i="32"/>
  <c r="K143" i="32"/>
  <c r="J144" i="32"/>
  <c r="K144" i="32"/>
  <c r="J145" i="32"/>
  <c r="K145" i="32"/>
  <c r="J146" i="32"/>
  <c r="K146" i="32"/>
  <c r="K147" i="32"/>
  <c r="J148" i="32"/>
  <c r="K148" i="32"/>
  <c r="J172" i="17"/>
  <c r="J171" i="17"/>
  <c r="J342" i="10" l="1"/>
  <c r="J93" i="27"/>
  <c r="K93" i="27"/>
  <c r="J94" i="27"/>
  <c r="K94" i="27"/>
  <c r="J95" i="27"/>
  <c r="K95" i="27"/>
  <c r="J96" i="27"/>
  <c r="K96" i="27"/>
  <c r="J97" i="27"/>
  <c r="K97" i="27"/>
  <c r="J98" i="27"/>
  <c r="K98" i="27"/>
  <c r="J99" i="27"/>
  <c r="K99" i="27"/>
  <c r="J100" i="27"/>
  <c r="K100" i="27"/>
  <c r="J101" i="27"/>
  <c r="K101" i="27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52" i="2"/>
  <c r="K453" i="2"/>
  <c r="K454" i="2"/>
  <c r="K455" i="2"/>
  <c r="K456" i="2"/>
  <c r="K457" i="2"/>
  <c r="J459" i="2"/>
  <c r="J458" i="2"/>
  <c r="K350" i="5"/>
  <c r="K351" i="5"/>
  <c r="K352" i="5"/>
  <c r="K353" i="5"/>
  <c r="K354" i="5"/>
  <c r="J339" i="9"/>
  <c r="K339" i="9"/>
  <c r="J340" i="9"/>
  <c r="K340" i="9"/>
  <c r="J341" i="9"/>
  <c r="K341" i="9"/>
  <c r="J342" i="9"/>
  <c r="K342" i="9"/>
  <c r="I408" i="3"/>
  <c r="H408" i="3"/>
  <c r="I407" i="3"/>
  <c r="I406" i="3"/>
  <c r="I405" i="3"/>
  <c r="H405" i="3"/>
  <c r="I404" i="3"/>
  <c r="H404" i="3"/>
  <c r="I403" i="3"/>
  <c r="H403" i="3"/>
  <c r="I402" i="3"/>
  <c r="H402" i="3"/>
  <c r="I401" i="3"/>
  <c r="H401" i="3"/>
  <c r="K207" i="34"/>
  <c r="J207" i="34"/>
  <c r="K206" i="34"/>
  <c r="J206" i="34"/>
  <c r="K205" i="34"/>
  <c r="J205" i="34"/>
  <c r="K204" i="34"/>
  <c r="J204" i="34"/>
  <c r="K203" i="34"/>
  <c r="J203" i="34"/>
  <c r="K202" i="34"/>
  <c r="J202" i="34"/>
  <c r="K201" i="34"/>
  <c r="J201" i="34"/>
  <c r="K200" i="34"/>
  <c r="J200" i="34"/>
  <c r="K199" i="34"/>
  <c r="J199" i="34"/>
  <c r="K198" i="34"/>
  <c r="J198" i="34"/>
  <c r="K197" i="34"/>
  <c r="J197" i="34"/>
  <c r="K196" i="34"/>
  <c r="J196" i="34"/>
  <c r="K195" i="34"/>
  <c r="K194" i="34"/>
  <c r="K193" i="34"/>
  <c r="K192" i="34"/>
  <c r="K191" i="34"/>
  <c r="K190" i="34"/>
  <c r="K180" i="34"/>
  <c r="J180" i="34"/>
  <c r="K179" i="34"/>
  <c r="J179" i="34"/>
  <c r="K178" i="34"/>
  <c r="J178" i="34"/>
  <c r="K177" i="34"/>
  <c r="J177" i="34"/>
  <c r="K176" i="34"/>
  <c r="J176" i="34"/>
  <c r="K175" i="34"/>
  <c r="J175" i="34"/>
  <c r="K174" i="34"/>
  <c r="J174" i="34"/>
  <c r="K173" i="34"/>
  <c r="J173" i="34"/>
  <c r="K172" i="34"/>
  <c r="J172" i="34"/>
  <c r="K171" i="34"/>
  <c r="J171" i="34"/>
  <c r="K170" i="34"/>
  <c r="J170" i="34"/>
  <c r="K169" i="34"/>
  <c r="J169" i="34"/>
  <c r="K168" i="34"/>
  <c r="J168" i="34"/>
  <c r="K167" i="34"/>
  <c r="J167" i="34"/>
  <c r="K166" i="34"/>
  <c r="J166" i="34"/>
  <c r="K165" i="34"/>
  <c r="J165" i="34"/>
  <c r="K164" i="34"/>
  <c r="J164" i="34"/>
  <c r="K163" i="34"/>
  <c r="J163" i="34"/>
  <c r="K154" i="34"/>
  <c r="J154" i="34"/>
  <c r="K153" i="34"/>
  <c r="J153" i="34"/>
  <c r="K152" i="34"/>
  <c r="J152" i="34"/>
  <c r="K151" i="34"/>
  <c r="J151" i="34"/>
  <c r="K150" i="34"/>
  <c r="J150" i="34"/>
  <c r="K149" i="34"/>
  <c r="J149" i="34"/>
  <c r="K148" i="34"/>
  <c r="J148" i="34"/>
  <c r="K147" i="34"/>
  <c r="J147" i="34"/>
  <c r="K146" i="34"/>
  <c r="J146" i="34"/>
  <c r="K145" i="34"/>
  <c r="J145" i="34"/>
  <c r="K144" i="34"/>
  <c r="J144" i="34"/>
  <c r="K143" i="34"/>
  <c r="J143" i="34"/>
  <c r="K142" i="34"/>
  <c r="J142" i="34"/>
  <c r="K141" i="34"/>
  <c r="J141" i="34"/>
  <c r="K140" i="34"/>
  <c r="J140" i="34"/>
  <c r="K139" i="34"/>
  <c r="J139" i="34"/>
  <c r="K138" i="34"/>
  <c r="J138" i="34"/>
  <c r="K137" i="34"/>
  <c r="J137" i="34"/>
  <c r="K136" i="34"/>
  <c r="J136" i="34"/>
  <c r="K135" i="34"/>
  <c r="J135" i="34"/>
  <c r="K134" i="34"/>
  <c r="J134" i="34"/>
  <c r="K133" i="34"/>
  <c r="J133" i="34"/>
  <c r="K132" i="34"/>
  <c r="J132" i="34"/>
  <c r="K131" i="34"/>
  <c r="J131" i="34"/>
  <c r="K130" i="34"/>
  <c r="J130" i="34"/>
  <c r="K129" i="34"/>
  <c r="J129" i="34"/>
  <c r="K128" i="34"/>
  <c r="J128" i="34"/>
  <c r="K127" i="34"/>
  <c r="J127" i="34"/>
  <c r="K126" i="34"/>
  <c r="J126" i="34"/>
  <c r="K125" i="34"/>
  <c r="J125" i="34"/>
  <c r="K124" i="34"/>
  <c r="J124" i="34"/>
  <c r="K123" i="34"/>
  <c r="J123" i="34"/>
  <c r="K122" i="34"/>
  <c r="J122" i="34"/>
  <c r="K121" i="34"/>
  <c r="J121" i="34"/>
  <c r="K120" i="34"/>
  <c r="J120" i="34"/>
  <c r="J86" i="27"/>
  <c r="K86" i="27"/>
  <c r="J87" i="27"/>
  <c r="K87" i="27"/>
  <c r="J88" i="27"/>
  <c r="K88" i="27"/>
  <c r="J89" i="27"/>
  <c r="K89" i="27"/>
  <c r="J90" i="27"/>
  <c r="K90" i="27"/>
  <c r="J91" i="27"/>
  <c r="K91" i="27"/>
  <c r="J92" i="27"/>
  <c r="K92" i="27"/>
  <c r="J114" i="32"/>
  <c r="K114" i="32"/>
  <c r="J115" i="32"/>
  <c r="K115" i="32"/>
  <c r="J116" i="32"/>
  <c r="K116" i="32"/>
  <c r="J117" i="32"/>
  <c r="K117" i="32"/>
  <c r="J118" i="32"/>
  <c r="K118" i="32"/>
  <c r="J119" i="32"/>
  <c r="K119" i="32"/>
  <c r="J120" i="32"/>
  <c r="K120" i="32"/>
  <c r="K176" i="15" l="1"/>
  <c r="H396" i="3" l="1"/>
  <c r="J454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K58" i="22"/>
  <c r="J59" i="22"/>
  <c r="K59" i="22"/>
  <c r="J380" i="4"/>
  <c r="K380" i="4"/>
  <c r="J381" i="4"/>
  <c r="K381" i="4"/>
  <c r="J382" i="4"/>
  <c r="K382" i="4"/>
  <c r="J383" i="4"/>
  <c r="K383" i="4"/>
  <c r="J384" i="4"/>
  <c r="K384" i="4"/>
  <c r="J385" i="4"/>
  <c r="K385" i="4"/>
  <c r="J386" i="4"/>
  <c r="K386" i="4"/>
  <c r="J387" i="4"/>
  <c r="K387" i="4"/>
  <c r="J388" i="4"/>
  <c r="K388" i="4"/>
  <c r="J389" i="4"/>
  <c r="K389" i="4"/>
  <c r="J390" i="4"/>
  <c r="K390" i="4"/>
  <c r="J391" i="4"/>
  <c r="K391" i="4"/>
  <c r="J392" i="4"/>
  <c r="K392" i="4"/>
  <c r="J372" i="7" l="1"/>
  <c r="K372" i="7"/>
  <c r="J373" i="7"/>
  <c r="K373" i="7"/>
  <c r="J374" i="7"/>
  <c r="K374" i="7"/>
  <c r="J375" i="7"/>
  <c r="K375" i="7"/>
  <c r="J376" i="7"/>
  <c r="K376" i="7"/>
  <c r="J377" i="7"/>
  <c r="K377" i="7"/>
  <c r="J378" i="7"/>
  <c r="K378" i="7"/>
  <c r="J379" i="7"/>
  <c r="K379" i="7"/>
  <c r="J380" i="7"/>
  <c r="K380" i="7"/>
  <c r="J55" i="20"/>
  <c r="K55" i="20"/>
  <c r="J56" i="20"/>
  <c r="K56" i="20"/>
  <c r="J57" i="20"/>
  <c r="K57" i="20"/>
  <c r="J58" i="20"/>
  <c r="K58" i="20"/>
  <c r="J59" i="20"/>
  <c r="K59" i="20"/>
  <c r="J59" i="23"/>
  <c r="K59" i="23"/>
  <c r="J60" i="23"/>
  <c r="K60" i="23"/>
  <c r="J61" i="23"/>
  <c r="K61" i="23"/>
  <c r="J62" i="23"/>
  <c r="K62" i="23"/>
  <c r="J63" i="23"/>
  <c r="K63" i="23"/>
  <c r="J77" i="30"/>
  <c r="K77" i="30"/>
  <c r="J78" i="30"/>
  <c r="K78" i="30"/>
  <c r="J79" i="30"/>
  <c r="K79" i="30"/>
  <c r="J80" i="30"/>
  <c r="K80" i="30"/>
  <c r="J81" i="30"/>
  <c r="K81" i="30"/>
  <c r="J82" i="30"/>
  <c r="K82" i="30"/>
  <c r="J83" i="30"/>
  <c r="K83" i="30"/>
  <c r="J84" i="30"/>
  <c r="K84" i="30"/>
  <c r="J85" i="30"/>
  <c r="K85" i="30"/>
  <c r="J86" i="30"/>
  <c r="K86" i="30"/>
  <c r="J87" i="30"/>
  <c r="K87" i="30"/>
  <c r="J88" i="30"/>
  <c r="K88" i="30"/>
  <c r="J89" i="30"/>
  <c r="K89" i="30"/>
  <c r="J71" i="24"/>
  <c r="K71" i="24"/>
  <c r="J72" i="24"/>
  <c r="K72" i="24"/>
  <c r="J73" i="24"/>
  <c r="K73" i="24"/>
  <c r="J74" i="24"/>
  <c r="K74" i="24"/>
  <c r="J75" i="24"/>
  <c r="K75" i="24"/>
  <c r="J76" i="24"/>
  <c r="K76" i="24"/>
  <c r="J77" i="24"/>
  <c r="K77" i="24"/>
  <c r="J78" i="24"/>
  <c r="K78" i="24"/>
  <c r="J79" i="24"/>
  <c r="K79" i="24"/>
  <c r="J80" i="24"/>
  <c r="K80" i="24"/>
  <c r="J81" i="24"/>
  <c r="K81" i="24"/>
  <c r="J82" i="24"/>
  <c r="K82" i="24"/>
  <c r="J83" i="24"/>
  <c r="K83" i="24"/>
  <c r="J84" i="24"/>
  <c r="K84" i="24"/>
  <c r="J85" i="24"/>
  <c r="K85" i="24"/>
  <c r="J86" i="24"/>
  <c r="K86" i="24"/>
  <c r="J87" i="24"/>
  <c r="K87" i="24"/>
  <c r="J88" i="24"/>
  <c r="K88" i="24"/>
  <c r="J89" i="24"/>
  <c r="K89" i="24"/>
  <c r="J90" i="24"/>
  <c r="K90" i="24"/>
  <c r="J91" i="24"/>
  <c r="K91" i="24"/>
  <c r="J92" i="24"/>
  <c r="K92" i="24"/>
  <c r="J93" i="24"/>
  <c r="K93" i="24"/>
  <c r="J94" i="24"/>
  <c r="K94" i="24"/>
  <c r="J95" i="24"/>
  <c r="K95" i="24"/>
  <c r="J96" i="24"/>
  <c r="K96" i="24"/>
  <c r="J97" i="24"/>
  <c r="K97" i="24"/>
  <c r="J98" i="24"/>
  <c r="K98" i="24"/>
  <c r="J99" i="24"/>
  <c r="K99" i="24"/>
  <c r="J100" i="24"/>
  <c r="K100" i="24"/>
  <c r="J101" i="24"/>
  <c r="K101" i="24"/>
  <c r="J62" i="25"/>
  <c r="K62" i="25"/>
  <c r="J63" i="25"/>
  <c r="K63" i="25"/>
  <c r="J64" i="25"/>
  <c r="K64" i="25"/>
  <c r="J65" i="25"/>
  <c r="K65" i="25"/>
  <c r="J66" i="25"/>
  <c r="K66" i="25"/>
  <c r="J67" i="25"/>
  <c r="K67" i="25"/>
  <c r="J68" i="25"/>
  <c r="K68" i="25"/>
  <c r="J69" i="25"/>
  <c r="K69" i="25"/>
  <c r="J70" i="25"/>
  <c r="J71" i="25"/>
  <c r="K71" i="25"/>
  <c r="J452" i="2"/>
  <c r="J453" i="2"/>
  <c r="J455" i="2"/>
  <c r="J456" i="2"/>
  <c r="J457" i="2"/>
  <c r="K445" i="2"/>
  <c r="J445" i="2"/>
  <c r="J446" i="2"/>
  <c r="J343" i="10"/>
  <c r="K343" i="10"/>
  <c r="J344" i="10"/>
  <c r="K344" i="10"/>
  <c r="K345" i="10"/>
  <c r="J346" i="10"/>
  <c r="K346" i="10"/>
  <c r="J347" i="10"/>
  <c r="K347" i="10"/>
  <c r="K348" i="10"/>
  <c r="J349" i="10"/>
  <c r="K349" i="10"/>
  <c r="J350" i="10"/>
  <c r="K350" i="10"/>
  <c r="K351" i="10"/>
  <c r="J352" i="10"/>
  <c r="K352" i="10"/>
  <c r="J353" i="10"/>
  <c r="K353" i="10"/>
  <c r="K354" i="10"/>
  <c r="J355" i="10"/>
  <c r="K355" i="10"/>
  <c r="J356" i="10"/>
  <c r="K356" i="10"/>
  <c r="J400" i="8"/>
  <c r="K400" i="8"/>
  <c r="J401" i="8"/>
  <c r="K401" i="8"/>
  <c r="J402" i="8"/>
  <c r="K402" i="8"/>
  <c r="J403" i="8"/>
  <c r="K403" i="8"/>
  <c r="J404" i="8"/>
  <c r="K404" i="8"/>
  <c r="J405" i="8"/>
  <c r="K405" i="8"/>
  <c r="J406" i="8"/>
  <c r="K406" i="8"/>
  <c r="J407" i="8"/>
  <c r="K407" i="8"/>
  <c r="J408" i="8"/>
  <c r="K408" i="8"/>
  <c r="J409" i="8"/>
  <c r="K409" i="8"/>
  <c r="J106" i="32"/>
  <c r="K106" i="32"/>
  <c r="J107" i="32"/>
  <c r="K107" i="32"/>
  <c r="J108" i="32"/>
  <c r="K108" i="32"/>
  <c r="J109" i="32"/>
  <c r="K109" i="32"/>
  <c r="J110" i="32"/>
  <c r="K110" i="32"/>
  <c r="J111" i="32"/>
  <c r="K111" i="32"/>
  <c r="J112" i="32"/>
  <c r="K112" i="32"/>
  <c r="J113" i="32"/>
  <c r="K113" i="32"/>
  <c r="K63" i="30"/>
  <c r="K64" i="30"/>
  <c r="K65" i="30"/>
  <c r="K61" i="30"/>
  <c r="K62" i="30"/>
  <c r="J63" i="30"/>
  <c r="J64" i="30"/>
  <c r="J65" i="30"/>
  <c r="K66" i="30"/>
  <c r="K67" i="30"/>
  <c r="K68" i="30"/>
  <c r="K69" i="30"/>
  <c r="K83" i="34"/>
  <c r="K84" i="34"/>
  <c r="K85" i="34"/>
  <c r="K86" i="34"/>
  <c r="K87" i="34"/>
  <c r="K88" i="34"/>
  <c r="K80" i="34"/>
  <c r="K81" i="34"/>
  <c r="K82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79" i="34"/>
  <c r="K78" i="34"/>
  <c r="K391" i="2"/>
  <c r="K42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6" i="2"/>
  <c r="K447" i="2"/>
  <c r="K448" i="2"/>
  <c r="K449" i="2"/>
  <c r="K450" i="2"/>
  <c r="K451" i="2"/>
  <c r="K403" i="2"/>
  <c r="J104" i="34"/>
  <c r="J105" i="34"/>
  <c r="J106" i="34"/>
  <c r="J107" i="34"/>
  <c r="J108" i="34"/>
  <c r="J109" i="34"/>
  <c r="J110" i="34"/>
  <c r="J111" i="34"/>
  <c r="J112" i="34"/>
  <c r="J113" i="34"/>
  <c r="J114" i="34"/>
  <c r="J115" i="34"/>
  <c r="J116" i="34"/>
  <c r="J117" i="34"/>
  <c r="J118" i="34"/>
  <c r="J119" i="34"/>
  <c r="J71" i="27" l="1"/>
  <c r="K71" i="27"/>
  <c r="J72" i="27"/>
  <c r="K72" i="27"/>
  <c r="J73" i="27"/>
  <c r="K73" i="27"/>
  <c r="J74" i="27"/>
  <c r="K74" i="27"/>
  <c r="J75" i="27"/>
  <c r="K75" i="27"/>
  <c r="J76" i="27"/>
  <c r="K76" i="27"/>
  <c r="J77" i="27"/>
  <c r="K77" i="27"/>
  <c r="J78" i="27"/>
  <c r="K78" i="27"/>
  <c r="J79" i="27"/>
  <c r="K79" i="27"/>
  <c r="J80" i="27"/>
  <c r="K80" i="27"/>
  <c r="J81" i="27"/>
  <c r="K81" i="27"/>
  <c r="J82" i="27"/>
  <c r="K82" i="27"/>
  <c r="J83" i="27"/>
  <c r="K83" i="27"/>
  <c r="J84" i="27"/>
  <c r="K84" i="27"/>
  <c r="J85" i="27"/>
  <c r="K85" i="27"/>
  <c r="K70" i="27"/>
  <c r="J70" i="27"/>
  <c r="K69" i="27"/>
  <c r="J69" i="27"/>
  <c r="K68" i="27"/>
  <c r="J68" i="27"/>
  <c r="K67" i="27"/>
  <c r="J67" i="27"/>
  <c r="J444" i="2"/>
  <c r="J447" i="2"/>
  <c r="J448" i="2"/>
  <c r="J449" i="2"/>
  <c r="J450" i="2"/>
  <c r="J451" i="2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93" i="18"/>
  <c r="K92" i="18"/>
  <c r="J103" i="18"/>
  <c r="J93" i="18"/>
  <c r="J94" i="18"/>
  <c r="J95" i="18"/>
  <c r="J96" i="18"/>
  <c r="J97" i="18"/>
  <c r="J98" i="18"/>
  <c r="J99" i="18"/>
  <c r="J100" i="18"/>
  <c r="J101" i="18"/>
  <c r="J102" i="18"/>
  <c r="J92" i="18"/>
  <c r="J80" i="18"/>
  <c r="K80" i="18"/>
  <c r="J81" i="18"/>
  <c r="K81" i="18"/>
  <c r="J82" i="18"/>
  <c r="K82" i="18"/>
  <c r="J83" i="18"/>
  <c r="K83" i="18"/>
  <c r="J76" i="18"/>
  <c r="K76" i="18"/>
  <c r="J77" i="18"/>
  <c r="K77" i="18"/>
  <c r="J78" i="18"/>
  <c r="K78" i="18"/>
  <c r="J79" i="18"/>
  <c r="K79" i="18"/>
  <c r="J74" i="18"/>
  <c r="K74" i="18"/>
  <c r="J75" i="18"/>
  <c r="K75" i="18"/>
  <c r="J73" i="18"/>
  <c r="J72" i="18"/>
  <c r="J71" i="18"/>
  <c r="J70" i="18"/>
  <c r="J442" i="2" l="1"/>
  <c r="J443" i="2"/>
  <c r="J101" i="32" l="1"/>
  <c r="K101" i="32"/>
  <c r="J102" i="32"/>
  <c r="K102" i="32"/>
  <c r="J103" i="32"/>
  <c r="K103" i="32"/>
  <c r="J104" i="32"/>
  <c r="K104" i="32"/>
  <c r="J105" i="32"/>
  <c r="K105" i="32"/>
  <c r="J61" i="24"/>
  <c r="K61" i="24"/>
  <c r="J62" i="24"/>
  <c r="K62" i="24"/>
  <c r="J63" i="24"/>
  <c r="K63" i="24"/>
  <c r="J64" i="24"/>
  <c r="K64" i="24"/>
  <c r="J65" i="24"/>
  <c r="K65" i="24"/>
  <c r="J66" i="24"/>
  <c r="K66" i="24"/>
  <c r="J67" i="24"/>
  <c r="K67" i="24"/>
  <c r="J68" i="24"/>
  <c r="K68" i="24"/>
  <c r="J69" i="24"/>
  <c r="K69" i="24"/>
  <c r="J70" i="24"/>
  <c r="K70" i="24"/>
  <c r="J441" i="2"/>
  <c r="J58" i="30"/>
  <c r="K58" i="30"/>
  <c r="J59" i="30"/>
  <c r="K59" i="30"/>
  <c r="J60" i="30"/>
  <c r="K60" i="30"/>
  <c r="J61" i="30"/>
  <c r="J62" i="30"/>
  <c r="J66" i="30"/>
  <c r="J67" i="30"/>
  <c r="J68" i="30"/>
  <c r="J69" i="30"/>
  <c r="J70" i="30"/>
  <c r="K70" i="30"/>
  <c r="J71" i="30"/>
  <c r="K71" i="30"/>
  <c r="J72" i="30"/>
  <c r="K72" i="30"/>
  <c r="J73" i="30"/>
  <c r="K73" i="30"/>
  <c r="J74" i="30"/>
  <c r="K74" i="30"/>
  <c r="J75" i="30"/>
  <c r="K75" i="30"/>
  <c r="J76" i="30"/>
  <c r="K76" i="30"/>
  <c r="K56" i="24"/>
  <c r="J56" i="24"/>
  <c r="K55" i="24"/>
  <c r="J55" i="24"/>
  <c r="J57" i="24"/>
  <c r="K57" i="24"/>
  <c r="J58" i="24"/>
  <c r="K58" i="24"/>
  <c r="J59" i="24"/>
  <c r="K59" i="24"/>
  <c r="J60" i="24"/>
  <c r="K60" i="24"/>
  <c r="J331" i="9" l="1"/>
  <c r="K331" i="9"/>
  <c r="J332" i="9"/>
  <c r="K332" i="9"/>
  <c r="J333" i="9"/>
  <c r="K333" i="9"/>
  <c r="J334" i="9"/>
  <c r="K334" i="9"/>
  <c r="J335" i="9"/>
  <c r="K335" i="9"/>
  <c r="J336" i="9"/>
  <c r="K336" i="9"/>
  <c r="J337" i="9"/>
  <c r="K337" i="9"/>
  <c r="J338" i="9"/>
  <c r="K338" i="9"/>
  <c r="J533" i="6"/>
  <c r="K533" i="6"/>
  <c r="J534" i="6"/>
  <c r="K534" i="6"/>
  <c r="J535" i="6"/>
  <c r="K535" i="6"/>
  <c r="J536" i="6"/>
  <c r="K536" i="6"/>
  <c r="J537" i="6"/>
  <c r="K537" i="6"/>
  <c r="J538" i="6"/>
  <c r="K538" i="6"/>
  <c r="J539" i="6"/>
  <c r="K539" i="6"/>
  <c r="J540" i="6"/>
  <c r="K540" i="6"/>
  <c r="J541" i="6"/>
  <c r="K541" i="6"/>
  <c r="J346" i="5"/>
  <c r="K346" i="5"/>
  <c r="J347" i="5"/>
  <c r="K347" i="5"/>
  <c r="J348" i="5"/>
  <c r="K348" i="5"/>
  <c r="J349" i="5"/>
  <c r="K349" i="5"/>
  <c r="J350" i="5"/>
  <c r="J351" i="5"/>
  <c r="J352" i="5"/>
  <c r="J353" i="5"/>
  <c r="J354" i="5"/>
  <c r="J433" i="2"/>
  <c r="J434" i="2"/>
  <c r="J435" i="2"/>
  <c r="J436" i="2"/>
  <c r="J437" i="2"/>
  <c r="J438" i="2"/>
  <c r="J439" i="2"/>
  <c r="J440" i="2"/>
  <c r="J51" i="30"/>
  <c r="K51" i="30"/>
  <c r="J52" i="30"/>
  <c r="K52" i="30"/>
  <c r="J53" i="30"/>
  <c r="K53" i="30"/>
  <c r="J54" i="30"/>
  <c r="K54" i="30"/>
  <c r="J55" i="30"/>
  <c r="K55" i="30"/>
  <c r="J56" i="30"/>
  <c r="K56" i="30"/>
  <c r="J57" i="30"/>
  <c r="K57" i="30"/>
  <c r="J132" i="18"/>
  <c r="K132" i="18"/>
  <c r="J133" i="18"/>
  <c r="K133" i="18"/>
  <c r="J134" i="18"/>
  <c r="K134" i="18"/>
  <c r="J135" i="18"/>
  <c r="K135" i="18"/>
  <c r="J136" i="18"/>
  <c r="K136" i="18"/>
  <c r="J137" i="18"/>
  <c r="K137" i="18"/>
  <c r="J138" i="18"/>
  <c r="K138" i="18"/>
  <c r="J139" i="18"/>
  <c r="K139" i="18"/>
  <c r="J322" i="9"/>
  <c r="J323" i="9"/>
  <c r="J324" i="9"/>
  <c r="J325" i="9"/>
  <c r="J326" i="9"/>
  <c r="J327" i="9"/>
  <c r="J328" i="9"/>
  <c r="J329" i="9"/>
  <c r="J330" i="9"/>
  <c r="J321" i="9"/>
  <c r="H388" i="3"/>
  <c r="J337" i="5" l="1"/>
  <c r="K337" i="5"/>
  <c r="J338" i="5"/>
  <c r="K338" i="5"/>
  <c r="J339" i="5"/>
  <c r="K339" i="5"/>
  <c r="J340" i="5"/>
  <c r="K340" i="5"/>
  <c r="J341" i="5"/>
  <c r="K341" i="5"/>
  <c r="J342" i="5"/>
  <c r="K342" i="5"/>
  <c r="J343" i="5"/>
  <c r="K343" i="5"/>
  <c r="J344" i="5"/>
  <c r="K344" i="5"/>
  <c r="J345" i="5"/>
  <c r="K345" i="5"/>
  <c r="K336" i="5"/>
  <c r="J336" i="5"/>
  <c r="K335" i="5"/>
  <c r="J335" i="5"/>
  <c r="J49" i="23"/>
  <c r="K49" i="23"/>
  <c r="J50" i="23"/>
  <c r="K50" i="23"/>
  <c r="J51" i="23"/>
  <c r="K51" i="23"/>
  <c r="J52" i="23"/>
  <c r="K52" i="23"/>
  <c r="J53" i="23"/>
  <c r="K53" i="23"/>
  <c r="J54" i="23"/>
  <c r="K54" i="23"/>
  <c r="J55" i="23"/>
  <c r="K55" i="23"/>
  <c r="J56" i="23"/>
  <c r="K56" i="23"/>
  <c r="J57" i="23"/>
  <c r="K57" i="23"/>
  <c r="J58" i="23"/>
  <c r="K58" i="23"/>
  <c r="J95" i="32"/>
  <c r="K95" i="32"/>
  <c r="J96" i="32"/>
  <c r="K96" i="32"/>
  <c r="J97" i="32"/>
  <c r="K97" i="32"/>
  <c r="J98" i="32"/>
  <c r="K98" i="32"/>
  <c r="J99" i="32"/>
  <c r="K99" i="32"/>
  <c r="J100" i="32"/>
  <c r="K100" i="32"/>
  <c r="J166" i="17"/>
  <c r="K166" i="17"/>
  <c r="J167" i="17"/>
  <c r="K167" i="17"/>
  <c r="J168" i="17"/>
  <c r="K168" i="17"/>
  <c r="J169" i="17"/>
  <c r="K169" i="17"/>
  <c r="J170" i="17"/>
  <c r="K170" i="17"/>
  <c r="K171" i="17"/>
  <c r="K172" i="17"/>
  <c r="J173" i="17"/>
  <c r="K173" i="17"/>
  <c r="J174" i="17"/>
  <c r="K174" i="17"/>
  <c r="J363" i="7"/>
  <c r="K363" i="7"/>
  <c r="J364" i="7"/>
  <c r="K364" i="7"/>
  <c r="J365" i="7"/>
  <c r="K365" i="7"/>
  <c r="J366" i="7"/>
  <c r="K366" i="7"/>
  <c r="J367" i="7"/>
  <c r="K367" i="7"/>
  <c r="J368" i="7"/>
  <c r="K368" i="7"/>
  <c r="J369" i="7"/>
  <c r="K369" i="7"/>
  <c r="J370" i="7"/>
  <c r="K370" i="7"/>
  <c r="J371" i="7"/>
  <c r="K371" i="7"/>
  <c r="H390" i="3"/>
  <c r="I390" i="3"/>
  <c r="H391" i="3"/>
  <c r="I391" i="3"/>
  <c r="I392" i="3"/>
  <c r="H393" i="3"/>
  <c r="I393" i="3"/>
  <c r="H394" i="3"/>
  <c r="I394" i="3"/>
  <c r="H395" i="3"/>
  <c r="I395" i="3"/>
  <c r="I396" i="3"/>
  <c r="H397" i="3"/>
  <c r="I397" i="3"/>
  <c r="H398" i="3"/>
  <c r="I398" i="3"/>
  <c r="H399" i="3"/>
  <c r="I399" i="3"/>
  <c r="H400" i="3"/>
  <c r="I400" i="3"/>
  <c r="J423" i="2"/>
  <c r="J424" i="2"/>
  <c r="J425" i="2"/>
  <c r="J426" i="2"/>
  <c r="J427" i="2"/>
  <c r="J428" i="2"/>
  <c r="J429" i="2"/>
  <c r="J430" i="2"/>
  <c r="J431" i="2"/>
  <c r="J432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K402" i="2"/>
  <c r="K323" i="9" l="1"/>
  <c r="K324" i="9"/>
  <c r="K325" i="9"/>
  <c r="K326" i="9"/>
  <c r="K327" i="9"/>
  <c r="K328" i="9"/>
  <c r="K329" i="9"/>
  <c r="K330" i="9"/>
  <c r="K322" i="9"/>
  <c r="J372" i="4"/>
  <c r="K372" i="4"/>
  <c r="J373" i="4"/>
  <c r="K373" i="4"/>
  <c r="J374" i="4"/>
  <c r="K374" i="4"/>
  <c r="J375" i="4"/>
  <c r="K375" i="4"/>
  <c r="J376" i="4"/>
  <c r="K376" i="4"/>
  <c r="J377" i="4"/>
  <c r="K377" i="4"/>
  <c r="J378" i="4"/>
  <c r="K378" i="4"/>
  <c r="J379" i="4"/>
  <c r="K379" i="4"/>
  <c r="J524" i="6"/>
  <c r="K524" i="6"/>
  <c r="J525" i="6"/>
  <c r="K525" i="6"/>
  <c r="J526" i="6"/>
  <c r="K526" i="6"/>
  <c r="J527" i="6"/>
  <c r="K527" i="6"/>
  <c r="J528" i="6"/>
  <c r="K528" i="6"/>
  <c r="J529" i="6"/>
  <c r="K529" i="6"/>
  <c r="J530" i="6"/>
  <c r="K530" i="6"/>
  <c r="J531" i="6"/>
  <c r="K531" i="6"/>
  <c r="J532" i="6"/>
  <c r="K532" i="6"/>
  <c r="K523" i="6"/>
  <c r="J523" i="6"/>
  <c r="K522" i="6"/>
  <c r="J522" i="6"/>
  <c r="K521" i="6"/>
  <c r="J521" i="6"/>
  <c r="K362" i="7"/>
  <c r="J362" i="7"/>
  <c r="K361" i="7"/>
  <c r="J361" i="7"/>
  <c r="K360" i="7"/>
  <c r="J360" i="7"/>
  <c r="K359" i="7"/>
  <c r="J359" i="7"/>
  <c r="K358" i="7"/>
  <c r="J358" i="7"/>
  <c r="K357" i="7"/>
  <c r="J357" i="7"/>
  <c r="K356" i="7"/>
  <c r="J356" i="7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K50" i="30"/>
  <c r="J50" i="30"/>
  <c r="K49" i="30"/>
  <c r="J49" i="30"/>
  <c r="K48" i="30"/>
  <c r="J48" i="30"/>
  <c r="K47" i="30"/>
  <c r="J47" i="30"/>
  <c r="K46" i="30"/>
  <c r="J46" i="30"/>
  <c r="K45" i="30"/>
  <c r="J45" i="30"/>
  <c r="J329" i="10"/>
  <c r="K332" i="10"/>
  <c r="K333" i="10"/>
  <c r="K334" i="10"/>
  <c r="K335" i="10"/>
  <c r="K336" i="10"/>
  <c r="K337" i="10"/>
  <c r="K338" i="10"/>
  <c r="K339" i="10"/>
  <c r="K340" i="10"/>
  <c r="K341" i="10"/>
  <c r="K342" i="10"/>
  <c r="K331" i="10"/>
  <c r="K330" i="10"/>
  <c r="K329" i="10"/>
  <c r="K321" i="9"/>
  <c r="J391" i="8" l="1"/>
  <c r="K391" i="8"/>
  <c r="J392" i="8"/>
  <c r="K392" i="8"/>
  <c r="J393" i="8"/>
  <c r="K393" i="8"/>
  <c r="J394" i="8"/>
  <c r="K394" i="8"/>
  <c r="J395" i="8"/>
  <c r="K395" i="8"/>
  <c r="J396" i="8"/>
  <c r="K396" i="8"/>
  <c r="J397" i="8"/>
  <c r="K397" i="8"/>
  <c r="J398" i="8"/>
  <c r="K398" i="8"/>
  <c r="J399" i="8"/>
  <c r="K399" i="8"/>
  <c r="K390" i="8"/>
  <c r="J390" i="8"/>
  <c r="K389" i="8"/>
  <c r="J389" i="8"/>
  <c r="K388" i="8"/>
  <c r="J388" i="8"/>
  <c r="K387" i="8"/>
  <c r="J387" i="8"/>
  <c r="J137" i="16"/>
  <c r="K137" i="16"/>
  <c r="J138" i="16"/>
  <c r="K138" i="16"/>
  <c r="J139" i="16"/>
  <c r="K139" i="16"/>
  <c r="J140" i="16"/>
  <c r="K140" i="16"/>
  <c r="J141" i="16"/>
  <c r="K141" i="16"/>
  <c r="J142" i="16"/>
  <c r="K142" i="16"/>
  <c r="J143" i="16"/>
  <c r="K143" i="16"/>
  <c r="J144" i="16"/>
  <c r="K144" i="16"/>
  <c r="J145" i="16"/>
  <c r="K145" i="16"/>
  <c r="J146" i="16"/>
  <c r="K146" i="16"/>
  <c r="J147" i="16"/>
  <c r="K147" i="16"/>
  <c r="J148" i="16"/>
  <c r="K148" i="16"/>
  <c r="J149" i="16"/>
  <c r="K149" i="16"/>
  <c r="J52" i="25"/>
  <c r="K52" i="25"/>
  <c r="J53" i="25"/>
  <c r="K53" i="25"/>
  <c r="J54" i="25"/>
  <c r="K54" i="25"/>
  <c r="J55" i="25"/>
  <c r="K55" i="25"/>
  <c r="J56" i="25"/>
  <c r="K56" i="25"/>
  <c r="J57" i="25"/>
  <c r="K57" i="25"/>
  <c r="J58" i="25"/>
  <c r="K58" i="25"/>
  <c r="J59" i="25"/>
  <c r="K59" i="25"/>
  <c r="J60" i="25"/>
  <c r="K60" i="25"/>
  <c r="J61" i="25"/>
  <c r="K61" i="25"/>
  <c r="J93" i="34" l="1"/>
  <c r="J94" i="34"/>
  <c r="J95" i="34"/>
  <c r="J96" i="34"/>
  <c r="J97" i="34"/>
  <c r="J98" i="34"/>
  <c r="J99" i="34"/>
  <c r="J100" i="34"/>
  <c r="J101" i="34"/>
  <c r="J102" i="34"/>
  <c r="J103" i="34"/>
  <c r="J86" i="32"/>
  <c r="J87" i="32"/>
  <c r="K87" i="32"/>
  <c r="J88" i="32"/>
  <c r="K88" i="32"/>
  <c r="J89" i="32"/>
  <c r="K89" i="32"/>
  <c r="J90" i="32"/>
  <c r="K90" i="32"/>
  <c r="J91" i="32"/>
  <c r="K91" i="32"/>
  <c r="J92" i="32"/>
  <c r="K92" i="32"/>
  <c r="J93" i="32"/>
  <c r="K93" i="32"/>
  <c r="J94" i="32"/>
  <c r="K94" i="32"/>
  <c r="J22" i="29"/>
  <c r="K22" i="29"/>
  <c r="J23" i="29"/>
  <c r="K23" i="29"/>
  <c r="J24" i="29"/>
  <c r="K24" i="29"/>
  <c r="J25" i="29"/>
  <c r="K25" i="29"/>
  <c r="J167" i="15" l="1"/>
  <c r="K167" i="15"/>
  <c r="J168" i="15"/>
  <c r="K168" i="15"/>
  <c r="J169" i="15"/>
  <c r="K169" i="15"/>
  <c r="J170" i="15"/>
  <c r="K170" i="15"/>
  <c r="J171" i="15"/>
  <c r="K171" i="15"/>
  <c r="J172" i="15"/>
  <c r="K172" i="15"/>
  <c r="J173" i="15"/>
  <c r="K173" i="15"/>
  <c r="J174" i="15"/>
  <c r="K174" i="15"/>
  <c r="K175" i="15"/>
  <c r="K55" i="27"/>
  <c r="K45" i="27"/>
  <c r="K58" i="27"/>
  <c r="J58" i="27"/>
  <c r="K57" i="27"/>
  <c r="J57" i="27"/>
  <c r="K56" i="27"/>
  <c r="J56" i="27"/>
  <c r="J55" i="27"/>
  <c r="K54" i="27"/>
  <c r="J54" i="27"/>
  <c r="K33" i="19"/>
  <c r="K34" i="19"/>
  <c r="K35" i="19"/>
  <c r="K36" i="19"/>
  <c r="K37" i="19"/>
  <c r="K38" i="19"/>
  <c r="K39" i="19"/>
  <c r="K40" i="19"/>
  <c r="K32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9" i="19"/>
  <c r="K29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30" i="20"/>
  <c r="K31" i="20"/>
  <c r="K32" i="20"/>
  <c r="K33" i="20"/>
  <c r="K34" i="20"/>
  <c r="K10" i="20"/>
  <c r="J33" i="20"/>
  <c r="J32" i="20"/>
  <c r="J31" i="20"/>
  <c r="J30" i="20"/>
  <c r="J29" i="20"/>
  <c r="J28" i="20"/>
  <c r="J27" i="20"/>
  <c r="J26" i="20"/>
  <c r="J25" i="20"/>
  <c r="K34" i="21"/>
  <c r="K35" i="21"/>
  <c r="K36" i="21"/>
  <c r="K37" i="21"/>
  <c r="K38" i="21"/>
  <c r="K39" i="21"/>
  <c r="K40" i="21"/>
  <c r="K41" i="21"/>
  <c r="K42" i="21"/>
  <c r="K33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9" i="21"/>
  <c r="K24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9" i="22"/>
  <c r="K44" i="23"/>
  <c r="K45" i="23"/>
  <c r="K46" i="23"/>
  <c r="K47" i="23"/>
  <c r="K48" i="23"/>
  <c r="K43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9" i="23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10" i="25"/>
  <c r="K11" i="25"/>
  <c r="K12" i="25"/>
  <c r="K13" i="25"/>
  <c r="K14" i="25"/>
  <c r="K9" i="25"/>
  <c r="K8" i="25"/>
  <c r="K29" i="33" l="1"/>
  <c r="K30" i="33"/>
  <c r="K31" i="33"/>
  <c r="K32" i="33"/>
  <c r="K33" i="33"/>
  <c r="K34" i="33"/>
  <c r="K35" i="33"/>
  <c r="K36" i="33"/>
  <c r="K37" i="33"/>
  <c r="K38" i="33"/>
  <c r="K39" i="33"/>
  <c r="K40" i="33"/>
  <c r="K41" i="33"/>
  <c r="J42" i="33"/>
  <c r="J43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391" i="2"/>
  <c r="J392" i="2"/>
  <c r="K392" i="2"/>
  <c r="K134" i="16"/>
  <c r="K135" i="16"/>
  <c r="K136" i="16"/>
  <c r="K133" i="16"/>
  <c r="K132" i="16"/>
  <c r="K124" i="18"/>
  <c r="K126" i="18"/>
  <c r="K127" i="18"/>
  <c r="K128" i="18"/>
  <c r="K129" i="18"/>
  <c r="K130" i="18"/>
  <c r="K131" i="18"/>
  <c r="K125" i="18"/>
  <c r="K67" i="18"/>
  <c r="K9" i="20"/>
  <c r="K45" i="20"/>
  <c r="K46" i="20"/>
  <c r="K47" i="20"/>
  <c r="K48" i="20"/>
  <c r="K49" i="20"/>
  <c r="K50" i="20"/>
  <c r="K51" i="20"/>
  <c r="K52" i="20"/>
  <c r="K53" i="20"/>
  <c r="K54" i="20"/>
  <c r="K44" i="20"/>
  <c r="J47" i="20"/>
  <c r="J48" i="20"/>
  <c r="J49" i="20"/>
  <c r="J50" i="20"/>
  <c r="J51" i="20"/>
  <c r="J52" i="20"/>
  <c r="J53" i="20"/>
  <c r="J54" i="20"/>
  <c r="K32" i="21"/>
  <c r="J36" i="21"/>
  <c r="J37" i="21"/>
  <c r="J38" i="21"/>
  <c r="J39" i="21"/>
  <c r="J40" i="21"/>
  <c r="J41" i="21"/>
  <c r="J42" i="21"/>
  <c r="K47" i="22"/>
  <c r="K48" i="22"/>
  <c r="K49" i="22"/>
  <c r="K50" i="22"/>
  <c r="K51" i="22"/>
  <c r="K52" i="22"/>
  <c r="K53" i="22"/>
  <c r="K54" i="22"/>
  <c r="K55" i="22"/>
  <c r="K56" i="22"/>
  <c r="K57" i="22"/>
  <c r="K45" i="22"/>
  <c r="K46" i="22"/>
  <c r="J50" i="22"/>
  <c r="J51" i="22"/>
  <c r="J52" i="22"/>
  <c r="J53" i="22"/>
  <c r="J54" i="22"/>
  <c r="J55" i="22"/>
  <c r="J56" i="22"/>
  <c r="K42" i="23"/>
  <c r="K48" i="25"/>
  <c r="K49" i="25"/>
  <c r="K50" i="25"/>
  <c r="K51" i="25"/>
  <c r="K47" i="25"/>
  <c r="J48" i="25"/>
  <c r="J49" i="25"/>
  <c r="J50" i="25"/>
  <c r="J51" i="25"/>
  <c r="J47" i="25"/>
  <c r="J46" i="25"/>
  <c r="K100" i="28"/>
  <c r="K101" i="28"/>
  <c r="K102" i="28"/>
  <c r="K103" i="28"/>
  <c r="K104" i="28"/>
  <c r="K105" i="28"/>
  <c r="K106" i="28"/>
  <c r="K107" i="28"/>
  <c r="K108" i="28"/>
  <c r="K109" i="28"/>
  <c r="K110" i="28"/>
  <c r="J101" i="28"/>
  <c r="J102" i="28"/>
  <c r="J103" i="28"/>
  <c r="J104" i="28"/>
  <c r="J105" i="28"/>
  <c r="J106" i="28"/>
  <c r="J107" i="28"/>
  <c r="J108" i="28"/>
  <c r="J98" i="28"/>
  <c r="K99" i="28"/>
  <c r="K98" i="28"/>
  <c r="J100" i="28"/>
  <c r="J99" i="28"/>
  <c r="J19" i="31"/>
  <c r="J99" i="35"/>
  <c r="K98" i="35"/>
  <c r="K99" i="35"/>
  <c r="K100" i="35"/>
  <c r="K101" i="35"/>
  <c r="K109" i="35"/>
  <c r="K97" i="35"/>
  <c r="K96" i="35"/>
  <c r="J101" i="35"/>
  <c r="J109" i="35"/>
  <c r="J100" i="35"/>
  <c r="J98" i="35"/>
  <c r="J97" i="35"/>
  <c r="J96" i="35"/>
  <c r="J83" i="34"/>
  <c r="J84" i="34"/>
  <c r="J85" i="34"/>
  <c r="J86" i="34"/>
  <c r="J87" i="34"/>
  <c r="J88" i="34"/>
  <c r="J89" i="34"/>
  <c r="J90" i="34"/>
  <c r="J91" i="34"/>
  <c r="J92" i="34"/>
  <c r="K77" i="32"/>
  <c r="K78" i="32"/>
  <c r="K79" i="32"/>
  <c r="K80" i="32"/>
  <c r="K81" i="32"/>
  <c r="K82" i="32"/>
  <c r="K83" i="32"/>
  <c r="K84" i="32"/>
  <c r="K85" i="32"/>
  <c r="K76" i="32"/>
  <c r="K75" i="32"/>
  <c r="J75" i="32"/>
  <c r="K66" i="32"/>
  <c r="K58" i="32"/>
  <c r="K59" i="32"/>
  <c r="K60" i="32"/>
  <c r="K61" i="32"/>
  <c r="K62" i="32"/>
  <c r="K63" i="32"/>
  <c r="K64" i="32"/>
  <c r="K65" i="32"/>
  <c r="J65" i="32"/>
  <c r="J64" i="32"/>
  <c r="J63" i="32"/>
  <c r="J62" i="32"/>
  <c r="J61" i="32"/>
  <c r="J60" i="32"/>
  <c r="J59" i="32"/>
  <c r="J58" i="32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J52" i="32"/>
  <c r="J53" i="32"/>
  <c r="J54" i="32"/>
  <c r="J55" i="32"/>
  <c r="J56" i="32"/>
  <c r="J57" i="32"/>
  <c r="J36" i="32"/>
  <c r="J37" i="32"/>
  <c r="K38" i="32"/>
  <c r="K39" i="32"/>
  <c r="K40" i="32"/>
  <c r="K41" i="32"/>
  <c r="K42" i="32"/>
  <c r="K43" i="32"/>
  <c r="K44" i="32"/>
  <c r="K45" i="32"/>
  <c r="K46" i="32"/>
  <c r="K47" i="32"/>
  <c r="K48" i="32"/>
  <c r="K49" i="32"/>
  <c r="K50" i="32"/>
  <c r="K51" i="32"/>
  <c r="K52" i="32"/>
  <c r="K53" i="32"/>
  <c r="K54" i="32"/>
  <c r="K55" i="32"/>
  <c r="K56" i="32"/>
  <c r="K57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9" i="32"/>
  <c r="J27" i="32"/>
  <c r="J28" i="32"/>
  <c r="J29" i="32"/>
  <c r="J30" i="32"/>
  <c r="J31" i="32"/>
  <c r="J32" i="32"/>
  <c r="J33" i="32"/>
  <c r="J34" i="32"/>
  <c r="J35" i="32"/>
  <c r="J66" i="32"/>
  <c r="J78" i="34" l="1"/>
  <c r="J82" i="34"/>
  <c r="J81" i="34"/>
  <c r="J80" i="34"/>
  <c r="J79" i="34"/>
  <c r="J76" i="32"/>
  <c r="J77" i="32"/>
  <c r="J78" i="32"/>
  <c r="J79" i="32"/>
  <c r="J80" i="32"/>
  <c r="J81" i="32"/>
  <c r="J82" i="32"/>
  <c r="J83" i="32"/>
  <c r="J84" i="32"/>
  <c r="J85" i="32"/>
  <c r="K385" i="2"/>
  <c r="J69" i="18"/>
  <c r="J68" i="18"/>
  <c r="J67" i="18"/>
  <c r="J66" i="18"/>
  <c r="J65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8" i="18"/>
  <c r="K69" i="18"/>
  <c r="K70" i="18"/>
  <c r="K71" i="18"/>
  <c r="K72" i="18"/>
  <c r="K73" i="18"/>
  <c r="K9" i="18"/>
  <c r="I387" i="3"/>
  <c r="I388" i="3"/>
  <c r="I389" i="3"/>
  <c r="I386" i="3"/>
  <c r="I385" i="3"/>
  <c r="H385" i="3"/>
  <c r="K10" i="33"/>
  <c r="K11" i="33"/>
  <c r="K12" i="33"/>
  <c r="K13" i="33"/>
  <c r="K14" i="33"/>
  <c r="K15" i="33"/>
  <c r="K16" i="33"/>
  <c r="K18" i="33"/>
  <c r="K19" i="33"/>
  <c r="K21" i="33"/>
  <c r="K22" i="33"/>
  <c r="K23" i="33"/>
  <c r="K24" i="33"/>
  <c r="K25" i="33"/>
  <c r="K26" i="33"/>
  <c r="K27" i="33"/>
  <c r="K28" i="33"/>
  <c r="K9" i="33"/>
  <c r="J66" i="34" l="1"/>
  <c r="K66" i="34"/>
  <c r="J67" i="34"/>
  <c r="K67" i="34"/>
  <c r="J68" i="34"/>
  <c r="K68" i="34"/>
  <c r="J69" i="34"/>
  <c r="K69" i="34"/>
  <c r="J49" i="34"/>
  <c r="K49" i="34"/>
  <c r="J50" i="34"/>
  <c r="K50" i="34"/>
  <c r="J51" i="34"/>
  <c r="K51" i="34"/>
  <c r="J52" i="34"/>
  <c r="K52" i="34"/>
  <c r="J53" i="34"/>
  <c r="K53" i="34"/>
  <c r="J54" i="34"/>
  <c r="K54" i="34"/>
  <c r="J55" i="34"/>
  <c r="K55" i="34"/>
  <c r="J56" i="34"/>
  <c r="K56" i="34"/>
  <c r="J57" i="34"/>
  <c r="K57" i="34"/>
  <c r="J58" i="34"/>
  <c r="K58" i="34"/>
  <c r="J59" i="34"/>
  <c r="K59" i="34"/>
  <c r="J60" i="34"/>
  <c r="K60" i="34"/>
  <c r="J61" i="34"/>
  <c r="K61" i="34"/>
  <c r="J62" i="34"/>
  <c r="K62" i="34"/>
  <c r="J63" i="34"/>
  <c r="K63" i="34"/>
  <c r="J64" i="34"/>
  <c r="K64" i="34"/>
  <c r="J65" i="34"/>
  <c r="K65" i="34"/>
  <c r="J34" i="34"/>
  <c r="K34" i="34"/>
  <c r="J35" i="34"/>
  <c r="K35" i="34"/>
  <c r="J36" i="34"/>
  <c r="K36" i="34"/>
  <c r="J37" i="34"/>
  <c r="K37" i="34"/>
  <c r="J38" i="34"/>
  <c r="K38" i="34"/>
  <c r="J39" i="34"/>
  <c r="K39" i="34"/>
  <c r="J40" i="34"/>
  <c r="K40" i="34"/>
  <c r="J41" i="34"/>
  <c r="K41" i="34"/>
  <c r="J42" i="34"/>
  <c r="K42" i="34"/>
  <c r="J43" i="34"/>
  <c r="K43" i="34"/>
  <c r="J44" i="34"/>
  <c r="K44" i="34"/>
  <c r="J45" i="34"/>
  <c r="K45" i="34"/>
  <c r="J46" i="34"/>
  <c r="K46" i="34"/>
  <c r="J47" i="34"/>
  <c r="K47" i="34"/>
  <c r="J48" i="34"/>
  <c r="K48" i="34"/>
  <c r="K23" i="35"/>
  <c r="K25" i="35"/>
  <c r="K27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4" i="35"/>
  <c r="K26" i="35"/>
  <c r="K28" i="35"/>
  <c r="K29" i="35"/>
  <c r="K30" i="35"/>
  <c r="K31" i="35"/>
  <c r="K32" i="35"/>
  <c r="K33" i="35"/>
  <c r="K34" i="35"/>
  <c r="K35" i="35"/>
  <c r="K36" i="35"/>
  <c r="K37" i="35"/>
  <c r="K9" i="35"/>
  <c r="K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K27" i="34"/>
  <c r="K28" i="34"/>
  <c r="K29" i="34"/>
  <c r="K30" i="34"/>
  <c r="K31" i="34"/>
  <c r="K32" i="34"/>
  <c r="K33" i="34"/>
  <c r="K87" i="28"/>
  <c r="K88" i="28"/>
  <c r="K89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J48" i="28"/>
  <c r="J47" i="28"/>
  <c r="J46" i="28"/>
  <c r="J45" i="28"/>
  <c r="J44" i="28"/>
  <c r="J43" i="28"/>
  <c r="J42" i="28"/>
  <c r="J41" i="28"/>
  <c r="K42" i="28"/>
  <c r="K43" i="28"/>
  <c r="K44" i="28"/>
  <c r="K45" i="28"/>
  <c r="K46" i="28"/>
  <c r="K47" i="28"/>
  <c r="K48" i="28"/>
  <c r="K40" i="28"/>
  <c r="K41" i="28"/>
  <c r="J40" i="28"/>
  <c r="J39" i="28"/>
  <c r="J38" i="28"/>
  <c r="J37" i="28"/>
  <c r="J36" i="28"/>
  <c r="K11" i="28"/>
  <c r="K36" i="28"/>
  <c r="K37" i="28"/>
  <c r="K38" i="28"/>
  <c r="K39" i="28"/>
  <c r="K35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10" i="28"/>
  <c r="K9" i="28"/>
  <c r="K8" i="28"/>
  <c r="J35" i="28"/>
  <c r="J34" i="28"/>
  <c r="J33" i="28"/>
  <c r="J32" i="28"/>
  <c r="J31" i="28"/>
  <c r="J30" i="28"/>
  <c r="J64" i="33"/>
  <c r="J55" i="33"/>
  <c r="J54" i="33"/>
  <c r="J53" i="33"/>
  <c r="J52" i="33"/>
  <c r="K51" i="33"/>
  <c r="J51" i="33"/>
  <c r="K366" i="4"/>
  <c r="J64" i="18"/>
  <c r="J63" i="18"/>
  <c r="J62" i="18"/>
  <c r="J61" i="18"/>
  <c r="J60" i="18"/>
  <c r="J59" i="18"/>
  <c r="J58" i="18"/>
  <c r="K39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38" i="35"/>
  <c r="K20" i="31"/>
  <c r="K21" i="31"/>
  <c r="K22" i="31"/>
  <c r="K23" i="31"/>
  <c r="K24" i="31"/>
  <c r="K25" i="31"/>
  <c r="K26" i="31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45" i="17"/>
  <c r="K44" i="17"/>
  <c r="K43" i="17"/>
  <c r="J71" i="17"/>
  <c r="J70" i="17"/>
  <c r="J69" i="17"/>
  <c r="J68" i="17"/>
  <c r="J67" i="17"/>
  <c r="J66" i="17"/>
  <c r="J65" i="17"/>
  <c r="J64" i="17"/>
  <c r="J63" i="17"/>
  <c r="J62" i="17"/>
  <c r="J61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28" i="17"/>
  <c r="K28" i="17"/>
  <c r="J29" i="17"/>
  <c r="K29" i="17"/>
  <c r="J30" i="17"/>
  <c r="K30" i="17"/>
  <c r="J31" i="17"/>
  <c r="K31" i="17"/>
  <c r="J32" i="17"/>
  <c r="K32" i="17"/>
  <c r="J33" i="17"/>
  <c r="K33" i="17"/>
  <c r="J34" i="17"/>
  <c r="K34" i="17"/>
  <c r="K27" i="17"/>
  <c r="K162" i="17"/>
  <c r="K163" i="17"/>
  <c r="K164" i="17"/>
  <c r="K165" i="17"/>
  <c r="K161" i="17"/>
  <c r="K160" i="17"/>
  <c r="J165" i="17"/>
  <c r="J164" i="17"/>
  <c r="J163" i="17"/>
  <c r="J162" i="17"/>
  <c r="J161" i="17"/>
  <c r="J160" i="17"/>
  <c r="K11" i="17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94" i="16"/>
  <c r="K93" i="16"/>
  <c r="J108" i="16"/>
  <c r="J109" i="16"/>
  <c r="J110" i="16"/>
  <c r="J111" i="16"/>
  <c r="J112" i="16"/>
  <c r="J107" i="16"/>
  <c r="J106" i="16"/>
  <c r="J105" i="16"/>
  <c r="J93" i="16"/>
  <c r="K83" i="16"/>
  <c r="K84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9" i="16"/>
  <c r="K8" i="16"/>
  <c r="J94" i="16" l="1"/>
  <c r="J95" i="16" l="1"/>
  <c r="J96" i="16" l="1"/>
  <c r="J97" i="16" l="1"/>
  <c r="J98" i="16" l="1"/>
  <c r="J99" i="16" l="1"/>
  <c r="J100" i="16" l="1"/>
  <c r="J101" i="16" l="1"/>
  <c r="J102" i="16" l="1"/>
  <c r="J103" i="16" l="1"/>
  <c r="J104" i="16" l="1"/>
  <c r="K31" i="15" l="1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30" i="15"/>
  <c r="K2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55" i="15"/>
  <c r="K54" i="15"/>
  <c r="J42" i="15"/>
  <c r="J41" i="15"/>
  <c r="J40" i="15"/>
  <c r="J39" i="15"/>
  <c r="J38" i="15"/>
  <c r="J37" i="15"/>
  <c r="J36" i="15"/>
  <c r="J35" i="15"/>
  <c r="J34" i="15"/>
  <c r="J33" i="15"/>
  <c r="K280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47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K17" i="17"/>
  <c r="K8" i="17"/>
  <c r="K10" i="17"/>
  <c r="K12" i="17"/>
  <c r="K13" i="17"/>
  <c r="K14" i="17"/>
  <c r="K15" i="17"/>
  <c r="K16" i="17"/>
  <c r="K18" i="17"/>
  <c r="K19" i="17"/>
  <c r="K20" i="17"/>
  <c r="K21" i="17"/>
  <c r="K22" i="17"/>
  <c r="K23" i="17"/>
  <c r="K24" i="17"/>
  <c r="K25" i="17"/>
  <c r="K26" i="17"/>
  <c r="K9" i="17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4" i="15"/>
  <c r="K25" i="15"/>
  <c r="K26" i="15"/>
  <c r="K27" i="15"/>
  <c r="K28" i="15"/>
  <c r="K29" i="15"/>
  <c r="K9" i="15"/>
  <c r="K164" i="15" l="1"/>
  <c r="K165" i="15"/>
  <c r="K166" i="15"/>
  <c r="K163" i="15"/>
  <c r="K162" i="15"/>
  <c r="J166" i="15"/>
  <c r="J165" i="15"/>
  <c r="J164" i="15"/>
  <c r="J163" i="15"/>
  <c r="J162" i="15"/>
  <c r="K254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38" i="9"/>
  <c r="K279" i="9"/>
  <c r="J267" i="9"/>
  <c r="J266" i="9"/>
  <c r="J265" i="9"/>
  <c r="J264" i="9"/>
  <c r="J263" i="9"/>
  <c r="J254" i="9"/>
  <c r="J255" i="9"/>
  <c r="J256" i="9"/>
  <c r="J257" i="9"/>
  <c r="J258" i="9"/>
  <c r="J259" i="9"/>
  <c r="J260" i="9"/>
  <c r="J261" i="9"/>
  <c r="J262" i="9"/>
  <c r="J253" i="9"/>
  <c r="J252" i="9"/>
  <c r="J251" i="9"/>
  <c r="J250" i="9"/>
  <c r="J249" i="9"/>
  <c r="J248" i="9"/>
  <c r="J247" i="9"/>
  <c r="J246" i="9"/>
  <c r="K280" i="9"/>
  <c r="K369" i="4"/>
  <c r="K368" i="4"/>
  <c r="K367" i="4"/>
  <c r="J368" i="4"/>
  <c r="J369" i="4"/>
  <c r="J370" i="4"/>
  <c r="K370" i="4"/>
  <c r="J371" i="4"/>
  <c r="K371" i="4"/>
  <c r="J367" i="4"/>
  <c r="J366" i="4"/>
  <c r="H389" i="3"/>
  <c r="H387" i="3"/>
  <c r="H386" i="3"/>
  <c r="J314" i="8"/>
  <c r="J315" i="8"/>
  <c r="J316" i="8"/>
  <c r="J317" i="8"/>
  <c r="J318" i="8"/>
  <c r="J319" i="8"/>
  <c r="J320" i="8"/>
  <c r="J321" i="8"/>
  <c r="J322" i="8"/>
  <c r="J323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299" i="8"/>
  <c r="J313" i="8"/>
  <c r="J312" i="8"/>
  <c r="J311" i="8"/>
  <c r="J310" i="8"/>
  <c r="J309" i="8"/>
  <c r="J308" i="8"/>
  <c r="J307" i="8"/>
  <c r="J306" i="8"/>
  <c r="J305" i="8"/>
  <c r="J304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65" i="8"/>
  <c r="K300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1" i="7"/>
  <c r="K302" i="7"/>
  <c r="K312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65" i="7"/>
  <c r="J310" i="10"/>
  <c r="K310" i="10"/>
  <c r="J311" i="10"/>
  <c r="K311" i="10"/>
  <c r="J312" i="10"/>
  <c r="K312" i="10"/>
  <c r="J313" i="10"/>
  <c r="K313" i="10"/>
  <c r="J314" i="10"/>
  <c r="K314" i="10"/>
  <c r="J315" i="10"/>
  <c r="K315" i="10"/>
  <c r="J316" i="10"/>
  <c r="K316" i="10"/>
  <c r="J317" i="10"/>
  <c r="K317" i="10"/>
  <c r="J318" i="10"/>
  <c r="K318" i="10"/>
  <c r="J319" i="10"/>
  <c r="K319" i="10"/>
  <c r="J320" i="10"/>
  <c r="K320" i="10"/>
  <c r="K241" i="10"/>
  <c r="K240" i="10"/>
  <c r="K242" i="10"/>
  <c r="K243" i="10"/>
  <c r="K244" i="10"/>
  <c r="K245" i="10"/>
  <c r="K246" i="10"/>
  <c r="K239" i="10"/>
  <c r="J304" i="10"/>
  <c r="K304" i="10"/>
  <c r="K305" i="10"/>
  <c r="K306" i="10"/>
  <c r="K307" i="10"/>
  <c r="K308" i="10"/>
  <c r="K309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281" i="10"/>
  <c r="J306" i="10"/>
  <c r="J305" i="10"/>
  <c r="J368" i="8"/>
  <c r="K368" i="8"/>
  <c r="J369" i="8"/>
  <c r="K369" i="8"/>
  <c r="J370" i="8"/>
  <c r="K370" i="8"/>
  <c r="J371" i="8"/>
  <c r="K371" i="8"/>
  <c r="J372" i="8"/>
  <c r="K372" i="8"/>
  <c r="J373" i="8"/>
  <c r="K373" i="8"/>
  <c r="J374" i="8"/>
  <c r="K374" i="8"/>
  <c r="J375" i="8"/>
  <c r="K375" i="8"/>
  <c r="J376" i="8"/>
  <c r="K376" i="8"/>
  <c r="J377" i="8"/>
  <c r="K377" i="8"/>
  <c r="J378" i="8"/>
  <c r="K378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33" i="8"/>
  <c r="K332" i="8"/>
  <c r="K21" i="29"/>
  <c r="J21" i="29"/>
  <c r="K20" i="29"/>
  <c r="J20" i="29"/>
  <c r="K19" i="29"/>
  <c r="J19" i="29"/>
  <c r="K18" i="29"/>
  <c r="J18" i="29"/>
  <c r="J20" i="31"/>
  <c r="J21" i="31"/>
  <c r="J22" i="31"/>
  <c r="J23" i="31"/>
  <c r="J24" i="31"/>
  <c r="J25" i="31"/>
  <c r="J26" i="31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9" i="30"/>
  <c r="J35" i="30"/>
  <c r="J36" i="30"/>
  <c r="J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19" i="27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19" i="24"/>
  <c r="K338" i="7"/>
  <c r="K339" i="7"/>
  <c r="K340" i="7"/>
  <c r="K341" i="7"/>
  <c r="K342" i="7"/>
  <c r="K343" i="7"/>
  <c r="K344" i="7"/>
  <c r="K345" i="7"/>
  <c r="K346" i="7"/>
  <c r="K347" i="7"/>
  <c r="J340" i="7"/>
  <c r="J339" i="7"/>
  <c r="J338" i="7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J501" i="6"/>
  <c r="J500" i="6"/>
  <c r="J504" i="6"/>
  <c r="J505" i="6"/>
  <c r="J506" i="6"/>
  <c r="J507" i="6"/>
  <c r="J508" i="6"/>
  <c r="J509" i="6"/>
  <c r="J510" i="6"/>
  <c r="J511" i="6"/>
  <c r="J512" i="6"/>
  <c r="K319" i="5"/>
  <c r="K320" i="5"/>
  <c r="K321" i="5"/>
  <c r="K322" i="5"/>
  <c r="K323" i="5"/>
  <c r="K324" i="5"/>
  <c r="K325" i="5"/>
  <c r="K326" i="5"/>
  <c r="K327" i="5"/>
  <c r="K318" i="5"/>
  <c r="J321" i="5"/>
  <c r="J320" i="5"/>
  <c r="J319" i="5"/>
  <c r="K269" i="4"/>
  <c r="K268" i="4"/>
  <c r="K267" i="4"/>
  <c r="K241" i="5"/>
  <c r="K240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06" i="5"/>
  <c r="K205" i="5"/>
  <c r="K246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02" i="5"/>
  <c r="K301" i="5"/>
  <c r="J290" i="5"/>
  <c r="J291" i="5"/>
  <c r="K289" i="5"/>
  <c r="K290" i="5"/>
  <c r="K291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42" i="5"/>
  <c r="K243" i="5"/>
  <c r="K244" i="5"/>
  <c r="K245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J262" i="5"/>
  <c r="J261" i="5"/>
  <c r="K256" i="4" l="1"/>
  <c r="K257" i="4"/>
  <c r="K255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39" i="4"/>
  <c r="J236" i="4"/>
  <c r="J234" i="4"/>
  <c r="J235" i="4"/>
  <c r="J237" i="4"/>
  <c r="J238" i="4"/>
  <c r="J256" i="4"/>
  <c r="J257" i="4"/>
  <c r="K235" i="4"/>
  <c r="K234" i="4"/>
  <c r="K236" i="4"/>
  <c r="K237" i="4"/>
  <c r="K238" i="4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58" i="3"/>
  <c r="H265" i="3"/>
  <c r="H266" i="3"/>
  <c r="H267" i="3"/>
  <c r="H268" i="3"/>
  <c r="H269" i="3"/>
  <c r="H270" i="3"/>
  <c r="H271" i="3"/>
  <c r="H272" i="3"/>
  <c r="H264" i="3"/>
  <c r="H263" i="3"/>
  <c r="H262" i="3"/>
  <c r="H261" i="3"/>
  <c r="H260" i="3"/>
  <c r="H259" i="3"/>
  <c r="H250" i="3"/>
  <c r="H246" i="3"/>
  <c r="H247" i="3"/>
  <c r="H248" i="3"/>
  <c r="H249" i="3"/>
  <c r="H251" i="3"/>
  <c r="H252" i="3"/>
  <c r="H253" i="3"/>
  <c r="H254" i="3"/>
  <c r="H255" i="3"/>
  <c r="H256" i="3"/>
  <c r="H257" i="3"/>
  <c r="H258" i="3"/>
  <c r="H245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31" i="3"/>
  <c r="I230" i="3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76" i="6"/>
  <c r="K475" i="6"/>
  <c r="K373" i="2"/>
  <c r="K374" i="2"/>
  <c r="K375" i="2"/>
  <c r="K376" i="2"/>
  <c r="K354" i="2"/>
  <c r="K351" i="2"/>
  <c r="K352" i="2"/>
  <c r="K353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J367" i="2"/>
  <c r="J373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8" i="2"/>
  <c r="J369" i="2"/>
  <c r="J370" i="2"/>
  <c r="J371" i="2"/>
  <c r="J372" i="2"/>
  <c r="J388" i="2"/>
  <c r="J389" i="2"/>
  <c r="J390" i="2"/>
  <c r="K346" i="2"/>
  <c r="K347" i="2"/>
  <c r="K348" i="2"/>
  <c r="K349" i="2"/>
  <c r="K350" i="2"/>
  <c r="K399" i="6"/>
  <c r="K396" i="6"/>
  <c r="K397" i="6"/>
  <c r="K398" i="6"/>
  <c r="K400" i="6"/>
  <c r="K463" i="6"/>
  <c r="K459" i="6"/>
  <c r="K460" i="6"/>
  <c r="K461" i="6"/>
  <c r="K462" i="6"/>
  <c r="K464" i="6"/>
  <c r="K465" i="6"/>
  <c r="J463" i="6"/>
  <c r="J462" i="6"/>
  <c r="J461" i="6"/>
  <c r="J460" i="6"/>
  <c r="J459" i="6"/>
  <c r="J411" i="6" l="1"/>
  <c r="J412" i="6"/>
  <c r="J413" i="6"/>
  <c r="J414" i="6"/>
  <c r="J415" i="6"/>
  <c r="J416" i="6"/>
  <c r="J417" i="6"/>
  <c r="J418" i="6"/>
  <c r="J419" i="6"/>
  <c r="J420" i="6"/>
  <c r="J421" i="6"/>
  <c r="J42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372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64" i="6"/>
  <c r="J465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46" i="6"/>
  <c r="K436" i="6"/>
  <c r="K437" i="6"/>
  <c r="K438" i="6"/>
  <c r="K439" i="6"/>
  <c r="K440" i="6"/>
  <c r="K441" i="6"/>
  <c r="K442" i="6"/>
  <c r="K443" i="6"/>
  <c r="K444" i="6"/>
  <c r="K445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34" i="6"/>
  <c r="K434" i="6"/>
  <c r="K433" i="6"/>
  <c r="K432" i="6"/>
  <c r="K435" i="6"/>
  <c r="K285" i="4"/>
  <c r="K284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J281" i="4"/>
  <c r="K281" i="4"/>
  <c r="J282" i="4"/>
  <c r="K282" i="4"/>
  <c r="J283" i="4"/>
  <c r="K283" i="4"/>
  <c r="J284" i="4"/>
  <c r="J267" i="4"/>
  <c r="K270" i="4"/>
  <c r="K271" i="4"/>
  <c r="K272" i="4"/>
  <c r="K273" i="4"/>
  <c r="K274" i="4"/>
  <c r="K275" i="4"/>
  <c r="K276" i="4"/>
  <c r="K277" i="4"/>
  <c r="K278" i="4"/>
  <c r="K279" i="4"/>
  <c r="K280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I323" i="3" l="1"/>
  <c r="H306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05" i="3"/>
  <c r="H302" i="3"/>
  <c r="I302" i="3"/>
  <c r="H303" i="3"/>
  <c r="I303" i="3"/>
  <c r="H304" i="3"/>
  <c r="I304" i="3"/>
  <c r="H305" i="3"/>
  <c r="I285" i="3"/>
  <c r="H284" i="3"/>
  <c r="I284" i="3"/>
  <c r="I300" i="3"/>
  <c r="I301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283" i="3"/>
  <c r="I283" i="3"/>
  <c r="I282" i="3" l="1"/>
  <c r="H282" i="3"/>
  <c r="J324" i="5" l="1"/>
  <c r="J325" i="5"/>
  <c r="J326" i="5"/>
  <c r="J327" i="5"/>
  <c r="J131" i="18"/>
  <c r="J130" i="18"/>
  <c r="J129" i="18"/>
  <c r="J128" i="18"/>
  <c r="J127" i="18"/>
  <c r="J126" i="18"/>
  <c r="J125" i="18"/>
  <c r="J124" i="18"/>
  <c r="J136" i="16"/>
  <c r="J135" i="16"/>
  <c r="J134" i="16"/>
  <c r="J133" i="16"/>
  <c r="J132" i="16"/>
  <c r="K46" i="25"/>
  <c r="J48" i="23"/>
  <c r="J47" i="23"/>
  <c r="J46" i="23"/>
  <c r="J45" i="23"/>
  <c r="J44" i="23"/>
  <c r="J43" i="23"/>
  <c r="J42" i="23"/>
  <c r="J49" i="22"/>
  <c r="J48" i="22"/>
  <c r="J47" i="22"/>
  <c r="J46" i="22"/>
  <c r="J45" i="22"/>
  <c r="J35" i="21"/>
  <c r="J34" i="21"/>
  <c r="J33" i="21"/>
  <c r="J32" i="21"/>
  <c r="K43" i="20"/>
  <c r="J46" i="20"/>
  <c r="J45" i="20"/>
  <c r="J44" i="20"/>
  <c r="J43" i="20"/>
  <c r="K31" i="19"/>
  <c r="J21" i="19"/>
  <c r="J22" i="19"/>
  <c r="J40" i="19"/>
  <c r="J39" i="19"/>
  <c r="J38" i="19"/>
  <c r="J37" i="19"/>
  <c r="J36" i="19"/>
  <c r="J35" i="19"/>
  <c r="J34" i="19"/>
  <c r="J33" i="19"/>
  <c r="J32" i="19"/>
  <c r="J31" i="19"/>
  <c r="J44" i="27"/>
  <c r="J45" i="27"/>
  <c r="J150" i="17" l="1"/>
  <c r="J335" i="7"/>
  <c r="K335" i="7"/>
  <c r="J336" i="7"/>
  <c r="K336" i="7"/>
  <c r="J337" i="7"/>
  <c r="K337" i="7"/>
  <c r="J341" i="7"/>
  <c r="J342" i="7"/>
  <c r="J343" i="7"/>
  <c r="J344" i="7"/>
  <c r="J345" i="7"/>
  <c r="J346" i="7"/>
  <c r="J347" i="7"/>
  <c r="J357" i="8"/>
  <c r="J329" i="7"/>
  <c r="K329" i="7"/>
  <c r="J330" i="7"/>
  <c r="K330" i="7"/>
  <c r="J331" i="7"/>
  <c r="K331" i="7"/>
  <c r="J332" i="7"/>
  <c r="K332" i="7"/>
  <c r="J333" i="7"/>
  <c r="K333" i="7"/>
  <c r="J334" i="7"/>
  <c r="K334" i="7"/>
  <c r="J494" i="6"/>
  <c r="J495" i="6"/>
  <c r="J496" i="6"/>
  <c r="J497" i="6"/>
  <c r="J498" i="6"/>
  <c r="J499" i="6"/>
  <c r="J502" i="6"/>
  <c r="J503" i="6"/>
  <c r="J35" i="27"/>
  <c r="J36" i="27"/>
  <c r="J37" i="27"/>
  <c r="J38" i="27"/>
  <c r="J39" i="27"/>
  <c r="J40" i="27"/>
  <c r="J41" i="27"/>
  <c r="J42" i="27"/>
  <c r="J43" i="27"/>
  <c r="J24" i="30"/>
  <c r="J25" i="30"/>
  <c r="J26" i="30"/>
  <c r="J27" i="30"/>
  <c r="J28" i="30"/>
  <c r="J29" i="30"/>
  <c r="J30" i="30"/>
  <c r="J31" i="30"/>
  <c r="J32" i="30"/>
  <c r="J33" i="30"/>
  <c r="J34" i="30"/>
  <c r="J295" i="10"/>
  <c r="J296" i="10"/>
  <c r="J297" i="10"/>
  <c r="J298" i="10"/>
  <c r="J299" i="10"/>
  <c r="J300" i="10"/>
  <c r="J301" i="10"/>
  <c r="J302" i="10"/>
  <c r="J303" i="10"/>
  <c r="J307" i="10"/>
  <c r="J308" i="10"/>
  <c r="J309" i="10"/>
  <c r="J307" i="5"/>
  <c r="J308" i="5"/>
  <c r="J309" i="5"/>
  <c r="J310" i="5"/>
  <c r="J311" i="5"/>
  <c r="J312" i="5"/>
  <c r="J313" i="5"/>
  <c r="J314" i="5"/>
  <c r="J315" i="5"/>
  <c r="J316" i="5"/>
  <c r="J317" i="5"/>
  <c r="J318" i="5"/>
  <c r="J322" i="5"/>
  <c r="J323" i="5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350" i="8"/>
  <c r="J351" i="8"/>
  <c r="J352" i="8"/>
  <c r="J353" i="8"/>
  <c r="J354" i="8"/>
  <c r="J355" i="8"/>
  <c r="J356" i="8"/>
  <c r="J358" i="8"/>
  <c r="J359" i="8"/>
  <c r="J360" i="8"/>
  <c r="J361" i="8"/>
  <c r="J362" i="8"/>
  <c r="J363" i="8"/>
  <c r="J364" i="8"/>
  <c r="J365" i="8"/>
  <c r="J366" i="8"/>
  <c r="J367" i="8"/>
  <c r="J285" i="9" l="1"/>
  <c r="K285" i="9"/>
  <c r="J286" i="9"/>
  <c r="K286" i="9"/>
  <c r="J287" i="9"/>
  <c r="K287" i="9"/>
  <c r="J288" i="9"/>
  <c r="K288" i="9"/>
  <c r="J289" i="9"/>
  <c r="K289" i="9"/>
  <c r="J290" i="9"/>
  <c r="K290" i="9"/>
  <c r="J291" i="9"/>
  <c r="K291" i="9"/>
  <c r="J292" i="9"/>
  <c r="K292" i="9"/>
  <c r="J293" i="9"/>
  <c r="K293" i="9"/>
  <c r="J294" i="9"/>
  <c r="K294" i="9"/>
  <c r="J295" i="9"/>
  <c r="K295" i="9"/>
  <c r="J296" i="9"/>
  <c r="K296" i="9"/>
  <c r="J297" i="9"/>
  <c r="K297" i="9"/>
  <c r="J298" i="9"/>
  <c r="K298" i="9"/>
  <c r="J299" i="9"/>
  <c r="K299" i="9"/>
  <c r="J300" i="9"/>
  <c r="K300" i="9"/>
  <c r="J301" i="9"/>
  <c r="K301" i="9"/>
  <c r="J302" i="9"/>
  <c r="K302" i="9"/>
  <c r="J303" i="9"/>
  <c r="K303" i="9"/>
  <c r="J304" i="9"/>
  <c r="K304" i="9"/>
  <c r="J305" i="9"/>
  <c r="K305" i="9"/>
  <c r="J306" i="9"/>
  <c r="K306" i="9"/>
  <c r="J307" i="9"/>
  <c r="K307" i="9"/>
  <c r="J308" i="9"/>
  <c r="K308" i="9"/>
  <c r="J309" i="9"/>
  <c r="K309" i="9"/>
  <c r="J310" i="9"/>
  <c r="K310" i="9"/>
  <c r="J311" i="9"/>
  <c r="K311" i="9"/>
  <c r="J312" i="9"/>
  <c r="K312" i="9"/>
  <c r="J286" i="10"/>
  <c r="J287" i="10"/>
  <c r="J288" i="10"/>
  <c r="J289" i="10"/>
  <c r="J290" i="10"/>
  <c r="J291" i="10"/>
  <c r="J292" i="10"/>
  <c r="J293" i="10"/>
  <c r="J294" i="10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335" i="4" l="1"/>
  <c r="J336" i="4"/>
  <c r="J337" i="4"/>
  <c r="J338" i="4"/>
  <c r="J339" i="4"/>
  <c r="J340" i="4"/>
  <c r="J341" i="4"/>
  <c r="J342" i="4"/>
  <c r="J343" i="4"/>
  <c r="J82" i="35"/>
  <c r="J83" i="35"/>
  <c r="J84" i="35"/>
  <c r="J85" i="35"/>
  <c r="J86" i="35"/>
  <c r="J87" i="35"/>
  <c r="J64" i="16" l="1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123" i="17"/>
  <c r="J124" i="17"/>
  <c r="J125" i="17"/>
  <c r="J126" i="17"/>
  <c r="J127" i="17"/>
  <c r="J128" i="17"/>
  <c r="J129" i="17"/>
  <c r="J130" i="17"/>
  <c r="J87" i="28"/>
  <c r="J88" i="28"/>
  <c r="J89" i="28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12" i="30"/>
  <c r="J13" i="30"/>
  <c r="J14" i="30"/>
  <c r="J15" i="30"/>
  <c r="J16" i="30"/>
  <c r="J17" i="30"/>
  <c r="J18" i="30"/>
  <c r="J19" i="30"/>
  <c r="J20" i="30"/>
  <c r="J21" i="30"/>
  <c r="J22" i="30"/>
  <c r="J23" i="30"/>
  <c r="J317" i="7"/>
  <c r="K317" i="7"/>
  <c r="J318" i="7"/>
  <c r="K318" i="7"/>
  <c r="J319" i="7"/>
  <c r="K319" i="7"/>
  <c r="J320" i="7"/>
  <c r="K320" i="7"/>
  <c r="J321" i="7"/>
  <c r="K321" i="7"/>
  <c r="J322" i="7"/>
  <c r="K322" i="7"/>
  <c r="J323" i="7"/>
  <c r="K323" i="7"/>
  <c r="J324" i="7"/>
  <c r="K324" i="7"/>
  <c r="J325" i="7"/>
  <c r="K325" i="7"/>
  <c r="J326" i="7"/>
  <c r="K326" i="7"/>
  <c r="J327" i="7"/>
  <c r="K327" i="7"/>
  <c r="J328" i="7"/>
  <c r="K328" i="7"/>
  <c r="J114" i="17"/>
  <c r="J115" i="17"/>
  <c r="J116" i="17"/>
  <c r="J117" i="17"/>
  <c r="J118" i="17"/>
  <c r="J119" i="17"/>
  <c r="J120" i="17"/>
  <c r="J121" i="17"/>
  <c r="J122" i="17"/>
  <c r="J114" i="15"/>
  <c r="J115" i="15"/>
  <c r="J116" i="15"/>
  <c r="J117" i="15"/>
  <c r="J118" i="15"/>
  <c r="J119" i="15"/>
  <c r="J120" i="15"/>
  <c r="J121" i="15"/>
  <c r="K316" i="7"/>
  <c r="J316" i="7"/>
  <c r="K315" i="7"/>
  <c r="J315" i="7"/>
  <c r="K314" i="7"/>
  <c r="J314" i="7"/>
  <c r="K313" i="7"/>
  <c r="J313" i="7"/>
  <c r="J312" i="7"/>
  <c r="J306" i="5"/>
  <c r="J305" i="5"/>
  <c r="J304" i="5"/>
  <c r="J303" i="5"/>
  <c r="J302" i="5"/>
  <c r="J301" i="5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285" i="10"/>
  <c r="J284" i="10"/>
  <c r="J283" i="10"/>
  <c r="J282" i="10"/>
  <c r="J281" i="10"/>
  <c r="J280" i="10"/>
  <c r="K284" i="9"/>
  <c r="J284" i="9"/>
  <c r="K283" i="9"/>
  <c r="J283" i="9"/>
  <c r="K282" i="9"/>
  <c r="J282" i="9"/>
  <c r="K281" i="9"/>
  <c r="J281" i="9"/>
  <c r="J280" i="9"/>
  <c r="J279" i="9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21" i="27"/>
  <c r="J20" i="27"/>
  <c r="K18" i="27"/>
  <c r="J18" i="27"/>
  <c r="J29" i="25"/>
  <c r="J30" i="25"/>
  <c r="J31" i="25"/>
  <c r="J32" i="25"/>
  <c r="J33" i="25"/>
  <c r="J34" i="25"/>
  <c r="J35" i="25"/>
  <c r="J36" i="25"/>
  <c r="J37" i="25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25" i="23"/>
  <c r="J26" i="23"/>
  <c r="J27" i="23"/>
  <c r="J28" i="23"/>
  <c r="J29" i="23"/>
  <c r="J30" i="23"/>
  <c r="J31" i="23"/>
  <c r="J32" i="23"/>
  <c r="J33" i="23"/>
  <c r="J80" i="28" l="1"/>
  <c r="J81" i="28"/>
  <c r="J82" i="28"/>
  <c r="J83" i="28"/>
  <c r="J84" i="28"/>
  <c r="J85" i="28"/>
  <c r="J86" i="28"/>
  <c r="J74" i="35"/>
  <c r="J75" i="35"/>
  <c r="J76" i="35"/>
  <c r="J77" i="35"/>
  <c r="J78" i="35"/>
  <c r="J79" i="35"/>
  <c r="J80" i="35"/>
  <c r="J81" i="35"/>
  <c r="J76" i="28"/>
  <c r="J77" i="28"/>
  <c r="J78" i="28"/>
  <c r="J79" i="28"/>
  <c r="J70" i="28"/>
  <c r="J71" i="28"/>
  <c r="J72" i="28"/>
  <c r="J73" i="28"/>
  <c r="J74" i="28"/>
  <c r="J75" i="28"/>
  <c r="J385" i="2"/>
  <c r="J386" i="2"/>
  <c r="K386" i="2"/>
  <c r="J387" i="2"/>
  <c r="K387" i="2"/>
  <c r="K388" i="2"/>
  <c r="K389" i="2"/>
  <c r="K390" i="2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54" i="35"/>
  <c r="J55" i="35"/>
  <c r="J56" i="35"/>
  <c r="J57" i="35"/>
  <c r="J58" i="35"/>
  <c r="J59" i="35"/>
  <c r="J61" i="28"/>
  <c r="J62" i="28"/>
  <c r="J63" i="28"/>
  <c r="J64" i="28"/>
  <c r="J65" i="28"/>
  <c r="J66" i="28"/>
  <c r="J67" i="28"/>
  <c r="J68" i="28"/>
  <c r="J69" i="28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90" i="15"/>
  <c r="J91" i="15"/>
  <c r="J92" i="15"/>
  <c r="J93" i="15"/>
  <c r="J94" i="15"/>
  <c r="J95" i="15"/>
  <c r="J96" i="15"/>
  <c r="J97" i="15"/>
  <c r="J98" i="15"/>
  <c r="J99" i="15"/>
  <c r="J100" i="15"/>
  <c r="J107" i="18"/>
  <c r="J108" i="18"/>
  <c r="J109" i="18"/>
  <c r="J110" i="18"/>
  <c r="J111" i="18"/>
  <c r="J112" i="18"/>
  <c r="J113" i="18"/>
  <c r="J114" i="18"/>
  <c r="J115" i="18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55" i="28"/>
  <c r="J56" i="28"/>
  <c r="J57" i="28"/>
  <c r="J58" i="28"/>
  <c r="J59" i="28"/>
  <c r="J60" i="28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116" i="16"/>
  <c r="J117" i="16"/>
  <c r="J118" i="16"/>
  <c r="J119" i="16"/>
  <c r="J120" i="16"/>
  <c r="J121" i="16"/>
  <c r="J122" i="16"/>
  <c r="J123" i="16"/>
  <c r="J115" i="16"/>
  <c r="J114" i="16"/>
  <c r="J113" i="16"/>
  <c r="J336" i="8"/>
  <c r="J335" i="8"/>
  <c r="J334" i="8"/>
  <c r="J333" i="8"/>
  <c r="J332" i="8"/>
  <c r="J106" i="18"/>
  <c r="J105" i="18"/>
  <c r="J104" i="18"/>
  <c r="J52" i="18"/>
  <c r="J53" i="18"/>
  <c r="J54" i="18"/>
  <c r="J55" i="18"/>
  <c r="J56" i="18"/>
  <c r="J57" i="18"/>
  <c r="J74" i="17"/>
  <c r="J73" i="17"/>
  <c r="J72" i="17"/>
  <c r="J43" i="17"/>
  <c r="J29" i="28"/>
  <c r="J49" i="28"/>
  <c r="J50" i="28"/>
  <c r="J51" i="28"/>
  <c r="J52" i="28"/>
  <c r="J53" i="28"/>
  <c r="J54" i="28"/>
  <c r="J27" i="28"/>
  <c r="J28" i="28"/>
  <c r="J26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475" i="6" l="1"/>
  <c r="J476" i="6"/>
  <c r="J477" i="6"/>
  <c r="J478" i="6"/>
  <c r="J30" i="15"/>
  <c r="J31" i="15"/>
  <c r="J32" i="15"/>
  <c r="J80" i="15"/>
  <c r="J81" i="15"/>
  <c r="J82" i="15"/>
  <c r="J83" i="15"/>
  <c r="J84" i="15"/>
  <c r="J85" i="15"/>
  <c r="J86" i="15"/>
  <c r="J87" i="15"/>
  <c r="J88" i="15"/>
  <c r="J89" i="15"/>
  <c r="J24" i="32"/>
  <c r="J25" i="32"/>
  <c r="J26" i="3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433" i="6"/>
  <c r="J432" i="6"/>
  <c r="J265" i="5"/>
  <c r="J266" i="5"/>
  <c r="J267" i="5"/>
  <c r="J268" i="5"/>
  <c r="J269" i="5"/>
  <c r="J270" i="5"/>
  <c r="J271" i="5"/>
  <c r="J272" i="5"/>
  <c r="J273" i="5"/>
  <c r="J274" i="5"/>
  <c r="J19" i="33"/>
  <c r="J20" i="33"/>
  <c r="J21" i="33"/>
  <c r="J22" i="33"/>
  <c r="J23" i="33"/>
  <c r="J24" i="33"/>
  <c r="J25" i="33"/>
  <c r="J26" i="33"/>
  <c r="J27" i="33"/>
  <c r="J28" i="33"/>
  <c r="J45" i="18"/>
  <c r="J46" i="18"/>
  <c r="J47" i="18"/>
  <c r="J48" i="18"/>
  <c r="J49" i="18"/>
  <c r="J50" i="18"/>
  <c r="J51" i="18"/>
  <c r="J294" i="8"/>
  <c r="J295" i="8"/>
  <c r="J296" i="8"/>
  <c r="J297" i="8"/>
  <c r="J298" i="8"/>
  <c r="J299" i="8"/>
  <c r="J300" i="8"/>
  <c r="J301" i="8"/>
  <c r="J302" i="8"/>
  <c r="J303" i="8"/>
  <c r="J291" i="8"/>
  <c r="J292" i="8"/>
  <c r="J293" i="8"/>
  <c r="J30" i="34"/>
  <c r="J31" i="34"/>
  <c r="J32" i="34"/>
  <c r="J33" i="34"/>
  <c r="J23" i="34"/>
  <c r="K23" i="34"/>
  <c r="J24" i="34"/>
  <c r="K24" i="34"/>
  <c r="J25" i="34"/>
  <c r="K25" i="34"/>
  <c r="J26" i="34"/>
  <c r="K26" i="34"/>
  <c r="J27" i="34"/>
  <c r="J28" i="34"/>
  <c r="J29" i="34"/>
  <c r="J22" i="20"/>
  <c r="J23" i="20"/>
  <c r="J24" i="20"/>
  <c r="J40" i="18"/>
  <c r="J41" i="18"/>
  <c r="J42" i="18"/>
  <c r="J43" i="18"/>
  <c r="J44" i="18"/>
  <c r="J26" i="17"/>
  <c r="J27" i="17"/>
  <c r="J22" i="17"/>
  <c r="J23" i="17"/>
  <c r="J24" i="17"/>
  <c r="J25" i="17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241" i="10"/>
  <c r="J242" i="10"/>
  <c r="J243" i="10"/>
  <c r="J244" i="10"/>
  <c r="J245" i="10"/>
  <c r="J246" i="10"/>
  <c r="J247" i="10"/>
  <c r="J248" i="10"/>
  <c r="J249" i="10"/>
  <c r="J270" i="10"/>
  <c r="J271" i="10"/>
  <c r="J239" i="10"/>
  <c r="J240" i="10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301" i="7"/>
  <c r="J302" i="7"/>
  <c r="J399" i="6"/>
  <c r="J400" i="6"/>
  <c r="J401" i="6"/>
  <c r="J402" i="6"/>
  <c r="J403" i="6"/>
  <c r="J404" i="6"/>
  <c r="J405" i="6"/>
  <c r="J406" i="6"/>
  <c r="J407" i="6"/>
  <c r="J408" i="6"/>
  <c r="J409" i="6"/>
  <c r="J410" i="6"/>
  <c r="J260" i="5"/>
  <c r="J263" i="5"/>
  <c r="J264" i="5"/>
  <c r="J316" i="4"/>
  <c r="J317" i="4"/>
  <c r="J346" i="2"/>
  <c r="J347" i="2"/>
  <c r="J348" i="2"/>
  <c r="J349" i="2"/>
  <c r="J350" i="2"/>
  <c r="J374" i="2"/>
  <c r="J19" i="22"/>
  <c r="J20" i="22"/>
  <c r="J21" i="22"/>
  <c r="J22" i="22"/>
  <c r="J23" i="22"/>
  <c r="J25" i="15"/>
  <c r="J26" i="15"/>
  <c r="J27" i="15"/>
  <c r="J28" i="15"/>
  <c r="J29" i="15"/>
  <c r="J264" i="7"/>
  <c r="K264" i="7"/>
  <c r="J265" i="7"/>
  <c r="J266" i="7"/>
  <c r="J267" i="7"/>
  <c r="J268" i="7"/>
  <c r="J269" i="7"/>
  <c r="J270" i="7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42" i="16"/>
  <c r="J43" i="16"/>
  <c r="J44" i="16"/>
  <c r="J45" i="16"/>
  <c r="J46" i="16"/>
  <c r="J47" i="16"/>
  <c r="J48" i="16"/>
  <c r="J49" i="16"/>
  <c r="J21" i="21"/>
  <c r="J22" i="21"/>
  <c r="J23" i="21"/>
  <c r="J284" i="8"/>
  <c r="J285" i="8"/>
  <c r="J286" i="8"/>
  <c r="J287" i="8"/>
  <c r="J288" i="8"/>
  <c r="J289" i="8"/>
  <c r="J290" i="8"/>
  <c r="J12" i="33"/>
  <c r="J13" i="33"/>
  <c r="J14" i="33"/>
  <c r="J15" i="33"/>
  <c r="J16" i="33"/>
  <c r="J17" i="33"/>
  <c r="J18" i="33"/>
  <c r="J230" i="4"/>
  <c r="K230" i="4"/>
  <c r="J231" i="4"/>
  <c r="K231" i="4"/>
  <c r="J232" i="4"/>
  <c r="K232" i="4"/>
  <c r="J233" i="4"/>
  <c r="K233" i="4"/>
  <c r="J352" i="6"/>
  <c r="K352" i="6"/>
  <c r="J353" i="6"/>
  <c r="K353" i="6"/>
  <c r="J354" i="6"/>
  <c r="K354" i="6"/>
  <c r="J355" i="6"/>
  <c r="K355" i="6"/>
  <c r="J356" i="6"/>
  <c r="K356" i="6"/>
  <c r="J357" i="6"/>
  <c r="K357" i="6"/>
  <c r="J358" i="6"/>
  <c r="K358" i="6"/>
  <c r="J359" i="6"/>
  <c r="K359" i="6"/>
  <c r="J360" i="6"/>
  <c r="K360" i="6"/>
  <c r="J361" i="6"/>
  <c r="K361" i="6"/>
  <c r="K13" i="34"/>
  <c r="K10" i="34"/>
  <c r="K11" i="34"/>
  <c r="K12" i="34"/>
  <c r="K14" i="34"/>
  <c r="K15" i="34"/>
  <c r="K16" i="34"/>
  <c r="K17" i="34"/>
  <c r="K18" i="34"/>
  <c r="K19" i="34"/>
  <c r="K20" i="34"/>
  <c r="K21" i="34"/>
  <c r="K22" i="34"/>
  <c r="K9" i="34"/>
  <c r="K8" i="34"/>
  <c r="J17" i="34"/>
  <c r="J18" i="34"/>
  <c r="J19" i="34"/>
  <c r="J20" i="34"/>
  <c r="J21" i="34"/>
  <c r="J22" i="34"/>
  <c r="J28" i="18"/>
  <c r="J29" i="18"/>
  <c r="J30" i="18"/>
  <c r="J31" i="18"/>
  <c r="J32" i="18"/>
  <c r="J33" i="18"/>
  <c r="J34" i="18"/>
  <c r="J35" i="18"/>
  <c r="J36" i="18"/>
  <c r="J37" i="18"/>
  <c r="J38" i="18"/>
  <c r="J39" i="18"/>
  <c r="J391" i="6"/>
  <c r="J392" i="6"/>
  <c r="J393" i="6"/>
  <c r="J394" i="6"/>
  <c r="J395" i="6"/>
  <c r="J396" i="6"/>
  <c r="J397" i="6"/>
  <c r="J398" i="6"/>
  <c r="J17" i="19"/>
  <c r="J18" i="19"/>
  <c r="J19" i="19"/>
  <c r="J20" i="19"/>
  <c r="J20" i="15"/>
  <c r="J21" i="15"/>
  <c r="J22" i="15"/>
  <c r="J23" i="15"/>
  <c r="J24" i="15"/>
  <c r="J12" i="32" l="1"/>
  <c r="J13" i="32"/>
  <c r="J14" i="32"/>
  <c r="J15" i="32"/>
  <c r="J16" i="32"/>
  <c r="J17" i="32"/>
  <c r="J18" i="32"/>
  <c r="J19" i="32"/>
  <c r="J20" i="32"/>
  <c r="J21" i="32"/>
  <c r="J22" i="32"/>
  <c r="J23" i="32"/>
  <c r="J12" i="20"/>
  <c r="J13" i="20"/>
  <c r="J14" i="20"/>
  <c r="J15" i="20"/>
  <c r="J16" i="20"/>
  <c r="J17" i="20"/>
  <c r="J18" i="20"/>
  <c r="J19" i="20"/>
  <c r="J20" i="20"/>
  <c r="J21" i="20"/>
  <c r="H240" i="3" l="1"/>
  <c r="H241" i="3"/>
  <c r="H242" i="3"/>
  <c r="H243" i="3"/>
  <c r="H244" i="3"/>
  <c r="J32" i="16" l="1"/>
  <c r="J33" i="16"/>
  <c r="J34" i="16"/>
  <c r="J35" i="16"/>
  <c r="J36" i="16"/>
  <c r="J37" i="16"/>
  <c r="J38" i="16"/>
  <c r="J39" i="16"/>
  <c r="J40" i="16"/>
  <c r="J41" i="16"/>
  <c r="J12" i="22"/>
  <c r="J13" i="22"/>
  <c r="J14" i="22"/>
  <c r="J15" i="22"/>
  <c r="J16" i="22"/>
  <c r="J17" i="22"/>
  <c r="J18" i="22"/>
  <c r="J249" i="5"/>
  <c r="J250" i="5"/>
  <c r="J251" i="5"/>
  <c r="J252" i="5"/>
  <c r="J253" i="5"/>
  <c r="J254" i="5"/>
  <c r="J255" i="5"/>
  <c r="J256" i="5"/>
  <c r="J257" i="5"/>
  <c r="J258" i="5"/>
  <c r="J259" i="5"/>
  <c r="E343" i="6"/>
  <c r="K343" i="6" s="1"/>
  <c r="J383" i="6"/>
  <c r="J384" i="6"/>
  <c r="J385" i="6"/>
  <c r="J386" i="6"/>
  <c r="J387" i="6"/>
  <c r="J388" i="6"/>
  <c r="J389" i="6"/>
  <c r="J390" i="6"/>
  <c r="K219" i="4"/>
  <c r="K220" i="4"/>
  <c r="K221" i="4"/>
  <c r="K222" i="4"/>
  <c r="K223" i="4"/>
  <c r="K224" i="4"/>
  <c r="K225" i="4"/>
  <c r="K226" i="4"/>
  <c r="K227" i="4"/>
  <c r="K228" i="4"/>
  <c r="K229" i="4"/>
  <c r="K218" i="4"/>
  <c r="K217" i="4"/>
  <c r="J223" i="4" l="1"/>
  <c r="J224" i="4"/>
  <c r="J225" i="4"/>
  <c r="J226" i="4"/>
  <c r="J227" i="4"/>
  <c r="J228" i="4"/>
  <c r="J229" i="4"/>
  <c r="J226" i="10" l="1"/>
  <c r="K226" i="10"/>
  <c r="J227" i="10"/>
  <c r="K227" i="10"/>
  <c r="J228" i="10"/>
  <c r="K228" i="10"/>
  <c r="J229" i="10"/>
  <c r="K229" i="10"/>
  <c r="J230" i="10"/>
  <c r="K230" i="10"/>
  <c r="J231" i="10"/>
  <c r="K231" i="10"/>
  <c r="J232" i="10"/>
  <c r="K232" i="10"/>
  <c r="J233" i="10"/>
  <c r="K233" i="10"/>
  <c r="J234" i="10"/>
  <c r="K234" i="10"/>
  <c r="J235" i="10"/>
  <c r="K235" i="10"/>
  <c r="J236" i="10"/>
  <c r="K236" i="10"/>
  <c r="J237" i="10"/>
  <c r="K237" i="10"/>
  <c r="J238" i="10"/>
  <c r="K238" i="10"/>
  <c r="J256" i="7"/>
  <c r="K256" i="7"/>
  <c r="J257" i="7"/>
  <c r="K257" i="7"/>
  <c r="J258" i="7"/>
  <c r="K258" i="7"/>
  <c r="J259" i="7"/>
  <c r="K259" i="7"/>
  <c r="J260" i="7"/>
  <c r="K260" i="7"/>
  <c r="J261" i="7"/>
  <c r="K261" i="7"/>
  <c r="J262" i="7"/>
  <c r="K262" i="7"/>
  <c r="J263" i="7"/>
  <c r="K263" i="7"/>
  <c r="J12" i="34"/>
  <c r="J13" i="34"/>
  <c r="J14" i="34"/>
  <c r="J15" i="34"/>
  <c r="J16" i="34"/>
  <c r="J22" i="16"/>
  <c r="J23" i="16"/>
  <c r="J24" i="16"/>
  <c r="J25" i="16"/>
  <c r="J26" i="16"/>
  <c r="J27" i="16"/>
  <c r="J28" i="16"/>
  <c r="J29" i="16"/>
  <c r="J30" i="16"/>
  <c r="J31" i="16"/>
  <c r="J243" i="5"/>
  <c r="J244" i="5"/>
  <c r="J245" i="5"/>
  <c r="J246" i="5"/>
  <c r="J247" i="5"/>
  <c r="J248" i="5"/>
  <c r="J12" i="17"/>
  <c r="J13" i="17"/>
  <c r="J14" i="17"/>
  <c r="J15" i="17"/>
  <c r="J16" i="17"/>
  <c r="J17" i="17"/>
  <c r="J18" i="17"/>
  <c r="J19" i="17"/>
  <c r="J20" i="17"/>
  <c r="J21" i="17"/>
  <c r="J275" i="8"/>
  <c r="J276" i="8"/>
  <c r="J277" i="8"/>
  <c r="J278" i="8"/>
  <c r="J279" i="8"/>
  <c r="J280" i="8"/>
  <c r="J281" i="8"/>
  <c r="J282" i="8"/>
  <c r="J283" i="8"/>
  <c r="J242" i="5"/>
  <c r="J241" i="5"/>
  <c r="J240" i="5"/>
  <c r="K255" i="7"/>
  <c r="J255" i="7"/>
  <c r="K254" i="7"/>
  <c r="J254" i="7"/>
  <c r="K253" i="7"/>
  <c r="J253" i="7"/>
  <c r="K252" i="7"/>
  <c r="J252" i="7"/>
  <c r="K251" i="7"/>
  <c r="J251" i="7"/>
  <c r="K250" i="7"/>
  <c r="J250" i="7"/>
  <c r="J375" i="6"/>
  <c r="J338" i="6"/>
  <c r="K338" i="6"/>
  <c r="J339" i="6"/>
  <c r="K339" i="6"/>
  <c r="J340" i="6"/>
  <c r="K340" i="6"/>
  <c r="J341" i="6"/>
  <c r="K341" i="6"/>
  <c r="J342" i="6"/>
  <c r="K342" i="6"/>
  <c r="J343" i="6"/>
  <c r="J344" i="6"/>
  <c r="K344" i="6"/>
  <c r="J345" i="6"/>
  <c r="K345" i="6"/>
  <c r="J346" i="6"/>
  <c r="K346" i="6"/>
  <c r="J347" i="6"/>
  <c r="K347" i="6"/>
  <c r="J348" i="6"/>
  <c r="K348" i="6"/>
  <c r="J349" i="6"/>
  <c r="K349" i="6"/>
  <c r="J350" i="6"/>
  <c r="K350" i="6"/>
  <c r="J351" i="6"/>
  <c r="K351" i="6"/>
  <c r="J12" i="21"/>
  <c r="J13" i="21"/>
  <c r="J14" i="21"/>
  <c r="J15" i="21"/>
  <c r="J16" i="21"/>
  <c r="J17" i="21"/>
  <c r="J18" i="21"/>
  <c r="J19" i="21"/>
  <c r="J20" i="21"/>
  <c r="J12" i="19"/>
  <c r="J13" i="19"/>
  <c r="J14" i="19"/>
  <c r="J15" i="19"/>
  <c r="J16" i="19"/>
  <c r="J376" i="6"/>
  <c r="J377" i="6"/>
  <c r="J378" i="6"/>
  <c r="J379" i="6"/>
  <c r="J380" i="6"/>
  <c r="J381" i="6"/>
  <c r="J382" i="6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K324" i="2"/>
  <c r="K325" i="2"/>
  <c r="K323" i="2"/>
  <c r="K322" i="2"/>
  <c r="J325" i="2"/>
  <c r="J324" i="2"/>
  <c r="J323" i="2"/>
  <c r="J322" i="2"/>
  <c r="J220" i="9"/>
  <c r="K220" i="9"/>
  <c r="J221" i="9"/>
  <c r="K221" i="9"/>
  <c r="J222" i="9"/>
  <c r="K222" i="9"/>
  <c r="J223" i="9"/>
  <c r="K223" i="9"/>
  <c r="J224" i="9"/>
  <c r="K224" i="9"/>
  <c r="J225" i="9"/>
  <c r="K225" i="9"/>
  <c r="J226" i="9"/>
  <c r="K226" i="9"/>
  <c r="J227" i="9"/>
  <c r="K227" i="9"/>
  <c r="J228" i="9"/>
  <c r="K228" i="9"/>
  <c r="J229" i="9"/>
  <c r="K229" i="9"/>
  <c r="J230" i="9"/>
  <c r="K230" i="9"/>
  <c r="J231" i="9"/>
  <c r="K231" i="9"/>
  <c r="J232" i="9"/>
  <c r="K232" i="9"/>
  <c r="J233" i="9"/>
  <c r="K233" i="9"/>
  <c r="J234" i="9"/>
  <c r="K234" i="9"/>
  <c r="J235" i="9"/>
  <c r="K235" i="9"/>
  <c r="J236" i="9"/>
  <c r="K236" i="9"/>
  <c r="J237" i="9"/>
  <c r="K237" i="9"/>
  <c r="J238" i="9"/>
  <c r="J239" i="9"/>
  <c r="J240" i="9"/>
  <c r="J241" i="9"/>
  <c r="J242" i="9"/>
  <c r="J243" i="9"/>
  <c r="J244" i="9"/>
  <c r="J245" i="9"/>
  <c r="J268" i="9"/>
  <c r="J269" i="9"/>
  <c r="J270" i="9"/>
  <c r="J12" i="15" l="1"/>
  <c r="J13" i="15"/>
  <c r="J14" i="15"/>
  <c r="J15" i="15"/>
  <c r="J16" i="15"/>
  <c r="J17" i="15"/>
  <c r="J18" i="15"/>
  <c r="J19" i="15"/>
  <c r="J267" i="8"/>
  <c r="J268" i="8"/>
  <c r="J269" i="8"/>
  <c r="J270" i="8"/>
  <c r="J271" i="8"/>
  <c r="J272" i="8"/>
  <c r="J273" i="8"/>
  <c r="J274" i="8"/>
  <c r="J19" i="18" l="1"/>
  <c r="J20" i="18"/>
  <c r="J21" i="18"/>
  <c r="J22" i="18"/>
  <c r="J23" i="18"/>
  <c r="J24" i="18"/>
  <c r="J25" i="18"/>
  <c r="J26" i="18"/>
  <c r="J27" i="18"/>
  <c r="K215" i="10"/>
  <c r="J215" i="10"/>
  <c r="J220" i="10" l="1"/>
  <c r="K220" i="10"/>
  <c r="J221" i="10"/>
  <c r="K221" i="10"/>
  <c r="J222" i="10"/>
  <c r="K222" i="10"/>
  <c r="J223" i="10"/>
  <c r="K223" i="10"/>
  <c r="J224" i="10"/>
  <c r="K224" i="10"/>
  <c r="J225" i="10"/>
  <c r="K225" i="10"/>
  <c r="K219" i="10"/>
  <c r="J219" i="10"/>
  <c r="K218" i="10"/>
  <c r="J218" i="10"/>
  <c r="K217" i="10"/>
  <c r="J217" i="10"/>
  <c r="K216" i="10"/>
  <c r="J216" i="10"/>
  <c r="J19" i="16"/>
  <c r="J20" i="16"/>
  <c r="J21" i="16"/>
  <c r="J11" i="18"/>
  <c r="J12" i="18"/>
  <c r="J13" i="18"/>
  <c r="J14" i="18"/>
  <c r="J15" i="18"/>
  <c r="J16" i="18"/>
  <c r="J17" i="18"/>
  <c r="J18" i="18"/>
  <c r="J12" i="16"/>
  <c r="J13" i="16"/>
  <c r="J14" i="16"/>
  <c r="J15" i="16"/>
  <c r="J16" i="16"/>
  <c r="J17" i="16"/>
  <c r="J18" i="16"/>
  <c r="K219" i="9" l="1"/>
  <c r="J219" i="9"/>
  <c r="K218" i="9"/>
  <c r="J218" i="9"/>
  <c r="K217" i="9"/>
  <c r="J217" i="9"/>
  <c r="J334" i="6"/>
  <c r="K334" i="6"/>
  <c r="J335" i="6"/>
  <c r="K335" i="6"/>
  <c r="J336" i="6"/>
  <c r="K336" i="6"/>
  <c r="J337" i="6"/>
  <c r="K337" i="6"/>
  <c r="J372" i="6" l="1"/>
  <c r="J373" i="6"/>
  <c r="J374" i="6"/>
  <c r="K371" i="6"/>
  <c r="J371" i="6"/>
  <c r="J253" i="8"/>
  <c r="K253" i="8"/>
  <c r="J251" i="8"/>
  <c r="K251" i="8"/>
  <c r="J266" i="8"/>
  <c r="J265" i="8"/>
  <c r="J40" i="35"/>
  <c r="J39" i="35"/>
  <c r="J38" i="35"/>
  <c r="J8" i="35"/>
  <c r="J11" i="34"/>
  <c r="J10" i="34"/>
  <c r="J9" i="34"/>
  <c r="J8" i="34"/>
  <c r="J11" i="33"/>
  <c r="J10" i="33"/>
  <c r="J9" i="33"/>
  <c r="K8" i="33"/>
  <c r="J8" i="33"/>
  <c r="J11" i="32"/>
  <c r="J10" i="32"/>
  <c r="J9" i="32"/>
  <c r="K8" i="32"/>
  <c r="J8" i="32"/>
  <c r="J18" i="31"/>
  <c r="K8" i="31"/>
  <c r="J8" i="31"/>
  <c r="J11" i="30"/>
  <c r="J10" i="30"/>
  <c r="J9" i="30"/>
  <c r="K8" i="30"/>
  <c r="J8" i="30"/>
  <c r="K9" i="29"/>
  <c r="J9" i="29"/>
  <c r="K8" i="29"/>
  <c r="J8" i="29"/>
  <c r="J11" i="28"/>
  <c r="J10" i="28"/>
  <c r="J9" i="28"/>
  <c r="J8" i="28"/>
  <c r="K9" i="27"/>
  <c r="J9" i="27"/>
  <c r="K8" i="27"/>
  <c r="J8" i="27"/>
  <c r="J10" i="25"/>
  <c r="J9" i="25"/>
  <c r="J8" i="25"/>
  <c r="J20" i="24"/>
  <c r="J19" i="24"/>
  <c r="K18" i="24"/>
  <c r="J18" i="24"/>
  <c r="K8" i="24"/>
  <c r="J8" i="24"/>
  <c r="J11" i="23"/>
  <c r="J10" i="23"/>
  <c r="J9" i="23"/>
  <c r="K8" i="23"/>
  <c r="J8" i="23"/>
  <c r="J11" i="22"/>
  <c r="J10" i="22"/>
  <c r="J9" i="22"/>
  <c r="K8" i="22"/>
  <c r="J8" i="22"/>
  <c r="J11" i="21"/>
  <c r="J10" i="21"/>
  <c r="J9" i="21"/>
  <c r="K8" i="21"/>
  <c r="J8" i="21"/>
  <c r="J11" i="20"/>
  <c r="J10" i="20"/>
  <c r="J9" i="20"/>
  <c r="K8" i="20"/>
  <c r="J8" i="20"/>
  <c r="J11" i="19"/>
  <c r="J10" i="19"/>
  <c r="J9" i="19"/>
  <c r="K8" i="19"/>
  <c r="J8" i="19"/>
  <c r="J10" i="18"/>
  <c r="J9" i="18"/>
  <c r="K8" i="18"/>
  <c r="J8" i="18"/>
  <c r="J11" i="17"/>
  <c r="J10" i="17"/>
  <c r="J9" i="17"/>
  <c r="J8" i="17"/>
  <c r="J11" i="16"/>
  <c r="J10" i="16"/>
  <c r="J9" i="16"/>
  <c r="J8" i="16"/>
  <c r="J9" i="15"/>
  <c r="J10" i="15"/>
  <c r="J11" i="15"/>
  <c r="J8" i="15"/>
  <c r="K8" i="15"/>
  <c r="J222" i="4" l="1"/>
  <c r="J221" i="4"/>
  <c r="J220" i="4"/>
  <c r="J219" i="4"/>
  <c r="J218" i="4"/>
  <c r="J217" i="4"/>
  <c r="H233" i="3"/>
  <c r="H234" i="3"/>
  <c r="H235" i="3"/>
  <c r="H236" i="3"/>
  <c r="H237" i="3"/>
  <c r="H238" i="3"/>
  <c r="H239" i="3"/>
  <c r="J227" i="5"/>
  <c r="J228" i="5"/>
  <c r="K333" i="6"/>
  <c r="J333" i="6"/>
  <c r="K332" i="6"/>
  <c r="J332" i="6"/>
  <c r="J318" i="6"/>
  <c r="K318" i="6"/>
  <c r="J319" i="6"/>
  <c r="K319" i="6"/>
  <c r="J320" i="6"/>
  <c r="K320" i="6"/>
  <c r="J321" i="6"/>
  <c r="K321" i="6"/>
  <c r="J322" i="6"/>
  <c r="K322" i="6"/>
  <c r="J323" i="6"/>
  <c r="K323" i="6"/>
  <c r="J224" i="5"/>
  <c r="J225" i="5"/>
  <c r="J226" i="5"/>
  <c r="J229" i="5"/>
  <c r="J230" i="5"/>
  <c r="J201" i="9"/>
  <c r="K201" i="9"/>
  <c r="J202" i="9"/>
  <c r="K202" i="9"/>
  <c r="J203" i="9"/>
  <c r="K203" i="9"/>
  <c r="J204" i="9"/>
  <c r="K204" i="9"/>
  <c r="J205" i="9"/>
  <c r="K205" i="9"/>
  <c r="J206" i="9"/>
  <c r="K206" i="9"/>
  <c r="J207" i="9"/>
  <c r="K207" i="9"/>
  <c r="J207" i="5"/>
  <c r="J234" i="7" l="1"/>
  <c r="K234" i="7"/>
  <c r="J235" i="7"/>
  <c r="K235" i="7"/>
  <c r="J236" i="7"/>
  <c r="K236" i="7"/>
  <c r="J237" i="7"/>
  <c r="K237" i="7"/>
  <c r="J238" i="7"/>
  <c r="K238" i="7"/>
  <c r="J239" i="7"/>
  <c r="K239" i="7"/>
  <c r="J240" i="7"/>
  <c r="K240" i="7"/>
  <c r="J243" i="8"/>
  <c r="K243" i="8"/>
  <c r="J244" i="8"/>
  <c r="K244" i="8"/>
  <c r="J245" i="8"/>
  <c r="K245" i="8"/>
  <c r="J246" i="8"/>
  <c r="K246" i="8"/>
  <c r="J247" i="8"/>
  <c r="K247" i="8"/>
  <c r="J248" i="8"/>
  <c r="K248" i="8"/>
  <c r="J249" i="8"/>
  <c r="K249" i="8"/>
  <c r="J250" i="8"/>
  <c r="K250" i="8"/>
  <c r="J252" i="8"/>
  <c r="K252" i="8"/>
  <c r="J198" i="10"/>
  <c r="K198" i="10"/>
  <c r="J199" i="10"/>
  <c r="K199" i="10"/>
  <c r="J200" i="10"/>
  <c r="K200" i="10"/>
  <c r="J201" i="10"/>
  <c r="K201" i="10"/>
  <c r="J202" i="10"/>
  <c r="K202" i="10"/>
  <c r="J203" i="10"/>
  <c r="K203" i="10"/>
  <c r="J204" i="10"/>
  <c r="K204" i="10"/>
  <c r="J205" i="10"/>
  <c r="K205" i="10"/>
  <c r="J311" i="6"/>
  <c r="K311" i="6"/>
  <c r="J312" i="6"/>
  <c r="K312" i="6"/>
  <c r="J313" i="6"/>
  <c r="K313" i="6"/>
  <c r="J314" i="6"/>
  <c r="K314" i="6"/>
  <c r="J315" i="6"/>
  <c r="K315" i="6"/>
  <c r="J316" i="6"/>
  <c r="K316" i="6"/>
  <c r="J317" i="6"/>
  <c r="K317" i="6"/>
  <c r="H232" i="3"/>
  <c r="H231" i="3"/>
  <c r="H230" i="3"/>
  <c r="J234" i="8"/>
  <c r="K234" i="8"/>
  <c r="J235" i="8"/>
  <c r="K235" i="8"/>
  <c r="J236" i="8"/>
  <c r="K236" i="8"/>
  <c r="J237" i="8"/>
  <c r="K237" i="8"/>
  <c r="J238" i="8"/>
  <c r="K238" i="8"/>
  <c r="J239" i="8"/>
  <c r="K239" i="8"/>
  <c r="J240" i="8"/>
  <c r="K240" i="8"/>
  <c r="J241" i="8"/>
  <c r="K241" i="8"/>
  <c r="J242" i="8"/>
  <c r="K242" i="8"/>
  <c r="J309" i="2" l="1"/>
  <c r="K309" i="2"/>
  <c r="J310" i="2"/>
  <c r="K310" i="2"/>
  <c r="J311" i="2"/>
  <c r="K311" i="2"/>
  <c r="J312" i="2"/>
  <c r="K312" i="2"/>
  <c r="J304" i="6"/>
  <c r="K304" i="6"/>
  <c r="J305" i="6"/>
  <c r="K305" i="6"/>
  <c r="J306" i="6"/>
  <c r="K306" i="6"/>
  <c r="J307" i="6"/>
  <c r="K307" i="6"/>
  <c r="J308" i="6"/>
  <c r="K308" i="6"/>
  <c r="J309" i="6"/>
  <c r="K309" i="6"/>
  <c r="J310" i="6"/>
  <c r="K310" i="6"/>
  <c r="J190" i="9"/>
  <c r="K190" i="9"/>
  <c r="J191" i="9"/>
  <c r="K191" i="9"/>
  <c r="J192" i="9"/>
  <c r="K192" i="9"/>
  <c r="J193" i="9"/>
  <c r="K193" i="9"/>
  <c r="J194" i="9"/>
  <c r="K194" i="9"/>
  <c r="J195" i="9"/>
  <c r="K195" i="9"/>
  <c r="J196" i="9"/>
  <c r="K196" i="9"/>
  <c r="J197" i="9"/>
  <c r="K197" i="9"/>
  <c r="J198" i="9"/>
  <c r="K198" i="9"/>
  <c r="J199" i="9"/>
  <c r="K199" i="9"/>
  <c r="J200" i="9"/>
  <c r="K200" i="9"/>
  <c r="J212" i="5"/>
  <c r="J213" i="5"/>
  <c r="J214" i="5"/>
  <c r="J215" i="5"/>
  <c r="J216" i="5"/>
  <c r="J217" i="5"/>
  <c r="J218" i="5"/>
  <c r="J219" i="5"/>
  <c r="J220" i="5"/>
  <c r="J221" i="5"/>
  <c r="J222" i="5"/>
  <c r="J223" i="5"/>
  <c r="J191" i="10" l="1"/>
  <c r="K191" i="10"/>
  <c r="J192" i="10"/>
  <c r="K192" i="10"/>
  <c r="J193" i="10"/>
  <c r="K193" i="10"/>
  <c r="J194" i="10"/>
  <c r="K194" i="10"/>
  <c r="J195" i="10"/>
  <c r="K195" i="10"/>
  <c r="J196" i="10"/>
  <c r="K196" i="10"/>
  <c r="J197" i="10"/>
  <c r="K197" i="10"/>
  <c r="J225" i="8"/>
  <c r="K225" i="8"/>
  <c r="J226" i="8"/>
  <c r="K226" i="8"/>
  <c r="J227" i="8"/>
  <c r="K227" i="8"/>
  <c r="J228" i="8"/>
  <c r="K228" i="8"/>
  <c r="J229" i="8"/>
  <c r="K229" i="8"/>
  <c r="J230" i="8"/>
  <c r="K230" i="8"/>
  <c r="J231" i="8"/>
  <c r="K231" i="8"/>
  <c r="J232" i="8"/>
  <c r="K232" i="8"/>
  <c r="J233" i="8"/>
  <c r="K233" i="8"/>
  <c r="J180" i="10"/>
  <c r="K180" i="10"/>
  <c r="J181" i="10"/>
  <c r="K181" i="10"/>
  <c r="J182" i="10"/>
  <c r="K182" i="10"/>
  <c r="J183" i="10"/>
  <c r="K183" i="10"/>
  <c r="J184" i="10"/>
  <c r="K184" i="10"/>
  <c r="J185" i="10"/>
  <c r="K185" i="10"/>
  <c r="J186" i="10"/>
  <c r="K186" i="10"/>
  <c r="J187" i="10"/>
  <c r="K187" i="10"/>
  <c r="J188" i="10"/>
  <c r="K188" i="10"/>
  <c r="J189" i="10"/>
  <c r="K189" i="10"/>
  <c r="J190" i="10"/>
  <c r="K190" i="10"/>
  <c r="J294" i="6"/>
  <c r="K294" i="6"/>
  <c r="J295" i="6"/>
  <c r="K295" i="6"/>
  <c r="J296" i="6"/>
  <c r="K296" i="6"/>
  <c r="J297" i="6"/>
  <c r="K297" i="6"/>
  <c r="J298" i="6"/>
  <c r="K298" i="6"/>
  <c r="J299" i="6"/>
  <c r="K299" i="6"/>
  <c r="J300" i="6"/>
  <c r="K300" i="6"/>
  <c r="J301" i="6"/>
  <c r="K301" i="6"/>
  <c r="J302" i="6"/>
  <c r="K302" i="6"/>
  <c r="J303" i="6"/>
  <c r="K303" i="6"/>
  <c r="J211" i="5"/>
  <c r="J210" i="5"/>
  <c r="J209" i="5"/>
  <c r="J208" i="5"/>
  <c r="J206" i="5"/>
  <c r="J205" i="5"/>
  <c r="K212" i="2" l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211" i="2"/>
  <c r="K210" i="2"/>
  <c r="J173" i="10"/>
  <c r="K173" i="10"/>
  <c r="J174" i="10"/>
  <c r="K174" i="10"/>
  <c r="J175" i="10"/>
  <c r="K175" i="10"/>
  <c r="J176" i="10"/>
  <c r="K176" i="10"/>
  <c r="J177" i="10"/>
  <c r="K177" i="10"/>
  <c r="J178" i="10"/>
  <c r="K178" i="10"/>
  <c r="J179" i="10"/>
  <c r="K179" i="10"/>
  <c r="J176" i="9"/>
  <c r="K176" i="9"/>
  <c r="J177" i="9"/>
  <c r="K177" i="9"/>
  <c r="J178" i="9"/>
  <c r="K178" i="9"/>
  <c r="J179" i="9"/>
  <c r="K179" i="9"/>
  <c r="J180" i="9"/>
  <c r="K180" i="9"/>
  <c r="J181" i="9"/>
  <c r="K181" i="9"/>
  <c r="J182" i="9"/>
  <c r="K182" i="9"/>
  <c r="J183" i="9"/>
  <c r="K183" i="9"/>
  <c r="J184" i="9"/>
  <c r="K184" i="9"/>
  <c r="J185" i="9"/>
  <c r="K185" i="9"/>
  <c r="J186" i="9"/>
  <c r="K186" i="9"/>
  <c r="J187" i="9"/>
  <c r="K187" i="9"/>
  <c r="J188" i="9"/>
  <c r="K188" i="9"/>
  <c r="J189" i="9"/>
  <c r="K189" i="9"/>
  <c r="J213" i="8"/>
  <c r="K213" i="8"/>
  <c r="J214" i="8"/>
  <c r="K214" i="8"/>
  <c r="J215" i="8"/>
  <c r="K215" i="8"/>
  <c r="J216" i="8"/>
  <c r="K216" i="8"/>
  <c r="J217" i="8"/>
  <c r="K217" i="8"/>
  <c r="J218" i="8"/>
  <c r="K218" i="8"/>
  <c r="J219" i="8"/>
  <c r="K219" i="8"/>
  <c r="J220" i="8"/>
  <c r="K220" i="8"/>
  <c r="J221" i="8"/>
  <c r="K221" i="8"/>
  <c r="J222" i="8"/>
  <c r="K222" i="8"/>
  <c r="J223" i="8"/>
  <c r="K223" i="8"/>
  <c r="J224" i="8"/>
  <c r="K224" i="8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18" i="7"/>
  <c r="K217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19" i="7"/>
  <c r="J218" i="7"/>
  <c r="J217" i="7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168" i="9"/>
  <c r="K168" i="9"/>
  <c r="J169" i="9"/>
  <c r="K169" i="9"/>
  <c r="J170" i="9"/>
  <c r="K170" i="9"/>
  <c r="J171" i="9"/>
  <c r="K171" i="9"/>
  <c r="J172" i="9"/>
  <c r="K172" i="9"/>
  <c r="J173" i="9"/>
  <c r="K173" i="9"/>
  <c r="J174" i="9"/>
  <c r="K174" i="9"/>
  <c r="J175" i="9"/>
  <c r="K175" i="9"/>
  <c r="J169" i="10"/>
  <c r="K169" i="10"/>
  <c r="J170" i="10"/>
  <c r="K170" i="10"/>
  <c r="J171" i="10"/>
  <c r="K171" i="10"/>
  <c r="J172" i="10"/>
  <c r="K172" i="10"/>
  <c r="J164" i="10"/>
  <c r="K164" i="10"/>
  <c r="J165" i="10"/>
  <c r="K165" i="10"/>
  <c r="J166" i="10"/>
  <c r="K166" i="10"/>
  <c r="J167" i="10"/>
  <c r="K167" i="10"/>
  <c r="J168" i="10"/>
  <c r="K168" i="10"/>
  <c r="J205" i="8"/>
  <c r="K205" i="8"/>
  <c r="J206" i="8"/>
  <c r="K206" i="8"/>
  <c r="J207" i="8"/>
  <c r="K207" i="8"/>
  <c r="J208" i="8"/>
  <c r="K208" i="8"/>
  <c r="J209" i="8"/>
  <c r="K209" i="8"/>
  <c r="J210" i="8"/>
  <c r="K210" i="8"/>
  <c r="J211" i="8"/>
  <c r="K211" i="8"/>
  <c r="J212" i="8"/>
  <c r="K212" i="8"/>
  <c r="J162" i="9"/>
  <c r="J275" i="6"/>
  <c r="K275" i="6"/>
  <c r="J276" i="6"/>
  <c r="K276" i="6"/>
  <c r="J277" i="6"/>
  <c r="K277" i="6"/>
  <c r="J278" i="6"/>
  <c r="K278" i="6"/>
  <c r="J279" i="6"/>
  <c r="K279" i="6"/>
  <c r="J280" i="6"/>
  <c r="K280" i="6"/>
  <c r="J281" i="6"/>
  <c r="K281" i="6"/>
  <c r="J282" i="6"/>
  <c r="K282" i="6"/>
  <c r="J283" i="6"/>
  <c r="K283" i="6"/>
  <c r="J284" i="6"/>
  <c r="K284" i="6"/>
  <c r="J285" i="6"/>
  <c r="K285" i="6"/>
  <c r="J286" i="6"/>
  <c r="K286" i="6"/>
  <c r="J287" i="6"/>
  <c r="K287" i="6"/>
  <c r="J288" i="6"/>
  <c r="K288" i="6"/>
  <c r="J289" i="6"/>
  <c r="K289" i="6"/>
  <c r="J290" i="6"/>
  <c r="K290" i="6"/>
  <c r="J291" i="6"/>
  <c r="K291" i="6"/>
  <c r="J292" i="6"/>
  <c r="K292" i="6"/>
  <c r="J293" i="6"/>
  <c r="K293" i="6"/>
  <c r="J282" i="2"/>
  <c r="J283" i="2"/>
  <c r="J284" i="2"/>
  <c r="J285" i="2"/>
  <c r="J286" i="2"/>
  <c r="J287" i="2"/>
  <c r="J288" i="2"/>
  <c r="J289" i="2"/>
  <c r="J290" i="2"/>
  <c r="J291" i="2"/>
  <c r="J292" i="2"/>
  <c r="J200" i="8" l="1"/>
  <c r="K200" i="8"/>
  <c r="J201" i="8"/>
  <c r="K201" i="8"/>
  <c r="J202" i="8"/>
  <c r="K202" i="8"/>
  <c r="J203" i="8"/>
  <c r="K203" i="8"/>
  <c r="J204" i="8"/>
  <c r="K204" i="8"/>
  <c r="J156" i="10"/>
  <c r="K156" i="10"/>
  <c r="J157" i="10"/>
  <c r="K157" i="10"/>
  <c r="J158" i="10"/>
  <c r="K158" i="10"/>
  <c r="J159" i="10"/>
  <c r="K159" i="10"/>
  <c r="J160" i="10"/>
  <c r="K160" i="10"/>
  <c r="J161" i="10"/>
  <c r="K161" i="10"/>
  <c r="J162" i="10"/>
  <c r="K162" i="10"/>
  <c r="J163" i="10"/>
  <c r="K163" i="10"/>
  <c r="J269" i="6"/>
  <c r="K158" i="9"/>
  <c r="K167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9" i="9"/>
  <c r="K160" i="9"/>
  <c r="K161" i="9"/>
  <c r="K162" i="9"/>
  <c r="K163" i="9"/>
  <c r="K164" i="9"/>
  <c r="K165" i="9"/>
  <c r="K166" i="9"/>
  <c r="K129" i="9"/>
  <c r="K128" i="9"/>
  <c r="J158" i="9"/>
  <c r="J159" i="9"/>
  <c r="J160" i="9"/>
  <c r="J161" i="9"/>
  <c r="J163" i="9"/>
  <c r="J164" i="9"/>
  <c r="J165" i="9"/>
  <c r="J166" i="9"/>
  <c r="J167" i="9"/>
  <c r="J268" i="6"/>
  <c r="K268" i="6"/>
  <c r="J270" i="6"/>
  <c r="K270" i="6"/>
  <c r="J271" i="6"/>
  <c r="K271" i="6"/>
  <c r="J272" i="6"/>
  <c r="K272" i="6"/>
  <c r="J273" i="6"/>
  <c r="K273" i="6"/>
  <c r="J274" i="6"/>
  <c r="K274" i="6"/>
  <c r="J276" i="2"/>
  <c r="J277" i="2"/>
  <c r="J278" i="2"/>
  <c r="J279" i="2"/>
  <c r="J280" i="2"/>
  <c r="J281" i="2"/>
  <c r="J191" i="8"/>
  <c r="K191" i="8"/>
  <c r="J192" i="8"/>
  <c r="K192" i="8"/>
  <c r="J193" i="8"/>
  <c r="K193" i="8"/>
  <c r="J194" i="8"/>
  <c r="K194" i="8"/>
  <c r="J195" i="8"/>
  <c r="K195" i="8"/>
  <c r="J196" i="8"/>
  <c r="K196" i="8"/>
  <c r="J197" i="8"/>
  <c r="K197" i="8"/>
  <c r="J198" i="8"/>
  <c r="K198" i="8"/>
  <c r="J199" i="8"/>
  <c r="K199" i="8"/>
  <c r="J262" i="6"/>
  <c r="K262" i="6"/>
  <c r="J263" i="6"/>
  <c r="K263" i="6"/>
  <c r="J264" i="6"/>
  <c r="K264" i="6"/>
  <c r="J265" i="6"/>
  <c r="K265" i="6"/>
  <c r="J266" i="6"/>
  <c r="K266" i="6"/>
  <c r="J267" i="6"/>
  <c r="K267" i="6"/>
  <c r="J150" i="9"/>
  <c r="J151" i="9"/>
  <c r="J152" i="9"/>
  <c r="J153" i="9"/>
  <c r="J154" i="9"/>
  <c r="J155" i="9"/>
  <c r="J156" i="9"/>
  <c r="J157" i="9"/>
  <c r="J146" i="10"/>
  <c r="K146" i="10"/>
  <c r="J147" i="10"/>
  <c r="K147" i="10"/>
  <c r="J148" i="10"/>
  <c r="K148" i="10"/>
  <c r="J149" i="10"/>
  <c r="K149" i="10"/>
  <c r="J150" i="10"/>
  <c r="K150" i="10"/>
  <c r="J151" i="10"/>
  <c r="K151" i="10"/>
  <c r="J152" i="10"/>
  <c r="K152" i="10"/>
  <c r="J153" i="10"/>
  <c r="K153" i="10"/>
  <c r="J154" i="10"/>
  <c r="K154" i="10"/>
  <c r="J155" i="10"/>
  <c r="K155" i="10"/>
  <c r="J264" i="2"/>
  <c r="J265" i="2"/>
  <c r="J266" i="2"/>
  <c r="J267" i="2"/>
  <c r="J268" i="2"/>
  <c r="J269" i="2"/>
  <c r="J270" i="2"/>
  <c r="J271" i="2"/>
  <c r="J272" i="2"/>
  <c r="J273" i="2"/>
  <c r="J274" i="2"/>
  <c r="J275" i="2"/>
  <c r="J251" i="6"/>
  <c r="K251" i="6"/>
  <c r="J252" i="6"/>
  <c r="K252" i="6"/>
  <c r="J253" i="6"/>
  <c r="K253" i="6"/>
  <c r="J254" i="6"/>
  <c r="K254" i="6"/>
  <c r="J255" i="6"/>
  <c r="K255" i="6"/>
  <c r="J256" i="6"/>
  <c r="K256" i="6"/>
  <c r="J257" i="6"/>
  <c r="K257" i="6"/>
  <c r="J258" i="6"/>
  <c r="K258" i="6"/>
  <c r="J259" i="6"/>
  <c r="K259" i="6"/>
  <c r="J260" i="6"/>
  <c r="K260" i="6"/>
  <c r="J261" i="6"/>
  <c r="K261" i="6"/>
  <c r="J184" i="8"/>
  <c r="K184" i="8"/>
  <c r="J185" i="8"/>
  <c r="K185" i="8"/>
  <c r="J186" i="8"/>
  <c r="K186" i="8"/>
  <c r="J187" i="8"/>
  <c r="K187" i="8"/>
  <c r="J188" i="8"/>
  <c r="K188" i="8"/>
  <c r="J189" i="8"/>
  <c r="K189" i="8"/>
  <c r="J190" i="8"/>
  <c r="K190" i="8"/>
  <c r="J179" i="8" l="1"/>
  <c r="K179" i="8"/>
  <c r="J180" i="8"/>
  <c r="K180" i="8"/>
  <c r="J181" i="8"/>
  <c r="K181" i="8"/>
  <c r="J182" i="8"/>
  <c r="K182" i="8"/>
  <c r="J183" i="8"/>
  <c r="K183" i="8"/>
  <c r="J142" i="9"/>
  <c r="J143" i="9"/>
  <c r="J144" i="9"/>
  <c r="J145" i="9"/>
  <c r="J146" i="9"/>
  <c r="J147" i="9"/>
  <c r="J148" i="9"/>
  <c r="J149" i="9"/>
  <c r="J242" i="6"/>
  <c r="K242" i="6"/>
  <c r="J243" i="6"/>
  <c r="K243" i="6"/>
  <c r="J244" i="6"/>
  <c r="K244" i="6"/>
  <c r="J245" i="6"/>
  <c r="K245" i="6"/>
  <c r="J246" i="6"/>
  <c r="K246" i="6"/>
  <c r="J247" i="6"/>
  <c r="K247" i="6"/>
  <c r="J248" i="6"/>
  <c r="K248" i="6"/>
  <c r="J249" i="6"/>
  <c r="K249" i="6"/>
  <c r="J250" i="6"/>
  <c r="K250" i="6"/>
  <c r="J254" i="2"/>
  <c r="J255" i="2"/>
  <c r="J256" i="2"/>
  <c r="J257" i="2"/>
  <c r="J258" i="2"/>
  <c r="J259" i="2"/>
  <c r="J260" i="2"/>
  <c r="J261" i="2"/>
  <c r="J262" i="2"/>
  <c r="J263" i="2"/>
  <c r="K139" i="10"/>
  <c r="K130" i="10"/>
  <c r="K137" i="10"/>
  <c r="K138" i="10"/>
  <c r="K140" i="10"/>
  <c r="K141" i="10"/>
  <c r="K142" i="10"/>
  <c r="K143" i="10"/>
  <c r="K144" i="10"/>
  <c r="K145" i="10"/>
  <c r="J138" i="10"/>
  <c r="J139" i="10"/>
  <c r="J140" i="10"/>
  <c r="J141" i="10"/>
  <c r="J142" i="10"/>
  <c r="J143" i="10"/>
  <c r="J144" i="10"/>
  <c r="J145" i="10"/>
  <c r="J234" i="6"/>
  <c r="K234" i="6"/>
  <c r="J235" i="6"/>
  <c r="K235" i="6"/>
  <c r="J236" i="6"/>
  <c r="K236" i="6"/>
  <c r="J237" i="6"/>
  <c r="K237" i="6"/>
  <c r="J238" i="6"/>
  <c r="K238" i="6"/>
  <c r="J239" i="6"/>
  <c r="K239" i="6"/>
  <c r="J240" i="6"/>
  <c r="K240" i="6"/>
  <c r="J241" i="6"/>
  <c r="K241" i="6"/>
  <c r="J133" i="9"/>
  <c r="J134" i="9"/>
  <c r="J135" i="9"/>
  <c r="J136" i="9"/>
  <c r="J137" i="9"/>
  <c r="J138" i="9"/>
  <c r="J139" i="9"/>
  <c r="J140" i="9"/>
  <c r="J141" i="9"/>
  <c r="J245" i="2"/>
  <c r="J246" i="2"/>
  <c r="J247" i="2"/>
  <c r="J248" i="2"/>
  <c r="J249" i="2"/>
  <c r="J250" i="2"/>
  <c r="J251" i="2"/>
  <c r="J252" i="2"/>
  <c r="J253" i="2"/>
  <c r="J168" i="8"/>
  <c r="K168" i="8"/>
  <c r="J169" i="8"/>
  <c r="K169" i="8"/>
  <c r="J170" i="8"/>
  <c r="K170" i="8"/>
  <c r="J171" i="8"/>
  <c r="K171" i="8"/>
  <c r="J172" i="8"/>
  <c r="K172" i="8"/>
  <c r="J173" i="8"/>
  <c r="K173" i="8"/>
  <c r="J174" i="8"/>
  <c r="K174" i="8"/>
  <c r="J175" i="8"/>
  <c r="K175" i="8"/>
  <c r="J176" i="8"/>
  <c r="K176" i="8"/>
  <c r="J177" i="8"/>
  <c r="K177" i="8"/>
  <c r="J178" i="8"/>
  <c r="K178" i="8"/>
  <c r="K167" i="8"/>
  <c r="J167" i="8"/>
  <c r="K166" i="8"/>
  <c r="J166" i="8"/>
  <c r="K118" i="8"/>
  <c r="J118" i="8"/>
  <c r="K117" i="8"/>
  <c r="J117" i="8"/>
  <c r="K116" i="8"/>
  <c r="J116" i="8"/>
  <c r="K114" i="8"/>
  <c r="J114" i="8"/>
  <c r="K113" i="8"/>
  <c r="J113" i="8"/>
  <c r="K112" i="8"/>
  <c r="J112" i="8"/>
  <c r="K111" i="8"/>
  <c r="J111" i="8"/>
  <c r="K110" i="8"/>
  <c r="J110" i="8"/>
  <c r="K109" i="8"/>
  <c r="J109" i="8"/>
  <c r="K108" i="8"/>
  <c r="J108" i="8"/>
  <c r="K107" i="8"/>
  <c r="J107" i="8"/>
  <c r="K106" i="8"/>
  <c r="J106" i="8"/>
  <c r="K105" i="8"/>
  <c r="J105" i="8"/>
  <c r="K104" i="8"/>
  <c r="J104" i="8"/>
  <c r="K103" i="8"/>
  <c r="J103" i="8"/>
  <c r="K102" i="8"/>
  <c r="J102" i="8"/>
  <c r="K101" i="8"/>
  <c r="J101" i="8"/>
  <c r="J115" i="8"/>
  <c r="K115" i="8"/>
  <c r="J119" i="8"/>
  <c r="K119" i="8"/>
  <c r="K86" i="8"/>
  <c r="K87" i="8"/>
  <c r="K88" i="8"/>
  <c r="K89" i="8"/>
  <c r="K90" i="8"/>
  <c r="K91" i="8"/>
  <c r="J87" i="8"/>
  <c r="J88" i="8"/>
  <c r="J89" i="8"/>
  <c r="J90" i="8"/>
  <c r="J91" i="8"/>
  <c r="J92" i="8"/>
  <c r="K92" i="8"/>
  <c r="J125" i="10"/>
  <c r="K125" i="10"/>
  <c r="J126" i="10"/>
  <c r="K126" i="10"/>
  <c r="J127" i="10"/>
  <c r="K127" i="10"/>
  <c r="J128" i="10"/>
  <c r="K128" i="10"/>
  <c r="J129" i="10"/>
  <c r="K129" i="10"/>
  <c r="J130" i="10"/>
  <c r="J131" i="10"/>
  <c r="K131" i="10"/>
  <c r="J132" i="10"/>
  <c r="K132" i="10"/>
  <c r="J133" i="10"/>
  <c r="K133" i="10"/>
  <c r="J134" i="10"/>
  <c r="K134" i="10"/>
  <c r="J135" i="10"/>
  <c r="K135" i="10"/>
  <c r="J136" i="10"/>
  <c r="K136" i="10"/>
  <c r="J137" i="10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/>
  <c r="J231" i="6"/>
  <c r="K231" i="6"/>
  <c r="J232" i="6"/>
  <c r="K232" i="6"/>
  <c r="J233" i="6"/>
  <c r="K233" i="6"/>
  <c r="J128" i="9" l="1"/>
  <c r="J129" i="9"/>
  <c r="J130" i="9"/>
  <c r="J131" i="9"/>
  <c r="J132" i="9"/>
  <c r="J237" i="2"/>
  <c r="J238" i="2"/>
  <c r="J239" i="2"/>
  <c r="J240" i="2"/>
  <c r="J241" i="2"/>
  <c r="J242" i="2"/>
  <c r="J243" i="2"/>
  <c r="J244" i="2"/>
  <c r="J189" i="5"/>
  <c r="K189" i="5"/>
  <c r="J190" i="5"/>
  <c r="K190" i="5"/>
  <c r="J191" i="5"/>
  <c r="K191" i="5"/>
  <c r="J192" i="5"/>
  <c r="K192" i="5"/>
  <c r="J193" i="5"/>
  <c r="K193" i="5"/>
  <c r="J194" i="5"/>
  <c r="K194" i="5"/>
  <c r="J195" i="5"/>
  <c r="K195" i="5"/>
  <c r="J196" i="5"/>
  <c r="K196" i="5"/>
  <c r="J204" i="7"/>
  <c r="K204" i="7"/>
  <c r="J205" i="7"/>
  <c r="K205" i="7"/>
  <c r="J206" i="7"/>
  <c r="K206" i="7"/>
  <c r="J207" i="7"/>
  <c r="K207" i="7"/>
  <c r="J208" i="7"/>
  <c r="K208" i="7"/>
  <c r="J121" i="10"/>
  <c r="K121" i="10"/>
  <c r="J122" i="10"/>
  <c r="K122" i="10"/>
  <c r="J123" i="10"/>
  <c r="K123" i="10"/>
  <c r="J124" i="10"/>
  <c r="K124" i="10"/>
  <c r="K120" i="10"/>
  <c r="J120" i="10"/>
  <c r="K119" i="10"/>
  <c r="J119" i="10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/>
  <c r="J198" i="7"/>
  <c r="K198" i="7"/>
  <c r="J199" i="7"/>
  <c r="K199" i="7"/>
  <c r="J200" i="7"/>
  <c r="K200" i="7"/>
  <c r="J201" i="7"/>
  <c r="K201" i="7"/>
  <c r="J202" i="7"/>
  <c r="K202" i="7"/>
  <c r="J203" i="7"/>
  <c r="K203" i="7"/>
  <c r="J234" i="2"/>
  <c r="J235" i="2"/>
  <c r="J236" i="2"/>
  <c r="J196" i="4" l="1"/>
  <c r="K196" i="4"/>
  <c r="J197" i="4"/>
  <c r="K197" i="4"/>
  <c r="J198" i="4"/>
  <c r="K198" i="4"/>
  <c r="J199" i="4"/>
  <c r="K199" i="4"/>
  <c r="J200" i="4"/>
  <c r="K200" i="4"/>
  <c r="J201" i="4"/>
  <c r="K201" i="4"/>
  <c r="J202" i="4"/>
  <c r="K202" i="4"/>
  <c r="J203" i="4"/>
  <c r="K203" i="4"/>
  <c r="J204" i="4"/>
  <c r="K204" i="4"/>
  <c r="J205" i="4"/>
  <c r="K205" i="4"/>
  <c r="J206" i="4"/>
  <c r="K206" i="4"/>
  <c r="J207" i="4"/>
  <c r="K207" i="4"/>
  <c r="J208" i="4"/>
  <c r="K208" i="4"/>
  <c r="J185" i="5"/>
  <c r="K185" i="5"/>
  <c r="J186" i="5"/>
  <c r="K186" i="5"/>
  <c r="J187" i="5"/>
  <c r="K187" i="5"/>
  <c r="J188" i="5"/>
  <c r="K188" i="5"/>
  <c r="J181" i="5"/>
  <c r="K181" i="5"/>
  <c r="J182" i="5"/>
  <c r="K182" i="5"/>
  <c r="J183" i="5"/>
  <c r="K183" i="5"/>
  <c r="J184" i="5"/>
  <c r="K184" i="5"/>
  <c r="J209" i="6"/>
  <c r="J228" i="2"/>
  <c r="J229" i="2"/>
  <c r="J230" i="2"/>
  <c r="J231" i="2"/>
  <c r="J232" i="2"/>
  <c r="J233" i="2"/>
  <c r="J221" i="2"/>
  <c r="J222" i="2"/>
  <c r="J223" i="2"/>
  <c r="J224" i="2"/>
  <c r="J225" i="2"/>
  <c r="J226" i="2"/>
  <c r="J227" i="2"/>
  <c r="J176" i="6"/>
  <c r="K176" i="6"/>
  <c r="J177" i="6"/>
  <c r="K177" i="6"/>
  <c r="J178" i="6"/>
  <c r="K178" i="6"/>
  <c r="J179" i="6"/>
  <c r="K179" i="6"/>
  <c r="J181" i="6"/>
  <c r="K181" i="6"/>
  <c r="J205" i="6"/>
  <c r="K205" i="6"/>
  <c r="J206" i="6"/>
  <c r="K206" i="6"/>
  <c r="J207" i="6"/>
  <c r="K207" i="6"/>
  <c r="J208" i="6"/>
  <c r="K208" i="6"/>
  <c r="J210" i="6"/>
  <c r="K210" i="6"/>
  <c r="J211" i="6"/>
  <c r="K211" i="6"/>
  <c r="J212" i="6"/>
  <c r="K212" i="6"/>
  <c r="J213" i="6"/>
  <c r="K213" i="6"/>
  <c r="J214" i="6"/>
  <c r="K214" i="6"/>
  <c r="J215" i="6"/>
  <c r="K215" i="6"/>
  <c r="J216" i="6"/>
  <c r="K216" i="6"/>
  <c r="J174" i="5"/>
  <c r="K174" i="5"/>
  <c r="J175" i="5"/>
  <c r="K175" i="5"/>
  <c r="J176" i="5"/>
  <c r="K176" i="5"/>
  <c r="J177" i="5"/>
  <c r="K177" i="5"/>
  <c r="J178" i="5"/>
  <c r="K178" i="5"/>
  <c r="J179" i="5"/>
  <c r="K179" i="5"/>
  <c r="J180" i="5"/>
  <c r="K180" i="5"/>
  <c r="J189" i="7"/>
  <c r="K189" i="7"/>
  <c r="J190" i="7"/>
  <c r="K190" i="7"/>
  <c r="J191" i="7"/>
  <c r="K191" i="7"/>
  <c r="J192" i="7"/>
  <c r="K192" i="7"/>
  <c r="J193" i="7"/>
  <c r="K193" i="7"/>
  <c r="J194" i="7"/>
  <c r="K194" i="7"/>
  <c r="J195" i="7"/>
  <c r="K195" i="7"/>
  <c r="J196" i="7"/>
  <c r="K196" i="7"/>
  <c r="J197" i="7"/>
  <c r="K197" i="7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J189" i="4"/>
  <c r="K189" i="4"/>
  <c r="J190" i="4"/>
  <c r="K190" i="4"/>
  <c r="J191" i="4"/>
  <c r="K191" i="4"/>
  <c r="J192" i="4"/>
  <c r="K192" i="4"/>
  <c r="J193" i="4"/>
  <c r="K193" i="4"/>
  <c r="J194" i="4"/>
  <c r="K194" i="4"/>
  <c r="J195" i="4"/>
  <c r="K195" i="4"/>
  <c r="J174" i="6"/>
  <c r="K174" i="6"/>
  <c r="J175" i="6"/>
  <c r="K175" i="6"/>
  <c r="J180" i="6"/>
  <c r="K180" i="6"/>
  <c r="J218" i="2" l="1"/>
  <c r="J219" i="2"/>
  <c r="J220" i="2"/>
  <c r="J213" i="2"/>
  <c r="J214" i="2"/>
  <c r="J215" i="2"/>
  <c r="J216" i="2"/>
  <c r="J217" i="2"/>
  <c r="J212" i="2"/>
  <c r="J211" i="2"/>
  <c r="J210" i="2"/>
  <c r="J109" i="10"/>
  <c r="K109" i="10"/>
  <c r="J110" i="10"/>
  <c r="K110" i="10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52" i="9"/>
  <c r="J165" i="5"/>
  <c r="J166" i="5"/>
  <c r="J167" i="5"/>
  <c r="J168" i="5"/>
  <c r="J169" i="5"/>
  <c r="J170" i="5"/>
  <c r="J171" i="5"/>
  <c r="J172" i="5"/>
  <c r="J173" i="5"/>
  <c r="K165" i="5"/>
  <c r="K166" i="5"/>
  <c r="K167" i="5"/>
  <c r="K168" i="5"/>
  <c r="K169" i="5"/>
  <c r="K170" i="5"/>
  <c r="K171" i="5"/>
  <c r="K172" i="5"/>
  <c r="K173" i="5"/>
  <c r="J107" i="10"/>
  <c r="K107" i="10"/>
  <c r="J108" i="10"/>
  <c r="K108" i="10"/>
  <c r="J191" i="6" l="1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J203" i="6"/>
  <c r="K203" i="6"/>
  <c r="J204" i="6"/>
  <c r="K204" i="6"/>
  <c r="K190" i="6"/>
  <c r="J190" i="6"/>
  <c r="K189" i="6"/>
  <c r="J189" i="6"/>
  <c r="J180" i="7"/>
  <c r="K180" i="7"/>
  <c r="J181" i="7"/>
  <c r="K181" i="7"/>
  <c r="J182" i="7"/>
  <c r="K182" i="7"/>
  <c r="J183" i="7"/>
  <c r="K183" i="7"/>
  <c r="J184" i="7"/>
  <c r="K184" i="7"/>
  <c r="J185" i="7"/>
  <c r="K185" i="7"/>
  <c r="J186" i="7"/>
  <c r="K186" i="7"/>
  <c r="J187" i="7"/>
  <c r="K187" i="7"/>
  <c r="J188" i="7"/>
  <c r="K188" i="7"/>
  <c r="J114" i="9"/>
  <c r="J115" i="9"/>
  <c r="J116" i="9"/>
  <c r="J117" i="9"/>
  <c r="J118" i="9"/>
  <c r="J119" i="9"/>
  <c r="J118" i="6"/>
  <c r="K118" i="6"/>
  <c r="J119" i="6"/>
  <c r="K119" i="6"/>
  <c r="J120" i="6"/>
  <c r="K120" i="6"/>
  <c r="J121" i="6"/>
  <c r="K121" i="6"/>
  <c r="J122" i="6"/>
  <c r="K122" i="6"/>
  <c r="J123" i="6"/>
  <c r="K123" i="6"/>
  <c r="J180" i="4"/>
  <c r="K180" i="4"/>
  <c r="J181" i="4"/>
  <c r="K181" i="4"/>
  <c r="J182" i="4"/>
  <c r="K182" i="4"/>
  <c r="J183" i="4"/>
  <c r="K183" i="4"/>
  <c r="J184" i="4"/>
  <c r="K184" i="4"/>
  <c r="J185" i="4"/>
  <c r="K185" i="4"/>
  <c r="J186" i="4"/>
  <c r="K186" i="4"/>
  <c r="J187" i="4"/>
  <c r="K187" i="4"/>
  <c r="J188" i="4"/>
  <c r="K188" i="4"/>
  <c r="J93" i="10" l="1"/>
  <c r="K93" i="10"/>
  <c r="J94" i="10"/>
  <c r="K94" i="10"/>
  <c r="J95" i="10"/>
  <c r="K95" i="10"/>
  <c r="J96" i="10"/>
  <c r="K96" i="10"/>
  <c r="J97" i="10"/>
  <c r="K97" i="10"/>
  <c r="J98" i="10"/>
  <c r="K98" i="10"/>
  <c r="J99" i="10"/>
  <c r="K99" i="10"/>
  <c r="J100" i="10"/>
  <c r="K100" i="10"/>
  <c r="J101" i="10"/>
  <c r="K101" i="10"/>
  <c r="J102" i="10"/>
  <c r="K102" i="10"/>
  <c r="J103" i="10"/>
  <c r="K103" i="10"/>
  <c r="J104" i="10"/>
  <c r="K104" i="10"/>
  <c r="J105" i="10"/>
  <c r="K105" i="10"/>
  <c r="J106" i="10"/>
  <c r="K106" i="10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J145" i="8"/>
  <c r="K145" i="8"/>
  <c r="J146" i="8"/>
  <c r="K146" i="8"/>
  <c r="J147" i="8"/>
  <c r="K147" i="8"/>
  <c r="J148" i="8"/>
  <c r="K148" i="8"/>
  <c r="J149" i="8"/>
  <c r="K149" i="8"/>
  <c r="J150" i="8"/>
  <c r="K150" i="8"/>
  <c r="J151" i="8"/>
  <c r="K151" i="8"/>
  <c r="J152" i="8"/>
  <c r="K152" i="8"/>
  <c r="J153" i="8"/>
  <c r="K153" i="8"/>
  <c r="J154" i="8"/>
  <c r="K154" i="8"/>
  <c r="J155" i="8"/>
  <c r="K155" i="8"/>
  <c r="J156" i="8"/>
  <c r="K156" i="8"/>
  <c r="I187" i="3"/>
  <c r="I188" i="3"/>
  <c r="I189" i="3"/>
  <c r="I190" i="3"/>
  <c r="I191" i="3"/>
  <c r="I192" i="3"/>
  <c r="I193" i="3"/>
  <c r="I194" i="3"/>
  <c r="I195" i="3"/>
  <c r="I196" i="3"/>
  <c r="I197" i="3"/>
  <c r="J139" i="14"/>
  <c r="K139" i="14"/>
  <c r="J140" i="14"/>
  <c r="K140" i="14"/>
  <c r="J141" i="14"/>
  <c r="K141" i="14"/>
  <c r="J142" i="14"/>
  <c r="K142" i="14"/>
  <c r="J143" i="14"/>
  <c r="K143" i="14"/>
  <c r="J144" i="14"/>
  <c r="K144" i="14"/>
  <c r="J145" i="14"/>
  <c r="K145" i="14"/>
  <c r="J109" i="9"/>
  <c r="J110" i="9"/>
  <c r="J111" i="9"/>
  <c r="J112" i="9"/>
  <c r="J113" i="6"/>
  <c r="K113" i="6"/>
  <c r="J114" i="6"/>
  <c r="K114" i="6"/>
  <c r="J115" i="6"/>
  <c r="K115" i="6"/>
  <c r="J116" i="6"/>
  <c r="K116" i="6"/>
  <c r="J132" i="13"/>
  <c r="K132" i="13"/>
  <c r="J133" i="13"/>
  <c r="K133" i="13"/>
  <c r="J134" i="13"/>
  <c r="K134" i="13"/>
  <c r="J141" i="8"/>
  <c r="K141" i="8"/>
  <c r="J142" i="8"/>
  <c r="K142" i="8"/>
  <c r="J143" i="8"/>
  <c r="K143" i="8"/>
  <c r="J144" i="8"/>
  <c r="K144" i="8"/>
  <c r="J174" i="7"/>
  <c r="K174" i="7"/>
  <c r="J175" i="7"/>
  <c r="K175" i="7"/>
  <c r="J176" i="7"/>
  <c r="K176" i="7"/>
  <c r="J177" i="7"/>
  <c r="K177" i="7"/>
  <c r="J178" i="7"/>
  <c r="K178" i="7"/>
  <c r="J179" i="7"/>
  <c r="K179" i="7"/>
  <c r="J129" i="12"/>
  <c r="J130" i="12"/>
  <c r="J131" i="12"/>
  <c r="K128" i="12"/>
  <c r="K129" i="12"/>
  <c r="K130" i="12"/>
  <c r="K131" i="12"/>
  <c r="J128" i="12"/>
  <c r="J126" i="11" l="1"/>
  <c r="K126" i="11"/>
  <c r="J127" i="11"/>
  <c r="K127" i="11"/>
  <c r="J128" i="11"/>
  <c r="K128" i="11"/>
  <c r="J129" i="11"/>
  <c r="K129" i="11"/>
  <c r="J130" i="11"/>
  <c r="K130" i="11"/>
  <c r="J108" i="9"/>
  <c r="J113" i="9"/>
  <c r="J174" i="4"/>
  <c r="K174" i="4"/>
  <c r="J175" i="4"/>
  <c r="K175" i="4"/>
  <c r="J176" i="4"/>
  <c r="K176" i="4"/>
  <c r="J177" i="4"/>
  <c r="K177" i="4"/>
  <c r="J178" i="4"/>
  <c r="K178" i="4"/>
  <c r="J179" i="4"/>
  <c r="K179" i="4"/>
  <c r="H193" i="3"/>
  <c r="H194" i="3"/>
  <c r="H195" i="3"/>
  <c r="H196" i="3"/>
  <c r="H197" i="3"/>
  <c r="J135" i="8"/>
  <c r="K135" i="8"/>
  <c r="J136" i="8"/>
  <c r="K136" i="8"/>
  <c r="J137" i="8"/>
  <c r="K137" i="8"/>
  <c r="J138" i="8"/>
  <c r="K138" i="8"/>
  <c r="J139" i="8"/>
  <c r="K139" i="8"/>
  <c r="J140" i="8"/>
  <c r="K140" i="8"/>
  <c r="J133" i="8"/>
  <c r="J134" i="8"/>
  <c r="J133" i="14"/>
  <c r="K133" i="14"/>
  <c r="J134" i="14"/>
  <c r="K134" i="14"/>
  <c r="J135" i="14"/>
  <c r="K135" i="14"/>
  <c r="J136" i="14"/>
  <c r="K136" i="14"/>
  <c r="J137" i="14"/>
  <c r="K137" i="14"/>
  <c r="J138" i="14"/>
  <c r="K138" i="14"/>
  <c r="J132" i="8"/>
  <c r="J167" i="7"/>
  <c r="J131" i="8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130" i="8"/>
  <c r="J125" i="13"/>
  <c r="K125" i="13"/>
  <c r="J126" i="13"/>
  <c r="K126" i="13"/>
  <c r="J127" i="13"/>
  <c r="K127" i="13"/>
  <c r="J128" i="13"/>
  <c r="K128" i="13"/>
  <c r="J129" i="13"/>
  <c r="K129" i="13"/>
  <c r="J130" i="13"/>
  <c r="K130" i="13"/>
  <c r="J131" i="13"/>
  <c r="K131" i="13"/>
  <c r="J135" i="13"/>
  <c r="K135" i="13"/>
  <c r="J129" i="8"/>
  <c r="J107" i="6"/>
  <c r="K107" i="6"/>
  <c r="J108" i="6"/>
  <c r="K108" i="6"/>
  <c r="J109" i="6"/>
  <c r="K109" i="6"/>
  <c r="J110" i="6"/>
  <c r="K110" i="6"/>
  <c r="J111" i="6"/>
  <c r="K111" i="6"/>
  <c r="J112" i="6"/>
  <c r="K112" i="6"/>
  <c r="J128" i="8"/>
  <c r="J127" i="8"/>
  <c r="J121" i="12"/>
  <c r="K121" i="12"/>
  <c r="J122" i="12"/>
  <c r="K122" i="12"/>
  <c r="J123" i="12"/>
  <c r="K123" i="12"/>
  <c r="J124" i="12"/>
  <c r="K124" i="12"/>
  <c r="J125" i="12"/>
  <c r="K125" i="12"/>
  <c r="J126" i="12"/>
  <c r="K126" i="12"/>
  <c r="J127" i="12"/>
  <c r="K127" i="12"/>
  <c r="J185" i="2" l="1"/>
  <c r="K185" i="2"/>
  <c r="J186" i="2"/>
  <c r="K186" i="2"/>
  <c r="J187" i="2"/>
  <c r="K187" i="2"/>
  <c r="J188" i="2"/>
  <c r="K188" i="2"/>
  <c r="J172" i="6"/>
  <c r="J173" i="6"/>
  <c r="K172" i="6"/>
  <c r="K173" i="6"/>
  <c r="J126" i="8"/>
  <c r="J125" i="8"/>
  <c r="J124" i="8"/>
  <c r="K171" i="6"/>
  <c r="J171" i="6"/>
  <c r="K101" i="6"/>
  <c r="J101" i="6"/>
  <c r="K102" i="6"/>
  <c r="J102" i="6"/>
  <c r="K103" i="6"/>
  <c r="J103" i="6"/>
  <c r="J123" i="8"/>
  <c r="J122" i="8"/>
  <c r="J121" i="8" l="1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J164" i="7"/>
  <c r="K164" i="7"/>
  <c r="J165" i="7"/>
  <c r="K165" i="7"/>
  <c r="J166" i="7"/>
  <c r="K166" i="7"/>
  <c r="K167" i="7"/>
  <c r="J168" i="7"/>
  <c r="K168" i="7"/>
  <c r="J169" i="7"/>
  <c r="K169" i="7"/>
  <c r="J170" i="7"/>
  <c r="K170" i="7"/>
  <c r="J171" i="7"/>
  <c r="K171" i="7"/>
  <c r="J172" i="7"/>
  <c r="K172" i="7"/>
  <c r="J173" i="7"/>
  <c r="K173" i="7"/>
  <c r="K120" i="8"/>
  <c r="K121" i="8"/>
  <c r="J120" i="8"/>
  <c r="J100" i="9"/>
  <c r="J101" i="9"/>
  <c r="J102" i="9"/>
  <c r="J103" i="9"/>
  <c r="J104" i="9"/>
  <c r="J105" i="9"/>
  <c r="J106" i="9"/>
  <c r="J107" i="9"/>
  <c r="J129" i="14"/>
  <c r="K129" i="14"/>
  <c r="J130" i="14"/>
  <c r="K130" i="14"/>
  <c r="J131" i="14"/>
  <c r="K131" i="14"/>
  <c r="J132" i="14"/>
  <c r="K132" i="14"/>
  <c r="J146" i="14"/>
  <c r="K146" i="14"/>
  <c r="J114" i="11"/>
  <c r="K114" i="11"/>
  <c r="J115" i="11"/>
  <c r="K115" i="11"/>
  <c r="J116" i="11"/>
  <c r="K116" i="11"/>
  <c r="J117" i="11"/>
  <c r="K117" i="11"/>
  <c r="J118" i="11"/>
  <c r="K118" i="11"/>
  <c r="J119" i="11"/>
  <c r="K119" i="11"/>
  <c r="J120" i="11"/>
  <c r="K120" i="11"/>
  <c r="J121" i="11"/>
  <c r="K121" i="11"/>
  <c r="J122" i="11"/>
  <c r="K122" i="11"/>
  <c r="J123" i="11"/>
  <c r="K123" i="11"/>
  <c r="J124" i="11"/>
  <c r="K124" i="11"/>
  <c r="J125" i="11"/>
  <c r="K125" i="11"/>
  <c r="J117" i="12"/>
  <c r="K117" i="12"/>
  <c r="J118" i="12"/>
  <c r="K118" i="12"/>
  <c r="J119" i="12"/>
  <c r="K119" i="12"/>
  <c r="J120" i="12"/>
  <c r="K120" i="12"/>
  <c r="J119" i="13"/>
  <c r="K119" i="13"/>
  <c r="J120" i="13"/>
  <c r="K120" i="13"/>
  <c r="J121" i="13"/>
  <c r="K121" i="13"/>
  <c r="J122" i="13"/>
  <c r="K122" i="13"/>
  <c r="J123" i="13"/>
  <c r="K123" i="13"/>
  <c r="J124" i="13"/>
  <c r="K124" i="13"/>
  <c r="J89" i="10"/>
  <c r="K89" i="10"/>
  <c r="J90" i="10"/>
  <c r="K90" i="10"/>
  <c r="J91" i="10"/>
  <c r="K91" i="10"/>
  <c r="J92" i="10"/>
  <c r="K92" i="10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75" i="2"/>
  <c r="K175" i="2"/>
  <c r="J125" i="14"/>
  <c r="K125" i="14"/>
  <c r="J126" i="14"/>
  <c r="K126" i="14"/>
  <c r="J127" i="14"/>
  <c r="K127" i="14"/>
  <c r="J128" i="14"/>
  <c r="K128" i="14"/>
  <c r="J161" i="4"/>
  <c r="K161" i="4"/>
  <c r="J162" i="4"/>
  <c r="K162" i="4"/>
  <c r="J163" i="4"/>
  <c r="K163" i="4"/>
  <c r="J164" i="4"/>
  <c r="K164" i="4"/>
  <c r="J165" i="4"/>
  <c r="K165" i="4"/>
  <c r="J166" i="4"/>
  <c r="K166" i="4"/>
  <c r="J167" i="4"/>
  <c r="K167" i="4"/>
  <c r="J168" i="4"/>
  <c r="K168" i="4"/>
  <c r="J169" i="4"/>
  <c r="K169" i="4"/>
  <c r="J170" i="4"/>
  <c r="K170" i="4"/>
  <c r="J171" i="4"/>
  <c r="K171" i="4"/>
  <c r="J172" i="4"/>
  <c r="K172" i="4"/>
  <c r="J173" i="4"/>
  <c r="K173" i="4"/>
  <c r="K160" i="4" l="1"/>
  <c r="J160" i="4"/>
  <c r="K159" i="4"/>
  <c r="J159" i="4"/>
  <c r="K158" i="4"/>
  <c r="J158" i="4"/>
  <c r="K157" i="4"/>
  <c r="J157" i="4"/>
  <c r="I179" i="3"/>
  <c r="H179" i="3"/>
  <c r="I178" i="3"/>
  <c r="H178" i="3"/>
  <c r="I177" i="3"/>
  <c r="H177" i="3"/>
  <c r="I176" i="3"/>
  <c r="H176" i="3"/>
  <c r="I175" i="3"/>
  <c r="H175" i="3"/>
  <c r="I174" i="3"/>
  <c r="H174" i="3"/>
  <c r="K163" i="7"/>
  <c r="J163" i="7"/>
  <c r="K162" i="7"/>
  <c r="J162" i="7"/>
  <c r="K161" i="7"/>
  <c r="J161" i="7"/>
  <c r="K160" i="7"/>
  <c r="J160" i="7"/>
  <c r="K159" i="7"/>
  <c r="J159" i="7"/>
  <c r="K158" i="7"/>
  <c r="J158" i="7"/>
  <c r="K157" i="7"/>
  <c r="J157" i="7"/>
  <c r="K164" i="5"/>
  <c r="J164" i="5"/>
  <c r="K163" i="5"/>
  <c r="J163" i="5"/>
  <c r="K162" i="5"/>
  <c r="J162" i="5"/>
  <c r="K161" i="5"/>
  <c r="J161" i="5"/>
  <c r="K160" i="5"/>
  <c r="J160" i="5"/>
  <c r="K159" i="5"/>
  <c r="J159" i="5"/>
  <c r="K158" i="5"/>
  <c r="J158" i="5"/>
  <c r="K157" i="5"/>
  <c r="J157" i="5"/>
  <c r="K156" i="5"/>
  <c r="J156" i="5"/>
  <c r="K155" i="5"/>
  <c r="J155" i="5"/>
  <c r="K154" i="5"/>
  <c r="J154" i="5"/>
  <c r="K153" i="5"/>
  <c r="J153" i="5"/>
  <c r="K152" i="5"/>
  <c r="J152" i="5"/>
  <c r="K151" i="5"/>
  <c r="J151" i="5"/>
  <c r="K150" i="5"/>
  <c r="J150" i="5"/>
  <c r="K149" i="5"/>
  <c r="J149" i="5"/>
  <c r="K148" i="5"/>
  <c r="J148" i="5"/>
  <c r="K147" i="5"/>
  <c r="J147" i="5"/>
  <c r="K146" i="5"/>
  <c r="J146" i="5"/>
  <c r="K145" i="5"/>
  <c r="J145" i="5"/>
  <c r="K144" i="5"/>
  <c r="J144" i="5"/>
  <c r="K143" i="5"/>
  <c r="J143" i="5"/>
  <c r="K142" i="5"/>
  <c r="J142" i="5"/>
  <c r="K141" i="5"/>
  <c r="J141" i="5"/>
  <c r="K122" i="5"/>
  <c r="K123" i="5"/>
  <c r="K124" i="5"/>
  <c r="K125" i="5"/>
  <c r="J125" i="5"/>
  <c r="J141" i="4"/>
  <c r="K141" i="4"/>
  <c r="J142" i="4"/>
  <c r="K142" i="4"/>
  <c r="J143" i="4"/>
  <c r="K143" i="4"/>
  <c r="J144" i="4"/>
  <c r="K144" i="4"/>
  <c r="J145" i="4"/>
  <c r="K145" i="4"/>
  <c r="J146" i="4"/>
  <c r="K146" i="4"/>
  <c r="J147" i="4"/>
  <c r="K147" i="4"/>
  <c r="H161" i="3"/>
  <c r="I161" i="3"/>
  <c r="H162" i="3"/>
  <c r="I162" i="3"/>
  <c r="H163" i="3"/>
  <c r="I163" i="3"/>
  <c r="H164" i="3"/>
  <c r="I164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H188" i="3"/>
  <c r="H189" i="3"/>
  <c r="H190" i="3"/>
  <c r="H191" i="3"/>
  <c r="H192" i="3"/>
  <c r="J95" i="9"/>
  <c r="J96" i="9"/>
  <c r="J97" i="9"/>
  <c r="J98" i="9"/>
  <c r="J99" i="9"/>
  <c r="J114" i="13"/>
  <c r="K114" i="13"/>
  <c r="J115" i="13"/>
  <c r="K115" i="13"/>
  <c r="J116" i="13"/>
  <c r="K116" i="13"/>
  <c r="J117" i="13"/>
  <c r="K117" i="13"/>
  <c r="J113" i="13"/>
  <c r="J83" i="10"/>
  <c r="K83" i="10"/>
  <c r="J84" i="10"/>
  <c r="K84" i="10"/>
  <c r="J85" i="10"/>
  <c r="K85" i="10"/>
  <c r="J87" i="10"/>
  <c r="K87" i="10"/>
  <c r="J88" i="10"/>
  <c r="K88" i="10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J160" i="6"/>
  <c r="J161" i="6"/>
  <c r="J162" i="6"/>
  <c r="J163" i="6"/>
  <c r="J164" i="6"/>
  <c r="J165" i="6"/>
  <c r="J166" i="6"/>
  <c r="J167" i="6"/>
  <c r="J168" i="6"/>
  <c r="J169" i="6"/>
  <c r="J170" i="6"/>
  <c r="K109" i="13"/>
  <c r="K110" i="13"/>
  <c r="K111" i="13"/>
  <c r="K112" i="13"/>
  <c r="K113" i="13"/>
  <c r="J112" i="13"/>
  <c r="J124" i="5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11" i="13"/>
  <c r="J110" i="13"/>
  <c r="J106" i="12"/>
  <c r="K106" i="12"/>
  <c r="J107" i="12"/>
  <c r="K107" i="12"/>
  <c r="J108" i="12"/>
  <c r="K108" i="12"/>
  <c r="J109" i="12"/>
  <c r="K109" i="12"/>
  <c r="J110" i="12"/>
  <c r="K110" i="12"/>
  <c r="J111" i="12"/>
  <c r="K111" i="12"/>
  <c r="J112" i="12"/>
  <c r="K112" i="12"/>
  <c r="J113" i="12"/>
  <c r="K113" i="12"/>
  <c r="J114" i="12"/>
  <c r="K114" i="12"/>
  <c r="J159" i="6"/>
  <c r="K153" i="6"/>
  <c r="K154" i="6"/>
  <c r="K155" i="6"/>
  <c r="K156" i="6"/>
  <c r="K157" i="6"/>
  <c r="J158" i="6"/>
  <c r="J113" i="14"/>
  <c r="J114" i="14"/>
  <c r="J115" i="14"/>
  <c r="J116" i="14"/>
  <c r="J117" i="14"/>
  <c r="J118" i="14"/>
  <c r="J119" i="14"/>
  <c r="J120" i="14"/>
  <c r="J121" i="14"/>
  <c r="J122" i="14"/>
  <c r="K113" i="14"/>
  <c r="K114" i="14"/>
  <c r="K115" i="14"/>
  <c r="K116" i="14"/>
  <c r="K117" i="14"/>
  <c r="K118" i="14"/>
  <c r="K119" i="14"/>
  <c r="K120" i="14"/>
  <c r="K121" i="14"/>
  <c r="K122" i="14"/>
  <c r="J78" i="10"/>
  <c r="K78" i="10"/>
  <c r="J79" i="10"/>
  <c r="K79" i="10"/>
  <c r="J80" i="10"/>
  <c r="K80" i="10"/>
  <c r="J81" i="10"/>
  <c r="K81" i="10"/>
  <c r="J82" i="10"/>
  <c r="K82" i="10"/>
  <c r="J86" i="10"/>
  <c r="K86" i="10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57" i="6"/>
  <c r="J156" i="6"/>
  <c r="J106" i="11"/>
  <c r="K106" i="11"/>
  <c r="J107" i="11"/>
  <c r="K107" i="11"/>
  <c r="J108" i="11"/>
  <c r="K108" i="11"/>
  <c r="J109" i="11"/>
  <c r="K109" i="11"/>
  <c r="J110" i="11"/>
  <c r="K110" i="11"/>
  <c r="J111" i="11"/>
  <c r="K111" i="11"/>
  <c r="J112" i="11"/>
  <c r="K112" i="11"/>
  <c r="J113" i="11"/>
  <c r="K113" i="11"/>
  <c r="J155" i="6"/>
  <c r="J123" i="5"/>
  <c r="J104" i="13"/>
  <c r="K104" i="13"/>
  <c r="J105" i="13"/>
  <c r="K105" i="13"/>
  <c r="J106" i="13"/>
  <c r="K106" i="13"/>
  <c r="J107" i="13"/>
  <c r="K107" i="13"/>
  <c r="J108" i="13"/>
  <c r="K108" i="13"/>
  <c r="J109" i="13"/>
  <c r="J118" i="13"/>
  <c r="K118" i="13"/>
  <c r="J137" i="4"/>
  <c r="K137" i="4"/>
  <c r="J138" i="4"/>
  <c r="K138" i="4"/>
  <c r="J139" i="4"/>
  <c r="K139" i="4"/>
  <c r="J140" i="4"/>
  <c r="K140" i="4"/>
  <c r="J154" i="6"/>
  <c r="J122" i="5"/>
  <c r="K157" i="14" l="1"/>
  <c r="J157" i="14"/>
  <c r="K156" i="14"/>
  <c r="J156" i="14"/>
  <c r="K155" i="14"/>
  <c r="J155" i="14"/>
  <c r="K147" i="13"/>
  <c r="J147" i="13"/>
  <c r="K146" i="13"/>
  <c r="J146" i="13"/>
  <c r="K145" i="13"/>
  <c r="J145" i="13"/>
  <c r="K144" i="13"/>
  <c r="J144" i="13"/>
  <c r="K143" i="13"/>
  <c r="J143" i="13"/>
  <c r="K141" i="12"/>
  <c r="J141" i="12"/>
  <c r="K140" i="12"/>
  <c r="J140" i="12"/>
  <c r="K139" i="12"/>
  <c r="J139" i="12"/>
  <c r="K146" i="11"/>
  <c r="J146" i="11"/>
  <c r="K145" i="11"/>
  <c r="J145" i="11"/>
  <c r="K144" i="11"/>
  <c r="J144" i="11"/>
  <c r="K143" i="11"/>
  <c r="J143" i="11"/>
  <c r="K142" i="11"/>
  <c r="J142" i="11"/>
  <c r="K141" i="11"/>
  <c r="J141" i="11"/>
  <c r="K149" i="2"/>
  <c r="J149" i="2"/>
  <c r="K148" i="2"/>
  <c r="J148" i="2"/>
  <c r="K147" i="2"/>
  <c r="J147" i="2"/>
  <c r="K146" i="2"/>
  <c r="J146" i="2"/>
  <c r="K145" i="2"/>
  <c r="J145" i="2"/>
  <c r="J125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J153" i="6"/>
  <c r="K121" i="5"/>
  <c r="J121" i="5"/>
  <c r="J152" i="6"/>
  <c r="J151" i="6" l="1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J129" i="7"/>
  <c r="K129" i="7"/>
  <c r="J130" i="7"/>
  <c r="K130" i="7"/>
  <c r="J131" i="7"/>
  <c r="K131" i="7"/>
  <c r="J132" i="7"/>
  <c r="K132" i="7"/>
  <c r="J133" i="7"/>
  <c r="K133" i="7"/>
  <c r="J134" i="7"/>
  <c r="K134" i="7"/>
  <c r="J135" i="7"/>
  <c r="K135" i="7"/>
  <c r="J136" i="7"/>
  <c r="K136" i="7"/>
  <c r="J137" i="7"/>
  <c r="K137" i="7"/>
  <c r="J138" i="7"/>
  <c r="K138" i="7"/>
  <c r="J139" i="7"/>
  <c r="K139" i="7"/>
  <c r="J140" i="7"/>
  <c r="K140" i="7"/>
  <c r="J141" i="7"/>
  <c r="K141" i="7"/>
  <c r="J142" i="7"/>
  <c r="K142" i="7"/>
  <c r="J143" i="7"/>
  <c r="K143" i="7"/>
  <c r="J144" i="7"/>
  <c r="K144" i="7"/>
  <c r="J145" i="7"/>
  <c r="K145" i="7"/>
  <c r="J146" i="7"/>
  <c r="K146" i="7"/>
  <c r="J147" i="7"/>
  <c r="K147" i="7"/>
  <c r="K150" i="6"/>
  <c r="K151" i="6"/>
  <c r="K152" i="6"/>
  <c r="J150" i="6"/>
  <c r="K148" i="6" l="1"/>
  <c r="K149" i="6"/>
  <c r="J149" i="6"/>
  <c r="J148" i="6"/>
  <c r="J115" i="5" l="1"/>
  <c r="K115" i="5"/>
  <c r="J116" i="5"/>
  <c r="K116" i="5"/>
  <c r="J117" i="5"/>
  <c r="K117" i="5"/>
  <c r="J118" i="5"/>
  <c r="K118" i="5"/>
  <c r="J119" i="5"/>
  <c r="K119" i="5"/>
  <c r="J120" i="5"/>
  <c r="K120" i="5"/>
  <c r="J123" i="4"/>
  <c r="J124" i="4"/>
  <c r="J126" i="4"/>
  <c r="J127" i="4"/>
  <c r="J128" i="4"/>
  <c r="J129" i="4"/>
  <c r="K122" i="4"/>
  <c r="K123" i="4"/>
  <c r="K124" i="4"/>
  <c r="J130" i="4"/>
  <c r="J131" i="4"/>
  <c r="J132" i="4"/>
  <c r="J133" i="4"/>
  <c r="J134" i="4"/>
  <c r="J135" i="4"/>
  <c r="J136" i="4"/>
  <c r="H150" i="3" l="1"/>
  <c r="I150" i="3"/>
  <c r="H151" i="3"/>
  <c r="I151" i="3"/>
  <c r="H152" i="3"/>
  <c r="I152" i="3"/>
  <c r="H153" i="3"/>
  <c r="I153" i="3"/>
  <c r="J130" i="2" l="1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10" i="14" l="1"/>
  <c r="K110" i="14"/>
  <c r="J111" i="14"/>
  <c r="K111" i="14"/>
  <c r="J112" i="14"/>
  <c r="K112" i="14"/>
  <c r="J123" i="14"/>
  <c r="K123" i="14"/>
  <c r="J124" i="14"/>
  <c r="K124" i="14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J114" i="5" l="1"/>
  <c r="K147" i="6"/>
  <c r="J147" i="6"/>
  <c r="K112" i="5"/>
  <c r="K113" i="5"/>
  <c r="K114" i="5"/>
  <c r="J113" i="5"/>
  <c r="K111" i="5"/>
  <c r="J112" i="5"/>
  <c r="J120" i="7" l="1"/>
  <c r="J121" i="7"/>
  <c r="J122" i="7"/>
  <c r="J123" i="7"/>
  <c r="J124" i="7"/>
  <c r="J125" i="7"/>
  <c r="J126" i="7"/>
  <c r="J127" i="7"/>
  <c r="J128" i="7"/>
  <c r="J110" i="7" l="1"/>
  <c r="J111" i="7"/>
  <c r="J112" i="7"/>
  <c r="J113" i="7"/>
  <c r="J114" i="7"/>
  <c r="J115" i="7"/>
  <c r="J116" i="7"/>
  <c r="J117" i="7"/>
  <c r="J118" i="7"/>
  <c r="J119" i="7"/>
  <c r="J109" i="7"/>
  <c r="J100" i="5"/>
  <c r="K100" i="5"/>
  <c r="K110" i="4"/>
  <c r="K111" i="4"/>
  <c r="K112" i="4"/>
  <c r="K113" i="4"/>
  <c r="K114" i="4"/>
  <c r="K115" i="4"/>
  <c r="K116" i="4"/>
  <c r="K117" i="4"/>
  <c r="K118" i="4"/>
  <c r="K119" i="4"/>
  <c r="K120" i="4"/>
  <c r="K121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10" i="4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26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K109" i="7"/>
  <c r="J94" i="7" l="1"/>
  <c r="K94" i="7"/>
  <c r="J95" i="7"/>
  <c r="K95" i="7"/>
  <c r="J96" i="7"/>
  <c r="K96" i="7"/>
  <c r="J97" i="7"/>
  <c r="K97" i="7"/>
  <c r="J98" i="7"/>
  <c r="K98" i="7"/>
  <c r="J99" i="7"/>
  <c r="K99" i="7"/>
  <c r="J100" i="7"/>
  <c r="K100" i="7"/>
  <c r="I130" i="3" l="1"/>
  <c r="I131" i="3"/>
  <c r="I127" i="3" l="1"/>
  <c r="I128" i="3"/>
  <c r="I129" i="3"/>
  <c r="I126" i="3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14" i="2"/>
  <c r="K114" i="2"/>
  <c r="J115" i="2"/>
  <c r="K115" i="2"/>
  <c r="J116" i="2"/>
  <c r="K116" i="2"/>
  <c r="J117" i="2"/>
  <c r="K117" i="2"/>
  <c r="K146" i="6" l="1"/>
  <c r="J146" i="6"/>
  <c r="K145" i="6"/>
  <c r="J145" i="6"/>
  <c r="K144" i="6"/>
  <c r="J144" i="6"/>
  <c r="K143" i="6"/>
  <c r="J143" i="6"/>
  <c r="K142" i="6"/>
  <c r="J142" i="6"/>
  <c r="K141" i="6"/>
  <c r="J141" i="6"/>
  <c r="K140" i="6"/>
  <c r="J140" i="6"/>
  <c r="K139" i="6"/>
  <c r="J139" i="6"/>
  <c r="K138" i="6"/>
  <c r="J138" i="6"/>
  <c r="K137" i="6"/>
  <c r="J137" i="6"/>
  <c r="K136" i="6"/>
  <c r="J136" i="6"/>
  <c r="K135" i="6"/>
  <c r="J135" i="6"/>
  <c r="K98" i="6"/>
  <c r="K99" i="6"/>
  <c r="K100" i="6"/>
  <c r="K104" i="6"/>
  <c r="J105" i="6"/>
  <c r="K105" i="6"/>
  <c r="J106" i="6"/>
  <c r="K106" i="6"/>
  <c r="J117" i="6"/>
  <c r="K117" i="6"/>
  <c r="J102" i="5" l="1"/>
  <c r="K102" i="5"/>
  <c r="J103" i="5"/>
  <c r="K103" i="5"/>
  <c r="J104" i="5"/>
  <c r="K104" i="5"/>
  <c r="J105" i="5"/>
  <c r="K105" i="5"/>
  <c r="J106" i="5"/>
  <c r="K106" i="5"/>
  <c r="J107" i="5"/>
  <c r="K107" i="5"/>
  <c r="J108" i="5"/>
  <c r="K108" i="5"/>
  <c r="J109" i="5"/>
  <c r="K109" i="5"/>
  <c r="J110" i="5"/>
  <c r="K110" i="5"/>
  <c r="J111" i="5"/>
  <c r="K101" i="5"/>
  <c r="J101" i="5"/>
  <c r="H103" i="3" l="1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J106" i="14" l="1"/>
  <c r="K106" i="14"/>
  <c r="J107" i="14"/>
  <c r="K107" i="14"/>
  <c r="J108" i="14"/>
  <c r="K108" i="14"/>
  <c r="J109" i="14"/>
  <c r="K109" i="14"/>
  <c r="J86" i="5" l="1"/>
  <c r="K86" i="5"/>
  <c r="J87" i="5"/>
  <c r="K87" i="5"/>
  <c r="J88" i="5"/>
  <c r="K88" i="5"/>
  <c r="J89" i="5"/>
  <c r="K89" i="5"/>
  <c r="J90" i="5"/>
  <c r="K90" i="5"/>
  <c r="J91" i="5"/>
  <c r="K91" i="5"/>
  <c r="K63" i="2"/>
  <c r="J63" i="2"/>
  <c r="K62" i="2"/>
  <c r="J62" i="2"/>
  <c r="K61" i="2"/>
  <c r="J61" i="2"/>
  <c r="K60" i="2"/>
  <c r="J60" i="2"/>
  <c r="K59" i="2"/>
  <c r="J59" i="2"/>
  <c r="K58" i="2"/>
  <c r="J58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84" i="9"/>
  <c r="J85" i="9"/>
  <c r="J86" i="9"/>
  <c r="J87" i="9"/>
  <c r="J88" i="9"/>
  <c r="J89" i="9"/>
  <c r="J90" i="9"/>
  <c r="J91" i="9"/>
  <c r="J92" i="9"/>
  <c r="J93" i="9"/>
  <c r="J94" i="9"/>
  <c r="J80" i="8"/>
  <c r="K80" i="8"/>
  <c r="J81" i="8"/>
  <c r="K81" i="8"/>
  <c r="J82" i="8"/>
  <c r="K82" i="8"/>
  <c r="J83" i="8"/>
  <c r="K83" i="8"/>
  <c r="J84" i="8"/>
  <c r="K84" i="8"/>
  <c r="J85" i="8"/>
  <c r="K85" i="8"/>
  <c r="J86" i="8"/>
  <c r="J99" i="12" l="1"/>
  <c r="K99" i="12"/>
  <c r="J100" i="12"/>
  <c r="K100" i="12"/>
  <c r="J101" i="12"/>
  <c r="K101" i="12"/>
  <c r="J102" i="12"/>
  <c r="K102" i="12"/>
  <c r="J103" i="12"/>
  <c r="K103" i="12"/>
  <c r="J104" i="12"/>
  <c r="K104" i="12"/>
  <c r="J105" i="12"/>
  <c r="K105" i="12"/>
  <c r="J115" i="12"/>
  <c r="K115" i="12"/>
  <c r="J116" i="12"/>
  <c r="K116" i="12"/>
  <c r="J82" i="5" l="1"/>
  <c r="K82" i="5"/>
  <c r="J83" i="5"/>
  <c r="K83" i="5"/>
  <c r="J84" i="5"/>
  <c r="K84" i="5"/>
  <c r="J85" i="5"/>
  <c r="K85" i="5"/>
  <c r="J100" i="14"/>
  <c r="K100" i="14"/>
  <c r="J101" i="14"/>
  <c r="K101" i="14"/>
  <c r="J102" i="14"/>
  <c r="K102" i="14"/>
  <c r="J103" i="14"/>
  <c r="K103" i="14"/>
  <c r="J104" i="14"/>
  <c r="K104" i="14"/>
  <c r="J105" i="14"/>
  <c r="K105" i="14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J98" i="13"/>
  <c r="K98" i="13"/>
  <c r="J99" i="13"/>
  <c r="K99" i="13"/>
  <c r="J100" i="13"/>
  <c r="K100" i="13"/>
  <c r="J101" i="13"/>
  <c r="K101" i="13"/>
  <c r="J102" i="13"/>
  <c r="K102" i="13"/>
  <c r="J103" i="13"/>
  <c r="K103" i="13"/>
  <c r="K59" i="10" l="1"/>
  <c r="K60" i="10"/>
  <c r="K61" i="10"/>
  <c r="K62" i="10"/>
  <c r="K63" i="10"/>
  <c r="K64" i="10"/>
  <c r="K65" i="10"/>
  <c r="K66" i="10"/>
  <c r="K67" i="10"/>
  <c r="K68" i="10"/>
  <c r="K69" i="10"/>
  <c r="K70" i="10"/>
  <c r="K71" i="10"/>
  <c r="J73" i="10"/>
  <c r="K73" i="10"/>
  <c r="J74" i="10"/>
  <c r="K74" i="10"/>
  <c r="J75" i="10"/>
  <c r="K75" i="10"/>
  <c r="J76" i="10"/>
  <c r="K76" i="10"/>
  <c r="J77" i="10"/>
  <c r="K77" i="10"/>
  <c r="K70" i="8"/>
  <c r="K71" i="8"/>
  <c r="K72" i="8"/>
  <c r="K73" i="8"/>
  <c r="K74" i="8"/>
  <c r="K75" i="8"/>
  <c r="K76" i="8"/>
  <c r="K77" i="8"/>
  <c r="J73" i="8"/>
  <c r="J95" i="11" l="1"/>
  <c r="K95" i="11"/>
  <c r="J96" i="11"/>
  <c r="K96" i="11"/>
  <c r="J97" i="11"/>
  <c r="K97" i="11"/>
  <c r="J98" i="11"/>
  <c r="K98" i="11"/>
  <c r="J99" i="11"/>
  <c r="K99" i="11"/>
  <c r="J100" i="11"/>
  <c r="K100" i="11"/>
  <c r="J101" i="11"/>
  <c r="K101" i="11"/>
  <c r="J102" i="11"/>
  <c r="K102" i="11"/>
  <c r="J103" i="11"/>
  <c r="K103" i="11"/>
  <c r="J104" i="11"/>
  <c r="K104" i="11"/>
  <c r="J105" i="11"/>
  <c r="K105" i="11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95" i="12"/>
  <c r="K95" i="12"/>
  <c r="J96" i="12"/>
  <c r="K96" i="12"/>
  <c r="J97" i="12"/>
  <c r="K97" i="12"/>
  <c r="J98" i="12"/>
  <c r="K98" i="12"/>
  <c r="J94" i="14"/>
  <c r="K94" i="14"/>
  <c r="J95" i="14"/>
  <c r="K95" i="14"/>
  <c r="J96" i="14"/>
  <c r="K96" i="14"/>
  <c r="J97" i="14"/>
  <c r="K97" i="14"/>
  <c r="J98" i="14"/>
  <c r="K98" i="14"/>
  <c r="J99" i="14"/>
  <c r="K99" i="14"/>
  <c r="J68" i="10" l="1"/>
  <c r="J69" i="10"/>
  <c r="J70" i="10"/>
  <c r="J71" i="10"/>
  <c r="J72" i="10"/>
  <c r="K72" i="10"/>
  <c r="J89" i="14"/>
  <c r="K89" i="14"/>
  <c r="J90" i="14"/>
  <c r="K90" i="14"/>
  <c r="J91" i="14"/>
  <c r="K91" i="14"/>
  <c r="J92" i="14"/>
  <c r="K92" i="14"/>
  <c r="J93" i="14"/>
  <c r="K93" i="14"/>
  <c r="K64" i="8" l="1"/>
  <c r="K65" i="8"/>
  <c r="K66" i="8"/>
  <c r="K67" i="8"/>
  <c r="K68" i="8"/>
  <c r="K69" i="8"/>
  <c r="J67" i="8"/>
  <c r="J72" i="8"/>
  <c r="J74" i="8"/>
  <c r="J75" i="8"/>
  <c r="J76" i="8"/>
  <c r="J77" i="8"/>
  <c r="J78" i="8"/>
  <c r="K78" i="8"/>
  <c r="J79" i="8"/>
  <c r="K79" i="8"/>
  <c r="J87" i="13"/>
  <c r="K87" i="13"/>
  <c r="J88" i="13"/>
  <c r="K88" i="13"/>
  <c r="J89" i="13"/>
  <c r="K89" i="13"/>
  <c r="J90" i="13"/>
  <c r="K90" i="13"/>
  <c r="J91" i="13"/>
  <c r="K91" i="13"/>
  <c r="J92" i="13"/>
  <c r="K92" i="13"/>
  <c r="J93" i="13"/>
  <c r="K93" i="13"/>
  <c r="J94" i="13"/>
  <c r="K94" i="13"/>
  <c r="J95" i="13"/>
  <c r="K95" i="13"/>
  <c r="J96" i="13"/>
  <c r="K96" i="13"/>
  <c r="J97" i="13"/>
  <c r="K97" i="13"/>
  <c r="J88" i="12"/>
  <c r="K88" i="12"/>
  <c r="J89" i="12"/>
  <c r="K89" i="12"/>
  <c r="J90" i="12"/>
  <c r="K90" i="12"/>
  <c r="J91" i="12"/>
  <c r="K91" i="12"/>
  <c r="J92" i="12"/>
  <c r="K92" i="12"/>
  <c r="J93" i="12"/>
  <c r="K93" i="12"/>
  <c r="J94" i="12"/>
  <c r="K94" i="12"/>
  <c r="J89" i="11"/>
  <c r="K89" i="11"/>
  <c r="J90" i="11"/>
  <c r="K90" i="11"/>
  <c r="J91" i="11"/>
  <c r="K91" i="11"/>
  <c r="J92" i="11"/>
  <c r="K92" i="11"/>
  <c r="J93" i="11"/>
  <c r="K93" i="11"/>
  <c r="J94" i="11"/>
  <c r="K94" i="11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J76" i="9"/>
  <c r="J77" i="9"/>
  <c r="J78" i="9"/>
  <c r="J79" i="9"/>
  <c r="J80" i="9"/>
  <c r="J81" i="9"/>
  <c r="J82" i="9"/>
  <c r="J83" i="9"/>
  <c r="J75" i="5"/>
  <c r="K75" i="5"/>
  <c r="J76" i="5"/>
  <c r="K76" i="5"/>
  <c r="J77" i="5"/>
  <c r="K77" i="5"/>
  <c r="J78" i="5"/>
  <c r="K78" i="5"/>
  <c r="J79" i="5"/>
  <c r="K79" i="5"/>
  <c r="J80" i="5"/>
  <c r="K80" i="5"/>
  <c r="J81" i="5"/>
  <c r="K81" i="5"/>
  <c r="J82" i="14" l="1"/>
  <c r="K82" i="14"/>
  <c r="J83" i="14"/>
  <c r="K83" i="14"/>
  <c r="J84" i="14"/>
  <c r="K84" i="14"/>
  <c r="J85" i="14"/>
  <c r="K85" i="14"/>
  <c r="J86" i="14"/>
  <c r="K86" i="14"/>
  <c r="J87" i="14"/>
  <c r="K87" i="14"/>
  <c r="J88" i="14"/>
  <c r="K88" i="14"/>
  <c r="J83" i="11"/>
  <c r="K83" i="11"/>
  <c r="J84" i="11"/>
  <c r="K84" i="11"/>
  <c r="J85" i="11"/>
  <c r="K85" i="11"/>
  <c r="J86" i="11"/>
  <c r="K86" i="11"/>
  <c r="J87" i="11"/>
  <c r="K87" i="11"/>
  <c r="J88" i="11"/>
  <c r="K88" i="11"/>
  <c r="J82" i="13" l="1"/>
  <c r="K82" i="13"/>
  <c r="J83" i="13"/>
  <c r="K83" i="13"/>
  <c r="J84" i="13"/>
  <c r="K84" i="13"/>
  <c r="J85" i="13"/>
  <c r="K85" i="13"/>
  <c r="J86" i="13"/>
  <c r="K86" i="13"/>
  <c r="J80" i="14" l="1"/>
  <c r="K80" i="14"/>
  <c r="J81" i="14"/>
  <c r="K81" i="14"/>
  <c r="J83" i="12"/>
  <c r="K83" i="12"/>
  <c r="J84" i="12"/>
  <c r="K84" i="12"/>
  <c r="J85" i="12"/>
  <c r="K85" i="12"/>
  <c r="J86" i="12"/>
  <c r="K86" i="12"/>
  <c r="J87" i="12"/>
  <c r="K87" i="12"/>
  <c r="J77" i="11" l="1"/>
  <c r="K77" i="11"/>
  <c r="J78" i="11"/>
  <c r="K78" i="11"/>
  <c r="J79" i="11"/>
  <c r="K79" i="11"/>
  <c r="J80" i="11"/>
  <c r="K80" i="11"/>
  <c r="J81" i="11"/>
  <c r="K81" i="11"/>
  <c r="J82" i="11"/>
  <c r="K82" i="11"/>
  <c r="J63" i="10"/>
  <c r="J64" i="10"/>
  <c r="J65" i="10"/>
  <c r="J66" i="10"/>
  <c r="J67" i="10"/>
  <c r="J70" i="5"/>
  <c r="K70" i="5"/>
  <c r="J71" i="5"/>
  <c r="K71" i="5"/>
  <c r="J72" i="5"/>
  <c r="K72" i="5"/>
  <c r="J73" i="5"/>
  <c r="K73" i="5"/>
  <c r="J74" i="5"/>
  <c r="K74" i="5"/>
  <c r="J74" i="14" l="1"/>
  <c r="K74" i="14"/>
  <c r="J75" i="14"/>
  <c r="K75" i="14"/>
  <c r="J76" i="14"/>
  <c r="K76" i="14"/>
  <c r="J77" i="14"/>
  <c r="K77" i="14"/>
  <c r="J78" i="14"/>
  <c r="K78" i="14"/>
  <c r="J79" i="14"/>
  <c r="K79" i="14"/>
  <c r="J77" i="12"/>
  <c r="K77" i="12"/>
  <c r="J78" i="12"/>
  <c r="K78" i="12"/>
  <c r="J79" i="12"/>
  <c r="K79" i="12"/>
  <c r="J80" i="12"/>
  <c r="K80" i="12"/>
  <c r="J81" i="12"/>
  <c r="K81" i="12"/>
  <c r="J82" i="12"/>
  <c r="K82" i="12"/>
  <c r="J73" i="11" l="1"/>
  <c r="K73" i="11"/>
  <c r="J74" i="11"/>
  <c r="K74" i="11"/>
  <c r="J75" i="11"/>
  <c r="K75" i="11"/>
  <c r="J76" i="11"/>
  <c r="K76" i="11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J66" i="14"/>
  <c r="J65" i="14"/>
  <c r="J64" i="14"/>
  <c r="J74" i="12" l="1"/>
  <c r="K74" i="12"/>
  <c r="J75" i="12"/>
  <c r="K75" i="12"/>
  <c r="J76" i="12"/>
  <c r="K76" i="12"/>
  <c r="J69" i="9" l="1"/>
  <c r="J70" i="9"/>
  <c r="J71" i="9"/>
  <c r="J72" i="9"/>
  <c r="J73" i="9"/>
  <c r="J74" i="9"/>
  <c r="J75" i="9"/>
  <c r="K60" i="14" l="1"/>
  <c r="J66" i="13" l="1"/>
  <c r="K66" i="13"/>
  <c r="J67" i="13"/>
  <c r="K67" i="13"/>
  <c r="J68" i="13"/>
  <c r="K68" i="13"/>
  <c r="J69" i="13"/>
  <c r="K69" i="13"/>
  <c r="J70" i="13"/>
  <c r="K70" i="13"/>
  <c r="J71" i="13"/>
  <c r="K71" i="13"/>
  <c r="J72" i="13"/>
  <c r="K72" i="13"/>
  <c r="J73" i="13"/>
  <c r="K73" i="13"/>
  <c r="J74" i="13"/>
  <c r="K74" i="13"/>
  <c r="J75" i="13"/>
  <c r="K75" i="13"/>
  <c r="J76" i="13"/>
  <c r="K76" i="13"/>
  <c r="J77" i="13"/>
  <c r="K77" i="13"/>
  <c r="J78" i="13"/>
  <c r="K78" i="13"/>
  <c r="J79" i="13"/>
  <c r="K79" i="13"/>
  <c r="J80" i="13"/>
  <c r="K80" i="13"/>
  <c r="J81" i="13"/>
  <c r="K81" i="13"/>
  <c r="J64" i="9"/>
  <c r="H74" i="3" l="1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J60" i="7" l="1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J90" i="7"/>
  <c r="K90" i="7"/>
  <c r="J91" i="7"/>
  <c r="K91" i="7"/>
  <c r="J92" i="7"/>
  <c r="K92" i="7"/>
  <c r="J93" i="7"/>
  <c r="K93" i="7"/>
  <c r="K50" i="7"/>
  <c r="K51" i="7"/>
  <c r="K52" i="7"/>
  <c r="K53" i="7"/>
  <c r="K54" i="7"/>
  <c r="K55" i="7"/>
  <c r="K56" i="7"/>
  <c r="K57" i="7"/>
  <c r="K58" i="7"/>
  <c r="J61" i="14"/>
  <c r="J62" i="14"/>
  <c r="J63" i="14"/>
  <c r="J67" i="14"/>
  <c r="J68" i="14"/>
  <c r="J69" i="14"/>
  <c r="J70" i="14"/>
  <c r="J71" i="14"/>
  <c r="J72" i="14"/>
  <c r="J73" i="14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J99" i="6"/>
  <c r="J100" i="6"/>
  <c r="J104" i="6"/>
  <c r="J73" i="4"/>
  <c r="K73" i="4"/>
  <c r="J74" i="4"/>
  <c r="K74" i="4"/>
  <c r="J75" i="4"/>
  <c r="K75" i="4"/>
  <c r="J76" i="4"/>
  <c r="K76" i="4"/>
  <c r="J77" i="4"/>
  <c r="K77" i="4"/>
  <c r="J78" i="4"/>
  <c r="K78" i="4"/>
  <c r="J79" i="4"/>
  <c r="K79" i="4"/>
  <c r="J80" i="4"/>
  <c r="K80" i="4"/>
  <c r="J81" i="4"/>
  <c r="K81" i="4"/>
  <c r="J82" i="4"/>
  <c r="K82" i="4"/>
  <c r="J83" i="4"/>
  <c r="K83" i="4"/>
  <c r="J84" i="4"/>
  <c r="K84" i="4"/>
  <c r="J85" i="4"/>
  <c r="K85" i="4"/>
  <c r="J86" i="4"/>
  <c r="K86" i="4"/>
  <c r="J87" i="4"/>
  <c r="K87" i="4"/>
  <c r="J88" i="4"/>
  <c r="K88" i="4"/>
  <c r="J89" i="4"/>
  <c r="K89" i="4"/>
  <c r="J90" i="4"/>
  <c r="K90" i="4"/>
  <c r="J91" i="4"/>
  <c r="K91" i="4"/>
  <c r="J92" i="4"/>
  <c r="K92" i="4"/>
  <c r="J93" i="4"/>
  <c r="K93" i="4"/>
  <c r="J94" i="4"/>
  <c r="K94" i="4"/>
  <c r="J95" i="4"/>
  <c r="K95" i="4"/>
  <c r="J96" i="4"/>
  <c r="K96" i="4"/>
  <c r="J97" i="4"/>
  <c r="K97" i="4"/>
  <c r="J98" i="4"/>
  <c r="K98" i="4"/>
  <c r="J99" i="4"/>
  <c r="K99" i="4"/>
  <c r="J100" i="4"/>
  <c r="K100" i="4"/>
  <c r="J101" i="4"/>
  <c r="K101" i="4"/>
  <c r="J66" i="12" l="1"/>
  <c r="K66" i="12"/>
  <c r="J67" i="12"/>
  <c r="K67" i="12"/>
  <c r="J68" i="12"/>
  <c r="K68" i="12"/>
  <c r="J69" i="12"/>
  <c r="K69" i="12"/>
  <c r="J70" i="12"/>
  <c r="K70" i="12"/>
  <c r="J71" i="12"/>
  <c r="K71" i="12"/>
  <c r="J72" i="12"/>
  <c r="K72" i="12"/>
  <c r="J73" i="12"/>
  <c r="K73" i="1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56" i="8" l="1"/>
  <c r="K56" i="8"/>
  <c r="J57" i="8"/>
  <c r="K57" i="8"/>
  <c r="J58" i="8"/>
  <c r="K58" i="8"/>
  <c r="J59" i="8"/>
  <c r="K59" i="8"/>
  <c r="J60" i="8"/>
  <c r="K60" i="8"/>
  <c r="J61" i="8"/>
  <c r="K61" i="8"/>
  <c r="J62" i="8"/>
  <c r="K62" i="8"/>
  <c r="J63" i="8"/>
  <c r="K63" i="8"/>
  <c r="J64" i="8"/>
  <c r="J65" i="8"/>
  <c r="J66" i="8"/>
  <c r="J68" i="8"/>
  <c r="J69" i="8"/>
  <c r="J70" i="8"/>
  <c r="J71" i="8"/>
  <c r="J67" i="4"/>
  <c r="K67" i="4"/>
  <c r="J68" i="4"/>
  <c r="K68" i="4"/>
  <c r="J69" i="4"/>
  <c r="K69" i="4"/>
  <c r="J70" i="4"/>
  <c r="K70" i="4"/>
  <c r="J71" i="4"/>
  <c r="K71" i="4"/>
  <c r="J72" i="4"/>
  <c r="K72" i="4"/>
  <c r="H69" i="3"/>
  <c r="I69" i="3"/>
  <c r="H70" i="3"/>
  <c r="I70" i="3"/>
  <c r="H71" i="3"/>
  <c r="I71" i="3"/>
  <c r="H72" i="3"/>
  <c r="I72" i="3"/>
  <c r="H73" i="3"/>
  <c r="I73" i="3"/>
  <c r="J61" i="12" l="1"/>
  <c r="K61" i="12"/>
  <c r="J62" i="12"/>
  <c r="K62" i="12"/>
  <c r="J63" i="12"/>
  <c r="K63" i="12"/>
  <c r="J64" i="12"/>
  <c r="K64" i="12"/>
  <c r="J65" i="12"/>
  <c r="K65" i="12"/>
  <c r="K40" i="5"/>
  <c r="K41" i="5"/>
  <c r="K42" i="5"/>
  <c r="K43" i="5"/>
  <c r="K44" i="5"/>
  <c r="K45" i="5"/>
  <c r="K54" i="5"/>
  <c r="K55" i="5"/>
  <c r="K56" i="5"/>
  <c r="K57" i="5"/>
  <c r="J54" i="7"/>
  <c r="J55" i="7"/>
  <c r="J56" i="7"/>
  <c r="J57" i="7"/>
  <c r="J58" i="7"/>
  <c r="J59" i="7"/>
  <c r="K59" i="7"/>
  <c r="K40" i="7"/>
  <c r="K41" i="7"/>
  <c r="K54" i="8"/>
  <c r="K55" i="8"/>
  <c r="K57" i="6" l="1"/>
  <c r="K58" i="6"/>
  <c r="K59" i="6"/>
  <c r="K60" i="6"/>
  <c r="K61" i="6"/>
  <c r="J58" i="6"/>
  <c r="H67" i="3" l="1"/>
  <c r="I67" i="3"/>
  <c r="H68" i="3"/>
  <c r="I68" i="3"/>
  <c r="J60" i="11" l="1"/>
  <c r="K60" i="11"/>
  <c r="J61" i="11"/>
  <c r="K61" i="11"/>
  <c r="J62" i="11"/>
  <c r="K62" i="11"/>
  <c r="J63" i="11"/>
  <c r="K63" i="11"/>
  <c r="J64" i="11"/>
  <c r="K64" i="11"/>
  <c r="J65" i="11"/>
  <c r="K65" i="11"/>
  <c r="J66" i="11"/>
  <c r="K66" i="11"/>
  <c r="J67" i="11"/>
  <c r="K67" i="11"/>
  <c r="J68" i="11"/>
  <c r="K68" i="11"/>
  <c r="J69" i="11"/>
  <c r="K69" i="11"/>
  <c r="J70" i="11"/>
  <c r="K70" i="11"/>
  <c r="J71" i="11"/>
  <c r="K71" i="11"/>
  <c r="J72" i="11"/>
  <c r="K72" i="11"/>
  <c r="J59" i="6"/>
  <c r="J60" i="6"/>
  <c r="J61" i="6"/>
  <c r="J62" i="6"/>
  <c r="K62" i="6"/>
  <c r="J63" i="6"/>
  <c r="K63" i="6"/>
  <c r="J64" i="6"/>
  <c r="K64" i="6"/>
  <c r="J65" i="6"/>
  <c r="K65" i="6"/>
  <c r="J57" i="9" l="1"/>
  <c r="J58" i="9"/>
  <c r="J59" i="9"/>
  <c r="J60" i="9"/>
  <c r="J61" i="9"/>
  <c r="J62" i="9"/>
  <c r="J63" i="9"/>
  <c r="J65" i="9"/>
  <c r="J66" i="9"/>
  <c r="J67" i="9"/>
  <c r="J68" i="9"/>
  <c r="J51" i="7"/>
  <c r="J52" i="7"/>
  <c r="J53" i="7"/>
  <c r="K55" i="6"/>
  <c r="K56" i="6"/>
  <c r="J55" i="6"/>
  <c r="J56" i="6"/>
  <c r="J57" i="6"/>
  <c r="J54" i="5"/>
  <c r="J55" i="5"/>
  <c r="J56" i="5"/>
  <c r="J57" i="5"/>
  <c r="J58" i="5"/>
  <c r="K58" i="5"/>
  <c r="J59" i="5"/>
  <c r="K59" i="5"/>
  <c r="J60" i="5"/>
  <c r="K60" i="5"/>
  <c r="J61" i="5"/>
  <c r="K61" i="5"/>
  <c r="J49" i="10" l="1"/>
  <c r="K49" i="10"/>
  <c r="J50" i="10"/>
  <c r="K50" i="10"/>
  <c r="J51" i="10"/>
  <c r="K51" i="10"/>
  <c r="J52" i="10"/>
  <c r="K52" i="10"/>
  <c r="J53" i="10"/>
  <c r="K53" i="10"/>
  <c r="J54" i="10"/>
  <c r="K54" i="10"/>
  <c r="J55" i="10"/>
  <c r="K55" i="10"/>
  <c r="J56" i="10"/>
  <c r="K56" i="10"/>
  <c r="J57" i="10"/>
  <c r="K57" i="10"/>
  <c r="J58" i="10"/>
  <c r="K58" i="10"/>
  <c r="J59" i="10"/>
  <c r="J60" i="10"/>
  <c r="J61" i="10"/>
  <c r="J62" i="10"/>
  <c r="J61" i="4" l="1"/>
  <c r="K61" i="4"/>
  <c r="J62" i="4"/>
  <c r="K62" i="4"/>
  <c r="J63" i="4"/>
  <c r="K63" i="4"/>
  <c r="J64" i="4"/>
  <c r="K64" i="4"/>
  <c r="J65" i="4"/>
  <c r="K65" i="4"/>
  <c r="J66" i="4"/>
  <c r="K66" i="4"/>
  <c r="H62" i="3"/>
  <c r="I62" i="3"/>
  <c r="H63" i="3"/>
  <c r="I63" i="3"/>
  <c r="H64" i="3"/>
  <c r="I64" i="3"/>
  <c r="H65" i="3"/>
  <c r="I65" i="3"/>
  <c r="H66" i="3"/>
  <c r="I66" i="3"/>
  <c r="K54" i="6" l="1"/>
  <c r="J54" i="6"/>
  <c r="K53" i="6"/>
  <c r="J53" i="6"/>
  <c r="J56" i="9"/>
  <c r="J55" i="9"/>
  <c r="J54" i="9"/>
  <c r="J53" i="9"/>
  <c r="J52" i="9"/>
  <c r="K60" i="4" l="1"/>
  <c r="J60" i="4"/>
  <c r="K59" i="4"/>
  <c r="J59" i="4"/>
  <c r="K58" i="4"/>
  <c r="J58" i="4"/>
  <c r="K57" i="4"/>
  <c r="J57" i="4"/>
  <c r="K56" i="4"/>
  <c r="J56" i="4"/>
  <c r="I61" i="3"/>
  <c r="H61" i="3"/>
  <c r="I60" i="3"/>
  <c r="H60" i="3"/>
  <c r="I59" i="3"/>
  <c r="H59" i="3"/>
  <c r="I58" i="3"/>
  <c r="H58" i="3"/>
  <c r="I57" i="3"/>
  <c r="H57" i="3"/>
  <c r="I56" i="3"/>
  <c r="H56" i="3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K22" i="2" l="1"/>
  <c r="J54" i="8" l="1"/>
  <c r="J55" i="8"/>
  <c r="J50" i="7"/>
  <c r="J49" i="14" l="1"/>
  <c r="K49" i="14"/>
  <c r="J58" i="14"/>
  <c r="K58" i="14"/>
  <c r="J59" i="14"/>
  <c r="K59" i="14"/>
  <c r="J60" i="14"/>
  <c r="J49" i="13"/>
  <c r="K49" i="13"/>
  <c r="J58" i="13"/>
  <c r="K58" i="13"/>
  <c r="J59" i="13"/>
  <c r="K59" i="13"/>
  <c r="J60" i="13"/>
  <c r="K60" i="13"/>
  <c r="J61" i="13"/>
  <c r="K61" i="13"/>
  <c r="J62" i="13"/>
  <c r="K62" i="13"/>
  <c r="J63" i="13"/>
  <c r="K63" i="13"/>
  <c r="J64" i="13"/>
  <c r="K64" i="13"/>
  <c r="J65" i="13"/>
  <c r="K65" i="13"/>
  <c r="J51" i="12"/>
  <c r="K51" i="12"/>
  <c r="J52" i="12"/>
  <c r="K52" i="12"/>
  <c r="J50" i="11" l="1"/>
  <c r="K50" i="11"/>
  <c r="J51" i="11"/>
  <c r="K51" i="11"/>
  <c r="J18" i="2"/>
  <c r="K18" i="2"/>
  <c r="J19" i="2"/>
  <c r="K19" i="2"/>
  <c r="J20" i="2"/>
  <c r="K20" i="2"/>
  <c r="J21" i="2"/>
  <c r="K21" i="2"/>
  <c r="J22" i="2"/>
  <c r="J23" i="2"/>
  <c r="K23" i="2"/>
  <c r="K39" i="6" l="1"/>
  <c r="K40" i="6"/>
  <c r="J39" i="6"/>
  <c r="J48" i="12"/>
  <c r="K48" i="12"/>
  <c r="J49" i="12"/>
  <c r="K49" i="12"/>
  <c r="J50" i="12"/>
  <c r="K50" i="12"/>
  <c r="J46" i="11"/>
  <c r="K46" i="11"/>
  <c r="J47" i="11"/>
  <c r="K47" i="11"/>
  <c r="J48" i="11"/>
  <c r="K48" i="11"/>
  <c r="J49" i="11"/>
  <c r="K49" i="11"/>
  <c r="J42" i="8"/>
  <c r="K42" i="8"/>
  <c r="J43" i="8"/>
  <c r="K43" i="8"/>
  <c r="J44" i="8"/>
  <c r="K44" i="8"/>
  <c r="J45" i="8"/>
  <c r="K45" i="8"/>
  <c r="K39" i="11" l="1"/>
  <c r="K40" i="11"/>
  <c r="K41" i="11"/>
  <c r="K42" i="11"/>
  <c r="K43" i="11"/>
  <c r="J43" i="14" l="1"/>
  <c r="K43" i="14"/>
  <c r="J44" i="14"/>
  <c r="K44" i="14"/>
  <c r="J45" i="14"/>
  <c r="K45" i="14"/>
  <c r="J46" i="14"/>
  <c r="K46" i="14"/>
  <c r="J47" i="14"/>
  <c r="K47" i="14"/>
  <c r="J48" i="14"/>
  <c r="K48" i="14"/>
  <c r="K35" i="6"/>
  <c r="K36" i="6"/>
  <c r="K37" i="6"/>
  <c r="K38" i="6"/>
  <c r="J41" i="9"/>
  <c r="K41" i="9"/>
  <c r="J42" i="9"/>
  <c r="K42" i="9"/>
  <c r="J43" i="9"/>
  <c r="K43" i="9"/>
  <c r="J44" i="5"/>
  <c r="J45" i="5"/>
  <c r="J36" i="10"/>
  <c r="K36" i="10"/>
  <c r="J37" i="10"/>
  <c r="K37" i="10"/>
  <c r="J38" i="10"/>
  <c r="K38" i="10"/>
  <c r="J39" i="10"/>
  <c r="K39" i="10"/>
  <c r="J40" i="10"/>
  <c r="K40" i="10"/>
  <c r="J38" i="7"/>
  <c r="K38" i="7"/>
  <c r="J39" i="7"/>
  <c r="K39" i="7"/>
  <c r="J40" i="7"/>
  <c r="J41" i="7"/>
  <c r="J40" i="6"/>
  <c r="J41" i="6"/>
  <c r="K41" i="6"/>
  <c r="J42" i="6"/>
  <c r="K42" i="6"/>
  <c r="J43" i="6"/>
  <c r="K43" i="6"/>
  <c r="J44" i="6"/>
  <c r="K44" i="6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J9" i="8" l="1"/>
  <c r="J38" i="13" l="1"/>
  <c r="K38" i="13"/>
  <c r="J39" i="13"/>
  <c r="K39" i="13"/>
  <c r="J40" i="13"/>
  <c r="K40" i="13"/>
  <c r="J41" i="13"/>
  <c r="K41" i="13"/>
  <c r="J42" i="13"/>
  <c r="K42" i="13"/>
  <c r="J43" i="13"/>
  <c r="K43" i="13"/>
  <c r="J44" i="13"/>
  <c r="K44" i="13"/>
  <c r="J45" i="13"/>
  <c r="K45" i="13"/>
  <c r="J46" i="13"/>
  <c r="K46" i="13"/>
  <c r="J47" i="13"/>
  <c r="K47" i="13"/>
  <c r="J48" i="13"/>
  <c r="K48" i="13"/>
  <c r="J40" i="12"/>
  <c r="K40" i="12"/>
  <c r="J41" i="12"/>
  <c r="K41" i="12"/>
  <c r="J42" i="12"/>
  <c r="K42" i="12"/>
  <c r="J43" i="12"/>
  <c r="K43" i="12"/>
  <c r="J44" i="12"/>
  <c r="K44" i="12"/>
  <c r="J45" i="12"/>
  <c r="K45" i="12"/>
  <c r="J46" i="12"/>
  <c r="K46" i="12"/>
  <c r="J47" i="12"/>
  <c r="K47" i="12"/>
  <c r="J39" i="11"/>
  <c r="J40" i="11"/>
  <c r="J41" i="11"/>
  <c r="J42" i="11"/>
  <c r="J43" i="11"/>
  <c r="J44" i="11"/>
  <c r="K44" i="11"/>
  <c r="J45" i="11"/>
  <c r="K45" i="11"/>
  <c r="J12" i="2"/>
  <c r="K12" i="2"/>
  <c r="J13" i="2"/>
  <c r="K13" i="2"/>
  <c r="J14" i="2"/>
  <c r="K14" i="2"/>
  <c r="J15" i="2"/>
  <c r="K15" i="2"/>
  <c r="J16" i="2"/>
  <c r="K16" i="2"/>
  <c r="J17" i="2"/>
  <c r="K17" i="2"/>
  <c r="J41" i="4" l="1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36" i="14"/>
  <c r="K36" i="14"/>
  <c r="J37" i="14"/>
  <c r="K37" i="14"/>
  <c r="J38" i="14"/>
  <c r="K38" i="14"/>
  <c r="J39" i="14"/>
  <c r="K39" i="14"/>
  <c r="J40" i="14"/>
  <c r="K40" i="14"/>
  <c r="J41" i="14"/>
  <c r="K41" i="14"/>
  <c r="J42" i="14"/>
  <c r="K42" i="14"/>
  <c r="J39" i="5"/>
  <c r="K39" i="5"/>
  <c r="J40" i="5"/>
  <c r="J41" i="5"/>
  <c r="J42" i="5"/>
  <c r="J43" i="5"/>
  <c r="H37" i="3"/>
  <c r="I37" i="3"/>
  <c r="H38" i="3"/>
  <c r="I38" i="3"/>
  <c r="H39" i="3"/>
  <c r="I39" i="3"/>
  <c r="H40" i="3"/>
  <c r="I40" i="3"/>
  <c r="K27" i="14" l="1"/>
  <c r="K28" i="14"/>
  <c r="K29" i="14"/>
  <c r="K30" i="14"/>
  <c r="K31" i="14"/>
  <c r="K32" i="14"/>
  <c r="K33" i="14"/>
  <c r="K34" i="14"/>
  <c r="J36" i="8"/>
  <c r="K36" i="8"/>
  <c r="J37" i="8"/>
  <c r="K37" i="8"/>
  <c r="J38" i="8"/>
  <c r="K38" i="8"/>
  <c r="J39" i="8"/>
  <c r="K39" i="8"/>
  <c r="J40" i="8"/>
  <c r="K40" i="8"/>
  <c r="J41" i="8"/>
  <c r="K41" i="8"/>
  <c r="J32" i="7"/>
  <c r="K32" i="7"/>
  <c r="J33" i="7"/>
  <c r="K33" i="7"/>
  <c r="J34" i="7"/>
  <c r="K34" i="7"/>
  <c r="J35" i="7"/>
  <c r="K35" i="7"/>
  <c r="J36" i="7"/>
  <c r="K36" i="7"/>
  <c r="J37" i="7"/>
  <c r="K37" i="7"/>
  <c r="J35" i="6"/>
  <c r="J36" i="6"/>
  <c r="J37" i="6"/>
  <c r="J38" i="6"/>
  <c r="J32" i="13" l="1"/>
  <c r="K32" i="13"/>
  <c r="J33" i="13"/>
  <c r="K33" i="13"/>
  <c r="J34" i="13"/>
  <c r="K34" i="13"/>
  <c r="J35" i="13"/>
  <c r="K35" i="13"/>
  <c r="J36" i="13"/>
  <c r="K36" i="13"/>
  <c r="J37" i="13"/>
  <c r="K37" i="13"/>
  <c r="J36" i="12"/>
  <c r="K36" i="12"/>
  <c r="J37" i="12"/>
  <c r="K37" i="12"/>
  <c r="J38" i="12"/>
  <c r="K38" i="12"/>
  <c r="J39" i="12"/>
  <c r="K39" i="12"/>
  <c r="J33" i="11"/>
  <c r="K33" i="11"/>
  <c r="J34" i="11"/>
  <c r="K34" i="11"/>
  <c r="J35" i="11"/>
  <c r="K35" i="11"/>
  <c r="J36" i="11"/>
  <c r="K36" i="11"/>
  <c r="J37" i="11"/>
  <c r="K37" i="11"/>
  <c r="J38" i="11"/>
  <c r="K38" i="11"/>
  <c r="J33" i="10"/>
  <c r="K33" i="10"/>
  <c r="J34" i="10"/>
  <c r="K34" i="10"/>
  <c r="J35" i="10"/>
  <c r="K35" i="10"/>
  <c r="J31" i="14" l="1"/>
  <c r="J32" i="14"/>
  <c r="J33" i="14"/>
  <c r="J34" i="14"/>
  <c r="J35" i="14"/>
  <c r="K35" i="14"/>
  <c r="J34" i="12"/>
  <c r="K34" i="12"/>
  <c r="J35" i="12"/>
  <c r="K35" i="12"/>
  <c r="J36" i="9"/>
  <c r="K36" i="9"/>
  <c r="J37" i="9"/>
  <c r="K37" i="9"/>
  <c r="J38" i="9"/>
  <c r="K38" i="9"/>
  <c r="J39" i="9"/>
  <c r="K39" i="9"/>
  <c r="J40" i="9"/>
  <c r="K40" i="9"/>
  <c r="J35" i="5"/>
  <c r="K35" i="5"/>
  <c r="J36" i="5"/>
  <c r="K36" i="5"/>
  <c r="J37" i="5"/>
  <c r="K37" i="5"/>
  <c r="J38" i="5"/>
  <c r="K38" i="5"/>
  <c r="J32" i="8"/>
  <c r="K32" i="8"/>
  <c r="J33" i="8"/>
  <c r="K33" i="8"/>
  <c r="J34" i="8"/>
  <c r="K34" i="8"/>
  <c r="J35" i="8"/>
  <c r="K35" i="8"/>
  <c r="J32" i="6"/>
  <c r="K32" i="6"/>
  <c r="J33" i="6"/>
  <c r="K33" i="6"/>
  <c r="J34" i="6"/>
  <c r="K34" i="6"/>
  <c r="J29" i="10" l="1"/>
  <c r="K29" i="10"/>
  <c r="J30" i="10"/>
  <c r="K30" i="10"/>
  <c r="J31" i="10"/>
  <c r="K31" i="10"/>
  <c r="J32" i="10"/>
  <c r="K32" i="10"/>
  <c r="J37" i="4"/>
  <c r="K37" i="4"/>
  <c r="J38" i="4"/>
  <c r="K38" i="4"/>
  <c r="J39" i="4"/>
  <c r="K39" i="4"/>
  <c r="J40" i="4"/>
  <c r="K40" i="4"/>
  <c r="J33" i="9"/>
  <c r="K33" i="9"/>
  <c r="J34" i="9"/>
  <c r="K34" i="9"/>
  <c r="J35" i="9"/>
  <c r="K35" i="9"/>
  <c r="H34" i="3" l="1"/>
  <c r="I34" i="3"/>
  <c r="H35" i="3"/>
  <c r="I35" i="3"/>
  <c r="H36" i="3"/>
  <c r="I36" i="3"/>
  <c r="K25" i="9" l="1"/>
  <c r="K26" i="9"/>
  <c r="K27" i="9"/>
  <c r="K28" i="9"/>
  <c r="K29" i="9"/>
  <c r="K30" i="9"/>
  <c r="K31" i="9"/>
  <c r="K32" i="9"/>
  <c r="J28" i="6"/>
  <c r="K28" i="6"/>
  <c r="J29" i="6"/>
  <c r="K29" i="6"/>
  <c r="J30" i="6"/>
  <c r="K30" i="6"/>
  <c r="J31" i="6"/>
  <c r="K31" i="6"/>
  <c r="K27" i="5"/>
  <c r="K28" i="5"/>
  <c r="K29" i="5"/>
  <c r="K30" i="5"/>
  <c r="J28" i="5"/>
  <c r="J29" i="7"/>
  <c r="K29" i="7"/>
  <c r="J30" i="7"/>
  <c r="K30" i="7"/>
  <c r="J31" i="7"/>
  <c r="K31" i="7"/>
  <c r="J31" i="5"/>
  <c r="K31" i="5"/>
  <c r="J32" i="5"/>
  <c r="K32" i="5"/>
  <c r="J33" i="5"/>
  <c r="K33" i="5"/>
  <c r="J34" i="5"/>
  <c r="K34" i="5"/>
  <c r="J28" i="14" l="1"/>
  <c r="J29" i="14"/>
  <c r="J30" i="14"/>
  <c r="J27" i="13"/>
  <c r="K27" i="13"/>
  <c r="J28" i="13"/>
  <c r="K28" i="13"/>
  <c r="J29" i="13"/>
  <c r="K29" i="13"/>
  <c r="J30" i="13"/>
  <c r="K30" i="13"/>
  <c r="J31" i="13"/>
  <c r="K31" i="13"/>
  <c r="J29" i="12"/>
  <c r="K29" i="12"/>
  <c r="J30" i="12"/>
  <c r="K30" i="12"/>
  <c r="J31" i="12"/>
  <c r="K31" i="12"/>
  <c r="J32" i="12"/>
  <c r="K32" i="12"/>
  <c r="J33" i="12"/>
  <c r="K33" i="12"/>
  <c r="J30" i="11"/>
  <c r="K30" i="11"/>
  <c r="J31" i="11"/>
  <c r="K31" i="11"/>
  <c r="J32" i="11"/>
  <c r="K32" i="11"/>
  <c r="H31" i="3"/>
  <c r="I31" i="3"/>
  <c r="H32" i="3"/>
  <c r="I32" i="3"/>
  <c r="H33" i="3"/>
  <c r="I33" i="3"/>
  <c r="J24" i="14" l="1"/>
  <c r="K24" i="14"/>
  <c r="J25" i="14"/>
  <c r="K25" i="14"/>
  <c r="J26" i="14"/>
  <c r="K26" i="14"/>
  <c r="J27" i="14"/>
  <c r="J25" i="11"/>
  <c r="K25" i="11"/>
  <c r="J26" i="11"/>
  <c r="K26" i="11"/>
  <c r="J27" i="11"/>
  <c r="K27" i="11"/>
  <c r="J28" i="11"/>
  <c r="K28" i="11"/>
  <c r="J29" i="11"/>
  <c r="K29" i="11"/>
  <c r="J29" i="9"/>
  <c r="J30" i="9"/>
  <c r="J31" i="9"/>
  <c r="J32" i="9"/>
  <c r="J21" i="13" l="1"/>
  <c r="K21" i="13"/>
  <c r="J22" i="13"/>
  <c r="K22" i="13"/>
  <c r="J23" i="13"/>
  <c r="K23" i="13"/>
  <c r="J24" i="13"/>
  <c r="K24" i="13"/>
  <c r="J25" i="13"/>
  <c r="K25" i="13"/>
  <c r="J26" i="13"/>
  <c r="K26" i="13"/>
  <c r="J26" i="8"/>
  <c r="K26" i="8"/>
  <c r="J27" i="8"/>
  <c r="K27" i="8"/>
  <c r="J28" i="8"/>
  <c r="K28" i="8"/>
  <c r="J29" i="8"/>
  <c r="K29" i="8"/>
  <c r="J30" i="8"/>
  <c r="K30" i="8"/>
  <c r="J31" i="8"/>
  <c r="K31" i="8"/>
  <c r="J25" i="12"/>
  <c r="K25" i="12"/>
  <c r="J26" i="12"/>
  <c r="K26" i="12"/>
  <c r="J27" i="12"/>
  <c r="K27" i="12"/>
  <c r="J28" i="12"/>
  <c r="K28" i="12"/>
  <c r="K21" i="9"/>
  <c r="K22" i="9"/>
  <c r="K23" i="9"/>
  <c r="K24" i="9"/>
  <c r="J25" i="7"/>
  <c r="K25" i="7"/>
  <c r="J26" i="7"/>
  <c r="K26" i="7"/>
  <c r="J27" i="7"/>
  <c r="K27" i="7"/>
  <c r="J28" i="7"/>
  <c r="K28" i="7"/>
  <c r="J26" i="5"/>
  <c r="K26" i="5"/>
  <c r="J27" i="5"/>
  <c r="J29" i="5"/>
  <c r="J30" i="5"/>
  <c r="H28" i="3"/>
  <c r="I28" i="3"/>
  <c r="H29" i="3"/>
  <c r="I29" i="3"/>
  <c r="H30" i="3"/>
  <c r="I30" i="3"/>
  <c r="K17" i="11"/>
  <c r="K18" i="11"/>
  <c r="K19" i="11"/>
  <c r="K20" i="11"/>
  <c r="K21" i="11"/>
  <c r="J32" i="4"/>
  <c r="K32" i="4"/>
  <c r="J33" i="4"/>
  <c r="K33" i="4"/>
  <c r="J34" i="4"/>
  <c r="K34" i="4"/>
  <c r="J35" i="4"/>
  <c r="K35" i="4"/>
  <c r="J36" i="4"/>
  <c r="K36" i="4"/>
  <c r="J20" i="14"/>
  <c r="K20" i="14"/>
  <c r="J21" i="14"/>
  <c r="K21" i="14"/>
  <c r="J22" i="14"/>
  <c r="K22" i="14"/>
  <c r="J23" i="14"/>
  <c r="K23" i="14"/>
  <c r="J20" i="11"/>
  <c r="J21" i="11"/>
  <c r="J22" i="11"/>
  <c r="K22" i="11"/>
  <c r="J23" i="11"/>
  <c r="K23" i="11"/>
  <c r="J24" i="11"/>
  <c r="K24" i="11"/>
  <c r="J22" i="12"/>
  <c r="K22" i="12"/>
  <c r="J23" i="12"/>
  <c r="K23" i="12"/>
  <c r="J24" i="12"/>
  <c r="K24" i="12"/>
  <c r="J25" i="10"/>
  <c r="K25" i="10"/>
  <c r="J26" i="10"/>
  <c r="K26" i="10"/>
  <c r="J27" i="10"/>
  <c r="K27" i="10"/>
  <c r="J28" i="10"/>
  <c r="K28" i="10"/>
  <c r="J28" i="4"/>
  <c r="K28" i="4"/>
  <c r="J29" i="4"/>
  <c r="K29" i="4"/>
  <c r="J30" i="4"/>
  <c r="K30" i="4"/>
  <c r="J31" i="4"/>
  <c r="K31" i="4"/>
  <c r="J23" i="6"/>
  <c r="K23" i="6"/>
  <c r="J24" i="6"/>
  <c r="K24" i="6"/>
  <c r="J25" i="6"/>
  <c r="K25" i="6"/>
  <c r="J26" i="6"/>
  <c r="K26" i="6"/>
  <c r="J27" i="6"/>
  <c r="K27" i="6"/>
  <c r="J25" i="9" l="1"/>
  <c r="J26" i="9"/>
  <c r="J27" i="9"/>
  <c r="J28" i="9"/>
  <c r="J21" i="7"/>
  <c r="K21" i="7"/>
  <c r="J22" i="7"/>
  <c r="K22" i="7"/>
  <c r="J23" i="7"/>
  <c r="K23" i="7"/>
  <c r="J24" i="7"/>
  <c r="K24" i="7"/>
  <c r="J23" i="8"/>
  <c r="K23" i="8"/>
  <c r="J24" i="8"/>
  <c r="K24" i="8"/>
  <c r="J25" i="8"/>
  <c r="K25" i="8"/>
  <c r="J21" i="5"/>
  <c r="K21" i="5"/>
  <c r="J22" i="5"/>
  <c r="K22" i="5"/>
  <c r="J23" i="5"/>
  <c r="K23" i="5"/>
  <c r="J24" i="5"/>
  <c r="K24" i="5"/>
  <c r="J25" i="5"/>
  <c r="K25" i="5"/>
  <c r="J21" i="10"/>
  <c r="K21" i="10"/>
  <c r="J22" i="10"/>
  <c r="K22" i="10"/>
  <c r="J23" i="10"/>
  <c r="K23" i="10"/>
  <c r="J24" i="10"/>
  <c r="K24" i="10"/>
  <c r="H24" i="3"/>
  <c r="I24" i="3"/>
  <c r="H25" i="3"/>
  <c r="I25" i="3"/>
  <c r="H26" i="3"/>
  <c r="I26" i="3"/>
  <c r="H27" i="3"/>
  <c r="I27" i="3"/>
  <c r="J16" i="13"/>
  <c r="K16" i="13"/>
  <c r="J17" i="13"/>
  <c r="K17" i="13"/>
  <c r="J18" i="13"/>
  <c r="K18" i="13"/>
  <c r="J19" i="13"/>
  <c r="K19" i="13"/>
  <c r="J20" i="13"/>
  <c r="K20" i="13"/>
  <c r="J16" i="14"/>
  <c r="K16" i="14"/>
  <c r="J17" i="14"/>
  <c r="K17" i="14"/>
  <c r="J18" i="14"/>
  <c r="K18" i="14"/>
  <c r="J19" i="14"/>
  <c r="K19" i="14"/>
  <c r="J17" i="12"/>
  <c r="K17" i="12"/>
  <c r="J18" i="12"/>
  <c r="K18" i="12"/>
  <c r="J19" i="12"/>
  <c r="K19" i="12"/>
  <c r="J20" i="12"/>
  <c r="K20" i="12"/>
  <c r="J21" i="12"/>
  <c r="K21" i="12"/>
  <c r="J16" i="11"/>
  <c r="K16" i="11"/>
  <c r="J17" i="11"/>
  <c r="J18" i="11"/>
  <c r="J19" i="11"/>
  <c r="J22" i="9"/>
  <c r="J23" i="9"/>
  <c r="J24" i="9"/>
  <c r="J18" i="8"/>
  <c r="K18" i="8"/>
  <c r="J19" i="8"/>
  <c r="K19" i="8"/>
  <c r="J20" i="8"/>
  <c r="K20" i="8"/>
  <c r="J21" i="8"/>
  <c r="K21" i="8"/>
  <c r="J22" i="8"/>
  <c r="K22" i="8"/>
  <c r="J18" i="6"/>
  <c r="K18" i="6"/>
  <c r="J19" i="6"/>
  <c r="K19" i="6"/>
  <c r="J20" i="6"/>
  <c r="K20" i="6"/>
  <c r="J21" i="6"/>
  <c r="K21" i="6"/>
  <c r="J22" i="6"/>
  <c r="K22" i="6"/>
  <c r="J12" i="13" l="1"/>
  <c r="K12" i="13"/>
  <c r="J13" i="13"/>
  <c r="K13" i="13"/>
  <c r="J14" i="13"/>
  <c r="K14" i="13"/>
  <c r="J15" i="13"/>
  <c r="K15" i="13"/>
  <c r="J12" i="14" l="1"/>
  <c r="K12" i="14"/>
  <c r="J13" i="14"/>
  <c r="K13" i="14"/>
  <c r="J14" i="14"/>
  <c r="K14" i="14"/>
  <c r="J15" i="14"/>
  <c r="K15" i="14"/>
  <c r="J12" i="12"/>
  <c r="K12" i="12"/>
  <c r="J13" i="12"/>
  <c r="K13" i="12"/>
  <c r="J14" i="12"/>
  <c r="K14" i="12"/>
  <c r="J15" i="12"/>
  <c r="K15" i="12"/>
  <c r="J16" i="12"/>
  <c r="K16" i="12"/>
  <c r="H20" i="3"/>
  <c r="I20" i="3"/>
  <c r="H21" i="3"/>
  <c r="I21" i="3"/>
  <c r="H22" i="3"/>
  <c r="I22" i="3"/>
  <c r="H23" i="3"/>
  <c r="I23" i="3"/>
  <c r="J16" i="10"/>
  <c r="K16" i="10"/>
  <c r="J17" i="10"/>
  <c r="K17" i="10"/>
  <c r="J18" i="10"/>
  <c r="K18" i="10"/>
  <c r="J19" i="10"/>
  <c r="K19" i="10"/>
  <c r="J20" i="10"/>
  <c r="K20" i="10"/>
  <c r="J19" i="9"/>
  <c r="K19" i="9"/>
  <c r="J20" i="9"/>
  <c r="K20" i="9"/>
  <c r="J21" i="9"/>
  <c r="J22" i="4"/>
  <c r="K22" i="4"/>
  <c r="J23" i="4"/>
  <c r="K23" i="4"/>
  <c r="J24" i="4"/>
  <c r="K24" i="4"/>
  <c r="J25" i="4"/>
  <c r="K25" i="4"/>
  <c r="J26" i="4"/>
  <c r="K26" i="4"/>
  <c r="J27" i="4"/>
  <c r="K27" i="4"/>
  <c r="J15" i="8"/>
  <c r="K15" i="8"/>
  <c r="J16" i="8"/>
  <c r="K16" i="8"/>
  <c r="J17" i="8"/>
  <c r="K17" i="8"/>
  <c r="J12" i="11"/>
  <c r="K12" i="11"/>
  <c r="J13" i="11"/>
  <c r="K13" i="11"/>
  <c r="J14" i="11"/>
  <c r="K14" i="11"/>
  <c r="J15" i="11"/>
  <c r="K15" i="11"/>
  <c r="J17" i="5"/>
  <c r="K17" i="5"/>
  <c r="J18" i="5"/>
  <c r="K18" i="5"/>
  <c r="J19" i="5"/>
  <c r="K19" i="5"/>
  <c r="J20" i="5"/>
  <c r="K20" i="5"/>
  <c r="J17" i="4"/>
  <c r="K17" i="4"/>
  <c r="J18" i="4"/>
  <c r="K18" i="4"/>
  <c r="J19" i="4"/>
  <c r="K19" i="4"/>
  <c r="J20" i="4"/>
  <c r="K20" i="4"/>
  <c r="J21" i="4"/>
  <c r="K21" i="4"/>
  <c r="J16" i="7"/>
  <c r="K16" i="7"/>
  <c r="J17" i="7"/>
  <c r="K17" i="7"/>
  <c r="J18" i="7"/>
  <c r="K18" i="7"/>
  <c r="J19" i="7"/>
  <c r="K19" i="7"/>
  <c r="J20" i="7"/>
  <c r="K20" i="7"/>
  <c r="J12" i="8"/>
  <c r="K12" i="8"/>
  <c r="J13" i="8"/>
  <c r="K13" i="8"/>
  <c r="J14" i="8"/>
  <c r="K14" i="8"/>
  <c r="J12" i="10"/>
  <c r="K12" i="10"/>
  <c r="J13" i="10"/>
  <c r="K13" i="10"/>
  <c r="J14" i="10"/>
  <c r="K14" i="10"/>
  <c r="J15" i="10"/>
  <c r="K15" i="10"/>
  <c r="H16" i="3"/>
  <c r="I16" i="3"/>
  <c r="H17" i="3"/>
  <c r="I17" i="3"/>
  <c r="H18" i="3"/>
  <c r="I18" i="3"/>
  <c r="H19" i="3"/>
  <c r="I19" i="3"/>
  <c r="J12" i="7"/>
  <c r="K12" i="7"/>
  <c r="J13" i="7"/>
  <c r="K13" i="7"/>
  <c r="J14" i="7"/>
  <c r="K14" i="7"/>
  <c r="J15" i="7"/>
  <c r="K15" i="7"/>
  <c r="J12" i="5"/>
  <c r="K12" i="5"/>
  <c r="J13" i="5"/>
  <c r="K13" i="5"/>
  <c r="J14" i="5"/>
  <c r="K14" i="5"/>
  <c r="J15" i="5"/>
  <c r="K15" i="5"/>
  <c r="J16" i="5"/>
  <c r="K16" i="5"/>
  <c r="J12" i="9"/>
  <c r="K12" i="9"/>
  <c r="J13" i="9"/>
  <c r="K13" i="9"/>
  <c r="J14" i="9"/>
  <c r="K14" i="9"/>
  <c r="J15" i="9"/>
  <c r="K15" i="9"/>
  <c r="J16" i="9"/>
  <c r="K16" i="9"/>
  <c r="J17" i="9"/>
  <c r="K17" i="9"/>
  <c r="J18" i="9"/>
  <c r="K18" i="9"/>
  <c r="J12" i="4"/>
  <c r="K12" i="4"/>
  <c r="J13" i="4"/>
  <c r="K13" i="4"/>
  <c r="J14" i="4"/>
  <c r="K14" i="4"/>
  <c r="J15" i="4"/>
  <c r="K15" i="4"/>
  <c r="J16" i="4"/>
  <c r="K16" i="4"/>
  <c r="H12" i="3"/>
  <c r="I12" i="3"/>
  <c r="H13" i="3"/>
  <c r="I13" i="3"/>
  <c r="H14" i="3"/>
  <c r="I14" i="3"/>
  <c r="H15" i="3"/>
  <c r="I15" i="3"/>
  <c r="J12" i="6" l="1"/>
  <c r="K12" i="6"/>
  <c r="J13" i="6"/>
  <c r="K13" i="6"/>
  <c r="J14" i="6"/>
  <c r="K14" i="6"/>
  <c r="J15" i="6"/>
  <c r="K15" i="6"/>
  <c r="J16" i="6"/>
  <c r="K16" i="6"/>
  <c r="J17" i="6"/>
  <c r="K17" i="6"/>
  <c r="K11" i="14"/>
  <c r="J11" i="14"/>
  <c r="K10" i="14"/>
  <c r="J10" i="14"/>
  <c r="K9" i="14"/>
  <c r="J9" i="14"/>
  <c r="K8" i="14"/>
  <c r="J8" i="14"/>
  <c r="K11" i="13"/>
  <c r="J11" i="13"/>
  <c r="K10" i="13"/>
  <c r="J10" i="13"/>
  <c r="K9" i="13"/>
  <c r="J9" i="13"/>
  <c r="K8" i="13"/>
  <c r="J8" i="13"/>
  <c r="K11" i="12"/>
  <c r="J11" i="12"/>
  <c r="K10" i="12"/>
  <c r="J10" i="12"/>
  <c r="K9" i="12"/>
  <c r="J9" i="12"/>
  <c r="K8" i="12"/>
  <c r="J8" i="12"/>
  <c r="K11" i="11"/>
  <c r="J11" i="11"/>
  <c r="K10" i="11"/>
  <c r="J10" i="11"/>
  <c r="K9" i="11"/>
  <c r="J9" i="11"/>
  <c r="K8" i="11"/>
  <c r="J8" i="11"/>
  <c r="K11" i="10"/>
  <c r="J11" i="10"/>
  <c r="K10" i="10"/>
  <c r="J10" i="10"/>
  <c r="K9" i="10"/>
  <c r="J9" i="10"/>
  <c r="K8" i="10"/>
  <c r="J8" i="10"/>
  <c r="K11" i="9"/>
  <c r="J11" i="9"/>
  <c r="K10" i="9"/>
  <c r="J10" i="9"/>
  <c r="K9" i="9"/>
  <c r="J9" i="9"/>
  <c r="K8" i="9"/>
  <c r="J8" i="9"/>
  <c r="K11" i="8"/>
  <c r="J11" i="8"/>
  <c r="K10" i="8"/>
  <c r="J10" i="8"/>
  <c r="K9" i="8"/>
  <c r="K8" i="8"/>
  <c r="J8" i="8"/>
  <c r="K11" i="7"/>
  <c r="J11" i="7"/>
  <c r="K10" i="7"/>
  <c r="J10" i="7"/>
  <c r="K9" i="7"/>
  <c r="J9" i="7"/>
  <c r="K8" i="7"/>
  <c r="J8" i="7"/>
  <c r="K11" i="6"/>
  <c r="J11" i="6"/>
  <c r="K10" i="6"/>
  <c r="J10" i="6"/>
  <c r="K9" i="6"/>
  <c r="J9" i="6"/>
  <c r="K8" i="6"/>
  <c r="J8" i="6"/>
  <c r="K11" i="5"/>
  <c r="J11" i="5"/>
  <c r="K10" i="5"/>
  <c r="J10" i="5"/>
  <c r="K9" i="5"/>
  <c r="J9" i="5"/>
  <c r="K8" i="5"/>
  <c r="J8" i="5"/>
  <c r="K11" i="4"/>
  <c r="J11" i="4"/>
  <c r="K10" i="4"/>
  <c r="J10" i="4"/>
  <c r="K9" i="4"/>
  <c r="J9" i="4"/>
  <c r="K8" i="4"/>
  <c r="J8" i="4"/>
  <c r="I11" i="3"/>
  <c r="H11" i="3"/>
  <c r="I10" i="3"/>
  <c r="H10" i="3"/>
  <c r="I9" i="3"/>
  <c r="H9" i="3"/>
  <c r="I8" i="3"/>
  <c r="H8" i="3"/>
  <c r="K11" i="2"/>
  <c r="J11" i="2"/>
  <c r="K10" i="2"/>
  <c r="J10" i="2"/>
  <c r="K9" i="2"/>
  <c r="J9" i="2"/>
  <c r="K8" i="2"/>
  <c r="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Walison Almeida Santos Lima</author>
    <author>Maicon Douglas Leite de Almeida</author>
  </authors>
  <commentList>
    <comment ref="A22" authorId="0" shapeId="0" xr:uid="{C7AFB442-1D3C-4189-8DEB-7317DE40E32C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23" authorId="0" shapeId="0" xr:uid="{CA358E2C-DE9C-486B-A283-E4289AA34F1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ureia + manganes</t>
        </r>
      </text>
    </comment>
    <comment ref="A24" authorId="0" shapeId="0" xr:uid="{866FF558-ADA6-41D5-97A6-A1B37AB35391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kcl + magnesio</t>
        </r>
      </text>
    </comment>
    <comment ref="A25" authorId="0" shapeId="0" xr:uid="{2954AD6E-0974-4977-9F53-73A7F4AD826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TESTE</t>
        </r>
      </text>
    </comment>
    <comment ref="A26" authorId="0" shapeId="0" xr:uid="{CD811D14-B613-46A1-BB53-3AE7C9D8D309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8" authorId="1" shapeId="0" xr:uid="{663A74CB-9B72-4DBD-9B51-AB0561AA8F5A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Ferti: ureia</t>
        </r>
      </text>
    </comment>
    <comment ref="A29" authorId="0" shapeId="0" xr:uid="{D0100D52-0282-49C2-9904-C82A94A8196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ureia</t>
        </r>
      </text>
    </comment>
    <comment ref="A31" authorId="0" shapeId="0" xr:uid="{75F1258D-CB7D-4EF5-A13D-D6E3C673EBA9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80" authorId="1" shapeId="0" xr:uid="{BAB14B06-1E3F-44A2-94BB-A666D762E0E5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08" authorId="2" shapeId="0" xr:uid="{32196A77-DB43-4B1E-AC6D-A9647C57340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10" authorId="2" shapeId="0" xr:uid="{073845B5-4A9D-4085-9E69-84806EA1A5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VIA HERCULES</t>
        </r>
      </text>
    </comment>
    <comment ref="A169" authorId="2" shapeId="0" xr:uid="{8A436C01-CE31-41EB-B52E-7AD1176DB1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176" authorId="2" shapeId="0" xr:uid="{BCF2987A-6696-4918-87C0-5B45F4D83E4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Kcl</t>
        </r>
      </text>
    </comment>
    <comment ref="A224" authorId="2" shapeId="0" xr:uid="{DAB0859D-6640-482D-9E34-1B66543D41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25" authorId="2" shapeId="0" xr:uid="{576958ED-315A-4265-9754-06282F86FCD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51" authorId="2" shapeId="0" xr:uid="{68A2097D-744F-401E-BED1-C0D1266E91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254" authorId="2" shapeId="0" xr:uid="{22246405-9186-467A-A465-3076F99736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255" authorId="2" shapeId="0" xr:uid="{9385F9AB-0895-440F-8BE1-BAD2176B354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1/2</t>
        </r>
      </text>
    </comment>
    <comment ref="A259" authorId="2" shapeId="0" xr:uid="{75C0BA2D-B656-495F-A970-985ABECC447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288" authorId="2" shapeId="0" xr:uid="{69F31E15-75CC-4855-91A3-62F567B2D1E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27" authorId="3" shapeId="0" xr:uid="{8D357B56-9770-481D-8D9B-5C91C6FDF6D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UREIA</t>
        </r>
      </text>
    </comment>
    <comment ref="A359" authorId="2" shapeId="0" xr:uid="{39833FC3-3E58-41CB-BEA8-652C8F091EB2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361" authorId="3" shapeId="0" xr:uid="{02951013-92B1-431C-9ADF-41E64055350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03" authorId="4" shapeId="0" xr:uid="{485C0F15-2C05-4A88-BD87-6A3FEC791A8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09" authorId="4" shapeId="0" xr:uid="{09E32B28-CEDD-4EBE-B484-BBA28EB0214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40º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Walison Almeida Santos Lima</author>
    <author>Carlos Santos</author>
    <author>Maicon Douglas Leite de Almeida</author>
  </authors>
  <commentList>
    <comment ref="A20" authorId="0" shapeId="0" xr:uid="{D22F28B9-11D4-401A-8D55-317C68AE5C5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ureia + micro</t>
        </r>
      </text>
    </comment>
    <comment ref="A22" authorId="1" shapeId="0" xr:uid="{D94DF64F-0E31-466F-A21A-4251BCCD26D6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Ferti: Ureia.</t>
        </r>
      </text>
    </comment>
    <comment ref="A26" authorId="1" shapeId="0" xr:uid="{AC97CCFB-6C15-4005-8EB2-9623A90799B9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 PIVÔ</t>
        </r>
      </text>
    </comment>
    <comment ref="A27" authorId="0" shapeId="0" xr:uid="{15B9E0B4-2A60-41BA-9230-993A54A6A5F5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ureia</t>
        </r>
      </text>
    </comment>
    <comment ref="A29" authorId="0" shapeId="0" xr:uid="{97B67AFD-95CE-4CDE-BBFE-1D1F9AA6799A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34" authorId="1" shapeId="0" xr:uid="{ED88EF79-2A1F-4A2D-BE1A-13724FC84DBC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Amonio</t>
        </r>
      </text>
    </comment>
    <comment ref="A35" authorId="1" shapeId="0" xr:uid="{A6ADF1FD-F94E-4602-B7AB-BEB7F341FBF8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 KCL</t>
        </r>
      </text>
    </comment>
    <comment ref="A44" authorId="1" shapeId="0" xr:uid="{E9FBCA89-6D0B-4636-8DD8-36B25750E34E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Fertirrigação</t>
        </r>
      </text>
    </comment>
    <comment ref="A59" authorId="1" shapeId="0" xr:uid="{83E330DD-F967-46E9-AC51-A20952A8D14C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Fertirrigação</t>
        </r>
      </text>
    </comment>
    <comment ref="A90" authorId="1" shapeId="0" xr:uid="{73739007-086C-46B7-AEAC-4E768ACBE740}">
      <text>
        <r>
          <rPr>
            <b/>
            <sz val="9"/>
            <color indexed="81"/>
            <rFont val="Segoe UI"/>
            <family val="2"/>
          </rPr>
          <t>Ricardo Silva Santos: 
FERTI</t>
        </r>
      </text>
    </comment>
    <comment ref="A91" authorId="1" shapeId="0" xr:uid="{9F792140-CB5C-40CF-B7DB-037069B1BAE7}">
      <text>
        <r>
          <rPr>
            <b/>
            <sz val="9"/>
            <color indexed="81"/>
            <rFont val="Segoe UI"/>
            <family val="2"/>
          </rPr>
          <t>Ricardo Silva Santos: 
FERTI</t>
        </r>
      </text>
    </comment>
    <comment ref="A116" authorId="1" shapeId="0" xr:uid="{2373AA1B-A671-47DE-B662-6DE7FCFF9D63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17" authorId="1" shapeId="0" xr:uid="{645DB683-3DE7-4EFE-9422-0390A1922E65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18" authorId="1" shapeId="0" xr:uid="{AA3E38CB-1058-4A74-A711-B08A9C861E92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19" authorId="1" shapeId="0" xr:uid="{E3A8409F-B8E5-46A4-B8E2-7292623DCCCE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0" authorId="1" shapeId="0" xr:uid="{832E80DD-2824-4E27-A1FC-F17AA15C19DE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1" authorId="1" shapeId="0" xr:uid="{75E44DE9-7FBE-475A-894B-0008AC0605F4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2" authorId="1" shapeId="0" xr:uid="{111F5084-FEE1-445A-A132-60159545521A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3" authorId="1" shapeId="0" xr:uid="{7B3B4E90-D4B9-42E1-8551-BF40B4C74CB5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4" authorId="1" shapeId="0" xr:uid="{33CDB0A3-6BA7-486C-8D19-46C4DA409546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5" authorId="1" shapeId="0" xr:uid="{A4E6DED6-510A-4F28-8450-5A069FC630E6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6" authorId="1" shapeId="0" xr:uid="{4DEFDCD8-B17A-45DD-AF8C-F5A408A7277D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27" authorId="1" shapeId="0" xr:uid="{F86D1AAD-2C2C-4772-8675-420C704AE82A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63" authorId="2" shapeId="0" xr:uid="{FC9CF7D3-40E0-4763-B050-5E182B0E6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 Q CD 
IRRIGAÇÃO: Q AB</t>
        </r>
      </text>
    </comment>
    <comment ref="A165" authorId="2" shapeId="0" xr:uid="{715BC92E-D853-43F0-9C1E-34B7E72AB1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
</t>
        </r>
      </text>
    </comment>
    <comment ref="A166" authorId="2" shapeId="0" xr:uid="{CFAC3A97-DC30-4F77-8304-8C1FB25579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ACIDO BORICO</t>
        </r>
      </text>
    </comment>
    <comment ref="A167" authorId="2" shapeId="0" xr:uid="{FAFDD204-A421-4C7E-B42A-5D38537C0CA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68" authorId="2" shapeId="0" xr:uid="{3672D40C-50D2-4634-B904-8B2CD35C20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SALITRE</t>
        </r>
      </text>
    </comment>
    <comment ref="A169" authorId="2" shapeId="0" xr:uid="{83740078-A803-4122-89B4-FC608157BD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Q C D</t>
        </r>
      </text>
    </comment>
    <comment ref="A170" authorId="2" shapeId="0" xr:uid="{6EEF35DF-494A-4E7E-A21D-10D13274EB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
</t>
        </r>
      </text>
    </comment>
    <comment ref="A173" authorId="2" shapeId="0" xr:uid="{185D49C6-9AEC-46FA-AFD2-C3CC406048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SALITRE</t>
        </r>
      </text>
    </comment>
    <comment ref="A174" authorId="2" shapeId="0" xr:uid="{4DBA88AD-4287-4D82-B7B0-F54524F2B7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SOP</t>
        </r>
      </text>
    </comment>
    <comment ref="A175" authorId="2" shapeId="0" xr:uid="{99651405-DDB6-4666-AF48-C292AA4512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
SOP; AB
SALITRE; CD</t>
        </r>
      </text>
    </comment>
    <comment ref="A240" authorId="2" shapeId="0" xr:uid="{2913AC14-EC5B-4FF8-A68E-0B56F61FE2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+ assist</t>
        </r>
      </text>
    </comment>
    <comment ref="A242" authorId="2" shapeId="0" xr:uid="{A98D9D1E-6F79-4C21-B874-B7939C06295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KCL PO BRANCO</t>
        </r>
      </text>
    </comment>
    <comment ref="A245" authorId="2" shapeId="0" xr:uid="{4B11D994-5676-426A-8CFB-CA0382D3C3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46" authorId="2" shapeId="0" xr:uid="{58BFDE2C-066E-4D0D-B031-D8EF3DAC25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47" authorId="2" shapeId="0" xr:uid="{4FD1EAF2-9659-42E2-91B2-23AFE277F1E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30" authorId="2" shapeId="0" xr:uid="{5660358D-5FA7-4C62-A975-7A1C34442D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405" authorId="3" shapeId="0" xr:uid="{51AA6548-B6ED-4751-8D2F-04CB11C3FCF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408" authorId="2" shapeId="0" xr:uid="{78900784-B9E5-4F31-B1DD-8F9928627FA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ND BIO AZ E BIO MEGA</t>
        </r>
      </text>
    </comment>
    <comment ref="A417" authorId="2" shapeId="0" xr:uid="{2925B415-7AC2-4AD0-90BE-FDD091E409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ACIDO BORICO</t>
        </r>
      </text>
    </comment>
    <comment ref="A421" authorId="2" shapeId="0" xr:uid="{E1F1F226-A7C1-4440-9471-B440619D1C2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Biologicos</t>
        </r>
      </text>
    </comment>
    <comment ref="A438" authorId="3" shapeId="0" xr:uid="{C7688F22-A1FA-48AD-9F0C-7EFEC98AEE8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nutrisystem </t>
        </r>
      </text>
    </comment>
    <comment ref="A443" authorId="3" shapeId="0" xr:uid="{3AA62666-6A63-47CE-8279-803260AA643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bio raiz+bio raiz mais </t>
        </r>
      </text>
    </comment>
    <comment ref="A446" authorId="3" shapeId="0" xr:uid="{F65178EC-90C6-4E9C-BAE1-CE9B48A72F5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 system </t>
        </r>
      </text>
    </comment>
    <comment ref="A450" authorId="3" shapeId="0" xr:uid="{3B018370-8DA6-47E8-96B3-3DBE3B2801A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NUTRI SYSTEM 
FINALIZAÇÃO </t>
        </r>
      </text>
    </comment>
    <comment ref="A452" authorId="3" shapeId="0" xr:uid="{CA1DA12F-D65A-443C-BEBE-D40571B1189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515" authorId="4" shapeId="0" xr:uid="{C383AEEC-D59B-497B-B3C0-DC2C6D8EBF6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16" authorId="4" shapeId="0" xr:uid="{999F9FAB-32C0-4B5B-9F78-8E23459A020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17" authorId="2" shapeId="0" xr:uid="{9BE9AE63-859B-4CB0-A764-4FFAD7D7A9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518" authorId="2" shapeId="0" xr:uid="{BA5CFBD1-652A-4709-8FC4-916B453B9D9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524" authorId="2" shapeId="0" xr:uid="{33DA3551-E143-418D-8629-9A71A54BD4C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irrigou somente 270º</t>
        </r>
      </text>
    </comment>
    <comment ref="A538" authorId="4" shapeId="0" xr:uid="{F7B02DCE-B21E-43A2-8E0C-B34B463CE73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542" authorId="4" shapeId="0" xr:uid="{0370E57D-4833-4EFF-A9AA-0D1DE78BB00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fertirrigação</t>
        </r>
      </text>
    </comment>
    <comment ref="A543" authorId="4" shapeId="0" xr:uid="{82A0269B-C538-4361-B50B-71E39F374A4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552" authorId="4" shapeId="0" xr:uid="{77B5BEF4-5B96-4BDC-B10B-D5DBF5CFE1FD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631" authorId="5" shapeId="0" xr:uid="{2B2098EA-1B7B-4208-94B0-9D190B78139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45º TESTE </t>
        </r>
      </text>
    </comment>
    <comment ref="A642" authorId="5" shapeId="0" xr:uid="{7FBCD731-79F3-446C-99E3-983925D08ED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645" authorId="5" shapeId="0" xr:uid="{F32BC9FE-27CD-44B4-827D-4CCC9A0D5D8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647" authorId="5" shapeId="0" xr:uid="{C24D06D5-0FE5-4A3B-AA0C-018BCF05B94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648" authorId="5" shapeId="0" xr:uid="{16038EE8-911E-447E-8CA0-3B131F14040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650" authorId="5" shapeId="0" xr:uid="{D816248A-81FC-4203-9882-45E456EF9662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2 GIRO </t>
        </r>
      </text>
    </comment>
    <comment ref="A653" authorId="5" shapeId="0" xr:uid="{DC6ADC37-7487-43C8-A048-9C854BF9CC7C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97º CHUVA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Kalito Silva</author>
    <author>Leonardo da Silva Santos</author>
    <author>Walison Almeida Santos Lima</author>
    <author>Carlos Santos</author>
    <author>Maicon Douglas Leite de Almeida</author>
  </authors>
  <commentList>
    <comment ref="A21" authorId="0" shapeId="0" xr:uid="{05275077-9098-4AFE-8E5E-C916325E682E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30" authorId="0" shapeId="0" xr:uid="{0CC0A60B-44AF-4D2A-97E7-376E25D74289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64" authorId="0" shapeId="0" xr:uid="{4069BD45-127F-43FD-929D-AFF1E3544BE1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177" authorId="1" shapeId="0" xr:uid="{B4E63187-D69C-43DB-ADD9-E83BC09551E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78" authorId="1" shapeId="0" xr:uid="{8F6731A6-465C-433B-8D85-0FC6555CF3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APLICAÇÃO VIA HERCULIS
</t>
        </r>
      </text>
    </comment>
    <comment ref="A179" authorId="1" shapeId="0" xr:uid="{A5307D22-7CD2-4D4E-997B-08FF05B2E3B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 UREIA</t>
        </r>
      </text>
    </comment>
    <comment ref="A180" authorId="1" shapeId="0" xr:uid="{5386BCED-6E1D-49E2-B31F-65FB888E2A1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81" authorId="1" shapeId="0" xr:uid="{6702E45B-AB85-4070-A7AD-89A1D27A2A4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88" authorId="1" shapeId="0" xr:uid="{541322BB-BC85-418B-8265-628892C58BE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HERCULES</t>
        </r>
      </text>
    </comment>
    <comment ref="A235" authorId="1" shapeId="0" xr:uid="{68A97B04-AC0A-4C6C-8B61-6D095F491D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43" authorId="2" shapeId="0" xr:uid="{5FC370F0-02CB-4740-A589-FFCFE46416A3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 Ferti KCL </t>
        </r>
      </text>
    </comment>
    <comment ref="A283" authorId="1" shapeId="0" xr:uid="{342F6797-96C9-4C48-9F92-5DFB3384BF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84" authorId="1" shapeId="0" xr:uid="{0DB20F7D-33EF-41AC-BB8D-D3D458BE86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85" authorId="1" shapeId="0" xr:uid="{7FF91326-714A-42D6-B2F3-44A6F2B62F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86" authorId="1" shapeId="0" xr:uid="{5EDE9598-5D3B-4E38-ABD3-E774E84CDA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87" authorId="1" shapeId="0" xr:uid="{5293E8F7-56FB-4E8F-BADB-80145B75221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88" authorId="1" shapeId="0" xr:uid="{B0637B02-DC4B-47CE-8327-724BE41125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94" authorId="1" shapeId="0" xr:uid="{9B487979-8670-4E0A-80D1-6E4BAA2E3B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95" authorId="1" shapeId="0" xr:uid="{B6E50368-CA39-4291-BBAC-2A3C45609E2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06" authorId="1" shapeId="0" xr:uid="{9D9CE1E6-C149-4BB2-90C5-423782A294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B314" authorId="1" shapeId="0" xr:uid="{ED34568C-6F05-4C9C-8E60-C49A745089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50" authorId="1" shapeId="0" xr:uid="{68C4EB0E-3ECC-4BC4-B29C-B0F4264E39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68" authorId="1" shapeId="0" xr:uid="{1CDA002F-8A6B-4B2E-AEDD-24F3546BB6C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385" authorId="3" shapeId="0" xr:uid="{4EADC115-95D7-4F72-85A8-C817D1EF85A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 / UREIA </t>
        </r>
      </text>
    </comment>
    <comment ref="A417" authorId="1" shapeId="0" xr:uid="{0E8777D5-46AD-4FE3-AC54-95FEA6103AD2}">
      <text>
        <r>
          <rPr>
            <sz val="11"/>
            <color theme="1"/>
            <rFont val="Calibri"/>
            <family val="2"/>
            <scheme val="minor"/>
          </rPr>
          <t xml:space="preserve">Kalito Silva:
1/2
</t>
        </r>
      </text>
    </comment>
    <comment ref="A419" authorId="3" shapeId="0" xr:uid="{5AFEAF71-1E33-450D-98C1-3D524F0C4C9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20" authorId="3" shapeId="0" xr:uid="{946C9248-D905-442E-9035-FB6D8D4C826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21" authorId="3" shapeId="0" xr:uid="{27216904-2BD8-426A-BF61-B4B9CDF703A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22" authorId="3" shapeId="0" xr:uid="{11C27F89-6C8E-4399-81CB-1FA7B7ACE9B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23" authorId="4" shapeId="0" xr:uid="{71845F5C-BAFB-4C00-A7C4-AFE489E1001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434" authorId="4" shapeId="0" xr:uid="{E2658A67-7031-491E-B330-617CE6A3E405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44" authorId="4" shapeId="0" xr:uid="{CFA7EC63-7066-4759-AD69-413F3FCCD519}">
      <text>
        <r>
          <rPr>
            <b/>
            <sz val="9"/>
            <color indexed="81"/>
            <rFont val="Segoe UI"/>
            <family val="2"/>
          </rPr>
          <t xml:space="preserve">Carlos Santos:
</t>
        </r>
        <r>
          <rPr>
            <sz val="9"/>
            <color indexed="81"/>
            <rFont val="Segoe UI"/>
            <family val="2"/>
          </rPr>
          <t>CHUVA</t>
        </r>
      </text>
    </comment>
    <comment ref="A455" authorId="5" shapeId="0" xr:uid="{4106A4D9-9F1A-4182-A058-D66FC41335B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464" authorId="5" shapeId="0" xr:uid="{F93ECEE7-73BE-40D2-9485-20A6822DD9A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Walison Almeida Santos Lima</author>
    <author>Carlos Santos</author>
    <author>Maicon Douglas Leite de Almeida</author>
  </authors>
  <commentList>
    <comment ref="A24" authorId="0" shapeId="0" xr:uid="{D98B0259-88C6-4757-B8CA-A6BC4DB073CD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33" authorId="0" shapeId="0" xr:uid="{578DFC41-7DAE-43BE-B38E-2641B09A461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63" authorId="0" shapeId="0" xr:uid="{44CA15FB-5AA7-4CDA-B302-2B50CB13DAB1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68" authorId="1" shapeId="0" xr:uid="{D1163F76-940A-47AE-8423-79D3161BC540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27" authorId="1" shapeId="0" xr:uid="{302A5E1D-68A8-414A-94F0-4F3EE6A7B12D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59" authorId="2" shapeId="0" xr:uid="{8396D2FC-6964-4F14-A244-7B8C5CF4523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aplicação via hercules
</t>
        </r>
      </text>
    </comment>
    <comment ref="A161" authorId="2" shapeId="0" xr:uid="{55B9C35E-89DF-4CC1-834D-F43CF9D29F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VIA HERCULES 1/2</t>
        </r>
      </text>
    </comment>
    <comment ref="A222" authorId="2" shapeId="0" xr:uid="{DBFD9DA8-3BA0-4F38-AC35-F48B318D081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69" authorId="2" shapeId="0" xr:uid="{54D0B793-0DEC-4720-AAF8-98D13EA66D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70" authorId="2" shapeId="0" xr:uid="{21C4C431-BADC-4F2C-A7BF-D7A3CDCEA66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71" authorId="2" shapeId="0" xr:uid="{3661A867-F43B-47F6-8610-63163D5D525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72" authorId="2" shapeId="0" xr:uid="{E3008890-0E4A-44EF-93C8-81F1E8AAFBF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85" authorId="2" shapeId="0" xr:uid="{4C1C5583-9016-40F2-82F7-F57F74B8F8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292" authorId="2" shapeId="0" xr:uid="{8E61187A-E90E-4E5B-AFEA-CECC0070569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32" authorId="2" shapeId="0" xr:uid="{0BA98220-8AE8-42F9-85DF-87636EBE97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49" authorId="2" shapeId="0" xr:uid="{E2A9090D-D9AC-4365-8B44-DBE99055A1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367" authorId="3" shapeId="0" xr:uid="{822E8543-8656-49E7-B2FC-1552DBF0EA8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FERTRI / UREIA</t>
        </r>
      </text>
    </comment>
    <comment ref="A404" authorId="2" shapeId="0" xr:uid="{54C13D66-1417-4218-B555-6A025DE3A485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406" authorId="4" shapeId="0" xr:uid="{359E867D-23AD-43D8-A1D1-9A287874548D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TESTE DE UNIFORMIDADE</t>
        </r>
      </text>
    </comment>
    <comment ref="A422" authorId="4" shapeId="0" xr:uid="{0D96DC17-DCAA-44FE-A28B-9669CAE46D6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41" authorId="5" shapeId="0" xr:uid="{E6B48F5B-298B-4D02-988E-C52F95EC47B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449" authorId="5" shapeId="0" xr:uid="{E2491766-8EBE-4BEF-AA52-E80876CFDB7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50" authorId="5" shapeId="0" xr:uid="{55202595-EC17-4AB1-AACD-F12D08FCE2B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55" authorId="5" shapeId="0" xr:uid="{BA04BC4B-A202-4822-AC6A-53C94DD08EF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45º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Walison Almeida Santos Lima</author>
    <author>Carlos Santos</author>
    <author>Maicon Douglas Leite de Almeida</author>
  </authors>
  <commentList>
    <comment ref="A29" authorId="0" shapeId="0" xr:uid="{A78F8046-F85A-42E8-892F-0CFFF7A6951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58" authorId="1" shapeId="0" xr:uid="{CF4C3EFB-008A-4EE3-A5C0-D18F648860B2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Pos ureia</t>
        </r>
      </text>
    </comment>
    <comment ref="A66" authorId="0" shapeId="0" xr:uid="{FA07CC9E-63DB-4257-BD82-82ADCFA2F5D2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67" authorId="0" shapeId="0" xr:uid="{3DE277C4-928F-452C-920A-D835D535F6F6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143" authorId="2" shapeId="0" xr:uid="{E131522B-FB5E-4B6C-9E4D-DCDB7E19226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
1/2 PIVÔ</t>
        </r>
      </text>
    </comment>
    <comment ref="A144" authorId="2" shapeId="0" xr:uid="{A22980AD-75E3-4BC3-8522-927B2FFCE1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VIA HERCULES</t>
        </r>
      </text>
    </comment>
    <comment ref="A147" authorId="2" shapeId="0" xr:uid="{2C4F967C-B0A5-42E5-A222-268E0FFE3DD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HERCÚLES 1/2</t>
        </r>
      </text>
    </comment>
    <comment ref="A151" authorId="2" shapeId="0" xr:uid="{EB293369-F8EC-433D-8F8E-C589ADFDF6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HERCULES</t>
        </r>
      </text>
    </comment>
    <comment ref="A217" authorId="2" shapeId="0" xr:uid="{69832914-7D3F-4FCF-BBD2-5D5B833D18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26" authorId="2" shapeId="0" xr:uid="{06CD1A1F-41C6-4DF0-AD66-A637272811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BIOND e BIOAZ</t>
        </r>
      </text>
    </comment>
    <comment ref="A247" authorId="2" shapeId="0" xr:uid="{B5A7F2A1-FB9D-4E25-AEE9-D2C1DE13AD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13" authorId="2" shapeId="0" xr:uid="{23509902-8C9F-46D0-A9F0-0EE22FCB8B9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nd e bio az e bio mega </t>
        </r>
      </text>
    </comment>
    <comment ref="A319" authorId="2" shapeId="0" xr:uid="{7B13EA2C-6861-4C30-A404-2E59A57916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Irrigou 100º para abaixar o canal</t>
        </r>
      </text>
    </comment>
    <comment ref="A320" authorId="2" shapeId="0" xr:uid="{43229E1F-DEF8-4B49-8F37-DC0F4E974A6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22" authorId="2" shapeId="0" xr:uid="{C4E97B6B-A257-42D1-95F9-8D8DA3187ED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337" authorId="3" shapeId="0" xr:uid="{453168C9-1E73-4445-9357-94D33CC86AE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</t>
        </r>
      </text>
    </comment>
    <comment ref="A347" authorId="3" shapeId="0" xr:uid="{CF067663-A5AF-46DF-B85C-C8521A92BF9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A365" authorId="3" shapeId="0" xr:uid="{B3974098-30BF-44C8-9799-C32CBDFE6DA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 </t>
        </r>
      </text>
    </comment>
    <comment ref="A417" authorId="2" shapeId="0" xr:uid="{DDB92DC0-A5BA-416C-9F3F-F931824018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 Bio AZ, Bio ND e Bio Mega</t>
        </r>
      </text>
    </comment>
    <comment ref="A438" authorId="4" shapeId="0" xr:uid="{4BD5B54A-F57E-4274-AF30-9EEB8217BD24}">
      <text>
        <r>
          <rPr>
            <b/>
            <sz val="9"/>
            <color indexed="81"/>
            <rFont val="Segoe UI"/>
            <family val="2"/>
          </rPr>
          <t>Carlos Santos:
chuva 
1/2</t>
        </r>
      </text>
    </comment>
    <comment ref="A454" authorId="4" shapeId="0" xr:uid="{1679978F-C7AE-49AD-BC29-A4BBDCE3A61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55" authorId="4" shapeId="0" xr:uid="{9C93C04E-7B00-4B39-A47C-771E75D6990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58" authorId="4" shapeId="0" xr:uid="{C92F3B6A-1525-434B-BBA7-CE2B48E7341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59" authorId="4" shapeId="0" xr:uid="{EF4AE7DF-1943-4FD8-B2E5-2986ACC84D5D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 
</t>
        </r>
      </text>
    </comment>
    <comment ref="A460" authorId="4" shapeId="0" xr:uid="{979F68FF-BC15-4D20-B66A-C595EA5A7DF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69" authorId="5" shapeId="0" xr:uid="{D3B97049-1E08-443F-A5FB-3BE9A20D8EC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 1/2</t>
        </r>
      </text>
    </comment>
    <comment ref="A474" authorId="5" shapeId="0" xr:uid="{51881427-AED9-4CCB-9348-95209BF07C6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 </t>
        </r>
      </text>
    </comment>
    <comment ref="A490" authorId="5" shapeId="0" xr:uid="{DAA5238C-570B-42ED-8B44-873AF5F7BF0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496" authorId="5" shapeId="0" xr:uid="{A93A66D9-16EE-42DC-BF11-17037405D07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497" authorId="5" shapeId="0" xr:uid="{C17ADCCE-CCD2-4FD5-BDF5-B0D254CF5F1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498" authorId="5" shapeId="0" xr:uid="{49607251-1826-469E-AC9C-74EF452A90D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499" authorId="5" shapeId="0" xr:uid="{0536AA76-F4EB-4DF2-B928-EA506CE2529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507" authorId="5" shapeId="0" xr:uid="{FEE50F5C-DAF3-41F5-98EE-0BA1529E1AD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40º TESTE </t>
        </r>
      </text>
    </comment>
    <comment ref="A510" authorId="5" shapeId="0" xr:uid="{7A8D3C97-8505-4B58-A120-CFDAC38F665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511" authorId="5" shapeId="0" xr:uid="{602CEC8F-68BD-4BDC-BA55-188181DFD8F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BATE VOLTA </t>
        </r>
      </text>
    </comment>
    <comment ref="A512" authorId="5" shapeId="0" xr:uid="{E1743859-2A7F-4904-8F5D-55D3E37281D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BATE E VOLTA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Kalito Silva</author>
    <author>Kálito Wilk</author>
    <author>Walison Almeida Santos Lima</author>
    <author>Carlos Santos</author>
    <author>Maicon Douglas Leite de Almeida</author>
  </authors>
  <commentList>
    <comment ref="A19" authorId="0" shapeId="0" xr:uid="{980DF761-FB7C-4C60-9C51-448BC8386D0E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30" authorId="0" shapeId="0" xr:uid="{24595D23-AD5D-4C9B-B094-467EC851C560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33" authorId="0" shapeId="0" xr:uid="{C8A52535-A9F6-4173-BDE8-BADA3B370A71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ureia</t>
        </r>
      </text>
    </comment>
    <comment ref="A59" authorId="0" shapeId="0" xr:uid="{F17AB6BE-E098-476A-8F11-80BC586EBDA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70" authorId="0" shapeId="0" xr:uid="{D2F95E3E-D21F-46B6-895D-5EB4566548A8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109" authorId="1" shapeId="0" xr:uid="{D9F46B3B-FF0C-4C07-9774-FE1E2958427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10" authorId="1" shapeId="0" xr:uid="{E35311ED-5BC3-4DC4-88DF-1F478C0A90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03" authorId="1" shapeId="0" xr:uid="{12471106-C5F0-455E-9443-6F2D45A3E6B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Aplicação de Pirynex</t>
        </r>
      </text>
    </comment>
    <comment ref="A206" authorId="1" shapeId="0" xr:uid="{1DCF9C78-CE3A-4EAA-8D4B-910E43ADA4B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17" authorId="1" shapeId="0" xr:uid="{FD3C730E-A5C8-4999-B994-59A45AF5FE9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 Exalt + Assist</t>
        </r>
      </text>
    </comment>
    <comment ref="A220" authorId="1" shapeId="0" xr:uid="{B921EA8B-C9AC-436E-B7C9-FE3F2F6ECA4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 PROCLAIM + AVATAR + ASSIST</t>
        </r>
      </text>
    </comment>
    <comment ref="A224" authorId="1" shapeId="0" xr:uid="{BED6063A-634A-434E-904A-C5029E4AA1B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 EXALT + ASSIST</t>
        </r>
      </text>
    </comment>
    <comment ref="A228" authorId="1" shapeId="0" xr:uid="{C3862FB5-D0D5-4668-854A-874B587F62D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30" authorId="1" shapeId="0" xr:uid="{331914E6-DB98-40CB-8B48-5A58A189BA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PREPARO DE SOLO</t>
        </r>
      </text>
    </comment>
    <comment ref="A246" authorId="1" shapeId="0" xr:uid="{7BCC2022-FF22-4D14-B5C8-9F1818CB9C5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Pirinex</t>
        </r>
      </text>
    </comment>
    <comment ref="A249" authorId="1" shapeId="0" xr:uid="{1021D037-2057-4C5D-8C14-A63DB66AFF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Pirinex</t>
        </r>
      </text>
    </comment>
    <comment ref="A269" authorId="1" shapeId="0" xr:uid="{E049F5C4-FDC9-452F-A0F1-BD57FB61CC0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+ volubis</t>
        </r>
      </text>
    </comment>
    <comment ref="A277" authorId="1" shapeId="0" xr:uid="{E3CABFFC-CD52-4E41-A798-17F0A6FD673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88" authorId="1" shapeId="0" xr:uid="{CD529A0F-349A-4AB9-AE4D-9E66378CF2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PROCLAIN e CLORPIRIFOS</t>
        </r>
      </text>
    </comment>
    <comment ref="A295" authorId="1" shapeId="0" xr:uid="{62E70172-3FC3-4C24-B057-240D1A8DF4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e ASSIST</t>
        </r>
      </text>
    </comment>
    <comment ref="A305" authorId="1" shapeId="0" xr:uid="{71FA9BD6-7728-4777-BEC3-55E3CAD089D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10" authorId="1" shapeId="0" xr:uid="{EA51B4FC-A567-4F58-BA70-6CC6A869F9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318" authorId="1" shapeId="0" xr:uid="{BB0E84F2-6C6F-4B6A-AD56-EB925132A63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71" authorId="1" shapeId="0" xr:uid="{5A439733-6450-4567-AF6E-9E40FA206199}">
      <text>
        <r>
          <rPr>
            <b/>
            <sz val="9"/>
            <color indexed="81"/>
            <rFont val="Segoe UI"/>
            <family val="2"/>
          </rPr>
          <t xml:space="preserve">Kalito Silva:
Fertu Ureia
</t>
        </r>
      </text>
    </comment>
    <comment ref="A376" authorId="1" shapeId="0" xr:uid="{B7185002-FB60-411B-ABA2-CCFF7FA95E8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382" authorId="1" shapeId="0" xr:uid="{470DC925-D25D-40A0-8304-CB5D9B7821A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 200 p/há</t>
        </r>
      </text>
    </comment>
    <comment ref="A433" authorId="1" shapeId="0" xr:uid="{082EC588-535D-496F-930E-28D2E5DEF8B6}">
      <text>
        <r>
          <rPr>
            <sz val="11"/>
            <color theme="1"/>
            <rFont val="Calibri"/>
            <family val="2"/>
            <scheme val="minor"/>
          </rPr>
          <t>Kalito Silva:
Ferti Ureia</t>
        </r>
      </text>
    </comment>
    <comment ref="A437" authorId="1" shapeId="0" xr:uid="{46A49054-3424-48A6-AC9D-9B7C31E418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46" authorId="1" shapeId="0" xr:uid="{C6AA3380-4852-41C8-9385-F09363CF56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52" authorId="1" shapeId="0" xr:uid="{BBF0BBCF-DE2B-4D9C-8338-1536C8CD790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99" authorId="2" shapeId="0" xr:uid="{56B63F63-D086-4885-BE41-DB853543694B}">
      <text>
        <r>
          <rPr>
            <b/>
            <sz val="9"/>
            <color indexed="81"/>
            <rFont val="Segoe UI"/>
            <family val="2"/>
          </rPr>
          <t>Kálito Wilk:</t>
        </r>
        <r>
          <rPr>
            <sz val="9"/>
            <color indexed="81"/>
            <rFont val="Segoe UI"/>
            <family val="2"/>
          </rPr>
          <t xml:space="preserve">
Ferti Biu ND e Bio AZ e Bio Mega</t>
        </r>
      </text>
    </comment>
    <comment ref="A528" authorId="3" shapeId="0" xr:uid="{8DE45CB4-3CEE-4927-9FE7-FC28ED82394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PAINEL MARCANDO ERRADO HISTORICO MOLHADO </t>
        </r>
      </text>
    </comment>
    <comment ref="A539" authorId="3" shapeId="0" xr:uid="{AC5D6A4D-D672-4001-91D2-97D72576CC2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PÓS UREIA </t>
        </r>
      </text>
    </comment>
    <comment ref="A549" authorId="3" shapeId="0" xr:uid="{DCC3A763-0DAF-4685-BB4F-38CD97F1C29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 </t>
        </r>
      </text>
    </comment>
    <comment ref="A568" authorId="1" shapeId="0" xr:uid="{05B87384-08EF-4253-B3A3-8D5F820BFFEE}">
      <text>
        <r>
          <rPr>
            <sz val="11"/>
            <color theme="1"/>
            <rFont val="Calibri"/>
            <family val="2"/>
            <scheme val="minor"/>
          </rPr>
          <t>Kalito Silva:
CONFERIR</t>
        </r>
      </text>
    </comment>
    <comment ref="A578" authorId="4" shapeId="0" xr:uid="{6444A791-42A4-487E-B2C8-14BF8795422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79" authorId="4" shapeId="0" xr:uid="{CEF2A3C1-9626-4AED-98B4-5A5AF11EEA1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80" authorId="4" shapeId="0" xr:uid="{38CD4B49-72B5-41AA-837D-DB3B985AF82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ANTI HORARIO
</t>
        </r>
      </text>
    </comment>
    <comment ref="A581" authorId="4" shapeId="0" xr:uid="{58C4214B-0932-4D69-A85A-5444D8D86DB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83" authorId="1" shapeId="0" xr:uid="{46FE5358-9A52-4042-AB3A-60E4D6427F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plantio</t>
        </r>
      </text>
    </comment>
    <comment ref="A599" authorId="4" shapeId="0" xr:uid="{50E7A0BC-800C-4813-8ABD-2A3187DF7D5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teste de uniformidade</t>
        </r>
      </text>
    </comment>
    <comment ref="A623" authorId="4" shapeId="0" xr:uid="{694C5EA0-C4A3-49EF-AB79-6D1157C25B0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624" authorId="4" shapeId="0" xr:uid="{16C6951C-91E5-4BB2-B013-D1879BABEEF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645" authorId="5" shapeId="0" xr:uid="{34C178C7-9006-4BC3-8273-4D63C15DDC7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comfirmar</t>
        </r>
      </text>
    </comment>
    <comment ref="A647" authorId="5" shapeId="0" xr:uid="{2CB61756-6236-416A-8615-8843AC2EC4F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657" authorId="5" shapeId="0" xr:uid="{7C50BED9-1B17-4B3B-94C1-79F2E5F37C4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658" authorId="5" shapeId="0" xr:uid="{AA817766-4361-4553-B316-7879408A581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672" authorId="5" shapeId="0" xr:uid="{97CA6E97-5650-4CA5-895D-33A63EE008F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FERTIRIGAÇÃO </t>
        </r>
      </text>
    </comment>
    <comment ref="A677" authorId="5" shapeId="0" xr:uid="{5E070227-BCEB-4565-B813-971FF918B6F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678" authorId="5" shapeId="0" xr:uid="{6D060C26-2D25-41F9-B2E2-8EDBE1A6FB7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</t>
        </r>
      </text>
    </comment>
    <comment ref="A679" authorId="5" shapeId="0" xr:uid="{D308032C-D8F3-4A8C-A7E5-668D985EBA5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680" authorId="5" shapeId="0" xr:uid="{796321A0-9D56-4CFE-95B0-96EB2A38A3F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690" authorId="5" shapeId="0" xr:uid="{CA1B8FEF-496A-4F11-AFA4-DD01EBF5B37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BATE E VOLTA 1/2 PIVO </t>
        </r>
      </text>
    </comment>
    <comment ref="A691" authorId="5" shapeId="0" xr:uid="{C1DC4293-9207-45B7-B37A-0035204121D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BATE E VOLTA </t>
        </r>
      </text>
    </comment>
    <comment ref="A696" authorId="5" shapeId="0" xr:uid="{67AD4A19-4772-4168-A482-52D663F5F61A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CHUVA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Walison Almeida Santos Lima</author>
    <author>Carlos Santos</author>
    <author>Maicon Douglas Leite de Almeida</author>
  </authors>
  <commentList>
    <comment ref="A21" authorId="0" shapeId="0" xr:uid="{85A2B1A5-65C2-44D1-A5AD-A6183738632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6" authorId="0" shapeId="0" xr:uid="{3B1008F8-DB58-43A9-853E-5E419D4668EE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33" authorId="1" shapeId="0" xr:uid="{13DD39FF-C915-4A13-AB32-8E9A3BA9C5D0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Fértirrigação ureia</t>
        </r>
      </text>
    </comment>
    <comment ref="A51" authorId="0" shapeId="0" xr:uid="{775EB421-C87F-4B27-938E-FE784D670BB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55" authorId="1" shapeId="0" xr:uid="{3219C136-FEC6-4BFA-BDB0-8002569EEBAC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 PIVÔ</t>
        </r>
      </text>
    </comment>
    <comment ref="A63" authorId="0" shapeId="0" xr:uid="{7950AF0A-F260-40C9-8CA3-EA2C60EE63B9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166" authorId="2" shapeId="0" xr:uid="{EF731570-13B2-4567-A438-5E2327A576D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HERCULES</t>
        </r>
      </text>
    </comment>
    <comment ref="A230" authorId="2" shapeId="0" xr:uid="{7524746E-50FE-4163-8DCE-5E23B1629B4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32" authorId="2" shapeId="0" xr:uid="{321B38F3-95A7-4B0D-BEB2-D3E8B78FCAF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56" authorId="2" shapeId="0" xr:uid="{0671A74F-88BA-4996-9CA3-46380A3DE78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31" authorId="2" shapeId="0" xr:uid="{AD5FD59D-1AE5-404A-8EED-290B5DE0558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az e bio nd e bio mega</t>
        </r>
      </text>
    </comment>
    <comment ref="A338" authorId="2" shapeId="0" xr:uid="{3190697E-800A-404C-98B1-A8D29BD7173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39" authorId="2" shapeId="0" xr:uid="{3A73AC7F-B850-414D-8416-3A55B78F0F4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69" authorId="3" shapeId="0" xr:uid="{EED6537D-A3C4-45D2-A13D-C1B128B2A0E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375" authorId="3" shapeId="0" xr:uid="{243C79BB-DDF2-437B-B9B5-D576E4E56E6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PÓS UREIA </t>
        </r>
      </text>
    </comment>
    <comment ref="A386" authorId="3" shapeId="0" xr:uid="{43165A99-5EAF-4982-B3A1-B5E46029636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92" authorId="3" shapeId="0" xr:uid="{6B08FF8C-E13C-409E-99A1-DCDFAF81597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03" authorId="2" shapeId="0" xr:uid="{3954AA1C-0A59-4ED3-B8C2-34F880191F4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Houve um erro na contagem do horimetro, dentro de  26s contabilizou 42,9h
As 22:23:20 estava 766,9
As 22:23:46 estava 809,9</t>
        </r>
      </text>
    </comment>
    <comment ref="A417" authorId="4" shapeId="0" xr:uid="{22ACA263-0C78-4D41-8F37-FE64F135E88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418" authorId="4" shapeId="0" xr:uid="{34233D0A-F516-4A97-83C8-BBCDBDDA598D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419" authorId="2" shapeId="0" xr:uid="{D3D195D4-79BF-4B5C-8B65-DA02F485770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plantio</t>
        </r>
      </text>
    </comment>
    <comment ref="A476" authorId="4" shapeId="0" xr:uid="{CB053AAD-D72B-4504-B7CA-DD863244876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 ANTI HORARIO</t>
        </r>
      </text>
    </comment>
    <comment ref="A477" authorId="4" shapeId="0" xr:uid="{96C28360-50D2-4761-8F6B-2EEB5A33DC7D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94" authorId="5" shapeId="0" xr:uid="{734669D2-D739-45AF-94EE-4C54535B140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95" authorId="5" shapeId="0" xr:uid="{13BE3E91-432F-4CFF-BA67-6CD8EE9FE88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497" authorId="5" shapeId="0" xr:uid="{DC982BA8-3DD4-47F2-9BA2-22619FBB215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98" authorId="5" shapeId="0" xr:uid="{C4715CEC-C359-4317-BDC2-9A23E588A59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514" authorId="5" shapeId="0" xr:uid="{3F7969CA-5ACC-4445-8E9F-473305D558B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519" authorId="5" shapeId="0" xr:uid="{099700E7-A992-43CA-9052-6677357E5AA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520" authorId="5" shapeId="0" xr:uid="{1D0E6122-31DE-44B0-A37E-2ACD8D56586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521" authorId="5" shapeId="0" xr:uid="{7902C27A-00B6-4C67-AC3A-64D60535DC0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45º TESTE </t>
        </r>
      </text>
    </comment>
    <comment ref="A530" authorId="5" shapeId="0" xr:uid="{47C824C0-5E9B-480D-9BD8-888D75D8438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45º TESTE </t>
        </r>
      </text>
    </comment>
    <comment ref="A531" authorId="3" shapeId="0" xr:uid="{8B133186-6B5C-4B3C-A9C5-E8D62689A92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BATE E VOLTA</t>
        </r>
      </text>
    </comment>
    <comment ref="A532" authorId="5" shapeId="0" xr:uid="{0BDE3B8B-EF0C-4258-A14F-E13C49C09B2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533" authorId="5" shapeId="0" xr:uid="{B4A86659-8F12-43E7-A5D6-8E5ED774B1D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45º</t>
        </r>
      </text>
    </comment>
    <comment ref="A536" authorId="5" shapeId="0" xr:uid="{74D7F3FA-94C6-4750-8A3D-372B535CD64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BATE E VOLTA </t>
        </r>
      </text>
    </comment>
    <comment ref="A540" authorId="5" shapeId="0" xr:uid="{DB1A4F35-E303-4E18-9D7B-FC1DC61FD803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2 GIRO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Leonardo da Silva Santos</author>
    <author>Walison Almeida Santos Lima</author>
    <author>Carlos Santos</author>
    <author>Maicon Douglas Leite de Almeida</author>
  </authors>
  <commentList>
    <comment ref="A21" authorId="0" shapeId="0" xr:uid="{26549D41-9AB4-4FB4-9BB4-39ED8853966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7" authorId="0" shapeId="0" xr:uid="{ED17D14C-DC12-4A88-955A-6EFBBC04307F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88" authorId="1" shapeId="0" xr:uid="{458B8572-B06D-41CF-B481-A21E16F7231F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½</t>
        </r>
      </text>
    </comment>
    <comment ref="A113" authorId="2" shapeId="0" xr:uid="{7E64FF36-F13A-44EF-A909-1628B4199D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 UREIA
</t>
        </r>
      </text>
    </comment>
    <comment ref="A166" authorId="2" shapeId="0" xr:uid="{A5078C14-BD42-4A20-8A19-7144FA58039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67" authorId="2" shapeId="0" xr:uid="{61FEF82F-3661-43E6-804D-D7D0B0B2EBB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71" authorId="2" shapeId="0" xr:uid="{E083BD86-7EC1-4C8C-9CFC-66EAD1306C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89" authorId="2" shapeId="0" xr:uid="{4F2CA515-C4E6-49EF-BA2D-5B1F5330FE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pyrinex + proclaim</t>
        </r>
      </text>
    </comment>
    <comment ref="A193" authorId="2" shapeId="0" xr:uid="{01ED6918-60A0-4558-AA3C-95153F494A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VOLUBIS</t>
        </r>
      </text>
    </comment>
    <comment ref="A197" authorId="2" shapeId="0" xr:uid="{CFB4E116-7565-46C3-881F-57D5F1B30B1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APÓS UREIA</t>
        </r>
      </text>
    </comment>
    <comment ref="A205" authorId="2" shapeId="0" xr:uid="{A4072CE8-2AC2-4FE8-8AD7-A5ED8885ED3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12" authorId="2" shapeId="0" xr:uid="{02ED1AAC-EBE7-4C82-B88C-F7B0859C515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e ASSIST</t>
        </r>
      </text>
    </comment>
    <comment ref="A232" authorId="2" shapeId="0" xr:uid="{56F4F514-2F4D-4F10-87BF-514704E89A6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39" authorId="2" shapeId="0" xr:uid="{E3F76AC5-C8B7-4144-A1CF-1B768252770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48" authorId="2" shapeId="0" xr:uid="{D8A07A08-9E63-4B59-9996-37559DB79F5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65" authorId="2" shapeId="0" xr:uid="{9E162B2C-4D28-4E4C-A1B1-66AA54BA58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76" authorId="2" shapeId="0" xr:uid="{50426C07-D5D0-4E0D-B013-68B0F72B1E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85" authorId="3" shapeId="0" xr:uid="{DD30A7EB-F8A0-4771-8536-FD24C2F97465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kcl </t>
        </r>
      </text>
    </comment>
    <comment ref="A356" authorId="2" shapeId="0" xr:uid="{9241E765-E4E1-4893-A540-DFE95F2747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nd e bio az e bio mega</t>
        </r>
      </text>
    </comment>
    <comment ref="A365" authorId="2" shapeId="0" xr:uid="{D606887E-3941-4C4E-BDD9-414C2D6974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 100%</t>
        </r>
      </text>
    </comment>
    <comment ref="A405" authorId="4" shapeId="0" xr:uid="{8455E89E-C20D-459A-BB0B-29EEE282189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PÓS UREIA </t>
        </r>
      </text>
    </comment>
    <comment ref="A414" authorId="4" shapeId="0" xr:uid="{3E92FB5D-2D8A-472A-A667-3A4B32C9392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 </t>
        </r>
      </text>
    </comment>
    <comment ref="A437" authorId="2" shapeId="0" xr:uid="{9F5E88D2-63B3-4597-8588-85C948D49680}">
      <text>
        <r>
          <rPr>
            <sz val="11"/>
            <color theme="1"/>
            <rFont val="Calibri"/>
            <family val="2"/>
            <scheme val="minor"/>
          </rPr>
          <t>Kalito Silva:
SOMENTE 210º HORARIO</t>
        </r>
      </text>
    </comment>
    <comment ref="A448" authorId="5" shapeId="0" xr:uid="{B255F681-BAC1-468E-B903-C8DC04C48EE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49" authorId="5" shapeId="0" xr:uid="{BB68050E-C0B4-45E8-9672-334DC77C86E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50" authorId="5" shapeId="0" xr:uid="{FFE5182C-D2B6-41AB-A0E5-B0AD4C091499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452" authorId="2" shapeId="0" xr:uid="{FA2C8FF0-BF45-4DFE-A63C-B83DF4502D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1/2 - CHOVEU</t>
        </r>
      </text>
    </comment>
    <comment ref="A458" authorId="2" shapeId="0" xr:uid="{3A5A4B24-ECD1-49D2-97EF-0A9144B31DF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459" authorId="5" shapeId="0" xr:uid="{7A3B19DD-EBF0-4529-A862-C4638E3E081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 Horario</t>
        </r>
      </text>
    </comment>
    <comment ref="A465" authorId="5" shapeId="0" xr:uid="{2DE12DCC-6FE2-46A6-A8C4-A6A241B473D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anti horario
</t>
        </r>
      </text>
    </comment>
    <comment ref="A502" authorId="5" shapeId="0" xr:uid="{8011A832-721B-4CFD-AA60-528867F5DC1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528" authorId="6" shapeId="0" xr:uid="{D2A6530D-EF16-4373-B776-C508DDA3CA7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543" authorId="6" shapeId="0" xr:uid="{34B7D85E-7F05-4480-AB9D-30C90D3A710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548" authorId="6" shapeId="0" xr:uid="{28B16D85-2770-4536-ADBF-9944CCCA6D6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549" authorId="6" shapeId="0" xr:uid="{C8E89F27-6377-4659-B980-F45EBBE4FE9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Kalito Silva</author>
    <author>Kálito Wilk</author>
    <author>Walison Almeida Santos Lima</author>
    <author>Carlos Santos</author>
  </authors>
  <commentList>
    <comment ref="A23" authorId="0" shapeId="0" xr:uid="{9C895A23-588D-4493-98FD-37F3EEFCFAC0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8" authorId="0" shapeId="0" xr:uid="{D3214FA2-F9C2-4EFA-9482-3C3AF1A1226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58" authorId="0" shapeId="0" xr:uid="{761C4495-2840-4D55-96DB-0D2E342F03B5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 </t>
        </r>
      </text>
    </comment>
    <comment ref="A96" authorId="1" shapeId="0" xr:uid="{EFB27997-F4B4-408A-9F1B-B3796337FB7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 UREIA
</t>
        </r>
      </text>
    </comment>
    <comment ref="A139" authorId="1" shapeId="0" xr:uid="{976BCBC6-B4E7-4E27-952D-F17CF81E9A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49" authorId="1" shapeId="0" xr:uid="{977D5D7E-6345-4ABF-82E1-ECB2E3F3F96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pyrinex + proclaim</t>
        </r>
      </text>
    </comment>
    <comment ref="A152" authorId="1" shapeId="0" xr:uid="{1DCD9FBE-6B7E-4EA5-933C-8EA0FF37F5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VOLUBIS</t>
        </r>
      </text>
    </comment>
    <comment ref="A176" authorId="1" shapeId="0" xr:uid="{FA0C4DA2-AC97-4C89-BA61-5A20521561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e ASSIST</t>
        </r>
      </text>
    </comment>
    <comment ref="A185" authorId="1" shapeId="0" xr:uid="{B356C391-F01F-4C99-A2A5-2EE8B537DB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195" authorId="1" shapeId="0" xr:uid="{434DE0A5-88AD-4886-A197-FD6E289F5CA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217" authorId="1" shapeId="0" xr:uid="{80BBD343-B564-4803-B624-1437478EEB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27" authorId="1" shapeId="0" xr:uid="{D255C715-DE44-4BE8-905F-C11960576F4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02" authorId="2" shapeId="0" xr:uid="{4386E5EE-0FAE-47AF-A960-FA3E9FB34A58}">
      <text>
        <r>
          <rPr>
            <b/>
            <sz val="9"/>
            <color indexed="81"/>
            <rFont val="Segoe UI"/>
            <family val="2"/>
          </rPr>
          <t>Kálito Wilk: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40" authorId="1" shapeId="0" xr:uid="{88FDB8AA-DAAA-4EEA-813A-B859A3660BF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Pós ureia</t>
        </r>
      </text>
    </comment>
    <comment ref="A347" authorId="3" shapeId="0" xr:uid="{0814F481-3A8F-4484-90E8-BFA6C9FF4AD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352" authorId="3" shapeId="0" xr:uid="{5605B96B-1EFC-4E08-ADCF-018CD04C24B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66" authorId="1" shapeId="0" xr:uid="{891D0200-D122-48B6-997B-68A3A30B7C3C}">
      <text>
        <r>
          <rPr>
            <sz val="11"/>
            <color theme="1"/>
            <rFont val="Calibri"/>
            <family val="2"/>
            <scheme val="minor"/>
          </rPr>
          <t>Kalito Silva:
CONFERIR</t>
        </r>
      </text>
    </comment>
    <comment ref="A376" authorId="4" shapeId="0" xr:uid="{CA5C5A5D-3174-43A9-B496-4357DB7C42C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385" authorId="4" shapeId="0" xr:uid="{6235ED85-D919-46A3-B566-017E66EDB55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87" authorId="4" shapeId="0" xr:uid="{137CF191-4BE6-4FBF-8C85-5E96BB1D02F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
</t>
        </r>
      </text>
    </comment>
    <comment ref="A388" authorId="4" shapeId="0" xr:uid="{A1FD0970-169D-4050-91D0-27C0B626259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389" authorId="4" shapeId="0" xr:uid="{28638063-F3BD-432B-BE49-33BF0527764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410" authorId="3" shapeId="0" xr:uid="{3AA0908D-A4AB-4C46-87B1-86E81D55466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pivô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  <author>Leonardo da Silva Santos</author>
    <author>Walison Almeida Santos Lima</author>
    <author>Carlos Santos</author>
    <author>Maicon Douglas Leite de Almeida</author>
  </authors>
  <commentList>
    <comment ref="A20" authorId="0" shapeId="0" xr:uid="{F5F35E12-E845-45A9-A859-FA8C91B7827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8" authorId="0" shapeId="0" xr:uid="{2A282FDA-FAF1-4C80-8E45-129C202A62BB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micro</t>
        </r>
      </text>
    </comment>
    <comment ref="A33" authorId="0" shapeId="0" xr:uid="{BC0EFEE9-7088-4A64-95DF-CA24776F76E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ureia</t>
        </r>
      </text>
    </comment>
    <comment ref="A52" authorId="1" shapeId="0" xr:uid="{70AD2E29-3CDE-442B-8BAC-C4B46A3BFF2E}">
      <text>
        <r>
          <rPr>
            <b/>
            <sz val="9"/>
            <color indexed="81"/>
            <rFont val="Segoe UI"/>
            <family val="2"/>
          </rPr>
          <t>Ricardo Silva 
Ferti KCL</t>
        </r>
      </text>
    </comment>
    <comment ref="A58" authorId="0" shapeId="0" xr:uid="{016F6A1C-2D0E-451C-83FF-DC6C807F454C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</t>
        </r>
      </text>
    </comment>
    <comment ref="A85" authorId="2" shapeId="0" xr:uid="{CB541B6B-3F8C-4001-9E5F-F041362B9E2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FERIT: UREIA
</t>
        </r>
      </text>
    </comment>
    <comment ref="A86" authorId="2" shapeId="0" xr:uid="{BDD181A2-F1DC-41BF-BF1D-72A08DA63E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aplicação via hercules</t>
        </r>
      </text>
    </comment>
    <comment ref="A95" authorId="2" shapeId="0" xr:uid="{B22C740E-A72B-4E21-BFDA-602EB120B4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96" authorId="2" shapeId="0" xr:uid="{D5654CBB-6560-4DA2-B08B-46F9AA59791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97" authorId="2" shapeId="0" xr:uid="{CACE5541-6BB6-4CD5-970A-F7BDE69C50D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98" authorId="2" shapeId="0" xr:uid="{D35BB15F-F1BB-4AEB-88F4-4B711525BA0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99" authorId="2" shapeId="0" xr:uid="{055A7A06-D40A-4DC1-9FD9-D784F0A0D8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00" authorId="2" shapeId="0" xr:uid="{F5C21CA5-127C-43C3-A9D1-BB55A3758E7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01" authorId="2" shapeId="0" xr:uid="{A8657BAD-DF70-41A7-A6BB-51E90B34EDA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27" authorId="2" shapeId="0" xr:uid="{A2A61AFF-A27B-470B-96B9-24CC75DFCCF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28" authorId="2" shapeId="0" xr:uid="{0063CCD6-1ED8-46A8-9FF2-552F5C480A0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32" authorId="2" shapeId="0" xr:uid="{32C26BAA-1B45-4AD4-867A-5B11CA165A4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33" authorId="2" shapeId="0" xr:uid="{47E378E5-83F8-46FF-A885-4ED0DB4A73A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46" authorId="2" shapeId="0" xr:uid="{67A324A9-CE58-46AD-86A4-7556E3E47A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pyrinex + proclaim</t>
        </r>
      </text>
    </comment>
    <comment ref="A149" authorId="2" shapeId="0" xr:uid="{38E2C8F8-A7E7-4423-99DD-428A087522E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VOLUBIS</t>
        </r>
      </text>
    </comment>
    <comment ref="A172" authorId="2" shapeId="0" xr:uid="{1B55ED06-1712-4BB9-B443-E964D2A8F57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EXALT e ASSIST</t>
        </r>
      </text>
    </comment>
    <comment ref="A180" authorId="2" shapeId="0" xr:uid="{F1E96F05-3E57-460F-BE69-29A9F27B7A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194" authorId="2" shapeId="0" xr:uid="{B05598D3-45A9-4E84-B18E-7E7DE89D3B6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15" authorId="2" shapeId="0" xr:uid="{20D96C9F-5E4F-4302-A243-0E86DFAAB0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1/2</t>
        </r>
      </text>
    </comment>
    <comment ref="A216" authorId="2" shapeId="0" xr:uid="{95641F37-B5BB-4BF1-989B-5B42D1EB42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17" authorId="2" shapeId="0" xr:uid="{CBD3BC97-CAC7-4198-889A-30BBD5C7525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1/2 UREIA</t>
        </r>
      </text>
    </comment>
    <comment ref="A218" authorId="2" shapeId="0" xr:uid="{C5B1FE7D-C955-4040-B63C-D42DB7468EF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26" authorId="2" shapeId="0" xr:uid="{779D30F9-3454-469F-BEEC-72EBAA79F37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233" authorId="3" shapeId="0" xr:uid="{8CABC7E3-9255-41B4-B770-2C3FF871FF8B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KCL</t>
        </r>
      </text>
    </comment>
    <comment ref="A304" authorId="2" shapeId="0" xr:uid="{66B77459-55ED-4379-8B47-93C93F63905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07" authorId="2" shapeId="0" xr:uid="{207BB13C-3792-42BF-A81F-424C2BF3CA7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 GIROS</t>
        </r>
      </text>
    </comment>
    <comment ref="A354" authorId="4" shapeId="0" xr:uid="{3BAF1964-605A-4DBB-A01E-A963E1D536A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356" authorId="4" shapeId="0" xr:uid="{62EA0FBC-AB78-455B-9F82-EA951B37D7D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358" authorId="4" shapeId="0" xr:uid="{ECEDA3BF-33A6-4739-B3CF-400EB788B47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91" authorId="5" shapeId="0" xr:uid="{DD5678C5-AC4D-4772-BC82-60261BFF2BB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
</t>
        </r>
      </text>
    </comment>
    <comment ref="A392" authorId="5" shapeId="0" xr:uid="{8617E052-2522-48C6-B7B0-17A79CD3CAA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393" authorId="5" shapeId="0" xr:uid="{A2912266-C1BE-49D3-8242-0E65454C83C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397" authorId="6" shapeId="0" xr:uid="{E5C45282-0895-4E82-9612-BB78EBB6758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 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17" authorId="0" shapeId="0" xr:uid="{A88FA45F-184E-46BE-A60C-685B281C7A0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83" authorId="0" shapeId="0" xr:uid="{E633FDF0-C797-4C4F-A866-4D2D946D35F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fertti</t>
        </r>
      </text>
    </comment>
    <comment ref="A92" authorId="0" shapeId="0" xr:uid="{0292D6B2-CE06-499B-B8BD-C995DCD556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17" authorId="0" shapeId="0" xr:uid="{833350DA-8156-4C0F-BC4B-0DD3885E775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163" authorId="1" shapeId="0" xr:uid="{DAE778F4-4870-455F-ACBD-67C0D0A1FF1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UREIA </t>
        </r>
      </text>
    </comment>
    <comment ref="A164" authorId="1" shapeId="0" xr:uid="{0F43F8D4-A0FC-4E13-8928-83E9EC09C70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75" authorId="1" shapeId="0" xr:uid="{8B7DAEB7-B14F-4B27-82EB-AA1A2333793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INICIADO E PARADO 
DO DIA 25 
POR ISSO 27 HORAS </t>
        </r>
      </text>
    </comment>
    <comment ref="G175" authorId="1" shapeId="0" xr:uid="{92DFCCF1-50CB-4470-B1DB-AC698255696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DATA FINAL VALIDA </t>
        </r>
      </text>
    </comment>
    <comment ref="A187" authorId="1" shapeId="0" xr:uid="{BD01B2C5-5B9F-4ED8-822A-04F483B16FF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91" authorId="2" shapeId="0" xr:uid="{8771E9E7-83E4-4950-A7B2-F9AB2B39212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40º Teste uniformidade</t>
        </r>
      </text>
    </comment>
    <comment ref="A224" authorId="3" shapeId="0" xr:uid="{4AF1D9CC-5D1F-4CD3-88D4-28D1E8CD797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 
</t>
        </r>
      </text>
    </comment>
    <comment ref="A237" authorId="3" shapeId="0" xr:uid="{4A70A0FA-863C-4064-B653-01CBD43D6D6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38" authorId="3" shapeId="0" xr:uid="{A60D3917-5144-4427-A2A5-20EFEE8D1C4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39" authorId="1" shapeId="0" xr:uid="{76E1BFB3-5FA0-4F0C-BE11-68424682647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pivô </t>
        </r>
      </text>
    </comment>
    <comment ref="A240" authorId="1" shapeId="0" xr:uid="{5C0B800F-4469-464B-B352-40AB8561545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41" authorId="3" shapeId="0" xr:uid="{3397E74B-CA56-4C90-BBF2-2A66943D719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42" authorId="3" shapeId="0" xr:uid="{898CB07B-4B75-4BCF-95E8-B0D72246B12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44" authorId="3" shapeId="0" xr:uid="{201B1FA4-0D04-4FEB-8D98-2EE0E9AE088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45" authorId="3" shapeId="0" xr:uid="{2BC5BE44-A4B0-49F6-B299-4CFBCA9C526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58" authorId="3" shapeId="0" xr:uid="{D16CB6BD-1B74-4DFA-9862-7188E60AE99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64" authorId="3" shapeId="0" xr:uid="{2F6EC74F-6585-4F90-A0B3-257B73DB394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71" authorId="3" shapeId="0" xr:uid="{9508D7B6-E99E-4F61-B926-4F2817B285D2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1/2 PIVO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Leonardo da Silva Santos</author>
    <author>Kálito Wilk</author>
    <author>Walison Almeida Santos Lima</author>
    <author>tc={6BE98D2A-B337-4C71-966E-8B81FBB9CA95}</author>
    <author>Carlos Santos</author>
    <author>Maicon Douglas Leite de Almeida</author>
  </authors>
  <commentList>
    <comment ref="A8" authorId="0" shapeId="0" xr:uid="{7C424AB0-B984-41F1-8CB5-7C1AD8F5A37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9" authorId="0" shapeId="0" xr:uid="{EE45E87C-F096-4D50-8695-2C07ECAD6E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24" authorId="0" shapeId="0" xr:uid="{CF98F470-AE8B-4D4D-9DE9-04706D4CD46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26" authorId="0" shapeId="0" xr:uid="{D70E0FC4-B001-44FA-AC0F-B3B25C519D6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Mais e Bio Raiz e Tec Capt</t>
        </r>
      </text>
    </comment>
    <comment ref="A27" authorId="0" shapeId="0" xr:uid="{98B3C007-A626-4A14-88C4-CD83C398632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Mais e Bio Raiz e Tec Capt</t>
        </r>
      </text>
    </comment>
    <comment ref="A28" authorId="0" shapeId="0" xr:uid="{2FCF9B68-7A82-43D1-8E75-606D39123F8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 e B Adultora estourada</t>
        </r>
      </text>
    </comment>
    <comment ref="A29" authorId="1" shapeId="0" xr:uid="{DB65F735-1C69-4EF2-85E8-3D130DAAA5E3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ác bórico</t>
        </r>
      </text>
    </comment>
    <comment ref="A30" authorId="0" shapeId="0" xr:uid="{7096F277-2C16-4440-908C-009E108EB5B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Verimaq</t>
        </r>
      </text>
    </comment>
    <comment ref="A34" authorId="0" shapeId="0" xr:uid="{88377E7B-B3A3-44C5-8123-2413309D3B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nutrisytem</t>
        </r>
      </text>
    </comment>
    <comment ref="A36" authorId="1" shapeId="0" xr:uid="{09559819-137F-4F39-BDDD-73102C445E59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SOP</t>
        </r>
      </text>
    </comment>
    <comment ref="A38" authorId="1" shapeId="0" xr:uid="{55D66AB4-8366-4B09-B726-3E88C76B6B7F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nutrisystem</t>
        </r>
      </text>
    </comment>
    <comment ref="A40" authorId="1" shapeId="0" xr:uid="{F122EDA4-5D08-484C-9903-B10E3199496A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 nutrisystem</t>
        </r>
      </text>
    </comment>
    <comment ref="A44" authorId="1" shapeId="0" xr:uid="{2B8A41E6-571A-4780-A1F5-C2B175B1DB9E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SOP</t>
        </r>
      </text>
    </comment>
    <comment ref="A79" authorId="2" shapeId="0" xr:uid="{4C026320-FF11-43AE-AF8A-8905F58F6DC4}">
      <text>
        <r>
          <rPr>
            <b/>
            <sz val="9"/>
            <color indexed="81"/>
            <rFont val="Segoe UI"/>
            <family val="2"/>
          </rPr>
          <t>Kálito Wilk:</t>
        </r>
        <r>
          <rPr>
            <sz val="9"/>
            <color indexed="81"/>
            <rFont val="Segoe UI"/>
            <family val="2"/>
          </rPr>
          <t xml:space="preserve">
Preparo de solo</t>
        </r>
      </text>
    </comment>
    <comment ref="A135" authorId="3" shapeId="0" xr:uid="{60EBCB9F-F775-4796-A0F0-DBEBECC424E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/ falta de agua </t>
        </r>
      </text>
    </comment>
    <comment ref="A142" authorId="3" shapeId="0" xr:uid="{3930554A-50A7-4706-A803-311D257F4B1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144" authorId="3" shapeId="0" xr:uid="{F4FD11F2-2D10-42DB-B0C9-0F152FE9E2A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</t>
        </r>
      </text>
    </comment>
    <comment ref="A157" authorId="3" shapeId="0" xr:uid="{A09412E1-08B0-4B5A-A699-748BDECBBF1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58" authorId="3" shapeId="0" xr:uid="{B4788807-A42B-44CB-B76F-FC4832D1759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180º</t>
        </r>
      </text>
    </comment>
    <comment ref="A159" authorId="3" shapeId="0" xr:uid="{35BDF330-1D5F-4D01-834C-AEEC6CA07C4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60" authorId="3" shapeId="0" xr:uid="{BBE35839-47A7-4F1C-9A47-8BA23ED29D3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62" authorId="0" shapeId="0" xr:uid="{36795211-0EA9-41BB-B4A1-A70ACB720AD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 2 Preparo de Solo</t>
        </r>
      </text>
    </comment>
    <comment ref="A163" authorId="0" shapeId="0" xr:uid="{EC53E443-24A2-4C8E-A1C3-7ED0F09AA33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72" authorId="0" shapeId="0" xr:uid="{D684B4B0-8962-4A31-98C8-8C75C7112578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173" authorId="0" shapeId="0" xr:uid="{717B3462-4F5E-4589-9DD8-44F5B2B0A389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174" authorId="0" shapeId="0" xr:uid="{8B76F66A-12A4-4BDB-8A03-ABFD53526053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190" authorId="4" shapeId="0" xr:uid="{6BE98D2A-B337-4C71-966E-8B81FBB9CA95}">
      <text>
        <t>[Threaded comment]
Your version of Excel allows you to read this threaded comment; however, any edits to it will get removed if the file is opened in a newer version of Excel. Learn more: https://go.microsoft.com/fwlink/?linkid=870924
Comment:
    Giro 05/08/2023</t>
      </text>
    </comment>
    <comment ref="A194" authorId="5" shapeId="0" xr:uid="{31507A7D-5992-4373-BB19-65C30CE98E40}">
      <text>
        <r>
          <rPr>
            <b/>
            <sz val="9"/>
            <color indexed="81"/>
            <rFont val="Segoe UI"/>
            <family val="2"/>
          </rPr>
          <t xml:space="preserve">Carlos Santos:
1/2 pos ureia
</t>
        </r>
      </text>
    </comment>
    <comment ref="A197" authorId="5" shapeId="0" xr:uid="{354C00F3-0807-4ABC-8213-4D2FAB2E253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98" authorId="5" shapeId="0" xr:uid="{CFFC80DD-9961-4F07-B578-9D0E4ABA354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99" authorId="5" shapeId="0" xr:uid="{DA67D5F0-9E39-46EC-9C4B-B6B0664BF63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00" authorId="5" shapeId="0" xr:uid="{23A3AA1D-BF24-4951-B3AD-C184BF9915B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63" authorId="5" shapeId="0" xr:uid="{0AA21CBF-C2C2-42F0-A7DA-0466D8CD1EA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Irrigação incompleta por causa da chuva
</t>
        </r>
      </text>
    </comment>
    <comment ref="A264" authorId="5" shapeId="0" xr:uid="{819EEB57-D260-4696-8E78-B1FE53AB0F15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291" authorId="5" shapeId="0" xr:uid="{BFE4696D-4129-45E8-83CF-E3E7FDCB9C1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295" authorId="6" shapeId="0" xr:uid="{2D588422-1F85-4C8C-A9A1-AFAF38A46EA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304" authorId="6" shapeId="0" xr:uid="{7F021C4F-F840-4904-A0AC-EB02BBE091F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322" authorId="6" shapeId="0" xr:uid="{5393FD48-D99E-40DB-BF9A-91D69140A03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323" authorId="6" shapeId="0" xr:uid="{6CD38E88-5946-46D8-ACD7-E1619BA75E3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14" authorId="0" shapeId="0" xr:uid="{CD21C35C-69C9-49BD-8859-D0ED583925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48" authorId="0" shapeId="0" xr:uid="{DF18342E-20F3-4979-87DC-71B953007CF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53" authorId="0" shapeId="0" xr:uid="{383B9151-907E-4195-9B12-E568426F64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78" authorId="0" shapeId="0" xr:uid="{15871267-596A-4AD0-9660-69FF306A4C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87" authorId="0" shapeId="0" xr:uid="{10E76E99-6301-4FCA-93CC-2660E073B1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15" authorId="0" shapeId="0" xr:uid="{7613DEA8-4883-4029-AADC-060ED00425B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61" authorId="1" shapeId="0" xr:uid="{E06A4425-EDD2-4E83-A346-0CD115D57C9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UREIA</t>
        </r>
      </text>
    </comment>
    <comment ref="A187" authorId="2" shapeId="0" xr:uid="{0FDFAEDB-88E5-45DB-B357-9D6E5015A77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40º Teste uniformidade
</t>
        </r>
      </text>
    </comment>
    <comment ref="A233" authorId="3" shapeId="0" xr:uid="{63C309D7-A0AC-4BE0-A9B6-8A7D63C6889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34" authorId="3" shapeId="0" xr:uid="{C237AE44-5940-49F4-9B65-61383EBBE26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36" authorId="1" shapeId="0" xr:uid="{9E3E9B82-DA0C-4DDF-901D-5C4F68F93A8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pivô </t>
        </r>
      </text>
    </comment>
    <comment ref="A237" authorId="3" shapeId="0" xr:uid="{9C450E72-6139-4CBD-8169-549CA3977DD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38" authorId="3" shapeId="0" xr:uid="{C594D5B4-6BE7-4D90-8978-F4136006FFB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39" authorId="3" shapeId="0" xr:uid="{E9299CAB-8C71-4DC0-985F-39D4BF8B298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 </t>
        </r>
      </text>
    </comment>
    <comment ref="A268" authorId="3" shapeId="0" xr:uid="{7235E8A0-6FFF-41D0-892F-C16A90B707C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69" authorId="3" shapeId="0" xr:uid="{837C4589-EEF6-4BF4-A3A2-D932DB3C83D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72" authorId="3" shapeId="0" xr:uid="{2A4E8FDE-5810-4AB8-AA18-CC7A39285CD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73" authorId="3" shapeId="0" xr:uid="{B7154F75-368E-4A96-99DB-1DC116DF23D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75" authorId="3" shapeId="0" xr:uid="{DDD4D9A3-7DE9-4B4C-A1E4-E40C87E3621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79" authorId="3" shapeId="0" xr:uid="{A4FF6C6A-BA7D-4691-805B-518C6930B25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</t>
        </r>
      </text>
    </comment>
    <comment ref="A281" authorId="3" shapeId="0" xr:uid="{6DA34202-C30A-4D58-BDB4-37CF7076D9BC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+ 90º  </t>
        </r>
      </text>
    </comment>
    <comment ref="A283" authorId="3" shapeId="0" xr:uid="{7FC8D154-50BA-457B-9CA5-22B739B2A774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36º CHUVA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Leonardo da Silva Santos</author>
    <author>Walison Almeida Santos Lima</author>
    <author>tc={93EABF3D-4011-4E38-8805-3DBBED6D86C4}</author>
    <author>Carlos Santos</author>
    <author>Maicon Douglas Leite de Almeida</author>
  </authors>
  <commentList>
    <comment ref="A8" authorId="0" shapeId="0" xr:uid="{87A36F1C-AA25-4B4C-B58F-65D6302E17D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9" authorId="0" shapeId="0" xr:uid="{E9485A43-E308-423D-ADDC-A94F85E07DC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1" authorId="0" shapeId="0" xr:uid="{11E968A5-9DE4-47DC-AECC-B8493FDA36E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BATE E VOLTA</t>
        </r>
      </text>
    </comment>
    <comment ref="A12" authorId="0" shapeId="0" xr:uid="{C91B64C2-C04B-45BC-B26A-DF151DCE03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21" authorId="0" shapeId="0" xr:uid="{B8822CD7-67CF-42B5-8599-3F1BB34E7E6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Mais e Bio Raiz e TecCapt</t>
        </r>
      </text>
    </comment>
    <comment ref="A25" authorId="0" shapeId="0" xr:uid="{8080500D-B1D4-49CB-AA22-B0537A6C15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Ac. Borico</t>
        </r>
      </text>
    </comment>
    <comment ref="A28" authorId="0" shapeId="0" xr:uid="{9E94AA54-4BA6-4DB6-B2EC-7262F4C8163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33" authorId="1" shapeId="0" xr:uid="{1ABB8CAB-3EB0-4AF7-8BB5-C23802F4909D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nutrisystem</t>
        </r>
      </text>
    </comment>
    <comment ref="A37" authorId="1" shapeId="0" xr:uid="{7964DE7D-2F01-447A-B31D-45AD55C3880B}">
      <text>
        <r>
          <rPr>
            <b/>
            <sz val="9"/>
            <color indexed="81"/>
            <rFont val="Segoe UI"/>
            <family val="2"/>
          </rPr>
          <t>Leonardo da Silva Santos:</t>
        </r>
        <r>
          <rPr>
            <sz val="9"/>
            <color indexed="81"/>
            <rFont val="Segoe UI"/>
            <family val="2"/>
          </rPr>
          <t xml:space="preserve">
Ferti Nutrisystem</t>
        </r>
      </text>
    </comment>
    <comment ref="A127" authorId="2" shapeId="0" xr:uid="{C8C542D7-AD43-4404-88AF-D7C4F7A566D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/ falta de agua </t>
        </r>
      </text>
    </comment>
    <comment ref="A147" authorId="3" shapeId="0" xr:uid="{93EABF3D-4011-4E38-8805-3DBBED6D86C4}">
      <text>
        <t>[Threaded comment]
Your version of Excel allows you to read this threaded comment; however, any edits to it will get removed if the file is opened in a newer version of Excel. Learn more: https://go.microsoft.com/fwlink/?linkid=870924
Comment:
    germinação tiguera</t>
      </text>
    </comment>
    <comment ref="A150" authorId="0" shapeId="0" xr:uid="{79EE471E-D07F-4581-B89D-D71472C126C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51" authorId="0" shapeId="0" xr:uid="{C767AD32-D642-479F-A251-BCB6E1F42F1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52" authorId="0" shapeId="0" xr:uid="{4203A72F-0DB3-420B-9635-31E2DBAB159D}">
      <text>
        <r>
          <rPr>
            <sz val="11"/>
            <color theme="1"/>
            <rFont val="Calibri"/>
            <family val="2"/>
            <scheme val="minor"/>
          </rPr>
          <t>Kalito Silva:
CONFERIR</t>
        </r>
      </text>
    </comment>
    <comment ref="A153" authorId="2" shapeId="0" xr:uid="{88958B76-B222-49AA-8BA5-5BAF8EE1E48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11" authorId="0" shapeId="0" xr:uid="{7EA70DEB-25CE-4A1F-B5B9-561F6B65CC9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- EXALT+RUMBA+NP 1030</t>
        </r>
      </text>
    </comment>
    <comment ref="A215" authorId="0" shapeId="0" xr:uid="{43019FB1-BA1C-4FC7-AE4B-4642DC82695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 + Magnesio</t>
        </r>
      </text>
    </comment>
    <comment ref="A231" authorId="4" shapeId="0" xr:uid="{14C62C05-DA72-490E-8B4B-15EC0BF3D3E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255" authorId="4" shapeId="0" xr:uid="{BFB5F286-29BB-4800-8391-28562063265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273" authorId="5" shapeId="0" xr:uid="{47E60E60-2F54-4A2E-A1F8-13E7C3D618C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 </t>
        </r>
      </text>
    </comment>
    <comment ref="A298" authorId="5" shapeId="0" xr:uid="{C5E3E600-2371-4089-ABF2-B42171508AE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99" authorId="5" shapeId="0" xr:uid="{2F7681A5-408E-4C1E-B068-D1A1E599141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300" authorId="5" shapeId="0" xr:uid="{559491EE-0DD4-4877-8382-774E6C32FA2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301" authorId="5" shapeId="0" xr:uid="{64FCBD09-0FBA-4C98-B904-FD82E778AF0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tc={41B10DE4-7B23-4C47-8485-8489D6082731}</author>
    <author>tc={86F3767A-9239-4A1C-8112-5947275D2AA1}</author>
    <author>tc={7677E165-949A-437F-8393-41973429B4C3}</author>
    <author>Carlos Santos</author>
    <author>Kalito Silva</author>
    <author>Maicon Douglas Leite de Almeida</author>
  </authors>
  <commentList>
    <comment ref="A33" authorId="0" shapeId="0" xr:uid="{2A6FF94D-563B-4ECF-B6C3-8660607D4C6A}">
      <text>
        <r>
          <rPr>
            <b/>
            <sz val="9"/>
            <color indexed="81"/>
            <rFont val="Segoe UI"/>
            <family val="2"/>
          </rPr>
          <t>Walison Almeida Santos Lima: 
FERTI / UREIA</t>
        </r>
      </text>
    </comment>
    <comment ref="A49" authorId="1" shapeId="0" xr:uid="{41B10DE4-7B23-4C47-8485-8489D6082731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A</t>
      </text>
    </comment>
    <comment ref="A51" authorId="2" shapeId="0" xr:uid="{86F3767A-9239-4A1C-8112-5947275D2AA1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
PREPARO</t>
      </text>
    </comment>
    <comment ref="A52" authorId="3" shapeId="0" xr:uid="{7677E165-949A-437F-8393-41973429B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66" authorId="4" shapeId="0" xr:uid="{355E3F22-D8CF-404B-83ED-678BDDE3666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DOIS GIROS</t>
        </r>
      </text>
    </comment>
    <comment ref="A67" authorId="5" shapeId="0" xr:uid="{4BDC16E2-A0D0-4D49-9A8E-EEFE4CFF40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</t>
        </r>
      </text>
    </comment>
    <comment ref="A75" authorId="4" shapeId="0" xr:uid="{8E7EB087-FC15-4D82-B968-C2385ED6DB6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80" authorId="4" shapeId="0" xr:uid="{C219418F-3FF5-4C20-9E13-6FA89CC5938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82" authorId="6" shapeId="0" xr:uid="{935C1E17-09DD-4272-8B68-CB6644383EF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Fez 40 graus a 70% teste</t>
        </r>
      </text>
    </comment>
    <comment ref="A84" authorId="6" shapeId="0" xr:uid="{7E4AE1B7-25C6-42D2-B148-14086DB74BE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97" authorId="6" shapeId="0" xr:uid="{60E81F4F-453F-4E3A-AB5B-6D8550D0D61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98" authorId="6" shapeId="0" xr:uid="{3C543FCA-6931-404E-B586-C2A90F423AE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01" authorId="6" shapeId="0" xr:uid="{B6F8D4B1-92C0-45B0-9884-F3739C0EA84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70º </t>
        </r>
      </text>
    </comment>
    <comment ref="A102" authorId="6" shapeId="0" xr:uid="{2872219B-C23F-4D71-BA2E-8B700A989B1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03" authorId="6" shapeId="0" xr:uid="{BF8F9609-BDA3-4C9D-ACD0-993385AC1F1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14" authorId="6" shapeId="0" xr:uid="{23CF2DF2-7638-408A-988B-4A7C4B7DCEE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122" authorId="6" shapeId="0" xr:uid="{3BED9777-FA52-48B3-B20D-870F6917332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23" authorId="6" shapeId="0" xr:uid="{AB06079D-50D9-417E-856F-B8B596F9E0C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25" authorId="6" shapeId="0" xr:uid="{D4717297-97B4-4F65-B4C8-F9704EB5D5E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34" authorId="6" shapeId="0" xr:uid="{EE3BCDCE-9714-486D-B229-EFC096DF33C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35" authorId="6" shapeId="0" xr:uid="{2CDD57BA-4DB5-4B9D-A8A6-98EAF96513D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 gergelim </t>
        </r>
      </text>
    </comment>
    <comment ref="A137" authorId="6" shapeId="0" xr:uid="{407B9E2B-898E-4F42-AD7B-71891272AAA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38" authorId="6" shapeId="0" xr:uid="{701E39D2-CC0B-4962-B80E-0BB4CB66FB8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40" authorId="6" shapeId="0" xr:uid="{D5410C53-7CE8-4505-89DE-317CCFB2BDA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41" authorId="6" shapeId="0" xr:uid="{2F7F9596-E989-451D-8D09-C3B4D1909A7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42" authorId="6" shapeId="0" xr:uid="{7271352A-C546-4F14-86E8-2203BED905B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 GERGELIM </t>
        </r>
      </text>
    </comment>
    <comment ref="A143" authorId="6" shapeId="0" xr:uid="{728AE57A-530D-482F-BD6B-CBDAB282A56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1/2PIVO GERGELIM </t>
        </r>
      </text>
    </comment>
    <comment ref="A144" authorId="6" shapeId="0" xr:uid="{DEBD5402-53E6-4B66-A5DD-B0CC78A520C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46" authorId="6" shapeId="0" xr:uid="{1C2ACA8F-2FD3-4480-B6CC-5308CE166A5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GERGELIM </t>
        </r>
      </text>
    </comment>
    <comment ref="A149" authorId="6" shapeId="0" xr:uid="{05525FDC-7952-4810-BC83-7C12413FC3B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0" authorId="6" shapeId="0" xr:uid="{51A9F4BF-88A1-4F75-857E-099A93F643C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1" authorId="6" shapeId="0" xr:uid="{C0A50FE4-029F-44A2-B9C7-6FA614B0EA2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2" authorId="6" shapeId="0" xr:uid="{5A5D7077-DCDB-42B5-B4C8-C55DA46C9D5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153" authorId="6" shapeId="0" xr:uid="{471207F2-BF5C-4B39-A70D-AB705225672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4" authorId="6" shapeId="0" xr:uid="{E1403AC4-DC93-4DA3-89ED-FD2C40F69FE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155" authorId="6" shapeId="0" xr:uid="{46DB368C-79C3-49BC-9294-F946CFBEDF7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7" authorId="6" shapeId="0" xr:uid="{8DE00A5E-A0A5-481A-95D1-98EEA4E98BD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
</t>
        </r>
      </text>
    </comment>
    <comment ref="A158" authorId="6" shapeId="0" xr:uid="{3780D3F5-6AB7-408A-8D7A-6A1ABBCD8A8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9" authorId="6" shapeId="0" xr:uid="{7BCABE16-FA88-4C9D-818E-C4A705267A4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61" authorId="6" shapeId="0" xr:uid="{FAFC0D03-0233-495D-B378-072A2148459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  <comment ref="A162" authorId="6" shapeId="0" xr:uid="{0853D0B6-D837-419A-9936-C42EDE40174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MIX</t>
        </r>
      </text>
    </comment>
    <comment ref="A164" authorId="6" shapeId="0" xr:uid="{EE59E9AF-2838-4DF8-B528-5A35238BADF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  <comment ref="A165" authorId="6" shapeId="0" xr:uid="{CAD89618-6601-40AB-8E65-77208D18385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66" authorId="6" shapeId="0" xr:uid="{8E28A9EC-71A4-47C8-95C2-CD7B8FDDEFC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67" authorId="6" shapeId="0" xr:uid="{B8234AD7-4901-4900-B2A7-1807965FC0B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0" authorId="6" shapeId="0" xr:uid="{81487EFE-6CE5-45EB-8D3B-60B0A0B597C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1" authorId="6" shapeId="0" xr:uid="{BE4C900C-04E0-4610-B999-F7E804FB023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2" authorId="6" shapeId="0" xr:uid="{05701491-8686-4F8D-AEEF-03D616E29ED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3" authorId="6" shapeId="0" xr:uid="{46E0B4B2-F380-40C2-B464-84029B0DB10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4" authorId="6" shapeId="0" xr:uid="{E5DDB9E5-705E-4E40-8AB1-2069C74D282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6" authorId="6" shapeId="0" xr:uid="{9A234B59-717F-474B-A7BC-AFE20ECCF19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7" authorId="6" shapeId="0" xr:uid="{C6C3E8D2-3233-4A62-967E-D9A8F94B6DB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8" authorId="6" shapeId="0" xr:uid="{F040DDF2-4D7E-495D-AB9F-3A1F097A127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MIX</t>
        </r>
      </text>
    </comment>
    <comment ref="A180" authorId="6" shapeId="0" xr:uid="{B05212E5-F3C1-4577-9AA3-99DE7B50E65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  <comment ref="A205" authorId="6" shapeId="0" xr:uid="{3C9F6611-E752-49E1-869B-4D20583340E6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CHUVA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Carlos Santos</author>
    <author>Maicon Douglas Leite de Almeida</author>
  </authors>
  <commentList>
    <comment ref="A12" authorId="0" shapeId="0" xr:uid="{3B958F8E-3FB9-4507-878B-992787E4D5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pos kcl</t>
        </r>
      </text>
    </comment>
    <comment ref="A73" authorId="0" shapeId="0" xr:uid="{066F8F93-47E5-4DD5-BE08-706DE62E8E91}">
      <text>
        <r>
          <rPr>
            <sz val="11"/>
            <color theme="1"/>
            <rFont val="Calibri"/>
            <family val="2"/>
            <scheme val="minor"/>
          </rPr>
          <t xml:space="preserve">Kalito Silva:
1/2
</t>
        </r>
      </text>
    </comment>
    <comment ref="A74" authorId="0" shapeId="0" xr:uid="{BF1A0B7E-1841-4858-AEA0-E370C8A53C90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75" authorId="0" shapeId="0" xr:uid="{2326B9B6-A663-4D34-8CCE-26DF9D1C91BD}">
      <text>
        <r>
          <rPr>
            <sz val="11"/>
            <color theme="1"/>
            <rFont val="Calibri"/>
            <family val="2"/>
            <scheme val="minor"/>
          </rPr>
          <t xml:space="preserve">Kalito Silva:
1/2
</t>
        </r>
      </text>
    </comment>
    <comment ref="A76" authorId="0" shapeId="0" xr:uid="{EF1CFC69-E84B-46A3-8DDC-C8678DCBD591}">
      <text>
        <r>
          <rPr>
            <sz val="11"/>
            <color theme="1"/>
            <rFont val="Calibri"/>
            <family val="2"/>
            <scheme val="minor"/>
          </rPr>
          <t>Kalito Silva:
1/2</t>
        </r>
      </text>
    </comment>
    <comment ref="A145" authorId="0" shapeId="0" xr:uid="{6A6E3B66-1CD4-423B-96FF-BC29BAC8E94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157" authorId="1" shapeId="0" xr:uid="{0B5824A7-C3A3-4D01-83A6-E56DD5008C6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alterado a porcentagem por chuva
</t>
        </r>
      </text>
    </comment>
    <comment ref="A161" authorId="1" shapeId="0" xr:uid="{92DB4E27-84B1-4328-9512-D7B72128CA9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89" authorId="2" shapeId="0" xr:uid="{0B46A365-D64E-4083-8BD7-10725D13948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94" authorId="2" shapeId="0" xr:uid="{D65FF9C8-6354-491B-9F6D-86CE5D6C6F1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tc={C602B105-7BCB-4622-8D3F-4B50EFA603C4}</author>
    <author>Carlos Santos</author>
    <author>Maicon Douglas Leite de Almeida</author>
  </authors>
  <commentList>
    <comment ref="A34" authorId="0" shapeId="0" xr:uid="{D9621B01-673D-4C1A-8A9E-2143A633760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50" authorId="1" shapeId="0" xr:uid="{C602B105-7BCB-4622-8D3F-4B50EFA603C4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preparo</t>
      </text>
    </comment>
    <comment ref="A52" authorId="2" shapeId="0" xr:uid="{77A64E8B-654D-494E-A69A-FE9F01147BA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53" authorId="2" shapeId="0" xr:uid="{4CFFF3D2-B4B0-427F-9958-8913889C51A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80" authorId="2" shapeId="0" xr:uid="{17BD48F1-AAC1-4A54-9FC6-69BA9332E61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84" authorId="3" shapeId="0" xr:uid="{9E1D9D30-72E9-4640-A962-6DA71752B01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40 Graus a 70% teste</t>
        </r>
      </text>
    </comment>
    <comment ref="A112" authorId="3" shapeId="0" xr:uid="{CAB3614D-E1A7-4237-8B73-005B0A214BA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113" authorId="3" shapeId="0" xr:uid="{492FB52D-BC25-4D2C-B06D-67D7680D876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120" authorId="3" shapeId="0" xr:uid="{AE560A40-7E67-4C38-9868-9938B088BA1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tc={6574B925-6449-4429-BD2B-01F3184BDC8D}</author>
    <author>Carlos Santos</author>
    <author>Maicon Douglas Leite de Almeida</author>
  </authors>
  <commentList>
    <comment ref="A14" authorId="0" shapeId="0" xr:uid="{9AD8C22D-BBA4-4557-97E6-BA5479A0C71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pos kcl</t>
        </r>
      </text>
    </comment>
    <comment ref="A67" authorId="1" shapeId="0" xr:uid="{6574B925-6449-4429-BD2B-01F3184BDC8D}">
      <text>
        <t>[Threaded comment]
Your version of Excel allows you to read this threaded comment; however, any edits to it will get removed if the file is opened in a newer version of Excel. Learn more: https://go.microsoft.com/fwlink/?linkid=870924
Comment:
    germinação tiguera</t>
      </text>
    </comment>
    <comment ref="A71" authorId="0" shapeId="0" xr:uid="{5C22BFCA-B49E-4B7A-AE5E-9C560D3274BC}">
      <text>
        <r>
          <rPr>
            <sz val="11"/>
            <color theme="1"/>
            <rFont val="Calibri"/>
            <family val="2"/>
            <scheme val="minor"/>
          </rPr>
          <t>Kalito Silva:
SOMENTE 40º</t>
        </r>
      </text>
    </comment>
    <comment ref="A147" authorId="0" shapeId="0" xr:uid="{3246D418-84B7-4485-ADF1-F2E8373AC8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- UREIA+MAGNESIO</t>
        </r>
      </text>
    </comment>
    <comment ref="A156" authorId="2" shapeId="0" xr:uid="{740C24A4-CD13-4CF7-B70B-4FB54578CF5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alterado a porcentagem por chuva
</t>
        </r>
      </text>
    </comment>
    <comment ref="A160" authorId="2" shapeId="0" xr:uid="{F235A5E5-0E22-46A6-A41B-9B0D7C56689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187" authorId="2" shapeId="0" xr:uid="{E60DE160-6953-49B3-B5D1-D1EA2879F4E5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FEZ 270º GRAUS</t>
        </r>
      </text>
    </comment>
    <comment ref="A202" authorId="3" shapeId="0" xr:uid="{40A4D6AA-6381-431B-8EB0-D65704C6C7A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19" authorId="3" shapeId="0" xr:uid="{D9EAF318-1960-4D16-A8C3-49CE0489A7A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20" authorId="3" shapeId="0" xr:uid="{C8655F61-9ED1-4A87-9597-453B0A27E69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28" authorId="0" shapeId="0" xr:uid="{BACD75B2-B1D6-4723-80AE-3EF9B0FE4B9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55" authorId="1" shapeId="0" xr:uid="{716F30DC-D244-4B8A-A3AF-79D88FE6A23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74" authorId="2" shapeId="0" xr:uid="{415DAEEF-2FAD-4D3F-BDD0-4B662F603D2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PRE PLANTIO
</t>
        </r>
      </text>
    </comment>
    <comment ref="A106" authorId="3" shapeId="0" xr:uid="{F338F4DE-4831-4D27-BEA4-A3A9BA53666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20" authorId="2" shapeId="0" xr:uid="{A0637D6D-072A-4237-83E6-266862D6C0D0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PRE PLANTIO
</t>
        </r>
      </text>
    </comment>
    <comment ref="A138" authorId="3" shapeId="0" xr:uid="{E0D25702-40EB-42A1-8B96-D4DB7E4C786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139" authorId="1" shapeId="0" xr:uid="{99B05B76-26C3-4F6A-86E8-26E1951F0F3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143" authorId="1" shapeId="0" xr:uid="{D5902174-090F-41C0-9B83-710C11687B2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47" authorId="3" shapeId="0" xr:uid="{6F54CBDE-454A-4834-BD66-51293ED469D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
</t>
        </r>
      </text>
    </comment>
    <comment ref="A151" authorId="3" shapeId="0" xr:uid="{CE061C57-C0EE-4ADD-B2E6-9DCF65E450F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52" authorId="3" shapeId="0" xr:uid="{B4294968-3DCC-450B-82A1-2BE49BDD310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53" authorId="3" shapeId="0" xr:uid="{B201C47E-B60D-46F0-83DE-A627BB18308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FERTI 1/2 IRRIGAÇÃO </t>
        </r>
      </text>
    </comment>
    <comment ref="A173" authorId="3" shapeId="0" xr:uid="{E1717B21-2B4D-4A83-AA0B-ADBD88C6209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40º A 70% ALCIONE </t>
        </r>
      </text>
    </comment>
    <comment ref="A193" authorId="3" shapeId="0" xr:uid="{5212A65F-9802-4D01-B0A6-FFD2254B804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100º</t>
        </r>
      </text>
    </comment>
    <comment ref="A194" authorId="3" shapeId="0" xr:uid="{019348C6-5118-45A9-9D3A-D4B7742C293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180º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32" authorId="0" shapeId="0" xr:uid="{44FF96D2-208E-4D45-881C-2C49A128F984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6" authorId="0" shapeId="0" xr:uid="{EB7E1CB2-713D-4077-AA95-DA6F99ED465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65" authorId="0" shapeId="0" xr:uid="{2972C24E-8C63-4C13-980D-A7B4F3023A9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Acido Borico</t>
        </r>
      </text>
    </comment>
    <comment ref="A69" authorId="1" shapeId="0" xr:uid="{3D243C34-82DE-49FA-8A51-191332B011B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POR CHUVA </t>
        </r>
      </text>
    </comment>
    <comment ref="A83" authorId="1" shapeId="0" xr:uid="{14B90C42-22FA-453D-98E5-22443C0EC19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acido borico+magnesio </t>
        </r>
      </text>
    </comment>
    <comment ref="A85" authorId="1" shapeId="0" xr:uid="{DDF4FDCF-3B7D-4AF8-915B-D0DCFB983ED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bio raiz+bio raiz mais+tecbung</t>
        </r>
      </text>
    </comment>
    <comment ref="A87" authorId="1" shapeId="0" xr:uid="{5D07FFF4-F50C-47A2-8F3A-2CCA0F70E89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NUTRI SYSTEM </t>
        </r>
      </text>
    </comment>
    <comment ref="A89" authorId="1" shapeId="0" xr:uid="{23F927A8-22A3-4729-A7F4-246E59D8461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nutri system </t>
        </r>
      </text>
    </comment>
    <comment ref="A91" authorId="1" shapeId="0" xr:uid="{F77215B4-360F-4BBD-A7D8-172EBC533A2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PRO K+ACIDO BORICO 
 FERTIRRIGAÇÃO </t>
        </r>
      </text>
    </comment>
    <comment ref="A111" authorId="0" shapeId="0" xr:uid="{9EB4CD13-6A9D-471A-8637-23436A40A20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QA finalizou dia 24/06/2023</t>
        </r>
      </text>
    </comment>
    <comment ref="A122" authorId="2" shapeId="0" xr:uid="{ABC593A3-CF02-42C5-A2A3-040F8A5E895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C=80% 
CD=100%</t>
        </r>
      </text>
    </comment>
    <comment ref="A127" authorId="3" shapeId="0" xr:uid="{380BB66C-1002-420B-ACE1-80D886EB70A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31" authorId="3" shapeId="0" xr:uid="{16549472-AB26-4D37-A0B9-FF9ABF2C2DE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+ 40 GRAUS TESTE </t>
        </r>
      </text>
    </comment>
    <comment ref="A132" authorId="3" shapeId="0" xr:uid="{1BC3D045-BD2A-401A-AC9C-EC9B4B5B032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47" authorId="3" shapeId="0" xr:uid="{39220CC9-6013-4B9F-9B8B-BEFBC3AFD3E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50" authorId="3" shapeId="0" xr:uid="{ECB90675-35A0-48AE-B6F1-DABC4E54B09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5" authorId="3" shapeId="0" xr:uid="{107A1089-0816-4538-BB9B-4BF4AC758F8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  <comment ref="A176" authorId="3" shapeId="0" xr:uid="{71E0602A-8A73-4F03-87D7-DB6F374BCB9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7" authorId="3" shapeId="0" xr:uid="{CF4C45FA-1B81-48E1-9791-7B0F17F3BC7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78" authorId="3" shapeId="0" xr:uid="{848FFF97-5CF8-4505-A997-03945DB86FB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31" authorId="0" shapeId="0" xr:uid="{74B783F9-01BB-4046-A910-E23B78D1731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7" authorId="0" shapeId="0" xr:uid="{1B0A809A-4AD1-49E9-92F2-C8C5B5D3CE7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PIVÕ</t>
        </r>
      </text>
    </comment>
    <comment ref="A51" authorId="1" shapeId="0" xr:uid="{F968D27E-322C-48C8-AADF-6AB87983210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parado / falta de agua </t>
        </r>
      </text>
    </comment>
    <comment ref="A95" authorId="2" shapeId="0" xr:uid="{52CBB171-55FA-4E50-A56B-BC96A92635D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96" authorId="2" shapeId="0" xr:uid="{1CA43AB7-0030-4789-8E02-D0AE3A394BD9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00" authorId="2" shapeId="0" xr:uid="{06A0ACC2-F929-4FFD-AE23-D37ACE51466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37" authorId="3" shapeId="0" xr:uid="{762E0CFB-6AC0-47EE-9357-32B94661B02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
</t>
        </r>
      </text>
    </comment>
    <comment ref="A138" authorId="3" shapeId="0" xr:uid="{5E47AFF2-F557-4F9C-824C-936DD1DCE83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148" authorId="3" shapeId="0" xr:uid="{F6CB4D6C-8A91-46A9-AAA0-9778713D936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40º A 70% TESTE 
</t>
        </r>
      </text>
    </comment>
    <comment ref="A154" authorId="3" shapeId="0" xr:uid="{F3BE9EAD-F1F1-4022-9F0C-8030A932689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0" authorId="3" shapeId="0" xr:uid="{83728236-E361-4640-9E11-A02C4EA2DDB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9" authorId="3" shapeId="0" xr:uid="{61E7B0FE-0D52-448C-B1E2-2953E7B9BE1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91" authorId="3" shapeId="0" xr:uid="{D93232A9-DB1A-4171-AD25-98883D6CE03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92" authorId="1" shapeId="0" xr:uid="{6C6941D9-312E-4D0B-B1FE-F95BF9E3A86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40º GRAUS - COLHEITA</t>
        </r>
      </text>
    </comment>
    <comment ref="A193" authorId="1" shapeId="0" xr:uid="{0ECFAD2D-8E6B-472D-87E1-4379EEB8742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99º COLHEITA</t>
        </r>
      </text>
    </comment>
    <comment ref="A194" authorId="1" shapeId="0" xr:uid="{762D0BC4-BAFA-4532-8006-23B19B428E7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100º COLHEITA a 100%</t>
        </r>
      </text>
    </comment>
    <comment ref="A217" authorId="3" shapeId="0" xr:uid="{1FFEE441-44D1-4B8F-8522-3B841A83D83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</t>
        </r>
      </text>
    </comment>
    <comment ref="A219" authorId="3" shapeId="0" xr:uid="{73883B3F-46D3-4501-A0F8-84D07015F1F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22" authorId="3" shapeId="0" xr:uid="{59C92BDD-5230-47B2-8A55-6A79FD6F829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26" authorId="3" shapeId="0" xr:uid="{4158F4DB-CCCF-4596-89E7-BA59E79FC04B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CHUVA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tc={52198805-B082-4A59-A047-4675F5480064}</author>
    <author>Carlos Santos</author>
    <author>Maicon Douglas Leite de Almeida</author>
  </authors>
  <commentList>
    <comment ref="A31" authorId="0" shapeId="0" xr:uid="{00CC038A-C8E1-401A-926B-8861B76FA8F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5" authorId="0" shapeId="0" xr:uid="{3EB779A8-6B2F-4862-89DE-39FDF3FD5EE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84" authorId="1" shapeId="0" xr:uid="{79C96832-C570-4F78-96D8-31C78F46691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89" authorId="1" shapeId="0" xr:uid="{2D8E657A-B555-43B4-B3C3-C4FCB31456F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92" authorId="1" shapeId="0" xr:uid="{3A8EDCEC-87F0-4001-9A87-6DE10AB4206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biologicos </t>
        </r>
      </text>
    </comment>
    <comment ref="A97" authorId="1" shapeId="0" xr:uid="{D35B2D27-64E1-4ED1-922A-B035FEAAA87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acido borico + magnesio </t>
        </r>
      </text>
    </comment>
    <comment ref="A98" authorId="1" shapeId="0" xr:uid="{E8DA7C41-E973-4094-9C4F-75EBB63A7A42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nutrisystem </t>
        </r>
      </text>
    </comment>
    <comment ref="A103" authorId="1" shapeId="0" xr:uid="{C8616DF0-9F38-4B9E-BD9D-81B9BAF4BD8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PRO K</t>
        </r>
      </text>
    </comment>
    <comment ref="A111" authorId="1" shapeId="0" xr:uid="{F7A6C257-0EC1-46D1-8325-C6C87191059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soluclean+soluleaf+teccapt</t>
        </r>
      </text>
    </comment>
    <comment ref="A135" authorId="2" shapeId="0" xr:uid="{52198805-B082-4A59-A047-4675F54800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137" authorId="3" shapeId="0" xr:uid="{66879FE4-5659-4D07-B63B-E171E8B6BE4F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41" authorId="4" shapeId="0" xr:uid="{C5873970-3649-4364-83AE-194F500FD9D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X </t>
        </r>
      </text>
    </comment>
    <comment ref="A161" authorId="4" shapeId="0" xr:uid="{7FDE7239-DDB6-4D59-8967-D804B170513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64" authorId="4" shapeId="0" xr:uid="{8FB6DD2F-FDA7-4DFB-804A-A31A430A3FB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67" authorId="4" shapeId="0" xr:uid="{67A3EC3E-FCF2-4A9D-AB77-6E096FDBBD5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0" authorId="4" shapeId="0" xr:uid="{04B9AF34-DA09-4583-AD08-2DBFDC7DB86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2" authorId="4" shapeId="0" xr:uid="{D9D9D161-AA84-44E7-B381-51F41474F9C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6" authorId="4" shapeId="0" xr:uid="{CD25B443-2C4F-423F-B3D7-93F27285983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9" authorId="4" shapeId="0" xr:uid="{43FE96C2-3843-4FA2-8EDD-C941AB5C7A9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01" authorId="4" shapeId="0" xr:uid="{B409E900-C89B-4A7A-8D35-FFE8FF16C433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02" authorId="4" shapeId="0" xr:uid="{7CA1950D-4B6C-476E-8591-D614DB17CA9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03" authorId="4" shapeId="0" xr:uid="{2AFCAB7C-0B1D-4BA2-B790-CF13DBDCE1B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04" authorId="4" shapeId="0" xr:uid="{AF835A25-0826-4D33-AE42-2CE95CABFFC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Carlos Santos</author>
    <author>Maicon Douglas Leite de Almeida</author>
  </authors>
  <commentList>
    <comment ref="A35" authorId="0" shapeId="0" xr:uid="{200EB9FA-CE3B-47B3-9547-D08A76323E8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5" authorId="0" shapeId="0" xr:uid="{DB6E62AA-A344-4ABB-A123-E75A271464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51" authorId="0" shapeId="0" xr:uid="{044B421C-0159-415E-8CA8-7465C792B7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55" authorId="0" shapeId="0" xr:uid="{22DE9791-5701-4B72-8C37-2C7091A463B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124" authorId="0" shapeId="0" xr:uid="{845690FC-FF82-4A12-827B-847AC56FA42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25" authorId="0" shapeId="0" xr:uid="{F07D2514-05BD-4252-B181-971D53B98306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46" authorId="0" shapeId="0" xr:uid="{B0678F76-93C6-464C-A591-BA0ED4CECB81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147" authorId="0" shapeId="0" xr:uid="{FF528EE1-8CD8-49A1-B966-6D5D06210916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149" authorId="0" shapeId="0" xr:uid="{063D51EC-B9E7-4C70-9658-6C9EF5B595F8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151" authorId="0" shapeId="0" xr:uid="{FE425A83-DD3E-43E6-9762-5D2E818CB8EF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162" authorId="1" shapeId="0" xr:uid="{74A1ED76-F4FE-4FF5-B92F-88CAA237471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bavar + diamante negro</t>
        </r>
      </text>
    </comment>
    <comment ref="A176" authorId="2" shapeId="0" xr:uid="{BDE59C8D-A4E0-49A3-9DA0-D9CC98F87F7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INVERSOR DE FREQUNECIA COM DEFEITO
</t>
        </r>
      </text>
    </comment>
    <comment ref="A195" authorId="2" shapeId="0" xr:uid="{D213FFA7-8A47-4D50-9653-6E5A8BD7718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96" authorId="0" shapeId="0" xr:uid="{1AF9B404-DA62-444D-BCFB-BF59E6AE3AC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97" authorId="0" shapeId="0" xr:uid="{EA659273-FA1D-4F9D-BB21-B3CAB366D33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98" authorId="0" shapeId="0" xr:uid="{2D15DA8A-43FC-4775-A0E7-3BE7CC8E3AD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99" authorId="0" shapeId="0" xr:uid="{94816D18-86C9-4E1E-8C3C-CCE935497C93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200" authorId="0" shapeId="0" xr:uid="{79E96031-2B63-42DD-9B3C-4C217B75FE9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 1/2</t>
        </r>
      </text>
    </comment>
    <comment ref="A201" authorId="2" shapeId="0" xr:uid="{8F2BDC6F-19BD-4D8B-A5AA-5CBA81DC9BD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02" authorId="2" shapeId="0" xr:uid="{BF5758D8-92CD-48E5-BE54-CB1C2B5449F0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14" authorId="3" shapeId="0" xr:uid="{26ACEB79-3E37-49C2-A96E-40934785DC6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+CD BATE VOLTA</t>
        </r>
      </text>
    </comment>
    <comment ref="A217" authorId="3" shapeId="0" xr:uid="{816BFB6A-0DD0-47DD-8698-3BE61149DC4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(C+D)</t>
        </r>
      </text>
    </comment>
    <comment ref="A218" authorId="3" shapeId="0" xr:uid="{6866DAB0-535F-4E03-8124-57E6DC01D8A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32" authorId="3" shapeId="0" xr:uid="{8D7F70E2-E900-4405-A784-4346487D2A5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34" authorId="3" shapeId="0" xr:uid="{304B8B17-268C-4146-AEE7-16FD6E4DBD7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40" authorId="3" shapeId="0" xr:uid="{E626EEAE-5BA7-4128-BF1D-A525149EB55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44" authorId="3" shapeId="0" xr:uid="{D08B533B-9D46-4BF3-A316-F8E3425520B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47" authorId="3" shapeId="0" xr:uid="{8C587D71-FBEE-4690-8C8A-03D190E684E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50" authorId="3" shapeId="0" xr:uid="{500FC260-0647-45CB-8802-BC6CB944355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65" authorId="3" shapeId="0" xr:uid="{7CCF194E-3115-49B4-A31C-18158B04000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irrigou 120º</t>
        </r>
      </text>
    </comment>
    <comment ref="A283" authorId="3" shapeId="0" xr:uid="{FFA3B90A-99D8-467E-8BD1-FB5A3917D0E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</t>
        </r>
      </text>
    </comment>
    <comment ref="A285" authorId="3" shapeId="0" xr:uid="{CCCC8CCF-E150-4AC1-9F29-BA7FDDD17BC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88" authorId="3" shapeId="0" xr:uid="{91E37004-6715-48DC-8D09-7EB7726C9BB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90" authorId="3" shapeId="0" xr:uid="{91376D46-4037-45FD-BD7F-03C8194A885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92" authorId="3" shapeId="0" xr:uid="{32595ED2-9DE9-4A3D-B635-3E22370ED20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Walison Almeida Santos Lima</author>
    <author>Carlos Santos</author>
  </authors>
  <commentList>
    <comment ref="A19" authorId="0" shapeId="0" xr:uid="{B87C457E-5269-40F4-BD46-8C96A1F0DDA2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A20" authorId="0" shapeId="0" xr:uid="{DB7BCCB4-5C31-4017-9ABF-00F8D4336A2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ureia</t>
        </r>
      </text>
    </comment>
    <comment ref="A56" authorId="1" shapeId="0" xr:uid="{DE071F95-B92E-40AF-A466-AB83911E4583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57" authorId="1" shapeId="0" xr:uid="{974EBBAC-6F2A-4DEC-8509-A65D52689D9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Pivô</t>
        </r>
      </text>
    </comment>
    <comment ref="A72" authorId="1" shapeId="0" xr:uid="{AED2D208-EB90-4E55-94AD-4F0282341E79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73" authorId="1" shapeId="0" xr:uid="{A3E13D9A-6CC7-48A5-B33E-951F3988AF3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teste de uniformidade
</t>
        </r>
      </text>
    </comment>
    <comment ref="A96" authorId="1" shapeId="0" xr:uid="{8425AE0C-25E9-43A2-8C0C-D905263EAE4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Kálito Wilk</author>
    <author>Walison Almeida Santos Lima</author>
    <author>tc={C76375CF-7FB9-466A-9166-296919F2B90C}</author>
    <author>Maicon Douglas Leite de Almeida</author>
    <author>Carlos Santos</author>
  </authors>
  <commentList>
    <comment ref="A21" authorId="0" shapeId="0" xr:uid="{D9C955BB-04D9-4CC9-99F9-2BF3E8A990B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25" authorId="0" shapeId="0" xr:uid="{F01D6088-47E6-41AE-93FF-36B87AEE06A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1" authorId="1" shapeId="0" xr:uid="{B810DDAC-DD14-41CF-BCFB-7706643F141B}">
      <text>
        <r>
          <rPr>
            <b/>
            <sz val="9"/>
            <color indexed="81"/>
            <rFont val="Segoe UI"/>
            <family val="2"/>
          </rPr>
          <t>Kálito Wilk: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3" authorId="1" shapeId="0" xr:uid="{D1794506-AFB2-466D-989B-1D2177E3A59C}">
      <text>
        <r>
          <rPr>
            <b/>
            <sz val="9"/>
            <color indexed="81"/>
            <rFont val="Segoe UI"/>
            <family val="2"/>
          </rPr>
          <t>Kálito Wilk: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5" authorId="2" shapeId="0" xr:uid="{BCBD50E9-305A-4EAD-8D55-668926DD3A6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52" authorId="0" shapeId="0" xr:uid="{0AE4B308-417B-488C-8C0A-2785A7C242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 giros 100% e 80%</t>
        </r>
      </text>
    </comment>
    <comment ref="A59" authorId="0" shapeId="0" xr:uid="{AB829F8B-5E0E-4A9D-B0B2-B634F1C793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2xGIROS UM DE FERTI
ACIDO BORICO</t>
        </r>
      </text>
    </comment>
    <comment ref="A80" authorId="0" shapeId="0" xr:uid="{5E12FD6B-FAA8-4DC9-BF9E-2CDC31ED290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BIO RAIZ+BIO RAIZ MAIS+TECAPT</t>
        </r>
      </text>
    </comment>
    <comment ref="A86" authorId="0" shapeId="0" xr:uid="{5892452E-827E-4BBC-9492-6A64460278A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Ac. Borico e S. Magnesio</t>
        </r>
      </text>
    </comment>
    <comment ref="A88" authorId="2" shapeId="0" xr:uid="{C48477CA-4E14-4AA5-B890-CCE292A1399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biologicos </t>
        </r>
      </text>
    </comment>
    <comment ref="A90" authorId="2" shapeId="0" xr:uid="{5D37E235-C065-4A3E-8CFE-1DDB1214169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 SYSTEM </t>
        </r>
      </text>
    </comment>
    <comment ref="A92" authorId="2" shapeId="0" xr:uid="{F386BA8B-EFB0-426B-8051-BA5DDE70B9A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FERTIRRIGAÇÃO 
NUTRI SYSTEM </t>
        </r>
      </text>
    </comment>
    <comment ref="A94" authorId="2" shapeId="0" xr:uid="{97AB6AB0-C6EF-4045-A03F-5201CB0B8D4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nutri system </t>
        </r>
      </text>
    </comment>
    <comment ref="A97" authorId="2" shapeId="0" xr:uid="{0424E3C4-EB4D-4A73-847B-A680E4124E3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PROK</t>
        </r>
      </text>
    </comment>
    <comment ref="A109" authorId="3" shapeId="0" xr:uid="{C76375CF-7FB9-466A-9166-296919F2B90C}">
      <text>
        <t>[Threaded comment]
Your version of Excel allows you to read this threaded comment; however, any edits to it will get removed if the file is opened in a newer version of Excel. Learn more: https://go.microsoft.com/fwlink/?linkid=870924
Comment:
    FERTI SOLUCLEAN+SOLULEAF+TECCAPT</t>
      </text>
    </comment>
    <comment ref="H130" authorId="4" shapeId="0" xr:uid="{4634ABA1-8954-4B97-82A7-F1448D49A12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33" authorId="5" shapeId="0" xr:uid="{2E4C2E8E-0C29-402F-B1B9-AA6BD60E859B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QA BATE VOLTA</t>
        </r>
      </text>
    </comment>
    <comment ref="A141" authorId="5" shapeId="0" xr:uid="{3303412F-F295-4D7F-A633-3D22691EA1E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QD BATE E VOLTA</t>
        </r>
      </text>
    </comment>
    <comment ref="A152" authorId="4" shapeId="0" xr:uid="{1ABFBD57-867E-4A32-B61C-A019446595D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FERTIRRIGÇÃO 
</t>
        </r>
      </text>
    </comment>
    <comment ref="A159" authorId="4" shapeId="0" xr:uid="{8E7483E8-0DF6-443B-9A3C-AEF276BA0EA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61" authorId="4" shapeId="0" xr:uid="{B2286DE9-21F3-4337-BD6E-59992FAB40A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</t>
        </r>
      </text>
    </comment>
    <comment ref="A163" authorId="4" shapeId="0" xr:uid="{75AF7580-F43B-4624-9028-70F6DAB88AF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64" authorId="4" shapeId="0" xr:uid="{032266BB-8824-4922-AF25-1475F9F67D4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74" authorId="4" shapeId="0" xr:uid="{B370F427-135D-4CC0-A25D-93FD9B3313C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50º C
</t>
        </r>
      </text>
    </comment>
    <comment ref="A186" authorId="2" shapeId="0" xr:uid="{22715666-9580-4C15-A4D5-8384BC91774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preparo</t>
        </r>
      </text>
    </comment>
    <comment ref="A187" authorId="2" shapeId="0" xr:uid="{C2BDE343-CD3B-4585-B504-A7C353DB3E5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 pivô </t>
        </r>
      </text>
    </comment>
    <comment ref="A188" authorId="2" shapeId="0" xr:uid="{37B4654C-FC36-463D-92C7-5A2DA689BD5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89" authorId="4" shapeId="0" xr:uid="{17365BA4-AAED-4CDC-BCE1-EC43FE664F0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93" authorId="4" shapeId="0" xr:uid="{E6447134-42C4-471C-A227-4655D09A95CB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194" authorId="4" shapeId="0" xr:uid="{36143F6E-5972-4B99-8638-0FDC07D7386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 PIVO </t>
        </r>
      </text>
    </comment>
    <comment ref="A211" authorId="4" shapeId="0" xr:uid="{377DE390-3596-4A0E-912B-69BF82FCBB3A}">
      <text>
        <r>
          <rPr>
            <b/>
            <sz val="9"/>
            <color indexed="81"/>
            <rFont val="Segoe UI"/>
            <family val="2"/>
          </rPr>
          <t xml:space="preserve">Maicon Douglas Leite de Almeida:
2 GIRO </t>
        </r>
      </text>
    </comment>
    <comment ref="A213" authorId="4" shapeId="0" xr:uid="{43C2113E-1E71-4A40-9F95-00ED5A3E624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15" authorId="4" shapeId="0" xr:uid="{50C1D40C-5963-4C69-B077-0A185F4F2AD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  <comment ref="A217" authorId="4" shapeId="0" xr:uid="{C219F443-55C8-456F-A893-1576873DCD4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tc={44E9B66E-8FCF-4221-A938-5B6475B0495C}</author>
    <author>tc={EC4CC071-63C5-49D5-A186-F0CD49FA58B0}</author>
    <author>tc={A15AD9F6-6DB1-4A31-BC0D-2E51060D7F9F}</author>
    <author>tc={4F47DE4B-6754-45F2-AD1C-BCBC99614932}</author>
    <author>Carlos Santos</author>
  </authors>
  <commentList>
    <comment ref="A19" authorId="0" shapeId="0" xr:uid="{66668B6E-4364-4F05-8299-22D06843C7B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Á 70%  e um giro completo á 100%</t>
        </r>
      </text>
    </comment>
    <comment ref="A20" authorId="0" shapeId="0" xr:uid="{8A143092-3373-4DCF-BD21-76F9C3AC2CC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PARADO PELA CHUVA</t>
        </r>
      </text>
    </comment>
    <comment ref="A38" authorId="1" shapeId="0" xr:uid="{9AC5D326-17AC-4EB9-84D6-CC5D04A986E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360+180 
1 giro e 1/2</t>
        </r>
      </text>
    </comment>
    <comment ref="A43" authorId="1" shapeId="0" xr:uid="{97AE7CA0-B9EB-4918-A7D9-FB8E834E6400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ureia </t>
        </r>
      </text>
    </comment>
    <comment ref="A53" authorId="0" shapeId="0" xr:uid="{146911A7-D8DF-46D1-8089-D3020D6D6C8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66" authorId="0" shapeId="0" xr:uid="{8E754AC5-F950-488E-AC66-40345BD9757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73" authorId="0" shapeId="0" xr:uid="{F91C69EB-F5F3-4288-9EDB-FF7D49154F4A}">
      <text>
        <r>
          <rPr>
            <sz val="11"/>
            <color theme="1"/>
            <rFont val="Calibri"/>
            <family val="2"/>
            <scheme val="minor"/>
          </rPr>
          <t>Kalito Silva:
CONFERIR</t>
        </r>
      </text>
    </comment>
    <comment ref="A74" authorId="0" shapeId="0" xr:uid="{23784CDB-CD64-4AF5-B543-68BCE3A383A6}">
      <text>
        <r>
          <rPr>
            <sz val="11"/>
            <color theme="1"/>
            <rFont val="Calibri"/>
            <family val="2"/>
            <scheme val="minor"/>
          </rPr>
          <t>Kalito Silva:
CONFERIR</t>
        </r>
      </text>
    </comment>
    <comment ref="A86" authorId="1" shapeId="0" xr:uid="{7D9664D3-135A-48B5-AC33-5A0E55598F4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UREIA </t>
        </r>
      </text>
    </comment>
    <comment ref="A99" authorId="2" shapeId="0" xr:uid="{44E9B66E-8FCF-4221-A938-5B6475B049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128º ao 180 anti-horário </t>
      </text>
    </comment>
    <comment ref="A100" authorId="3" shapeId="0" xr:uid="{EC4CC071-63C5-49D5-A186-F0CD49FA58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101" authorId="4" shapeId="0" xr:uid="{A15AD9F6-6DB1-4A31-BC0D-2E51060D7F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102" authorId="5" shapeId="0" xr:uid="{4F47DE4B-6754-45F2-AD1C-BCBC996149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103" authorId="6" shapeId="0" xr:uid="{4EC14D2F-5260-4A58-8CE6-1049C724BE65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04" authorId="6" shapeId="0" xr:uid="{F5BC98E9-42B2-47CD-B3D8-0605752A9E77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do 180 ao 128 reversão
</t>
        </r>
      </text>
    </comment>
    <comment ref="A105" authorId="6" shapeId="0" xr:uid="{1CE07EAF-3D4E-4BBC-B5B2-F461ABC303D1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15" authorId="6" shapeId="0" xr:uid="{B18CE2CD-CDBF-4611-BCCD-DFFD96906FA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Preparo de solo 1/2</t>
        </r>
      </text>
    </comment>
    <comment ref="A116" authorId="6" shapeId="0" xr:uid="{02D16528-E2B4-4939-B8E2-03299244B590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17" authorId="6" shapeId="0" xr:uid="{AA3BD19B-6D77-4A5D-9B67-836608DA16B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
</t>
        </r>
      </text>
    </comment>
    <comment ref="A127" authorId="0" shapeId="0" xr:uid="{B3720EA0-F342-441A-A766-E016B38F7BE8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28" authorId="6" shapeId="0" xr:uid="{74F070E1-8019-4D19-BA05-2C1A566191D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ANTI-HORARIO
</t>
        </r>
      </text>
    </comment>
    <comment ref="A139" authorId="6" shapeId="0" xr:uid="{67E737AE-0902-4097-BBCD-B85B984DA10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tc={58BB71E9-EC4B-439B-893C-5594C9606FDA}</author>
    <author>Carlos Santos</author>
    <author>Maicon Douglas Leite de Almeida</author>
  </authors>
  <commentList>
    <comment ref="A10" authorId="0" shapeId="0" xr:uid="{6E79317E-CCD1-4B94-96B5-D81C1452123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96" authorId="0" shapeId="0" xr:uid="{9F2261AF-B1FF-406B-8822-5AF299DA7AC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/bio Raiz e Bio raiz mais</t>
        </r>
      </text>
    </comment>
    <comment ref="A99" authorId="1" shapeId="0" xr:uid="{F47E629A-55DC-43D5-99A9-23E87C31D22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NUTRISYSTEM </t>
        </r>
      </text>
    </comment>
    <comment ref="A103" authorId="1" shapeId="0" xr:uid="{E959EFBC-2820-4693-A8DD-5E7511849C5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NUTRISYSTEM </t>
        </r>
      </text>
    </comment>
    <comment ref="A108" authorId="1" shapeId="0" xr:uid="{F104B2B3-1F52-450E-B832-CE8ACC6F6C7B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BIO RAIZ+BIO RAIZ MAIS </t>
        </r>
      </text>
    </comment>
    <comment ref="A113" authorId="1" shapeId="0" xr:uid="{357BB5C8-1900-48C2-8989-2FA3AE05CB49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 system </t>
        </r>
      </text>
    </comment>
    <comment ref="A120" authorId="1" shapeId="0" xr:uid="{3F58C07C-8203-4D56-97B4-1BF8EF89CFE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PROK+ACIDO BORICO</t>
        </r>
      </text>
    </comment>
    <comment ref="A123" authorId="0" shapeId="0" xr:uid="{8E335309-954E-41A5-AF7B-0C29E15D752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Sop 100Kg</t>
        </r>
      </text>
    </comment>
    <comment ref="A158" authorId="2" shapeId="0" xr:uid="{58BB71E9-EC4B-439B-893C-5594C9606F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
</t>
      </text>
    </comment>
    <comment ref="A186" authorId="3" shapeId="0" xr:uid="{9E66169F-19C3-41D7-BEE2-62AF7F23B1C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194" authorId="3" shapeId="0" xr:uid="{32CB6840-79C1-4E04-9113-58B78B080D5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221" authorId="4" shapeId="0" xr:uid="{0F833333-3881-4E87-8E68-AB8C334CA47F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36" authorId="4" shapeId="0" xr:uid="{9C0C4DFC-41EF-48C1-A382-850A24508CF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48" authorId="4" shapeId="0" xr:uid="{EE316C6E-E232-48E4-953E-29747207DA1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60" authorId="4" shapeId="0" xr:uid="{B22C6AE4-7717-4192-940C-19898F72F3FD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SO 90º</t>
        </r>
      </text>
    </comment>
    <comment ref="A270" authorId="4" shapeId="0" xr:uid="{46707F3D-67A3-4EC3-BCA7-1C7030BF592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tc={61A94EB1-4C2E-49A9-A262-E93F513B7B7E}</author>
    <author>Carlos Santos</author>
    <author>Maicon Douglas Leite de Almeida</author>
  </authors>
  <commentList>
    <comment ref="A8" authorId="0" shapeId="0" xr:uid="{454DD469-A12F-4481-9FF2-58EC097FFB3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52" authorId="1" shapeId="0" xr:uid="{039F6852-B1F7-4E2D-85E4-C5941B10AA64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falta de agua </t>
        </r>
      </text>
    </comment>
    <comment ref="A64" authorId="1" shapeId="0" xr:uid="{41CCFB05-D869-4681-A57C-9C2C96C0A42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65" authorId="1" shapeId="0" xr:uid="{B699EE7B-8EE5-4270-AB93-E55562526021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72" authorId="1" shapeId="0" xr:uid="{49803E70-7F57-462D-B711-BD874C911AE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2x giros </t>
        </r>
      </text>
    </comment>
    <comment ref="A74" authorId="1" shapeId="0" xr:uid="{A96DA7D2-2522-49FA-BF87-4888F9ABC7FA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1 giro e 1/2 </t>
        </r>
      </text>
    </comment>
    <comment ref="A81" authorId="2" shapeId="0" xr:uid="{61A94EB1-4C2E-49A9-A262-E93F513B7B7E}">
      <text>
        <t>[Threaded comment]
Your version of Excel allows you to read this threaded comment; however, any edits to it will get removed if the file is opened in a newer version of Excel. Learn more: https://go.microsoft.com/fwlink/?linkid=870924
Comment:
    1/2 ferti / 1/2 normal.</t>
      </text>
    </comment>
    <comment ref="A82" authorId="0" shapeId="0" xr:uid="{62BC886D-AF8B-4359-BD8D-47C6C305EF1C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1/2 - Ferti Ureia 
1/2 - Irrigação Normal </t>
        </r>
      </text>
    </comment>
    <comment ref="A83" authorId="0" shapeId="0" xr:uid="{6EE9FB3F-01A4-4FFB-8EEE-81C99ACA579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1/2 - Ferti Ureia
Todo - Irrigação 100%</t>
        </r>
      </text>
    </comment>
    <comment ref="A100" authorId="0" shapeId="0" xr:uid="{88D5BBE9-1E43-44C3-873E-4987286FE90E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110" authorId="1" shapeId="0" xr:uid="{29688E30-C9CF-48C0-88A1-4B2EC803C786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120" authorId="1" shapeId="0" xr:uid="{90E49723-49BF-443F-BC9A-7EEB932CF7A8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29" authorId="3" shapeId="0" xr:uid="{BA4A454E-5CBA-46A8-BAD6-04FE6E96B8D2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180 voltando 128
</t>
        </r>
      </text>
    </comment>
    <comment ref="A130" authorId="3" shapeId="0" xr:uid="{5741AED6-28B0-4BE0-99CD-299899826B4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180 voltando 128
</t>
        </r>
      </text>
    </comment>
    <comment ref="A133" authorId="3" shapeId="0" xr:uid="{794F9F09-8B89-48E9-AEE3-32162842C2C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 VOLTANDO PRO PIVO 128</t>
        </r>
      </text>
    </comment>
    <comment ref="A135" authorId="3" shapeId="0" xr:uid="{F2B3C6F7-0B56-4313-A3BB-C4E47ADB768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
</t>
        </r>
      </text>
    </comment>
    <comment ref="A197" authorId="4" shapeId="0" xr:uid="{4A78A3BC-C6B5-40B0-89AF-8225633D83D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SO IRRIGOU 90º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Walison Almeida Santos Lima</author>
    <author>tc={8F4EC934-9BE8-438B-ACBF-AD97FE8C64B4}</author>
    <author>Carlos Santos</author>
    <author>Maicon Douglas Leite de Almeida</author>
  </authors>
  <commentList>
    <comment ref="A86" authorId="0" shapeId="0" xr:uid="{9A76A471-01A0-4EE2-A3F6-C268F4AD0F8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/ ACIDO BORICO / CD</t>
        </r>
      </text>
    </comment>
    <comment ref="A88" authorId="1" shapeId="0" xr:uid="{F9B5C06B-5813-4DB9-9C9D-20B1FC8E9237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/ acido borico </t>
        </r>
      </text>
    </comment>
    <comment ref="A93" authorId="1" shapeId="0" xr:uid="{E8F73795-A4F8-4F35-9DB1-18B26BD966ED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BIO RAIZ + BIO RAIZ MAIS </t>
        </r>
      </text>
    </comment>
    <comment ref="A95" authorId="0" shapeId="0" xr:uid="{B73DAEE2-DF78-4A10-A0B8-B17C40EAF5E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Bio Raiz e Bio Raiz Mais</t>
        </r>
      </text>
    </comment>
    <comment ref="A103" authorId="1" shapeId="0" xr:uid="{EAB54C28-8512-41F1-B173-E4157F46B62F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NUTRISYSTEM + ACIDO BORICO </t>
        </r>
      </text>
    </comment>
    <comment ref="A105" authorId="1" shapeId="0" xr:uid="{87328B6A-32D4-4512-86FA-5477B7C4D805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nutri system </t>
        </r>
      </text>
    </comment>
    <comment ref="A120" authorId="1" shapeId="0" xr:uid="{1A2AE4FB-49D6-435D-AC62-CCBAC1AEAAFC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pro k </t>
        </r>
      </text>
    </comment>
    <comment ref="A123" authorId="1" shapeId="0" xr:uid="{FAE947B2-FAB0-440B-B36A-F2D42BCC0B13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PRO K</t>
        </r>
      </text>
    </comment>
    <comment ref="A127" authorId="0" shapeId="0" xr:uid="{D7F3998E-D89E-4768-A891-6AAA02C2529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62" authorId="2" shapeId="0" xr:uid="{8F4EC934-9BE8-438B-ACBF-AD97FE8C64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preparo de solo </t>
      </text>
    </comment>
    <comment ref="A163" authorId="3" shapeId="0" xr:uid="{DCE588CE-6A68-4023-9E2D-F3F06CAC066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164" authorId="3" shapeId="0" xr:uid="{3E486101-3DBF-4762-92D6-7338ACF41A6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1/2
</t>
        </r>
      </text>
    </comment>
    <comment ref="A211" authorId="3" shapeId="0" xr:uid="{4F85870F-D173-4F76-B80A-DFD82CF6D064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221" authorId="3" shapeId="0" xr:uid="{AA1CD3A7-D521-4186-BC35-7823EFF70336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FERTI
</t>
        </r>
      </text>
    </comment>
    <comment ref="A246" authorId="4" shapeId="0" xr:uid="{6D62C91B-B52D-49D1-AE85-2A2C802A70C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a 100%</t>
        </r>
      </text>
    </comment>
    <comment ref="A248" authorId="4" shapeId="0" xr:uid="{59A5B654-5107-4D91-A06B-09737479F504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A 100%
</t>
        </r>
      </text>
    </comment>
    <comment ref="A271" authorId="4" shapeId="0" xr:uid="{3A12C206-32A0-46D2-A51B-605E27ACDA19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297" authorId="4" shapeId="0" xr:uid="{B6893E47-DA6C-40B5-9141-6C4B9F1C903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SO 68º</t>
        </r>
      </text>
    </comment>
    <comment ref="A298" authorId="4" shapeId="0" xr:uid="{C358DF20-2388-41A9-902A-8EC6EDB5C4D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SO 113º</t>
        </r>
      </text>
    </comment>
    <comment ref="A299" authorId="4" shapeId="0" xr:uid="{62D0FB20-7773-4B9B-B158-A388C9176526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68º QUE IRRIGOU </t>
        </r>
      </text>
    </comment>
    <comment ref="A300" authorId="4" shapeId="0" xr:uid="{6FE4367E-7EB5-4642-9668-7D6854AAB0C5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45º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tc={52230862-C82E-42B5-B752-ED9D5B132B76}</author>
    <author>Kalito Silva</author>
    <author>Walison Almeida Santos Lima</author>
    <author>tc={A89A8BD2-F583-4DBF-BE93-BA72FE1D9C0F}</author>
    <author>Carlos Santos</author>
    <author>Maicon Douglas Leite de Almeida</author>
  </authors>
  <commentList>
    <comment ref="A13" authorId="0" shapeId="0" xr:uid="{52230862-C82E-42B5-B752-ED9D5B132B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GIRO COMPLETO </t>
      </text>
    </comment>
    <comment ref="A27" authorId="1" shapeId="0" xr:uid="{EE14BA0B-8D21-4D3E-9DF3-9D200A697340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 1/2</t>
        </r>
      </text>
    </comment>
    <comment ref="A28" authorId="1" shapeId="0" xr:uid="{8631E3EF-5E8C-499E-A5B3-6221CEDB40F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31" authorId="2" shapeId="0" xr:uid="{3A507CE1-9348-4C5F-BCAE-2C0D15EF46BE}">
      <text>
        <r>
          <rPr>
            <b/>
            <sz val="9"/>
            <color indexed="81"/>
            <rFont val="Segoe UI"/>
            <family val="2"/>
          </rPr>
          <t>Walison Almeida Santos Lima:</t>
        </r>
        <r>
          <rPr>
            <sz val="9"/>
            <color indexed="81"/>
            <rFont val="Segoe UI"/>
            <family val="2"/>
          </rPr>
          <t xml:space="preserve">
Ferti BIO MEGA+BIO MARRIZO+AZOCOP</t>
        </r>
      </text>
    </comment>
    <comment ref="A36" authorId="1" shapeId="0" xr:uid="{BFABA426-9644-49D2-8CB7-A037C5CB78F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41" authorId="1" shapeId="0" xr:uid="{F8C0E330-EC70-4971-A1E3-ADD270D79F19}">
      <text>
        <r>
          <rPr>
            <sz val="11"/>
            <color theme="1"/>
            <rFont val="Calibri"/>
            <family val="2"/>
            <scheme val="minor"/>
          </rPr>
          <t>Kalito Silva:
fERTI</t>
        </r>
      </text>
    </comment>
    <comment ref="A59" authorId="3" shapeId="0" xr:uid="{A89A8BD2-F583-4DBF-BE93-BA72FE1D9C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FERTI
UREIA
</t>
      </text>
    </comment>
    <comment ref="A94" authorId="4" shapeId="0" xr:uid="{515E9D5F-5BB3-4B35-A690-6ED4E1A208E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18" authorId="4" shapeId="0" xr:uid="{94588FE3-F1DA-49ED-A3E8-697F42A9C820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
</t>
        </r>
      </text>
    </comment>
    <comment ref="A151" authorId="5" shapeId="0" xr:uid="{F88AD9CB-2FB3-432B-AFB1-DE04CAA8F0A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72" authorId="5" shapeId="0" xr:uid="{3344AE4E-464A-4632-BEEF-B2A7CD88DAE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45º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Santos</author>
    <author>Maicon Douglas Leite de Almeida</author>
  </authors>
  <commentList>
    <comment ref="A45" authorId="0" shapeId="0" xr:uid="{9E4CFA2C-0862-48EA-8C56-9F326106BB0C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CHOVEU</t>
        </r>
      </text>
    </comment>
    <comment ref="A49" authorId="0" shapeId="0" xr:uid="{B7218964-179C-45A0-B9B5-D4767565A93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
</t>
        </r>
      </text>
    </comment>
    <comment ref="A71" authorId="1" shapeId="0" xr:uid="{C44EFB09-260A-42C3-9B76-408E184647D0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CHUVA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Kalito Silva</author>
    <author>Carlos Santos</author>
    <author>Maicon Douglas Leite de Almeida</author>
  </authors>
  <commentList>
    <comment ref="A27" authorId="0" shapeId="0" xr:uid="{5C6D291D-A9CF-42ED-86DF-AA6C8E391F2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3" authorId="0" shapeId="0" xr:uid="{995D8E20-0E28-4D0B-AECA-3C94CBDDCEE2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37" authorId="0" shapeId="0" xr:uid="{DDF168B8-D0DC-470E-8417-994C2B570CB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0" authorId="0" shapeId="0" xr:uid="{47E614C9-5854-41EF-A143-F746ED66985B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</t>
        </r>
      </text>
    </comment>
    <comment ref="A43" authorId="0" shapeId="0" xr:uid="{E3857582-7A1F-464C-A468-41F59B52135D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49" authorId="0" shapeId="0" xr:uid="{74EC76CA-0866-44B0-A390-ECE329A6EC5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53" authorId="0" shapeId="0" xr:uid="{8AA129EE-99EA-4297-8315-7CBCD639136E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73" authorId="0" shapeId="0" xr:uid="{59E00837-59D4-468E-8D8C-07D9306DA005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</t>
        </r>
      </text>
    </comment>
    <comment ref="A116" authorId="1" shapeId="0" xr:uid="{373C7835-387B-4101-95F9-FE68FE6BCBD9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ADUTORA ESTOURADA</t>
        </r>
      </text>
    </comment>
    <comment ref="A117" authorId="1" shapeId="0" xr:uid="{7F378A1B-F2E5-4F71-8EC3-909B2321EB1E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ADUTORA ESTOURADA</t>
        </r>
      </text>
    </comment>
    <comment ref="A118" authorId="1" shapeId="0" xr:uid="{74EF2F31-E7E9-4D20-85EE-FAAAA163CBDA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ADUTORA ESTOURADA</t>
        </r>
      </text>
    </comment>
    <comment ref="A136" authorId="1" shapeId="0" xr:uid="{0E52EF54-4B88-429C-86E8-5F25470477A8}">
      <text>
        <r>
          <rPr>
            <b/>
            <sz val="9"/>
            <color indexed="81"/>
            <rFont val="Segoe UI"/>
            <family val="2"/>
          </rPr>
          <t>Carlos Santos:</t>
        </r>
        <r>
          <rPr>
            <sz val="9"/>
            <color indexed="81"/>
            <rFont val="Segoe UI"/>
            <family val="2"/>
          </rPr>
          <t xml:space="preserve">
CHUVA</t>
        </r>
      </text>
    </comment>
    <comment ref="A162" authorId="2" shapeId="0" xr:uid="{33F01C06-34AA-4043-8DA6-75167782722C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1/2</t>
        </r>
      </text>
    </comment>
    <comment ref="A164" authorId="2" shapeId="0" xr:uid="{C643C8EE-BA68-43EC-B034-E143725791C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A 100%
</t>
        </r>
      </text>
    </comment>
    <comment ref="A167" authorId="2" shapeId="0" xr:uid="{D1A27C5F-3A8B-44BC-BFD1-16EF95EE8F41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A 100%
</t>
        </r>
      </text>
    </comment>
    <comment ref="A169" authorId="2" shapeId="0" xr:uid="{322EF8C2-AAB5-4986-BE78-7E3B56F4AB1A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2 GIRO A 100%</t>
        </r>
      </text>
    </comment>
    <comment ref="A183" authorId="2" shapeId="0" xr:uid="{41B880D1-A433-4EE5-8E43-C40D3EEA7BF2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 </t>
        </r>
      </text>
    </comment>
    <comment ref="A198" authorId="2" shapeId="0" xr:uid="{C8A373B7-8E21-408E-91DA-8A8F260248E8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fertirrigação</t>
        </r>
      </text>
    </comment>
    <comment ref="A203" authorId="2" shapeId="0" xr:uid="{B6B2FD8C-26BB-4A73-AC5E-183E37F2EB17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DUAS IRRIGAÇÃO </t>
        </r>
      </text>
    </comment>
    <comment ref="A208" authorId="2" shapeId="0" xr:uid="{AB74A89C-C077-4568-9ECD-A2453303D4CE}">
      <text>
        <r>
          <rPr>
            <b/>
            <sz val="9"/>
            <color indexed="81"/>
            <rFont val="Segoe UI"/>
            <family val="2"/>
          </rPr>
          <t>Maicon Douglas Leite de Almeida:</t>
        </r>
        <r>
          <rPr>
            <sz val="9"/>
            <color indexed="81"/>
            <rFont val="Segoe UI"/>
            <family val="2"/>
          </rPr>
          <t xml:space="preserve">
TESTE 40º A 50% ALCIONE </t>
        </r>
      </text>
    </comment>
    <comment ref="A231" authorId="2" shapeId="0" xr:uid="{EE3C9495-3F17-460E-90E5-6D06B98762F8}">
      <text>
        <r>
          <rPr>
            <b/>
            <sz val="9"/>
            <color indexed="81"/>
            <rFont val="Segoe UI"/>
            <charset val="1"/>
          </rPr>
          <t>Maicon Douglas Leite de Almeida:</t>
        </r>
        <r>
          <rPr>
            <sz val="9"/>
            <color indexed="81"/>
            <rFont val="Segoe UI"/>
            <charset val="1"/>
          </rPr>
          <t xml:space="preserve">
2 GIRO 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</authors>
  <commentList>
    <comment ref="A18" authorId="0" shapeId="0" xr:uid="{2FDE8A7D-89C9-4A1C-AC2F-CCF8A9EC69A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5" authorId="0" shapeId="0" xr:uid="{18A30B4F-636C-4A27-ABA8-23BD633C110A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37" authorId="1" shapeId="0" xr:uid="{83ABDA2A-A1B4-4ABA-B8B0-8A5DFED38F20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Rolamento da bomba estragado</t>
        </r>
      </text>
    </comment>
    <comment ref="A39" authorId="0" shapeId="0" xr:uid="{6E0CA452-2FD6-48C9-8E60-253921BBAD8F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61" authorId="0" shapeId="0" xr:uid="{37EDB2CE-0F36-45F7-A39B-874B1B41CA7E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POS UREIA</t>
        </r>
      </text>
    </comment>
    <comment ref="A108" authorId="2" shapeId="0" xr:uid="{3660315B-8FF8-42B2-8C44-B922007CE6EF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UREIA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Kalito Silva</author>
  </authors>
  <commentList>
    <comment ref="A20" authorId="0" shapeId="0" xr:uid="{289E8500-9B39-469D-B834-697EACA12E80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5" authorId="0" shapeId="0" xr:uid="{9F928B47-96F5-4E32-9A1D-4C12BFFF0ACC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40" authorId="0" shapeId="0" xr:uid="{40F18136-BFC8-44BE-9651-8332227E6B38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ferti ureia</t>
        </r>
      </text>
    </comment>
    <comment ref="A62" authorId="0" shapeId="0" xr:uid="{1C67D7E2-2E84-4887-ABC9-10D1079755BD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POS UREIA</t>
        </r>
      </text>
    </comment>
    <comment ref="A72" authorId="0" shapeId="0" xr:uid="{9E7193D6-B37B-476D-B4C4-8A3CAE055F36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 (VIA HERCULES)</t>
        </r>
      </text>
    </comment>
    <comment ref="A111" authorId="1" shapeId="0" xr:uid="{DE7A9088-01D6-447D-8AA7-D916AD791361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UREIA</t>
        </r>
      </text>
    </comment>
    <comment ref="A112" authorId="1" shapeId="0" xr:uid="{43A300B0-C755-441D-9BC8-6B92A9B69AD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aplicação via hercules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</authors>
  <commentList>
    <comment ref="A20" authorId="0" shapeId="0" xr:uid="{4EF4C656-9D73-402E-B066-898A79AAC34F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4" authorId="0" shapeId="0" xr:uid="{1F69E797-943D-4C8E-A5BB-107698F16CE1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64" authorId="1" shapeId="0" xr:uid="{1C06F870-94AB-43FF-B379-A6EDB6AAA4F1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 KCL</t>
        </r>
      </text>
    </comment>
    <comment ref="A68" authorId="0" shapeId="0" xr:uid="{BD66507F-5CDF-4F3B-B593-05AAD3EC5B84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ureia</t>
        </r>
      </text>
    </comment>
    <comment ref="A69" authorId="0" shapeId="0" xr:uid="{42DE0162-8238-4DE3-B501-48112C56C11F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 (VIA HERCULES)</t>
        </r>
      </text>
    </comment>
    <comment ref="A115" authorId="2" shapeId="0" xr:uid="{74699837-1C29-41E0-8158-5DF26900AE17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FERTI; UREIA</t>
        </r>
      </text>
    </comment>
    <comment ref="A116" authorId="2" shapeId="0" xr:uid="{0A081BE1-3CCA-4D42-9204-445A59E7A22A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 1/2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Deymilla Souza</author>
    <author>Ricardo Silva Santos</author>
    <author>Kalito Silva</author>
  </authors>
  <commentList>
    <comment ref="A19" authorId="0" shapeId="0" xr:uid="{444D6DCD-9D60-4141-95E9-9014B7E7F8D3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inoculante</t>
        </r>
      </text>
    </comment>
    <comment ref="A23" authorId="0" shapeId="0" xr:uid="{FA224B47-4BAA-415C-BE96-AFE8DC3F91E6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micro</t>
        </r>
      </text>
    </comment>
    <comment ref="A61" authorId="1" shapeId="0" xr:uid="{B6C814DC-B4D3-431B-ABDB-6D53A846BC40}">
      <text>
        <r>
          <rPr>
            <b/>
            <sz val="9"/>
            <color indexed="81"/>
            <rFont val="Segoe UI"/>
            <family val="2"/>
          </rPr>
          <t>Ricardo Silva Santos:</t>
        </r>
        <r>
          <rPr>
            <sz val="9"/>
            <color indexed="81"/>
            <rFont val="Segoe UI"/>
            <family val="2"/>
          </rPr>
          <t xml:space="preserve">
Ferti KCL</t>
        </r>
      </text>
    </comment>
    <comment ref="A65" authorId="0" shapeId="0" xr:uid="{1F93148C-6D5D-4AA2-94ED-B26C8176EC5C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pos amônio </t>
        </r>
      </text>
    </comment>
    <comment ref="A68" authorId="0" shapeId="0" xr:uid="{BBC7EF56-4D68-43F5-836F-13387BD3C6FE}">
      <text>
        <r>
          <rPr>
            <b/>
            <sz val="9"/>
            <color indexed="81"/>
            <rFont val="Segoe UI"/>
            <family val="2"/>
          </rPr>
          <t>Deymilla Souza:</t>
        </r>
        <r>
          <rPr>
            <sz val="9"/>
            <color indexed="81"/>
            <rFont val="Segoe UI"/>
            <family val="2"/>
          </rPr>
          <t xml:space="preserve">
KCL (VIA HERCULES)</t>
        </r>
      </text>
    </comment>
    <comment ref="A122" authorId="2" shapeId="0" xr:uid="{1D5C1AC0-8C07-47AE-99DB-5F37F85532C9}">
      <text>
        <r>
          <rPr>
            <b/>
            <sz val="9"/>
            <color indexed="81"/>
            <rFont val="Segoe UI"/>
            <family val="2"/>
          </rPr>
          <t>Kalito Silva:</t>
        </r>
        <r>
          <rPr>
            <sz val="9"/>
            <color indexed="81"/>
            <rFont val="Segoe UI"/>
            <family val="2"/>
          </rPr>
          <t xml:space="preserve">
FERTI: UREIA</t>
        </r>
      </text>
    </comment>
  </commentList>
</comments>
</file>

<file path=xl/sharedStrings.xml><?xml version="1.0" encoding="utf-8"?>
<sst xmlns="http://schemas.openxmlformats.org/spreadsheetml/2006/main" count="11904" uniqueCount="388">
  <si>
    <t>PIVÔ 101</t>
  </si>
  <si>
    <t>ALGODÃO 2019/2020</t>
  </si>
  <si>
    <t>ATIVIDADES DESENVOLVIDAS - IRRIGAÇÃO</t>
  </si>
  <si>
    <t>IRRIGAÇÃO</t>
  </si>
  <si>
    <t>Nº Pivô</t>
  </si>
  <si>
    <t>Data Inicio Irrigação</t>
  </si>
  <si>
    <t>% Velocidade</t>
  </si>
  <si>
    <t>Lâmina</t>
  </si>
  <si>
    <t>Horimetro Inicial</t>
  </si>
  <si>
    <t>Horimetro Final</t>
  </si>
  <si>
    <t>Data Final Irrigação</t>
  </si>
  <si>
    <t>Hora</t>
  </si>
  <si>
    <t>Verificação</t>
  </si>
  <si>
    <t>SOJA 2020</t>
  </si>
  <si>
    <t>ALGODÃO 2021</t>
  </si>
  <si>
    <t>ALGODÃO 2022</t>
  </si>
  <si>
    <t>MILHO SEMENTE 2022</t>
  </si>
  <si>
    <t>ALGODÃO 2023</t>
  </si>
  <si>
    <t>???</t>
  </si>
  <si>
    <t>ALGODÃO 2024</t>
  </si>
  <si>
    <t>PIVÔ 102</t>
  </si>
  <si>
    <t>Pivoseiro</t>
  </si>
  <si>
    <t>Responsável</t>
  </si>
  <si>
    <t>MILHO SEMENTE 2020</t>
  </si>
  <si>
    <t>TABACO 2021</t>
  </si>
  <si>
    <t>102. A+B</t>
  </si>
  <si>
    <t>102 A+B</t>
  </si>
  <si>
    <t>102. C+D</t>
  </si>
  <si>
    <t>102 C+D</t>
  </si>
  <si>
    <t>102 A</t>
  </si>
  <si>
    <t>102 B+C+D</t>
  </si>
  <si>
    <t>.</t>
  </si>
  <si>
    <t>MILHO GRÃO 2021</t>
  </si>
  <si>
    <t>102.</t>
  </si>
  <si>
    <t>102. B</t>
  </si>
  <si>
    <t>102. A</t>
  </si>
  <si>
    <t>102.B</t>
  </si>
  <si>
    <t>102.A</t>
  </si>
  <si>
    <t>102.b</t>
  </si>
  <si>
    <t>102.A+B</t>
  </si>
  <si>
    <t>102. A+B+C+D</t>
  </si>
  <si>
    <t>TABACO 2023</t>
  </si>
  <si>
    <t>102.C+D</t>
  </si>
  <si>
    <t>102.B+C+D</t>
  </si>
  <si>
    <t>102.D</t>
  </si>
  <si>
    <t>MILHETO 2023</t>
  </si>
  <si>
    <t>SOJA 2024</t>
  </si>
  <si>
    <t>SORGO 2024</t>
  </si>
  <si>
    <t>SOJA - 2024</t>
  </si>
  <si>
    <t>PIVÔ 103</t>
  </si>
  <si>
    <t>SOJA 2019</t>
  </si>
  <si>
    <t>ALGODÃO 2020</t>
  </si>
  <si>
    <t>24/409/2020</t>
  </si>
  <si>
    <t xml:space="preserve">ALGODÃO 2021 </t>
  </si>
  <si>
    <t>06/202/2023</t>
  </si>
  <si>
    <t>PIVÔ 104</t>
  </si>
  <si>
    <t>JAILTON COSTA</t>
  </si>
  <si>
    <t>DEYMILLA SOUZA</t>
  </si>
  <si>
    <t>MARISON</t>
  </si>
  <si>
    <t>EDSON</t>
  </si>
  <si>
    <t>JUNIO HENRIQUE</t>
  </si>
  <si>
    <t>RODRIGO</t>
  </si>
  <si>
    <t>ALDAIR</t>
  </si>
  <si>
    <t>30/90</t>
  </si>
  <si>
    <t>PIVÔ 105</t>
  </si>
  <si>
    <t>RICARDO SANTOS</t>
  </si>
  <si>
    <t>105 ½</t>
  </si>
  <si>
    <t>105½</t>
  </si>
  <si>
    <t>SOJA 2022</t>
  </si>
  <si>
    <t>SOJA 2023</t>
  </si>
  <si>
    <t>25/05/2023</t>
  </si>
  <si>
    <t>26/05/2023</t>
  </si>
  <si>
    <t>PIVÔ 106</t>
  </si>
  <si>
    <t>23/07/020</t>
  </si>
  <si>
    <t xml:space="preserve">SOJA 2020 </t>
  </si>
  <si>
    <t>MILHO SEMENTE 2021</t>
  </si>
  <si>
    <t>106. A</t>
  </si>
  <si>
    <t>100% 80</t>
  </si>
  <si>
    <t>106. B</t>
  </si>
  <si>
    <t xml:space="preserve"> 106. A </t>
  </si>
  <si>
    <t xml:space="preserve">106. B </t>
  </si>
  <si>
    <t>106.B</t>
  </si>
  <si>
    <t>106.A</t>
  </si>
  <si>
    <t>70% + 40%</t>
  </si>
  <si>
    <t xml:space="preserve">106.A </t>
  </si>
  <si>
    <t xml:space="preserve">106.B </t>
  </si>
  <si>
    <t>SOJA 2022 - A</t>
  </si>
  <si>
    <t>ALGOÃO 2022 - B</t>
  </si>
  <si>
    <t>SORGO 2022 - A</t>
  </si>
  <si>
    <t>106.</t>
  </si>
  <si>
    <t>10/20/2023</t>
  </si>
  <si>
    <t xml:space="preserve"> </t>
  </si>
  <si>
    <t>PIVÔ 107</t>
  </si>
  <si>
    <t>30//12/2019</t>
  </si>
  <si>
    <t>26/09/220</t>
  </si>
  <si>
    <t>23/05/2023</t>
  </si>
  <si>
    <t>24/05/2023</t>
  </si>
  <si>
    <t>29/05/2023</t>
  </si>
  <si>
    <t>30/05/2023</t>
  </si>
  <si>
    <t>ALGODÃO - 2024</t>
  </si>
  <si>
    <t>PIVÔ 108</t>
  </si>
  <si>
    <t>11/04/220</t>
  </si>
  <si>
    <t>80% . 70%</t>
  </si>
  <si>
    <t>60% , 50%</t>
  </si>
  <si>
    <t>80% , 70%</t>
  </si>
  <si>
    <t>80%  70%</t>
  </si>
  <si>
    <t>108 A+B</t>
  </si>
  <si>
    <t>108 C+D</t>
  </si>
  <si>
    <t>60%  50%</t>
  </si>
  <si>
    <t>108 C + D</t>
  </si>
  <si>
    <t>60% 50%</t>
  </si>
  <si>
    <t>108 A + B</t>
  </si>
  <si>
    <t>50% 60%</t>
  </si>
  <si>
    <t>80% 70%</t>
  </si>
  <si>
    <t>80% 50%</t>
  </si>
  <si>
    <t xml:space="preserve">108 C </t>
  </si>
  <si>
    <t xml:space="preserve">108. </t>
  </si>
  <si>
    <t>60% + 100%</t>
  </si>
  <si>
    <t>108. A</t>
  </si>
  <si>
    <t>108. B</t>
  </si>
  <si>
    <t>108. A+B</t>
  </si>
  <si>
    <t>108.A</t>
  </si>
  <si>
    <t>108.B</t>
  </si>
  <si>
    <t>108.A+B</t>
  </si>
  <si>
    <t xml:space="preserve">108.A </t>
  </si>
  <si>
    <t xml:space="preserve">108.A+B </t>
  </si>
  <si>
    <t xml:space="preserve">108.B </t>
  </si>
  <si>
    <t>108.b</t>
  </si>
  <si>
    <t>PIVÔ 109</t>
  </si>
  <si>
    <t>109.</t>
  </si>
  <si>
    <t>109. A+B</t>
  </si>
  <si>
    <t>109.A+B</t>
  </si>
  <si>
    <t>109.A</t>
  </si>
  <si>
    <t>109.B</t>
  </si>
  <si>
    <t>109. B</t>
  </si>
  <si>
    <t>ALGODÃO  2023</t>
  </si>
  <si>
    <t>07/020/2023</t>
  </si>
  <si>
    <t>27/05/2023</t>
  </si>
  <si>
    <t>28/05/2023</t>
  </si>
  <si>
    <t>PIVÔ 110</t>
  </si>
  <si>
    <t>110.</t>
  </si>
  <si>
    <t>110. A+B</t>
  </si>
  <si>
    <t>110. A</t>
  </si>
  <si>
    <t>110.B</t>
  </si>
  <si>
    <t>110.A</t>
  </si>
  <si>
    <t>110.A+B</t>
  </si>
  <si>
    <t xml:space="preserve">110.A </t>
  </si>
  <si>
    <t xml:space="preserve">110.B </t>
  </si>
  <si>
    <t xml:space="preserve">110.A+B </t>
  </si>
  <si>
    <t xml:space="preserve">110. </t>
  </si>
  <si>
    <t>PIVÔ 112</t>
  </si>
  <si>
    <t xml:space="preserve">112. </t>
  </si>
  <si>
    <t>112.</t>
  </si>
  <si>
    <t>112. A+B</t>
  </si>
  <si>
    <t>112. A</t>
  </si>
  <si>
    <t xml:space="preserve">112.B </t>
  </si>
  <si>
    <t>112. B</t>
  </si>
  <si>
    <t>....</t>
  </si>
  <si>
    <t>14/54</t>
  </si>
  <si>
    <t>PIVÔ 113</t>
  </si>
  <si>
    <t xml:space="preserve">              TABAC0 2022</t>
  </si>
  <si>
    <t>113. AB</t>
  </si>
  <si>
    <t>113. CD</t>
  </si>
  <si>
    <t xml:space="preserve">113. ABCD. </t>
  </si>
  <si>
    <t xml:space="preserve">113. CD. </t>
  </si>
  <si>
    <t xml:space="preserve">113. C. </t>
  </si>
  <si>
    <t xml:space="preserve">113. ABD. </t>
  </si>
  <si>
    <t xml:space="preserve">113. AB. </t>
  </si>
  <si>
    <t>113. A</t>
  </si>
  <si>
    <t xml:space="preserve">113. D. </t>
  </si>
  <si>
    <t xml:space="preserve">113. ABC. </t>
  </si>
  <si>
    <t xml:space="preserve">113. BC. </t>
  </si>
  <si>
    <t xml:space="preserve">113. AD. </t>
  </si>
  <si>
    <t xml:space="preserve">113. A. </t>
  </si>
  <si>
    <t xml:space="preserve">113. ACD. </t>
  </si>
  <si>
    <t>MILHETO 2022</t>
  </si>
  <si>
    <t>MIHO SEMENTE  2023</t>
  </si>
  <si>
    <t>113. A+B</t>
  </si>
  <si>
    <t>113. B</t>
  </si>
  <si>
    <t>113.B</t>
  </si>
  <si>
    <t>113.A</t>
  </si>
  <si>
    <t xml:space="preserve">113. </t>
  </si>
  <si>
    <t>113.</t>
  </si>
  <si>
    <t>PIVÔ 114</t>
  </si>
  <si>
    <t xml:space="preserve">114. </t>
  </si>
  <si>
    <t>??? 2023</t>
  </si>
  <si>
    <t>114. A</t>
  </si>
  <si>
    <t>114. B</t>
  </si>
  <si>
    <t>114. A+B</t>
  </si>
  <si>
    <t>SOJA  2024</t>
  </si>
  <si>
    <t>PIVÔ 115</t>
  </si>
  <si>
    <t>TABACO 2022</t>
  </si>
  <si>
    <t>115. CD</t>
  </si>
  <si>
    <t>115. AB</t>
  </si>
  <si>
    <t>115. A</t>
  </si>
  <si>
    <t>115.ABCD</t>
  </si>
  <si>
    <t>115.D</t>
  </si>
  <si>
    <t>115.CD</t>
  </si>
  <si>
    <t>115.AB</t>
  </si>
  <si>
    <t>115.B</t>
  </si>
  <si>
    <t>115.BC</t>
  </si>
  <si>
    <t>MILHO SEMENTE</t>
  </si>
  <si>
    <t>115.A</t>
  </si>
  <si>
    <t>115.A+B</t>
  </si>
  <si>
    <t>115.</t>
  </si>
  <si>
    <t>PIVÔ 116</t>
  </si>
  <si>
    <t xml:space="preserve">116. </t>
  </si>
  <si>
    <t>116. A</t>
  </si>
  <si>
    <t>116. B</t>
  </si>
  <si>
    <t>TABACO 2024</t>
  </si>
  <si>
    <t>116. A+B+C</t>
  </si>
  <si>
    <t>116. A+B+C+D</t>
  </si>
  <si>
    <t>116. B+C+D</t>
  </si>
  <si>
    <t>116. A+D</t>
  </si>
  <si>
    <t>116. A+C+D</t>
  </si>
  <si>
    <t>116. D</t>
  </si>
  <si>
    <t>MIX / GERGELIM - 2024</t>
  </si>
  <si>
    <t>116.</t>
  </si>
  <si>
    <t>116. GERGELIM</t>
  </si>
  <si>
    <t>116 .MIX</t>
  </si>
  <si>
    <t xml:space="preserve">116. GERGELIM </t>
  </si>
  <si>
    <t>116. SOJA</t>
  </si>
  <si>
    <t>116. GERGELIM / MIX</t>
  </si>
  <si>
    <t>PIVÔ 117</t>
  </si>
  <si>
    <t xml:space="preserve">117. </t>
  </si>
  <si>
    <t>MILHO SEMENTE - 2023</t>
  </si>
  <si>
    <t>117. A</t>
  </si>
  <si>
    <t>117.A+B</t>
  </si>
  <si>
    <t>117.B</t>
  </si>
  <si>
    <t>117.A</t>
  </si>
  <si>
    <t>117. B</t>
  </si>
  <si>
    <t>PIVÔ 118</t>
  </si>
  <si>
    <t xml:space="preserve">118. </t>
  </si>
  <si>
    <t>118. A+B</t>
  </si>
  <si>
    <t>118. C+D</t>
  </si>
  <si>
    <t>118.A+B</t>
  </si>
  <si>
    <t>118.C+D</t>
  </si>
  <si>
    <t>118. A+B+C+D</t>
  </si>
  <si>
    <t>118. A+B+C</t>
  </si>
  <si>
    <t>118. A</t>
  </si>
  <si>
    <t>118. A+C+D</t>
  </si>
  <si>
    <t>118. C</t>
  </si>
  <si>
    <t>118. B+C+D</t>
  </si>
  <si>
    <t>CAPIM MYAGIF (BRACHIARIA) - 2024</t>
  </si>
  <si>
    <t>PIVÔ 119</t>
  </si>
  <si>
    <t xml:space="preserve">119. </t>
  </si>
  <si>
    <t>MILHO SEMENTE 2023</t>
  </si>
  <si>
    <t>119. GA+GB</t>
  </si>
  <si>
    <t>30/05/02023</t>
  </si>
  <si>
    <t>119. GA</t>
  </si>
  <si>
    <t>119. GB</t>
  </si>
  <si>
    <t>PIVÔ 120</t>
  </si>
  <si>
    <t xml:space="preserve">120. </t>
  </si>
  <si>
    <t>SOJA 2024 - SEQUEIRO</t>
  </si>
  <si>
    <t>MILHETO - 2024</t>
  </si>
  <si>
    <t>FEIJÃO - 2024</t>
  </si>
  <si>
    <t>PIVÔ 121</t>
  </si>
  <si>
    <t xml:space="preserve">121. </t>
  </si>
  <si>
    <t>121. A+B+C+D</t>
  </si>
  <si>
    <t>121. D</t>
  </si>
  <si>
    <t>121. C+D</t>
  </si>
  <si>
    <t>121. A+B</t>
  </si>
  <si>
    <t>121.D</t>
  </si>
  <si>
    <t>121. B+C</t>
  </si>
  <si>
    <t>121. A+D</t>
  </si>
  <si>
    <t>121. B</t>
  </si>
  <si>
    <t>121. A</t>
  </si>
  <si>
    <t>121. C</t>
  </si>
  <si>
    <t>121. A+B+D</t>
  </si>
  <si>
    <t>PREPARO 2024</t>
  </si>
  <si>
    <t>121.</t>
  </si>
  <si>
    <t>PIVÔ 122</t>
  </si>
  <si>
    <t>SORGO 2022</t>
  </si>
  <si>
    <t xml:space="preserve">122. </t>
  </si>
  <si>
    <t>SOJA SEQUEIRO - 2024</t>
  </si>
  <si>
    <t>PIVÔ 123</t>
  </si>
  <si>
    <t>123.</t>
  </si>
  <si>
    <t>ALGODÃO ???</t>
  </si>
  <si>
    <t>123.A+B+C+D</t>
  </si>
  <si>
    <t>tabaco 2023</t>
  </si>
  <si>
    <t>123.C+D</t>
  </si>
  <si>
    <t>123.A+B</t>
  </si>
  <si>
    <t>123.C</t>
  </si>
  <si>
    <t>123.B</t>
  </si>
  <si>
    <t>123.A</t>
  </si>
  <si>
    <t>123.A+B+C</t>
  </si>
  <si>
    <t>123.A+C+D</t>
  </si>
  <si>
    <t>123.D+A+B</t>
  </si>
  <si>
    <t>123.D</t>
  </si>
  <si>
    <t>123.A+D</t>
  </si>
  <si>
    <t>PIVÔ 124</t>
  </si>
  <si>
    <t>124 A+B+C+D</t>
  </si>
  <si>
    <t>124 A+B</t>
  </si>
  <si>
    <t>124 C+D</t>
  </si>
  <si>
    <t>124 B+C+D</t>
  </si>
  <si>
    <t>124 B+C</t>
  </si>
  <si>
    <t>124 A+B+C</t>
  </si>
  <si>
    <t>124 A+C+D</t>
  </si>
  <si>
    <t>124 A</t>
  </si>
  <si>
    <t>124 C</t>
  </si>
  <si>
    <t>FEIJAO 2023</t>
  </si>
  <si>
    <t>124.A</t>
  </si>
  <si>
    <t>31/05/2023</t>
  </si>
  <si>
    <t>124 D</t>
  </si>
  <si>
    <t>124.A+B+C+D</t>
  </si>
  <si>
    <t>124.A+D</t>
  </si>
  <si>
    <t>124.B+C</t>
  </si>
  <si>
    <t>124.A+B</t>
  </si>
  <si>
    <t>124.A+C+D</t>
  </si>
  <si>
    <t>124.B</t>
  </si>
  <si>
    <t>124.A+B+C</t>
  </si>
  <si>
    <t>124.D</t>
  </si>
  <si>
    <t>124.B+C+D</t>
  </si>
  <si>
    <t>124.C</t>
  </si>
  <si>
    <t>124.</t>
  </si>
  <si>
    <t>PIVÔ 125</t>
  </si>
  <si>
    <t>PIVÔ 126</t>
  </si>
  <si>
    <t>126.</t>
  </si>
  <si>
    <t>126.A+B+C+D</t>
  </si>
  <si>
    <t>126. C+D</t>
  </si>
  <si>
    <t>126. A+B+C+D</t>
  </si>
  <si>
    <t>126. A+B</t>
  </si>
  <si>
    <t>126.C+D</t>
  </si>
  <si>
    <t>126. A+B+C</t>
  </si>
  <si>
    <t>126. A+B+D</t>
  </si>
  <si>
    <t>126. A</t>
  </si>
  <si>
    <t>126. B</t>
  </si>
  <si>
    <t>126.A+B</t>
  </si>
  <si>
    <t>126. C</t>
  </si>
  <si>
    <t>126. D</t>
  </si>
  <si>
    <t xml:space="preserve">126. A+B </t>
  </si>
  <si>
    <t>126. A+C+D</t>
  </si>
  <si>
    <t>MILHETO 2024</t>
  </si>
  <si>
    <t>126.A</t>
  </si>
  <si>
    <t>PIVÔ 127</t>
  </si>
  <si>
    <t>127.</t>
  </si>
  <si>
    <t>FEIJÃO 2023</t>
  </si>
  <si>
    <t>NÃO DEFINIDO</t>
  </si>
  <si>
    <t>MIX - 2024</t>
  </si>
  <si>
    <t>PIVÔ 128</t>
  </si>
  <si>
    <t>128.</t>
  </si>
  <si>
    <t>128.A+B+C+D</t>
  </si>
  <si>
    <t>128.A+D</t>
  </si>
  <si>
    <t>128.C+D</t>
  </si>
  <si>
    <t>128.A+B</t>
  </si>
  <si>
    <t>128 C+D</t>
  </si>
  <si>
    <t>128.B+C+D</t>
  </si>
  <si>
    <t>128.A</t>
  </si>
  <si>
    <t xml:space="preserve">FEIJÃO - 2024 </t>
  </si>
  <si>
    <t xml:space="preserve">MIX 2024 </t>
  </si>
  <si>
    <t>PIVÔ 129</t>
  </si>
  <si>
    <t>27/05/02023</t>
  </si>
  <si>
    <t>SOJA 2023 - Sequeiro</t>
  </si>
  <si>
    <t>129.</t>
  </si>
  <si>
    <t>PIVÔ 130</t>
  </si>
  <si>
    <t>130.</t>
  </si>
  <si>
    <t>130. A+B+C+D</t>
  </si>
  <si>
    <t>130. C+D</t>
  </si>
  <si>
    <t>130. A+B</t>
  </si>
  <si>
    <t>130. A</t>
  </si>
  <si>
    <t>130.B+C+D</t>
  </si>
  <si>
    <t>130.A+B</t>
  </si>
  <si>
    <t>130.C+D</t>
  </si>
  <si>
    <t>130. A+B+D</t>
  </si>
  <si>
    <t xml:space="preserve">130. </t>
  </si>
  <si>
    <t>SOJA 2024 - Sequeiro</t>
  </si>
  <si>
    <t>PIVÔ 131</t>
  </si>
  <si>
    <t>131.A</t>
  </si>
  <si>
    <t>Sim</t>
  </si>
  <si>
    <t>SORGO - 2024</t>
  </si>
  <si>
    <t>...</t>
  </si>
  <si>
    <t>PIVÔ 132</t>
  </si>
  <si>
    <t>132.A</t>
  </si>
  <si>
    <t>PIVÔ 133</t>
  </si>
  <si>
    <t>ABCD</t>
  </si>
  <si>
    <t>BC</t>
  </si>
  <si>
    <t>AD</t>
  </si>
  <si>
    <t>D</t>
  </si>
  <si>
    <t>ABC</t>
  </si>
  <si>
    <t>CD</t>
  </si>
  <si>
    <t>AB</t>
  </si>
  <si>
    <t>FEIJÃO- 2024</t>
  </si>
  <si>
    <t>PIVÔ 201</t>
  </si>
  <si>
    <t>14/06/202</t>
  </si>
  <si>
    <t>07/80/2020</t>
  </si>
  <si>
    <t>PIVÔ 202</t>
  </si>
  <si>
    <t>PIVÔ 203</t>
  </si>
  <si>
    <t>PIVÔ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</si>
</sst>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3">
    <xf numFmtId="0" fontId="0" fillId="0" borderId="0" xfId="0"/>
    <xf numFmtId="0" fontId="3" fillId="0" borderId="0" xfId="0" applyFont="1"/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43" fontId="0" fillId="0" borderId="10" xfId="1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0" fontId="0" fillId="7" borderId="10" xfId="0" applyFill="1" applyBorder="1" applyAlignment="1">
      <alignment horizontal="center"/>
    </xf>
    <xf numFmtId="14" fontId="0" fillId="7" borderId="10" xfId="0" applyNumberFormat="1" applyFill="1" applyBorder="1" applyAlignment="1">
      <alignment horizontal="center"/>
    </xf>
    <xf numFmtId="9" fontId="0" fillId="7" borderId="10" xfId="0" applyNumberFormat="1" applyFill="1" applyBorder="1" applyAlignment="1">
      <alignment horizontal="center"/>
    </xf>
    <xf numFmtId="9" fontId="0" fillId="0" borderId="10" xfId="0" quotePrefix="1" applyNumberFormat="1" applyBorder="1" applyAlignment="1">
      <alignment horizontal="center"/>
    </xf>
    <xf numFmtId="0" fontId="0" fillId="10" borderId="10" xfId="0" applyFill="1" applyBorder="1" applyAlignment="1">
      <alignment horizontal="center"/>
    </xf>
    <xf numFmtId="14" fontId="0" fillId="10" borderId="10" xfId="0" applyNumberFormat="1" applyFill="1" applyBorder="1" applyAlignment="1">
      <alignment horizontal="center"/>
    </xf>
    <xf numFmtId="9" fontId="0" fillId="10" borderId="10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3" borderId="11" xfId="0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vertical="center"/>
    </xf>
    <xf numFmtId="2" fontId="0" fillId="10" borderId="10" xfId="0" applyNumberFormat="1" applyFill="1" applyBorder="1" applyAlignment="1">
      <alignment horizontal="center"/>
    </xf>
    <xf numFmtId="16" fontId="0" fillId="0" borderId="0" xfId="0" applyNumberFormat="1"/>
    <xf numFmtId="0" fontId="0" fillId="12" borderId="10" xfId="0" applyFill="1" applyBorder="1" applyAlignment="1">
      <alignment horizontal="center"/>
    </xf>
    <xf numFmtId="14" fontId="0" fillId="12" borderId="10" xfId="0" applyNumberFormat="1" applyFill="1" applyBorder="1" applyAlignment="1">
      <alignment horizontal="center"/>
    </xf>
    <xf numFmtId="9" fontId="0" fillId="12" borderId="10" xfId="0" applyNumberForma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14" fontId="0" fillId="13" borderId="10" xfId="0" applyNumberFormat="1" applyFill="1" applyBorder="1" applyAlignment="1">
      <alignment horizontal="center"/>
    </xf>
    <xf numFmtId="9" fontId="0" fillId="13" borderId="10" xfId="0" applyNumberForma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14" fontId="0" fillId="14" borderId="10" xfId="0" applyNumberFormat="1" applyFill="1" applyBorder="1" applyAlignment="1">
      <alignment horizontal="center"/>
    </xf>
    <xf numFmtId="9" fontId="0" fillId="14" borderId="10" xfId="0" applyNumberForma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16" fontId="0" fillId="0" borderId="10" xfId="0" applyNumberFormat="1" applyBorder="1" applyAlignment="1">
      <alignment horizontal="center"/>
    </xf>
    <xf numFmtId="2" fontId="0" fillId="13" borderId="10" xfId="0" applyNumberFormat="1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14" fontId="0" fillId="15" borderId="10" xfId="0" applyNumberFormat="1" applyFill="1" applyBorder="1" applyAlignment="1">
      <alignment horizontal="center"/>
    </xf>
    <xf numFmtId="9" fontId="0" fillId="15" borderId="10" xfId="0" applyNumberFormat="1" applyFill="1" applyBorder="1" applyAlignment="1">
      <alignment horizontal="center"/>
    </xf>
    <xf numFmtId="14" fontId="0" fillId="0" borderId="10" xfId="0" quotePrefix="1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10" borderId="17" xfId="0" applyFill="1" applyBorder="1" applyAlignment="1">
      <alignment horizontal="center"/>
    </xf>
    <xf numFmtId="14" fontId="0" fillId="10" borderId="11" xfId="0" applyNumberFormat="1" applyFill="1" applyBorder="1" applyAlignment="1">
      <alignment horizontal="center"/>
    </xf>
    <xf numFmtId="0" fontId="0" fillId="18" borderId="0" xfId="0" applyFill="1"/>
    <xf numFmtId="14" fontId="0" fillId="0" borderId="0" xfId="0" applyNumberFormat="1"/>
    <xf numFmtId="14" fontId="3" fillId="0" borderId="0" xfId="0" applyNumberFormat="1" applyFont="1"/>
    <xf numFmtId="14" fontId="0" fillId="3" borderId="8" xfId="0" applyNumberFormat="1" applyFill="1" applyBorder="1" applyAlignment="1">
      <alignment horizontal="center" wrapText="1"/>
    </xf>
    <xf numFmtId="9" fontId="0" fillId="0" borderId="0" xfId="2" applyFont="1"/>
    <xf numFmtId="9" fontId="3" fillId="0" borderId="0" xfId="2" applyFont="1"/>
    <xf numFmtId="9" fontId="0" fillId="3" borderId="8" xfId="2" applyFont="1" applyFill="1" applyBorder="1" applyAlignment="1">
      <alignment horizontal="center" wrapText="1"/>
    </xf>
    <xf numFmtId="9" fontId="0" fillId="0" borderId="10" xfId="2" applyFont="1" applyBorder="1" applyAlignment="1">
      <alignment horizontal="center"/>
    </xf>
    <xf numFmtId="9" fontId="0" fillId="10" borderId="10" xfId="2" applyFont="1" applyFill="1" applyBorder="1" applyAlignment="1">
      <alignment horizontal="center"/>
    </xf>
    <xf numFmtId="9" fontId="0" fillId="13" borderId="10" xfId="2" applyFont="1" applyFill="1" applyBorder="1" applyAlignment="1">
      <alignment horizontal="center"/>
    </xf>
    <xf numFmtId="9" fontId="0" fillId="0" borderId="17" xfId="2" applyFont="1" applyBorder="1" applyAlignment="1">
      <alignment horizontal="center"/>
    </xf>
    <xf numFmtId="9" fontId="0" fillId="10" borderId="11" xfId="2" applyFont="1" applyFill="1" applyBorder="1" applyAlignment="1">
      <alignment horizontal="center"/>
    </xf>
    <xf numFmtId="9" fontId="0" fillId="10" borderId="17" xfId="2" applyFont="1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14" fontId="0" fillId="21" borderId="10" xfId="0" applyNumberFormat="1" applyFill="1" applyBorder="1" applyAlignment="1">
      <alignment horizontal="center"/>
    </xf>
    <xf numFmtId="9" fontId="0" fillId="21" borderId="10" xfId="0" applyNumberForma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/>
    <xf numFmtId="0" fontId="1" fillId="25" borderId="10" xfId="0" applyFont="1" applyFill="1" applyBorder="1" applyAlignment="1">
      <alignment horizontal="center"/>
    </xf>
    <xf numFmtId="14" fontId="1" fillId="25" borderId="10" xfId="0" applyNumberFormat="1" applyFont="1" applyFill="1" applyBorder="1" applyAlignment="1">
      <alignment horizontal="center"/>
    </xf>
    <xf numFmtId="9" fontId="1" fillId="25" borderId="10" xfId="0" applyNumberFormat="1" applyFont="1" applyFill="1" applyBorder="1" applyAlignment="1">
      <alignment horizontal="center"/>
    </xf>
    <xf numFmtId="0" fontId="0" fillId="26" borderId="10" xfId="0" applyFill="1" applyBorder="1" applyAlignment="1">
      <alignment horizontal="center"/>
    </xf>
    <xf numFmtId="14" fontId="0" fillId="26" borderId="10" xfId="0" applyNumberFormat="1" applyFill="1" applyBorder="1" applyAlignment="1">
      <alignment horizontal="center"/>
    </xf>
    <xf numFmtId="9" fontId="0" fillId="26" borderId="10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/>
    </xf>
    <xf numFmtId="14" fontId="9" fillId="26" borderId="10" xfId="0" applyNumberFormat="1" applyFont="1" applyFill="1" applyBorder="1" applyAlignment="1">
      <alignment horizontal="center"/>
    </xf>
    <xf numFmtId="9" fontId="9" fillId="26" borderId="10" xfId="0" applyNumberFormat="1" applyFont="1" applyFill="1" applyBorder="1" applyAlignment="1">
      <alignment horizontal="center"/>
    </xf>
    <xf numFmtId="9" fontId="10" fillId="26" borderId="10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/>
    <xf numFmtId="0" fontId="10" fillId="26" borderId="10" xfId="0" applyFont="1" applyFill="1" applyBorder="1" applyAlignment="1">
      <alignment horizontal="center"/>
    </xf>
    <xf numFmtId="14" fontId="10" fillId="26" borderId="10" xfId="0" applyNumberFormat="1" applyFon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19" xfId="0" applyBorder="1" applyAlignment="1">
      <alignment horizontal="center"/>
    </xf>
    <xf numFmtId="14" fontId="0" fillId="0" borderId="20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10" xfId="0" applyFill="1" applyBorder="1" applyAlignment="1">
      <alignment horizontal="center"/>
    </xf>
    <xf numFmtId="14" fontId="0" fillId="8" borderId="10" xfId="0" applyNumberFormat="1" applyFill="1" applyBorder="1" applyAlignment="1">
      <alignment horizontal="center"/>
    </xf>
    <xf numFmtId="9" fontId="0" fillId="8" borderId="10" xfId="0" applyNumberFormat="1" applyFill="1" applyBorder="1" applyAlignment="1">
      <alignment horizontal="center"/>
    </xf>
    <xf numFmtId="9" fontId="0" fillId="8" borderId="10" xfId="2" applyFont="1" applyFill="1" applyBorder="1" applyAlignment="1">
      <alignment horizontal="center"/>
    </xf>
    <xf numFmtId="9" fontId="0" fillId="26" borderId="10" xfId="2" applyFont="1" applyFill="1" applyBorder="1" applyAlignment="1">
      <alignment horizontal="center"/>
    </xf>
    <xf numFmtId="0" fontId="0" fillId="7" borderId="0" xfId="0" applyFill="1"/>
    <xf numFmtId="2" fontId="0" fillId="8" borderId="10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8" borderId="17" xfId="0" applyFill="1" applyBorder="1" applyAlignment="1">
      <alignment horizontal="center"/>
    </xf>
    <xf numFmtId="9" fontId="0" fillId="7" borderId="10" xfId="2" applyFont="1" applyFill="1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11" fillId="0" borderId="10" xfId="0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9" fontId="11" fillId="0" borderId="10" xfId="0" applyNumberFormat="1" applyFont="1" applyBorder="1" applyAlignment="1">
      <alignment horizontal="center"/>
    </xf>
    <xf numFmtId="0" fontId="0" fillId="3" borderId="22" xfId="0" applyFill="1" applyBorder="1" applyAlignment="1">
      <alignment horizontal="center" wrapText="1"/>
    </xf>
    <xf numFmtId="0" fontId="0" fillId="7" borderId="11" xfId="0" applyFill="1" applyBorder="1" applyAlignment="1">
      <alignment horizontal="center"/>
    </xf>
    <xf numFmtId="0" fontId="0" fillId="3" borderId="23" xfId="0" applyFill="1" applyBorder="1" applyAlignment="1">
      <alignment horizontal="center" wrapText="1"/>
    </xf>
    <xf numFmtId="14" fontId="0" fillId="28" borderId="10" xfId="0" applyNumberFormat="1" applyFill="1" applyBorder="1" applyAlignment="1">
      <alignment horizontal="center"/>
    </xf>
    <xf numFmtId="9" fontId="0" fillId="28" borderId="10" xfId="0" applyNumberFormat="1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4" fontId="0" fillId="0" borderId="10" xfId="1" applyNumberFormat="1" applyFont="1" applyBorder="1" applyAlignment="1">
      <alignment horizontal="center"/>
    </xf>
    <xf numFmtId="9" fontId="0" fillId="0" borderId="0" xfId="0" applyNumberFormat="1"/>
    <xf numFmtId="9" fontId="3" fillId="0" borderId="0" xfId="0" applyNumberFormat="1" applyFont="1"/>
    <xf numFmtId="9" fontId="0" fillId="3" borderId="8" xfId="0" applyNumberFormat="1" applyFill="1" applyBorder="1" applyAlignment="1">
      <alignment horizontal="center" wrapText="1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16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21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2" fillId="18" borderId="14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23" borderId="13" xfId="0" applyFont="1" applyFill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/>
    </xf>
    <xf numFmtId="0" fontId="2" fillId="23" borderId="15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27" borderId="13" xfId="0" applyFont="1" applyFill="1" applyBorder="1" applyAlignment="1">
      <alignment horizontal="center" vertical="center"/>
    </xf>
    <xf numFmtId="0" fontId="2" fillId="27" borderId="14" xfId="0" applyFont="1" applyFill="1" applyBorder="1" applyAlignment="1">
      <alignment horizontal="center" vertical="center"/>
    </xf>
    <xf numFmtId="0" fontId="2" fillId="27" borderId="15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20" borderId="15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19" borderId="13" xfId="0" applyFont="1" applyFill="1" applyBorder="1" applyAlignment="1">
      <alignment horizontal="center" vertical="center"/>
    </xf>
    <xf numFmtId="0" fontId="2" fillId="19" borderId="14" xfId="0" applyFont="1" applyFill="1" applyBorder="1" applyAlignment="1">
      <alignment horizontal="center" vertical="center"/>
    </xf>
    <xf numFmtId="0" fontId="2" fillId="19" borderId="15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7" borderId="13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 vertical="center"/>
    </xf>
    <xf numFmtId="0" fontId="2" fillId="22" borderId="14" xfId="0" applyFont="1" applyFill="1" applyBorder="1" applyAlignment="1">
      <alignment horizontal="center" vertical="center"/>
    </xf>
    <xf numFmtId="0" fontId="2" fillId="22" borderId="15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05"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9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9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9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5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theme="9" tint="0.39994506668294322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5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/>
      </font>
      <fill>
        <patternFill>
          <bgColor theme="5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0" dT="2023-08-08T02:46:12.37" personId="{00000000-0000-0000-0000-000000000000}" id="{6BE98D2A-B337-4C71-966E-8B81FBB9CA95}">
    <text>Giro 05/08/2023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7" dT="2023-06-01T02:56:01.49" personId="{00000000-0000-0000-0000-000000000000}" id="{93EABF3D-4011-4E38-8805-3DBBED6D86C4}">
    <text>germinação tiguera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9" dT="2023-08-05T02:02:29.07" personId="{00000000-0000-0000-0000-000000000000}" id="{41B10DE4-7B23-4C47-8485-8489D6082731}">
    <text>1/2 A</text>
  </threadedComment>
  <threadedComment ref="A51" dT="2023-08-08T01:53:34.31" personId="{00000000-0000-0000-0000-000000000000}" id="{86F3767A-9239-4A1C-8112-5947275D2AA1}">
    <text>1/2 
PREPARO</text>
  </threadedComment>
  <threadedComment ref="A52" dT="2023-08-08T02:51:32.33" personId="{00000000-0000-0000-0000-000000000000}" id="{7677E165-949A-437F-8393-41973429B4C3}">
    <text xml:space="preserve">1/2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50" dT="2023-08-08T02:55:17.34" personId="{00000000-0000-0000-0000-000000000000}" id="{C602B105-7BCB-4622-8D3F-4B50EFA603C4}">
    <text>1/2 preparo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67" dT="2023-06-01T02:55:48.06" personId="{00000000-0000-0000-0000-000000000000}" id="{6574B925-6449-4429-BD2B-01F3184BDC8D}">
    <text>germinação tiguera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35" dT="2023-08-05T02:29:27.38" personId="{00000000-0000-0000-0000-000000000000}" id="{52198805-B082-4A59-A047-4675F5480064}">
    <text xml:space="preserve">1/2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09" dT="2023-05-31T03:47:30.32" personId="{00000000-0000-0000-0000-000000000000}" id="{C76375CF-7FB9-466A-9166-296919F2B90C}">
    <text>FERTI SOLUCLEAN+SOLULEAF+TECCAPT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99" dT="2023-08-08T02:41:27.63" personId="{00000000-0000-0000-0000-000000000000}" id="{44E9B66E-8FCF-4221-A938-5B6475B0495C}">
    <text xml:space="preserve">128º ao 180 anti-horário </text>
  </threadedComment>
  <threadedComment ref="A100" dT="2023-08-15T21:29:37.99" personId="{00000000-0000-0000-0000-000000000000}" id="{EC4CC071-63C5-49D5-A186-F0CD49FA58B0}">
    <text xml:space="preserve">1/2
</text>
  </threadedComment>
  <threadedComment ref="A101" dT="2023-08-16T01:00:08.46" personId="{00000000-0000-0000-0000-000000000000}" id="{A15AD9F6-6DB1-4A31-BC0D-2E51060D7F9F}">
    <text xml:space="preserve">1/2
</text>
  </threadedComment>
  <threadedComment ref="A102" dT="2023-08-16T01:01:05.36" personId="{00000000-0000-0000-0000-000000000000}" id="{4F47DE4B-6754-45F2-AD1C-BCBC99614932}">
    <text xml:space="preserve">1/2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58" dT="2023-08-16T01:57:22.86" personId="{00000000-0000-0000-0000-000000000000}" id="{58BB71E9-EC4B-439B-893C-5594C9606FDA}">
    <text xml:space="preserve">1/2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81" dT="2023-06-01T02:59:40.21" personId="{00000000-0000-0000-0000-000000000000}" id="{61A94EB1-4C2E-49A9-A262-E93F513B7B7E}">
    <text>1/2 ferti / 1/2 normal.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62" dT="2023-06-01T03:02:43.40" personId="{00000000-0000-0000-0000-000000000000}" id="{8F4EC934-9BE8-438B-ACBF-AD97FE8C64B4}">
    <text xml:space="preserve">preparo de solo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13" dT="2023-05-31T03:49:42.75" personId="{00000000-0000-0000-0000-000000000000}" id="{52230862-C82E-42B5-B752-ED9D5B132B76}">
    <text xml:space="preserve">GIRO COMPLETO </text>
  </threadedComment>
  <threadedComment ref="A59" dT="2023-08-05T02:24:30.05" personId="{00000000-0000-0000-0000-000000000000}" id="{A89A8BD2-F583-4DBF-BE93-BA72FE1D9C0F}">
    <text xml:space="preserve">FERTI
UREIA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1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1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Relationship Id="rId4" Type="http://schemas.microsoft.com/office/2017/10/relationships/threadedComment" Target="../threadedComments/threadedComment1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B71B-74A9-4EDF-B226-94C91D51C485}">
  <sheetPr codeName="Planilha1"/>
  <dimension ref="A1:L425"/>
  <sheetViews>
    <sheetView topLeftCell="A404" workbookViewId="0">
      <selection activeCell="B420" sqref="B420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7.5703125" customWidth="1"/>
    <col min="6" max="6" width="16.7109375" customWidth="1"/>
    <col min="7" max="7" width="23" customWidth="1"/>
    <col min="8" max="8" width="11.28515625" customWidth="1"/>
    <col min="9" max="9" width="17.7109375" customWidth="1"/>
  </cols>
  <sheetData>
    <row r="1" spans="1:9" ht="26.25">
      <c r="A1" s="141" t="s">
        <v>0</v>
      </c>
      <c r="B1" s="142"/>
      <c r="C1" s="142"/>
      <c r="D1" s="142"/>
      <c r="E1" s="142"/>
      <c r="F1" s="142"/>
      <c r="G1" s="142"/>
      <c r="H1" s="142"/>
      <c r="I1" s="143"/>
    </row>
    <row r="2" spans="1:9" ht="26.25">
      <c r="A2" s="144" t="s">
        <v>1</v>
      </c>
      <c r="B2" s="145"/>
      <c r="C2" s="145"/>
      <c r="D2" s="145"/>
      <c r="E2" s="145"/>
      <c r="F2" s="145"/>
      <c r="G2" s="145"/>
      <c r="H2" s="145"/>
      <c r="I2" s="146"/>
    </row>
    <row r="3" spans="1:9" ht="15.75" thickBot="1"/>
    <row r="4" spans="1:9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4"/>
    </row>
    <row r="6" spans="1:9" ht="19.5" thickBot="1">
      <c r="A6" s="1" t="s">
        <v>3</v>
      </c>
      <c r="B6" s="1"/>
      <c r="C6" s="1"/>
      <c r="D6" s="1"/>
      <c r="E6" s="1"/>
      <c r="F6" s="1"/>
      <c r="G6" s="1"/>
    </row>
    <row r="7" spans="1:9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4" t="s">
        <v>11</v>
      </c>
      <c r="I7" s="4" t="s">
        <v>12</v>
      </c>
    </row>
    <row r="8" spans="1:9">
      <c r="A8" s="5">
        <v>101</v>
      </c>
      <c r="B8" s="6">
        <v>43819</v>
      </c>
      <c r="C8" s="7">
        <v>0.8</v>
      </c>
      <c r="D8" s="5">
        <v>7.89</v>
      </c>
      <c r="E8" s="5">
        <v>21435</v>
      </c>
      <c r="F8" s="5">
        <v>21443</v>
      </c>
      <c r="G8" s="6">
        <v>43819</v>
      </c>
      <c r="H8" s="5">
        <f>F8-E8</f>
        <v>8</v>
      </c>
      <c r="I8" s="8" t="b">
        <f>F8=E9</f>
        <v>1</v>
      </c>
    </row>
    <row r="9" spans="1:9">
      <c r="A9" s="5">
        <v>101</v>
      </c>
      <c r="B9" s="6">
        <v>43820</v>
      </c>
      <c r="C9" s="7">
        <v>0.8</v>
      </c>
      <c r="D9" s="5">
        <v>7.89</v>
      </c>
      <c r="E9" s="5">
        <v>21443</v>
      </c>
      <c r="F9" s="5">
        <v>21450</v>
      </c>
      <c r="G9" s="6">
        <v>43820</v>
      </c>
      <c r="H9" s="5">
        <f t="shared" ref="H9:H23" si="0">F9-E9</f>
        <v>7</v>
      </c>
      <c r="I9" s="8" t="b">
        <f>F9=E10</f>
        <v>1</v>
      </c>
    </row>
    <row r="10" spans="1:9">
      <c r="A10" s="5">
        <v>101</v>
      </c>
      <c r="B10" s="6">
        <v>43822</v>
      </c>
      <c r="C10" s="7">
        <v>0.5</v>
      </c>
      <c r="D10" s="5">
        <v>12.62</v>
      </c>
      <c r="E10" s="5">
        <v>21450</v>
      </c>
      <c r="F10" s="5">
        <v>21475</v>
      </c>
      <c r="G10" s="6">
        <v>43822</v>
      </c>
      <c r="H10" s="5">
        <f t="shared" si="0"/>
        <v>25</v>
      </c>
      <c r="I10" s="8" t="b">
        <f>F10=E11</f>
        <v>1</v>
      </c>
    </row>
    <row r="11" spans="1:9">
      <c r="A11" s="5">
        <v>101</v>
      </c>
      <c r="B11" s="6">
        <v>43824</v>
      </c>
      <c r="C11" s="7">
        <v>0.8</v>
      </c>
      <c r="D11" s="5">
        <v>7.89</v>
      </c>
      <c r="E11" s="5">
        <v>21475</v>
      </c>
      <c r="F11" s="5">
        <v>21491</v>
      </c>
      <c r="G11" s="6">
        <v>43824</v>
      </c>
      <c r="H11" s="5">
        <f t="shared" si="0"/>
        <v>16</v>
      </c>
      <c r="I11" s="8" t="b">
        <f>F11=E12</f>
        <v>1</v>
      </c>
    </row>
    <row r="12" spans="1:9">
      <c r="A12" s="5">
        <v>101</v>
      </c>
      <c r="B12" s="6">
        <v>43826</v>
      </c>
      <c r="C12" s="7">
        <v>0.8</v>
      </c>
      <c r="D12" s="5">
        <v>7.89</v>
      </c>
      <c r="E12" s="5">
        <v>21491</v>
      </c>
      <c r="F12" s="5">
        <v>21507</v>
      </c>
      <c r="G12" s="6">
        <v>43826</v>
      </c>
      <c r="H12" s="5">
        <f t="shared" si="0"/>
        <v>16</v>
      </c>
      <c r="I12" s="8" t="b">
        <f t="shared" ref="I12:I31" si="1">F12=E13</f>
        <v>1</v>
      </c>
    </row>
    <row r="13" spans="1:9">
      <c r="A13" s="5">
        <v>101</v>
      </c>
      <c r="B13" s="6">
        <v>43827</v>
      </c>
      <c r="C13" s="7">
        <v>1</v>
      </c>
      <c r="D13" s="5">
        <v>6.31</v>
      </c>
      <c r="E13" s="5">
        <v>21507</v>
      </c>
      <c r="F13" s="5">
        <v>21520</v>
      </c>
      <c r="G13" s="6">
        <v>43827</v>
      </c>
      <c r="H13" s="5">
        <f t="shared" si="0"/>
        <v>13</v>
      </c>
      <c r="I13" s="8" t="b">
        <f t="shared" si="1"/>
        <v>1</v>
      </c>
    </row>
    <row r="14" spans="1:9">
      <c r="A14" s="5">
        <v>101</v>
      </c>
      <c r="B14" s="6">
        <v>43828</v>
      </c>
      <c r="C14" s="7">
        <v>1</v>
      </c>
      <c r="D14" s="5">
        <v>6.31</v>
      </c>
      <c r="E14" s="5">
        <v>21520</v>
      </c>
      <c r="F14" s="5">
        <v>21534</v>
      </c>
      <c r="G14" s="6">
        <v>43828</v>
      </c>
      <c r="H14" s="5">
        <f t="shared" si="0"/>
        <v>14</v>
      </c>
      <c r="I14" s="8" t="b">
        <f t="shared" si="1"/>
        <v>1</v>
      </c>
    </row>
    <row r="15" spans="1:9">
      <c r="A15" s="5">
        <v>101</v>
      </c>
      <c r="B15" s="6">
        <v>43829</v>
      </c>
      <c r="C15" s="7">
        <v>1</v>
      </c>
      <c r="D15" s="5">
        <v>6.31</v>
      </c>
      <c r="E15" s="5">
        <v>21534</v>
      </c>
      <c r="F15" s="5">
        <v>21551</v>
      </c>
      <c r="G15" s="6">
        <v>43830</v>
      </c>
      <c r="H15" s="5">
        <f t="shared" si="0"/>
        <v>17</v>
      </c>
      <c r="I15" s="8" t="b">
        <f t="shared" si="1"/>
        <v>1</v>
      </c>
    </row>
    <row r="16" spans="1:9">
      <c r="A16" s="5">
        <v>101</v>
      </c>
      <c r="B16" s="6">
        <v>43844</v>
      </c>
      <c r="C16" s="7">
        <v>1</v>
      </c>
      <c r="D16" s="5">
        <v>6.31</v>
      </c>
      <c r="E16" s="5">
        <v>21551</v>
      </c>
      <c r="F16" s="5">
        <v>21565</v>
      </c>
      <c r="G16" s="6">
        <v>43844</v>
      </c>
      <c r="H16" s="5">
        <f t="shared" si="0"/>
        <v>14</v>
      </c>
      <c r="I16" s="8" t="b">
        <f t="shared" si="1"/>
        <v>1</v>
      </c>
    </row>
    <row r="17" spans="1:9">
      <c r="A17" s="5">
        <v>101</v>
      </c>
      <c r="B17" s="6">
        <v>43845</v>
      </c>
      <c r="C17" s="7">
        <v>1</v>
      </c>
      <c r="D17" s="5">
        <v>6.31</v>
      </c>
      <c r="E17" s="5">
        <v>21565</v>
      </c>
      <c r="F17" s="5">
        <v>21578</v>
      </c>
      <c r="G17" s="6">
        <v>43845</v>
      </c>
      <c r="H17" s="5">
        <f t="shared" si="0"/>
        <v>13</v>
      </c>
      <c r="I17" s="8" t="b">
        <f t="shared" si="1"/>
        <v>1</v>
      </c>
    </row>
    <row r="18" spans="1:9">
      <c r="A18" s="5">
        <v>101</v>
      </c>
      <c r="B18" s="6">
        <v>43847</v>
      </c>
      <c r="C18" s="7">
        <v>0.8</v>
      </c>
      <c r="D18" s="5">
        <v>7.89</v>
      </c>
      <c r="E18" s="5">
        <v>21578</v>
      </c>
      <c r="F18" s="5">
        <v>21594</v>
      </c>
      <c r="G18" s="6">
        <v>43846</v>
      </c>
      <c r="H18" s="5">
        <f t="shared" si="0"/>
        <v>16</v>
      </c>
      <c r="I18" s="8" t="b">
        <f t="shared" si="1"/>
        <v>1</v>
      </c>
    </row>
    <row r="19" spans="1:9">
      <c r="A19" s="5">
        <v>101</v>
      </c>
      <c r="B19" s="6">
        <v>43849</v>
      </c>
      <c r="C19" s="7">
        <v>0.8</v>
      </c>
      <c r="D19" s="5">
        <v>7.89</v>
      </c>
      <c r="E19" s="5">
        <v>21594</v>
      </c>
      <c r="F19" s="5">
        <v>21610</v>
      </c>
      <c r="G19" s="6">
        <v>43849</v>
      </c>
      <c r="H19" s="5">
        <f t="shared" si="0"/>
        <v>16</v>
      </c>
      <c r="I19" s="8" t="b">
        <f t="shared" si="1"/>
        <v>1</v>
      </c>
    </row>
    <row r="20" spans="1:9">
      <c r="A20" s="5">
        <v>101</v>
      </c>
      <c r="B20" s="6">
        <v>43850</v>
      </c>
      <c r="C20" s="7">
        <v>0.8</v>
      </c>
      <c r="D20" s="5">
        <v>7.89</v>
      </c>
      <c r="E20" s="5">
        <v>21610</v>
      </c>
      <c r="F20" s="5">
        <v>21626</v>
      </c>
      <c r="G20" s="6">
        <v>43850</v>
      </c>
      <c r="H20" s="5">
        <f t="shared" si="0"/>
        <v>16</v>
      </c>
      <c r="I20" s="8" t="b">
        <f t="shared" si="1"/>
        <v>1</v>
      </c>
    </row>
    <row r="21" spans="1:9">
      <c r="A21" s="5">
        <v>101</v>
      </c>
      <c r="B21" s="6">
        <v>43851</v>
      </c>
      <c r="C21" s="7">
        <v>0.8</v>
      </c>
      <c r="D21" s="5">
        <v>7.89</v>
      </c>
      <c r="E21" s="5">
        <v>21626</v>
      </c>
      <c r="F21" s="5">
        <v>21631</v>
      </c>
      <c r="G21" s="6">
        <v>43851</v>
      </c>
      <c r="H21" s="5">
        <f t="shared" si="0"/>
        <v>5</v>
      </c>
      <c r="I21" s="8" t="b">
        <f t="shared" si="1"/>
        <v>1</v>
      </c>
    </row>
    <row r="22" spans="1:9">
      <c r="A22" s="5">
        <v>101</v>
      </c>
      <c r="B22" s="6">
        <v>43852</v>
      </c>
      <c r="C22" s="7">
        <v>1</v>
      </c>
      <c r="D22" s="5">
        <v>6.31</v>
      </c>
      <c r="E22" s="5">
        <v>21631</v>
      </c>
      <c r="F22" s="5">
        <v>21644</v>
      </c>
      <c r="G22" s="6">
        <v>43852</v>
      </c>
      <c r="H22" s="5">
        <f t="shared" si="0"/>
        <v>13</v>
      </c>
      <c r="I22" s="8" t="b">
        <f t="shared" si="1"/>
        <v>1</v>
      </c>
    </row>
    <row r="23" spans="1:9">
      <c r="A23" s="5">
        <v>101</v>
      </c>
      <c r="B23" s="6">
        <v>43860</v>
      </c>
      <c r="C23" s="7">
        <v>1</v>
      </c>
      <c r="D23" s="5">
        <v>6.31</v>
      </c>
      <c r="E23" s="5">
        <v>21644</v>
      </c>
      <c r="F23" s="5">
        <v>21661</v>
      </c>
      <c r="G23" s="6">
        <v>43860</v>
      </c>
      <c r="H23" s="5">
        <f t="shared" si="0"/>
        <v>17</v>
      </c>
      <c r="I23" s="8" t="b">
        <f t="shared" si="1"/>
        <v>1</v>
      </c>
    </row>
    <row r="24" spans="1:9">
      <c r="A24" s="5">
        <v>101</v>
      </c>
      <c r="B24" s="6">
        <v>43864</v>
      </c>
      <c r="C24" s="7">
        <v>1</v>
      </c>
      <c r="D24" s="5">
        <v>6.31</v>
      </c>
      <c r="E24" s="5">
        <v>21661</v>
      </c>
      <c r="F24" s="5">
        <v>21673</v>
      </c>
      <c r="G24" s="6">
        <v>43864</v>
      </c>
      <c r="H24" s="5">
        <f>F24-E24</f>
        <v>12</v>
      </c>
      <c r="I24" s="8" t="b">
        <f t="shared" si="1"/>
        <v>1</v>
      </c>
    </row>
    <row r="25" spans="1:9">
      <c r="A25" s="5">
        <v>101</v>
      </c>
      <c r="B25" s="6">
        <v>43868</v>
      </c>
      <c r="C25" s="7">
        <v>0.4</v>
      </c>
      <c r="D25" s="5">
        <v>15.78</v>
      </c>
      <c r="E25" s="5">
        <v>21673</v>
      </c>
      <c r="F25" s="5">
        <v>21685</v>
      </c>
      <c r="G25" s="6">
        <v>43868</v>
      </c>
      <c r="H25" s="5">
        <f>F25-E25</f>
        <v>12</v>
      </c>
      <c r="I25" s="8" t="b">
        <f t="shared" si="1"/>
        <v>1</v>
      </c>
    </row>
    <row r="26" spans="1:9">
      <c r="A26" s="5">
        <v>101</v>
      </c>
      <c r="B26" s="6">
        <v>43875</v>
      </c>
      <c r="C26" s="7">
        <v>1</v>
      </c>
      <c r="D26" s="5">
        <v>6.31</v>
      </c>
      <c r="E26" s="5">
        <v>21685</v>
      </c>
      <c r="F26" s="5">
        <v>21696</v>
      </c>
      <c r="G26" s="6">
        <v>43875</v>
      </c>
      <c r="H26" s="5">
        <f>F26-E26</f>
        <v>11</v>
      </c>
      <c r="I26" s="8" t="b">
        <f t="shared" si="1"/>
        <v>1</v>
      </c>
    </row>
    <row r="27" spans="1:9">
      <c r="A27" s="5">
        <v>101</v>
      </c>
      <c r="B27" s="6">
        <v>43877</v>
      </c>
      <c r="C27" s="7">
        <v>1</v>
      </c>
      <c r="D27" s="5">
        <v>6.31</v>
      </c>
      <c r="E27" s="5">
        <v>21696</v>
      </c>
      <c r="F27" s="5">
        <v>21708</v>
      </c>
      <c r="G27" s="6">
        <v>43877</v>
      </c>
      <c r="H27" s="5">
        <f t="shared" ref="H27:H33" si="2">F27-E27</f>
        <v>12</v>
      </c>
      <c r="I27" s="8" t="b">
        <f t="shared" si="1"/>
        <v>1</v>
      </c>
    </row>
    <row r="28" spans="1:9">
      <c r="A28" s="5">
        <v>101</v>
      </c>
      <c r="B28" s="6">
        <v>43880</v>
      </c>
      <c r="C28" s="7">
        <v>1</v>
      </c>
      <c r="D28" s="5">
        <v>6.31</v>
      </c>
      <c r="E28" s="5">
        <v>21708</v>
      </c>
      <c r="F28" s="5">
        <v>21722</v>
      </c>
      <c r="G28" s="6">
        <v>43880</v>
      </c>
      <c r="H28" s="5">
        <f t="shared" si="2"/>
        <v>14</v>
      </c>
      <c r="I28" s="8" t="b">
        <f t="shared" si="1"/>
        <v>0</v>
      </c>
    </row>
    <row r="29" spans="1:9">
      <c r="A29" s="5">
        <v>101</v>
      </c>
      <c r="B29" s="6">
        <v>43907</v>
      </c>
      <c r="C29" s="7">
        <v>1</v>
      </c>
      <c r="D29" s="5">
        <v>6.31</v>
      </c>
      <c r="E29" s="5">
        <v>13</v>
      </c>
      <c r="F29" s="5">
        <v>27</v>
      </c>
      <c r="G29" s="6">
        <v>43907</v>
      </c>
      <c r="H29" s="5">
        <f t="shared" si="2"/>
        <v>14</v>
      </c>
      <c r="I29" s="8" t="b">
        <f t="shared" si="1"/>
        <v>1</v>
      </c>
    </row>
    <row r="30" spans="1:9">
      <c r="A30" s="5">
        <v>101</v>
      </c>
      <c r="B30" s="6">
        <v>43912</v>
      </c>
      <c r="C30" s="7">
        <v>0.8</v>
      </c>
      <c r="D30" s="5">
        <v>7.89</v>
      </c>
      <c r="E30" s="5">
        <v>27</v>
      </c>
      <c r="F30" s="5">
        <v>44</v>
      </c>
      <c r="G30" s="6">
        <v>43912</v>
      </c>
      <c r="H30" s="5">
        <f t="shared" si="2"/>
        <v>17</v>
      </c>
      <c r="I30" s="8" t="b">
        <f t="shared" si="1"/>
        <v>1</v>
      </c>
    </row>
    <row r="31" spans="1:9">
      <c r="A31" s="5">
        <v>101</v>
      </c>
      <c r="B31" s="6">
        <v>43921</v>
      </c>
      <c r="C31" s="7">
        <v>1</v>
      </c>
      <c r="D31" s="5">
        <v>6.31</v>
      </c>
      <c r="E31" s="5">
        <v>44</v>
      </c>
      <c r="F31" s="5">
        <v>58.3</v>
      </c>
      <c r="G31" s="6">
        <v>43921</v>
      </c>
      <c r="H31" s="5">
        <f t="shared" si="2"/>
        <v>14.299999999999997</v>
      </c>
      <c r="I31" s="8" t="b">
        <f t="shared" si="1"/>
        <v>1</v>
      </c>
    </row>
    <row r="32" spans="1:9">
      <c r="A32" s="5">
        <v>101</v>
      </c>
      <c r="B32" s="6">
        <v>43924</v>
      </c>
      <c r="C32" s="7">
        <v>0.8</v>
      </c>
      <c r="D32" s="5">
        <v>7.89</v>
      </c>
      <c r="E32" s="5">
        <v>58.3</v>
      </c>
      <c r="F32" s="5">
        <v>75</v>
      </c>
      <c r="G32" s="6">
        <v>43924</v>
      </c>
      <c r="H32" s="5">
        <f t="shared" si="2"/>
        <v>16.700000000000003</v>
      </c>
      <c r="I32" s="8" t="b">
        <f>F32=E33</f>
        <v>1</v>
      </c>
    </row>
    <row r="33" spans="1:9">
      <c r="A33" s="5">
        <v>101</v>
      </c>
      <c r="B33" s="6">
        <v>43926</v>
      </c>
      <c r="C33" s="7">
        <v>0.8</v>
      </c>
      <c r="D33" s="5">
        <v>7.89</v>
      </c>
      <c r="E33" s="5">
        <v>75</v>
      </c>
      <c r="F33" s="5">
        <v>91</v>
      </c>
      <c r="G33" s="6">
        <v>43926</v>
      </c>
      <c r="H33" s="5">
        <f t="shared" si="2"/>
        <v>16</v>
      </c>
      <c r="I33" s="8" t="b">
        <f>F33=E34</f>
        <v>1</v>
      </c>
    </row>
    <row r="34" spans="1:9">
      <c r="A34" s="5">
        <v>101</v>
      </c>
      <c r="B34" s="6">
        <v>43928</v>
      </c>
      <c r="C34" s="7">
        <v>0.8</v>
      </c>
      <c r="D34" s="5">
        <v>7.89</v>
      </c>
      <c r="E34" s="5">
        <v>91</v>
      </c>
      <c r="F34" s="5">
        <v>109</v>
      </c>
      <c r="G34" s="6">
        <v>43928</v>
      </c>
      <c r="H34" s="5">
        <f t="shared" ref="H34:H41" si="3">F34-E34</f>
        <v>18</v>
      </c>
      <c r="I34" s="8" t="b">
        <f t="shared" ref="I34:I41" si="4">F34=E35</f>
        <v>1</v>
      </c>
    </row>
    <row r="35" spans="1:9">
      <c r="A35" s="5">
        <v>101</v>
      </c>
      <c r="B35" s="6">
        <v>43932</v>
      </c>
      <c r="C35" s="7">
        <v>0.8</v>
      </c>
      <c r="D35" s="5">
        <v>7.89</v>
      </c>
      <c r="E35" s="5">
        <v>109</v>
      </c>
      <c r="F35" s="5">
        <v>127</v>
      </c>
      <c r="G35" s="6">
        <v>43932</v>
      </c>
      <c r="H35" s="5">
        <f t="shared" si="3"/>
        <v>18</v>
      </c>
      <c r="I35" s="8" t="b">
        <f t="shared" si="4"/>
        <v>0</v>
      </c>
    </row>
    <row r="36" spans="1:9">
      <c r="A36" s="5">
        <v>101</v>
      </c>
      <c r="B36" s="6">
        <v>43948</v>
      </c>
      <c r="C36" s="7">
        <v>1</v>
      </c>
      <c r="D36" s="5">
        <v>6.31</v>
      </c>
      <c r="E36" s="5">
        <v>174</v>
      </c>
      <c r="F36" s="5">
        <v>187</v>
      </c>
      <c r="G36" s="6">
        <v>43948</v>
      </c>
      <c r="H36" s="5">
        <f t="shared" si="3"/>
        <v>13</v>
      </c>
      <c r="I36" s="8" t="b">
        <f t="shared" si="4"/>
        <v>1</v>
      </c>
    </row>
    <row r="37" spans="1:9">
      <c r="A37" s="5">
        <v>101</v>
      </c>
      <c r="B37" s="6">
        <v>43949</v>
      </c>
      <c r="C37" s="7">
        <v>1</v>
      </c>
      <c r="D37" s="5">
        <v>6.31</v>
      </c>
      <c r="E37" s="5">
        <v>187</v>
      </c>
      <c r="F37" s="5">
        <v>200</v>
      </c>
      <c r="G37" s="6">
        <v>43949</v>
      </c>
      <c r="H37" s="5">
        <f t="shared" si="3"/>
        <v>13</v>
      </c>
      <c r="I37" s="8" t="b">
        <f t="shared" si="4"/>
        <v>1</v>
      </c>
    </row>
    <row r="38" spans="1:9">
      <c r="A38" s="5">
        <v>101</v>
      </c>
      <c r="B38" s="6">
        <v>43956</v>
      </c>
      <c r="C38" s="7">
        <v>0.7</v>
      </c>
      <c r="D38" s="5">
        <v>6.31</v>
      </c>
      <c r="E38" s="5">
        <v>200</v>
      </c>
      <c r="F38" s="5">
        <v>222</v>
      </c>
      <c r="G38" s="6">
        <v>43956</v>
      </c>
      <c r="H38" s="5">
        <f t="shared" si="3"/>
        <v>22</v>
      </c>
      <c r="I38" s="8" t="b">
        <f t="shared" si="4"/>
        <v>0</v>
      </c>
    </row>
    <row r="39" spans="1:9">
      <c r="A39" s="5">
        <v>101</v>
      </c>
      <c r="B39" s="6"/>
      <c r="C39" s="7"/>
      <c r="D39" s="5"/>
      <c r="E39" s="5"/>
      <c r="F39" s="5"/>
      <c r="G39" s="6"/>
      <c r="H39" s="5">
        <f t="shared" si="3"/>
        <v>0</v>
      </c>
      <c r="I39" s="8" t="b">
        <f t="shared" si="4"/>
        <v>1</v>
      </c>
    </row>
    <row r="40" spans="1:9">
      <c r="A40" s="5"/>
      <c r="B40" s="6"/>
      <c r="C40" s="7"/>
      <c r="D40" s="5"/>
      <c r="E40" s="5"/>
      <c r="F40" s="5"/>
      <c r="G40" s="6"/>
      <c r="H40" s="5">
        <f t="shared" si="3"/>
        <v>0</v>
      </c>
      <c r="I40" s="8" t="b">
        <f t="shared" si="4"/>
        <v>1</v>
      </c>
    </row>
    <row r="41" spans="1:9">
      <c r="A41" s="5"/>
      <c r="B41" s="6"/>
      <c r="C41" s="7"/>
      <c r="D41" s="5"/>
      <c r="E41" s="5"/>
      <c r="F41" s="5"/>
      <c r="G41" s="6"/>
      <c r="H41" s="5">
        <f t="shared" si="3"/>
        <v>0</v>
      </c>
      <c r="I41" s="8" t="b">
        <f t="shared" si="4"/>
        <v>1</v>
      </c>
    </row>
    <row r="42" spans="1:9">
      <c r="A42" s="5"/>
      <c r="B42" s="6"/>
      <c r="C42" s="7"/>
      <c r="D42" s="5"/>
      <c r="E42" s="5"/>
      <c r="F42" s="5"/>
      <c r="G42" s="6"/>
      <c r="H42" s="5">
        <f t="shared" ref="H42:H49" si="5">F42-E42</f>
        <v>0</v>
      </c>
      <c r="I42" s="8" t="b">
        <f t="shared" ref="I42:I49" si="6">F42=E43</f>
        <v>1</v>
      </c>
    </row>
    <row r="43" spans="1:9">
      <c r="A43" s="5"/>
      <c r="B43" s="6"/>
      <c r="C43" s="7"/>
      <c r="D43" s="5"/>
      <c r="E43" s="5"/>
      <c r="F43" s="5"/>
      <c r="G43" s="6"/>
      <c r="H43" s="5">
        <f t="shared" si="5"/>
        <v>0</v>
      </c>
      <c r="I43" s="8" t="b">
        <f t="shared" si="6"/>
        <v>1</v>
      </c>
    </row>
    <row r="44" spans="1:9">
      <c r="A44" s="5"/>
      <c r="B44" s="6"/>
      <c r="C44" s="7"/>
      <c r="D44" s="5"/>
      <c r="E44" s="5"/>
      <c r="F44" s="5"/>
      <c r="G44" s="6"/>
      <c r="H44" s="5">
        <f t="shared" si="5"/>
        <v>0</v>
      </c>
      <c r="I44" s="8" t="b">
        <f t="shared" si="6"/>
        <v>1</v>
      </c>
    </row>
    <row r="45" spans="1:9">
      <c r="A45" s="5"/>
      <c r="B45" s="6"/>
      <c r="C45" s="7"/>
      <c r="D45" s="5"/>
      <c r="E45" s="5"/>
      <c r="F45" s="5"/>
      <c r="G45" s="6"/>
      <c r="H45" s="5">
        <f t="shared" si="5"/>
        <v>0</v>
      </c>
      <c r="I45" s="8" t="b">
        <f t="shared" si="6"/>
        <v>1</v>
      </c>
    </row>
    <row r="46" spans="1:9">
      <c r="A46" s="5"/>
      <c r="B46" s="6"/>
      <c r="C46" s="7"/>
      <c r="D46" s="5"/>
      <c r="E46" s="5"/>
      <c r="F46" s="5"/>
      <c r="G46" s="6"/>
      <c r="H46" s="5">
        <f t="shared" si="5"/>
        <v>0</v>
      </c>
      <c r="I46" s="8" t="b">
        <f t="shared" si="6"/>
        <v>1</v>
      </c>
    </row>
    <row r="47" spans="1:9">
      <c r="A47" s="5"/>
      <c r="B47" s="6"/>
      <c r="C47" s="7"/>
      <c r="D47" s="5"/>
      <c r="E47" s="5"/>
      <c r="F47" s="5"/>
      <c r="G47" s="6"/>
      <c r="H47" s="5">
        <f t="shared" si="5"/>
        <v>0</v>
      </c>
      <c r="I47" s="8" t="b">
        <f t="shared" si="6"/>
        <v>1</v>
      </c>
    </row>
    <row r="48" spans="1:9">
      <c r="A48" s="5"/>
      <c r="B48" s="6"/>
      <c r="C48" s="7"/>
      <c r="D48" s="5"/>
      <c r="E48" s="5"/>
      <c r="F48" s="5"/>
      <c r="G48" s="6"/>
      <c r="H48" s="5">
        <f t="shared" si="5"/>
        <v>0</v>
      </c>
      <c r="I48" s="8" t="b">
        <f t="shared" si="6"/>
        <v>1</v>
      </c>
    </row>
    <row r="49" spans="1:9">
      <c r="A49" s="5"/>
      <c r="B49" s="6"/>
      <c r="C49" s="7"/>
      <c r="D49" s="5"/>
      <c r="E49" s="5"/>
      <c r="F49" s="5"/>
      <c r="G49" s="6"/>
      <c r="H49" s="5">
        <f t="shared" si="5"/>
        <v>0</v>
      </c>
      <c r="I49" s="8" t="b">
        <f t="shared" si="6"/>
        <v>1</v>
      </c>
    </row>
    <row r="52" spans="1:9" ht="26.25">
      <c r="A52" s="135" t="s">
        <v>0</v>
      </c>
      <c r="B52" s="136"/>
      <c r="C52" s="136"/>
      <c r="D52" s="136"/>
      <c r="E52" s="136"/>
      <c r="F52" s="136"/>
      <c r="G52" s="136"/>
      <c r="H52" s="136"/>
      <c r="I52" s="137"/>
    </row>
    <row r="53" spans="1:9" ht="26.25">
      <c r="A53" s="138" t="s">
        <v>13</v>
      </c>
      <c r="B53" s="139"/>
      <c r="C53" s="139"/>
      <c r="D53" s="139"/>
      <c r="E53" s="139"/>
      <c r="F53" s="139"/>
      <c r="G53" s="139"/>
      <c r="H53" s="139"/>
      <c r="I53" s="140"/>
    </row>
    <row r="54" spans="1:9" ht="15.75" thickBot="1"/>
    <row r="55" spans="1:9" ht="15.75" thickBot="1">
      <c r="A55" s="132" t="s">
        <v>2</v>
      </c>
      <c r="B55" s="133"/>
      <c r="C55" s="133"/>
      <c r="D55" s="133"/>
      <c r="E55" s="133"/>
      <c r="F55" s="133"/>
      <c r="G55" s="133"/>
      <c r="H55" s="133"/>
      <c r="I55" s="134"/>
    </row>
    <row r="57" spans="1:9" ht="19.5" thickBot="1">
      <c r="A57" s="1" t="s">
        <v>3</v>
      </c>
      <c r="B57" s="1"/>
      <c r="C57" s="1"/>
      <c r="D57" s="1"/>
      <c r="E57" s="1"/>
      <c r="F57" s="1"/>
      <c r="G57" s="1"/>
    </row>
    <row r="58" spans="1:9" ht="30.75" thickBot="1">
      <c r="A58" s="2" t="s">
        <v>4</v>
      </c>
      <c r="B58" s="3" t="s">
        <v>5</v>
      </c>
      <c r="C58" s="3" t="s">
        <v>6</v>
      </c>
      <c r="D58" s="3" t="s">
        <v>7</v>
      </c>
      <c r="E58" s="3" t="s">
        <v>8</v>
      </c>
      <c r="F58" s="3" t="s">
        <v>9</v>
      </c>
      <c r="G58" s="3" t="s">
        <v>10</v>
      </c>
      <c r="H58" s="4" t="s">
        <v>11</v>
      </c>
      <c r="I58" s="4" t="s">
        <v>12</v>
      </c>
    </row>
    <row r="59" spans="1:9">
      <c r="A59" s="5">
        <v>101</v>
      </c>
      <c r="B59" s="6">
        <v>44097</v>
      </c>
      <c r="C59" s="7">
        <v>0.45</v>
      </c>
      <c r="D59" s="5">
        <v>15.78</v>
      </c>
      <c r="E59" s="5">
        <v>222</v>
      </c>
      <c r="F59" s="5">
        <v>271</v>
      </c>
      <c r="G59" s="6">
        <v>44098</v>
      </c>
      <c r="H59" s="5">
        <f>F59-E59</f>
        <v>49</v>
      </c>
      <c r="I59" s="8" t="b">
        <f>F62=E63</f>
        <v>1</v>
      </c>
    </row>
    <row r="60" spans="1:9">
      <c r="A60" s="5">
        <v>101</v>
      </c>
      <c r="B60" s="6">
        <v>44099</v>
      </c>
      <c r="C60" s="7">
        <v>0.45</v>
      </c>
      <c r="D60" s="5">
        <v>15.78</v>
      </c>
      <c r="E60" s="5">
        <v>271</v>
      </c>
      <c r="F60" s="5">
        <v>285</v>
      </c>
      <c r="G60" s="6">
        <v>44099</v>
      </c>
      <c r="H60" s="5">
        <f t="shared" ref="H60:H84" si="7">F60-E60</f>
        <v>14</v>
      </c>
      <c r="I60" s="8" t="b">
        <f t="shared" ref="I60:I73" si="8">F63=E64</f>
        <v>1</v>
      </c>
    </row>
    <row r="61" spans="1:9">
      <c r="A61" s="5">
        <v>101</v>
      </c>
      <c r="B61" s="6">
        <v>44100</v>
      </c>
      <c r="C61" s="7">
        <v>0.4</v>
      </c>
      <c r="D61" s="5">
        <v>15.78</v>
      </c>
      <c r="E61" s="5">
        <v>285</v>
      </c>
      <c r="F61" s="5">
        <v>316</v>
      </c>
      <c r="G61" s="6">
        <v>44100</v>
      </c>
      <c r="H61" s="5">
        <f t="shared" si="7"/>
        <v>31</v>
      </c>
      <c r="I61" s="8" t="b">
        <f t="shared" si="8"/>
        <v>1</v>
      </c>
    </row>
    <row r="62" spans="1:9">
      <c r="A62" s="5">
        <v>101</v>
      </c>
      <c r="B62" s="6">
        <v>44112</v>
      </c>
      <c r="C62" s="7">
        <v>0.8</v>
      </c>
      <c r="D62" s="5">
        <v>7.89</v>
      </c>
      <c r="E62" s="5">
        <v>319</v>
      </c>
      <c r="F62" s="5">
        <v>337</v>
      </c>
      <c r="G62" s="6">
        <v>44112</v>
      </c>
      <c r="H62" s="5">
        <f t="shared" si="7"/>
        <v>18</v>
      </c>
      <c r="I62" s="8" t="b">
        <f t="shared" si="8"/>
        <v>1</v>
      </c>
    </row>
    <row r="63" spans="1:9">
      <c r="A63" s="5">
        <v>101</v>
      </c>
      <c r="B63" s="6">
        <v>44113</v>
      </c>
      <c r="C63" s="7">
        <v>1</v>
      </c>
      <c r="D63" s="5">
        <v>6.31</v>
      </c>
      <c r="E63" s="5">
        <v>337</v>
      </c>
      <c r="F63" s="5">
        <v>351</v>
      </c>
      <c r="G63" s="6">
        <v>44113</v>
      </c>
      <c r="H63" s="5">
        <f t="shared" si="7"/>
        <v>14</v>
      </c>
      <c r="I63" s="8" t="b">
        <f t="shared" si="8"/>
        <v>1</v>
      </c>
    </row>
    <row r="64" spans="1:9">
      <c r="A64" s="5">
        <v>101</v>
      </c>
      <c r="B64" s="6">
        <v>44115</v>
      </c>
      <c r="C64" s="7">
        <v>1</v>
      </c>
      <c r="D64" s="5">
        <v>6.31</v>
      </c>
      <c r="E64" s="5">
        <v>351</v>
      </c>
      <c r="F64" s="5">
        <v>364</v>
      </c>
      <c r="G64" s="6">
        <v>44115</v>
      </c>
      <c r="H64" s="5">
        <f t="shared" si="7"/>
        <v>13</v>
      </c>
      <c r="I64" s="8" t="b">
        <f t="shared" si="8"/>
        <v>1</v>
      </c>
    </row>
    <row r="65" spans="1:9">
      <c r="A65" s="5">
        <v>101</v>
      </c>
      <c r="B65" s="6">
        <v>44116</v>
      </c>
      <c r="C65" s="7">
        <v>1</v>
      </c>
      <c r="D65" s="5">
        <v>6.31</v>
      </c>
      <c r="E65" s="5">
        <v>364</v>
      </c>
      <c r="F65" s="5">
        <v>377</v>
      </c>
      <c r="G65" s="6">
        <v>44116</v>
      </c>
      <c r="H65" s="5">
        <f t="shared" si="7"/>
        <v>13</v>
      </c>
      <c r="I65" s="8" t="b">
        <f t="shared" si="8"/>
        <v>1</v>
      </c>
    </row>
    <row r="66" spans="1:9">
      <c r="A66" s="5">
        <v>101</v>
      </c>
      <c r="B66" s="6">
        <v>44118</v>
      </c>
      <c r="C66" s="7">
        <v>1</v>
      </c>
      <c r="D66" s="5">
        <v>6.31</v>
      </c>
      <c r="E66" s="5">
        <v>377</v>
      </c>
      <c r="F66" s="5">
        <v>392</v>
      </c>
      <c r="G66" s="6">
        <v>44118</v>
      </c>
      <c r="H66" s="5">
        <f t="shared" si="7"/>
        <v>15</v>
      </c>
      <c r="I66" s="8" t="b">
        <f t="shared" si="8"/>
        <v>1</v>
      </c>
    </row>
    <row r="67" spans="1:9">
      <c r="A67" s="5">
        <v>101</v>
      </c>
      <c r="B67" s="6">
        <v>44119</v>
      </c>
      <c r="C67" s="7">
        <v>1</v>
      </c>
      <c r="D67" s="5">
        <v>6.31</v>
      </c>
      <c r="E67" s="5">
        <v>392</v>
      </c>
      <c r="F67" s="5">
        <v>405</v>
      </c>
      <c r="G67" s="6">
        <v>44119</v>
      </c>
      <c r="H67" s="5">
        <f t="shared" si="7"/>
        <v>13</v>
      </c>
      <c r="I67" s="8" t="b">
        <f t="shared" si="8"/>
        <v>1</v>
      </c>
    </row>
    <row r="68" spans="1:9">
      <c r="A68" s="5">
        <v>101</v>
      </c>
      <c r="B68" s="6">
        <v>44120</v>
      </c>
      <c r="C68" s="7">
        <v>1</v>
      </c>
      <c r="D68" s="5">
        <v>6.31</v>
      </c>
      <c r="E68" s="5">
        <v>405</v>
      </c>
      <c r="F68" s="5">
        <v>418</v>
      </c>
      <c r="G68" s="6">
        <v>44120</v>
      </c>
      <c r="H68" s="5">
        <f t="shared" si="7"/>
        <v>13</v>
      </c>
      <c r="I68" s="8" t="b">
        <f t="shared" si="8"/>
        <v>1</v>
      </c>
    </row>
    <row r="69" spans="1:9">
      <c r="A69" s="5">
        <v>101</v>
      </c>
      <c r="B69" s="6">
        <v>44121</v>
      </c>
      <c r="C69" s="7">
        <v>1</v>
      </c>
      <c r="D69" s="5">
        <v>6.31</v>
      </c>
      <c r="E69" s="5">
        <v>418</v>
      </c>
      <c r="F69" s="5">
        <v>431</v>
      </c>
      <c r="G69" s="6">
        <v>44121</v>
      </c>
      <c r="H69" s="5">
        <f t="shared" si="7"/>
        <v>13</v>
      </c>
      <c r="I69" s="8" t="b">
        <f t="shared" si="8"/>
        <v>1</v>
      </c>
    </row>
    <row r="70" spans="1:9">
      <c r="A70" s="5">
        <v>101</v>
      </c>
      <c r="B70" s="6">
        <v>44122</v>
      </c>
      <c r="C70" s="7">
        <v>1</v>
      </c>
      <c r="D70" s="5">
        <v>6.31</v>
      </c>
      <c r="E70" s="5">
        <v>431</v>
      </c>
      <c r="F70" s="5">
        <v>444</v>
      </c>
      <c r="G70" s="6">
        <v>44122</v>
      </c>
      <c r="H70" s="5">
        <f t="shared" si="7"/>
        <v>13</v>
      </c>
      <c r="I70" s="8" t="b">
        <f t="shared" si="8"/>
        <v>1</v>
      </c>
    </row>
    <row r="71" spans="1:9">
      <c r="A71" s="5">
        <v>101</v>
      </c>
      <c r="B71" s="6">
        <v>44123</v>
      </c>
      <c r="C71" s="7">
        <v>1</v>
      </c>
      <c r="D71" s="5">
        <v>6.31</v>
      </c>
      <c r="E71" s="5">
        <v>444</v>
      </c>
      <c r="F71" s="5">
        <v>456</v>
      </c>
      <c r="G71" s="6">
        <v>44123</v>
      </c>
      <c r="H71" s="5">
        <f t="shared" si="7"/>
        <v>12</v>
      </c>
      <c r="I71" s="8" t="b">
        <f t="shared" si="8"/>
        <v>1</v>
      </c>
    </row>
    <row r="72" spans="1:9">
      <c r="A72" s="5">
        <v>101</v>
      </c>
      <c r="B72" s="6">
        <v>44124</v>
      </c>
      <c r="C72" s="7">
        <v>1</v>
      </c>
      <c r="D72" s="5">
        <v>6.31</v>
      </c>
      <c r="E72" s="5">
        <v>456</v>
      </c>
      <c r="F72" s="5">
        <v>469</v>
      </c>
      <c r="G72" s="6">
        <v>44124</v>
      </c>
      <c r="H72" s="5">
        <f t="shared" si="7"/>
        <v>13</v>
      </c>
      <c r="I72" s="8" t="b">
        <f t="shared" si="8"/>
        <v>1</v>
      </c>
    </row>
    <row r="73" spans="1:9">
      <c r="A73" s="5">
        <v>101</v>
      </c>
      <c r="B73" s="6">
        <v>44490</v>
      </c>
      <c r="C73" s="7">
        <v>1</v>
      </c>
      <c r="D73" s="5">
        <v>6.31</v>
      </c>
      <c r="E73" s="5">
        <v>469</v>
      </c>
      <c r="F73" s="5">
        <v>482</v>
      </c>
      <c r="G73" s="6">
        <v>44125</v>
      </c>
      <c r="H73" s="5">
        <f t="shared" si="7"/>
        <v>13</v>
      </c>
      <c r="I73" s="8" t="b">
        <f t="shared" si="8"/>
        <v>1</v>
      </c>
    </row>
    <row r="74" spans="1:9">
      <c r="A74" s="5">
        <v>101</v>
      </c>
      <c r="B74" s="6">
        <v>44126</v>
      </c>
      <c r="C74" s="7">
        <v>1</v>
      </c>
      <c r="D74" s="5">
        <v>6.31</v>
      </c>
      <c r="E74" s="5">
        <v>482</v>
      </c>
      <c r="F74" s="5">
        <v>495</v>
      </c>
      <c r="G74" s="6">
        <v>44126</v>
      </c>
      <c r="H74" s="5">
        <f t="shared" si="7"/>
        <v>13</v>
      </c>
      <c r="I74" s="8" t="b">
        <f t="shared" ref="I74:I83" si="9">F77=E78</f>
        <v>1</v>
      </c>
    </row>
    <row r="75" spans="1:9">
      <c r="A75" s="5">
        <v>101</v>
      </c>
      <c r="B75" s="6">
        <v>44129</v>
      </c>
      <c r="C75" s="7">
        <v>1</v>
      </c>
      <c r="D75" s="5">
        <v>6.31</v>
      </c>
      <c r="E75" s="5">
        <v>495</v>
      </c>
      <c r="F75" s="5">
        <v>510</v>
      </c>
      <c r="G75" s="6">
        <v>44129</v>
      </c>
      <c r="H75" s="5">
        <f t="shared" si="7"/>
        <v>15</v>
      </c>
      <c r="I75" s="8" t="b">
        <f t="shared" si="9"/>
        <v>0</v>
      </c>
    </row>
    <row r="76" spans="1:9">
      <c r="A76" s="5">
        <v>101</v>
      </c>
      <c r="B76" s="6">
        <v>44132</v>
      </c>
      <c r="C76" s="7">
        <v>0.8</v>
      </c>
      <c r="D76" s="5">
        <v>7.89</v>
      </c>
      <c r="E76" s="5">
        <v>510</v>
      </c>
      <c r="F76" s="5">
        <v>526</v>
      </c>
      <c r="G76" s="6">
        <v>44132</v>
      </c>
      <c r="H76" s="5">
        <f t="shared" si="7"/>
        <v>16</v>
      </c>
      <c r="I76" s="8" t="b">
        <f t="shared" si="9"/>
        <v>1</v>
      </c>
    </row>
    <row r="77" spans="1:9">
      <c r="A77" s="5">
        <v>101</v>
      </c>
      <c r="B77" s="6">
        <v>44134</v>
      </c>
      <c r="C77" s="7">
        <v>1</v>
      </c>
      <c r="D77" s="5">
        <v>6.31</v>
      </c>
      <c r="E77" s="5">
        <v>526</v>
      </c>
      <c r="F77" s="5">
        <v>539</v>
      </c>
      <c r="G77" s="6">
        <v>44134</v>
      </c>
      <c r="H77" s="5">
        <f t="shared" si="7"/>
        <v>13</v>
      </c>
      <c r="I77" s="8" t="b">
        <f t="shared" si="9"/>
        <v>1</v>
      </c>
    </row>
    <row r="78" spans="1:9">
      <c r="A78" s="5">
        <v>101</v>
      </c>
      <c r="B78" s="6">
        <v>44138</v>
      </c>
      <c r="C78" s="7">
        <v>1</v>
      </c>
      <c r="D78" s="5">
        <v>6.31</v>
      </c>
      <c r="E78" s="5">
        <v>539</v>
      </c>
      <c r="F78" s="5">
        <v>552</v>
      </c>
      <c r="G78" s="6">
        <v>44138</v>
      </c>
      <c r="H78" s="5">
        <f t="shared" si="7"/>
        <v>13</v>
      </c>
      <c r="I78" s="8" t="b">
        <f t="shared" si="9"/>
        <v>1</v>
      </c>
    </row>
    <row r="79" spans="1:9">
      <c r="A79" s="5">
        <v>101</v>
      </c>
      <c r="B79" s="6">
        <v>44162</v>
      </c>
      <c r="C79" s="7">
        <v>0.8</v>
      </c>
      <c r="D79" s="5">
        <v>7.89</v>
      </c>
      <c r="E79" s="5">
        <v>634</v>
      </c>
      <c r="F79" s="5">
        <v>650</v>
      </c>
      <c r="G79" s="6">
        <v>44162</v>
      </c>
      <c r="H79" s="5">
        <f t="shared" si="7"/>
        <v>16</v>
      </c>
      <c r="I79" s="8" t="b">
        <f t="shared" si="9"/>
        <v>1</v>
      </c>
    </row>
    <row r="80" spans="1:9">
      <c r="A80" s="5">
        <v>101</v>
      </c>
      <c r="B80" s="6">
        <v>44163</v>
      </c>
      <c r="C80" s="7">
        <v>1</v>
      </c>
      <c r="D80" s="5">
        <v>6.31</v>
      </c>
      <c r="E80" s="5">
        <v>650</v>
      </c>
      <c r="F80" s="5">
        <v>662</v>
      </c>
      <c r="G80" s="6">
        <v>44163</v>
      </c>
      <c r="H80" s="5">
        <f t="shared" si="7"/>
        <v>12</v>
      </c>
      <c r="I80" s="8" t="b">
        <f t="shared" si="9"/>
        <v>1</v>
      </c>
    </row>
    <row r="81" spans="1:9">
      <c r="A81" s="5">
        <v>101</v>
      </c>
      <c r="B81" s="6">
        <v>44164</v>
      </c>
      <c r="C81" s="7">
        <v>0.8</v>
      </c>
      <c r="D81" s="5">
        <v>7.89</v>
      </c>
      <c r="E81" s="5">
        <v>662</v>
      </c>
      <c r="F81" s="5">
        <v>678</v>
      </c>
      <c r="G81" s="6">
        <v>44164</v>
      </c>
      <c r="H81" s="5">
        <f t="shared" si="7"/>
        <v>16</v>
      </c>
      <c r="I81" s="8" t="b">
        <f t="shared" si="9"/>
        <v>0</v>
      </c>
    </row>
    <row r="82" spans="1:9">
      <c r="A82" s="5">
        <v>101</v>
      </c>
      <c r="B82" s="6">
        <v>44165</v>
      </c>
      <c r="C82" s="7">
        <v>0.8</v>
      </c>
      <c r="D82" s="5">
        <v>7.89</v>
      </c>
      <c r="E82" s="5">
        <v>678</v>
      </c>
      <c r="F82" s="5">
        <v>695</v>
      </c>
      <c r="G82" s="6">
        <v>44165</v>
      </c>
      <c r="H82" s="5">
        <f t="shared" si="7"/>
        <v>17</v>
      </c>
      <c r="I82" s="8" t="b">
        <f t="shared" si="9"/>
        <v>0</v>
      </c>
    </row>
    <row r="83" spans="1:9">
      <c r="A83" s="5">
        <v>101</v>
      </c>
      <c r="B83" s="6">
        <v>44166</v>
      </c>
      <c r="C83" s="7">
        <v>0.8</v>
      </c>
      <c r="D83" s="5">
        <v>7.89</v>
      </c>
      <c r="E83" s="5">
        <v>695</v>
      </c>
      <c r="F83" s="5">
        <v>716</v>
      </c>
      <c r="G83" s="6">
        <v>44136</v>
      </c>
      <c r="H83" s="5">
        <f t="shared" si="7"/>
        <v>21</v>
      </c>
      <c r="I83" s="8" t="b">
        <f t="shared" si="9"/>
        <v>0</v>
      </c>
    </row>
    <row r="84" spans="1:9">
      <c r="A84" s="5">
        <v>101</v>
      </c>
      <c r="B84" s="6">
        <v>44167</v>
      </c>
      <c r="C84" s="7">
        <v>0.8</v>
      </c>
      <c r="D84" s="5">
        <v>7.89</v>
      </c>
      <c r="E84" s="5">
        <v>716</v>
      </c>
      <c r="F84" s="5">
        <v>730</v>
      </c>
      <c r="G84" s="6">
        <v>44167</v>
      </c>
      <c r="H84" s="5">
        <f t="shared" si="7"/>
        <v>14</v>
      </c>
      <c r="I84" s="8" t="b">
        <f t="shared" ref="I84:I89" si="10">F87=E88</f>
        <v>0</v>
      </c>
    </row>
    <row r="85" spans="1:9">
      <c r="A85" s="5">
        <v>101</v>
      </c>
      <c r="B85" s="6">
        <v>44198</v>
      </c>
      <c r="C85" s="7">
        <v>0.6</v>
      </c>
      <c r="D85" s="5">
        <v>10.52</v>
      </c>
      <c r="E85" s="5">
        <v>903</v>
      </c>
      <c r="F85" s="5">
        <v>923.6</v>
      </c>
      <c r="G85" s="6"/>
      <c r="H85" s="5">
        <f>F85-E85</f>
        <v>20.600000000000023</v>
      </c>
      <c r="I85" s="8" t="b">
        <f t="shared" si="10"/>
        <v>1</v>
      </c>
    </row>
    <row r="86" spans="1:9">
      <c r="A86" s="5">
        <v>101</v>
      </c>
      <c r="B86" s="6">
        <v>44203</v>
      </c>
      <c r="C86" s="7">
        <v>0.6</v>
      </c>
      <c r="D86" s="5">
        <v>10.52</v>
      </c>
      <c r="E86" s="5">
        <v>933</v>
      </c>
      <c r="F86" s="5">
        <v>955</v>
      </c>
      <c r="G86" s="6"/>
      <c r="H86" s="5">
        <f>F86-E86</f>
        <v>22</v>
      </c>
      <c r="I86" s="8" t="b">
        <f t="shared" si="10"/>
        <v>1</v>
      </c>
    </row>
    <row r="87" spans="1:9">
      <c r="A87" s="5">
        <v>101</v>
      </c>
      <c r="B87" s="6">
        <v>44206</v>
      </c>
      <c r="C87" s="7">
        <v>0.7</v>
      </c>
      <c r="D87" s="5">
        <v>9.01</v>
      </c>
      <c r="E87" s="5">
        <v>953.8</v>
      </c>
      <c r="F87" s="5">
        <v>968</v>
      </c>
      <c r="G87" s="6"/>
      <c r="H87" s="5">
        <f>F87-E87</f>
        <v>14.200000000000045</v>
      </c>
      <c r="I87" s="8" t="b">
        <f t="shared" si="10"/>
        <v>1</v>
      </c>
    </row>
    <row r="88" spans="1:9">
      <c r="A88" s="5">
        <v>101</v>
      </c>
      <c r="B88" s="6">
        <v>44227</v>
      </c>
      <c r="C88" s="7">
        <v>0.6</v>
      </c>
      <c r="D88" s="5">
        <v>10.52</v>
      </c>
      <c r="E88" s="5">
        <v>963</v>
      </c>
      <c r="F88" s="5">
        <v>995</v>
      </c>
      <c r="G88" s="6"/>
      <c r="H88" s="5">
        <f>F88-E88</f>
        <v>32</v>
      </c>
      <c r="I88" s="8" t="b">
        <f t="shared" si="10"/>
        <v>0</v>
      </c>
    </row>
    <row r="89" spans="1:9">
      <c r="A89" s="5">
        <v>101</v>
      </c>
      <c r="B89" s="6">
        <v>44229</v>
      </c>
      <c r="C89" s="7">
        <v>0.8</v>
      </c>
      <c r="D89" s="5">
        <v>7.89</v>
      </c>
      <c r="E89" s="5">
        <v>995</v>
      </c>
      <c r="F89" s="5">
        <v>1013</v>
      </c>
      <c r="G89" s="6"/>
      <c r="H89" s="5">
        <f>F89-E89</f>
        <v>18</v>
      </c>
      <c r="I89" s="8" t="b">
        <f t="shared" si="10"/>
        <v>1</v>
      </c>
    </row>
    <row r="90" spans="1:9">
      <c r="A90" s="5">
        <v>102</v>
      </c>
      <c r="B90" s="6">
        <v>44230</v>
      </c>
      <c r="C90" s="7">
        <v>1</v>
      </c>
      <c r="D90" s="5">
        <v>6.31</v>
      </c>
      <c r="E90" s="5">
        <v>1013</v>
      </c>
      <c r="F90" s="5">
        <v>1026</v>
      </c>
      <c r="G90" s="6"/>
      <c r="H90" s="5">
        <f t="shared" ref="H90:H96" si="11">F90-E90</f>
        <v>13</v>
      </c>
      <c r="I90" s="8" t="b">
        <f t="shared" ref="I90:I96" si="12">F93=E94</f>
        <v>0</v>
      </c>
    </row>
    <row r="91" spans="1:9">
      <c r="A91" s="5">
        <v>103</v>
      </c>
      <c r="B91" s="6">
        <v>44231</v>
      </c>
      <c r="C91" s="7">
        <v>1</v>
      </c>
      <c r="D91" s="5">
        <v>6.31</v>
      </c>
      <c r="E91" s="5">
        <v>1026</v>
      </c>
      <c r="F91" s="5">
        <v>1037.5999999999999</v>
      </c>
      <c r="G91" s="6"/>
      <c r="H91" s="5">
        <f t="shared" si="11"/>
        <v>11.599999999999909</v>
      </c>
      <c r="I91" s="8" t="b">
        <f t="shared" si="12"/>
        <v>1</v>
      </c>
    </row>
    <row r="92" spans="1:9">
      <c r="A92" s="5">
        <v>104</v>
      </c>
      <c r="B92" s="6">
        <v>44232</v>
      </c>
      <c r="C92" s="7">
        <v>1</v>
      </c>
      <c r="D92" s="5">
        <v>6.31</v>
      </c>
      <c r="E92" s="5">
        <v>1039.5999999999999</v>
      </c>
      <c r="F92" s="5">
        <v>1051.5999999999999</v>
      </c>
      <c r="G92" s="6"/>
      <c r="H92" s="5">
        <f t="shared" si="11"/>
        <v>12</v>
      </c>
      <c r="I92" s="8" t="b">
        <f t="shared" si="12"/>
        <v>1</v>
      </c>
    </row>
    <row r="93" spans="1:9">
      <c r="A93" s="5">
        <v>105</v>
      </c>
      <c r="B93" s="6">
        <v>44233</v>
      </c>
      <c r="C93" s="7">
        <v>1</v>
      </c>
      <c r="D93" s="5">
        <v>6.31</v>
      </c>
      <c r="E93" s="5">
        <v>1051.5999999999999</v>
      </c>
      <c r="F93" s="5">
        <v>1065.9000000000001</v>
      </c>
      <c r="G93" s="6"/>
      <c r="H93" s="5">
        <f t="shared" si="11"/>
        <v>14.300000000000182</v>
      </c>
      <c r="I93" s="8" t="b">
        <f t="shared" si="12"/>
        <v>1</v>
      </c>
    </row>
    <row r="94" spans="1:9">
      <c r="A94" s="5">
        <v>106</v>
      </c>
      <c r="B94" s="6"/>
      <c r="C94" s="7"/>
      <c r="D94" s="5"/>
      <c r="E94" s="5"/>
      <c r="F94" s="5"/>
      <c r="G94" s="6"/>
      <c r="H94" s="5">
        <f t="shared" si="11"/>
        <v>0</v>
      </c>
      <c r="I94" s="8" t="b">
        <f t="shared" si="12"/>
        <v>1</v>
      </c>
    </row>
    <row r="95" spans="1:9">
      <c r="A95" s="5">
        <v>107</v>
      </c>
      <c r="B95" s="6"/>
      <c r="C95" s="7"/>
      <c r="D95" s="5"/>
      <c r="E95" s="5"/>
      <c r="F95" s="5"/>
      <c r="G95" s="6"/>
      <c r="H95" s="5">
        <f t="shared" si="11"/>
        <v>0</v>
      </c>
      <c r="I95" s="8" t="b">
        <f t="shared" si="12"/>
        <v>1</v>
      </c>
    </row>
    <row r="96" spans="1:9">
      <c r="A96" s="5">
        <v>108</v>
      </c>
      <c r="B96" s="6"/>
      <c r="C96" s="7"/>
      <c r="D96" s="5"/>
      <c r="E96" s="5"/>
      <c r="F96" s="5"/>
      <c r="G96" s="6"/>
      <c r="H96" s="5">
        <f t="shared" si="11"/>
        <v>0</v>
      </c>
      <c r="I96" s="8" t="b">
        <f t="shared" si="12"/>
        <v>1</v>
      </c>
    </row>
    <row r="98" spans="1:9" ht="26.25">
      <c r="A98" s="147" t="s">
        <v>0</v>
      </c>
      <c r="B98" s="148"/>
      <c r="C98" s="148"/>
      <c r="D98" s="148"/>
      <c r="E98" s="148"/>
      <c r="F98" s="148"/>
      <c r="G98" s="148"/>
      <c r="H98" s="148"/>
      <c r="I98" s="149"/>
    </row>
    <row r="99" spans="1:9" ht="26.25">
      <c r="A99" s="150" t="s">
        <v>14</v>
      </c>
      <c r="B99" s="151"/>
      <c r="C99" s="151"/>
      <c r="D99" s="151"/>
      <c r="E99" s="151"/>
      <c r="F99" s="151"/>
      <c r="G99" s="151"/>
      <c r="H99" s="151"/>
      <c r="I99" s="152"/>
    </row>
    <row r="100" spans="1:9" ht="15.75" thickBot="1"/>
    <row r="101" spans="1:9" ht="15.75" thickBot="1">
      <c r="A101" s="132" t="s">
        <v>2</v>
      </c>
      <c r="B101" s="133"/>
      <c r="C101" s="133"/>
      <c r="D101" s="133"/>
      <c r="E101" s="133"/>
      <c r="F101" s="133"/>
      <c r="G101" s="133"/>
      <c r="H101" s="133"/>
      <c r="I101" s="134"/>
    </row>
    <row r="103" spans="1:9" ht="19.5" thickBot="1">
      <c r="A103" s="1" t="s">
        <v>3</v>
      </c>
      <c r="B103" s="1"/>
      <c r="C103" s="1"/>
      <c r="D103" s="1"/>
      <c r="E103" s="1"/>
      <c r="F103" s="1"/>
      <c r="G103" s="1"/>
    </row>
    <row r="104" spans="1:9" ht="30.75" thickBot="1">
      <c r="A104" s="2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4" t="s">
        <v>11</v>
      </c>
      <c r="I104" s="4" t="s">
        <v>12</v>
      </c>
    </row>
    <row r="105" spans="1:9">
      <c r="A105" s="5">
        <v>101</v>
      </c>
      <c r="B105" s="6">
        <v>44232</v>
      </c>
      <c r="C105" s="7">
        <v>1</v>
      </c>
      <c r="D105" s="5">
        <v>6.31</v>
      </c>
      <c r="E105" s="5">
        <v>1039.5999999999999</v>
      </c>
      <c r="F105" s="5">
        <v>1051.5999999999999</v>
      </c>
      <c r="G105" s="6">
        <v>44232</v>
      </c>
      <c r="H105" s="5">
        <f>F105-E105</f>
        <v>12</v>
      </c>
      <c r="I105" s="8" t="b">
        <f t="shared" ref="I105:I111" si="13">F108=E109</f>
        <v>0</v>
      </c>
    </row>
    <row r="106" spans="1:9">
      <c r="A106" s="5">
        <v>101</v>
      </c>
      <c r="B106" s="6">
        <v>44233</v>
      </c>
      <c r="C106" s="7">
        <v>1</v>
      </c>
      <c r="D106" s="5">
        <v>6.31</v>
      </c>
      <c r="E106" s="5">
        <v>1051.5999999999999</v>
      </c>
      <c r="F106" s="5">
        <v>1065.9000000000001</v>
      </c>
      <c r="G106" s="6">
        <v>44233</v>
      </c>
      <c r="H106" s="5">
        <f t="shared" ref="H106:H111" si="14">F106-E106</f>
        <v>14.300000000000182</v>
      </c>
      <c r="I106" s="8" t="b">
        <f t="shared" si="13"/>
        <v>1</v>
      </c>
    </row>
    <row r="107" spans="1:9">
      <c r="A107" s="5">
        <v>101</v>
      </c>
      <c r="B107" s="6">
        <v>44241</v>
      </c>
      <c r="C107" s="7">
        <v>1</v>
      </c>
      <c r="D107" s="5">
        <v>6.31</v>
      </c>
      <c r="E107" s="5">
        <v>1078.7</v>
      </c>
      <c r="F107" s="5">
        <v>1091.8</v>
      </c>
      <c r="G107" s="6">
        <v>44241</v>
      </c>
      <c r="H107" s="5">
        <f t="shared" si="14"/>
        <v>13.099999999999909</v>
      </c>
      <c r="I107" s="8" t="b">
        <f t="shared" si="13"/>
        <v>0</v>
      </c>
    </row>
    <row r="108" spans="1:9">
      <c r="A108" s="5">
        <v>101</v>
      </c>
      <c r="B108" s="6">
        <v>44250</v>
      </c>
      <c r="C108" s="7">
        <v>1</v>
      </c>
      <c r="D108" s="5">
        <v>6.31</v>
      </c>
      <c r="E108" s="5">
        <v>1093.0999999999999</v>
      </c>
      <c r="F108" s="5">
        <v>1105.8</v>
      </c>
      <c r="G108" s="6">
        <v>44250</v>
      </c>
      <c r="H108" s="5">
        <f t="shared" si="14"/>
        <v>12.700000000000045</v>
      </c>
      <c r="I108" s="8" t="b">
        <f t="shared" si="13"/>
        <v>0</v>
      </c>
    </row>
    <row r="109" spans="1:9">
      <c r="A109" s="5">
        <v>101</v>
      </c>
      <c r="B109" s="6">
        <v>44259</v>
      </c>
      <c r="C109" s="7">
        <v>1</v>
      </c>
      <c r="D109" s="5">
        <v>6.31</v>
      </c>
      <c r="E109" s="5">
        <v>1118.9000000000001</v>
      </c>
      <c r="F109" s="5">
        <v>1132.0999999999999</v>
      </c>
      <c r="G109" s="6">
        <v>44259</v>
      </c>
      <c r="H109" s="5">
        <f t="shared" si="14"/>
        <v>13.199999999999818</v>
      </c>
      <c r="I109" s="8" t="b">
        <f t="shared" si="13"/>
        <v>1</v>
      </c>
    </row>
    <row r="110" spans="1:9">
      <c r="A110" s="5">
        <v>101</v>
      </c>
      <c r="B110" s="6">
        <v>44260</v>
      </c>
      <c r="C110" s="7">
        <v>1</v>
      </c>
      <c r="D110" s="5">
        <v>6.31</v>
      </c>
      <c r="E110" s="5">
        <v>1132.0999999999999</v>
      </c>
      <c r="F110" s="5">
        <v>1145</v>
      </c>
      <c r="G110" s="6">
        <v>44260</v>
      </c>
      <c r="H110" s="5">
        <f t="shared" si="14"/>
        <v>12.900000000000091</v>
      </c>
      <c r="I110" s="8" t="b">
        <f t="shared" si="13"/>
        <v>1</v>
      </c>
    </row>
    <row r="111" spans="1:9">
      <c r="A111" s="5">
        <v>101</v>
      </c>
      <c r="B111" s="6">
        <v>44273</v>
      </c>
      <c r="C111" s="7">
        <v>0.7</v>
      </c>
      <c r="D111" s="5">
        <v>9.01</v>
      </c>
      <c r="E111" s="5">
        <v>1164.5999999999999</v>
      </c>
      <c r="F111" s="5">
        <v>1186.2</v>
      </c>
      <c r="G111" s="6">
        <v>44273</v>
      </c>
      <c r="H111" s="5">
        <f t="shared" si="14"/>
        <v>21.600000000000136</v>
      </c>
      <c r="I111" s="8" t="b">
        <f t="shared" si="13"/>
        <v>1</v>
      </c>
    </row>
    <row r="112" spans="1:9">
      <c r="A112" s="5">
        <v>101</v>
      </c>
      <c r="B112" s="6">
        <v>44277</v>
      </c>
      <c r="C112" s="7">
        <v>0.7</v>
      </c>
      <c r="D112" s="5">
        <v>9.01</v>
      </c>
      <c r="E112" s="5">
        <v>1183.2</v>
      </c>
      <c r="F112" s="5">
        <v>1205.4000000000001</v>
      </c>
      <c r="G112" s="6">
        <v>44277</v>
      </c>
      <c r="H112" s="5">
        <f t="shared" ref="H112:H120" si="15">F112-E112</f>
        <v>22.200000000000045</v>
      </c>
      <c r="I112" s="8" t="b">
        <f t="shared" ref="I112:I120" si="16">F115=E116</f>
        <v>0</v>
      </c>
    </row>
    <row r="113" spans="1:9">
      <c r="A113" s="5">
        <v>101</v>
      </c>
      <c r="B113" s="6">
        <v>44280</v>
      </c>
      <c r="C113" s="7">
        <v>0.7</v>
      </c>
      <c r="D113" s="5">
        <v>9.01</v>
      </c>
      <c r="E113" s="5">
        <v>1205.4000000000001</v>
      </c>
      <c r="F113" s="5">
        <v>1224.3</v>
      </c>
      <c r="G113" s="6">
        <v>44280</v>
      </c>
      <c r="H113" s="5">
        <f t="shared" si="15"/>
        <v>18.899999999999864</v>
      </c>
      <c r="I113" s="8" t="b">
        <f t="shared" si="16"/>
        <v>0</v>
      </c>
    </row>
    <row r="114" spans="1:9">
      <c r="A114" s="5">
        <v>101</v>
      </c>
      <c r="B114" s="6">
        <v>44283</v>
      </c>
      <c r="C114" s="7">
        <v>0.7</v>
      </c>
      <c r="D114" s="5">
        <v>9.01</v>
      </c>
      <c r="E114" s="5">
        <v>1224.3</v>
      </c>
      <c r="F114" s="5">
        <v>1241</v>
      </c>
      <c r="G114" s="6">
        <v>44283</v>
      </c>
      <c r="H114" s="5">
        <f t="shared" si="15"/>
        <v>16.700000000000045</v>
      </c>
      <c r="I114" s="8" t="b">
        <f t="shared" si="16"/>
        <v>0</v>
      </c>
    </row>
    <row r="115" spans="1:9">
      <c r="A115" s="5">
        <v>101</v>
      </c>
      <c r="B115" s="6">
        <v>44285</v>
      </c>
      <c r="C115" s="7">
        <v>1</v>
      </c>
      <c r="D115" s="5">
        <v>5.8</v>
      </c>
      <c r="E115" s="5">
        <v>1241</v>
      </c>
      <c r="F115" s="5">
        <v>1257</v>
      </c>
      <c r="G115" s="6">
        <v>44285</v>
      </c>
      <c r="H115" s="5">
        <f t="shared" si="15"/>
        <v>16</v>
      </c>
      <c r="I115" s="8" t="b">
        <f t="shared" si="16"/>
        <v>1</v>
      </c>
    </row>
    <row r="116" spans="1:9">
      <c r="A116" s="5">
        <v>101</v>
      </c>
      <c r="B116" s="6">
        <v>44293</v>
      </c>
      <c r="C116" s="7">
        <v>0.7</v>
      </c>
      <c r="D116" s="5">
        <v>9.01</v>
      </c>
      <c r="E116" s="5">
        <v>1258.7</v>
      </c>
      <c r="F116" s="5">
        <v>1271.0999999999999</v>
      </c>
      <c r="G116" s="6">
        <v>44293</v>
      </c>
      <c r="H116" s="5">
        <f t="shared" si="15"/>
        <v>12.399999999999864</v>
      </c>
      <c r="I116" s="8" t="b">
        <f t="shared" si="16"/>
        <v>1</v>
      </c>
    </row>
    <row r="117" spans="1:9">
      <c r="A117" s="5">
        <v>101</v>
      </c>
      <c r="B117" s="6">
        <v>44297</v>
      </c>
      <c r="C117" s="7">
        <v>0.7</v>
      </c>
      <c r="D117" s="5">
        <v>9.01</v>
      </c>
      <c r="E117" s="5">
        <v>1277.0999999999999</v>
      </c>
      <c r="F117" s="5">
        <v>1293.4000000000001</v>
      </c>
      <c r="G117" s="6">
        <v>44297</v>
      </c>
      <c r="H117" s="5">
        <f t="shared" si="15"/>
        <v>16.300000000000182</v>
      </c>
      <c r="I117" s="8" t="b">
        <f t="shared" si="16"/>
        <v>0</v>
      </c>
    </row>
    <row r="118" spans="1:9">
      <c r="A118" s="5">
        <v>101</v>
      </c>
      <c r="B118" s="6">
        <v>44300</v>
      </c>
      <c r="C118" s="7">
        <v>0.7</v>
      </c>
      <c r="D118" s="5">
        <v>9.01</v>
      </c>
      <c r="E118" s="5">
        <v>1297.7</v>
      </c>
      <c r="F118" s="5">
        <v>1316.2</v>
      </c>
      <c r="G118" s="6">
        <v>44300</v>
      </c>
      <c r="H118" s="5">
        <f t="shared" si="15"/>
        <v>18.5</v>
      </c>
      <c r="I118" s="8" t="b">
        <f t="shared" si="16"/>
        <v>0</v>
      </c>
    </row>
    <row r="119" spans="1:9">
      <c r="A119" s="5">
        <v>101</v>
      </c>
      <c r="B119" s="6">
        <v>44302</v>
      </c>
      <c r="C119" s="7">
        <v>1</v>
      </c>
      <c r="D119" s="5">
        <v>5.8</v>
      </c>
      <c r="E119" s="5">
        <v>1316.2</v>
      </c>
      <c r="F119" s="5">
        <v>1328.7</v>
      </c>
      <c r="G119" s="6">
        <v>44302</v>
      </c>
      <c r="H119" s="5">
        <f t="shared" si="15"/>
        <v>12.5</v>
      </c>
      <c r="I119" s="8" t="b">
        <f t="shared" si="16"/>
        <v>1</v>
      </c>
    </row>
    <row r="120" spans="1:9">
      <c r="A120" s="5">
        <v>101</v>
      </c>
      <c r="B120" s="6">
        <v>44304</v>
      </c>
      <c r="C120" s="7">
        <v>0.7</v>
      </c>
      <c r="D120" s="5">
        <v>9.01</v>
      </c>
      <c r="E120" s="5">
        <v>1328.7</v>
      </c>
      <c r="F120" s="5">
        <v>1347.1</v>
      </c>
      <c r="G120" s="6">
        <v>44304</v>
      </c>
      <c r="H120" s="5">
        <f t="shared" si="15"/>
        <v>18.399999999999864</v>
      </c>
      <c r="I120" s="8" t="b">
        <f t="shared" si="16"/>
        <v>1</v>
      </c>
    </row>
    <row r="121" spans="1:9">
      <c r="A121" s="5">
        <v>101</v>
      </c>
      <c r="B121" s="6">
        <v>44311</v>
      </c>
      <c r="C121" s="7">
        <v>0.7</v>
      </c>
      <c r="D121" s="5">
        <v>9.01</v>
      </c>
      <c r="E121" s="5">
        <v>1348.7</v>
      </c>
      <c r="F121" s="5">
        <v>1365.5</v>
      </c>
      <c r="G121" s="6">
        <v>44311</v>
      </c>
      <c r="H121" s="5">
        <f t="shared" ref="H121:H127" si="17">F121-E121</f>
        <v>16.799999999999955</v>
      </c>
      <c r="I121" s="8" t="b">
        <f t="shared" ref="I121:I127" si="18">F124=E125</f>
        <v>1</v>
      </c>
    </row>
    <row r="122" spans="1:9">
      <c r="A122" s="5">
        <v>101</v>
      </c>
      <c r="B122" s="6">
        <v>44321</v>
      </c>
      <c r="C122" s="7">
        <v>0.7</v>
      </c>
      <c r="D122" s="5">
        <v>9.01</v>
      </c>
      <c r="E122" s="5">
        <v>1385.5</v>
      </c>
      <c r="F122" s="5">
        <v>1401.8</v>
      </c>
      <c r="G122" s="6">
        <v>44321</v>
      </c>
      <c r="H122" s="5">
        <f t="shared" si="17"/>
        <v>16.299999999999955</v>
      </c>
      <c r="I122" s="8" t="b">
        <f t="shared" si="18"/>
        <v>1</v>
      </c>
    </row>
    <row r="123" spans="1:9">
      <c r="A123" s="5">
        <v>101</v>
      </c>
      <c r="B123" s="6">
        <v>44324</v>
      </c>
      <c r="C123" s="7">
        <v>0.7</v>
      </c>
      <c r="D123" s="5">
        <v>9.01</v>
      </c>
      <c r="E123" s="5">
        <v>1401.8</v>
      </c>
      <c r="F123" s="5">
        <v>1419.3</v>
      </c>
      <c r="G123" s="6">
        <v>44324</v>
      </c>
      <c r="H123" s="5">
        <f t="shared" si="17"/>
        <v>17.5</v>
      </c>
      <c r="I123" s="8" t="b">
        <f t="shared" si="18"/>
        <v>1</v>
      </c>
    </row>
    <row r="124" spans="1:9">
      <c r="A124" s="5">
        <v>101</v>
      </c>
      <c r="B124" s="6">
        <v>44328</v>
      </c>
      <c r="C124" s="7">
        <v>0.7</v>
      </c>
      <c r="D124" s="5">
        <v>9.01</v>
      </c>
      <c r="E124" s="5">
        <v>1419.3</v>
      </c>
      <c r="F124" s="5">
        <v>1437.7</v>
      </c>
      <c r="G124" s="6">
        <v>44328</v>
      </c>
      <c r="H124" s="5">
        <f t="shared" si="17"/>
        <v>18.400000000000091</v>
      </c>
      <c r="I124" s="8" t="b">
        <f t="shared" si="18"/>
        <v>1</v>
      </c>
    </row>
    <row r="125" spans="1:9">
      <c r="A125" s="5">
        <v>101</v>
      </c>
      <c r="B125" s="6">
        <v>44332</v>
      </c>
      <c r="C125" s="7">
        <v>0.5</v>
      </c>
      <c r="D125" s="5">
        <v>11.6</v>
      </c>
      <c r="E125" s="5">
        <v>1437.7</v>
      </c>
      <c r="F125" s="5">
        <v>1450.8</v>
      </c>
      <c r="G125" s="6">
        <v>44332</v>
      </c>
      <c r="H125" s="5">
        <f t="shared" si="17"/>
        <v>13.099999999999909</v>
      </c>
      <c r="I125" s="8" t="b">
        <f t="shared" si="18"/>
        <v>1</v>
      </c>
    </row>
    <row r="126" spans="1:9">
      <c r="A126" s="5">
        <v>101</v>
      </c>
      <c r="B126" s="6">
        <v>44333</v>
      </c>
      <c r="C126" s="7">
        <v>0.5</v>
      </c>
      <c r="D126" s="5">
        <v>10.6</v>
      </c>
      <c r="E126" s="5">
        <v>1450.8</v>
      </c>
      <c r="F126" s="5">
        <v>1463.2</v>
      </c>
      <c r="G126" s="6">
        <v>44333</v>
      </c>
      <c r="H126" s="5">
        <f t="shared" si="17"/>
        <v>12.400000000000091</v>
      </c>
      <c r="I126" s="8" t="b">
        <f t="shared" si="18"/>
        <v>1</v>
      </c>
    </row>
    <row r="127" spans="1:9">
      <c r="A127" s="5">
        <v>101</v>
      </c>
      <c r="B127" s="6">
        <v>44338</v>
      </c>
      <c r="C127" s="7">
        <v>0.5</v>
      </c>
      <c r="D127" s="5">
        <v>12.62</v>
      </c>
      <c r="E127" s="5">
        <v>1463.2</v>
      </c>
      <c r="F127" s="5">
        <v>1475</v>
      </c>
      <c r="G127" s="6">
        <v>44338</v>
      </c>
      <c r="H127" s="5">
        <f t="shared" si="17"/>
        <v>11.799999999999955</v>
      </c>
      <c r="I127" s="8" t="b">
        <f t="shared" si="18"/>
        <v>1</v>
      </c>
    </row>
    <row r="128" spans="1:9">
      <c r="A128" s="5">
        <v>101</v>
      </c>
      <c r="B128" s="6">
        <v>44339</v>
      </c>
      <c r="C128" s="7">
        <v>0.5</v>
      </c>
      <c r="D128" s="5">
        <v>12.62</v>
      </c>
      <c r="E128" s="5">
        <v>1475</v>
      </c>
      <c r="F128" s="5">
        <v>1488.7</v>
      </c>
      <c r="G128" s="6">
        <v>44339</v>
      </c>
      <c r="H128" s="5">
        <f>F128-E128</f>
        <v>13.700000000000045</v>
      </c>
      <c r="I128" s="8" t="b">
        <f>F131=E132</f>
        <v>0</v>
      </c>
    </row>
    <row r="129" spans="1:9">
      <c r="A129" s="5">
        <v>101</v>
      </c>
      <c r="B129" s="6">
        <v>44344</v>
      </c>
      <c r="C129" s="7">
        <v>0.6</v>
      </c>
      <c r="D129" s="5">
        <v>9.67</v>
      </c>
      <c r="E129" s="5">
        <v>1488.7</v>
      </c>
      <c r="F129" s="5">
        <v>1509.3</v>
      </c>
      <c r="G129" s="6">
        <v>44375</v>
      </c>
      <c r="H129" s="5">
        <f>F129-E129</f>
        <v>20.599999999999909</v>
      </c>
      <c r="I129" s="8" t="b">
        <f>F132=E133</f>
        <v>1</v>
      </c>
    </row>
    <row r="130" spans="1:9">
      <c r="A130" s="5">
        <v>101</v>
      </c>
      <c r="B130" s="6">
        <v>44347</v>
      </c>
      <c r="C130" s="7">
        <v>0.5</v>
      </c>
      <c r="D130" s="5">
        <v>12.62</v>
      </c>
      <c r="E130" s="5">
        <v>1509.3</v>
      </c>
      <c r="F130" s="5">
        <v>1521.7</v>
      </c>
      <c r="G130" s="6">
        <v>44347</v>
      </c>
      <c r="H130" s="5">
        <f>F130-E130</f>
        <v>12.400000000000091</v>
      </c>
      <c r="I130" s="8" t="b">
        <f>F133=E134</f>
        <v>1</v>
      </c>
    </row>
    <row r="131" spans="1:9">
      <c r="A131" s="5">
        <v>101</v>
      </c>
      <c r="B131" s="6">
        <v>44348</v>
      </c>
      <c r="C131" s="7">
        <v>0.5</v>
      </c>
      <c r="D131" s="5">
        <v>12.62</v>
      </c>
      <c r="E131" s="5">
        <v>1521.7</v>
      </c>
      <c r="F131" s="5">
        <v>1534.4</v>
      </c>
      <c r="G131" s="6">
        <v>44348</v>
      </c>
      <c r="H131" s="5">
        <f>F131-E131</f>
        <v>12.700000000000045</v>
      </c>
      <c r="I131" s="8" t="b">
        <f>F134=E135</f>
        <v>1</v>
      </c>
    </row>
    <row r="132" spans="1:9">
      <c r="A132" s="5">
        <v>101</v>
      </c>
      <c r="B132" s="6">
        <v>44353</v>
      </c>
      <c r="C132" s="7">
        <v>0.5</v>
      </c>
      <c r="D132" s="5">
        <v>12.62</v>
      </c>
      <c r="E132" s="5">
        <v>1536.8</v>
      </c>
      <c r="F132" s="5">
        <v>1548.9</v>
      </c>
      <c r="G132" s="6">
        <v>44353</v>
      </c>
      <c r="H132" s="5">
        <f>F132-E132</f>
        <v>12.100000000000136</v>
      </c>
      <c r="I132" s="8" t="b">
        <f>F135=E136</f>
        <v>1</v>
      </c>
    </row>
    <row r="133" spans="1:9">
      <c r="A133" s="5">
        <v>101</v>
      </c>
      <c r="B133" s="6">
        <v>44354</v>
      </c>
      <c r="C133" s="7">
        <v>0.5</v>
      </c>
      <c r="D133" s="5">
        <v>12.62</v>
      </c>
      <c r="E133" s="5">
        <v>1548.9</v>
      </c>
      <c r="F133" s="5">
        <v>1561.1</v>
      </c>
      <c r="G133" s="6">
        <v>44354</v>
      </c>
      <c r="H133" s="5">
        <f t="shared" ref="H133:H141" si="19">F133-E133</f>
        <v>12.199999999999818</v>
      </c>
      <c r="I133" s="8" t="b">
        <f t="shared" ref="I133:I141" si="20">F136=E137</f>
        <v>1</v>
      </c>
    </row>
    <row r="134" spans="1:9">
      <c r="A134" s="5">
        <v>101</v>
      </c>
      <c r="B134" s="6">
        <v>44359</v>
      </c>
      <c r="C134" s="7">
        <v>0.5</v>
      </c>
      <c r="D134" s="5">
        <v>12.62</v>
      </c>
      <c r="E134" s="5">
        <v>1561.1</v>
      </c>
      <c r="F134" s="5">
        <v>1573.2</v>
      </c>
      <c r="G134" s="6">
        <v>44359</v>
      </c>
      <c r="H134" s="5">
        <f t="shared" si="19"/>
        <v>12.100000000000136</v>
      </c>
      <c r="I134" s="8" t="b">
        <f t="shared" si="20"/>
        <v>0</v>
      </c>
    </row>
    <row r="135" spans="1:9">
      <c r="A135" s="5">
        <v>101</v>
      </c>
      <c r="B135" s="6">
        <v>44360</v>
      </c>
      <c r="C135" s="7">
        <v>0.5</v>
      </c>
      <c r="D135" s="5">
        <v>12.62</v>
      </c>
      <c r="E135" s="5">
        <v>1573.2</v>
      </c>
      <c r="F135" s="5">
        <v>1585.7</v>
      </c>
      <c r="G135" s="6">
        <v>44360</v>
      </c>
      <c r="H135" s="5">
        <f t="shared" si="19"/>
        <v>12.5</v>
      </c>
      <c r="I135" s="8" t="b">
        <f t="shared" si="20"/>
        <v>1</v>
      </c>
    </row>
    <row r="136" spans="1:9">
      <c r="A136" s="5">
        <v>101</v>
      </c>
      <c r="B136" s="6">
        <v>44365</v>
      </c>
      <c r="C136" s="7">
        <v>0.5</v>
      </c>
      <c r="D136" s="5">
        <v>12.62</v>
      </c>
      <c r="E136" s="5">
        <v>1585.7</v>
      </c>
      <c r="F136" s="5">
        <v>1597.7</v>
      </c>
      <c r="G136" s="6">
        <v>44365</v>
      </c>
      <c r="H136" s="5">
        <f t="shared" si="19"/>
        <v>12</v>
      </c>
      <c r="I136" s="8" t="b">
        <f t="shared" si="20"/>
        <v>1</v>
      </c>
    </row>
    <row r="137" spans="1:9">
      <c r="A137" s="5">
        <v>101</v>
      </c>
      <c r="B137" s="6">
        <v>44366</v>
      </c>
      <c r="C137" s="7">
        <v>0.5</v>
      </c>
      <c r="D137" s="5">
        <v>12.62</v>
      </c>
      <c r="E137" s="5">
        <v>1597.7</v>
      </c>
      <c r="F137" s="5">
        <v>1610.2</v>
      </c>
      <c r="G137" s="6">
        <v>44366</v>
      </c>
      <c r="H137" s="5">
        <f t="shared" si="19"/>
        <v>12.5</v>
      </c>
      <c r="I137" s="8" t="b">
        <f t="shared" si="20"/>
        <v>1</v>
      </c>
    </row>
    <row r="138" spans="1:9">
      <c r="A138" s="5">
        <v>101</v>
      </c>
      <c r="B138" s="6">
        <v>44370</v>
      </c>
      <c r="C138" s="7">
        <v>0.5</v>
      </c>
      <c r="D138" s="5">
        <v>12.62</v>
      </c>
      <c r="E138" s="5">
        <v>1612.2</v>
      </c>
      <c r="F138" s="5">
        <v>1624.4</v>
      </c>
      <c r="G138" s="6">
        <v>44370</v>
      </c>
      <c r="H138" s="5">
        <f t="shared" si="19"/>
        <v>12.200000000000045</v>
      </c>
      <c r="I138" s="8" t="b">
        <f t="shared" si="20"/>
        <v>1</v>
      </c>
    </row>
    <row r="139" spans="1:9">
      <c r="A139" s="5">
        <v>101</v>
      </c>
      <c r="B139" s="6">
        <v>44371</v>
      </c>
      <c r="C139" s="7">
        <v>0.5</v>
      </c>
      <c r="D139" s="5">
        <v>12.62</v>
      </c>
      <c r="E139" s="5">
        <v>1624.4</v>
      </c>
      <c r="F139" s="5">
        <v>1637.1</v>
      </c>
      <c r="G139" s="6">
        <v>44371</v>
      </c>
      <c r="H139" s="5">
        <f t="shared" si="19"/>
        <v>12.699999999999818</v>
      </c>
      <c r="I139" s="8" t="b">
        <f t="shared" si="20"/>
        <v>1</v>
      </c>
    </row>
    <row r="140" spans="1:9">
      <c r="A140" s="5">
        <v>101</v>
      </c>
      <c r="B140" s="6">
        <v>44375</v>
      </c>
      <c r="C140" s="7">
        <v>0.5</v>
      </c>
      <c r="D140" s="5">
        <v>12.62</v>
      </c>
      <c r="E140" s="5">
        <v>1637.1</v>
      </c>
      <c r="F140" s="5">
        <v>1649</v>
      </c>
      <c r="G140" s="6">
        <v>44375</v>
      </c>
      <c r="H140" s="5">
        <f t="shared" si="19"/>
        <v>11.900000000000091</v>
      </c>
      <c r="I140" s="8" t="b">
        <f t="shared" si="20"/>
        <v>1</v>
      </c>
    </row>
    <row r="141" spans="1:9">
      <c r="A141" s="5">
        <v>101</v>
      </c>
      <c r="B141" s="6">
        <v>44376</v>
      </c>
      <c r="C141" s="7">
        <v>0.5</v>
      </c>
      <c r="D141" s="5">
        <v>12.62</v>
      </c>
      <c r="E141" s="5">
        <v>1649</v>
      </c>
      <c r="F141" s="5">
        <v>1662.2</v>
      </c>
      <c r="G141" s="6">
        <v>44376</v>
      </c>
      <c r="H141" s="5">
        <f t="shared" si="19"/>
        <v>13.200000000000045</v>
      </c>
      <c r="I141" s="8" t="b">
        <f t="shared" si="20"/>
        <v>1</v>
      </c>
    </row>
    <row r="142" spans="1:9">
      <c r="A142" s="5">
        <v>101</v>
      </c>
      <c r="B142" s="6">
        <v>44379</v>
      </c>
      <c r="C142" s="7">
        <v>0.5</v>
      </c>
      <c r="D142" s="5">
        <v>12.62</v>
      </c>
      <c r="E142" s="5">
        <v>1662.2</v>
      </c>
      <c r="F142" s="5">
        <v>1674.7</v>
      </c>
      <c r="G142" s="6">
        <v>44379</v>
      </c>
      <c r="H142" s="5">
        <f t="shared" ref="H142:H149" si="21">F142-E142</f>
        <v>12.5</v>
      </c>
      <c r="I142" s="8" t="b">
        <f t="shared" ref="I142:I152" si="22">F145=E146</f>
        <v>1</v>
      </c>
    </row>
    <row r="143" spans="1:9">
      <c r="A143" s="5">
        <v>101</v>
      </c>
      <c r="B143" s="6">
        <v>44380</v>
      </c>
      <c r="C143" s="7">
        <v>0.5</v>
      </c>
      <c r="D143" s="5">
        <v>12.62</v>
      </c>
      <c r="E143" s="5">
        <v>1674.7</v>
      </c>
      <c r="F143" s="5">
        <v>1686.7</v>
      </c>
      <c r="G143" s="6">
        <v>44380</v>
      </c>
      <c r="H143" s="5">
        <f t="shared" si="21"/>
        <v>12</v>
      </c>
      <c r="I143" s="8" t="b">
        <f t="shared" si="22"/>
        <v>1</v>
      </c>
    </row>
    <row r="144" spans="1:9">
      <c r="A144" s="5">
        <v>101</v>
      </c>
      <c r="B144" s="6">
        <v>44383</v>
      </c>
      <c r="C144" s="7">
        <v>0.5</v>
      </c>
      <c r="D144" s="5">
        <v>12.62</v>
      </c>
      <c r="E144" s="5">
        <v>1686.7</v>
      </c>
      <c r="F144" s="5">
        <v>1699.6</v>
      </c>
      <c r="G144" s="6">
        <v>44381</v>
      </c>
      <c r="H144" s="5">
        <f t="shared" si="21"/>
        <v>12.899999999999864</v>
      </c>
      <c r="I144" s="8" t="b">
        <f t="shared" si="22"/>
        <v>0</v>
      </c>
    </row>
    <row r="145" spans="1:9">
      <c r="A145" s="5">
        <v>101</v>
      </c>
      <c r="B145" s="6">
        <v>44384</v>
      </c>
      <c r="C145" s="7">
        <v>0.5</v>
      </c>
      <c r="D145" s="5">
        <v>12.62</v>
      </c>
      <c r="E145" s="5">
        <v>1699.6</v>
      </c>
      <c r="F145" s="5">
        <v>1712.6</v>
      </c>
      <c r="G145" s="6">
        <v>44384</v>
      </c>
      <c r="H145" s="5">
        <f t="shared" si="21"/>
        <v>13</v>
      </c>
      <c r="I145" s="8" t="b">
        <f t="shared" si="22"/>
        <v>1</v>
      </c>
    </row>
    <row r="146" spans="1:9">
      <c r="A146" s="5">
        <v>101</v>
      </c>
      <c r="B146" s="6">
        <v>44387</v>
      </c>
      <c r="C146" s="7">
        <v>0.5</v>
      </c>
      <c r="D146" s="5">
        <v>12.62</v>
      </c>
      <c r="E146" s="5">
        <v>1712.6</v>
      </c>
      <c r="F146" s="5">
        <v>1724.6</v>
      </c>
      <c r="G146" s="6">
        <v>44387</v>
      </c>
      <c r="H146" s="5">
        <f t="shared" si="21"/>
        <v>12</v>
      </c>
      <c r="I146" s="8" t="b">
        <f t="shared" si="22"/>
        <v>1</v>
      </c>
    </row>
    <row r="147" spans="1:9">
      <c r="A147" s="5">
        <v>101</v>
      </c>
      <c r="B147" s="6">
        <v>44388</v>
      </c>
      <c r="C147" s="7">
        <v>0.5</v>
      </c>
      <c r="D147" s="5">
        <v>12.62</v>
      </c>
      <c r="E147" s="5">
        <v>1724.6</v>
      </c>
      <c r="F147" s="5">
        <v>1737.9</v>
      </c>
      <c r="G147" s="6">
        <v>44388</v>
      </c>
      <c r="H147" s="5">
        <f t="shared" si="21"/>
        <v>13.300000000000182</v>
      </c>
      <c r="I147" s="8" t="b">
        <f t="shared" si="22"/>
        <v>1</v>
      </c>
    </row>
    <row r="148" spans="1:9">
      <c r="A148" s="5">
        <v>101</v>
      </c>
      <c r="B148" s="6">
        <v>44391</v>
      </c>
      <c r="C148" s="7">
        <v>0.5</v>
      </c>
      <c r="D148" s="5">
        <v>12.62</v>
      </c>
      <c r="E148" s="5">
        <v>1737.3</v>
      </c>
      <c r="F148" s="5">
        <v>1749.5</v>
      </c>
      <c r="G148" s="6">
        <v>44391</v>
      </c>
      <c r="H148" s="5">
        <f t="shared" si="21"/>
        <v>12.200000000000045</v>
      </c>
      <c r="I148" s="8" t="b">
        <f t="shared" si="22"/>
        <v>0</v>
      </c>
    </row>
    <row r="149" spans="1:9">
      <c r="A149" s="5">
        <v>101</v>
      </c>
      <c r="B149" s="6">
        <v>44392</v>
      </c>
      <c r="C149" s="7">
        <v>0.5</v>
      </c>
      <c r="D149" s="5">
        <v>12.62</v>
      </c>
      <c r="E149" s="5">
        <v>1749.5</v>
      </c>
      <c r="F149" s="5">
        <v>1763.5</v>
      </c>
      <c r="G149" s="6">
        <v>44392</v>
      </c>
      <c r="H149" s="5">
        <f t="shared" si="21"/>
        <v>14</v>
      </c>
      <c r="I149" s="8" t="b">
        <f t="shared" si="22"/>
        <v>1</v>
      </c>
    </row>
    <row r="150" spans="1:9">
      <c r="A150" s="5">
        <v>101</v>
      </c>
      <c r="B150" s="6">
        <v>44399</v>
      </c>
      <c r="C150" s="7">
        <v>0.5</v>
      </c>
      <c r="D150" s="5">
        <v>12.62</v>
      </c>
      <c r="E150" s="5">
        <v>1763.5</v>
      </c>
      <c r="F150" s="5">
        <v>1775.5</v>
      </c>
      <c r="G150" s="6">
        <v>44399</v>
      </c>
      <c r="H150" s="5">
        <f>F150-E150</f>
        <v>12</v>
      </c>
      <c r="I150" s="8" t="b">
        <f t="shared" si="22"/>
        <v>1</v>
      </c>
    </row>
    <row r="151" spans="1:9">
      <c r="A151" s="5">
        <v>101</v>
      </c>
      <c r="B151" s="6">
        <v>44400</v>
      </c>
      <c r="C151" s="7">
        <v>0.5</v>
      </c>
      <c r="D151" s="5">
        <v>12.62</v>
      </c>
      <c r="E151" s="5">
        <v>1775.5</v>
      </c>
      <c r="F151" s="5">
        <v>1788.5</v>
      </c>
      <c r="G151" s="6">
        <v>44400</v>
      </c>
      <c r="H151" s="5">
        <f>F151-E151</f>
        <v>13</v>
      </c>
      <c r="I151" s="8" t="b">
        <f t="shared" si="22"/>
        <v>1</v>
      </c>
    </row>
    <row r="152" spans="1:9">
      <c r="A152" s="5">
        <v>101</v>
      </c>
      <c r="B152" s="6"/>
      <c r="C152" s="7"/>
      <c r="D152" s="5"/>
      <c r="E152" s="5"/>
      <c r="F152" s="5"/>
      <c r="G152" s="6"/>
      <c r="H152" s="5">
        <f>F152-E152</f>
        <v>0</v>
      </c>
      <c r="I152" s="8" t="b">
        <f t="shared" si="22"/>
        <v>1</v>
      </c>
    </row>
    <row r="154" spans="1:9" ht="26.25">
      <c r="A154" s="153" t="s">
        <v>0</v>
      </c>
      <c r="B154" s="154"/>
      <c r="C154" s="154"/>
      <c r="D154" s="154"/>
      <c r="E154" s="154"/>
      <c r="F154" s="154"/>
      <c r="G154" s="154"/>
      <c r="H154" s="154"/>
      <c r="I154" s="155"/>
    </row>
    <row r="155" spans="1:9" ht="26.25">
      <c r="A155" s="156" t="s">
        <v>15</v>
      </c>
      <c r="B155" s="157"/>
      <c r="C155" s="157"/>
      <c r="D155" s="157"/>
      <c r="E155" s="157"/>
      <c r="F155" s="157"/>
      <c r="G155" s="157"/>
      <c r="H155" s="157"/>
      <c r="I155" s="158"/>
    </row>
    <row r="156" spans="1:9" ht="15.75" thickBot="1"/>
    <row r="157" spans="1:9" ht="15.75" thickBot="1">
      <c r="A157" s="132" t="s">
        <v>2</v>
      </c>
      <c r="B157" s="133"/>
      <c r="C157" s="133"/>
      <c r="D157" s="133"/>
      <c r="E157" s="133"/>
      <c r="F157" s="133"/>
      <c r="G157" s="133"/>
      <c r="H157" s="133"/>
      <c r="I157" s="134"/>
    </row>
    <row r="159" spans="1:9" ht="19.5" thickBot="1">
      <c r="A159" s="1" t="s">
        <v>3</v>
      </c>
      <c r="B159" s="1"/>
      <c r="C159" s="1"/>
      <c r="D159" s="1"/>
      <c r="E159" s="1"/>
      <c r="F159" s="1"/>
      <c r="G159" s="1"/>
    </row>
    <row r="160" spans="1:9" ht="30.75" thickBot="1">
      <c r="A160" s="2" t="s">
        <v>4</v>
      </c>
      <c r="B160" s="3" t="s">
        <v>5</v>
      </c>
      <c r="C160" s="3" t="s">
        <v>6</v>
      </c>
      <c r="D160" s="3" t="s">
        <v>7</v>
      </c>
      <c r="E160" s="3" t="s">
        <v>8</v>
      </c>
      <c r="F160" s="3" t="s">
        <v>9</v>
      </c>
      <c r="G160" s="3" t="s">
        <v>10</v>
      </c>
      <c r="H160" s="4" t="s">
        <v>11</v>
      </c>
      <c r="I160" s="4" t="s">
        <v>12</v>
      </c>
    </row>
    <row r="161" spans="1:9">
      <c r="A161" s="5">
        <v>101</v>
      </c>
      <c r="B161" s="6">
        <v>44465</v>
      </c>
      <c r="C161" s="7">
        <v>0.4</v>
      </c>
      <c r="D161" s="5">
        <v>14.5</v>
      </c>
      <c r="E161" s="5">
        <v>1800</v>
      </c>
      <c r="F161" s="5">
        <v>1830</v>
      </c>
      <c r="G161" s="6">
        <v>44465</v>
      </c>
      <c r="H161" s="5">
        <f>F161-E161</f>
        <v>30</v>
      </c>
      <c r="I161" s="8" t="b">
        <f>F164=E165</f>
        <v>1</v>
      </c>
    </row>
    <row r="162" spans="1:9">
      <c r="A162" s="5">
        <v>101</v>
      </c>
      <c r="B162" s="6">
        <v>44476</v>
      </c>
      <c r="C162" s="7">
        <v>0.8</v>
      </c>
      <c r="D162" s="5">
        <v>7.89</v>
      </c>
      <c r="E162" s="5">
        <v>1863</v>
      </c>
      <c r="F162" s="5">
        <v>1878.7</v>
      </c>
      <c r="G162" s="6">
        <v>44477</v>
      </c>
      <c r="H162" s="5">
        <f t="shared" ref="H162:H175" si="23">F162-E162</f>
        <v>15.700000000000045</v>
      </c>
      <c r="I162" s="8" t="b">
        <f>E162=F161</f>
        <v>0</v>
      </c>
    </row>
    <row r="163" spans="1:9">
      <c r="A163" s="5">
        <v>101</v>
      </c>
      <c r="B163" s="6">
        <v>44533</v>
      </c>
      <c r="C163" s="7">
        <v>0.6</v>
      </c>
      <c r="D163" s="5">
        <v>9.67</v>
      </c>
      <c r="E163" s="5">
        <v>1878.7</v>
      </c>
      <c r="F163" s="5">
        <v>1893</v>
      </c>
      <c r="G163" s="6">
        <v>44533</v>
      </c>
      <c r="H163" s="5">
        <f t="shared" si="23"/>
        <v>14.299999999999955</v>
      </c>
      <c r="I163" s="8" t="b">
        <f t="shared" ref="I163:I187" si="24">E163=F162</f>
        <v>1</v>
      </c>
    </row>
    <row r="164" spans="1:9">
      <c r="A164" s="5">
        <v>101</v>
      </c>
      <c r="B164" s="6">
        <v>44582</v>
      </c>
      <c r="C164" s="7">
        <v>0.7</v>
      </c>
      <c r="D164" s="5">
        <v>9.01</v>
      </c>
      <c r="E164" s="5">
        <v>1898</v>
      </c>
      <c r="F164" s="5">
        <v>1916.8</v>
      </c>
      <c r="G164" s="6">
        <v>44582</v>
      </c>
      <c r="H164" s="5">
        <f t="shared" si="23"/>
        <v>18.799999999999955</v>
      </c>
      <c r="I164" s="8" t="b">
        <f t="shared" si="24"/>
        <v>0</v>
      </c>
    </row>
    <row r="165" spans="1:9">
      <c r="A165" s="5">
        <v>101</v>
      </c>
      <c r="B165" s="6">
        <v>44584</v>
      </c>
      <c r="C165" s="7">
        <v>0.7</v>
      </c>
      <c r="D165" s="5">
        <v>9.01</v>
      </c>
      <c r="E165" s="5">
        <v>1916.8</v>
      </c>
      <c r="F165" s="5">
        <v>1936.2</v>
      </c>
      <c r="G165" s="6">
        <v>44584</v>
      </c>
      <c r="H165" s="5">
        <f t="shared" si="23"/>
        <v>19.400000000000091</v>
      </c>
      <c r="I165" s="8" t="b">
        <f t="shared" si="24"/>
        <v>1</v>
      </c>
    </row>
    <row r="166" spans="1:9">
      <c r="A166" s="5">
        <v>101</v>
      </c>
      <c r="B166" s="6">
        <v>44587</v>
      </c>
      <c r="C166" s="7">
        <v>0.7</v>
      </c>
      <c r="D166" s="5">
        <v>9.01</v>
      </c>
      <c r="E166" s="5">
        <v>1936.2</v>
      </c>
      <c r="F166" s="5">
        <v>1948.1</v>
      </c>
      <c r="G166" s="6">
        <v>44587</v>
      </c>
      <c r="H166" s="5">
        <f t="shared" si="23"/>
        <v>11.899999999999864</v>
      </c>
      <c r="I166" s="8" t="b">
        <f t="shared" si="24"/>
        <v>1</v>
      </c>
    </row>
    <row r="167" spans="1:9">
      <c r="A167" s="5">
        <v>101</v>
      </c>
      <c r="B167" s="6">
        <v>44591</v>
      </c>
      <c r="C167" s="7">
        <v>0.7</v>
      </c>
      <c r="D167" s="5">
        <v>9.01</v>
      </c>
      <c r="E167" s="5">
        <v>0.1</v>
      </c>
      <c r="F167" s="5">
        <v>18.3</v>
      </c>
      <c r="G167" s="6">
        <v>44591</v>
      </c>
      <c r="H167" s="5">
        <f t="shared" si="23"/>
        <v>18.2</v>
      </c>
      <c r="I167" s="8" t="b">
        <f t="shared" si="24"/>
        <v>0</v>
      </c>
    </row>
    <row r="168" spans="1:9">
      <c r="A168" s="5">
        <v>101</v>
      </c>
      <c r="B168" s="6">
        <v>44597</v>
      </c>
      <c r="C168" s="7">
        <v>0.7</v>
      </c>
      <c r="D168" s="5">
        <v>9.01</v>
      </c>
      <c r="E168" s="5">
        <v>18.3</v>
      </c>
      <c r="F168" s="5">
        <v>36.1</v>
      </c>
      <c r="G168" s="6">
        <v>44597</v>
      </c>
      <c r="H168" s="5">
        <f t="shared" si="23"/>
        <v>17.8</v>
      </c>
      <c r="I168" s="8" t="b">
        <f t="shared" si="24"/>
        <v>1</v>
      </c>
    </row>
    <row r="169" spans="1:9">
      <c r="A169" s="25">
        <v>101</v>
      </c>
      <c r="B169" s="26">
        <v>44599</v>
      </c>
      <c r="C169" s="27">
        <v>1</v>
      </c>
      <c r="D169" s="25">
        <v>5.8</v>
      </c>
      <c r="E169" s="25">
        <v>36.1</v>
      </c>
      <c r="F169" s="25">
        <v>49</v>
      </c>
      <c r="G169" s="26">
        <v>44568</v>
      </c>
      <c r="H169" s="25">
        <f t="shared" si="23"/>
        <v>12.899999999999999</v>
      </c>
      <c r="I169" s="8" t="b">
        <f t="shared" si="24"/>
        <v>1</v>
      </c>
    </row>
    <row r="170" spans="1:9">
      <c r="A170" s="5">
        <v>101</v>
      </c>
      <c r="B170" s="6">
        <v>44617</v>
      </c>
      <c r="C170" s="7">
        <v>0.8</v>
      </c>
      <c r="D170" s="5">
        <v>7.89</v>
      </c>
      <c r="E170" s="5">
        <v>49</v>
      </c>
      <c r="F170" s="5">
        <v>63.3</v>
      </c>
      <c r="G170" s="6">
        <v>44617</v>
      </c>
      <c r="H170" s="5">
        <f t="shared" si="23"/>
        <v>14.299999999999997</v>
      </c>
      <c r="I170" s="8" t="b">
        <f t="shared" si="24"/>
        <v>1</v>
      </c>
    </row>
    <row r="171" spans="1:9">
      <c r="A171" s="5">
        <v>101</v>
      </c>
      <c r="B171" s="6">
        <v>44620</v>
      </c>
      <c r="C171" s="7">
        <v>0.8</v>
      </c>
      <c r="D171" s="5">
        <v>7.89</v>
      </c>
      <c r="E171" s="5">
        <v>63.3</v>
      </c>
      <c r="F171" s="5">
        <v>79.599999999999994</v>
      </c>
      <c r="G171" s="6">
        <v>44620</v>
      </c>
      <c r="H171" s="5">
        <f t="shared" si="23"/>
        <v>16.299999999999997</v>
      </c>
      <c r="I171" s="8" t="b">
        <f t="shared" si="24"/>
        <v>1</v>
      </c>
    </row>
    <row r="172" spans="1:9">
      <c r="A172" s="5">
        <v>101</v>
      </c>
      <c r="B172" s="6">
        <v>44623</v>
      </c>
      <c r="C172" s="7">
        <v>0.8</v>
      </c>
      <c r="D172" s="5">
        <v>7.25</v>
      </c>
      <c r="E172" s="5">
        <v>79.599999999999994</v>
      </c>
      <c r="F172" s="5">
        <v>94.9</v>
      </c>
      <c r="G172" s="6">
        <v>44623</v>
      </c>
      <c r="H172" s="5">
        <f t="shared" si="23"/>
        <v>15.300000000000011</v>
      </c>
      <c r="I172" s="8" t="b">
        <f t="shared" si="24"/>
        <v>1</v>
      </c>
    </row>
    <row r="173" spans="1:9">
      <c r="A173" s="5">
        <v>101</v>
      </c>
      <c r="B173" s="6">
        <v>44625</v>
      </c>
      <c r="C173" s="7">
        <v>0.8</v>
      </c>
      <c r="D173" s="5">
        <v>7.25</v>
      </c>
      <c r="E173" s="5">
        <v>94.9</v>
      </c>
      <c r="F173" s="5">
        <v>109.3</v>
      </c>
      <c r="G173" s="6">
        <v>44625</v>
      </c>
      <c r="H173" s="5">
        <f t="shared" si="23"/>
        <v>14.399999999999991</v>
      </c>
      <c r="I173" s="8" t="b">
        <f t="shared" si="24"/>
        <v>1</v>
      </c>
    </row>
    <row r="174" spans="1:9">
      <c r="A174" s="5">
        <v>101</v>
      </c>
      <c r="B174" s="6">
        <v>44628</v>
      </c>
      <c r="C174" s="7">
        <v>0.8</v>
      </c>
      <c r="D174" s="5">
        <v>7.25</v>
      </c>
      <c r="E174" s="5">
        <v>109.3</v>
      </c>
      <c r="F174" s="5">
        <v>125.3</v>
      </c>
      <c r="G174" s="6">
        <v>44628</v>
      </c>
      <c r="H174" s="5">
        <f t="shared" si="23"/>
        <v>16</v>
      </c>
      <c r="I174" s="8" t="b">
        <f t="shared" si="24"/>
        <v>1</v>
      </c>
    </row>
    <row r="175" spans="1:9">
      <c r="A175" s="5">
        <v>101</v>
      </c>
      <c r="B175" s="6">
        <v>44631</v>
      </c>
      <c r="C175" s="7">
        <v>0.8</v>
      </c>
      <c r="D175" s="5">
        <v>789</v>
      </c>
      <c r="E175" s="5">
        <v>125.3</v>
      </c>
      <c r="F175" s="5">
        <v>141.1</v>
      </c>
      <c r="G175" s="6">
        <v>44631</v>
      </c>
      <c r="H175" s="5">
        <f t="shared" si="23"/>
        <v>15.799999999999997</v>
      </c>
      <c r="I175" s="8" t="b">
        <f t="shared" si="24"/>
        <v>1</v>
      </c>
    </row>
    <row r="176" spans="1:9">
      <c r="A176" s="25">
        <v>101</v>
      </c>
      <c r="B176" s="26">
        <v>44634</v>
      </c>
      <c r="C176" s="27">
        <v>1</v>
      </c>
      <c r="D176" s="25">
        <v>6.31</v>
      </c>
      <c r="E176" s="25">
        <v>141.1</v>
      </c>
      <c r="F176" s="25">
        <v>154.19999999999999</v>
      </c>
      <c r="G176" s="26">
        <v>44634</v>
      </c>
      <c r="H176" s="25">
        <f t="shared" ref="H176:H187" si="25">F176-E176</f>
        <v>13.099999999999994</v>
      </c>
      <c r="I176" s="8" t="b">
        <f t="shared" si="24"/>
        <v>1</v>
      </c>
    </row>
    <row r="177" spans="1:9">
      <c r="A177" s="5">
        <v>101</v>
      </c>
      <c r="B177" s="6">
        <v>44636</v>
      </c>
      <c r="C177" s="7">
        <v>0.8</v>
      </c>
      <c r="D177" s="5">
        <v>7.89</v>
      </c>
      <c r="E177" s="5">
        <v>154.19999999999999</v>
      </c>
      <c r="F177" s="5">
        <v>169.4</v>
      </c>
      <c r="G177" s="6">
        <v>44636</v>
      </c>
      <c r="H177" s="5">
        <f t="shared" si="25"/>
        <v>15.200000000000017</v>
      </c>
      <c r="I177" s="8" t="b">
        <f t="shared" si="24"/>
        <v>1</v>
      </c>
    </row>
    <row r="178" spans="1:9">
      <c r="A178" s="5">
        <v>101</v>
      </c>
      <c r="B178" s="6">
        <v>44640</v>
      </c>
      <c r="C178" s="7">
        <v>0.7</v>
      </c>
      <c r="D178" s="5">
        <v>9.01</v>
      </c>
      <c r="E178" s="5">
        <v>169.4</v>
      </c>
      <c r="F178" s="5">
        <v>187</v>
      </c>
      <c r="G178" s="6">
        <v>44640</v>
      </c>
      <c r="H178" s="5">
        <f t="shared" si="25"/>
        <v>17.599999999999994</v>
      </c>
      <c r="I178" s="8" t="b">
        <f t="shared" si="24"/>
        <v>1</v>
      </c>
    </row>
    <row r="179" spans="1:9">
      <c r="A179" s="5">
        <v>101</v>
      </c>
      <c r="B179" s="6">
        <v>44643</v>
      </c>
      <c r="C179" s="7">
        <v>0.7</v>
      </c>
      <c r="D179" s="5">
        <v>9.01</v>
      </c>
      <c r="E179" s="5">
        <v>187</v>
      </c>
      <c r="F179" s="5">
        <v>205.8</v>
      </c>
      <c r="G179" s="6">
        <v>44643</v>
      </c>
      <c r="H179" s="5">
        <f t="shared" si="25"/>
        <v>18.800000000000011</v>
      </c>
      <c r="I179" s="8" t="b">
        <f t="shared" si="24"/>
        <v>1</v>
      </c>
    </row>
    <row r="180" spans="1:9">
      <c r="A180" s="5">
        <v>101</v>
      </c>
      <c r="B180" s="6">
        <v>44646</v>
      </c>
      <c r="C180" s="7">
        <v>0.7</v>
      </c>
      <c r="D180" s="5">
        <v>9.01</v>
      </c>
      <c r="E180" s="5">
        <v>205.8</v>
      </c>
      <c r="F180" s="5">
        <v>223.2</v>
      </c>
      <c r="G180" s="6">
        <v>44646</v>
      </c>
      <c r="H180" s="5">
        <f t="shared" si="25"/>
        <v>17.399999999999977</v>
      </c>
      <c r="I180" s="8" t="b">
        <f t="shared" si="24"/>
        <v>1</v>
      </c>
    </row>
    <row r="181" spans="1:9">
      <c r="A181" s="5">
        <v>101</v>
      </c>
      <c r="B181" s="6">
        <v>44648</v>
      </c>
      <c r="C181" s="7">
        <v>0.7</v>
      </c>
      <c r="D181" s="5">
        <v>9.01</v>
      </c>
      <c r="E181" s="5">
        <v>223.2</v>
      </c>
      <c r="F181" s="5">
        <v>240.6</v>
      </c>
      <c r="G181" s="6">
        <v>44648</v>
      </c>
      <c r="H181" s="5">
        <f t="shared" si="25"/>
        <v>17.400000000000006</v>
      </c>
      <c r="I181" s="8" t="b">
        <f t="shared" si="24"/>
        <v>1</v>
      </c>
    </row>
    <row r="182" spans="1:9">
      <c r="A182" s="5">
        <v>101</v>
      </c>
      <c r="B182" s="6">
        <v>44651</v>
      </c>
      <c r="C182" s="7">
        <v>0.7</v>
      </c>
      <c r="D182" s="5">
        <v>9.01</v>
      </c>
      <c r="E182" s="5">
        <v>243</v>
      </c>
      <c r="F182" s="5">
        <v>257.60000000000002</v>
      </c>
      <c r="G182" s="6">
        <v>44651</v>
      </c>
      <c r="H182" s="5">
        <f t="shared" si="25"/>
        <v>14.600000000000023</v>
      </c>
      <c r="I182" s="8" t="b">
        <f t="shared" si="24"/>
        <v>0</v>
      </c>
    </row>
    <row r="183" spans="1:9">
      <c r="A183" s="39">
        <v>101</v>
      </c>
      <c r="B183" s="40"/>
      <c r="C183" s="41"/>
      <c r="D183" s="39"/>
      <c r="E183" s="39"/>
      <c r="F183" s="39"/>
      <c r="G183" s="40"/>
      <c r="H183" s="39">
        <f t="shared" si="25"/>
        <v>0</v>
      </c>
      <c r="I183" s="8" t="b">
        <f t="shared" si="24"/>
        <v>0</v>
      </c>
    </row>
    <row r="184" spans="1:9">
      <c r="A184" s="39">
        <v>101</v>
      </c>
      <c r="B184" s="40"/>
      <c r="C184" s="41"/>
      <c r="D184" s="39"/>
      <c r="E184" s="39"/>
      <c r="F184" s="39"/>
      <c r="G184" s="40"/>
      <c r="H184" s="39">
        <f t="shared" si="25"/>
        <v>0</v>
      </c>
      <c r="I184" s="8" t="b">
        <f t="shared" si="24"/>
        <v>1</v>
      </c>
    </row>
    <row r="185" spans="1:9">
      <c r="A185" s="39">
        <v>101</v>
      </c>
      <c r="B185" s="40"/>
      <c r="C185" s="41"/>
      <c r="D185" s="39"/>
      <c r="E185" s="39"/>
      <c r="F185" s="39"/>
      <c r="G185" s="40"/>
      <c r="H185" s="39">
        <f t="shared" si="25"/>
        <v>0</v>
      </c>
      <c r="I185" s="8" t="b">
        <f t="shared" si="24"/>
        <v>1</v>
      </c>
    </row>
    <row r="186" spans="1:9">
      <c r="A186" s="39">
        <v>101</v>
      </c>
      <c r="B186" s="40"/>
      <c r="C186" s="41"/>
      <c r="D186" s="39"/>
      <c r="E186" s="39"/>
      <c r="F186" s="39"/>
      <c r="G186" s="40"/>
      <c r="H186" s="39">
        <f t="shared" si="25"/>
        <v>0</v>
      </c>
      <c r="I186" s="8" t="b">
        <f t="shared" si="24"/>
        <v>1</v>
      </c>
    </row>
    <row r="187" spans="1:9">
      <c r="A187" s="39">
        <v>101</v>
      </c>
      <c r="B187" s="40"/>
      <c r="C187" s="41"/>
      <c r="D187" s="39"/>
      <c r="E187" s="39"/>
      <c r="F187" s="39"/>
      <c r="G187" s="40"/>
      <c r="H187" s="39">
        <f t="shared" si="25"/>
        <v>0</v>
      </c>
      <c r="I187" s="8" t="b">
        <f t="shared" si="24"/>
        <v>1</v>
      </c>
    </row>
    <row r="188" spans="1:9">
      <c r="A188" s="5">
        <v>101</v>
      </c>
      <c r="B188" s="6">
        <v>44674</v>
      </c>
      <c r="C188" s="7">
        <v>0.55000000000000004</v>
      </c>
      <c r="D188" s="5">
        <v>11.47</v>
      </c>
      <c r="E188" s="5">
        <v>152.80000000000001</v>
      </c>
      <c r="F188" s="5">
        <v>164.7</v>
      </c>
      <c r="G188" s="6">
        <v>44674</v>
      </c>
      <c r="H188" s="5">
        <f t="shared" ref="H188:H193" si="26">F188-E188</f>
        <v>11.899999999999977</v>
      </c>
      <c r="I188" s="8" t="b">
        <f>E188=F187</f>
        <v>0</v>
      </c>
    </row>
    <row r="189" spans="1:9">
      <c r="A189" s="5">
        <v>101</v>
      </c>
      <c r="B189" s="6">
        <v>44676</v>
      </c>
      <c r="C189" s="7">
        <v>0.55000000000000004</v>
      </c>
      <c r="D189" s="5">
        <v>11.47</v>
      </c>
      <c r="E189" s="5">
        <v>164.7</v>
      </c>
      <c r="F189" s="5">
        <v>178.7</v>
      </c>
      <c r="G189" s="6">
        <v>44676</v>
      </c>
      <c r="H189" s="5">
        <f t="shared" si="26"/>
        <v>14</v>
      </c>
      <c r="I189" s="8" t="b">
        <f t="shared" ref="I189:I214" si="27">E189=F188</f>
        <v>1</v>
      </c>
    </row>
    <row r="190" spans="1:9">
      <c r="A190" s="5">
        <v>101</v>
      </c>
      <c r="B190" s="6">
        <v>44677</v>
      </c>
      <c r="C190" s="7">
        <v>0.55000000000000004</v>
      </c>
      <c r="D190" s="5">
        <v>11.47</v>
      </c>
      <c r="E190" s="5">
        <v>178.7</v>
      </c>
      <c r="F190" s="5">
        <v>187.7</v>
      </c>
      <c r="G190" s="6">
        <v>44677</v>
      </c>
      <c r="H190" s="5">
        <f t="shared" si="26"/>
        <v>9</v>
      </c>
      <c r="I190" s="8" t="b">
        <f t="shared" si="27"/>
        <v>1</v>
      </c>
    </row>
    <row r="191" spans="1:9">
      <c r="A191" s="5">
        <v>101</v>
      </c>
      <c r="B191" s="6">
        <v>44679</v>
      </c>
      <c r="C191" s="7">
        <v>0.55000000000000004</v>
      </c>
      <c r="D191" s="5">
        <v>11.47</v>
      </c>
      <c r="E191" s="5">
        <v>187.7</v>
      </c>
      <c r="F191" s="5">
        <v>198.2</v>
      </c>
      <c r="G191" s="6">
        <v>44679</v>
      </c>
      <c r="H191" s="5">
        <f t="shared" si="26"/>
        <v>10.5</v>
      </c>
      <c r="I191" s="8" t="b">
        <f t="shared" si="27"/>
        <v>1</v>
      </c>
    </row>
    <row r="192" spans="1:9">
      <c r="A192" s="5">
        <v>101</v>
      </c>
      <c r="B192" s="6">
        <v>44680</v>
      </c>
      <c r="C192" s="7">
        <v>0.55000000000000004</v>
      </c>
      <c r="D192" s="5">
        <v>11.47</v>
      </c>
      <c r="E192" s="5">
        <v>198.2</v>
      </c>
      <c r="F192" s="5">
        <v>209.9</v>
      </c>
      <c r="G192" s="6">
        <v>44680</v>
      </c>
      <c r="H192" s="5">
        <f t="shared" si="26"/>
        <v>11.700000000000017</v>
      </c>
      <c r="I192" s="8" t="b">
        <f t="shared" si="27"/>
        <v>1</v>
      </c>
    </row>
    <row r="193" spans="1:9">
      <c r="A193" s="5">
        <v>101</v>
      </c>
      <c r="B193" s="6">
        <v>44682</v>
      </c>
      <c r="C193" s="7">
        <v>0.5</v>
      </c>
      <c r="D193" s="5">
        <v>11.6</v>
      </c>
      <c r="E193" s="5">
        <v>209.9</v>
      </c>
      <c r="F193" s="5">
        <v>221</v>
      </c>
      <c r="G193" s="6">
        <v>44682</v>
      </c>
      <c r="H193" s="5">
        <f t="shared" si="26"/>
        <v>11.099999999999994</v>
      </c>
      <c r="I193" s="8" t="b">
        <f t="shared" si="27"/>
        <v>1</v>
      </c>
    </row>
    <row r="194" spans="1:9">
      <c r="A194" s="5">
        <v>101</v>
      </c>
      <c r="B194" s="6">
        <v>44683</v>
      </c>
      <c r="C194" s="7">
        <v>0.55000000000000004</v>
      </c>
      <c r="D194" s="5">
        <v>11.47</v>
      </c>
      <c r="E194" s="5">
        <v>221</v>
      </c>
      <c r="F194" s="5">
        <v>232.7</v>
      </c>
      <c r="G194" s="6">
        <v>44683</v>
      </c>
      <c r="H194" s="5">
        <f t="shared" ref="H194:H214" si="28">F194-E194</f>
        <v>11.699999999999989</v>
      </c>
      <c r="I194" s="8" t="b">
        <f t="shared" si="27"/>
        <v>1</v>
      </c>
    </row>
    <row r="195" spans="1:9">
      <c r="A195" s="5">
        <v>101</v>
      </c>
      <c r="B195" s="6">
        <v>44685</v>
      </c>
      <c r="C195" s="7">
        <v>0.55000000000000004</v>
      </c>
      <c r="D195" s="5">
        <v>11.47</v>
      </c>
      <c r="E195" s="5">
        <v>232.7</v>
      </c>
      <c r="F195" s="5">
        <v>243.7</v>
      </c>
      <c r="G195" s="6">
        <v>44685</v>
      </c>
      <c r="H195" s="5">
        <f t="shared" si="28"/>
        <v>11</v>
      </c>
      <c r="I195" s="8" t="b">
        <f t="shared" si="27"/>
        <v>1</v>
      </c>
    </row>
    <row r="196" spans="1:9">
      <c r="A196" s="5">
        <v>101</v>
      </c>
      <c r="B196" s="6">
        <v>44686</v>
      </c>
      <c r="C196" s="7">
        <v>0.55000000000000004</v>
      </c>
      <c r="D196" s="5">
        <v>11.47</v>
      </c>
      <c r="E196" s="5">
        <v>243.7</v>
      </c>
      <c r="F196" s="5">
        <v>255.4</v>
      </c>
      <c r="G196" s="6">
        <v>44686</v>
      </c>
      <c r="H196" s="5">
        <f t="shared" si="28"/>
        <v>11.700000000000017</v>
      </c>
      <c r="I196" s="8" t="b">
        <f t="shared" si="27"/>
        <v>1</v>
      </c>
    </row>
    <row r="197" spans="1:9">
      <c r="A197" s="5">
        <v>101</v>
      </c>
      <c r="B197" s="6">
        <v>44688</v>
      </c>
      <c r="C197" s="7">
        <v>0.55000000000000004</v>
      </c>
      <c r="D197" s="5">
        <v>11.47</v>
      </c>
      <c r="E197" s="5">
        <v>255.4</v>
      </c>
      <c r="F197" s="5">
        <v>267.10000000000002</v>
      </c>
      <c r="G197" s="6">
        <v>44688</v>
      </c>
      <c r="H197" s="5">
        <f t="shared" si="28"/>
        <v>11.700000000000017</v>
      </c>
      <c r="I197" s="8" t="b">
        <f t="shared" si="27"/>
        <v>1</v>
      </c>
    </row>
    <row r="198" spans="1:9">
      <c r="A198" s="5">
        <v>101</v>
      </c>
      <c r="B198" s="6">
        <v>44690</v>
      </c>
      <c r="C198" s="7">
        <v>0.55000000000000004</v>
      </c>
      <c r="D198" s="5">
        <v>11.47</v>
      </c>
      <c r="E198" s="5">
        <v>267.10000000000002</v>
      </c>
      <c r="F198" s="5">
        <v>278.2</v>
      </c>
      <c r="G198" s="6">
        <v>44690</v>
      </c>
      <c r="H198" s="5">
        <f t="shared" si="28"/>
        <v>11.099999999999966</v>
      </c>
      <c r="I198" s="8" t="b">
        <f t="shared" si="27"/>
        <v>1</v>
      </c>
    </row>
    <row r="199" spans="1:9">
      <c r="A199" s="5">
        <v>101</v>
      </c>
      <c r="B199" s="6">
        <v>44692</v>
      </c>
      <c r="C199" s="7">
        <v>0.55000000000000004</v>
      </c>
      <c r="D199" s="5">
        <v>11.47</v>
      </c>
      <c r="E199" s="5">
        <v>278.2</v>
      </c>
      <c r="F199" s="5">
        <v>290.8</v>
      </c>
      <c r="G199" s="6">
        <v>44692</v>
      </c>
      <c r="H199" s="5">
        <f t="shared" si="28"/>
        <v>12.600000000000023</v>
      </c>
      <c r="I199" s="8" t="b">
        <f t="shared" si="27"/>
        <v>1</v>
      </c>
    </row>
    <row r="200" spans="1:9">
      <c r="A200" s="5">
        <v>101</v>
      </c>
      <c r="B200" s="6">
        <v>44695</v>
      </c>
      <c r="C200" s="7">
        <v>0.7</v>
      </c>
      <c r="D200" s="5">
        <v>9.01</v>
      </c>
      <c r="E200" s="5">
        <v>290.8</v>
      </c>
      <c r="F200" s="5">
        <v>308.60000000000002</v>
      </c>
      <c r="G200" s="6">
        <v>44695</v>
      </c>
      <c r="H200" s="5">
        <f t="shared" si="28"/>
        <v>17.800000000000011</v>
      </c>
      <c r="I200" s="8" t="b">
        <f t="shared" si="27"/>
        <v>1</v>
      </c>
    </row>
    <row r="201" spans="1:9">
      <c r="A201" s="5">
        <v>101</v>
      </c>
      <c r="B201" s="6">
        <v>44697</v>
      </c>
      <c r="C201" s="7">
        <v>0.7</v>
      </c>
      <c r="D201" s="5">
        <v>9.01</v>
      </c>
      <c r="E201" s="5">
        <v>0.1</v>
      </c>
      <c r="F201" s="5">
        <v>17.899999999999999</v>
      </c>
      <c r="G201" s="6">
        <v>44697</v>
      </c>
      <c r="H201" s="5">
        <f t="shared" si="28"/>
        <v>17.799999999999997</v>
      </c>
      <c r="I201" s="8" t="b">
        <f>E201=F200</f>
        <v>0</v>
      </c>
    </row>
    <row r="202" spans="1:9">
      <c r="A202" s="5">
        <v>101</v>
      </c>
      <c r="B202" s="6">
        <v>44699</v>
      </c>
      <c r="C202" s="7">
        <v>0.7</v>
      </c>
      <c r="D202" s="5">
        <v>9.01</v>
      </c>
      <c r="E202" s="5">
        <v>17.899999999999999</v>
      </c>
      <c r="F202" s="5">
        <v>35</v>
      </c>
      <c r="G202" s="6">
        <v>44730</v>
      </c>
      <c r="H202" s="5">
        <f t="shared" si="28"/>
        <v>17.100000000000001</v>
      </c>
      <c r="I202" s="8" t="b">
        <f t="shared" si="27"/>
        <v>1</v>
      </c>
    </row>
    <row r="203" spans="1:9">
      <c r="A203" s="5">
        <v>101</v>
      </c>
      <c r="B203" s="6">
        <v>44702</v>
      </c>
      <c r="C203" s="7">
        <v>0.7</v>
      </c>
      <c r="D203" s="5">
        <v>9.01</v>
      </c>
      <c r="E203" s="5">
        <v>35</v>
      </c>
      <c r="F203" s="5">
        <v>52</v>
      </c>
      <c r="G203" s="6">
        <v>44702</v>
      </c>
      <c r="H203" s="5">
        <f t="shared" si="28"/>
        <v>17</v>
      </c>
      <c r="I203" s="8" t="b">
        <f t="shared" si="27"/>
        <v>1</v>
      </c>
    </row>
    <row r="204" spans="1:9">
      <c r="A204" s="5">
        <v>101</v>
      </c>
      <c r="B204" s="6">
        <v>44705</v>
      </c>
      <c r="C204" s="7">
        <v>0.7</v>
      </c>
      <c r="D204" s="5">
        <v>9.01</v>
      </c>
      <c r="E204" s="5">
        <v>52</v>
      </c>
      <c r="F204" s="5">
        <v>69</v>
      </c>
      <c r="G204" s="6">
        <v>44705</v>
      </c>
      <c r="H204" s="5">
        <f t="shared" si="28"/>
        <v>17</v>
      </c>
      <c r="I204" s="8" t="b">
        <f t="shared" si="27"/>
        <v>1</v>
      </c>
    </row>
    <row r="205" spans="1:9">
      <c r="A205" s="5">
        <v>101</v>
      </c>
      <c r="B205" s="6">
        <v>44707</v>
      </c>
      <c r="C205" s="7">
        <v>0.7</v>
      </c>
      <c r="D205" s="5">
        <v>9.01</v>
      </c>
      <c r="E205" s="5">
        <v>6</v>
      </c>
      <c r="F205" s="5">
        <v>23</v>
      </c>
      <c r="G205" s="6">
        <v>44707</v>
      </c>
      <c r="H205" s="5">
        <f t="shared" si="28"/>
        <v>17</v>
      </c>
      <c r="I205" s="8" t="b">
        <f>E205=F204</f>
        <v>0</v>
      </c>
    </row>
    <row r="206" spans="1:9">
      <c r="A206" s="5">
        <v>101</v>
      </c>
      <c r="B206" s="6">
        <v>44740</v>
      </c>
      <c r="C206" s="7">
        <v>0.7</v>
      </c>
      <c r="D206" s="5">
        <v>9.01</v>
      </c>
      <c r="E206" s="5">
        <v>23</v>
      </c>
      <c r="F206" s="5">
        <v>40</v>
      </c>
      <c r="G206" s="6">
        <v>44709</v>
      </c>
      <c r="H206" s="5">
        <f t="shared" si="28"/>
        <v>17</v>
      </c>
      <c r="I206" s="8" t="b">
        <f t="shared" si="27"/>
        <v>1</v>
      </c>
    </row>
    <row r="207" spans="1:9">
      <c r="A207" s="5">
        <v>101</v>
      </c>
      <c r="B207" s="6">
        <v>44711</v>
      </c>
      <c r="C207" s="7">
        <v>0.7</v>
      </c>
      <c r="D207" s="5">
        <v>9.01</v>
      </c>
      <c r="E207" s="5">
        <v>40</v>
      </c>
      <c r="F207" s="5">
        <v>57.6</v>
      </c>
      <c r="G207" s="6">
        <v>44711</v>
      </c>
      <c r="H207" s="5">
        <f t="shared" si="28"/>
        <v>17.600000000000001</v>
      </c>
      <c r="I207" s="8" t="b">
        <f t="shared" si="27"/>
        <v>1</v>
      </c>
    </row>
    <row r="208" spans="1:9">
      <c r="A208" s="5">
        <v>101</v>
      </c>
      <c r="B208" s="6">
        <v>44734</v>
      </c>
      <c r="C208" s="7">
        <v>0.7</v>
      </c>
      <c r="D208" s="5">
        <v>9.01</v>
      </c>
      <c r="E208" s="5">
        <v>57.6</v>
      </c>
      <c r="F208" s="5">
        <v>75.099999999999994</v>
      </c>
      <c r="G208" s="6">
        <v>44734</v>
      </c>
      <c r="H208" s="5">
        <f t="shared" si="28"/>
        <v>17.499999999999993</v>
      </c>
      <c r="I208" s="8" t="b">
        <f t="shared" si="27"/>
        <v>1</v>
      </c>
    </row>
    <row r="209" spans="1:9">
      <c r="A209" s="5">
        <v>101</v>
      </c>
      <c r="B209" s="6">
        <v>44735</v>
      </c>
      <c r="C209" s="7">
        <v>0.8</v>
      </c>
      <c r="D209" s="5">
        <v>7.89</v>
      </c>
      <c r="E209" s="5">
        <v>75.099999999999994</v>
      </c>
      <c r="F209" s="5">
        <v>84.6</v>
      </c>
      <c r="G209" s="6">
        <v>44735</v>
      </c>
      <c r="H209" s="5">
        <f t="shared" si="28"/>
        <v>9.5</v>
      </c>
      <c r="I209" s="8" t="b">
        <f t="shared" si="27"/>
        <v>1</v>
      </c>
    </row>
    <row r="210" spans="1:9">
      <c r="A210" s="5">
        <v>101</v>
      </c>
      <c r="B210" s="6">
        <v>44737</v>
      </c>
      <c r="C210" s="7">
        <v>0.6</v>
      </c>
      <c r="D210" s="5">
        <v>10.52</v>
      </c>
      <c r="E210" s="5">
        <v>84.6</v>
      </c>
      <c r="F210" s="5">
        <v>92.3</v>
      </c>
      <c r="G210" s="6">
        <v>44737</v>
      </c>
      <c r="H210" s="5">
        <f t="shared" si="28"/>
        <v>7.7000000000000028</v>
      </c>
      <c r="I210" s="8" t="b">
        <f t="shared" si="27"/>
        <v>1</v>
      </c>
    </row>
    <row r="211" spans="1:9">
      <c r="A211" s="5">
        <v>101</v>
      </c>
      <c r="B211" s="6">
        <v>44738</v>
      </c>
      <c r="C211" s="7">
        <v>0.6</v>
      </c>
      <c r="D211" s="5">
        <v>10.52</v>
      </c>
      <c r="E211" s="5">
        <v>92.3</v>
      </c>
      <c r="F211" s="5">
        <v>104.3</v>
      </c>
      <c r="G211" s="6">
        <v>44738</v>
      </c>
      <c r="H211" s="5">
        <f t="shared" si="28"/>
        <v>12</v>
      </c>
      <c r="I211" s="8" t="b">
        <f t="shared" si="27"/>
        <v>1</v>
      </c>
    </row>
    <row r="212" spans="1:9">
      <c r="A212" s="5">
        <v>101</v>
      </c>
      <c r="B212" s="6">
        <v>44741</v>
      </c>
      <c r="C212" s="7">
        <v>0.6</v>
      </c>
      <c r="D212" s="5">
        <v>10.52</v>
      </c>
      <c r="E212" s="5">
        <v>104.3</v>
      </c>
      <c r="F212" s="5">
        <v>114.6</v>
      </c>
      <c r="G212" s="6">
        <v>44741</v>
      </c>
      <c r="H212" s="5">
        <f t="shared" si="28"/>
        <v>10.299999999999997</v>
      </c>
      <c r="I212" s="8" t="b">
        <f t="shared" si="27"/>
        <v>1</v>
      </c>
    </row>
    <row r="213" spans="1:9">
      <c r="A213" s="5">
        <v>101</v>
      </c>
      <c r="B213" s="6"/>
      <c r="C213" s="7"/>
      <c r="D213" s="5"/>
      <c r="E213" s="5"/>
      <c r="F213" s="5"/>
      <c r="G213" s="6"/>
      <c r="H213" s="5">
        <f t="shared" si="28"/>
        <v>0</v>
      </c>
      <c r="I213" s="8" t="b">
        <f t="shared" si="27"/>
        <v>0</v>
      </c>
    </row>
    <row r="214" spans="1:9">
      <c r="A214" s="5">
        <v>101</v>
      </c>
      <c r="B214" s="6"/>
      <c r="C214" s="7"/>
      <c r="D214" s="5"/>
      <c r="E214" s="5"/>
      <c r="F214" s="5"/>
      <c r="G214" s="6"/>
      <c r="H214" s="5">
        <f t="shared" si="28"/>
        <v>0</v>
      </c>
      <c r="I214" s="8" t="b">
        <f t="shared" si="27"/>
        <v>1</v>
      </c>
    </row>
    <row r="216" spans="1:9" ht="26.25">
      <c r="A216" s="135" t="s">
        <v>0</v>
      </c>
      <c r="B216" s="136"/>
      <c r="C216" s="136"/>
      <c r="D216" s="136"/>
      <c r="E216" s="136"/>
      <c r="F216" s="136"/>
      <c r="G216" s="136"/>
      <c r="H216" s="136"/>
      <c r="I216" s="137"/>
    </row>
    <row r="217" spans="1:9" ht="26.25">
      <c r="A217" s="138" t="s">
        <v>16</v>
      </c>
      <c r="B217" s="139"/>
      <c r="C217" s="139"/>
      <c r="D217" s="139"/>
      <c r="E217" s="139"/>
      <c r="F217" s="139"/>
      <c r="G217" s="139"/>
      <c r="H217" s="139"/>
      <c r="I217" s="140"/>
    </row>
    <row r="218" spans="1:9" ht="15.75" thickBot="1"/>
    <row r="219" spans="1:9" ht="15.75" thickBot="1">
      <c r="A219" s="132" t="s">
        <v>2</v>
      </c>
      <c r="B219" s="133"/>
      <c r="C219" s="133"/>
      <c r="D219" s="133"/>
      <c r="E219" s="133"/>
      <c r="F219" s="133"/>
      <c r="G219" s="133"/>
      <c r="H219" s="133"/>
      <c r="I219" s="134"/>
    </row>
    <row r="221" spans="1:9" ht="19.5" thickBot="1">
      <c r="A221" s="1" t="s">
        <v>3</v>
      </c>
      <c r="B221" s="1"/>
      <c r="C221" s="1"/>
      <c r="D221" s="1"/>
      <c r="E221" s="1"/>
      <c r="F221" s="1"/>
      <c r="G221" s="1"/>
    </row>
    <row r="222" spans="1:9" ht="30.75" thickBot="1">
      <c r="A222" s="2" t="s">
        <v>4</v>
      </c>
      <c r="B222" s="3" t="s">
        <v>5</v>
      </c>
      <c r="C222" s="3" t="s">
        <v>6</v>
      </c>
      <c r="D222" s="3" t="s">
        <v>7</v>
      </c>
      <c r="E222" s="3" t="s">
        <v>8</v>
      </c>
      <c r="F222" s="3" t="s">
        <v>9</v>
      </c>
      <c r="G222" s="3" t="s">
        <v>10</v>
      </c>
      <c r="H222" s="4" t="s">
        <v>11</v>
      </c>
      <c r="I222" s="4" t="s">
        <v>12</v>
      </c>
    </row>
    <row r="223" spans="1:9">
      <c r="A223" s="5">
        <v>101</v>
      </c>
      <c r="B223" s="6">
        <v>44744</v>
      </c>
      <c r="C223" s="7">
        <v>0.6</v>
      </c>
      <c r="D223" s="5">
        <v>10.52</v>
      </c>
      <c r="E223" s="5">
        <v>114.6</v>
      </c>
      <c r="F223" s="5">
        <v>135.9</v>
      </c>
      <c r="G223" s="6">
        <v>44744</v>
      </c>
      <c r="H223" s="5">
        <f>F223-E223</f>
        <v>21.300000000000011</v>
      </c>
      <c r="I223" s="8" t="b">
        <f>E223=F212</f>
        <v>1</v>
      </c>
    </row>
    <row r="224" spans="1:9">
      <c r="A224" s="5">
        <v>101</v>
      </c>
      <c r="B224" s="6">
        <v>44746</v>
      </c>
      <c r="C224" s="7">
        <v>0.5</v>
      </c>
      <c r="D224" s="5">
        <v>12.62</v>
      </c>
      <c r="E224" s="5">
        <v>135.9</v>
      </c>
      <c r="F224" s="5">
        <v>148.5</v>
      </c>
      <c r="G224" s="6">
        <v>44746</v>
      </c>
      <c r="H224" s="5">
        <f>F224-E224</f>
        <v>12.599999999999994</v>
      </c>
      <c r="I224" s="8" t="b">
        <f>E224=F223</f>
        <v>1</v>
      </c>
    </row>
    <row r="225" spans="1:9">
      <c r="A225" s="5">
        <v>101</v>
      </c>
      <c r="B225" s="6">
        <v>44747</v>
      </c>
      <c r="C225" s="7">
        <v>0.5</v>
      </c>
      <c r="D225" s="5">
        <v>12.62</v>
      </c>
      <c r="E225" s="5">
        <v>148.5</v>
      </c>
      <c r="F225" s="5">
        <v>158.80000000000001</v>
      </c>
      <c r="G225" s="6">
        <v>44747</v>
      </c>
      <c r="H225" s="5">
        <f t="shared" ref="H225:H243" si="29">F225-E225</f>
        <v>10.300000000000011</v>
      </c>
      <c r="I225" s="8" t="b">
        <f t="shared" ref="I225:I288" si="30">E225=F224</f>
        <v>1</v>
      </c>
    </row>
    <row r="226" spans="1:9">
      <c r="A226" s="5">
        <v>101</v>
      </c>
      <c r="B226" s="6">
        <v>44748</v>
      </c>
      <c r="C226" s="7">
        <v>1</v>
      </c>
      <c r="D226" s="5">
        <v>6.31</v>
      </c>
      <c r="E226" s="5">
        <v>158.80000000000001</v>
      </c>
      <c r="F226" s="5">
        <v>160.69999999999999</v>
      </c>
      <c r="G226" s="6">
        <v>44748</v>
      </c>
      <c r="H226" s="5">
        <f t="shared" si="29"/>
        <v>1.8999999999999773</v>
      </c>
      <c r="I226" s="8" t="b">
        <f t="shared" si="30"/>
        <v>1</v>
      </c>
    </row>
    <row r="227" spans="1:9">
      <c r="A227" s="5">
        <v>101</v>
      </c>
      <c r="B227" s="6">
        <v>44749</v>
      </c>
      <c r="C227" s="7">
        <v>1</v>
      </c>
      <c r="D227" s="5">
        <v>6.31</v>
      </c>
      <c r="E227" s="5">
        <v>160.69999999999999</v>
      </c>
      <c r="F227" s="5">
        <v>173.5</v>
      </c>
      <c r="G227" s="6">
        <v>44749</v>
      </c>
      <c r="H227" s="5">
        <f t="shared" si="29"/>
        <v>12.800000000000011</v>
      </c>
      <c r="I227" s="8" t="b">
        <f t="shared" si="30"/>
        <v>1</v>
      </c>
    </row>
    <row r="228" spans="1:9">
      <c r="A228" s="5">
        <v>101</v>
      </c>
      <c r="B228" s="6">
        <v>44750</v>
      </c>
      <c r="C228" s="7">
        <v>1</v>
      </c>
      <c r="D228" s="5">
        <v>6.31</v>
      </c>
      <c r="E228" s="5">
        <v>173.5</v>
      </c>
      <c r="F228" s="5">
        <v>186.9</v>
      </c>
      <c r="G228" s="6">
        <v>44750</v>
      </c>
      <c r="H228" s="5">
        <f t="shared" si="29"/>
        <v>13.400000000000006</v>
      </c>
      <c r="I228" s="8" t="b">
        <f t="shared" si="30"/>
        <v>1</v>
      </c>
    </row>
    <row r="229" spans="1:9">
      <c r="A229" s="5">
        <v>101</v>
      </c>
      <c r="B229" s="6">
        <v>44751</v>
      </c>
      <c r="C229" s="7">
        <v>1</v>
      </c>
      <c r="D229" s="5">
        <v>6.31</v>
      </c>
      <c r="E229" s="5">
        <v>186.9</v>
      </c>
      <c r="F229" s="5">
        <v>199</v>
      </c>
      <c r="G229" s="6">
        <v>44751</v>
      </c>
      <c r="H229" s="5">
        <f t="shared" si="29"/>
        <v>12.099999999999994</v>
      </c>
      <c r="I229" s="8" t="b">
        <f t="shared" si="30"/>
        <v>1</v>
      </c>
    </row>
    <row r="230" spans="1:9">
      <c r="A230" s="5">
        <v>101</v>
      </c>
      <c r="B230" s="6">
        <v>44752</v>
      </c>
      <c r="C230" s="7">
        <v>1</v>
      </c>
      <c r="D230" s="5">
        <v>6.31</v>
      </c>
      <c r="E230" s="5">
        <v>199</v>
      </c>
      <c r="F230" s="5">
        <v>211.2</v>
      </c>
      <c r="G230" s="6">
        <v>44752</v>
      </c>
      <c r="H230" s="5">
        <f t="shared" si="29"/>
        <v>12.199999999999989</v>
      </c>
      <c r="I230" s="8" t="b">
        <f t="shared" si="30"/>
        <v>1</v>
      </c>
    </row>
    <row r="231" spans="1:9">
      <c r="A231" s="5">
        <v>101</v>
      </c>
      <c r="B231" s="6">
        <v>44753</v>
      </c>
      <c r="C231" s="7">
        <v>1</v>
      </c>
      <c r="D231" s="5">
        <v>6.31</v>
      </c>
      <c r="E231" s="5">
        <v>211.2</v>
      </c>
      <c r="F231" s="5">
        <v>217.8</v>
      </c>
      <c r="G231" s="6">
        <v>44753</v>
      </c>
      <c r="H231" s="5">
        <f t="shared" si="29"/>
        <v>6.6000000000000227</v>
      </c>
      <c r="I231" s="8" t="b">
        <f t="shared" si="30"/>
        <v>1</v>
      </c>
    </row>
    <row r="232" spans="1:9">
      <c r="A232" s="5">
        <v>101</v>
      </c>
      <c r="B232" s="6">
        <v>44754</v>
      </c>
      <c r="C232" s="7">
        <v>1</v>
      </c>
      <c r="D232" s="5">
        <v>6.31</v>
      </c>
      <c r="E232" s="5">
        <v>217.8</v>
      </c>
      <c r="F232" s="5">
        <v>225.1</v>
      </c>
      <c r="G232" s="6">
        <v>44754</v>
      </c>
      <c r="H232" s="5">
        <f t="shared" si="29"/>
        <v>7.2999999999999829</v>
      </c>
      <c r="I232" s="8" t="b">
        <f t="shared" si="30"/>
        <v>1</v>
      </c>
    </row>
    <row r="233" spans="1:9">
      <c r="A233" s="5">
        <v>101</v>
      </c>
      <c r="B233" s="6">
        <v>44755</v>
      </c>
      <c r="C233" s="7">
        <v>1</v>
      </c>
      <c r="D233" s="5">
        <v>6.31</v>
      </c>
      <c r="E233" s="5">
        <v>225.1</v>
      </c>
      <c r="F233" s="5">
        <v>238.6</v>
      </c>
      <c r="G233" s="6">
        <v>44755</v>
      </c>
      <c r="H233" s="5">
        <f>F233-E233</f>
        <v>13.5</v>
      </c>
      <c r="I233" s="8" t="b">
        <f t="shared" si="30"/>
        <v>1</v>
      </c>
    </row>
    <row r="234" spans="1:9">
      <c r="A234" s="5">
        <v>101</v>
      </c>
      <c r="B234" s="6">
        <v>44756</v>
      </c>
      <c r="C234" s="7">
        <v>1</v>
      </c>
      <c r="D234" s="5">
        <v>6.31</v>
      </c>
      <c r="E234" s="5">
        <v>238.6</v>
      </c>
      <c r="F234" s="5">
        <v>250.6</v>
      </c>
      <c r="G234" s="6">
        <v>44756</v>
      </c>
      <c r="H234" s="5">
        <f t="shared" si="29"/>
        <v>12</v>
      </c>
      <c r="I234" s="8" t="b">
        <f t="shared" si="30"/>
        <v>1</v>
      </c>
    </row>
    <row r="235" spans="1:9">
      <c r="A235" s="5">
        <v>101</v>
      </c>
      <c r="B235" s="6">
        <v>44757</v>
      </c>
      <c r="C235" s="7">
        <v>1</v>
      </c>
      <c r="D235" s="5">
        <v>6.31</v>
      </c>
      <c r="E235" s="5">
        <v>250.6</v>
      </c>
      <c r="F235" s="5">
        <v>264</v>
      </c>
      <c r="G235" s="6">
        <v>44757</v>
      </c>
      <c r="H235" s="5">
        <f t="shared" si="29"/>
        <v>13.400000000000006</v>
      </c>
      <c r="I235" s="8" t="b">
        <f t="shared" si="30"/>
        <v>1</v>
      </c>
    </row>
    <row r="236" spans="1:9">
      <c r="A236" s="5">
        <v>101</v>
      </c>
      <c r="B236" s="6">
        <v>44758</v>
      </c>
      <c r="C236" s="7">
        <v>1</v>
      </c>
      <c r="D236" s="5">
        <v>6.31</v>
      </c>
      <c r="E236" s="5">
        <v>264</v>
      </c>
      <c r="F236" s="5">
        <v>277</v>
      </c>
      <c r="G236" s="6">
        <v>44758</v>
      </c>
      <c r="H236" s="5">
        <f t="shared" si="29"/>
        <v>13</v>
      </c>
      <c r="I236" s="8" t="b">
        <f t="shared" si="30"/>
        <v>1</v>
      </c>
    </row>
    <row r="237" spans="1:9">
      <c r="A237" s="5">
        <v>101</v>
      </c>
      <c r="B237" s="6">
        <v>44759</v>
      </c>
      <c r="C237" s="7">
        <v>1</v>
      </c>
      <c r="D237" s="5">
        <v>6.31</v>
      </c>
      <c r="E237" s="5">
        <v>277</v>
      </c>
      <c r="F237" s="5">
        <v>283.2</v>
      </c>
      <c r="G237" s="6">
        <v>44759</v>
      </c>
      <c r="H237" s="5">
        <f t="shared" si="29"/>
        <v>6.1999999999999886</v>
      </c>
      <c r="I237" s="8" t="b">
        <f t="shared" si="30"/>
        <v>1</v>
      </c>
    </row>
    <row r="238" spans="1:9">
      <c r="A238" s="5">
        <v>101</v>
      </c>
      <c r="B238" s="6">
        <v>44760</v>
      </c>
      <c r="C238" s="7">
        <v>1</v>
      </c>
      <c r="D238" s="5">
        <v>6.31</v>
      </c>
      <c r="E238" s="5">
        <v>283.2</v>
      </c>
      <c r="F238" s="5">
        <v>295.10000000000002</v>
      </c>
      <c r="G238" s="6">
        <v>44760</v>
      </c>
      <c r="H238" s="5">
        <f t="shared" si="29"/>
        <v>11.900000000000034</v>
      </c>
      <c r="I238" s="8" t="b">
        <f t="shared" si="30"/>
        <v>1</v>
      </c>
    </row>
    <row r="239" spans="1:9">
      <c r="A239" s="5">
        <v>101</v>
      </c>
      <c r="B239" s="6">
        <v>44761</v>
      </c>
      <c r="C239" s="7">
        <v>1</v>
      </c>
      <c r="D239" s="5">
        <v>6.31</v>
      </c>
      <c r="E239" s="5">
        <v>295.10000000000002</v>
      </c>
      <c r="F239" s="5">
        <v>309.60000000000002</v>
      </c>
      <c r="G239" s="6">
        <v>44761</v>
      </c>
      <c r="H239" s="5">
        <f t="shared" si="29"/>
        <v>14.5</v>
      </c>
      <c r="I239" s="8" t="b">
        <f t="shared" si="30"/>
        <v>1</v>
      </c>
    </row>
    <row r="240" spans="1:9">
      <c r="A240" s="5">
        <v>101</v>
      </c>
      <c r="B240" s="6">
        <v>44763</v>
      </c>
      <c r="C240" s="7">
        <v>1</v>
      </c>
      <c r="D240" s="5">
        <v>6.31</v>
      </c>
      <c r="E240" s="5">
        <v>309.60000000000002</v>
      </c>
      <c r="F240" s="5">
        <v>323.10000000000002</v>
      </c>
      <c r="G240" s="6">
        <v>44763</v>
      </c>
      <c r="H240" s="5">
        <f t="shared" si="29"/>
        <v>13.5</v>
      </c>
      <c r="I240" s="8" t="b">
        <f t="shared" si="30"/>
        <v>1</v>
      </c>
    </row>
    <row r="241" spans="1:9">
      <c r="A241" s="5">
        <v>101</v>
      </c>
      <c r="B241" s="6">
        <v>44765</v>
      </c>
      <c r="C241" s="7">
        <v>1</v>
      </c>
      <c r="D241" s="5">
        <v>6.31</v>
      </c>
      <c r="E241" s="5">
        <v>323.10000000000002</v>
      </c>
      <c r="F241" s="5">
        <v>336.4</v>
      </c>
      <c r="G241" s="6">
        <v>44765</v>
      </c>
      <c r="H241" s="5">
        <f t="shared" si="29"/>
        <v>13.299999999999955</v>
      </c>
      <c r="I241" s="8" t="b">
        <f t="shared" si="30"/>
        <v>1</v>
      </c>
    </row>
    <row r="242" spans="1:9">
      <c r="A242" s="5">
        <v>101</v>
      </c>
      <c r="B242" s="6">
        <v>44768</v>
      </c>
      <c r="C242" s="7">
        <v>1</v>
      </c>
      <c r="D242" s="5">
        <v>6.31</v>
      </c>
      <c r="E242" s="5">
        <v>336.4</v>
      </c>
      <c r="F242" s="5">
        <v>348.7</v>
      </c>
      <c r="G242" s="6">
        <v>44768</v>
      </c>
      <c r="H242" s="5">
        <f t="shared" si="29"/>
        <v>12.300000000000011</v>
      </c>
      <c r="I242" s="8" t="b">
        <f t="shared" si="30"/>
        <v>1</v>
      </c>
    </row>
    <row r="243" spans="1:9">
      <c r="A243" s="5">
        <v>101</v>
      </c>
      <c r="B243" s="6">
        <v>44770</v>
      </c>
      <c r="C243" s="7">
        <v>1</v>
      </c>
      <c r="D243" s="5">
        <v>6.31</v>
      </c>
      <c r="E243" s="5">
        <v>348.7</v>
      </c>
      <c r="F243" s="5">
        <v>362.7</v>
      </c>
      <c r="G243" s="6">
        <v>44770</v>
      </c>
      <c r="H243" s="5">
        <f t="shared" si="29"/>
        <v>14</v>
      </c>
      <c r="I243" s="8" t="b">
        <f t="shared" si="30"/>
        <v>1</v>
      </c>
    </row>
    <row r="244" spans="1:9">
      <c r="A244" s="5">
        <v>101</v>
      </c>
      <c r="B244" s="6">
        <v>44772</v>
      </c>
      <c r="C244" s="7">
        <v>0.8</v>
      </c>
      <c r="D244" s="5">
        <v>7.34</v>
      </c>
      <c r="E244" s="5">
        <v>362.7</v>
      </c>
      <c r="F244" s="5">
        <v>374.6</v>
      </c>
      <c r="G244" s="6">
        <v>44772</v>
      </c>
      <c r="H244" s="5">
        <f>F244-E244</f>
        <v>11.900000000000034</v>
      </c>
      <c r="I244" s="8" t="b">
        <f t="shared" si="30"/>
        <v>1</v>
      </c>
    </row>
    <row r="245" spans="1:9">
      <c r="A245" s="5">
        <v>101</v>
      </c>
      <c r="B245" s="6">
        <v>44774</v>
      </c>
      <c r="C245" s="7">
        <v>0.9</v>
      </c>
      <c r="D245" s="5">
        <v>7.01</v>
      </c>
      <c r="E245" s="5">
        <v>374.6</v>
      </c>
      <c r="F245" s="5">
        <v>391.1</v>
      </c>
      <c r="G245" s="6">
        <v>44774</v>
      </c>
      <c r="H245" s="5">
        <f>F245-E245</f>
        <v>16.5</v>
      </c>
      <c r="I245" s="8" t="b">
        <f t="shared" si="30"/>
        <v>1</v>
      </c>
    </row>
    <row r="246" spans="1:9">
      <c r="A246" s="5">
        <v>101</v>
      </c>
      <c r="B246" s="6">
        <v>44776</v>
      </c>
      <c r="C246" s="7">
        <v>0.9</v>
      </c>
      <c r="D246" s="5">
        <v>7.01</v>
      </c>
      <c r="E246" s="5">
        <v>391.1</v>
      </c>
      <c r="F246" s="5">
        <v>405.3</v>
      </c>
      <c r="G246" s="6">
        <v>44776</v>
      </c>
      <c r="H246" s="5">
        <f>F246-E246</f>
        <v>14.199999999999989</v>
      </c>
      <c r="I246" s="8" t="b">
        <f t="shared" si="30"/>
        <v>1</v>
      </c>
    </row>
    <row r="247" spans="1:9">
      <c r="A247" s="5">
        <v>101</v>
      </c>
      <c r="B247" s="6">
        <v>44778</v>
      </c>
      <c r="C247" s="7">
        <v>0.9</v>
      </c>
      <c r="D247" s="5">
        <v>7.01</v>
      </c>
      <c r="E247" s="5">
        <v>405.3</v>
      </c>
      <c r="F247" s="5">
        <v>419.8</v>
      </c>
      <c r="G247" s="6">
        <v>44778</v>
      </c>
      <c r="H247" s="5">
        <f>F247-E247</f>
        <v>14.5</v>
      </c>
      <c r="I247" s="8" t="b">
        <f t="shared" si="30"/>
        <v>1</v>
      </c>
    </row>
    <row r="248" spans="1:9">
      <c r="A248" s="5">
        <v>101</v>
      </c>
      <c r="B248" s="6">
        <v>44780</v>
      </c>
      <c r="C248" s="7">
        <v>0.9</v>
      </c>
      <c r="D248" s="5">
        <v>7.01</v>
      </c>
      <c r="E248" s="5">
        <v>419.8</v>
      </c>
      <c r="F248" s="5">
        <v>433.9</v>
      </c>
      <c r="G248" s="6">
        <v>44780</v>
      </c>
      <c r="H248" s="5">
        <f>F248-E248</f>
        <v>14.099999999999966</v>
      </c>
      <c r="I248" s="8" t="b">
        <f t="shared" si="30"/>
        <v>1</v>
      </c>
    </row>
    <row r="249" spans="1:9">
      <c r="A249" s="5">
        <v>101</v>
      </c>
      <c r="B249" s="6">
        <v>44782</v>
      </c>
      <c r="C249" s="7">
        <v>0.8</v>
      </c>
      <c r="D249" s="5">
        <v>7.34</v>
      </c>
      <c r="E249" s="5">
        <v>433.8</v>
      </c>
      <c r="F249" s="5">
        <v>450.8</v>
      </c>
      <c r="G249" s="6">
        <v>44782</v>
      </c>
      <c r="H249" s="5">
        <f t="shared" ref="H249:H262" si="31">F249-E249</f>
        <v>17</v>
      </c>
      <c r="I249" s="8" t="b">
        <f t="shared" si="30"/>
        <v>0</v>
      </c>
    </row>
    <row r="250" spans="1:9">
      <c r="A250" s="5">
        <v>101</v>
      </c>
      <c r="B250" s="6">
        <v>44784</v>
      </c>
      <c r="C250" s="7">
        <v>0.9</v>
      </c>
      <c r="D250" s="5">
        <v>7.01</v>
      </c>
      <c r="E250" s="5">
        <v>450.8</v>
      </c>
      <c r="F250" s="5">
        <v>465.8</v>
      </c>
      <c r="G250" s="6">
        <v>44784</v>
      </c>
      <c r="H250" s="5">
        <f t="shared" si="31"/>
        <v>15</v>
      </c>
      <c r="I250" s="8" t="b">
        <f t="shared" si="30"/>
        <v>1</v>
      </c>
    </row>
    <row r="251" spans="1:9">
      <c r="A251" s="5">
        <v>101</v>
      </c>
      <c r="B251" s="6">
        <v>44785</v>
      </c>
      <c r="C251" s="7">
        <v>1</v>
      </c>
      <c r="D251" s="5">
        <v>6.31</v>
      </c>
      <c r="E251" s="5">
        <v>465.8</v>
      </c>
      <c r="F251" s="5">
        <v>475.4</v>
      </c>
      <c r="G251" s="6">
        <v>44785</v>
      </c>
      <c r="H251" s="5">
        <f t="shared" si="31"/>
        <v>9.5999999999999659</v>
      </c>
      <c r="I251" s="8" t="b">
        <f t="shared" si="30"/>
        <v>1</v>
      </c>
    </row>
    <row r="252" spans="1:9">
      <c r="A252" s="5">
        <v>101</v>
      </c>
      <c r="B252" s="6">
        <v>44786</v>
      </c>
      <c r="C252" s="7">
        <v>0.8</v>
      </c>
      <c r="D252" s="5">
        <v>7.34</v>
      </c>
      <c r="E252" s="5">
        <v>475.4</v>
      </c>
      <c r="F252" s="5">
        <v>497.5</v>
      </c>
      <c r="G252" s="6">
        <v>44786</v>
      </c>
      <c r="H252" s="5">
        <f t="shared" si="31"/>
        <v>22.100000000000023</v>
      </c>
      <c r="I252" s="8" t="b">
        <f t="shared" si="30"/>
        <v>1</v>
      </c>
    </row>
    <row r="253" spans="1:9">
      <c r="A253" s="5">
        <v>101</v>
      </c>
      <c r="B253" s="6">
        <v>44790</v>
      </c>
      <c r="C253" s="7">
        <v>0.8</v>
      </c>
      <c r="D253" s="5">
        <v>7.34</v>
      </c>
      <c r="E253" s="5">
        <v>497.5</v>
      </c>
      <c r="F253" s="5">
        <v>513.5</v>
      </c>
      <c r="G253" s="6">
        <v>44790</v>
      </c>
      <c r="H253" s="5">
        <f t="shared" si="31"/>
        <v>16</v>
      </c>
      <c r="I253" s="8" t="b">
        <f t="shared" si="30"/>
        <v>1</v>
      </c>
    </row>
    <row r="254" spans="1:9">
      <c r="A254" s="5">
        <v>101</v>
      </c>
      <c r="B254" s="6">
        <v>44791</v>
      </c>
      <c r="C254" s="7">
        <v>1</v>
      </c>
      <c r="D254" s="5">
        <v>6.31</v>
      </c>
      <c r="E254" s="5">
        <v>513.5</v>
      </c>
      <c r="F254" s="5">
        <v>519.6</v>
      </c>
      <c r="G254" s="6">
        <v>44791</v>
      </c>
      <c r="H254" s="5">
        <f t="shared" si="31"/>
        <v>6.1000000000000227</v>
      </c>
      <c r="I254" s="8" t="b">
        <f t="shared" si="30"/>
        <v>1</v>
      </c>
    </row>
    <row r="255" spans="1:9">
      <c r="A255" s="5">
        <v>101</v>
      </c>
      <c r="B255" s="6">
        <v>44792</v>
      </c>
      <c r="C255" s="7">
        <v>1</v>
      </c>
      <c r="D255" s="5">
        <v>6.31</v>
      </c>
      <c r="E255" s="5">
        <v>519.6</v>
      </c>
      <c r="F255" s="5">
        <v>526.9</v>
      </c>
      <c r="G255" s="6">
        <v>44792</v>
      </c>
      <c r="H255" s="5">
        <f t="shared" si="31"/>
        <v>7.2999999999999545</v>
      </c>
      <c r="I255" s="8" t="b">
        <f t="shared" si="30"/>
        <v>1</v>
      </c>
    </row>
    <row r="256" spans="1:9">
      <c r="A256" s="5">
        <v>101</v>
      </c>
      <c r="B256" s="6">
        <v>44793</v>
      </c>
      <c r="C256" s="7">
        <v>0.7</v>
      </c>
      <c r="D256" s="5">
        <v>9.01</v>
      </c>
      <c r="E256" s="5">
        <v>526.9</v>
      </c>
      <c r="F256" s="5">
        <v>544.6</v>
      </c>
      <c r="G256" s="6">
        <v>44793</v>
      </c>
      <c r="H256" s="5">
        <f t="shared" si="31"/>
        <v>17.700000000000045</v>
      </c>
      <c r="I256" s="8" t="b">
        <f t="shared" si="30"/>
        <v>1</v>
      </c>
    </row>
    <row r="257" spans="1:9">
      <c r="A257" s="5">
        <v>101</v>
      </c>
      <c r="B257" s="6">
        <v>44796</v>
      </c>
      <c r="C257" s="7">
        <v>0.7</v>
      </c>
      <c r="D257" s="5">
        <v>9.01</v>
      </c>
      <c r="E257" s="5">
        <v>544.6</v>
      </c>
      <c r="F257" s="5">
        <v>562.4</v>
      </c>
      <c r="G257" s="6">
        <v>44796</v>
      </c>
      <c r="H257" s="5">
        <f t="shared" si="31"/>
        <v>17.799999999999955</v>
      </c>
      <c r="I257" s="8" t="b">
        <f t="shared" si="30"/>
        <v>1</v>
      </c>
    </row>
    <row r="258" spans="1:9">
      <c r="A258" s="5">
        <v>101</v>
      </c>
      <c r="B258" s="6">
        <v>44798</v>
      </c>
      <c r="C258" s="7">
        <v>0.65</v>
      </c>
      <c r="D258" s="5">
        <v>9.7100000000000009</v>
      </c>
      <c r="E258" s="5">
        <v>562.4</v>
      </c>
      <c r="F258" s="5">
        <v>582.1</v>
      </c>
      <c r="G258" s="6">
        <v>44798</v>
      </c>
      <c r="H258" s="5">
        <f t="shared" si="31"/>
        <v>19.700000000000045</v>
      </c>
      <c r="I258" s="8" t="b">
        <f t="shared" si="30"/>
        <v>1</v>
      </c>
    </row>
    <row r="259" spans="1:9">
      <c r="A259" s="5">
        <v>101</v>
      </c>
      <c r="B259" s="6">
        <v>44799</v>
      </c>
      <c r="C259" s="7">
        <v>1</v>
      </c>
      <c r="D259" s="5">
        <v>6.31</v>
      </c>
      <c r="E259" s="5">
        <v>582.1</v>
      </c>
      <c r="F259" s="5">
        <v>595.1</v>
      </c>
      <c r="G259" s="6">
        <v>44799</v>
      </c>
      <c r="H259" s="5">
        <f t="shared" si="31"/>
        <v>13</v>
      </c>
      <c r="I259" s="8" t="b">
        <f t="shared" si="30"/>
        <v>1</v>
      </c>
    </row>
    <row r="260" spans="1:9">
      <c r="A260" s="5">
        <v>101</v>
      </c>
      <c r="B260" s="6">
        <v>44800</v>
      </c>
      <c r="C260" s="7">
        <v>0.65</v>
      </c>
      <c r="D260" s="5">
        <v>9.7100000000000009</v>
      </c>
      <c r="E260" s="5">
        <v>595.1</v>
      </c>
      <c r="F260" s="5">
        <v>614.79999999999995</v>
      </c>
      <c r="G260" s="6">
        <v>44800</v>
      </c>
      <c r="H260" s="5">
        <f t="shared" si="31"/>
        <v>19.699999999999932</v>
      </c>
      <c r="I260" s="8" t="b">
        <f t="shared" si="30"/>
        <v>1</v>
      </c>
    </row>
    <row r="261" spans="1:9">
      <c r="A261" s="5">
        <v>101</v>
      </c>
      <c r="B261" s="6">
        <v>44802</v>
      </c>
      <c r="C261" s="7">
        <v>0.65</v>
      </c>
      <c r="D261" s="5">
        <v>9.7100000000000009</v>
      </c>
      <c r="E261" s="5">
        <v>614.79999999999995</v>
      </c>
      <c r="F261" s="5">
        <v>634.6</v>
      </c>
      <c r="G261" s="6">
        <v>44802</v>
      </c>
      <c r="H261" s="5">
        <f t="shared" si="31"/>
        <v>19.800000000000068</v>
      </c>
      <c r="I261" s="8" t="b">
        <f t="shared" si="30"/>
        <v>1</v>
      </c>
    </row>
    <row r="262" spans="1:9">
      <c r="A262" s="5">
        <v>101</v>
      </c>
      <c r="B262" s="6">
        <v>44804</v>
      </c>
      <c r="C262" s="7">
        <v>0.65</v>
      </c>
      <c r="D262" s="5">
        <v>9.7100000000000009</v>
      </c>
      <c r="E262" s="5">
        <v>634.6</v>
      </c>
      <c r="F262" s="5">
        <v>653.5</v>
      </c>
      <c r="G262" s="6">
        <v>44804</v>
      </c>
      <c r="H262" s="5">
        <f t="shared" si="31"/>
        <v>18.899999999999977</v>
      </c>
      <c r="I262" s="8" t="b">
        <f t="shared" si="30"/>
        <v>1</v>
      </c>
    </row>
    <row r="263" spans="1:9">
      <c r="A263" s="5">
        <v>101</v>
      </c>
      <c r="B263" s="6">
        <v>44806</v>
      </c>
      <c r="C263" s="7">
        <v>0.65</v>
      </c>
      <c r="D263" s="5">
        <v>9.7100000000000009</v>
      </c>
      <c r="E263" s="5">
        <v>653.5</v>
      </c>
      <c r="F263" s="5">
        <v>673.8</v>
      </c>
      <c r="G263" s="6">
        <v>44806</v>
      </c>
      <c r="H263" s="5">
        <f t="shared" ref="H263:H272" si="32">F263-E263</f>
        <v>20.299999999999955</v>
      </c>
      <c r="I263" s="8" t="b">
        <f t="shared" si="30"/>
        <v>1</v>
      </c>
    </row>
    <row r="264" spans="1:9">
      <c r="A264" s="5">
        <v>101</v>
      </c>
      <c r="B264" s="6">
        <v>44808</v>
      </c>
      <c r="C264" s="7">
        <v>0.65</v>
      </c>
      <c r="D264" s="5">
        <v>9.7100000000000009</v>
      </c>
      <c r="E264" s="5">
        <v>673.8</v>
      </c>
      <c r="F264" s="5">
        <v>694.2</v>
      </c>
      <c r="G264" s="6">
        <v>44808</v>
      </c>
      <c r="H264" s="5">
        <f t="shared" si="32"/>
        <v>20.400000000000091</v>
      </c>
      <c r="I264" s="8" t="b">
        <f t="shared" si="30"/>
        <v>1</v>
      </c>
    </row>
    <row r="265" spans="1:9">
      <c r="A265" s="5">
        <v>101</v>
      </c>
      <c r="B265" s="6">
        <v>44809</v>
      </c>
      <c r="C265" s="7">
        <v>0.6</v>
      </c>
      <c r="D265" s="5">
        <v>10.52</v>
      </c>
      <c r="E265" s="5">
        <v>694.2</v>
      </c>
      <c r="F265" s="5">
        <v>705.2</v>
      </c>
      <c r="G265" s="6">
        <v>44809</v>
      </c>
      <c r="H265" s="5">
        <f t="shared" si="32"/>
        <v>11</v>
      </c>
      <c r="I265" s="8" t="b">
        <f t="shared" si="30"/>
        <v>1</v>
      </c>
    </row>
    <row r="266" spans="1:9">
      <c r="A266" s="5">
        <v>101</v>
      </c>
      <c r="B266" s="6">
        <v>44810</v>
      </c>
      <c r="C266" s="7">
        <v>0.6</v>
      </c>
      <c r="D266" s="5">
        <v>10.52</v>
      </c>
      <c r="E266" s="5">
        <v>705.2</v>
      </c>
      <c r="F266" s="5">
        <v>716.2</v>
      </c>
      <c r="G266" s="6">
        <v>44810</v>
      </c>
      <c r="H266" s="5">
        <f t="shared" si="32"/>
        <v>11</v>
      </c>
      <c r="I266" s="8" t="b">
        <f t="shared" si="30"/>
        <v>1</v>
      </c>
    </row>
    <row r="267" spans="1:9">
      <c r="A267" s="5">
        <v>101</v>
      </c>
      <c r="B267" s="6">
        <v>44811</v>
      </c>
      <c r="C267" s="7">
        <v>0.6</v>
      </c>
      <c r="D267" s="5">
        <v>10.52</v>
      </c>
      <c r="E267" s="5">
        <v>716.2</v>
      </c>
      <c r="F267" s="5">
        <v>727.2</v>
      </c>
      <c r="G267" s="6">
        <v>44811</v>
      </c>
      <c r="H267" s="5">
        <f t="shared" si="32"/>
        <v>11</v>
      </c>
      <c r="I267" s="8" t="b">
        <f t="shared" si="30"/>
        <v>1</v>
      </c>
    </row>
    <row r="268" spans="1:9">
      <c r="A268" s="5">
        <v>101</v>
      </c>
      <c r="B268" s="6">
        <v>44812</v>
      </c>
      <c r="C268" s="7">
        <v>0.6</v>
      </c>
      <c r="D268" s="5">
        <v>10.52</v>
      </c>
      <c r="E268" s="5">
        <v>727.2</v>
      </c>
      <c r="F268" s="5">
        <v>738.7</v>
      </c>
      <c r="G268" s="6">
        <v>44812</v>
      </c>
      <c r="H268" s="5">
        <f t="shared" si="32"/>
        <v>11.5</v>
      </c>
      <c r="I268" s="8" t="b">
        <f t="shared" si="30"/>
        <v>1</v>
      </c>
    </row>
    <row r="269" spans="1:9">
      <c r="A269" s="5">
        <v>101</v>
      </c>
      <c r="B269" s="6">
        <v>44813</v>
      </c>
      <c r="C269" s="7">
        <v>0.6</v>
      </c>
      <c r="D269" s="5">
        <v>10.52</v>
      </c>
      <c r="E269" s="5">
        <v>738.7</v>
      </c>
      <c r="F269" s="5">
        <v>749.7</v>
      </c>
      <c r="G269" s="6">
        <v>44813</v>
      </c>
      <c r="H269" s="5">
        <f t="shared" si="32"/>
        <v>11</v>
      </c>
      <c r="I269" s="8" t="b">
        <f t="shared" si="30"/>
        <v>1</v>
      </c>
    </row>
    <row r="270" spans="1:9">
      <c r="A270" s="5">
        <v>101</v>
      </c>
      <c r="B270" s="6">
        <v>44814</v>
      </c>
      <c r="C270" s="7">
        <v>0.6</v>
      </c>
      <c r="D270" s="5">
        <v>10.52</v>
      </c>
      <c r="E270" s="5">
        <v>749.7</v>
      </c>
      <c r="F270" s="5">
        <v>761.1</v>
      </c>
      <c r="G270" s="6">
        <v>44814</v>
      </c>
      <c r="H270" s="5">
        <f t="shared" si="32"/>
        <v>11.399999999999977</v>
      </c>
      <c r="I270" s="8" t="b">
        <f t="shared" si="30"/>
        <v>1</v>
      </c>
    </row>
    <row r="271" spans="1:9">
      <c r="A271" s="5">
        <v>101</v>
      </c>
      <c r="B271" s="6">
        <v>44815</v>
      </c>
      <c r="C271" s="7">
        <v>0.5</v>
      </c>
      <c r="D271" s="5">
        <v>12.62</v>
      </c>
      <c r="E271" s="5">
        <v>761.1</v>
      </c>
      <c r="F271" s="5">
        <v>778.9</v>
      </c>
      <c r="G271" s="6">
        <v>44815</v>
      </c>
      <c r="H271" s="5">
        <f t="shared" si="32"/>
        <v>17.799999999999955</v>
      </c>
      <c r="I271" s="8" t="b">
        <f t="shared" si="30"/>
        <v>1</v>
      </c>
    </row>
    <row r="272" spans="1:9">
      <c r="A272" s="5">
        <v>101</v>
      </c>
      <c r="B272" s="6">
        <v>44816</v>
      </c>
      <c r="C272" s="7">
        <v>0.5</v>
      </c>
      <c r="D272" s="5">
        <v>12.62</v>
      </c>
      <c r="E272" s="5">
        <v>778.9</v>
      </c>
      <c r="F272" s="5">
        <v>787.1</v>
      </c>
      <c r="G272" s="6">
        <v>44816</v>
      </c>
      <c r="H272" s="5">
        <f t="shared" si="32"/>
        <v>8.2000000000000455</v>
      </c>
      <c r="I272" s="8" t="b">
        <f t="shared" si="30"/>
        <v>1</v>
      </c>
    </row>
    <row r="273" spans="1:9">
      <c r="A273" s="5">
        <v>101</v>
      </c>
      <c r="B273" s="6">
        <v>44817</v>
      </c>
      <c r="C273" s="7">
        <v>0.5</v>
      </c>
      <c r="D273" s="5">
        <v>12.62</v>
      </c>
      <c r="E273" s="5">
        <v>787.1</v>
      </c>
      <c r="F273" s="5">
        <v>799.2</v>
      </c>
      <c r="G273" s="6">
        <v>44817</v>
      </c>
      <c r="H273" s="5">
        <f t="shared" ref="H273:H282" si="33">F273-E273</f>
        <v>12.100000000000023</v>
      </c>
      <c r="I273" s="8" t="b">
        <f t="shared" si="30"/>
        <v>1</v>
      </c>
    </row>
    <row r="274" spans="1:9">
      <c r="A274" s="5">
        <v>101</v>
      </c>
      <c r="B274" s="6">
        <v>44818</v>
      </c>
      <c r="C274" s="7">
        <v>0.5</v>
      </c>
      <c r="D274" s="5">
        <v>12.62</v>
      </c>
      <c r="E274" s="5">
        <v>799.2</v>
      </c>
      <c r="F274" s="5">
        <v>811.3</v>
      </c>
      <c r="G274" s="6">
        <v>44818</v>
      </c>
      <c r="H274" s="5">
        <f t="shared" si="33"/>
        <v>12.099999999999909</v>
      </c>
      <c r="I274" s="8" t="b">
        <f t="shared" si="30"/>
        <v>1</v>
      </c>
    </row>
    <row r="275" spans="1:9">
      <c r="A275" s="5">
        <v>101</v>
      </c>
      <c r="B275" s="6">
        <v>44819</v>
      </c>
      <c r="C275" s="7">
        <v>0.5</v>
      </c>
      <c r="D275" s="5">
        <v>12.62</v>
      </c>
      <c r="E275" s="5">
        <v>811.3</v>
      </c>
      <c r="F275" s="5">
        <v>823.4</v>
      </c>
      <c r="G275" s="6">
        <v>44819</v>
      </c>
      <c r="H275" s="5">
        <f t="shared" si="33"/>
        <v>12.100000000000023</v>
      </c>
      <c r="I275" s="8" t="b">
        <f t="shared" si="30"/>
        <v>1</v>
      </c>
    </row>
    <row r="276" spans="1:9">
      <c r="A276" s="5">
        <v>101</v>
      </c>
      <c r="B276" s="6">
        <v>44820</v>
      </c>
      <c r="C276" s="7">
        <v>0.5</v>
      </c>
      <c r="D276" s="5">
        <v>12.62</v>
      </c>
      <c r="E276" s="5">
        <v>823.4</v>
      </c>
      <c r="F276" s="5">
        <v>835.5</v>
      </c>
      <c r="G276" s="6">
        <v>44820</v>
      </c>
      <c r="H276" s="5">
        <f t="shared" si="33"/>
        <v>12.100000000000023</v>
      </c>
      <c r="I276" s="8" t="b">
        <f t="shared" si="30"/>
        <v>1</v>
      </c>
    </row>
    <row r="277" spans="1:9">
      <c r="A277" s="5">
        <v>101</v>
      </c>
      <c r="B277" s="6">
        <v>44821</v>
      </c>
      <c r="C277" s="7">
        <v>0.4</v>
      </c>
      <c r="D277" s="5">
        <v>15.78</v>
      </c>
      <c r="E277" s="5">
        <v>835.5</v>
      </c>
      <c r="F277" s="5">
        <v>851.2</v>
      </c>
      <c r="G277" s="6">
        <v>44821</v>
      </c>
      <c r="H277" s="5">
        <f t="shared" si="33"/>
        <v>15.700000000000045</v>
      </c>
      <c r="I277" s="8" t="b">
        <f t="shared" si="30"/>
        <v>1</v>
      </c>
    </row>
    <row r="278" spans="1:9">
      <c r="A278" s="5">
        <v>101</v>
      </c>
      <c r="B278" s="6">
        <v>44822</v>
      </c>
      <c r="C278" s="7">
        <v>0.4</v>
      </c>
      <c r="D278" s="5">
        <v>15.78</v>
      </c>
      <c r="E278" s="5">
        <v>851.2</v>
      </c>
      <c r="F278" s="5">
        <v>866.9</v>
      </c>
      <c r="G278" s="6">
        <v>44822</v>
      </c>
      <c r="H278" s="5">
        <f t="shared" si="33"/>
        <v>15.699999999999932</v>
      </c>
      <c r="I278" s="8" t="b">
        <f t="shared" si="30"/>
        <v>1</v>
      </c>
    </row>
    <row r="279" spans="1:9">
      <c r="A279" s="5">
        <v>101</v>
      </c>
      <c r="B279" s="6">
        <v>44823</v>
      </c>
      <c r="C279" s="7">
        <v>0.4</v>
      </c>
      <c r="D279" s="5">
        <v>15.78</v>
      </c>
      <c r="E279" s="5">
        <v>866.9</v>
      </c>
      <c r="F279" s="5">
        <v>876.5</v>
      </c>
      <c r="G279" s="6">
        <v>44823</v>
      </c>
      <c r="H279" s="5">
        <f t="shared" si="33"/>
        <v>9.6000000000000227</v>
      </c>
      <c r="I279" s="8" t="b">
        <f t="shared" si="30"/>
        <v>1</v>
      </c>
    </row>
    <row r="280" spans="1:9">
      <c r="A280" s="5">
        <v>101</v>
      </c>
      <c r="B280" s="6">
        <v>44825</v>
      </c>
      <c r="C280" s="7">
        <v>0.4</v>
      </c>
      <c r="D280" s="5">
        <v>15.78</v>
      </c>
      <c r="E280" s="5">
        <v>876.5</v>
      </c>
      <c r="F280" s="5">
        <v>885.8</v>
      </c>
      <c r="G280" s="6">
        <v>44825</v>
      </c>
      <c r="H280" s="5">
        <f t="shared" si="33"/>
        <v>9.2999999999999545</v>
      </c>
      <c r="I280" s="8" t="b">
        <f t="shared" si="30"/>
        <v>1</v>
      </c>
    </row>
    <row r="281" spans="1:9">
      <c r="A281" s="5">
        <v>101</v>
      </c>
      <c r="B281" s="6">
        <v>44826</v>
      </c>
      <c r="C281" s="7">
        <v>0.4</v>
      </c>
      <c r="D281" s="5">
        <v>15.78</v>
      </c>
      <c r="E281" s="5">
        <v>885.8</v>
      </c>
      <c r="F281" s="5">
        <v>896.3</v>
      </c>
      <c r="G281" s="6">
        <v>44826</v>
      </c>
      <c r="H281" s="5">
        <f t="shared" si="33"/>
        <v>10.5</v>
      </c>
      <c r="I281" s="8" t="b">
        <f t="shared" si="30"/>
        <v>1</v>
      </c>
    </row>
    <row r="282" spans="1:9">
      <c r="A282" s="5">
        <v>101</v>
      </c>
      <c r="B282" s="6">
        <v>44827</v>
      </c>
      <c r="C282" s="7">
        <v>0.4</v>
      </c>
      <c r="D282" s="5">
        <v>15.78</v>
      </c>
      <c r="E282" s="5">
        <v>896.3</v>
      </c>
      <c r="F282" s="5">
        <v>911.8</v>
      </c>
      <c r="G282" s="6">
        <v>44827</v>
      </c>
      <c r="H282" s="5">
        <f t="shared" si="33"/>
        <v>15.5</v>
      </c>
      <c r="I282" s="8" t="b">
        <f t="shared" si="30"/>
        <v>1</v>
      </c>
    </row>
    <row r="283" spans="1:9">
      <c r="A283" s="5">
        <v>101</v>
      </c>
      <c r="B283" s="6">
        <v>44828</v>
      </c>
      <c r="C283" s="7">
        <v>0.4</v>
      </c>
      <c r="D283" s="5">
        <v>15.78</v>
      </c>
      <c r="E283" s="5">
        <v>911.8</v>
      </c>
      <c r="F283" s="5">
        <v>938.4</v>
      </c>
      <c r="G283" s="6">
        <v>44828</v>
      </c>
      <c r="H283" s="5">
        <f t="shared" ref="H283:H295" si="34">F283-E283</f>
        <v>26.600000000000023</v>
      </c>
      <c r="I283" s="8" t="b">
        <f t="shared" si="30"/>
        <v>1</v>
      </c>
    </row>
    <row r="284" spans="1:9">
      <c r="A284" s="5">
        <v>101</v>
      </c>
      <c r="B284" s="6">
        <v>44829</v>
      </c>
      <c r="C284" s="7">
        <v>0.4</v>
      </c>
      <c r="D284" s="5">
        <v>15.78</v>
      </c>
      <c r="E284" s="5">
        <v>938.4</v>
      </c>
      <c r="F284" s="5">
        <v>953.4</v>
      </c>
      <c r="G284" s="6">
        <v>44829</v>
      </c>
      <c r="H284" s="5">
        <f t="shared" si="34"/>
        <v>15</v>
      </c>
      <c r="I284" s="8" t="b">
        <f t="shared" si="30"/>
        <v>1</v>
      </c>
    </row>
    <row r="285" spans="1:9">
      <c r="A285" s="5">
        <v>101</v>
      </c>
      <c r="B285" s="6">
        <v>44830</v>
      </c>
      <c r="C285" s="7">
        <v>0.4</v>
      </c>
      <c r="D285" s="5">
        <v>15.78</v>
      </c>
      <c r="E285" s="5">
        <v>953.4</v>
      </c>
      <c r="F285" s="5">
        <v>966.4</v>
      </c>
      <c r="G285" s="6">
        <v>44830</v>
      </c>
      <c r="H285" s="5">
        <f t="shared" si="34"/>
        <v>13</v>
      </c>
      <c r="I285" s="8" t="b">
        <f t="shared" si="30"/>
        <v>1</v>
      </c>
    </row>
    <row r="286" spans="1:9">
      <c r="A286" s="5">
        <v>101</v>
      </c>
      <c r="B286" s="6">
        <v>44831</v>
      </c>
      <c r="C286" s="7">
        <v>0.4</v>
      </c>
      <c r="D286" s="5">
        <v>15.78</v>
      </c>
      <c r="E286" s="5">
        <v>966.4</v>
      </c>
      <c r="F286" s="5">
        <v>983.2</v>
      </c>
      <c r="G286" s="6">
        <v>44831</v>
      </c>
      <c r="H286" s="5">
        <f t="shared" si="34"/>
        <v>16.800000000000068</v>
      </c>
      <c r="I286" s="8" t="b">
        <f t="shared" si="30"/>
        <v>1</v>
      </c>
    </row>
    <row r="287" spans="1:9">
      <c r="A287" s="5">
        <v>101</v>
      </c>
      <c r="B287" s="6">
        <v>44832</v>
      </c>
      <c r="C287" s="7">
        <v>0.4</v>
      </c>
      <c r="D287" s="5">
        <v>15.78</v>
      </c>
      <c r="E287" s="5">
        <v>983.2</v>
      </c>
      <c r="F287" s="5">
        <v>999.7</v>
      </c>
      <c r="G287" s="6">
        <v>44832</v>
      </c>
      <c r="H287" s="5">
        <f t="shared" si="34"/>
        <v>16.5</v>
      </c>
      <c r="I287" s="8" t="b">
        <f t="shared" si="30"/>
        <v>1</v>
      </c>
    </row>
    <row r="288" spans="1:9">
      <c r="A288" s="5">
        <v>101</v>
      </c>
      <c r="B288" s="6">
        <v>44833</v>
      </c>
      <c r="C288" s="7">
        <v>1</v>
      </c>
      <c r="D288" s="5">
        <v>6.31</v>
      </c>
      <c r="E288" s="5">
        <v>999.7</v>
      </c>
      <c r="F288" s="5">
        <v>1012.7</v>
      </c>
      <c r="G288" s="6">
        <v>44833</v>
      </c>
      <c r="H288" s="5">
        <f t="shared" si="34"/>
        <v>13</v>
      </c>
      <c r="I288" s="8" t="b">
        <f t="shared" si="30"/>
        <v>1</v>
      </c>
    </row>
    <row r="289" spans="1:9">
      <c r="A289" s="5">
        <v>101</v>
      </c>
      <c r="B289" s="6">
        <v>44834</v>
      </c>
      <c r="C289" s="7">
        <v>0.4</v>
      </c>
      <c r="D289" s="5">
        <v>15.78</v>
      </c>
      <c r="E289" s="5">
        <v>1012.7</v>
      </c>
      <c r="F289" s="5">
        <v>1028.2</v>
      </c>
      <c r="G289" s="6">
        <v>44834</v>
      </c>
      <c r="H289" s="5">
        <f t="shared" si="34"/>
        <v>15.5</v>
      </c>
      <c r="I289" s="8" t="b">
        <f t="shared" ref="I289:I317" si="35">E289=F288</f>
        <v>1</v>
      </c>
    </row>
    <row r="290" spans="1:9">
      <c r="A290" s="5">
        <v>101</v>
      </c>
      <c r="B290" s="6">
        <v>44835</v>
      </c>
      <c r="C290" s="7">
        <v>0.4</v>
      </c>
      <c r="D290" s="5">
        <v>15.78</v>
      </c>
      <c r="E290" s="5">
        <v>1028.2</v>
      </c>
      <c r="F290" s="5">
        <v>1044.4000000000001</v>
      </c>
      <c r="G290" s="6">
        <v>44835</v>
      </c>
      <c r="H290" s="5">
        <f t="shared" si="34"/>
        <v>16.200000000000045</v>
      </c>
      <c r="I290" s="8" t="b">
        <f t="shared" si="35"/>
        <v>1</v>
      </c>
    </row>
    <row r="291" spans="1:9">
      <c r="A291" s="5">
        <v>101</v>
      </c>
      <c r="B291" s="6">
        <v>44836</v>
      </c>
      <c r="C291" s="7">
        <v>0.4</v>
      </c>
      <c r="D291" s="5">
        <v>15.78</v>
      </c>
      <c r="E291" s="5">
        <v>1044.4000000000001</v>
      </c>
      <c r="F291" s="5">
        <v>1060.4000000000001</v>
      </c>
      <c r="G291" s="6">
        <v>44836</v>
      </c>
      <c r="H291" s="5">
        <f t="shared" si="34"/>
        <v>16</v>
      </c>
      <c r="I291" s="8" t="b">
        <f t="shared" si="35"/>
        <v>1</v>
      </c>
    </row>
    <row r="292" spans="1:9">
      <c r="A292" s="5">
        <v>101</v>
      </c>
      <c r="B292" s="6">
        <v>44837</v>
      </c>
      <c r="C292" s="7">
        <v>0.4</v>
      </c>
      <c r="D292" s="5">
        <v>15.78</v>
      </c>
      <c r="E292" s="5">
        <v>1060.4000000000001</v>
      </c>
      <c r="F292" s="5">
        <v>1076.4000000000001</v>
      </c>
      <c r="G292" s="6">
        <v>44837</v>
      </c>
      <c r="H292" s="5">
        <f t="shared" si="34"/>
        <v>16</v>
      </c>
      <c r="I292" s="8" t="b">
        <f t="shared" si="35"/>
        <v>1</v>
      </c>
    </row>
    <row r="293" spans="1:9">
      <c r="A293" s="5">
        <v>101</v>
      </c>
      <c r="B293" s="6">
        <v>44838</v>
      </c>
      <c r="C293" s="7">
        <v>0.4</v>
      </c>
      <c r="D293" s="5">
        <v>15.78</v>
      </c>
      <c r="E293" s="5">
        <v>1076.4000000000001</v>
      </c>
      <c r="F293" s="5">
        <v>1091.9000000000001</v>
      </c>
      <c r="G293" s="6">
        <v>44838</v>
      </c>
      <c r="H293" s="5">
        <f t="shared" si="34"/>
        <v>15.5</v>
      </c>
      <c r="I293" s="8" t="b">
        <f t="shared" si="35"/>
        <v>1</v>
      </c>
    </row>
    <row r="294" spans="1:9">
      <c r="A294" s="5">
        <v>101</v>
      </c>
      <c r="B294" s="6">
        <v>44839</v>
      </c>
      <c r="C294" s="7">
        <v>0.4</v>
      </c>
      <c r="D294" s="5">
        <v>15.78</v>
      </c>
      <c r="E294" s="5">
        <v>1091.9000000000001</v>
      </c>
      <c r="F294" s="5">
        <v>1101.4000000000001</v>
      </c>
      <c r="G294" s="6">
        <v>44839</v>
      </c>
      <c r="H294" s="5">
        <f t="shared" si="34"/>
        <v>9.5</v>
      </c>
      <c r="I294" s="8" t="b">
        <f t="shared" si="35"/>
        <v>1</v>
      </c>
    </row>
    <row r="295" spans="1:9">
      <c r="A295" s="5">
        <v>101</v>
      </c>
      <c r="B295" s="6">
        <v>44840</v>
      </c>
      <c r="C295" s="7">
        <v>0.4</v>
      </c>
      <c r="D295" s="5">
        <v>15.78</v>
      </c>
      <c r="E295" s="5">
        <v>1101.4000000000001</v>
      </c>
      <c r="F295" s="5">
        <v>1123.4000000000001</v>
      </c>
      <c r="G295" s="6">
        <v>44840</v>
      </c>
      <c r="H295" s="5">
        <f t="shared" si="34"/>
        <v>22</v>
      </c>
      <c r="I295" s="8" t="b">
        <f t="shared" si="35"/>
        <v>1</v>
      </c>
    </row>
    <row r="296" spans="1:9">
      <c r="A296" s="5">
        <v>101</v>
      </c>
      <c r="B296" s="6">
        <v>44841</v>
      </c>
      <c r="C296" s="7">
        <v>0.4</v>
      </c>
      <c r="D296" s="5">
        <v>15.78</v>
      </c>
      <c r="E296" s="5">
        <v>1123.4000000000001</v>
      </c>
      <c r="F296" s="5">
        <v>1138.2</v>
      </c>
      <c r="G296" s="6">
        <v>44841</v>
      </c>
      <c r="H296" s="5">
        <f t="shared" ref="H296:H302" si="36">F296-E296</f>
        <v>14.799999999999955</v>
      </c>
      <c r="I296" s="8" t="b">
        <f t="shared" si="35"/>
        <v>1</v>
      </c>
    </row>
    <row r="297" spans="1:9">
      <c r="A297" s="5">
        <v>101</v>
      </c>
      <c r="B297" s="6">
        <v>44842</v>
      </c>
      <c r="C297" s="7">
        <v>0.4</v>
      </c>
      <c r="D297" s="5">
        <v>15.78</v>
      </c>
      <c r="E297" s="5">
        <v>1138.2</v>
      </c>
      <c r="F297" s="5">
        <v>1153.2</v>
      </c>
      <c r="G297" s="6">
        <v>44842</v>
      </c>
      <c r="H297" s="5">
        <f t="shared" si="36"/>
        <v>15</v>
      </c>
      <c r="I297" s="8" t="b">
        <f t="shared" si="35"/>
        <v>1</v>
      </c>
    </row>
    <row r="298" spans="1:9">
      <c r="A298" s="5">
        <v>101</v>
      </c>
      <c r="B298" s="6">
        <v>44843</v>
      </c>
      <c r="C298" s="7">
        <v>0.4</v>
      </c>
      <c r="D298" s="5">
        <v>15.78</v>
      </c>
      <c r="E298" s="5">
        <v>1153.2</v>
      </c>
      <c r="F298" s="5">
        <v>1168.2</v>
      </c>
      <c r="G298" s="6">
        <v>44843</v>
      </c>
      <c r="H298" s="5">
        <f t="shared" si="36"/>
        <v>15</v>
      </c>
      <c r="I298" s="8" t="b">
        <f t="shared" si="35"/>
        <v>1</v>
      </c>
    </row>
    <row r="299" spans="1:9">
      <c r="A299" s="5">
        <v>101</v>
      </c>
      <c r="B299" s="6">
        <v>44844</v>
      </c>
      <c r="C299" s="7">
        <v>0.4</v>
      </c>
      <c r="D299" s="5">
        <v>15.78</v>
      </c>
      <c r="E299" s="5">
        <v>1168.2</v>
      </c>
      <c r="F299" s="5">
        <v>1184.7</v>
      </c>
      <c r="G299" s="6">
        <v>44844</v>
      </c>
      <c r="H299" s="5">
        <f t="shared" si="36"/>
        <v>16.5</v>
      </c>
      <c r="I299" s="8" t="b">
        <f t="shared" si="35"/>
        <v>1</v>
      </c>
    </row>
    <row r="300" spans="1:9">
      <c r="A300" s="5">
        <v>101</v>
      </c>
      <c r="B300" s="6">
        <v>44846</v>
      </c>
      <c r="C300" s="7">
        <v>0.4</v>
      </c>
      <c r="D300" s="5">
        <v>15.78</v>
      </c>
      <c r="E300" s="5">
        <v>1184.7</v>
      </c>
      <c r="F300" s="5">
        <v>1199.5</v>
      </c>
      <c r="G300" s="6">
        <v>44846</v>
      </c>
      <c r="H300" s="5">
        <f t="shared" si="36"/>
        <v>14.799999999999955</v>
      </c>
      <c r="I300" s="8" t="b">
        <f t="shared" si="35"/>
        <v>1</v>
      </c>
    </row>
    <row r="301" spans="1:9">
      <c r="A301" s="5">
        <v>101</v>
      </c>
      <c r="B301" s="6">
        <v>44847</v>
      </c>
      <c r="C301" s="7">
        <v>0.4</v>
      </c>
      <c r="D301" s="5">
        <v>15.78</v>
      </c>
      <c r="E301" s="5">
        <v>1199.5</v>
      </c>
      <c r="F301" s="5">
        <v>1214.5</v>
      </c>
      <c r="G301" s="6">
        <v>44847</v>
      </c>
      <c r="H301" s="5">
        <f t="shared" si="36"/>
        <v>15</v>
      </c>
      <c r="I301" s="8" t="b">
        <f t="shared" si="35"/>
        <v>1</v>
      </c>
    </row>
    <row r="302" spans="1:9">
      <c r="A302" s="5">
        <v>101</v>
      </c>
      <c r="B302" s="6">
        <v>44848</v>
      </c>
      <c r="C302" s="7">
        <v>0.4</v>
      </c>
      <c r="D302" s="5">
        <v>15.78</v>
      </c>
      <c r="E302" s="5">
        <v>1214.5</v>
      </c>
      <c r="F302" s="5">
        <v>1229.3</v>
      </c>
      <c r="G302" s="6">
        <v>44848</v>
      </c>
      <c r="H302" s="5">
        <f t="shared" si="36"/>
        <v>14.799999999999955</v>
      </c>
      <c r="I302" s="8" t="b">
        <f t="shared" si="35"/>
        <v>1</v>
      </c>
    </row>
    <row r="303" spans="1:9">
      <c r="A303" s="5">
        <v>101</v>
      </c>
      <c r="B303" s="6">
        <v>44849</v>
      </c>
      <c r="C303" s="7">
        <v>0.4</v>
      </c>
      <c r="D303" s="5">
        <v>15.78</v>
      </c>
      <c r="E303" s="5">
        <v>1229.3</v>
      </c>
      <c r="F303" s="5">
        <v>1244.3</v>
      </c>
      <c r="G303" s="6">
        <v>44849</v>
      </c>
      <c r="H303" s="5">
        <f t="shared" ref="H303:H317" si="37">F303-E303</f>
        <v>15</v>
      </c>
      <c r="I303" s="8" t="b">
        <f t="shared" si="35"/>
        <v>1</v>
      </c>
    </row>
    <row r="304" spans="1:9">
      <c r="A304" s="5">
        <v>101</v>
      </c>
      <c r="B304" s="6">
        <v>44850</v>
      </c>
      <c r="C304" s="7">
        <v>0.4</v>
      </c>
      <c r="D304" s="5">
        <v>15.78</v>
      </c>
      <c r="E304" s="5">
        <v>1244.3</v>
      </c>
      <c r="F304" s="5">
        <v>1260.8</v>
      </c>
      <c r="G304" s="6">
        <v>44850</v>
      </c>
      <c r="H304" s="5">
        <f t="shared" si="37"/>
        <v>16.5</v>
      </c>
      <c r="I304" s="8" t="b">
        <f t="shared" si="35"/>
        <v>1</v>
      </c>
    </row>
    <row r="305" spans="1:9">
      <c r="A305" s="5">
        <v>101</v>
      </c>
      <c r="B305" s="6">
        <v>44851</v>
      </c>
      <c r="C305" s="7">
        <v>0.4</v>
      </c>
      <c r="D305" s="5">
        <v>15.78</v>
      </c>
      <c r="E305" s="5">
        <v>1260.8</v>
      </c>
      <c r="F305" s="5">
        <v>1277.3</v>
      </c>
      <c r="G305" s="6">
        <v>44851</v>
      </c>
      <c r="H305" s="5">
        <f t="shared" si="37"/>
        <v>16.5</v>
      </c>
      <c r="I305" s="8" t="b">
        <f t="shared" si="35"/>
        <v>1</v>
      </c>
    </row>
    <row r="306" spans="1:9">
      <c r="A306" s="5">
        <v>101</v>
      </c>
      <c r="B306" s="6">
        <v>44853</v>
      </c>
      <c r="C306" s="7">
        <v>0.4</v>
      </c>
      <c r="D306" s="5">
        <v>15.78</v>
      </c>
      <c r="E306" s="5">
        <v>1277.3</v>
      </c>
      <c r="F306" s="5">
        <v>1293.8</v>
      </c>
      <c r="G306" s="6">
        <v>44853</v>
      </c>
      <c r="H306" s="5">
        <f t="shared" si="37"/>
        <v>16.5</v>
      </c>
      <c r="I306" s="8" t="b">
        <f t="shared" si="35"/>
        <v>1</v>
      </c>
    </row>
    <row r="307" spans="1:9">
      <c r="A307" s="5">
        <v>101</v>
      </c>
      <c r="B307" s="6">
        <v>44854</v>
      </c>
      <c r="C307" s="7">
        <v>0.4</v>
      </c>
      <c r="D307" s="5">
        <v>15.78</v>
      </c>
      <c r="E307" s="5">
        <v>1293.8</v>
      </c>
      <c r="F307" s="5">
        <v>1310.8</v>
      </c>
      <c r="G307" s="6">
        <v>44854</v>
      </c>
      <c r="H307" s="5">
        <f t="shared" si="37"/>
        <v>17</v>
      </c>
      <c r="I307" s="8" t="b">
        <f t="shared" si="35"/>
        <v>1</v>
      </c>
    </row>
    <row r="308" spans="1:9">
      <c r="A308" s="5">
        <v>101</v>
      </c>
      <c r="B308" s="6">
        <v>44856</v>
      </c>
      <c r="C308" s="7">
        <v>0.4</v>
      </c>
      <c r="D308" s="5">
        <v>15.78</v>
      </c>
      <c r="E308" s="5">
        <v>1310.8</v>
      </c>
      <c r="F308" s="5">
        <v>1325.2</v>
      </c>
      <c r="G308" s="6">
        <v>44856</v>
      </c>
      <c r="H308" s="5">
        <f t="shared" si="37"/>
        <v>14.400000000000091</v>
      </c>
      <c r="I308" s="8" t="b">
        <f t="shared" si="35"/>
        <v>1</v>
      </c>
    </row>
    <row r="309" spans="1:9">
      <c r="A309" s="5">
        <v>101</v>
      </c>
      <c r="B309" s="6">
        <v>44857</v>
      </c>
      <c r="C309" s="7">
        <v>0.4</v>
      </c>
      <c r="D309" s="5">
        <v>15.78</v>
      </c>
      <c r="E309" s="5">
        <v>1325.2</v>
      </c>
      <c r="F309" s="5">
        <v>1341.7</v>
      </c>
      <c r="G309" s="6">
        <v>44857</v>
      </c>
      <c r="H309" s="5">
        <f t="shared" si="37"/>
        <v>16.5</v>
      </c>
      <c r="I309" s="8" t="b">
        <f t="shared" si="35"/>
        <v>1</v>
      </c>
    </row>
    <row r="310" spans="1:9">
      <c r="A310" s="5">
        <v>101</v>
      </c>
      <c r="B310" s="6">
        <v>44860</v>
      </c>
      <c r="C310" s="7">
        <v>0.4</v>
      </c>
      <c r="D310" s="5">
        <v>15.78</v>
      </c>
      <c r="E310" s="5">
        <v>1341.7</v>
      </c>
      <c r="F310" s="5">
        <v>1356.7</v>
      </c>
      <c r="G310" s="6">
        <v>44860</v>
      </c>
      <c r="H310" s="5">
        <f t="shared" si="37"/>
        <v>15</v>
      </c>
      <c r="I310" s="8" t="b">
        <f t="shared" si="35"/>
        <v>1</v>
      </c>
    </row>
    <row r="311" spans="1:9">
      <c r="A311" s="5">
        <v>101</v>
      </c>
      <c r="B311" s="6">
        <v>44861</v>
      </c>
      <c r="C311" s="7">
        <v>0.4</v>
      </c>
      <c r="D311" s="5">
        <v>15.78</v>
      </c>
      <c r="E311" s="5">
        <v>1356.7</v>
      </c>
      <c r="F311" s="5">
        <v>1371.7</v>
      </c>
      <c r="G311" s="6">
        <v>44861</v>
      </c>
      <c r="H311" s="5">
        <f t="shared" si="37"/>
        <v>15</v>
      </c>
      <c r="I311" s="8" t="b">
        <f t="shared" si="35"/>
        <v>1</v>
      </c>
    </row>
    <row r="312" spans="1:9">
      <c r="A312" s="5">
        <v>101</v>
      </c>
      <c r="B312" s="6">
        <v>44862</v>
      </c>
      <c r="C312" s="7">
        <v>0.4</v>
      </c>
      <c r="D312" s="5">
        <v>15.78</v>
      </c>
      <c r="E312" s="5">
        <v>1371.7</v>
      </c>
      <c r="F312" s="5">
        <v>1388.7</v>
      </c>
      <c r="G312" s="6">
        <v>44862</v>
      </c>
      <c r="H312" s="5">
        <f t="shared" si="37"/>
        <v>17</v>
      </c>
      <c r="I312" s="8" t="b">
        <f t="shared" si="35"/>
        <v>1</v>
      </c>
    </row>
    <row r="313" spans="1:9">
      <c r="A313" s="5">
        <v>101</v>
      </c>
      <c r="B313" s="6">
        <v>44865</v>
      </c>
      <c r="C313" s="7">
        <v>0.4</v>
      </c>
      <c r="D313" s="5">
        <v>15.78</v>
      </c>
      <c r="E313" s="5">
        <v>1388.7</v>
      </c>
      <c r="F313" s="5">
        <v>1402.7</v>
      </c>
      <c r="G313" s="6">
        <v>44865</v>
      </c>
      <c r="H313" s="5">
        <f t="shared" si="37"/>
        <v>14</v>
      </c>
      <c r="I313" s="8" t="b">
        <f t="shared" si="35"/>
        <v>1</v>
      </c>
    </row>
    <row r="314" spans="1:9">
      <c r="A314" s="5">
        <v>101</v>
      </c>
      <c r="B314" s="6">
        <v>44872</v>
      </c>
      <c r="C314" s="7">
        <v>0.7</v>
      </c>
      <c r="D314" s="5">
        <v>9.01</v>
      </c>
      <c r="E314" s="5">
        <v>1402.7</v>
      </c>
      <c r="F314" s="5">
        <v>1420.2</v>
      </c>
      <c r="G314" s="6">
        <v>44872</v>
      </c>
      <c r="H314" s="5">
        <f t="shared" si="37"/>
        <v>17.5</v>
      </c>
      <c r="I314" s="8" t="b">
        <f t="shared" si="35"/>
        <v>1</v>
      </c>
    </row>
    <row r="315" spans="1:9">
      <c r="A315" s="5">
        <v>101</v>
      </c>
      <c r="B315" s="6">
        <v>44873</v>
      </c>
      <c r="C315" s="7">
        <v>0.4</v>
      </c>
      <c r="D315" s="5">
        <v>15.78</v>
      </c>
      <c r="E315" s="5">
        <v>1420.2</v>
      </c>
      <c r="F315" s="5">
        <v>1436</v>
      </c>
      <c r="G315" s="6">
        <v>44873</v>
      </c>
      <c r="H315" s="5">
        <f t="shared" si="37"/>
        <v>15.799999999999955</v>
      </c>
      <c r="I315" s="8" t="b">
        <f t="shared" si="35"/>
        <v>1</v>
      </c>
    </row>
    <row r="316" spans="1:9">
      <c r="A316" s="5">
        <v>101</v>
      </c>
      <c r="B316" s="6"/>
      <c r="C316" s="7"/>
      <c r="D316" s="5"/>
      <c r="E316" s="5"/>
      <c r="F316" s="5"/>
      <c r="G316" s="6"/>
      <c r="H316" s="5">
        <f t="shared" si="37"/>
        <v>0</v>
      </c>
      <c r="I316" s="8" t="b">
        <f t="shared" si="35"/>
        <v>0</v>
      </c>
    </row>
    <row r="317" spans="1:9">
      <c r="A317" s="5">
        <v>101</v>
      </c>
      <c r="B317" s="6"/>
      <c r="C317" s="7"/>
      <c r="D317" s="5"/>
      <c r="E317" s="5"/>
      <c r="F317" s="5"/>
      <c r="G317" s="6"/>
      <c r="H317" s="5">
        <f t="shared" si="37"/>
        <v>0</v>
      </c>
      <c r="I317" s="8" t="b">
        <f t="shared" si="35"/>
        <v>1</v>
      </c>
    </row>
    <row r="319" spans="1:9" ht="26.25">
      <c r="A319" s="126" t="s">
        <v>0</v>
      </c>
      <c r="B319" s="127"/>
      <c r="C319" s="127"/>
      <c r="D319" s="127"/>
      <c r="E319" s="127"/>
      <c r="F319" s="127"/>
      <c r="G319" s="127"/>
      <c r="H319" s="127"/>
      <c r="I319" s="128"/>
    </row>
    <row r="320" spans="1:9" ht="26.25">
      <c r="A320" s="129" t="s">
        <v>17</v>
      </c>
      <c r="B320" s="130"/>
      <c r="C320" s="130"/>
      <c r="D320" s="130"/>
      <c r="E320" s="130"/>
      <c r="F320" s="130"/>
      <c r="G320" s="130"/>
      <c r="H320" s="130"/>
      <c r="I320" s="131"/>
    </row>
    <row r="321" spans="1:9" ht="15.75" thickBot="1"/>
    <row r="322" spans="1:9" ht="15.75" thickBot="1">
      <c r="A322" s="132" t="s">
        <v>2</v>
      </c>
      <c r="B322" s="133"/>
      <c r="C322" s="133"/>
      <c r="D322" s="133"/>
      <c r="E322" s="133"/>
      <c r="F322" s="133"/>
      <c r="G322" s="133"/>
      <c r="H322" s="133"/>
      <c r="I322" s="134"/>
    </row>
    <row r="324" spans="1:9" ht="19.5" thickBot="1">
      <c r="A324" s="1" t="s">
        <v>3</v>
      </c>
      <c r="B324" s="1"/>
      <c r="C324" s="1"/>
      <c r="D324" s="1"/>
      <c r="E324" s="1"/>
      <c r="F324" s="1"/>
      <c r="G324" s="1"/>
    </row>
    <row r="325" spans="1:9" ht="30.75" thickBot="1">
      <c r="A325" s="2" t="s">
        <v>4</v>
      </c>
      <c r="B325" s="3" t="s">
        <v>5</v>
      </c>
      <c r="C325" s="3" t="s">
        <v>6</v>
      </c>
      <c r="D325" s="3" t="s">
        <v>7</v>
      </c>
      <c r="E325" s="3" t="s">
        <v>8</v>
      </c>
      <c r="F325" s="3" t="s">
        <v>9</v>
      </c>
      <c r="G325" s="3" t="s">
        <v>10</v>
      </c>
      <c r="H325" s="4" t="s">
        <v>11</v>
      </c>
      <c r="I325" s="4" t="s">
        <v>12</v>
      </c>
    </row>
    <row r="326" spans="1:9">
      <c r="A326" s="5">
        <v>101</v>
      </c>
      <c r="B326" s="6">
        <v>44890</v>
      </c>
      <c r="C326" s="7">
        <v>1</v>
      </c>
      <c r="D326" s="5">
        <v>6.31</v>
      </c>
      <c r="E326" s="5">
        <v>1936</v>
      </c>
      <c r="F326" s="5">
        <v>1954.7</v>
      </c>
      <c r="G326" s="52">
        <v>44890</v>
      </c>
      <c r="H326" s="5">
        <f>F326-E326</f>
        <v>18.700000000000045</v>
      </c>
      <c r="I326" s="8" t="b">
        <f>E326=F315</f>
        <v>0</v>
      </c>
    </row>
    <row r="327" spans="1:9">
      <c r="A327" s="25">
        <v>101</v>
      </c>
      <c r="B327" s="26">
        <v>44923</v>
      </c>
      <c r="C327" s="27">
        <v>1</v>
      </c>
      <c r="D327" s="25">
        <v>6.31</v>
      </c>
      <c r="E327" s="25">
        <v>0</v>
      </c>
      <c r="F327" s="25">
        <v>13</v>
      </c>
      <c r="G327" s="26">
        <v>44923</v>
      </c>
      <c r="H327" s="25">
        <f>F327-E327</f>
        <v>13</v>
      </c>
      <c r="I327" s="8" t="b">
        <f>E327=F326</f>
        <v>0</v>
      </c>
    </row>
    <row r="328" spans="1:9">
      <c r="A328" s="5">
        <v>101</v>
      </c>
      <c r="B328" s="6">
        <v>44930</v>
      </c>
      <c r="C328" s="7">
        <v>0.8</v>
      </c>
      <c r="D328" s="5">
        <v>7.34</v>
      </c>
      <c r="E328" s="5">
        <v>13</v>
      </c>
      <c r="F328" s="5">
        <v>28.6</v>
      </c>
      <c r="G328" s="6">
        <v>44930</v>
      </c>
      <c r="H328" s="5">
        <f t="shared" ref="H328:H336" si="38">F328-E328</f>
        <v>15.600000000000001</v>
      </c>
      <c r="I328" s="8" t="b">
        <f t="shared" ref="I328:I332" si="39">E328=F327</f>
        <v>1</v>
      </c>
    </row>
    <row r="329" spans="1:9">
      <c r="A329" s="5">
        <v>101</v>
      </c>
      <c r="B329" s="6">
        <v>44957</v>
      </c>
      <c r="C329" s="7">
        <v>0.7</v>
      </c>
      <c r="D329" s="5">
        <v>9.01</v>
      </c>
      <c r="E329" s="5">
        <v>25.6</v>
      </c>
      <c r="F329" s="5">
        <v>49.2</v>
      </c>
      <c r="G329" s="6">
        <v>44957</v>
      </c>
      <c r="H329" s="5">
        <f t="shared" si="38"/>
        <v>23.6</v>
      </c>
      <c r="I329" s="8" t="b">
        <f t="shared" si="39"/>
        <v>0</v>
      </c>
    </row>
    <row r="330" spans="1:9">
      <c r="A330" s="5">
        <v>101</v>
      </c>
      <c r="B330" s="6">
        <v>44963</v>
      </c>
      <c r="C330" s="7">
        <v>0.7</v>
      </c>
      <c r="D330" s="5">
        <v>9.01</v>
      </c>
      <c r="E330" s="5">
        <v>49.2</v>
      </c>
      <c r="F330" s="5">
        <v>68.099999999999994</v>
      </c>
      <c r="G330" s="6">
        <v>44963</v>
      </c>
      <c r="H330" s="5">
        <f t="shared" si="38"/>
        <v>18.899999999999991</v>
      </c>
      <c r="I330" s="8" t="b">
        <f t="shared" si="39"/>
        <v>1</v>
      </c>
    </row>
    <row r="331" spans="1:9">
      <c r="A331" s="5">
        <v>101</v>
      </c>
      <c r="B331" s="6">
        <v>44966</v>
      </c>
      <c r="C331" s="7">
        <v>0.7</v>
      </c>
      <c r="D331" s="5">
        <v>9.01</v>
      </c>
      <c r="E331" s="5">
        <v>68.099999999999994</v>
      </c>
      <c r="F331" s="5">
        <v>86.4</v>
      </c>
      <c r="G331" s="6">
        <v>44966</v>
      </c>
      <c r="H331" s="5">
        <f t="shared" si="38"/>
        <v>18.300000000000011</v>
      </c>
      <c r="I331" s="8" t="b">
        <f t="shared" si="39"/>
        <v>1</v>
      </c>
    </row>
    <row r="332" spans="1:9">
      <c r="A332" s="5">
        <v>101</v>
      </c>
      <c r="B332" s="6">
        <v>44969</v>
      </c>
      <c r="C332" s="7">
        <v>0.7</v>
      </c>
      <c r="D332" s="5">
        <v>9.01</v>
      </c>
      <c r="E332" s="5">
        <v>86.4</v>
      </c>
      <c r="F332" s="5">
        <v>104.6</v>
      </c>
      <c r="G332" s="6">
        <v>44969</v>
      </c>
      <c r="H332" s="5">
        <f t="shared" si="38"/>
        <v>18.199999999999989</v>
      </c>
      <c r="I332" s="8" t="b">
        <f t="shared" si="39"/>
        <v>1</v>
      </c>
    </row>
    <row r="333" spans="1:9">
      <c r="A333" s="5">
        <v>101</v>
      </c>
      <c r="B333" s="6">
        <v>44974</v>
      </c>
      <c r="C333" s="7">
        <v>0.7</v>
      </c>
      <c r="D333" s="5">
        <v>9.01</v>
      </c>
      <c r="E333" s="5">
        <v>104.6</v>
      </c>
      <c r="F333" s="5">
        <v>123.2</v>
      </c>
      <c r="G333" s="6">
        <v>44974</v>
      </c>
      <c r="H333" s="5">
        <f t="shared" si="38"/>
        <v>18.600000000000009</v>
      </c>
      <c r="I333" s="8" t="b">
        <f>E334=F332</f>
        <v>0</v>
      </c>
    </row>
    <row r="334" spans="1:9">
      <c r="A334" s="5">
        <v>101</v>
      </c>
      <c r="B334" s="6">
        <v>44977</v>
      </c>
      <c r="C334" s="7">
        <v>0.7</v>
      </c>
      <c r="D334" s="5">
        <v>9.01</v>
      </c>
      <c r="E334" s="5">
        <v>123.2</v>
      </c>
      <c r="F334" s="5">
        <v>141.19999999999999</v>
      </c>
      <c r="G334" s="6">
        <v>44977</v>
      </c>
      <c r="H334" s="5">
        <f t="shared" si="38"/>
        <v>17.999999999999986</v>
      </c>
      <c r="I334" s="8" t="b">
        <f>E333=F334</f>
        <v>0</v>
      </c>
    </row>
    <row r="335" spans="1:9">
      <c r="A335" s="5">
        <v>101</v>
      </c>
      <c r="B335" s="6">
        <v>44980</v>
      </c>
      <c r="C335" s="7">
        <v>0.7</v>
      </c>
      <c r="D335" s="5">
        <v>9.01</v>
      </c>
      <c r="E335" s="5">
        <v>141.19999999999999</v>
      </c>
      <c r="F335" s="5">
        <v>158.1</v>
      </c>
      <c r="G335" s="6">
        <v>44980</v>
      </c>
      <c r="H335" s="5">
        <f t="shared" si="38"/>
        <v>16.900000000000006</v>
      </c>
      <c r="I335" s="8" t="b">
        <f>E335=F333</f>
        <v>0</v>
      </c>
    </row>
    <row r="336" spans="1:9">
      <c r="A336" s="5">
        <v>101</v>
      </c>
      <c r="B336" s="6">
        <v>44987</v>
      </c>
      <c r="C336" s="7">
        <v>0.6</v>
      </c>
      <c r="D336" s="5">
        <v>10.52</v>
      </c>
      <c r="E336" s="5">
        <v>158.1</v>
      </c>
      <c r="F336" s="5">
        <v>182.2</v>
      </c>
      <c r="G336" s="6">
        <v>44987</v>
      </c>
      <c r="H336" s="5">
        <f t="shared" si="38"/>
        <v>24.099999999999994</v>
      </c>
      <c r="I336" s="8" t="b">
        <f>E336=F335</f>
        <v>1</v>
      </c>
    </row>
    <row r="337" spans="1:9">
      <c r="A337" s="5">
        <v>101</v>
      </c>
      <c r="B337" s="6">
        <v>44988</v>
      </c>
      <c r="C337" s="7">
        <v>0.6</v>
      </c>
      <c r="D337" s="5">
        <v>10.52</v>
      </c>
      <c r="E337" s="5">
        <v>182.2</v>
      </c>
      <c r="F337" s="5">
        <v>203</v>
      </c>
      <c r="G337" s="6">
        <v>44988</v>
      </c>
      <c r="H337" s="5">
        <f t="shared" ref="H337:H346" si="40">F337-E337</f>
        <v>20.800000000000011</v>
      </c>
      <c r="I337" s="8" t="b">
        <f t="shared" ref="I337:I346" si="41">E337=F336</f>
        <v>1</v>
      </c>
    </row>
    <row r="338" spans="1:9">
      <c r="A338" s="5">
        <v>101</v>
      </c>
      <c r="B338" s="6">
        <v>44991</v>
      </c>
      <c r="C338" s="7">
        <v>0.6</v>
      </c>
      <c r="D338" s="5">
        <v>10.52</v>
      </c>
      <c r="E338" s="5">
        <v>203</v>
      </c>
      <c r="F338" s="5">
        <v>224.3</v>
      </c>
      <c r="G338" s="6">
        <v>44991</v>
      </c>
      <c r="H338" s="5">
        <f t="shared" si="40"/>
        <v>21.300000000000011</v>
      </c>
      <c r="I338" s="8" t="b">
        <f t="shared" si="41"/>
        <v>1</v>
      </c>
    </row>
    <row r="339" spans="1:9">
      <c r="A339" s="5">
        <v>101</v>
      </c>
      <c r="B339" s="6">
        <v>44995</v>
      </c>
      <c r="C339" s="7">
        <v>0.6</v>
      </c>
      <c r="D339" s="5">
        <v>10.52</v>
      </c>
      <c r="E339" s="5">
        <v>224.3</v>
      </c>
      <c r="F339" s="5">
        <v>244.1</v>
      </c>
      <c r="G339" s="6">
        <v>44995</v>
      </c>
      <c r="H339" s="5">
        <f t="shared" si="40"/>
        <v>19.799999999999983</v>
      </c>
      <c r="I339" s="8" t="b">
        <f t="shared" si="41"/>
        <v>1</v>
      </c>
    </row>
    <row r="340" spans="1:9">
      <c r="A340" s="5">
        <v>101</v>
      </c>
      <c r="B340" s="6">
        <v>45001</v>
      </c>
      <c r="C340" s="7">
        <v>0.6</v>
      </c>
      <c r="D340" s="5">
        <v>10.52</v>
      </c>
      <c r="E340" s="5">
        <v>244.1</v>
      </c>
      <c r="F340" s="5">
        <v>266.5</v>
      </c>
      <c r="G340" s="6">
        <v>45001</v>
      </c>
      <c r="H340" s="5">
        <f t="shared" si="40"/>
        <v>22.400000000000006</v>
      </c>
      <c r="I340" s="8" t="b">
        <f t="shared" si="41"/>
        <v>1</v>
      </c>
    </row>
    <row r="341" spans="1:9">
      <c r="A341" s="5">
        <v>101</v>
      </c>
      <c r="B341" s="6">
        <v>45003</v>
      </c>
      <c r="C341" s="7">
        <v>0.6</v>
      </c>
      <c r="D341" s="5">
        <v>10.52</v>
      </c>
      <c r="E341" s="5">
        <v>266.5</v>
      </c>
      <c r="F341" s="5">
        <v>287.5</v>
      </c>
      <c r="G341" s="6">
        <v>45003</v>
      </c>
      <c r="H341" s="5">
        <f t="shared" si="40"/>
        <v>21</v>
      </c>
      <c r="I341" s="8" t="b">
        <f t="shared" si="41"/>
        <v>1</v>
      </c>
    </row>
    <row r="342" spans="1:9">
      <c r="A342" s="5">
        <v>101</v>
      </c>
      <c r="B342" s="6">
        <v>45005</v>
      </c>
      <c r="C342" s="7">
        <v>0.6</v>
      </c>
      <c r="D342" s="5">
        <v>10.52</v>
      </c>
      <c r="E342" s="5">
        <v>287.5</v>
      </c>
      <c r="F342" s="5">
        <v>308.8</v>
      </c>
      <c r="G342" s="6">
        <v>45005</v>
      </c>
      <c r="H342" s="5">
        <f t="shared" si="40"/>
        <v>21.300000000000011</v>
      </c>
      <c r="I342" s="8" t="b">
        <f t="shared" si="41"/>
        <v>1</v>
      </c>
    </row>
    <row r="343" spans="1:9">
      <c r="A343" s="5">
        <v>101</v>
      </c>
      <c r="B343" s="6">
        <v>45007</v>
      </c>
      <c r="C343" s="7">
        <v>0.6</v>
      </c>
      <c r="D343" s="5">
        <v>10.52</v>
      </c>
      <c r="E343" s="5">
        <v>308.8</v>
      </c>
      <c r="F343" s="5">
        <v>329.7</v>
      </c>
      <c r="G343" s="6">
        <v>45007</v>
      </c>
      <c r="H343" s="5">
        <f t="shared" si="40"/>
        <v>20.899999999999977</v>
      </c>
      <c r="I343" s="8" t="b">
        <f t="shared" si="41"/>
        <v>1</v>
      </c>
    </row>
    <row r="344" spans="1:9">
      <c r="A344" s="5">
        <v>101</v>
      </c>
      <c r="B344" s="6">
        <v>45010</v>
      </c>
      <c r="C344" s="7">
        <v>0.6</v>
      </c>
      <c r="D344" s="5">
        <v>10.52</v>
      </c>
      <c r="E344" s="5">
        <v>329.7</v>
      </c>
      <c r="F344" s="5">
        <v>350.9</v>
      </c>
      <c r="G344" s="6">
        <v>45010</v>
      </c>
      <c r="H344" s="5">
        <f t="shared" si="40"/>
        <v>21.199999999999989</v>
      </c>
      <c r="I344" s="8" t="b">
        <f t="shared" si="41"/>
        <v>1</v>
      </c>
    </row>
    <row r="345" spans="1:9">
      <c r="A345" s="5">
        <v>101</v>
      </c>
      <c r="B345" s="6">
        <v>45013</v>
      </c>
      <c r="C345" s="7">
        <v>0.65</v>
      </c>
      <c r="D345" s="5">
        <v>9.7100000000000009</v>
      </c>
      <c r="E345" s="5">
        <v>350.9</v>
      </c>
      <c r="F345" s="5">
        <v>369.1</v>
      </c>
      <c r="G345" s="6">
        <v>45013</v>
      </c>
      <c r="H345" s="5">
        <f t="shared" si="40"/>
        <v>18.200000000000045</v>
      </c>
      <c r="I345" s="8" t="b">
        <f t="shared" si="41"/>
        <v>1</v>
      </c>
    </row>
    <row r="346" spans="1:9">
      <c r="A346" s="5">
        <v>101</v>
      </c>
      <c r="B346" s="6">
        <v>45016</v>
      </c>
      <c r="C346" s="7">
        <v>0.65</v>
      </c>
      <c r="D346" s="5">
        <v>9.7100000000000009</v>
      </c>
      <c r="E346" s="5">
        <v>369.1</v>
      </c>
      <c r="F346" s="5">
        <v>390.5</v>
      </c>
      <c r="G346" s="6">
        <v>45016</v>
      </c>
      <c r="H346" s="5">
        <f t="shared" si="40"/>
        <v>21.399999999999977</v>
      </c>
      <c r="I346" s="8" t="b">
        <f t="shared" si="41"/>
        <v>1</v>
      </c>
    </row>
    <row r="347" spans="1:9">
      <c r="A347" s="5">
        <v>101</v>
      </c>
      <c r="B347" s="6">
        <v>45024</v>
      </c>
      <c r="C347" s="7">
        <v>0.65</v>
      </c>
      <c r="D347" s="5">
        <v>9.7100000000000009</v>
      </c>
      <c r="E347" s="5">
        <v>390.5</v>
      </c>
      <c r="F347" s="5">
        <v>410</v>
      </c>
      <c r="G347" s="6">
        <v>45024</v>
      </c>
      <c r="H347" s="5">
        <f t="shared" ref="H347:H350" si="42">F347-E347</f>
        <v>19.5</v>
      </c>
      <c r="I347" s="8" t="b">
        <f t="shared" ref="I347:I350" si="43">E347=F346</f>
        <v>1</v>
      </c>
    </row>
    <row r="348" spans="1:9">
      <c r="A348" s="5">
        <v>101</v>
      </c>
      <c r="B348" s="6">
        <v>45030</v>
      </c>
      <c r="C348" s="7">
        <v>0.65</v>
      </c>
      <c r="D348" s="5">
        <v>9.7100000000000009</v>
      </c>
      <c r="E348" s="5">
        <v>410</v>
      </c>
      <c r="F348" s="5">
        <v>430</v>
      </c>
      <c r="G348" s="6">
        <v>45030</v>
      </c>
      <c r="H348" s="5">
        <f t="shared" si="42"/>
        <v>20</v>
      </c>
      <c r="I348" s="8" t="b">
        <f t="shared" si="43"/>
        <v>1</v>
      </c>
    </row>
    <row r="349" spans="1:9">
      <c r="A349" s="5">
        <v>101</v>
      </c>
      <c r="B349" s="6">
        <v>45044</v>
      </c>
      <c r="C349" s="7">
        <v>0.7</v>
      </c>
      <c r="D349" s="5">
        <v>9.01</v>
      </c>
      <c r="E349" s="5">
        <v>430</v>
      </c>
      <c r="F349" s="5">
        <v>447.9</v>
      </c>
      <c r="G349" s="6">
        <v>45044</v>
      </c>
      <c r="H349" s="5">
        <f>F349-E349</f>
        <v>17.899999999999977</v>
      </c>
      <c r="I349" s="8" t="b">
        <f t="shared" si="43"/>
        <v>1</v>
      </c>
    </row>
    <row r="350" spans="1:9">
      <c r="A350" s="5">
        <v>101</v>
      </c>
      <c r="B350" s="6"/>
      <c r="C350" s="7"/>
      <c r="D350" s="5"/>
      <c r="E350" s="5"/>
      <c r="F350" s="5"/>
      <c r="G350" s="6"/>
      <c r="H350" s="5">
        <f t="shared" si="42"/>
        <v>0</v>
      </c>
      <c r="I350" s="8" t="b">
        <f t="shared" si="43"/>
        <v>0</v>
      </c>
    </row>
    <row r="352" spans="1:9" ht="26.25">
      <c r="A352" s="126" t="s">
        <v>0</v>
      </c>
      <c r="B352" s="127"/>
      <c r="C352" s="127"/>
      <c r="D352" s="127"/>
      <c r="E352" s="127"/>
      <c r="F352" s="127"/>
      <c r="G352" s="127"/>
      <c r="H352" s="127"/>
      <c r="I352" s="128"/>
    </row>
    <row r="353" spans="1:9" ht="26.25">
      <c r="A353" s="129" t="s">
        <v>18</v>
      </c>
      <c r="B353" s="130"/>
      <c r="C353" s="130"/>
      <c r="D353" s="130"/>
      <c r="E353" s="130"/>
      <c r="F353" s="130"/>
      <c r="G353" s="130"/>
      <c r="H353" s="130"/>
      <c r="I353" s="131"/>
    </row>
    <row r="354" spans="1:9" ht="15.75" thickBot="1"/>
    <row r="355" spans="1:9" ht="15.75" thickBot="1">
      <c r="A355" s="132" t="s">
        <v>2</v>
      </c>
      <c r="B355" s="133"/>
      <c r="C355" s="133"/>
      <c r="D355" s="133"/>
      <c r="E355" s="133"/>
      <c r="F355" s="133"/>
      <c r="G355" s="133"/>
      <c r="H355" s="133"/>
      <c r="I355" s="134"/>
    </row>
    <row r="357" spans="1:9" ht="19.5" thickBot="1">
      <c r="A357" s="1" t="s">
        <v>3</v>
      </c>
      <c r="B357" s="1"/>
      <c r="C357" s="1"/>
      <c r="D357" s="1"/>
      <c r="E357" s="1"/>
      <c r="F357" s="1"/>
      <c r="G357" s="1"/>
    </row>
    <row r="358" spans="1:9" ht="30.75" thickBot="1">
      <c r="A358" s="2" t="s">
        <v>4</v>
      </c>
      <c r="B358" s="3" t="s">
        <v>5</v>
      </c>
      <c r="C358" s="3" t="s">
        <v>6</v>
      </c>
      <c r="D358" s="3" t="s">
        <v>7</v>
      </c>
      <c r="E358" s="3" t="s">
        <v>8</v>
      </c>
      <c r="F358" s="3" t="s">
        <v>9</v>
      </c>
      <c r="G358" s="3" t="s">
        <v>10</v>
      </c>
      <c r="H358" s="4" t="s">
        <v>11</v>
      </c>
      <c r="I358" s="4" t="s">
        <v>12</v>
      </c>
    </row>
    <row r="359" spans="1:9">
      <c r="A359" s="5">
        <v>101</v>
      </c>
      <c r="B359" s="6">
        <v>45110</v>
      </c>
      <c r="C359" s="7">
        <v>0.45</v>
      </c>
      <c r="D359" s="5">
        <v>14.02</v>
      </c>
      <c r="E359" s="5">
        <v>447.9</v>
      </c>
      <c r="F359" s="5">
        <v>462.7</v>
      </c>
      <c r="G359" s="6">
        <v>45110</v>
      </c>
      <c r="H359" s="5">
        <f t="shared" ref="H359:H364" si="44">F359-E359</f>
        <v>14.800000000000011</v>
      </c>
      <c r="I359" s="8" t="b">
        <f>E359=F349</f>
        <v>1</v>
      </c>
    </row>
    <row r="360" spans="1:9">
      <c r="A360" s="5">
        <v>101</v>
      </c>
      <c r="B360" s="6">
        <v>45111</v>
      </c>
      <c r="C360" s="7">
        <v>0.45</v>
      </c>
      <c r="D360" s="5">
        <v>14.02</v>
      </c>
      <c r="E360" s="5">
        <v>462.7</v>
      </c>
      <c r="F360" s="5">
        <v>479.2</v>
      </c>
      <c r="G360" s="6">
        <v>45111</v>
      </c>
      <c r="H360" s="5">
        <f t="shared" si="44"/>
        <v>16.5</v>
      </c>
      <c r="I360" s="8" t="b">
        <f>E360=F359</f>
        <v>1</v>
      </c>
    </row>
    <row r="361" spans="1:9">
      <c r="A361" s="5">
        <v>101</v>
      </c>
      <c r="B361" s="6">
        <v>45117</v>
      </c>
      <c r="C361" s="7">
        <v>0.4</v>
      </c>
      <c r="D361" s="5">
        <v>15.78</v>
      </c>
      <c r="E361" s="5">
        <v>479.2</v>
      </c>
      <c r="F361" s="5">
        <v>495.1</v>
      </c>
      <c r="G361" s="6">
        <v>45117</v>
      </c>
      <c r="H361" s="5">
        <f t="shared" si="44"/>
        <v>15.900000000000034</v>
      </c>
      <c r="I361" s="8" t="b">
        <f t="shared" ref="I361:I366" si="45">E361=F360</f>
        <v>1</v>
      </c>
    </row>
    <row r="362" spans="1:9">
      <c r="A362" s="5">
        <v>101</v>
      </c>
      <c r="B362" s="6">
        <v>45118</v>
      </c>
      <c r="C362" s="7">
        <v>0.4</v>
      </c>
      <c r="D362" s="5">
        <v>15.78</v>
      </c>
      <c r="E362" s="5">
        <v>495.1</v>
      </c>
      <c r="F362" s="5">
        <v>511.1</v>
      </c>
      <c r="G362" s="6">
        <v>45118</v>
      </c>
      <c r="H362" s="5">
        <f t="shared" si="44"/>
        <v>16</v>
      </c>
      <c r="I362" s="8" t="b">
        <f t="shared" si="45"/>
        <v>1</v>
      </c>
    </row>
    <row r="363" spans="1:9">
      <c r="A363" s="5">
        <v>101</v>
      </c>
      <c r="B363" s="6">
        <v>45121</v>
      </c>
      <c r="C363" s="7">
        <v>0.4</v>
      </c>
      <c r="D363" s="5">
        <v>15.78</v>
      </c>
      <c r="E363" s="5">
        <v>511.1</v>
      </c>
      <c r="F363" s="5">
        <v>528.79999999999995</v>
      </c>
      <c r="G363" s="6">
        <v>45121</v>
      </c>
      <c r="H363" s="5">
        <f t="shared" si="44"/>
        <v>17.699999999999932</v>
      </c>
      <c r="I363" s="8" t="b">
        <f t="shared" si="45"/>
        <v>1</v>
      </c>
    </row>
    <row r="364" spans="1:9">
      <c r="A364" s="5">
        <v>101</v>
      </c>
      <c r="B364" s="6">
        <v>45122</v>
      </c>
      <c r="C364" s="7">
        <v>0.4</v>
      </c>
      <c r="D364" s="5">
        <v>15.78</v>
      </c>
      <c r="E364" s="5">
        <v>528.79999999999995</v>
      </c>
      <c r="F364" s="5">
        <v>544.29999999999995</v>
      </c>
      <c r="G364" s="6">
        <v>45122</v>
      </c>
      <c r="H364" s="5">
        <f t="shared" si="44"/>
        <v>15.5</v>
      </c>
      <c r="I364" s="8" t="b">
        <f t="shared" si="45"/>
        <v>1</v>
      </c>
    </row>
    <row r="365" spans="1:9">
      <c r="A365" s="5">
        <v>101</v>
      </c>
      <c r="B365" s="6">
        <v>45169</v>
      </c>
      <c r="C365" s="7">
        <v>0.8</v>
      </c>
      <c r="D365" s="5">
        <v>7</v>
      </c>
      <c r="E365" s="5">
        <v>544.29999999999995</v>
      </c>
      <c r="F365" s="5">
        <v>559.70000000000005</v>
      </c>
      <c r="G365" s="6">
        <v>45169</v>
      </c>
      <c r="H365" s="5">
        <f t="shared" ref="H365:H366" si="46">F365-E365</f>
        <v>15.400000000000091</v>
      </c>
      <c r="I365" s="8" t="b">
        <f t="shared" si="45"/>
        <v>1</v>
      </c>
    </row>
    <row r="366" spans="1:9">
      <c r="A366" s="5">
        <v>101</v>
      </c>
      <c r="B366" s="6"/>
      <c r="C366" s="7"/>
      <c r="D366" s="5"/>
      <c r="E366" s="5"/>
      <c r="F366" s="5"/>
      <c r="G366" s="6"/>
      <c r="H366" s="5">
        <f t="shared" si="46"/>
        <v>0</v>
      </c>
      <c r="I366" s="8" t="b">
        <f t="shared" si="45"/>
        <v>0</v>
      </c>
    </row>
    <row r="368" spans="1:9" ht="26.25">
      <c r="A368" s="126" t="s">
        <v>0</v>
      </c>
      <c r="B368" s="127"/>
      <c r="C368" s="127"/>
      <c r="D368" s="127"/>
      <c r="E368" s="127"/>
      <c r="F368" s="127"/>
      <c r="G368" s="127"/>
      <c r="H368" s="127"/>
      <c r="I368" s="128"/>
    </row>
    <row r="369" spans="1:9" ht="26.25">
      <c r="A369" s="129" t="s">
        <v>19</v>
      </c>
      <c r="B369" s="130"/>
      <c r="C369" s="130"/>
      <c r="D369" s="130"/>
      <c r="E369" s="130"/>
      <c r="F369" s="130"/>
      <c r="G369" s="130"/>
      <c r="H369" s="130"/>
      <c r="I369" s="131"/>
    </row>
    <row r="370" spans="1:9" ht="15.75" thickBot="1"/>
    <row r="371" spans="1:9" ht="15.75" thickBot="1">
      <c r="A371" s="132" t="s">
        <v>2</v>
      </c>
      <c r="B371" s="133"/>
      <c r="C371" s="133"/>
      <c r="D371" s="133"/>
      <c r="E371" s="133"/>
      <c r="F371" s="133"/>
      <c r="G371" s="133"/>
      <c r="H371" s="133"/>
      <c r="I371" s="134"/>
    </row>
    <row r="373" spans="1:9" ht="19.5" thickBot="1">
      <c r="A373" s="1" t="s">
        <v>3</v>
      </c>
      <c r="B373" s="1"/>
      <c r="C373" s="1"/>
      <c r="D373" s="1"/>
      <c r="E373" s="1"/>
      <c r="F373" s="1"/>
      <c r="G373" s="1"/>
    </row>
    <row r="374" spans="1:9" ht="30.75" thickBot="1">
      <c r="A374" s="2" t="s">
        <v>4</v>
      </c>
      <c r="B374" s="3" t="s">
        <v>5</v>
      </c>
      <c r="C374" s="3" t="s">
        <v>6</v>
      </c>
      <c r="D374" s="3" t="s">
        <v>7</v>
      </c>
      <c r="E374" s="3" t="s">
        <v>8</v>
      </c>
      <c r="F374" s="3" t="s">
        <v>9</v>
      </c>
      <c r="G374" s="3" t="s">
        <v>10</v>
      </c>
      <c r="H374" s="4" t="s">
        <v>11</v>
      </c>
      <c r="I374" s="4" t="s">
        <v>12</v>
      </c>
    </row>
    <row r="375" spans="1:9">
      <c r="A375" s="5">
        <v>101</v>
      </c>
      <c r="B375" s="6">
        <v>45277</v>
      </c>
      <c r="C375" s="7">
        <v>0.6</v>
      </c>
      <c r="D375" s="5">
        <v>10.52</v>
      </c>
      <c r="E375" s="5">
        <v>559.70000000000005</v>
      </c>
      <c r="F375" s="5">
        <v>581</v>
      </c>
      <c r="G375" s="6">
        <v>45277</v>
      </c>
      <c r="H375" s="5">
        <f>F375-E375</f>
        <v>21.299999999999955</v>
      </c>
      <c r="I375" s="8" t="b">
        <f>E375=F365</f>
        <v>1</v>
      </c>
    </row>
    <row r="376" spans="1:9">
      <c r="A376" s="5">
        <v>101</v>
      </c>
      <c r="B376" s="6">
        <v>45282</v>
      </c>
      <c r="C376" s="7">
        <v>1</v>
      </c>
      <c r="D376" s="5">
        <v>6.31</v>
      </c>
      <c r="E376" s="5">
        <v>581</v>
      </c>
      <c r="F376" s="5">
        <v>594</v>
      </c>
      <c r="G376" s="6">
        <v>45282</v>
      </c>
      <c r="H376" s="5">
        <f t="shared" ref="H376:H378" si="47">F376-E376</f>
        <v>13</v>
      </c>
      <c r="I376" s="8" t="b">
        <f>E376=F375</f>
        <v>1</v>
      </c>
    </row>
    <row r="377" spans="1:9">
      <c r="A377" s="5">
        <v>101</v>
      </c>
      <c r="B377" s="6">
        <v>45283</v>
      </c>
      <c r="C377" s="7">
        <v>1</v>
      </c>
      <c r="D377" s="5">
        <v>6.31</v>
      </c>
      <c r="E377" s="5">
        <v>594</v>
      </c>
      <c r="F377" s="5">
        <v>607.9</v>
      </c>
      <c r="G377" s="6">
        <v>45283</v>
      </c>
      <c r="H377" s="5">
        <f t="shared" si="47"/>
        <v>13.899999999999977</v>
      </c>
      <c r="I377" s="8" t="b">
        <f t="shared" ref="I377:I378" si="48">E377=F376</f>
        <v>1</v>
      </c>
    </row>
    <row r="378" spans="1:9">
      <c r="A378" s="5">
        <v>101</v>
      </c>
      <c r="B378" s="6">
        <v>45285</v>
      </c>
      <c r="C378" s="7">
        <v>1</v>
      </c>
      <c r="D378" s="5">
        <v>6.31</v>
      </c>
      <c r="E378" s="5">
        <v>607.9</v>
      </c>
      <c r="F378" s="5">
        <v>620.5</v>
      </c>
      <c r="G378" s="6">
        <v>45285</v>
      </c>
      <c r="H378" s="5">
        <f t="shared" si="47"/>
        <v>12.600000000000023</v>
      </c>
      <c r="I378" s="8" t="b">
        <f t="shared" si="48"/>
        <v>1</v>
      </c>
    </row>
    <row r="379" spans="1:9">
      <c r="A379" s="5">
        <v>101</v>
      </c>
      <c r="B379" s="6">
        <v>45286</v>
      </c>
      <c r="C379" s="7">
        <v>0.6</v>
      </c>
      <c r="D379" s="5">
        <v>10.52</v>
      </c>
      <c r="E379" s="5">
        <v>620.5</v>
      </c>
      <c r="F379" s="5">
        <v>641.1</v>
      </c>
      <c r="G379" s="6">
        <v>45286</v>
      </c>
      <c r="H379" s="5">
        <f t="shared" ref="H379:H389" si="49">F379-E379</f>
        <v>20.600000000000023</v>
      </c>
      <c r="I379" s="8" t="b">
        <f t="shared" ref="I379:I389" si="50">E379=F378</f>
        <v>1</v>
      </c>
    </row>
    <row r="380" spans="1:9">
      <c r="A380" s="5">
        <v>101</v>
      </c>
      <c r="B380" s="6">
        <v>45287</v>
      </c>
      <c r="C380" s="7">
        <v>1</v>
      </c>
      <c r="D380" s="5">
        <v>6.31</v>
      </c>
      <c r="E380" s="5">
        <v>641.1</v>
      </c>
      <c r="F380" s="5">
        <v>653.6</v>
      </c>
      <c r="G380" s="6">
        <v>45287</v>
      </c>
      <c r="H380" s="5">
        <f t="shared" si="49"/>
        <v>12.5</v>
      </c>
      <c r="I380" s="8" t="b">
        <f t="shared" si="50"/>
        <v>1</v>
      </c>
    </row>
    <row r="381" spans="1:9">
      <c r="A381" s="5">
        <v>101</v>
      </c>
      <c r="B381" s="6">
        <v>45288</v>
      </c>
      <c r="C381" s="7">
        <v>1</v>
      </c>
      <c r="D381" s="5">
        <v>6.31</v>
      </c>
      <c r="E381" s="5">
        <v>653.6</v>
      </c>
      <c r="F381" s="5">
        <v>666.1</v>
      </c>
      <c r="G381" s="6">
        <v>45288</v>
      </c>
      <c r="H381" s="5">
        <f t="shared" si="49"/>
        <v>12.5</v>
      </c>
      <c r="I381" s="8" t="b">
        <f t="shared" si="50"/>
        <v>1</v>
      </c>
    </row>
    <row r="382" spans="1:9">
      <c r="A382" s="5">
        <v>101</v>
      </c>
      <c r="B382" s="6">
        <v>45289</v>
      </c>
      <c r="C382" s="7">
        <v>1</v>
      </c>
      <c r="D382" s="5">
        <v>6.31</v>
      </c>
      <c r="E382" s="5">
        <v>666.1</v>
      </c>
      <c r="F382" s="5">
        <v>678.6</v>
      </c>
      <c r="G382" s="6">
        <v>45289</v>
      </c>
      <c r="H382" s="5">
        <f t="shared" si="49"/>
        <v>12.5</v>
      </c>
      <c r="I382" s="8" t="b">
        <f t="shared" si="50"/>
        <v>1</v>
      </c>
    </row>
    <row r="383" spans="1:9">
      <c r="A383" s="5">
        <v>101</v>
      </c>
      <c r="B383" s="6">
        <v>45290</v>
      </c>
      <c r="C383" s="7">
        <v>1</v>
      </c>
      <c r="D383" s="5">
        <v>6.31</v>
      </c>
      <c r="E383" s="5">
        <v>678.6</v>
      </c>
      <c r="F383" s="5">
        <v>691.1</v>
      </c>
      <c r="G383" s="6">
        <v>45290</v>
      </c>
      <c r="H383" s="5">
        <f t="shared" si="49"/>
        <v>12.5</v>
      </c>
      <c r="I383" s="8" t="b">
        <f t="shared" si="50"/>
        <v>1</v>
      </c>
    </row>
    <row r="384" spans="1:9">
      <c r="A384" s="5">
        <v>101</v>
      </c>
      <c r="B384" s="6">
        <v>45291</v>
      </c>
      <c r="C384" s="7">
        <v>1</v>
      </c>
      <c r="D384" s="5">
        <v>6.31</v>
      </c>
      <c r="E384" s="5">
        <v>691.1</v>
      </c>
      <c r="F384" s="5">
        <v>703.4</v>
      </c>
      <c r="G384" s="6">
        <v>45291</v>
      </c>
      <c r="H384" s="5">
        <f t="shared" si="49"/>
        <v>12.299999999999955</v>
      </c>
      <c r="I384" s="8" t="b">
        <f t="shared" si="50"/>
        <v>1</v>
      </c>
    </row>
    <row r="385" spans="1:12">
      <c r="A385" s="5">
        <v>101</v>
      </c>
      <c r="B385" s="6">
        <v>45292</v>
      </c>
      <c r="C385" s="7">
        <v>1</v>
      </c>
      <c r="D385" s="5">
        <v>6.31</v>
      </c>
      <c r="E385" s="5">
        <v>703.4</v>
      </c>
      <c r="F385" s="5">
        <v>716</v>
      </c>
      <c r="G385" s="6">
        <v>45292</v>
      </c>
      <c r="H385" s="5">
        <f t="shared" si="49"/>
        <v>12.600000000000023</v>
      </c>
      <c r="I385" s="8" t="b">
        <f t="shared" si="50"/>
        <v>1</v>
      </c>
    </row>
    <row r="386" spans="1:12">
      <c r="A386" s="5">
        <v>101</v>
      </c>
      <c r="B386" s="6">
        <v>45302</v>
      </c>
      <c r="C386" s="7">
        <v>1</v>
      </c>
      <c r="D386" s="5">
        <v>6.31</v>
      </c>
      <c r="E386" s="5">
        <v>716</v>
      </c>
      <c r="F386" s="5">
        <v>729.7</v>
      </c>
      <c r="G386" s="6">
        <v>45302</v>
      </c>
      <c r="H386" s="5">
        <f t="shared" si="49"/>
        <v>13.700000000000045</v>
      </c>
      <c r="I386" s="8" t="b">
        <f t="shared" si="50"/>
        <v>1</v>
      </c>
    </row>
    <row r="387" spans="1:12">
      <c r="A387" s="5">
        <v>101</v>
      </c>
      <c r="B387" s="6">
        <v>45303</v>
      </c>
      <c r="C387" s="7">
        <v>1</v>
      </c>
      <c r="D387" s="5">
        <v>6.31</v>
      </c>
      <c r="E387" s="5">
        <v>729.7</v>
      </c>
      <c r="F387" s="5">
        <v>742.4</v>
      </c>
      <c r="G387" s="6">
        <v>45303</v>
      </c>
      <c r="H387" s="5">
        <f t="shared" si="49"/>
        <v>12.699999999999932</v>
      </c>
      <c r="I387" s="8" t="b">
        <f t="shared" si="50"/>
        <v>1</v>
      </c>
    </row>
    <row r="388" spans="1:12">
      <c r="A388" s="5">
        <v>101</v>
      </c>
      <c r="B388" s="6">
        <v>45307</v>
      </c>
      <c r="C388" s="7">
        <v>0.6</v>
      </c>
      <c r="D388" s="5">
        <v>10.52</v>
      </c>
      <c r="E388" s="5">
        <v>742.4</v>
      </c>
      <c r="F388" s="5">
        <v>762.2</v>
      </c>
      <c r="G388" s="6">
        <v>45307</v>
      </c>
      <c r="H388" s="5">
        <f t="shared" si="49"/>
        <v>19.800000000000068</v>
      </c>
      <c r="I388" s="8" t="b">
        <f t="shared" si="50"/>
        <v>1</v>
      </c>
    </row>
    <row r="389" spans="1:12">
      <c r="A389" s="5">
        <v>101</v>
      </c>
      <c r="B389" s="6">
        <v>45316</v>
      </c>
      <c r="C389" s="7">
        <v>1</v>
      </c>
      <c r="D389" s="5">
        <v>6.31</v>
      </c>
      <c r="E389" s="5">
        <v>762.2</v>
      </c>
      <c r="F389" s="5">
        <v>775.6</v>
      </c>
      <c r="G389" s="6">
        <v>45316</v>
      </c>
      <c r="H389" s="5">
        <f t="shared" si="49"/>
        <v>13.399999999999977</v>
      </c>
      <c r="I389" s="8" t="b">
        <f t="shared" si="50"/>
        <v>1</v>
      </c>
      <c r="L389" s="76"/>
    </row>
    <row r="390" spans="1:12">
      <c r="A390" s="5">
        <v>101</v>
      </c>
      <c r="B390" s="6">
        <v>45327</v>
      </c>
      <c r="C390" s="7">
        <v>0.6</v>
      </c>
      <c r="D390" s="5">
        <v>10.52</v>
      </c>
      <c r="E390" s="5">
        <v>775.6</v>
      </c>
      <c r="F390" s="5">
        <v>796.3</v>
      </c>
      <c r="G390" s="6">
        <v>45327</v>
      </c>
      <c r="H390" s="5">
        <f t="shared" ref="H390:H409" si="51">F390-E390</f>
        <v>20.699999999999932</v>
      </c>
      <c r="I390" s="8" t="b">
        <f t="shared" ref="I390:I425" si="52">E390=F389</f>
        <v>1</v>
      </c>
    </row>
    <row r="391" spans="1:12">
      <c r="A391" s="5">
        <v>101</v>
      </c>
      <c r="B391" s="6">
        <v>45330</v>
      </c>
      <c r="C391" s="7">
        <v>1</v>
      </c>
      <c r="D391" s="5">
        <v>6.31</v>
      </c>
      <c r="E391" s="5">
        <v>796.3</v>
      </c>
      <c r="F391" s="5">
        <v>808.8</v>
      </c>
      <c r="G391" s="6">
        <v>45330</v>
      </c>
      <c r="H391" s="5">
        <f t="shared" si="51"/>
        <v>12.5</v>
      </c>
      <c r="I391" s="8" t="b">
        <f t="shared" si="52"/>
        <v>1</v>
      </c>
    </row>
    <row r="392" spans="1:12">
      <c r="A392" s="21">
        <v>101</v>
      </c>
      <c r="B392" s="22">
        <v>45337</v>
      </c>
      <c r="C392" s="23">
        <v>1</v>
      </c>
      <c r="D392" s="21">
        <v>6.31</v>
      </c>
      <c r="E392" s="21">
        <v>808.8</v>
      </c>
      <c r="F392" s="21">
        <v>819.8</v>
      </c>
      <c r="G392" s="22">
        <v>45337</v>
      </c>
      <c r="H392" s="21">
        <f t="shared" si="51"/>
        <v>11</v>
      </c>
      <c r="I392" s="8" t="b">
        <f t="shared" si="52"/>
        <v>1</v>
      </c>
    </row>
    <row r="393" spans="1:12">
      <c r="A393" s="21">
        <v>101</v>
      </c>
      <c r="B393" s="22">
        <v>45347</v>
      </c>
      <c r="C393" s="23">
        <v>1</v>
      </c>
      <c r="D393" s="21">
        <v>6.31</v>
      </c>
      <c r="E393" s="21">
        <v>819.8</v>
      </c>
      <c r="F393" s="21">
        <v>833</v>
      </c>
      <c r="G393" s="22">
        <v>45347</v>
      </c>
      <c r="H393" s="21">
        <f t="shared" si="51"/>
        <v>13.200000000000045</v>
      </c>
      <c r="I393" s="8" t="b">
        <f t="shared" si="52"/>
        <v>1</v>
      </c>
    </row>
    <row r="394" spans="1:12">
      <c r="A394" s="21">
        <v>101</v>
      </c>
      <c r="B394" s="22">
        <v>45350</v>
      </c>
      <c r="C394" s="23">
        <v>0.7</v>
      </c>
      <c r="D394" s="21">
        <v>9.01</v>
      </c>
      <c r="E394" s="21">
        <v>833</v>
      </c>
      <c r="F394" s="21">
        <v>850.6</v>
      </c>
      <c r="G394" s="22">
        <v>45350</v>
      </c>
      <c r="H394" s="21">
        <f t="shared" si="51"/>
        <v>17.600000000000023</v>
      </c>
      <c r="I394" s="8" t="b">
        <f t="shared" si="52"/>
        <v>1</v>
      </c>
    </row>
    <row r="395" spans="1:12">
      <c r="A395" s="21">
        <v>101</v>
      </c>
      <c r="B395" s="22">
        <v>45353</v>
      </c>
      <c r="C395" s="23">
        <v>0.6</v>
      </c>
      <c r="D395" s="21">
        <v>10.52</v>
      </c>
      <c r="E395" s="21">
        <v>850.6</v>
      </c>
      <c r="F395" s="21">
        <v>871.6</v>
      </c>
      <c r="G395" s="22">
        <v>45353</v>
      </c>
      <c r="H395" s="21">
        <f t="shared" si="51"/>
        <v>21</v>
      </c>
      <c r="I395" s="8" t="b">
        <f t="shared" si="52"/>
        <v>1</v>
      </c>
    </row>
    <row r="396" spans="1:12">
      <c r="A396" s="21">
        <v>101</v>
      </c>
      <c r="B396" s="22">
        <v>45360</v>
      </c>
      <c r="C396" s="23">
        <v>0.9</v>
      </c>
      <c r="D396" s="21">
        <v>7.01</v>
      </c>
      <c r="E396" s="21">
        <v>871.6</v>
      </c>
      <c r="F396" s="21">
        <v>885.5</v>
      </c>
      <c r="G396" s="22">
        <v>45360</v>
      </c>
      <c r="H396" s="21">
        <f t="shared" si="51"/>
        <v>13.899999999999977</v>
      </c>
      <c r="I396" s="8" t="b">
        <f t="shared" si="52"/>
        <v>1</v>
      </c>
    </row>
    <row r="397" spans="1:12">
      <c r="A397" s="21">
        <v>101</v>
      </c>
      <c r="B397" s="22">
        <v>45364</v>
      </c>
      <c r="C397" s="23">
        <v>1</v>
      </c>
      <c r="D397" s="21">
        <v>6.31</v>
      </c>
      <c r="E397" s="21">
        <v>885.5</v>
      </c>
      <c r="F397" s="21">
        <v>897.8</v>
      </c>
      <c r="G397" s="22">
        <v>45364</v>
      </c>
      <c r="H397" s="21">
        <f t="shared" si="51"/>
        <v>12.299999999999955</v>
      </c>
      <c r="I397" s="8" t="b">
        <f t="shared" si="52"/>
        <v>1</v>
      </c>
    </row>
    <row r="398" spans="1:12">
      <c r="A398" s="21">
        <v>101</v>
      </c>
      <c r="B398" s="22">
        <v>45365</v>
      </c>
      <c r="C398" s="23">
        <v>1</v>
      </c>
      <c r="D398" s="21">
        <v>6.31</v>
      </c>
      <c r="E398" s="21">
        <v>897.8</v>
      </c>
      <c r="F398" s="21">
        <v>910.2</v>
      </c>
      <c r="G398" s="22">
        <v>45365</v>
      </c>
      <c r="H398" s="21">
        <f t="shared" si="51"/>
        <v>12.400000000000091</v>
      </c>
      <c r="I398" s="8" t="b">
        <f t="shared" si="52"/>
        <v>1</v>
      </c>
    </row>
    <row r="399" spans="1:12">
      <c r="A399" s="21">
        <v>101</v>
      </c>
      <c r="B399" s="22">
        <v>45367</v>
      </c>
      <c r="C399" s="23">
        <v>0.6</v>
      </c>
      <c r="D399" s="21">
        <v>10.52</v>
      </c>
      <c r="E399" s="21">
        <v>910.2</v>
      </c>
      <c r="F399" s="21">
        <v>930.7</v>
      </c>
      <c r="G399" s="22">
        <v>45367</v>
      </c>
      <c r="H399" s="21">
        <f t="shared" si="51"/>
        <v>20.5</v>
      </c>
      <c r="I399" s="8" t="b">
        <f t="shared" si="52"/>
        <v>1</v>
      </c>
    </row>
    <row r="400" spans="1:12">
      <c r="A400" s="21">
        <v>101</v>
      </c>
      <c r="B400" s="22">
        <v>45370</v>
      </c>
      <c r="C400" s="23">
        <v>0.7</v>
      </c>
      <c r="D400" s="21">
        <v>9.01</v>
      </c>
      <c r="E400" s="21">
        <v>930.7</v>
      </c>
      <c r="F400" s="21">
        <v>948.3</v>
      </c>
      <c r="G400" s="22">
        <v>45370</v>
      </c>
      <c r="H400" s="21">
        <f t="shared" si="51"/>
        <v>17.599999999999909</v>
      </c>
      <c r="I400" s="8" t="b">
        <f t="shared" si="52"/>
        <v>1</v>
      </c>
    </row>
    <row r="401" spans="1:9">
      <c r="A401" s="21">
        <v>101</v>
      </c>
      <c r="B401" s="22">
        <v>45379</v>
      </c>
      <c r="C401" s="23">
        <v>1</v>
      </c>
      <c r="D401" s="21">
        <v>6.31</v>
      </c>
      <c r="E401" s="21">
        <v>948.3</v>
      </c>
      <c r="F401" s="21">
        <v>961.6</v>
      </c>
      <c r="G401" s="22">
        <v>45379</v>
      </c>
      <c r="H401" s="21">
        <f t="shared" si="51"/>
        <v>13.300000000000068</v>
      </c>
      <c r="I401" s="8" t="b">
        <f t="shared" si="52"/>
        <v>1</v>
      </c>
    </row>
    <row r="402" spans="1:9">
      <c r="A402" s="21">
        <v>101</v>
      </c>
      <c r="B402" s="22">
        <v>45381</v>
      </c>
      <c r="C402" s="23">
        <v>0.55000000000000004</v>
      </c>
      <c r="D402" s="21">
        <v>11.47</v>
      </c>
      <c r="E402" s="21">
        <v>961.6</v>
      </c>
      <c r="F402" s="21">
        <v>984</v>
      </c>
      <c r="G402" s="22">
        <v>45381</v>
      </c>
      <c r="H402" s="21">
        <f t="shared" si="51"/>
        <v>22.399999999999977</v>
      </c>
      <c r="I402" s="8" t="b">
        <f t="shared" si="52"/>
        <v>1</v>
      </c>
    </row>
    <row r="403" spans="1:9">
      <c r="A403" s="21">
        <v>101</v>
      </c>
      <c r="B403" s="22">
        <v>45384</v>
      </c>
      <c r="C403" s="23">
        <v>1</v>
      </c>
      <c r="D403" s="21">
        <v>6.31</v>
      </c>
      <c r="E403" s="21">
        <v>984</v>
      </c>
      <c r="F403" s="21">
        <v>987.5</v>
      </c>
      <c r="G403" s="22">
        <v>45384</v>
      </c>
      <c r="H403" s="21">
        <f t="shared" si="51"/>
        <v>3.5</v>
      </c>
      <c r="I403" s="8" t="b">
        <f t="shared" si="52"/>
        <v>1</v>
      </c>
    </row>
    <row r="404" spans="1:9">
      <c r="A404" s="21">
        <v>101</v>
      </c>
      <c r="B404" s="22">
        <v>45391</v>
      </c>
      <c r="C404" s="23">
        <v>0.7</v>
      </c>
      <c r="D404" s="21">
        <v>9.01</v>
      </c>
      <c r="E404" s="21">
        <v>987.5</v>
      </c>
      <c r="F404" s="21">
        <v>1005.4</v>
      </c>
      <c r="G404" s="22">
        <v>45391</v>
      </c>
      <c r="H404" s="21">
        <f t="shared" si="51"/>
        <v>17.899999999999977</v>
      </c>
      <c r="I404" s="8" t="b">
        <f t="shared" si="52"/>
        <v>1</v>
      </c>
    </row>
    <row r="405" spans="1:9">
      <c r="A405" s="21">
        <v>101</v>
      </c>
      <c r="B405" s="6">
        <v>45398</v>
      </c>
      <c r="C405" s="7">
        <v>1</v>
      </c>
      <c r="D405" s="5">
        <v>6.31</v>
      </c>
      <c r="E405" s="5">
        <v>1005.4</v>
      </c>
      <c r="F405" s="5">
        <v>1018.6</v>
      </c>
      <c r="G405" s="6">
        <v>45398</v>
      </c>
      <c r="H405" s="5">
        <f t="shared" si="51"/>
        <v>13.200000000000045</v>
      </c>
      <c r="I405" s="8" t="b">
        <f t="shared" si="52"/>
        <v>1</v>
      </c>
    </row>
    <row r="406" spans="1:9">
      <c r="A406" s="21">
        <v>101</v>
      </c>
      <c r="B406" s="6">
        <v>45402</v>
      </c>
      <c r="C406" s="7">
        <v>0.7</v>
      </c>
      <c r="D406" s="5">
        <v>9.01</v>
      </c>
      <c r="E406" s="5">
        <v>1018.6</v>
      </c>
      <c r="F406" s="5">
        <v>1036.3</v>
      </c>
      <c r="G406" s="6">
        <v>45402</v>
      </c>
      <c r="H406" s="5">
        <f t="shared" si="51"/>
        <v>17.699999999999932</v>
      </c>
      <c r="I406" s="8" t="b">
        <f t="shared" si="52"/>
        <v>1</v>
      </c>
    </row>
    <row r="407" spans="1:9">
      <c r="A407" s="21">
        <v>101</v>
      </c>
      <c r="B407" s="6">
        <v>45408</v>
      </c>
      <c r="C407" s="7">
        <v>0.7</v>
      </c>
      <c r="D407" s="5">
        <v>9.01</v>
      </c>
      <c r="E407" s="5">
        <v>1053.9000000000001</v>
      </c>
      <c r="F407" s="5">
        <v>1072.0999999999999</v>
      </c>
      <c r="G407" s="6">
        <v>45408</v>
      </c>
      <c r="H407" s="5">
        <f t="shared" si="51"/>
        <v>18.199999999999818</v>
      </c>
      <c r="I407" s="8" t="b">
        <f t="shared" si="52"/>
        <v>0</v>
      </c>
    </row>
    <row r="408" spans="1:9">
      <c r="A408" s="21">
        <v>101</v>
      </c>
      <c r="B408" s="6">
        <v>45419</v>
      </c>
      <c r="C408" s="7">
        <v>0.6</v>
      </c>
      <c r="D408" s="5">
        <v>10.52</v>
      </c>
      <c r="E408" s="5">
        <v>1072.0999999999999</v>
      </c>
      <c r="F408" s="5">
        <v>1092.7</v>
      </c>
      <c r="G408" s="6">
        <v>45419</v>
      </c>
      <c r="H408" s="5">
        <f t="shared" si="51"/>
        <v>20.600000000000136</v>
      </c>
      <c r="I408" s="8" t="b">
        <f t="shared" si="52"/>
        <v>1</v>
      </c>
    </row>
    <row r="409" spans="1:9">
      <c r="A409" s="21">
        <v>101</v>
      </c>
      <c r="B409" s="6">
        <v>45501</v>
      </c>
      <c r="C409" s="7">
        <v>0.6</v>
      </c>
      <c r="D409" s="5">
        <v>10.52</v>
      </c>
      <c r="E409" s="5">
        <v>1092.7</v>
      </c>
      <c r="F409" s="5">
        <v>1096</v>
      </c>
      <c r="G409" s="6">
        <v>45532</v>
      </c>
      <c r="H409" s="5">
        <f t="shared" si="51"/>
        <v>3.2999999999999545</v>
      </c>
      <c r="I409" s="8" t="b">
        <f t="shared" si="52"/>
        <v>1</v>
      </c>
    </row>
    <row r="410" spans="1:9">
      <c r="A410" s="21">
        <v>101</v>
      </c>
      <c r="B410" s="6"/>
      <c r="C410" s="7"/>
      <c r="D410" s="5"/>
      <c r="E410" s="5"/>
      <c r="F410" s="5"/>
      <c r="G410" s="6"/>
      <c r="H410" s="5"/>
      <c r="I410" s="8" t="b">
        <f t="shared" si="52"/>
        <v>0</v>
      </c>
    </row>
    <row r="411" spans="1:9" ht="26.25">
      <c r="A411" s="126" t="s">
        <v>0</v>
      </c>
      <c r="B411" s="127"/>
      <c r="C411" s="127"/>
      <c r="D411" s="127"/>
      <c r="E411" s="127"/>
      <c r="F411" s="127"/>
      <c r="G411" s="127"/>
      <c r="H411" s="127"/>
      <c r="I411" s="128"/>
    </row>
    <row r="412" spans="1:9" ht="26.25">
      <c r="A412" s="129">
        <v>2024</v>
      </c>
      <c r="B412" s="130"/>
      <c r="C412" s="130"/>
      <c r="D412" s="130"/>
      <c r="E412" s="130"/>
      <c r="F412" s="130"/>
      <c r="G412" s="130"/>
      <c r="H412" s="130"/>
      <c r="I412" s="131"/>
    </row>
    <row r="413" spans="1:9" ht="15.75" thickBot="1"/>
    <row r="414" spans="1:9" ht="15.75" thickBot="1">
      <c r="A414" s="132" t="s">
        <v>2</v>
      </c>
      <c r="B414" s="133"/>
      <c r="C414" s="133"/>
      <c r="D414" s="133"/>
      <c r="E414" s="133"/>
      <c r="F414" s="133"/>
      <c r="G414" s="133"/>
      <c r="H414" s="133"/>
      <c r="I414" s="134"/>
    </row>
    <row r="416" spans="1:9" ht="19.5" thickBot="1">
      <c r="A416" s="1" t="s">
        <v>3</v>
      </c>
      <c r="B416" s="1"/>
      <c r="C416" s="1"/>
      <c r="D416" s="1"/>
      <c r="E416" s="1"/>
      <c r="F416" s="1"/>
      <c r="G416" s="1"/>
    </row>
    <row r="417" spans="1:9" ht="30.75" thickBot="1">
      <c r="A417" s="2" t="s">
        <v>4</v>
      </c>
      <c r="B417" s="3" t="s">
        <v>5</v>
      </c>
      <c r="C417" s="3" t="s">
        <v>6</v>
      </c>
      <c r="D417" s="3" t="s">
        <v>7</v>
      </c>
      <c r="E417" s="3" t="s">
        <v>8</v>
      </c>
      <c r="F417" s="3" t="s">
        <v>9</v>
      </c>
      <c r="G417" s="3" t="s">
        <v>10</v>
      </c>
      <c r="H417" s="4" t="s">
        <v>11</v>
      </c>
      <c r="I417" s="4" t="s">
        <v>12</v>
      </c>
    </row>
    <row r="418" spans="1:9">
      <c r="A418" s="5">
        <v>101</v>
      </c>
      <c r="B418" s="6">
        <v>45564</v>
      </c>
      <c r="C418" s="7">
        <v>1</v>
      </c>
      <c r="D418" s="5">
        <v>5.58</v>
      </c>
      <c r="E418" s="5">
        <v>1096</v>
      </c>
      <c r="F418" s="5">
        <v>1108.5</v>
      </c>
      <c r="G418" s="6">
        <v>45564</v>
      </c>
      <c r="H418" s="5">
        <f>F418-E418</f>
        <v>12.5</v>
      </c>
      <c r="I418" s="8" t="b">
        <f>E418=F408</f>
        <v>0</v>
      </c>
    </row>
    <row r="419" spans="1:9">
      <c r="A419" s="21">
        <v>101</v>
      </c>
      <c r="B419" s="6">
        <v>45567</v>
      </c>
      <c r="C419" s="7">
        <v>1</v>
      </c>
      <c r="D419" s="5">
        <v>5.58</v>
      </c>
      <c r="E419" s="5">
        <v>1108.5</v>
      </c>
      <c r="F419" s="5">
        <v>1121.2</v>
      </c>
      <c r="G419" s="6">
        <v>45567</v>
      </c>
      <c r="H419" s="5">
        <f t="shared" ref="H419:H425" si="53">F419-E419</f>
        <v>12.700000000000045</v>
      </c>
      <c r="I419" s="8" t="b">
        <f t="shared" si="52"/>
        <v>1</v>
      </c>
    </row>
    <row r="420" spans="1:9">
      <c r="A420" s="21">
        <v>101</v>
      </c>
      <c r="B420" s="6"/>
      <c r="C420" s="7"/>
      <c r="D420" s="5"/>
      <c r="E420" s="5"/>
      <c r="F420" s="5"/>
      <c r="G420" s="6"/>
      <c r="H420" s="5">
        <f t="shared" si="53"/>
        <v>0</v>
      </c>
      <c r="I420" s="8" t="b">
        <f t="shared" si="52"/>
        <v>0</v>
      </c>
    </row>
    <row r="421" spans="1:9">
      <c r="A421" s="21">
        <v>101</v>
      </c>
      <c r="B421" s="6"/>
      <c r="C421" s="7"/>
      <c r="D421" s="5"/>
      <c r="E421" s="5"/>
      <c r="F421" s="5"/>
      <c r="G421" s="6"/>
      <c r="H421" s="5">
        <f t="shared" si="53"/>
        <v>0</v>
      </c>
      <c r="I421" s="8" t="b">
        <f t="shared" si="52"/>
        <v>1</v>
      </c>
    </row>
    <row r="422" spans="1:9">
      <c r="A422" s="21">
        <v>101</v>
      </c>
      <c r="B422" s="6"/>
      <c r="C422" s="7"/>
      <c r="D422" s="5"/>
      <c r="E422" s="5"/>
      <c r="F422" s="5"/>
      <c r="G422" s="6"/>
      <c r="H422" s="5">
        <f t="shared" si="53"/>
        <v>0</v>
      </c>
      <c r="I422" s="8" t="b">
        <f t="shared" si="52"/>
        <v>1</v>
      </c>
    </row>
    <row r="423" spans="1:9">
      <c r="A423" s="21">
        <v>101</v>
      </c>
      <c r="B423" s="6"/>
      <c r="C423" s="7"/>
      <c r="D423" s="5"/>
      <c r="E423" s="5"/>
      <c r="F423" s="5"/>
      <c r="G423" s="6"/>
      <c r="H423" s="5">
        <f t="shared" si="53"/>
        <v>0</v>
      </c>
      <c r="I423" s="8" t="b">
        <f t="shared" si="52"/>
        <v>1</v>
      </c>
    </row>
    <row r="424" spans="1:9">
      <c r="A424" s="21">
        <v>101</v>
      </c>
      <c r="B424" s="6"/>
      <c r="C424" s="7"/>
      <c r="D424" s="5"/>
      <c r="E424" s="5"/>
      <c r="F424" s="5"/>
      <c r="G424" s="6"/>
      <c r="H424" s="5">
        <f t="shared" si="53"/>
        <v>0</v>
      </c>
      <c r="I424" s="8" t="b">
        <f t="shared" si="52"/>
        <v>1</v>
      </c>
    </row>
    <row r="425" spans="1:9">
      <c r="A425" s="21">
        <v>101</v>
      </c>
      <c r="B425" s="6"/>
      <c r="C425" s="7"/>
      <c r="D425" s="5"/>
      <c r="E425" s="5"/>
      <c r="F425" s="5"/>
      <c r="G425" s="6"/>
      <c r="H425" s="5">
        <f t="shared" si="53"/>
        <v>0</v>
      </c>
      <c r="I425" s="8" t="b">
        <f t="shared" si="52"/>
        <v>1</v>
      </c>
    </row>
  </sheetData>
  <autoFilter ref="A222:I317" xr:uid="{575FB71B-74A9-4EDF-B226-94C91D51C485}"/>
  <mergeCells count="27">
    <mergeCell ref="A157:I157"/>
    <mergeCell ref="A319:I319"/>
    <mergeCell ref="A320:I320"/>
    <mergeCell ref="A55:I55"/>
    <mergeCell ref="A1:I1"/>
    <mergeCell ref="A2:I2"/>
    <mergeCell ref="A4:I4"/>
    <mergeCell ref="A52:I52"/>
    <mergeCell ref="A53:I53"/>
    <mergeCell ref="A98:I98"/>
    <mergeCell ref="A99:I99"/>
    <mergeCell ref="A101:I101"/>
    <mergeCell ref="A154:I154"/>
    <mergeCell ref="A155:I155"/>
    <mergeCell ref="A352:I352"/>
    <mergeCell ref="A353:I353"/>
    <mergeCell ref="A355:I355"/>
    <mergeCell ref="A322:I322"/>
    <mergeCell ref="A216:I216"/>
    <mergeCell ref="A217:I217"/>
    <mergeCell ref="A219:I219"/>
    <mergeCell ref="A411:I411"/>
    <mergeCell ref="A412:I412"/>
    <mergeCell ref="A414:I414"/>
    <mergeCell ref="A368:I368"/>
    <mergeCell ref="A369:I369"/>
    <mergeCell ref="A371:I371"/>
  </mergeCells>
  <phoneticPr fontId="6" type="noConversion"/>
  <conditionalFormatting sqref="I1:I1048576">
    <cfRule type="containsText" dxfId="104" priority="1" operator="containsText" text="FALSO">
      <formula>NOT(ISERROR(SEARCH("FALSO",I1)))</formula>
    </cfRule>
    <cfRule type="containsText" dxfId="103" priority="2" operator="containsText" text="VERDADEIRO">
      <formula>NOT(ISERROR(SEARCH("VERDADEIRO",I1)))</formula>
    </cfRule>
  </conditionalFormatting>
  <pageMargins left="0.511811024" right="0.511811024" top="0.78740157499999996" bottom="0.78740157499999996" header="0.31496062000000002" footer="0.31496062000000002"/>
  <pageSetup paperSize="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1C1C-6144-4BDC-8456-ECC3CAF38E3C}">
  <sheetPr codeName="Planilha2"/>
  <dimension ref="A1:K668"/>
  <sheetViews>
    <sheetView topLeftCell="A626" zoomScaleNormal="100" workbookViewId="0">
      <selection activeCell="F657" sqref="F657"/>
    </sheetView>
  </sheetViews>
  <sheetFormatPr defaultRowHeight="15"/>
  <cols>
    <col min="1" max="1" width="14.42578125" bestFit="1" customWidth="1"/>
    <col min="2" max="2" width="14.85546875" style="60" bestFit="1" customWidth="1"/>
    <col min="3" max="3" width="11.42578125" style="63" customWidth="1"/>
    <col min="4" max="4" width="10.28515625" style="15" customWidth="1"/>
    <col min="5" max="5" width="12.5703125" customWidth="1"/>
    <col min="6" max="6" width="13.28515625" customWidth="1"/>
    <col min="7" max="7" width="14.42578125" style="60" customWidth="1"/>
    <col min="8" max="8" width="19.140625" hidden="1" customWidth="1"/>
    <col min="9" max="9" width="18.7109375" hidden="1" customWidth="1"/>
    <col min="10" max="10" width="10.85546875" customWidth="1"/>
    <col min="11" max="11" width="14" customWidth="1"/>
  </cols>
  <sheetData>
    <row r="1" spans="1:11" ht="26.25">
      <c r="A1" s="144" t="s">
        <v>20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1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61"/>
      <c r="C6" s="64"/>
      <c r="D6" s="54"/>
      <c r="E6" s="1"/>
      <c r="F6" s="1"/>
      <c r="G6" s="61"/>
      <c r="H6" s="1"/>
      <c r="I6" s="1"/>
    </row>
    <row r="7" spans="1:11" ht="30.75" thickBot="1">
      <c r="A7" s="2" t="s">
        <v>4</v>
      </c>
      <c r="B7" s="62" t="s">
        <v>5</v>
      </c>
      <c r="C7" s="65" t="s">
        <v>6</v>
      </c>
      <c r="D7" s="3" t="s">
        <v>7</v>
      </c>
      <c r="E7" s="3" t="s">
        <v>8</v>
      </c>
      <c r="F7" s="3" t="s">
        <v>9</v>
      </c>
      <c r="G7" s="62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102</v>
      </c>
      <c r="B8" s="6">
        <v>43823</v>
      </c>
      <c r="C8" s="66">
        <v>0.5</v>
      </c>
      <c r="D8" s="5">
        <v>11.6</v>
      </c>
      <c r="E8" s="5">
        <v>426</v>
      </c>
      <c r="F8" s="5">
        <v>451</v>
      </c>
      <c r="G8" s="6">
        <v>43823</v>
      </c>
      <c r="H8" s="5"/>
      <c r="I8" s="5"/>
      <c r="J8" s="5">
        <f>F8-E8</f>
        <v>25</v>
      </c>
      <c r="K8" s="8" t="b">
        <f>F8=E9</f>
        <v>1</v>
      </c>
    </row>
    <row r="9" spans="1:11">
      <c r="A9" s="5">
        <v>102</v>
      </c>
      <c r="B9" s="6">
        <v>43825</v>
      </c>
      <c r="C9" s="66">
        <v>0.8</v>
      </c>
      <c r="D9" s="5">
        <v>7.25</v>
      </c>
      <c r="E9" s="5">
        <v>451</v>
      </c>
      <c r="F9" s="5">
        <v>466</v>
      </c>
      <c r="G9" s="6">
        <v>43825</v>
      </c>
      <c r="H9" s="5"/>
      <c r="I9" s="5"/>
      <c r="J9" s="5">
        <f>F9-E9</f>
        <v>15</v>
      </c>
      <c r="K9" s="8" t="b">
        <f>F9=E10</f>
        <v>1</v>
      </c>
    </row>
    <row r="10" spans="1:11">
      <c r="A10" s="5">
        <v>102</v>
      </c>
      <c r="B10" s="6">
        <v>43826</v>
      </c>
      <c r="C10" s="66">
        <v>0.8</v>
      </c>
      <c r="D10" s="5">
        <v>7.25</v>
      </c>
      <c r="E10" s="5">
        <v>466</v>
      </c>
      <c r="F10" s="5">
        <v>478</v>
      </c>
      <c r="G10" s="6">
        <v>43826</v>
      </c>
      <c r="H10" s="5"/>
      <c r="I10" s="5"/>
      <c r="J10" s="5">
        <f>F10-E10</f>
        <v>12</v>
      </c>
      <c r="K10" s="8" t="b">
        <f>F10=E11</f>
        <v>1</v>
      </c>
    </row>
    <row r="11" spans="1:11">
      <c r="A11" s="5">
        <v>102</v>
      </c>
      <c r="B11" s="6">
        <v>43827</v>
      </c>
      <c r="C11" s="66">
        <v>0.8</v>
      </c>
      <c r="D11" s="5">
        <v>7.25</v>
      </c>
      <c r="E11" s="5">
        <v>478</v>
      </c>
      <c r="F11" s="5">
        <v>491</v>
      </c>
      <c r="G11" s="6">
        <v>43827</v>
      </c>
      <c r="H11" s="5"/>
      <c r="I11" s="5"/>
      <c r="J11" s="5">
        <f>F11-E11</f>
        <v>13</v>
      </c>
      <c r="K11" s="8" t="b">
        <f>F11=E12</f>
        <v>1</v>
      </c>
    </row>
    <row r="12" spans="1:11">
      <c r="A12" s="5">
        <v>102</v>
      </c>
      <c r="B12" s="6">
        <v>43828</v>
      </c>
      <c r="C12" s="66">
        <v>1</v>
      </c>
      <c r="D12" s="5">
        <v>5.8</v>
      </c>
      <c r="E12" s="5">
        <v>491</v>
      </c>
      <c r="F12" s="5">
        <v>503</v>
      </c>
      <c r="G12" s="6">
        <v>43828</v>
      </c>
      <c r="H12" s="5"/>
      <c r="I12" s="5"/>
      <c r="J12" s="5">
        <f t="shared" ref="J12:J17" si="0">F12-E12</f>
        <v>12</v>
      </c>
      <c r="K12" s="8" t="b">
        <f t="shared" ref="K12:K17" si="1">F12=E13</f>
        <v>1</v>
      </c>
    </row>
    <row r="13" spans="1:11">
      <c r="A13" s="5">
        <v>102</v>
      </c>
      <c r="B13" s="6">
        <v>43829</v>
      </c>
      <c r="C13" s="66">
        <v>1</v>
      </c>
      <c r="D13" s="5">
        <v>5.8</v>
      </c>
      <c r="E13" s="5">
        <v>503</v>
      </c>
      <c r="F13" s="5">
        <v>515</v>
      </c>
      <c r="G13" s="6">
        <v>43829</v>
      </c>
      <c r="H13" s="5"/>
      <c r="I13" s="5"/>
      <c r="J13" s="5">
        <f t="shared" si="0"/>
        <v>12</v>
      </c>
      <c r="K13" s="8" t="b">
        <f t="shared" si="1"/>
        <v>1</v>
      </c>
    </row>
    <row r="14" spans="1:11">
      <c r="A14" s="5">
        <v>102</v>
      </c>
      <c r="B14" s="6">
        <v>43830</v>
      </c>
      <c r="C14" s="66">
        <v>1</v>
      </c>
      <c r="D14" s="5">
        <v>5.8</v>
      </c>
      <c r="E14" s="5">
        <v>515</v>
      </c>
      <c r="F14" s="5">
        <v>526</v>
      </c>
      <c r="G14" s="6">
        <v>43830</v>
      </c>
      <c r="H14" s="5"/>
      <c r="I14" s="5"/>
      <c r="J14" s="5">
        <f t="shared" si="0"/>
        <v>11</v>
      </c>
      <c r="K14" s="8" t="b">
        <f t="shared" si="1"/>
        <v>1</v>
      </c>
    </row>
    <row r="15" spans="1:11">
      <c r="A15" s="5">
        <v>102</v>
      </c>
      <c r="B15" s="6">
        <v>43844</v>
      </c>
      <c r="C15" s="66">
        <v>1</v>
      </c>
      <c r="D15" s="5">
        <v>5.8</v>
      </c>
      <c r="E15" s="5">
        <v>526</v>
      </c>
      <c r="F15" s="5">
        <v>540</v>
      </c>
      <c r="G15" s="6">
        <v>43844</v>
      </c>
      <c r="H15" s="5"/>
      <c r="I15" s="5"/>
      <c r="J15" s="5">
        <f t="shared" si="0"/>
        <v>14</v>
      </c>
      <c r="K15" s="8" t="b">
        <f t="shared" si="1"/>
        <v>1</v>
      </c>
    </row>
    <row r="16" spans="1:11">
      <c r="A16" s="5">
        <v>102</v>
      </c>
      <c r="B16" s="6">
        <v>43845</v>
      </c>
      <c r="C16" s="66">
        <v>1</v>
      </c>
      <c r="D16" s="5">
        <v>5.8</v>
      </c>
      <c r="E16" s="5">
        <v>540</v>
      </c>
      <c r="F16" s="5">
        <v>552</v>
      </c>
      <c r="G16" s="6">
        <v>43845</v>
      </c>
      <c r="H16" s="5"/>
      <c r="I16" s="5"/>
      <c r="J16" s="5">
        <f t="shared" si="0"/>
        <v>12</v>
      </c>
      <c r="K16" s="8" t="b">
        <f t="shared" si="1"/>
        <v>1</v>
      </c>
    </row>
    <row r="17" spans="1:11">
      <c r="A17" s="5">
        <v>102</v>
      </c>
      <c r="B17" s="6">
        <v>43847</v>
      </c>
      <c r="C17" s="66">
        <v>0.8</v>
      </c>
      <c r="D17" s="5">
        <v>7.25</v>
      </c>
      <c r="E17" s="5">
        <v>552</v>
      </c>
      <c r="F17" s="5">
        <v>568</v>
      </c>
      <c r="G17" s="6">
        <v>43846</v>
      </c>
      <c r="H17" s="5"/>
      <c r="I17" s="5"/>
      <c r="J17" s="5">
        <f t="shared" si="0"/>
        <v>16</v>
      </c>
      <c r="K17" s="8" t="b">
        <f t="shared" si="1"/>
        <v>1</v>
      </c>
    </row>
    <row r="18" spans="1:11">
      <c r="A18" s="5">
        <v>102</v>
      </c>
      <c r="B18" s="6">
        <v>43849</v>
      </c>
      <c r="C18" s="66">
        <v>0.8</v>
      </c>
      <c r="D18" s="5">
        <v>7.25</v>
      </c>
      <c r="E18" s="5">
        <v>568</v>
      </c>
      <c r="F18" s="5">
        <v>584</v>
      </c>
      <c r="G18" s="6">
        <v>43849</v>
      </c>
      <c r="H18" s="5"/>
      <c r="I18" s="5"/>
      <c r="J18" s="5">
        <f t="shared" ref="J18:J23" si="2">F18-E18</f>
        <v>16</v>
      </c>
      <c r="K18" s="8" t="b">
        <f t="shared" ref="K18:K23" si="3">F18=E19</f>
        <v>1</v>
      </c>
    </row>
    <row r="19" spans="1:11">
      <c r="A19" s="5">
        <v>102</v>
      </c>
      <c r="B19" s="6">
        <v>43850</v>
      </c>
      <c r="C19" s="66">
        <v>0.8</v>
      </c>
      <c r="D19" s="5">
        <v>7.25</v>
      </c>
      <c r="E19" s="5">
        <v>584</v>
      </c>
      <c r="F19" s="5">
        <v>605</v>
      </c>
      <c r="G19" s="6">
        <v>43851</v>
      </c>
      <c r="H19" s="5"/>
      <c r="I19" s="5"/>
      <c r="J19" s="5">
        <f t="shared" si="2"/>
        <v>21</v>
      </c>
      <c r="K19" s="8" t="b">
        <f t="shared" si="3"/>
        <v>1</v>
      </c>
    </row>
    <row r="20" spans="1:11">
      <c r="A20" s="5">
        <v>102</v>
      </c>
      <c r="B20" s="6">
        <v>43858</v>
      </c>
      <c r="C20" s="66">
        <v>1</v>
      </c>
      <c r="D20" s="5">
        <v>5.8</v>
      </c>
      <c r="E20" s="5">
        <v>605</v>
      </c>
      <c r="F20" s="5">
        <v>622</v>
      </c>
      <c r="G20" s="6">
        <v>43859</v>
      </c>
      <c r="H20" s="5"/>
      <c r="I20" s="5"/>
      <c r="J20" s="5">
        <f t="shared" si="2"/>
        <v>17</v>
      </c>
      <c r="K20" s="8" t="b">
        <f t="shared" si="3"/>
        <v>1</v>
      </c>
    </row>
    <row r="21" spans="1:11">
      <c r="A21" s="5">
        <v>102</v>
      </c>
      <c r="B21" s="6">
        <v>43866</v>
      </c>
      <c r="C21" s="66">
        <v>1</v>
      </c>
      <c r="D21" s="5">
        <v>5.8</v>
      </c>
      <c r="E21" s="5">
        <v>622</v>
      </c>
      <c r="F21" s="5">
        <v>639</v>
      </c>
      <c r="G21" s="6">
        <v>43866</v>
      </c>
      <c r="H21" s="5"/>
      <c r="I21" s="5"/>
      <c r="J21" s="5">
        <f t="shared" si="2"/>
        <v>17</v>
      </c>
      <c r="K21" s="8" t="b">
        <f t="shared" si="3"/>
        <v>1</v>
      </c>
    </row>
    <row r="22" spans="1:11">
      <c r="A22" s="5">
        <v>102</v>
      </c>
      <c r="B22" s="6">
        <v>43872</v>
      </c>
      <c r="C22" s="66">
        <v>1</v>
      </c>
      <c r="D22" s="5">
        <v>5.8</v>
      </c>
      <c r="E22" s="5">
        <v>639</v>
      </c>
      <c r="F22" s="5">
        <v>651</v>
      </c>
      <c r="G22" s="6">
        <v>43872</v>
      </c>
      <c r="H22" s="5"/>
      <c r="I22" s="5"/>
      <c r="J22" s="5">
        <f t="shared" si="2"/>
        <v>12</v>
      </c>
      <c r="K22" s="8" t="b">
        <f t="shared" si="3"/>
        <v>1</v>
      </c>
    </row>
    <row r="23" spans="1:11">
      <c r="A23" s="5">
        <v>102</v>
      </c>
      <c r="B23" s="6">
        <v>43877</v>
      </c>
      <c r="C23" s="66">
        <v>1</v>
      </c>
      <c r="D23" s="5">
        <v>5.8</v>
      </c>
      <c r="E23" s="5">
        <v>651</v>
      </c>
      <c r="F23" s="5">
        <v>663</v>
      </c>
      <c r="G23" s="6">
        <v>43877</v>
      </c>
      <c r="H23" s="5"/>
      <c r="I23" s="5"/>
      <c r="J23" s="5">
        <f t="shared" si="2"/>
        <v>12</v>
      </c>
      <c r="K23" s="8" t="b">
        <f t="shared" si="3"/>
        <v>1</v>
      </c>
    </row>
    <row r="24" spans="1:11">
      <c r="A24" s="5">
        <v>102</v>
      </c>
      <c r="B24" s="6">
        <v>43881</v>
      </c>
      <c r="C24" s="66">
        <v>1</v>
      </c>
      <c r="D24" s="5">
        <v>5.8</v>
      </c>
      <c r="E24" s="5">
        <v>663</v>
      </c>
      <c r="F24" s="5">
        <v>675</v>
      </c>
      <c r="G24" s="6">
        <v>43881</v>
      </c>
      <c r="H24" s="5"/>
      <c r="I24" s="5"/>
      <c r="J24" s="5">
        <f t="shared" ref="J24:J32" si="4">F24-E24</f>
        <v>12</v>
      </c>
      <c r="K24" s="8" t="b">
        <f t="shared" ref="K24:K32" si="5">F24=E25</f>
        <v>1</v>
      </c>
    </row>
    <row r="25" spans="1:11">
      <c r="A25" s="5">
        <v>102</v>
      </c>
      <c r="B25" s="6">
        <v>43882</v>
      </c>
      <c r="C25" s="66">
        <v>1</v>
      </c>
      <c r="D25" s="5">
        <v>5.8</v>
      </c>
      <c r="E25" s="5">
        <v>675</v>
      </c>
      <c r="F25" s="5">
        <v>681</v>
      </c>
      <c r="G25" s="6">
        <v>43882</v>
      </c>
      <c r="H25" s="5"/>
      <c r="I25" s="5"/>
      <c r="J25" s="5">
        <f t="shared" si="4"/>
        <v>6</v>
      </c>
      <c r="K25" s="8" t="b">
        <f t="shared" si="5"/>
        <v>1</v>
      </c>
    </row>
    <row r="26" spans="1:11">
      <c r="A26" s="5">
        <v>102</v>
      </c>
      <c r="B26" s="6">
        <v>43883</v>
      </c>
      <c r="C26" s="66">
        <v>1</v>
      </c>
      <c r="D26" s="5">
        <v>5.8</v>
      </c>
      <c r="E26" s="5">
        <v>681</v>
      </c>
      <c r="F26" s="5">
        <v>694</v>
      </c>
      <c r="G26" s="6">
        <v>43883</v>
      </c>
      <c r="H26" s="5"/>
      <c r="I26" s="5"/>
      <c r="J26" s="5">
        <f t="shared" si="4"/>
        <v>13</v>
      </c>
      <c r="K26" s="8" t="b">
        <f t="shared" si="5"/>
        <v>1</v>
      </c>
    </row>
    <row r="27" spans="1:11">
      <c r="A27" s="5">
        <v>102</v>
      </c>
      <c r="B27" s="6">
        <v>43908</v>
      </c>
      <c r="C27" s="66">
        <v>1</v>
      </c>
      <c r="D27" s="5">
        <v>5.8</v>
      </c>
      <c r="E27" s="5">
        <v>694</v>
      </c>
      <c r="F27" s="5">
        <v>706</v>
      </c>
      <c r="G27" s="6">
        <v>43908</v>
      </c>
      <c r="H27" s="5"/>
      <c r="I27" s="5"/>
      <c r="J27" s="5">
        <f t="shared" si="4"/>
        <v>12</v>
      </c>
      <c r="K27" s="8" t="b">
        <f t="shared" si="5"/>
        <v>1</v>
      </c>
    </row>
    <row r="28" spans="1:11">
      <c r="A28" s="5">
        <v>102</v>
      </c>
      <c r="B28" s="6">
        <v>43912</v>
      </c>
      <c r="C28" s="66">
        <v>0.8</v>
      </c>
      <c r="D28" s="5">
        <v>7.25</v>
      </c>
      <c r="E28" s="5">
        <v>706</v>
      </c>
      <c r="F28" s="5">
        <v>724</v>
      </c>
      <c r="G28" s="6">
        <v>43912</v>
      </c>
      <c r="H28" s="5"/>
      <c r="I28" s="5"/>
      <c r="J28" s="5">
        <f t="shared" si="4"/>
        <v>18</v>
      </c>
      <c r="K28" s="8" t="b">
        <f t="shared" si="5"/>
        <v>1</v>
      </c>
    </row>
    <row r="29" spans="1:11">
      <c r="A29" s="5">
        <v>102</v>
      </c>
      <c r="B29" s="6">
        <v>43922</v>
      </c>
      <c r="C29" s="66">
        <v>1</v>
      </c>
      <c r="D29" s="5">
        <v>5.8</v>
      </c>
      <c r="E29" s="5">
        <v>724</v>
      </c>
      <c r="F29" s="5">
        <v>737</v>
      </c>
      <c r="G29" s="6">
        <v>43922</v>
      </c>
      <c r="H29" s="5"/>
      <c r="I29" s="5"/>
      <c r="J29" s="5">
        <f t="shared" si="4"/>
        <v>13</v>
      </c>
      <c r="K29" s="8" t="b">
        <f t="shared" si="5"/>
        <v>1</v>
      </c>
    </row>
    <row r="30" spans="1:11">
      <c r="A30" s="5">
        <v>102</v>
      </c>
      <c r="B30" s="6">
        <v>43923</v>
      </c>
      <c r="C30" s="66">
        <v>1</v>
      </c>
      <c r="D30" s="5">
        <v>5.8</v>
      </c>
      <c r="E30" s="5">
        <v>737</v>
      </c>
      <c r="F30" s="5">
        <v>755</v>
      </c>
      <c r="G30" s="6">
        <v>43923</v>
      </c>
      <c r="H30" s="5"/>
      <c r="I30" s="5"/>
      <c r="J30" s="5">
        <f t="shared" si="4"/>
        <v>18</v>
      </c>
      <c r="K30" s="8" t="b">
        <f t="shared" si="5"/>
        <v>1</v>
      </c>
    </row>
    <row r="31" spans="1:11">
      <c r="A31" s="5">
        <v>102</v>
      </c>
      <c r="B31" s="6">
        <v>43925</v>
      </c>
      <c r="C31" s="66">
        <v>0.8</v>
      </c>
      <c r="D31" s="5">
        <v>5.8</v>
      </c>
      <c r="E31" s="5">
        <v>755</v>
      </c>
      <c r="F31" s="5">
        <v>768</v>
      </c>
      <c r="G31" s="6">
        <v>43925</v>
      </c>
      <c r="H31" s="5"/>
      <c r="I31" s="5"/>
      <c r="J31" s="5">
        <f t="shared" si="4"/>
        <v>13</v>
      </c>
      <c r="K31" s="8" t="b">
        <f t="shared" si="5"/>
        <v>0</v>
      </c>
    </row>
    <row r="32" spans="1:11">
      <c r="A32" s="5">
        <v>102</v>
      </c>
      <c r="B32" s="6">
        <v>43935</v>
      </c>
      <c r="C32" s="66">
        <v>0.8</v>
      </c>
      <c r="D32" s="5">
        <v>5.8</v>
      </c>
      <c r="E32" s="5">
        <v>800</v>
      </c>
      <c r="F32" s="5">
        <v>812</v>
      </c>
      <c r="G32" s="6">
        <v>43935</v>
      </c>
      <c r="H32" s="5"/>
      <c r="I32" s="5"/>
      <c r="J32" s="5">
        <f t="shared" si="4"/>
        <v>12</v>
      </c>
      <c r="K32" s="8" t="b">
        <f t="shared" si="5"/>
        <v>1</v>
      </c>
    </row>
    <row r="33" spans="1:11">
      <c r="A33" s="5">
        <v>102</v>
      </c>
      <c r="B33" s="6">
        <v>43942</v>
      </c>
      <c r="C33" s="66">
        <v>0.8</v>
      </c>
      <c r="D33" s="5">
        <v>5.8</v>
      </c>
      <c r="E33" s="5">
        <v>812</v>
      </c>
      <c r="F33" s="5">
        <v>828</v>
      </c>
      <c r="G33" s="6">
        <v>43942</v>
      </c>
      <c r="H33" s="5"/>
      <c r="I33" s="5"/>
      <c r="J33" s="5">
        <f t="shared" ref="J33:J40" si="6">F33-E33</f>
        <v>16</v>
      </c>
      <c r="K33" s="8" t="b">
        <f t="shared" ref="K33:K40" si="7">F33=E34</f>
        <v>1</v>
      </c>
    </row>
    <row r="34" spans="1:11">
      <c r="A34" s="5">
        <v>102</v>
      </c>
      <c r="B34" s="6">
        <v>43945</v>
      </c>
      <c r="C34" s="66">
        <v>1</v>
      </c>
      <c r="D34" s="5">
        <v>8.8000000000000007</v>
      </c>
      <c r="E34" s="5">
        <v>828</v>
      </c>
      <c r="F34" s="5">
        <v>840</v>
      </c>
      <c r="G34" s="6">
        <v>43945</v>
      </c>
      <c r="H34" s="5"/>
      <c r="I34" s="5"/>
      <c r="J34" s="5">
        <f t="shared" si="6"/>
        <v>12</v>
      </c>
      <c r="K34" s="8" t="b">
        <f t="shared" si="7"/>
        <v>0</v>
      </c>
    </row>
    <row r="35" spans="1:11">
      <c r="A35" s="5">
        <v>102</v>
      </c>
      <c r="B35" s="6">
        <v>43948</v>
      </c>
      <c r="C35" s="66">
        <v>1</v>
      </c>
      <c r="D35" s="5">
        <v>8.8000000000000007</v>
      </c>
      <c r="E35" s="5">
        <v>852</v>
      </c>
      <c r="F35" s="5">
        <v>866</v>
      </c>
      <c r="G35" s="6">
        <v>43948</v>
      </c>
      <c r="H35" s="5"/>
      <c r="I35" s="5"/>
      <c r="J35" s="5">
        <f t="shared" si="6"/>
        <v>14</v>
      </c>
      <c r="K35" s="8" t="b">
        <f t="shared" si="7"/>
        <v>0</v>
      </c>
    </row>
    <row r="36" spans="1:11">
      <c r="A36" s="5">
        <v>102</v>
      </c>
      <c r="B36" s="6">
        <v>43955</v>
      </c>
      <c r="C36" s="66">
        <v>0.7</v>
      </c>
      <c r="D36" s="5">
        <v>8.2899999999999991</v>
      </c>
      <c r="E36" s="5">
        <v>880</v>
      </c>
      <c r="F36" s="5">
        <v>897</v>
      </c>
      <c r="G36" s="6">
        <v>43955</v>
      </c>
      <c r="H36" s="5"/>
      <c r="I36" s="5"/>
      <c r="J36" s="5">
        <f t="shared" si="6"/>
        <v>17</v>
      </c>
      <c r="K36" s="8" t="b">
        <f t="shared" si="7"/>
        <v>1</v>
      </c>
    </row>
    <row r="37" spans="1:11">
      <c r="A37" s="5">
        <v>102</v>
      </c>
      <c r="B37" s="6">
        <v>43964</v>
      </c>
      <c r="C37" s="66">
        <v>1</v>
      </c>
      <c r="D37" s="5">
        <v>8.8000000000000007</v>
      </c>
      <c r="E37" s="5">
        <v>897</v>
      </c>
      <c r="F37" s="5">
        <v>910</v>
      </c>
      <c r="G37" s="6">
        <v>43964</v>
      </c>
      <c r="H37" s="5"/>
      <c r="I37" s="5"/>
      <c r="J37" s="5">
        <f t="shared" si="6"/>
        <v>13</v>
      </c>
      <c r="K37" s="8" t="b">
        <f t="shared" si="7"/>
        <v>1</v>
      </c>
    </row>
    <row r="38" spans="1:11">
      <c r="A38" s="5">
        <v>102</v>
      </c>
      <c r="B38" s="6">
        <v>43974</v>
      </c>
      <c r="C38" s="66">
        <v>0.6</v>
      </c>
      <c r="D38" s="5">
        <v>9.67</v>
      </c>
      <c r="E38" s="5">
        <v>910</v>
      </c>
      <c r="F38" s="5">
        <v>930</v>
      </c>
      <c r="G38" s="6">
        <v>43974</v>
      </c>
      <c r="H38" s="5"/>
      <c r="I38" s="5"/>
      <c r="J38" s="5">
        <f t="shared" si="6"/>
        <v>20</v>
      </c>
      <c r="K38" s="8" t="b">
        <f t="shared" si="7"/>
        <v>1</v>
      </c>
    </row>
    <row r="39" spans="1:11">
      <c r="A39" s="5">
        <v>102</v>
      </c>
      <c r="B39" s="6">
        <v>44027</v>
      </c>
      <c r="C39" s="66">
        <v>0.5</v>
      </c>
      <c r="D39" s="5">
        <v>11.6</v>
      </c>
      <c r="E39" s="5">
        <v>930</v>
      </c>
      <c r="F39" s="5">
        <v>942</v>
      </c>
      <c r="G39" s="6">
        <v>44027</v>
      </c>
      <c r="H39" s="5"/>
      <c r="I39" s="5"/>
      <c r="J39" s="5">
        <f t="shared" si="6"/>
        <v>12</v>
      </c>
      <c r="K39" s="8" t="b">
        <f t="shared" si="7"/>
        <v>1</v>
      </c>
    </row>
    <row r="40" spans="1:11">
      <c r="A40" s="5">
        <v>102</v>
      </c>
      <c r="B40" s="6">
        <v>44028</v>
      </c>
      <c r="C40" s="66">
        <v>0.7</v>
      </c>
      <c r="D40" s="5">
        <v>11.6</v>
      </c>
      <c r="E40" s="5">
        <v>942</v>
      </c>
      <c r="F40" s="5">
        <v>950</v>
      </c>
      <c r="G40" s="6">
        <v>44028</v>
      </c>
      <c r="H40" s="5"/>
      <c r="I40" s="5"/>
      <c r="J40" s="5">
        <f t="shared" si="6"/>
        <v>8</v>
      </c>
      <c r="K40" s="8" t="b">
        <f t="shared" si="7"/>
        <v>1</v>
      </c>
    </row>
    <row r="41" spans="1:11">
      <c r="A41" s="5">
        <v>102</v>
      </c>
      <c r="B41" s="6">
        <v>44029</v>
      </c>
      <c r="C41" s="66">
        <v>0.3</v>
      </c>
      <c r="D41" s="5">
        <v>19.329999999999998</v>
      </c>
      <c r="E41" s="5">
        <v>950</v>
      </c>
      <c r="F41" s="5">
        <v>970</v>
      </c>
      <c r="G41" s="6">
        <v>44030</v>
      </c>
      <c r="H41" s="5"/>
      <c r="I41" s="5"/>
      <c r="J41" s="5">
        <f t="shared" ref="J41:J48" si="8">F41-E41</f>
        <v>20</v>
      </c>
      <c r="K41" s="8" t="b">
        <f t="shared" ref="K41:K48" si="9">F41=E42</f>
        <v>1</v>
      </c>
    </row>
    <row r="42" spans="1:11">
      <c r="A42" s="5">
        <v>102</v>
      </c>
      <c r="B42" s="6">
        <v>44030</v>
      </c>
      <c r="C42" s="66">
        <v>0.8</v>
      </c>
      <c r="D42" s="5">
        <v>5.8</v>
      </c>
      <c r="E42" s="5">
        <v>970</v>
      </c>
      <c r="F42" s="5">
        <v>977</v>
      </c>
      <c r="G42" s="6">
        <v>44030</v>
      </c>
      <c r="H42" s="5"/>
      <c r="I42" s="5"/>
      <c r="J42" s="5">
        <f t="shared" si="8"/>
        <v>7</v>
      </c>
      <c r="K42" s="8" t="b">
        <f t="shared" si="9"/>
        <v>1</v>
      </c>
    </row>
    <row r="43" spans="1:11">
      <c r="A43" s="5">
        <v>102</v>
      </c>
      <c r="B43" s="6">
        <v>44041</v>
      </c>
      <c r="C43" s="66">
        <v>0.8</v>
      </c>
      <c r="D43" s="5">
        <v>5.8</v>
      </c>
      <c r="E43" s="5">
        <v>977</v>
      </c>
      <c r="F43" s="5">
        <v>994</v>
      </c>
      <c r="G43" s="6">
        <v>44041</v>
      </c>
      <c r="H43" s="5"/>
      <c r="I43" s="5"/>
      <c r="J43" s="5">
        <f t="shared" si="8"/>
        <v>17</v>
      </c>
      <c r="K43" s="8" t="b">
        <f t="shared" si="9"/>
        <v>1</v>
      </c>
    </row>
    <row r="44" spans="1:11">
      <c r="A44" s="5">
        <v>102</v>
      </c>
      <c r="B44" s="6">
        <v>44043</v>
      </c>
      <c r="C44" s="66">
        <v>0.8</v>
      </c>
      <c r="D44" s="5">
        <v>5.8</v>
      </c>
      <c r="E44" s="5">
        <v>994</v>
      </c>
      <c r="F44" s="5">
        <v>1006</v>
      </c>
      <c r="G44" s="6">
        <v>44043</v>
      </c>
      <c r="H44" s="5"/>
      <c r="I44" s="5"/>
      <c r="J44" s="5">
        <f t="shared" si="8"/>
        <v>12</v>
      </c>
      <c r="K44" s="8" t="b">
        <f t="shared" si="9"/>
        <v>1</v>
      </c>
    </row>
    <row r="45" spans="1:11">
      <c r="A45" s="5">
        <v>102</v>
      </c>
      <c r="B45" s="6">
        <v>44044</v>
      </c>
      <c r="C45" s="66">
        <v>1</v>
      </c>
      <c r="D45" s="5">
        <v>8.08</v>
      </c>
      <c r="E45" s="5">
        <v>1006</v>
      </c>
      <c r="F45" s="5">
        <v>1012</v>
      </c>
      <c r="G45" s="6">
        <v>44044</v>
      </c>
      <c r="H45" s="5"/>
      <c r="I45" s="5"/>
      <c r="J45" s="5">
        <f t="shared" si="8"/>
        <v>6</v>
      </c>
      <c r="K45" s="8" t="b">
        <f t="shared" si="9"/>
        <v>1</v>
      </c>
    </row>
    <row r="46" spans="1:11">
      <c r="A46" s="5">
        <v>102</v>
      </c>
      <c r="B46" s="6">
        <v>44045</v>
      </c>
      <c r="C46" s="66">
        <v>1</v>
      </c>
      <c r="D46" s="5">
        <v>8.08</v>
      </c>
      <c r="E46" s="5">
        <v>1012</v>
      </c>
      <c r="F46" s="5">
        <v>1017</v>
      </c>
      <c r="G46" s="6">
        <v>44045</v>
      </c>
      <c r="H46" s="5"/>
      <c r="I46" s="5"/>
      <c r="J46" s="5">
        <f t="shared" si="8"/>
        <v>5</v>
      </c>
      <c r="K46" s="8" t="b">
        <f t="shared" si="9"/>
        <v>1</v>
      </c>
    </row>
    <row r="47" spans="1:11">
      <c r="A47" s="5">
        <v>103</v>
      </c>
      <c r="B47" s="6">
        <v>44046</v>
      </c>
      <c r="C47" s="66">
        <v>1</v>
      </c>
      <c r="D47" s="5">
        <v>8.08</v>
      </c>
      <c r="E47" s="5">
        <v>1017</v>
      </c>
      <c r="F47" s="5">
        <v>1032</v>
      </c>
      <c r="G47" s="6">
        <v>44046</v>
      </c>
      <c r="H47" s="5"/>
      <c r="I47" s="5"/>
      <c r="J47" s="5">
        <f t="shared" si="8"/>
        <v>15</v>
      </c>
      <c r="K47" s="8" t="b">
        <f t="shared" si="9"/>
        <v>0</v>
      </c>
    </row>
    <row r="48" spans="1:11">
      <c r="A48" s="5"/>
      <c r="B48" s="6"/>
      <c r="C48" s="66"/>
      <c r="D48" s="5"/>
      <c r="E48" s="5"/>
      <c r="F48" s="5"/>
      <c r="G48" s="6"/>
      <c r="H48" s="5"/>
      <c r="I48" s="5"/>
      <c r="J48" s="5">
        <f t="shared" si="8"/>
        <v>0</v>
      </c>
      <c r="K48" s="8" t="b">
        <f t="shared" si="9"/>
        <v>1</v>
      </c>
    </row>
    <row r="51" spans="1:11" ht="26.25">
      <c r="A51" s="138" t="s">
        <v>20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60"/>
    </row>
    <row r="52" spans="1:11" ht="26.25">
      <c r="A52" s="138" t="s">
        <v>23</v>
      </c>
      <c r="B52" s="159"/>
      <c r="C52" s="159"/>
      <c r="D52" s="159"/>
      <c r="E52" s="159"/>
      <c r="F52" s="159"/>
      <c r="G52" s="159"/>
      <c r="H52" s="159"/>
      <c r="I52" s="159"/>
      <c r="J52" s="159"/>
      <c r="K52" s="160"/>
    </row>
    <row r="53" spans="1:11" ht="15.75" thickBot="1"/>
    <row r="54" spans="1:11" ht="15.75" thickBot="1">
      <c r="A54" s="132" t="s">
        <v>2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4"/>
    </row>
    <row r="56" spans="1:11" ht="19.5" thickBot="1">
      <c r="A56" s="1" t="s">
        <v>3</v>
      </c>
      <c r="B56" s="61"/>
      <c r="C56" s="64"/>
      <c r="D56" s="54"/>
      <c r="E56" s="1"/>
      <c r="F56" s="1"/>
      <c r="G56" s="61"/>
      <c r="H56" s="1"/>
      <c r="I56" s="1"/>
    </row>
    <row r="57" spans="1:11" ht="30.75" thickBot="1">
      <c r="A57" s="2" t="s">
        <v>4</v>
      </c>
      <c r="B57" s="62" t="s">
        <v>5</v>
      </c>
      <c r="C57" s="65" t="s">
        <v>6</v>
      </c>
      <c r="D57" s="3" t="s">
        <v>7</v>
      </c>
      <c r="E57" s="3" t="s">
        <v>8</v>
      </c>
      <c r="F57" s="3" t="s">
        <v>9</v>
      </c>
      <c r="G57" s="62" t="s">
        <v>10</v>
      </c>
      <c r="H57" s="3" t="s">
        <v>21</v>
      </c>
      <c r="I57" s="4" t="s">
        <v>22</v>
      </c>
      <c r="J57" s="4" t="s">
        <v>11</v>
      </c>
      <c r="K57" s="4" t="s">
        <v>12</v>
      </c>
    </row>
    <row r="58" spans="1:11">
      <c r="A58" s="5">
        <v>102</v>
      </c>
      <c r="B58" s="6">
        <v>44041</v>
      </c>
      <c r="C58" s="66">
        <v>0.8</v>
      </c>
      <c r="D58" s="5">
        <v>7.25</v>
      </c>
      <c r="E58" s="5">
        <v>977</v>
      </c>
      <c r="F58" s="5">
        <v>994</v>
      </c>
      <c r="G58" s="6">
        <v>44041</v>
      </c>
      <c r="H58" s="5"/>
      <c r="I58" s="5"/>
      <c r="J58" s="5">
        <f t="shared" ref="J58:J63" si="10">F58-E58</f>
        <v>17</v>
      </c>
      <c r="K58" s="8" t="b">
        <f t="shared" ref="K58:K63" si="11">F58=E59</f>
        <v>1</v>
      </c>
    </row>
    <row r="59" spans="1:11">
      <c r="A59" s="5">
        <v>102</v>
      </c>
      <c r="B59" s="6">
        <v>44043</v>
      </c>
      <c r="C59" s="66">
        <v>0.8</v>
      </c>
      <c r="D59" s="5">
        <v>7.25</v>
      </c>
      <c r="E59" s="5">
        <v>994</v>
      </c>
      <c r="F59" s="5">
        <v>1006</v>
      </c>
      <c r="G59" s="6">
        <v>44043</v>
      </c>
      <c r="H59" s="5"/>
      <c r="I59" s="5"/>
      <c r="J59" s="5">
        <f t="shared" si="10"/>
        <v>12</v>
      </c>
      <c r="K59" s="8" t="b">
        <f t="shared" si="11"/>
        <v>1</v>
      </c>
    </row>
    <row r="60" spans="1:11">
      <c r="A60" s="5">
        <v>102</v>
      </c>
      <c r="B60" s="6">
        <v>44044</v>
      </c>
      <c r="C60" s="66">
        <v>1</v>
      </c>
      <c r="D60" s="5">
        <v>5.8</v>
      </c>
      <c r="E60" s="5">
        <v>1006</v>
      </c>
      <c r="F60" s="5">
        <v>1012</v>
      </c>
      <c r="G60" s="6">
        <v>44044</v>
      </c>
      <c r="H60" s="5"/>
      <c r="I60" s="5"/>
      <c r="J60" s="5">
        <f t="shared" si="10"/>
        <v>6</v>
      </c>
      <c r="K60" s="8" t="b">
        <f t="shared" si="11"/>
        <v>1</v>
      </c>
    </row>
    <row r="61" spans="1:11">
      <c r="A61" s="5">
        <v>102</v>
      </c>
      <c r="B61" s="6">
        <v>44045</v>
      </c>
      <c r="C61" s="66">
        <v>1</v>
      </c>
      <c r="D61" s="5">
        <v>5.8</v>
      </c>
      <c r="E61" s="5">
        <v>1012</v>
      </c>
      <c r="F61" s="5">
        <v>1017</v>
      </c>
      <c r="G61" s="6">
        <v>44045</v>
      </c>
      <c r="H61" s="5"/>
      <c r="I61" s="5"/>
      <c r="J61" s="5">
        <f t="shared" si="10"/>
        <v>5</v>
      </c>
      <c r="K61" s="8" t="b">
        <f t="shared" si="11"/>
        <v>1</v>
      </c>
    </row>
    <row r="62" spans="1:11">
      <c r="A62" s="5">
        <v>102</v>
      </c>
      <c r="B62" s="6">
        <v>44046</v>
      </c>
      <c r="C62" s="66">
        <v>1</v>
      </c>
      <c r="D62" s="5">
        <v>5.8</v>
      </c>
      <c r="E62" s="5">
        <v>1017</v>
      </c>
      <c r="F62" s="5">
        <v>1032</v>
      </c>
      <c r="G62" s="6">
        <v>44046</v>
      </c>
      <c r="H62" s="5"/>
      <c r="I62" s="5"/>
      <c r="J62" s="5">
        <f t="shared" si="10"/>
        <v>15</v>
      </c>
      <c r="K62" s="8" t="b">
        <f t="shared" si="11"/>
        <v>1</v>
      </c>
    </row>
    <row r="63" spans="1:11">
      <c r="A63" s="5">
        <v>102</v>
      </c>
      <c r="B63" s="6">
        <v>44047</v>
      </c>
      <c r="C63" s="66">
        <v>1</v>
      </c>
      <c r="D63" s="5">
        <v>5.8</v>
      </c>
      <c r="E63" s="5">
        <v>1032</v>
      </c>
      <c r="F63" s="5">
        <v>1038</v>
      </c>
      <c r="G63" s="6">
        <v>44047</v>
      </c>
      <c r="H63" s="5"/>
      <c r="I63" s="5"/>
      <c r="J63" s="5">
        <f t="shared" si="10"/>
        <v>6</v>
      </c>
      <c r="K63" s="8" t="b">
        <f t="shared" si="11"/>
        <v>0</v>
      </c>
    </row>
    <row r="64" spans="1:11">
      <c r="A64" s="5">
        <v>102</v>
      </c>
      <c r="B64" s="6">
        <v>44050</v>
      </c>
      <c r="C64" s="66">
        <v>1</v>
      </c>
      <c r="D64" s="5">
        <v>5.8</v>
      </c>
      <c r="E64" s="5">
        <v>1051</v>
      </c>
      <c r="F64" s="5">
        <v>1064</v>
      </c>
      <c r="G64" s="6">
        <v>44050</v>
      </c>
      <c r="H64" s="5"/>
      <c r="I64" s="5"/>
      <c r="J64" s="5">
        <f t="shared" ref="J64:J113" si="12">F64-E64</f>
        <v>13</v>
      </c>
      <c r="K64" s="8" t="b">
        <f t="shared" ref="K64:K113" si="13">F64=E65</f>
        <v>1</v>
      </c>
    </row>
    <row r="65" spans="1:11">
      <c r="A65" s="5">
        <v>102</v>
      </c>
      <c r="B65" s="6">
        <v>44051</v>
      </c>
      <c r="C65" s="66">
        <v>1</v>
      </c>
      <c r="D65" s="5">
        <v>5.8</v>
      </c>
      <c r="E65" s="5">
        <v>1064</v>
      </c>
      <c r="F65" s="5">
        <v>1076</v>
      </c>
      <c r="G65" s="6">
        <v>44051</v>
      </c>
      <c r="H65" s="5"/>
      <c r="I65" s="5"/>
      <c r="J65" s="5">
        <f t="shared" si="12"/>
        <v>12</v>
      </c>
      <c r="K65" s="8" t="b">
        <f t="shared" si="13"/>
        <v>1</v>
      </c>
    </row>
    <row r="66" spans="1:11">
      <c r="A66" s="5">
        <v>102</v>
      </c>
      <c r="B66" s="6">
        <v>44052</v>
      </c>
      <c r="C66" s="66">
        <v>1</v>
      </c>
      <c r="D66" s="5">
        <v>5.8</v>
      </c>
      <c r="E66" s="5">
        <v>1076</v>
      </c>
      <c r="F66" s="5">
        <v>1088</v>
      </c>
      <c r="G66" s="6">
        <v>44052</v>
      </c>
      <c r="H66" s="5"/>
      <c r="I66" s="5"/>
      <c r="J66" s="5">
        <f t="shared" si="12"/>
        <v>12</v>
      </c>
      <c r="K66" s="8" t="b">
        <f t="shared" si="13"/>
        <v>1</v>
      </c>
    </row>
    <row r="67" spans="1:11">
      <c r="A67" s="5">
        <v>102</v>
      </c>
      <c r="B67" s="6">
        <v>44053</v>
      </c>
      <c r="C67" s="66">
        <v>1</v>
      </c>
      <c r="D67" s="5">
        <v>5.8</v>
      </c>
      <c r="E67" s="5">
        <v>1088</v>
      </c>
      <c r="F67" s="5">
        <v>1100</v>
      </c>
      <c r="G67" s="6">
        <v>44053</v>
      </c>
      <c r="H67" s="5"/>
      <c r="I67" s="5"/>
      <c r="J67" s="5">
        <f t="shared" si="12"/>
        <v>12</v>
      </c>
      <c r="K67" s="8" t="b">
        <f t="shared" si="13"/>
        <v>1</v>
      </c>
    </row>
    <row r="68" spans="1:11">
      <c r="A68" s="5">
        <v>102</v>
      </c>
      <c r="B68" s="6">
        <v>44054</v>
      </c>
      <c r="C68" s="66">
        <v>1</v>
      </c>
      <c r="D68" s="5">
        <v>5.8</v>
      </c>
      <c r="E68" s="5">
        <v>1100</v>
      </c>
      <c r="F68" s="5">
        <v>1112</v>
      </c>
      <c r="G68" s="6">
        <v>44054</v>
      </c>
      <c r="H68" s="5"/>
      <c r="I68" s="5"/>
      <c r="J68" s="5">
        <f t="shared" si="12"/>
        <v>12</v>
      </c>
      <c r="K68" s="8" t="b">
        <f t="shared" si="13"/>
        <v>1</v>
      </c>
    </row>
    <row r="69" spans="1:11">
      <c r="A69" s="5">
        <v>102</v>
      </c>
      <c r="B69" s="6">
        <v>44055</v>
      </c>
      <c r="C69" s="66">
        <v>1</v>
      </c>
      <c r="D69" s="5">
        <v>5.8</v>
      </c>
      <c r="E69" s="5">
        <v>1112</v>
      </c>
      <c r="F69" s="5">
        <v>1124</v>
      </c>
      <c r="G69" s="6">
        <v>44055</v>
      </c>
      <c r="H69" s="5"/>
      <c r="I69" s="5"/>
      <c r="J69" s="5">
        <f t="shared" si="12"/>
        <v>12</v>
      </c>
      <c r="K69" s="8" t="b">
        <f t="shared" si="13"/>
        <v>1</v>
      </c>
    </row>
    <row r="70" spans="1:11">
      <c r="A70" s="5">
        <v>102</v>
      </c>
      <c r="B70" s="6">
        <v>44056</v>
      </c>
      <c r="C70" s="66">
        <v>1</v>
      </c>
      <c r="D70" s="5">
        <v>5.8</v>
      </c>
      <c r="E70" s="5">
        <v>1124</v>
      </c>
      <c r="F70" s="5">
        <v>1137</v>
      </c>
      <c r="G70" s="6">
        <v>44056</v>
      </c>
      <c r="H70" s="5"/>
      <c r="I70" s="5"/>
      <c r="J70" s="5">
        <f t="shared" si="12"/>
        <v>13</v>
      </c>
      <c r="K70" s="8" t="b">
        <f t="shared" si="13"/>
        <v>1</v>
      </c>
    </row>
    <row r="71" spans="1:11">
      <c r="A71" s="5">
        <v>102</v>
      </c>
      <c r="B71" s="6">
        <v>44057</v>
      </c>
      <c r="C71" s="66">
        <v>1</v>
      </c>
      <c r="D71" s="5">
        <v>5.8</v>
      </c>
      <c r="E71" s="5">
        <v>1137</v>
      </c>
      <c r="F71" s="5">
        <v>1149</v>
      </c>
      <c r="G71" s="6">
        <v>44057</v>
      </c>
      <c r="H71" s="5"/>
      <c r="I71" s="5"/>
      <c r="J71" s="5">
        <f t="shared" si="12"/>
        <v>12</v>
      </c>
      <c r="K71" s="8" t="b">
        <f t="shared" si="13"/>
        <v>1</v>
      </c>
    </row>
    <row r="72" spans="1:11">
      <c r="A72" s="5">
        <v>102</v>
      </c>
      <c r="B72" s="6">
        <v>44058</v>
      </c>
      <c r="C72" s="66">
        <v>1</v>
      </c>
      <c r="D72" s="5">
        <v>5.8</v>
      </c>
      <c r="E72" s="5">
        <v>1149</v>
      </c>
      <c r="F72" s="5">
        <v>1167</v>
      </c>
      <c r="G72" s="6">
        <v>44058</v>
      </c>
      <c r="H72" s="5"/>
      <c r="I72" s="5"/>
      <c r="J72" s="5">
        <f t="shared" si="12"/>
        <v>18</v>
      </c>
      <c r="K72" s="8" t="b">
        <f t="shared" si="13"/>
        <v>1</v>
      </c>
    </row>
    <row r="73" spans="1:11">
      <c r="A73" s="5">
        <v>102</v>
      </c>
      <c r="B73" s="6">
        <v>44059</v>
      </c>
      <c r="C73" s="66">
        <v>1</v>
      </c>
      <c r="D73" s="5">
        <v>5.8</v>
      </c>
      <c r="E73" s="5">
        <v>1167</v>
      </c>
      <c r="F73" s="5">
        <v>1179</v>
      </c>
      <c r="G73" s="6">
        <v>44059</v>
      </c>
      <c r="H73" s="5"/>
      <c r="I73" s="5"/>
      <c r="J73" s="5">
        <f t="shared" si="12"/>
        <v>12</v>
      </c>
      <c r="K73" s="8" t="b">
        <f t="shared" si="13"/>
        <v>1</v>
      </c>
    </row>
    <row r="74" spans="1:11">
      <c r="A74" s="5">
        <v>102</v>
      </c>
      <c r="B74" s="6">
        <v>44062</v>
      </c>
      <c r="C74" s="66">
        <v>0.8</v>
      </c>
      <c r="D74" s="5">
        <v>7.25</v>
      </c>
      <c r="E74" s="5">
        <v>1179</v>
      </c>
      <c r="F74" s="5">
        <v>1192</v>
      </c>
      <c r="G74" s="6">
        <v>44060</v>
      </c>
      <c r="H74" s="5"/>
      <c r="I74" s="5"/>
      <c r="J74" s="5">
        <f t="shared" si="12"/>
        <v>13</v>
      </c>
      <c r="K74" s="8" t="b">
        <f t="shared" si="13"/>
        <v>1</v>
      </c>
    </row>
    <row r="75" spans="1:11">
      <c r="A75" s="5">
        <v>102</v>
      </c>
      <c r="B75" s="6">
        <v>44061</v>
      </c>
      <c r="C75" s="66">
        <v>0.8</v>
      </c>
      <c r="D75" s="5">
        <v>7.25</v>
      </c>
      <c r="E75" s="5">
        <v>1192</v>
      </c>
      <c r="F75" s="5">
        <v>1194</v>
      </c>
      <c r="G75" s="6">
        <v>44061</v>
      </c>
      <c r="H75" s="5"/>
      <c r="I75" s="5"/>
      <c r="J75" s="5">
        <f t="shared" si="12"/>
        <v>2</v>
      </c>
      <c r="K75" s="8" t="b">
        <f t="shared" si="13"/>
        <v>1</v>
      </c>
    </row>
    <row r="76" spans="1:11">
      <c r="A76" s="5">
        <v>102</v>
      </c>
      <c r="B76" s="6">
        <v>44063</v>
      </c>
      <c r="C76" s="66">
        <v>0.8</v>
      </c>
      <c r="D76" s="5">
        <v>7.25</v>
      </c>
      <c r="E76" s="5">
        <v>1194</v>
      </c>
      <c r="F76" s="5">
        <v>1223</v>
      </c>
      <c r="G76" s="6">
        <v>44063</v>
      </c>
      <c r="H76" s="5"/>
      <c r="I76" s="5"/>
      <c r="J76" s="5">
        <f t="shared" si="12"/>
        <v>29</v>
      </c>
      <c r="K76" s="8" t="b">
        <f t="shared" si="13"/>
        <v>1</v>
      </c>
    </row>
    <row r="77" spans="1:11">
      <c r="A77" s="5">
        <v>102</v>
      </c>
      <c r="B77" s="6">
        <v>44065</v>
      </c>
      <c r="C77" s="66">
        <v>0.8</v>
      </c>
      <c r="D77" s="5">
        <v>7.25</v>
      </c>
      <c r="E77" s="5">
        <v>1223</v>
      </c>
      <c r="F77" s="5">
        <v>1239</v>
      </c>
      <c r="G77" s="6">
        <v>44065</v>
      </c>
      <c r="H77" s="5"/>
      <c r="I77" s="5"/>
      <c r="J77" s="5">
        <f t="shared" si="12"/>
        <v>16</v>
      </c>
      <c r="K77" s="8" t="b">
        <f t="shared" si="13"/>
        <v>1</v>
      </c>
    </row>
    <row r="78" spans="1:11">
      <c r="A78" s="5">
        <v>102</v>
      </c>
      <c r="B78" s="6">
        <v>44068</v>
      </c>
      <c r="C78" s="66">
        <v>0.8</v>
      </c>
      <c r="D78" s="5">
        <v>7.25</v>
      </c>
      <c r="E78" s="5">
        <v>1239</v>
      </c>
      <c r="F78" s="5">
        <v>1255</v>
      </c>
      <c r="G78" s="6">
        <v>44068</v>
      </c>
      <c r="H78" s="5"/>
      <c r="I78" s="5"/>
      <c r="J78" s="5">
        <f t="shared" si="12"/>
        <v>16</v>
      </c>
      <c r="K78" s="8" t="b">
        <f t="shared" si="13"/>
        <v>1</v>
      </c>
    </row>
    <row r="79" spans="1:11">
      <c r="A79" s="5">
        <v>102</v>
      </c>
      <c r="B79" s="6">
        <v>44072</v>
      </c>
      <c r="C79" s="66">
        <v>0.65</v>
      </c>
      <c r="D79" s="5">
        <v>9.0299999999999994</v>
      </c>
      <c r="E79" s="5">
        <v>1255</v>
      </c>
      <c r="F79" s="5">
        <v>1291</v>
      </c>
      <c r="G79" s="6">
        <v>44072</v>
      </c>
      <c r="H79" s="5"/>
      <c r="I79" s="5"/>
      <c r="J79" s="5">
        <f t="shared" si="12"/>
        <v>36</v>
      </c>
      <c r="K79" s="8" t="b">
        <f t="shared" si="13"/>
        <v>1</v>
      </c>
    </row>
    <row r="80" spans="1:11">
      <c r="A80" s="5">
        <v>102</v>
      </c>
      <c r="B80" s="6">
        <v>44074</v>
      </c>
      <c r="C80" s="66">
        <v>0.65</v>
      </c>
      <c r="D80" s="5">
        <v>9.0299999999999994</v>
      </c>
      <c r="E80" s="5">
        <v>1291</v>
      </c>
      <c r="F80" s="5">
        <v>1310</v>
      </c>
      <c r="G80" s="6">
        <v>44073</v>
      </c>
      <c r="H80" s="5"/>
      <c r="I80" s="5"/>
      <c r="J80" s="5">
        <f t="shared" si="12"/>
        <v>19</v>
      </c>
      <c r="K80" s="8" t="b">
        <f t="shared" si="13"/>
        <v>1</v>
      </c>
    </row>
    <row r="81" spans="1:11">
      <c r="A81" s="5">
        <v>102</v>
      </c>
      <c r="B81" s="6">
        <v>44075</v>
      </c>
      <c r="C81" s="66">
        <v>0.65</v>
      </c>
      <c r="D81" s="5">
        <v>9.0299999999999994</v>
      </c>
      <c r="E81" s="5">
        <v>1310</v>
      </c>
      <c r="F81" s="5">
        <v>1319</v>
      </c>
      <c r="G81" s="6">
        <v>44075</v>
      </c>
      <c r="H81" s="5"/>
      <c r="I81" s="5"/>
      <c r="J81" s="5">
        <f t="shared" si="12"/>
        <v>9</v>
      </c>
      <c r="K81" s="8" t="b">
        <f t="shared" si="13"/>
        <v>1</v>
      </c>
    </row>
    <row r="82" spans="1:11">
      <c r="A82" s="5">
        <v>102</v>
      </c>
      <c r="B82" s="6">
        <v>44078</v>
      </c>
      <c r="C82" s="66">
        <v>1</v>
      </c>
      <c r="D82" s="5">
        <v>5.8</v>
      </c>
      <c r="E82" s="5">
        <v>1319</v>
      </c>
      <c r="F82" s="5">
        <v>1339</v>
      </c>
      <c r="G82" s="6">
        <v>44078</v>
      </c>
      <c r="H82" s="5"/>
      <c r="I82" s="5"/>
      <c r="J82" s="5">
        <f t="shared" si="12"/>
        <v>20</v>
      </c>
      <c r="K82" s="8" t="b">
        <f t="shared" si="13"/>
        <v>1</v>
      </c>
    </row>
    <row r="83" spans="1:11">
      <c r="A83" s="5">
        <v>102</v>
      </c>
      <c r="B83" s="6">
        <v>44080</v>
      </c>
      <c r="C83" s="66">
        <v>0.65</v>
      </c>
      <c r="D83" s="5">
        <v>8.92</v>
      </c>
      <c r="E83" s="5">
        <v>1339</v>
      </c>
      <c r="F83" s="5">
        <v>1359</v>
      </c>
      <c r="G83" s="6">
        <v>44080</v>
      </c>
      <c r="H83" s="5"/>
      <c r="I83" s="5"/>
      <c r="J83" s="5">
        <f t="shared" si="12"/>
        <v>20</v>
      </c>
      <c r="K83" s="8" t="b">
        <f t="shared" si="13"/>
        <v>1</v>
      </c>
    </row>
    <row r="84" spans="1:11">
      <c r="A84" s="5">
        <v>102</v>
      </c>
      <c r="B84" s="6">
        <v>44081</v>
      </c>
      <c r="C84" s="66">
        <v>0.65</v>
      </c>
      <c r="D84" s="5">
        <v>8.92</v>
      </c>
      <c r="E84" s="5">
        <v>1359</v>
      </c>
      <c r="F84" s="5">
        <v>1367</v>
      </c>
      <c r="G84" s="6">
        <v>44081</v>
      </c>
      <c r="H84" s="5"/>
      <c r="I84" s="5"/>
      <c r="J84" s="5">
        <f t="shared" si="12"/>
        <v>8</v>
      </c>
      <c r="K84" s="8" t="b">
        <f t="shared" si="13"/>
        <v>1</v>
      </c>
    </row>
    <row r="85" spans="1:11">
      <c r="A85" s="5">
        <v>102</v>
      </c>
      <c r="B85" s="6">
        <v>44082</v>
      </c>
      <c r="C85" s="66">
        <v>0.65</v>
      </c>
      <c r="D85" s="5">
        <v>8.92</v>
      </c>
      <c r="E85" s="5">
        <v>1367</v>
      </c>
      <c r="F85" s="5">
        <v>1375</v>
      </c>
      <c r="G85" s="6">
        <v>44082</v>
      </c>
      <c r="H85" s="5"/>
      <c r="I85" s="5"/>
      <c r="J85" s="5">
        <f t="shared" si="12"/>
        <v>8</v>
      </c>
      <c r="K85" s="8" t="b">
        <f t="shared" si="13"/>
        <v>1</v>
      </c>
    </row>
    <row r="86" spans="1:11">
      <c r="A86" s="5">
        <v>102</v>
      </c>
      <c r="B86" s="6">
        <v>44083</v>
      </c>
      <c r="C86" s="66">
        <v>0.65</v>
      </c>
      <c r="D86" s="5">
        <v>8.92</v>
      </c>
      <c r="E86" s="5">
        <v>1375</v>
      </c>
      <c r="F86" s="5">
        <v>1384</v>
      </c>
      <c r="G86" s="6">
        <v>44083</v>
      </c>
      <c r="H86" s="5"/>
      <c r="I86" s="5"/>
      <c r="J86" s="5">
        <f t="shared" si="12"/>
        <v>9</v>
      </c>
      <c r="K86" s="8" t="b">
        <f t="shared" si="13"/>
        <v>1</v>
      </c>
    </row>
    <row r="87" spans="1:11">
      <c r="A87" s="5">
        <v>102</v>
      </c>
      <c r="B87" s="6">
        <v>44084</v>
      </c>
      <c r="C87" s="66">
        <v>1</v>
      </c>
      <c r="D87" s="5">
        <v>5.8</v>
      </c>
      <c r="E87" s="5">
        <v>1384</v>
      </c>
      <c r="F87" s="5">
        <v>1410</v>
      </c>
      <c r="G87" s="6">
        <v>44084</v>
      </c>
      <c r="H87" s="5"/>
      <c r="I87" s="5"/>
      <c r="J87" s="5">
        <f t="shared" si="12"/>
        <v>26</v>
      </c>
      <c r="K87" s="8" t="e">
        <f>F87=#REF!</f>
        <v>#REF!</v>
      </c>
    </row>
    <row r="88" spans="1:11">
      <c r="A88" s="5">
        <v>102</v>
      </c>
      <c r="B88" s="6">
        <v>44086</v>
      </c>
      <c r="C88" s="66">
        <v>0.5</v>
      </c>
      <c r="D88" s="5">
        <v>11.6</v>
      </c>
      <c r="E88" s="5">
        <v>1410</v>
      </c>
      <c r="F88" s="5">
        <v>1422</v>
      </c>
      <c r="G88" s="6">
        <v>44086</v>
      </c>
      <c r="H88" s="5"/>
      <c r="I88" s="5"/>
      <c r="J88" s="5">
        <f t="shared" si="12"/>
        <v>12</v>
      </c>
      <c r="K88" s="8" t="b">
        <f t="shared" si="13"/>
        <v>1</v>
      </c>
    </row>
    <row r="89" spans="1:11">
      <c r="A89" s="5">
        <v>102</v>
      </c>
      <c r="B89" s="6">
        <v>44087</v>
      </c>
      <c r="C89" s="66">
        <v>0.5</v>
      </c>
      <c r="D89" s="5">
        <v>11.6</v>
      </c>
      <c r="E89" s="5">
        <v>1422</v>
      </c>
      <c r="F89" s="5">
        <v>1434</v>
      </c>
      <c r="G89" s="6">
        <v>44087</v>
      </c>
      <c r="H89" s="5"/>
      <c r="I89" s="5"/>
      <c r="J89" s="5">
        <f t="shared" si="12"/>
        <v>12</v>
      </c>
      <c r="K89" s="8" t="b">
        <f t="shared" si="13"/>
        <v>1</v>
      </c>
    </row>
    <row r="90" spans="1:11">
      <c r="A90" s="5">
        <v>102</v>
      </c>
      <c r="B90" s="6">
        <v>44088</v>
      </c>
      <c r="C90" s="66">
        <v>1</v>
      </c>
      <c r="D90" s="5">
        <v>5.8</v>
      </c>
      <c r="E90" s="5">
        <v>1434</v>
      </c>
      <c r="F90" s="5">
        <v>1447</v>
      </c>
      <c r="G90" s="6">
        <v>44088</v>
      </c>
      <c r="H90" s="5"/>
      <c r="I90" s="5"/>
      <c r="J90" s="5">
        <f t="shared" si="12"/>
        <v>13</v>
      </c>
      <c r="K90" s="8" t="b">
        <f t="shared" si="13"/>
        <v>1</v>
      </c>
    </row>
    <row r="91" spans="1:11">
      <c r="A91" s="5">
        <v>102</v>
      </c>
      <c r="B91" s="6">
        <v>44089</v>
      </c>
      <c r="C91" s="66">
        <v>1</v>
      </c>
      <c r="D91" s="5">
        <v>5.8</v>
      </c>
      <c r="E91" s="5">
        <v>1447</v>
      </c>
      <c r="F91" s="5">
        <v>1454</v>
      </c>
      <c r="G91" s="6">
        <v>44089</v>
      </c>
      <c r="H91" s="5"/>
      <c r="I91" s="5"/>
      <c r="J91" s="5">
        <f t="shared" si="12"/>
        <v>7</v>
      </c>
      <c r="K91" s="8" t="b">
        <f t="shared" si="13"/>
        <v>1</v>
      </c>
    </row>
    <row r="92" spans="1:11">
      <c r="A92" s="5">
        <v>102</v>
      </c>
      <c r="B92" s="6">
        <v>44090</v>
      </c>
      <c r="C92" s="66">
        <v>0.5</v>
      </c>
      <c r="D92" s="5">
        <v>11.6</v>
      </c>
      <c r="E92" s="5">
        <v>1454</v>
      </c>
      <c r="F92" s="5">
        <v>1464</v>
      </c>
      <c r="G92" s="6">
        <v>44090</v>
      </c>
      <c r="H92" s="5"/>
      <c r="I92" s="5"/>
      <c r="J92" s="5">
        <f t="shared" si="12"/>
        <v>10</v>
      </c>
      <c r="K92" s="8" t="b">
        <f t="shared" si="13"/>
        <v>1</v>
      </c>
    </row>
    <row r="93" spans="1:11">
      <c r="A93" s="5">
        <v>102</v>
      </c>
      <c r="B93" s="6">
        <v>44091</v>
      </c>
      <c r="C93" s="66">
        <v>0.5</v>
      </c>
      <c r="D93" s="5">
        <v>11.6</v>
      </c>
      <c r="E93" s="5">
        <v>1464</v>
      </c>
      <c r="F93" s="5">
        <v>1477</v>
      </c>
      <c r="G93" s="6">
        <v>44091</v>
      </c>
      <c r="H93" s="5"/>
      <c r="I93" s="5"/>
      <c r="J93" s="5">
        <f t="shared" si="12"/>
        <v>13</v>
      </c>
      <c r="K93" s="8" t="b">
        <f t="shared" si="13"/>
        <v>1</v>
      </c>
    </row>
    <row r="94" spans="1:11">
      <c r="A94" s="5">
        <v>102</v>
      </c>
      <c r="B94" s="6">
        <v>44092</v>
      </c>
      <c r="C94" s="66">
        <v>0.5</v>
      </c>
      <c r="D94" s="5">
        <v>11.6</v>
      </c>
      <c r="E94" s="5">
        <v>1477</v>
      </c>
      <c r="F94" s="5">
        <v>1488</v>
      </c>
      <c r="G94" s="6">
        <v>44092</v>
      </c>
      <c r="H94" s="5"/>
      <c r="I94" s="5"/>
      <c r="J94" s="5">
        <f t="shared" si="12"/>
        <v>11</v>
      </c>
      <c r="K94" s="8" t="b">
        <f t="shared" si="13"/>
        <v>1</v>
      </c>
    </row>
    <row r="95" spans="1:11">
      <c r="A95" s="5">
        <v>102</v>
      </c>
      <c r="B95" s="6">
        <v>44093</v>
      </c>
      <c r="C95" s="66">
        <v>0.5</v>
      </c>
      <c r="D95" s="5">
        <v>11.6</v>
      </c>
      <c r="E95" s="5">
        <v>1488</v>
      </c>
      <c r="F95" s="5">
        <v>1500</v>
      </c>
      <c r="G95" s="6">
        <v>44093</v>
      </c>
      <c r="H95" s="5"/>
      <c r="I95" s="5"/>
      <c r="J95" s="5">
        <f t="shared" si="12"/>
        <v>12</v>
      </c>
      <c r="K95" s="8" t="b">
        <f t="shared" si="13"/>
        <v>1</v>
      </c>
    </row>
    <row r="96" spans="1:11">
      <c r="A96" s="5">
        <v>102</v>
      </c>
      <c r="B96" s="6">
        <v>44094</v>
      </c>
      <c r="C96" s="66">
        <v>0.45</v>
      </c>
      <c r="D96" s="5">
        <v>12.89</v>
      </c>
      <c r="E96" s="5">
        <v>1500</v>
      </c>
      <c r="F96" s="5">
        <v>1508</v>
      </c>
      <c r="G96" s="6">
        <v>44094</v>
      </c>
      <c r="H96" s="5"/>
      <c r="I96" s="5"/>
      <c r="J96" s="5">
        <f t="shared" si="12"/>
        <v>8</v>
      </c>
      <c r="K96" s="8" t="b">
        <f t="shared" si="13"/>
        <v>1</v>
      </c>
    </row>
    <row r="97" spans="1:11">
      <c r="A97" s="5">
        <v>102</v>
      </c>
      <c r="B97" s="6">
        <v>44095</v>
      </c>
      <c r="C97" s="66">
        <v>0.45</v>
      </c>
      <c r="D97" s="5">
        <v>12.89</v>
      </c>
      <c r="E97" s="5">
        <v>1508</v>
      </c>
      <c r="F97" s="5">
        <v>1517</v>
      </c>
      <c r="G97" s="6">
        <v>44095</v>
      </c>
      <c r="H97" s="5"/>
      <c r="I97" s="5"/>
      <c r="J97" s="5">
        <f t="shared" si="12"/>
        <v>9</v>
      </c>
      <c r="K97" s="8" t="b">
        <f t="shared" si="13"/>
        <v>1</v>
      </c>
    </row>
    <row r="98" spans="1:11">
      <c r="A98" s="5">
        <v>102</v>
      </c>
      <c r="B98" s="6">
        <v>44098</v>
      </c>
      <c r="C98" s="66">
        <v>0.4</v>
      </c>
      <c r="D98" s="5">
        <v>14.58</v>
      </c>
      <c r="E98" s="5">
        <v>1517</v>
      </c>
      <c r="F98" s="5">
        <v>1540</v>
      </c>
      <c r="G98" s="6">
        <v>44098</v>
      </c>
      <c r="H98" s="5"/>
      <c r="I98" s="5"/>
      <c r="J98" s="5">
        <f t="shared" si="12"/>
        <v>23</v>
      </c>
      <c r="K98" s="8" t="b">
        <f t="shared" si="13"/>
        <v>1</v>
      </c>
    </row>
    <row r="99" spans="1:11">
      <c r="A99" s="5">
        <v>102</v>
      </c>
      <c r="B99" s="6">
        <v>44099</v>
      </c>
      <c r="C99" s="66">
        <v>0.4</v>
      </c>
      <c r="D99" s="5">
        <v>14.58</v>
      </c>
      <c r="E99" s="5">
        <v>1540</v>
      </c>
      <c r="F99" s="5">
        <v>1567</v>
      </c>
      <c r="G99" s="6">
        <v>44099</v>
      </c>
      <c r="H99" s="5"/>
      <c r="I99" s="5"/>
      <c r="J99" s="5">
        <f t="shared" si="12"/>
        <v>27</v>
      </c>
      <c r="K99" s="8" t="b">
        <f t="shared" si="13"/>
        <v>1</v>
      </c>
    </row>
    <row r="100" spans="1:11">
      <c r="A100" s="5">
        <v>102</v>
      </c>
      <c r="B100" s="6">
        <v>44100</v>
      </c>
      <c r="C100" s="66">
        <v>0.4</v>
      </c>
      <c r="D100" s="5">
        <v>14.58</v>
      </c>
      <c r="E100" s="5">
        <v>1567</v>
      </c>
      <c r="F100" s="5">
        <v>1598</v>
      </c>
      <c r="G100" s="6">
        <v>44100</v>
      </c>
      <c r="H100" s="5"/>
      <c r="I100" s="5"/>
      <c r="J100" s="5">
        <f t="shared" si="12"/>
        <v>31</v>
      </c>
      <c r="K100" s="8" t="b">
        <f t="shared" si="13"/>
        <v>1</v>
      </c>
    </row>
    <row r="101" spans="1:11">
      <c r="A101" s="5">
        <v>102</v>
      </c>
      <c r="B101" s="6">
        <v>44103</v>
      </c>
      <c r="C101" s="66">
        <v>0.4</v>
      </c>
      <c r="D101" s="5">
        <v>14.58</v>
      </c>
      <c r="E101" s="5">
        <v>1598</v>
      </c>
      <c r="F101" s="5">
        <v>1626</v>
      </c>
      <c r="G101" s="6">
        <v>44103</v>
      </c>
      <c r="H101" s="5"/>
      <c r="I101" s="5"/>
      <c r="J101" s="5">
        <f t="shared" si="12"/>
        <v>28</v>
      </c>
      <c r="K101" s="8" t="b">
        <f t="shared" si="13"/>
        <v>1</v>
      </c>
    </row>
    <row r="102" spans="1:11">
      <c r="A102" s="5">
        <v>102</v>
      </c>
      <c r="B102" s="6">
        <v>44104</v>
      </c>
      <c r="C102" s="66">
        <v>0.4</v>
      </c>
      <c r="D102" s="5">
        <v>14.58</v>
      </c>
      <c r="E102" s="5">
        <v>1626</v>
      </c>
      <c r="F102" s="5">
        <v>1641</v>
      </c>
      <c r="G102" s="6">
        <v>44104</v>
      </c>
      <c r="H102" s="5"/>
      <c r="I102" s="5"/>
      <c r="J102" s="5">
        <f t="shared" si="12"/>
        <v>15</v>
      </c>
      <c r="K102" s="8" t="b">
        <f t="shared" si="13"/>
        <v>1</v>
      </c>
    </row>
    <row r="103" spans="1:11">
      <c r="A103" s="5">
        <v>102</v>
      </c>
      <c r="B103" s="6">
        <v>44105</v>
      </c>
      <c r="C103" s="66">
        <v>0.4</v>
      </c>
      <c r="D103" s="5">
        <v>14.58</v>
      </c>
      <c r="E103" s="5">
        <v>1641</v>
      </c>
      <c r="F103" s="5">
        <v>1657</v>
      </c>
      <c r="G103" s="6">
        <v>44105</v>
      </c>
      <c r="H103" s="5"/>
      <c r="I103" s="5"/>
      <c r="J103" s="5">
        <f t="shared" si="12"/>
        <v>16</v>
      </c>
      <c r="K103" s="8" t="b">
        <f t="shared" si="13"/>
        <v>1</v>
      </c>
    </row>
    <row r="104" spans="1:11">
      <c r="A104" s="5">
        <v>102</v>
      </c>
      <c r="B104" s="6">
        <v>44106</v>
      </c>
      <c r="C104" s="66">
        <v>0.4</v>
      </c>
      <c r="D104" s="5">
        <v>14.58</v>
      </c>
      <c r="E104" s="5">
        <v>1657</v>
      </c>
      <c r="F104" s="5">
        <v>1672</v>
      </c>
      <c r="G104" s="6">
        <v>44106</v>
      </c>
      <c r="H104" s="5"/>
      <c r="I104" s="5"/>
      <c r="J104" s="5">
        <f t="shared" si="12"/>
        <v>15</v>
      </c>
      <c r="K104" s="8" t="b">
        <f t="shared" si="13"/>
        <v>1</v>
      </c>
    </row>
    <row r="105" spans="1:11">
      <c r="A105" s="5">
        <v>102</v>
      </c>
      <c r="B105" s="6">
        <v>44107</v>
      </c>
      <c r="C105" s="66">
        <v>0.4</v>
      </c>
      <c r="D105" s="5">
        <v>14.58</v>
      </c>
      <c r="E105" s="5">
        <v>1672</v>
      </c>
      <c r="F105" s="5">
        <v>1687</v>
      </c>
      <c r="G105" s="6">
        <v>44107</v>
      </c>
      <c r="H105" s="5"/>
      <c r="I105" s="5"/>
      <c r="J105" s="5">
        <f t="shared" si="12"/>
        <v>15</v>
      </c>
      <c r="K105" s="8" t="b">
        <f t="shared" si="13"/>
        <v>1</v>
      </c>
    </row>
    <row r="106" spans="1:11">
      <c r="A106" s="5">
        <v>102</v>
      </c>
      <c r="B106" s="6">
        <v>44108</v>
      </c>
      <c r="C106" s="66">
        <v>0.4</v>
      </c>
      <c r="D106" s="5">
        <v>14.58</v>
      </c>
      <c r="E106" s="5">
        <v>1687</v>
      </c>
      <c r="F106" s="5">
        <v>1702</v>
      </c>
      <c r="G106" s="6">
        <v>44108</v>
      </c>
      <c r="H106" s="5"/>
      <c r="I106" s="5"/>
      <c r="J106" s="5">
        <f t="shared" si="12"/>
        <v>15</v>
      </c>
      <c r="K106" s="8" t="b">
        <f t="shared" si="13"/>
        <v>1</v>
      </c>
    </row>
    <row r="107" spans="1:11">
      <c r="A107" s="5">
        <v>102</v>
      </c>
      <c r="B107" s="6">
        <v>44109</v>
      </c>
      <c r="C107" s="66">
        <v>0.4</v>
      </c>
      <c r="D107" s="5">
        <v>14.58</v>
      </c>
      <c r="E107" s="5">
        <v>1702</v>
      </c>
      <c r="F107" s="5">
        <v>1717</v>
      </c>
      <c r="G107" s="6">
        <v>44109</v>
      </c>
      <c r="H107" s="5"/>
      <c r="I107" s="5"/>
      <c r="J107" s="5">
        <f t="shared" si="12"/>
        <v>15</v>
      </c>
      <c r="K107" s="8" t="b">
        <f t="shared" si="13"/>
        <v>1</v>
      </c>
    </row>
    <row r="108" spans="1:11">
      <c r="A108" s="5">
        <v>102</v>
      </c>
      <c r="B108" s="6">
        <v>44110</v>
      </c>
      <c r="C108" s="66">
        <v>0.8</v>
      </c>
      <c r="D108" s="5">
        <v>7.25</v>
      </c>
      <c r="E108" s="5">
        <v>1717</v>
      </c>
      <c r="F108" s="5">
        <v>1732</v>
      </c>
      <c r="G108" s="6">
        <v>44110</v>
      </c>
      <c r="H108" s="5"/>
      <c r="I108" s="5"/>
      <c r="J108" s="5">
        <f t="shared" si="12"/>
        <v>15</v>
      </c>
      <c r="K108" s="8" t="b">
        <f t="shared" si="13"/>
        <v>1</v>
      </c>
    </row>
    <row r="109" spans="1:11">
      <c r="A109" s="5">
        <v>102</v>
      </c>
      <c r="B109" s="6">
        <v>44111</v>
      </c>
      <c r="C109" s="66">
        <v>0.7</v>
      </c>
      <c r="D109" s="5">
        <v>11.06</v>
      </c>
      <c r="E109" s="5">
        <v>1732</v>
      </c>
      <c r="F109" s="5">
        <v>1741</v>
      </c>
      <c r="G109" s="6">
        <v>44111</v>
      </c>
      <c r="H109" s="5"/>
      <c r="I109" s="5"/>
      <c r="J109" s="5">
        <f t="shared" si="12"/>
        <v>9</v>
      </c>
      <c r="K109" s="8" t="b">
        <f t="shared" si="13"/>
        <v>1</v>
      </c>
    </row>
    <row r="110" spans="1:11">
      <c r="A110" s="5">
        <v>102</v>
      </c>
      <c r="B110" s="6">
        <v>44112</v>
      </c>
      <c r="C110" s="66">
        <v>0.7</v>
      </c>
      <c r="D110" s="5">
        <v>11.06</v>
      </c>
      <c r="E110" s="5">
        <v>1741</v>
      </c>
      <c r="F110" s="5">
        <v>1751</v>
      </c>
      <c r="G110" s="6">
        <v>44112</v>
      </c>
      <c r="H110" s="5"/>
      <c r="I110" s="5"/>
      <c r="J110" s="5">
        <f t="shared" si="12"/>
        <v>10</v>
      </c>
      <c r="K110" s="8" t="b">
        <f t="shared" si="13"/>
        <v>1</v>
      </c>
    </row>
    <row r="111" spans="1:11">
      <c r="A111" s="5">
        <v>102</v>
      </c>
      <c r="B111" s="6">
        <v>44113</v>
      </c>
      <c r="C111" s="66">
        <v>0.7</v>
      </c>
      <c r="D111" s="5">
        <v>11.06</v>
      </c>
      <c r="E111" s="5">
        <v>1751</v>
      </c>
      <c r="F111" s="5">
        <v>1778</v>
      </c>
      <c r="G111" s="6">
        <v>44113</v>
      </c>
      <c r="H111" s="5"/>
      <c r="I111" s="5"/>
      <c r="J111" s="5">
        <f t="shared" si="12"/>
        <v>27</v>
      </c>
      <c r="K111" s="8" t="b">
        <f t="shared" si="13"/>
        <v>1</v>
      </c>
    </row>
    <row r="112" spans="1:11">
      <c r="A112" s="5">
        <v>102</v>
      </c>
      <c r="B112" s="6">
        <v>44114</v>
      </c>
      <c r="C112" s="66">
        <v>0.7</v>
      </c>
      <c r="D112" s="5">
        <v>11.06</v>
      </c>
      <c r="E112" s="5">
        <v>1778</v>
      </c>
      <c r="F112" s="5">
        <v>1794</v>
      </c>
      <c r="G112" s="6">
        <v>44114</v>
      </c>
      <c r="H112" s="5"/>
      <c r="I112" s="5"/>
      <c r="J112" s="5">
        <f t="shared" si="12"/>
        <v>16</v>
      </c>
      <c r="K112" s="8" t="b">
        <f t="shared" si="13"/>
        <v>1</v>
      </c>
    </row>
    <row r="113" spans="1:11">
      <c r="A113" s="5">
        <v>102</v>
      </c>
      <c r="B113" s="6">
        <v>44116</v>
      </c>
      <c r="C113" s="66">
        <v>0.4</v>
      </c>
      <c r="D113" s="5">
        <v>14.58</v>
      </c>
      <c r="E113" s="5">
        <v>1794</v>
      </c>
      <c r="F113" s="5">
        <v>1822</v>
      </c>
      <c r="G113" s="6">
        <v>44116</v>
      </c>
      <c r="H113" s="5"/>
      <c r="I113" s="5"/>
      <c r="J113" s="5">
        <f t="shared" si="12"/>
        <v>28</v>
      </c>
      <c r="K113" s="8" t="b">
        <f t="shared" si="13"/>
        <v>1</v>
      </c>
    </row>
    <row r="114" spans="1:11">
      <c r="A114" s="5">
        <v>102</v>
      </c>
      <c r="B114" s="6">
        <v>44117</v>
      </c>
      <c r="C114" s="66">
        <v>0.4</v>
      </c>
      <c r="D114" s="5">
        <v>14.58</v>
      </c>
      <c r="E114" s="5">
        <v>1822</v>
      </c>
      <c r="F114" s="5">
        <v>1837</v>
      </c>
      <c r="G114" s="6">
        <v>44117</v>
      </c>
      <c r="H114" s="5"/>
      <c r="I114" s="5"/>
      <c r="J114" s="5">
        <f t="shared" ref="J114:J119" si="14">F114-E114</f>
        <v>15</v>
      </c>
      <c r="K114" s="8" t="b">
        <f t="shared" ref="K114:K119" si="15">F114=E115</f>
        <v>1</v>
      </c>
    </row>
    <row r="115" spans="1:11">
      <c r="A115" s="5">
        <v>102</v>
      </c>
      <c r="B115" s="6">
        <v>44118</v>
      </c>
      <c r="C115" s="66">
        <v>0.4</v>
      </c>
      <c r="D115" s="5">
        <v>14.58</v>
      </c>
      <c r="E115" s="5">
        <v>1837</v>
      </c>
      <c r="F115" s="5">
        <v>1852</v>
      </c>
      <c r="G115" s="6">
        <v>44118</v>
      </c>
      <c r="H115" s="5"/>
      <c r="I115" s="5"/>
      <c r="J115" s="5">
        <f t="shared" si="14"/>
        <v>15</v>
      </c>
      <c r="K115" s="8" t="b">
        <f t="shared" si="15"/>
        <v>1</v>
      </c>
    </row>
    <row r="116" spans="1:11">
      <c r="A116" s="5">
        <v>102</v>
      </c>
      <c r="B116" s="6">
        <v>44119</v>
      </c>
      <c r="C116" s="66">
        <v>0.4</v>
      </c>
      <c r="D116" s="5">
        <v>14.58</v>
      </c>
      <c r="E116" s="5">
        <v>1852</v>
      </c>
      <c r="F116" s="5">
        <v>1867</v>
      </c>
      <c r="G116" s="6">
        <v>44119</v>
      </c>
      <c r="H116" s="5"/>
      <c r="I116" s="5"/>
      <c r="J116" s="5">
        <f t="shared" si="14"/>
        <v>15</v>
      </c>
      <c r="K116" s="8" t="b">
        <f t="shared" si="15"/>
        <v>1</v>
      </c>
    </row>
    <row r="117" spans="1:11">
      <c r="A117" s="5">
        <v>102</v>
      </c>
      <c r="B117" s="6">
        <v>44120</v>
      </c>
      <c r="C117" s="66">
        <v>0.4</v>
      </c>
      <c r="D117" s="5">
        <v>14.58</v>
      </c>
      <c r="E117" s="5">
        <v>1867</v>
      </c>
      <c r="F117" s="5">
        <v>1878</v>
      </c>
      <c r="G117" s="6">
        <v>44120</v>
      </c>
      <c r="H117" s="5"/>
      <c r="I117" s="5"/>
      <c r="J117" s="5">
        <f t="shared" si="14"/>
        <v>11</v>
      </c>
      <c r="K117" s="8" t="b">
        <f t="shared" si="15"/>
        <v>1</v>
      </c>
    </row>
    <row r="118" spans="1:11">
      <c r="A118" s="5">
        <v>102</v>
      </c>
      <c r="B118" s="6">
        <v>44121</v>
      </c>
      <c r="C118" s="66">
        <v>0.4</v>
      </c>
      <c r="D118" s="5">
        <v>14.58</v>
      </c>
      <c r="E118" s="5">
        <v>1878</v>
      </c>
      <c r="F118" s="5">
        <v>1894</v>
      </c>
      <c r="G118" s="6">
        <v>44121</v>
      </c>
      <c r="H118" s="5"/>
      <c r="I118" s="5"/>
      <c r="J118" s="5">
        <f t="shared" si="14"/>
        <v>16</v>
      </c>
      <c r="K118" s="8" t="b">
        <f t="shared" si="15"/>
        <v>1</v>
      </c>
    </row>
    <row r="119" spans="1:11">
      <c r="A119" s="5">
        <v>102</v>
      </c>
      <c r="B119" s="6">
        <v>44122</v>
      </c>
      <c r="C119" s="66">
        <v>0.4</v>
      </c>
      <c r="D119" s="5">
        <v>14.58</v>
      </c>
      <c r="E119" s="5">
        <v>1894</v>
      </c>
      <c r="F119" s="5">
        <v>1908</v>
      </c>
      <c r="G119" s="6">
        <v>44122</v>
      </c>
      <c r="H119" s="5"/>
      <c r="I119" s="5"/>
      <c r="J119" s="5">
        <f t="shared" si="14"/>
        <v>14</v>
      </c>
      <c r="K119" s="8" t="b">
        <f t="shared" si="15"/>
        <v>1</v>
      </c>
    </row>
    <row r="120" spans="1:11">
      <c r="A120" s="5">
        <v>102</v>
      </c>
      <c r="B120" s="6">
        <v>44124</v>
      </c>
      <c r="C120" s="66">
        <v>0.4</v>
      </c>
      <c r="D120" s="5">
        <v>14.58</v>
      </c>
      <c r="E120" s="5">
        <v>1908</v>
      </c>
      <c r="F120" s="5">
        <v>1923</v>
      </c>
      <c r="G120" s="6">
        <v>44123</v>
      </c>
      <c r="H120" s="5"/>
      <c r="I120" s="5"/>
      <c r="J120" s="5">
        <f t="shared" ref="J120:J129" si="16">F120-E120</f>
        <v>15</v>
      </c>
      <c r="K120" s="8" t="b">
        <f t="shared" ref="K120:K129" si="17">F120=E121</f>
        <v>1</v>
      </c>
    </row>
    <row r="121" spans="1:11">
      <c r="A121" s="5">
        <v>102</v>
      </c>
      <c r="B121" s="6">
        <v>44125</v>
      </c>
      <c r="C121" s="66">
        <v>0.4</v>
      </c>
      <c r="D121" s="5">
        <v>14.58</v>
      </c>
      <c r="E121" s="5">
        <v>1923</v>
      </c>
      <c r="F121" s="5">
        <v>1953</v>
      </c>
      <c r="G121" s="6">
        <v>44125</v>
      </c>
      <c r="H121" s="5"/>
      <c r="I121" s="5"/>
      <c r="J121" s="5">
        <f t="shared" si="16"/>
        <v>30</v>
      </c>
      <c r="K121" s="8" t="b">
        <f t="shared" si="17"/>
        <v>1</v>
      </c>
    </row>
    <row r="122" spans="1:11">
      <c r="A122" s="5">
        <v>102</v>
      </c>
      <c r="B122" s="6">
        <v>44126</v>
      </c>
      <c r="C122" s="66">
        <v>0.4</v>
      </c>
      <c r="D122" s="5">
        <v>14.58</v>
      </c>
      <c r="E122" s="5">
        <v>1953</v>
      </c>
      <c r="F122" s="5">
        <v>1968</v>
      </c>
      <c r="G122" s="6">
        <v>44126</v>
      </c>
      <c r="H122" s="5"/>
      <c r="I122" s="5"/>
      <c r="J122" s="5">
        <f t="shared" si="16"/>
        <v>15</v>
      </c>
      <c r="K122" s="8" t="b">
        <f t="shared" si="17"/>
        <v>1</v>
      </c>
    </row>
    <row r="123" spans="1:11">
      <c r="A123" s="5">
        <v>102</v>
      </c>
      <c r="B123" s="6">
        <v>44127</v>
      </c>
      <c r="C123" s="66">
        <v>0.4</v>
      </c>
      <c r="D123" s="5">
        <v>14.58</v>
      </c>
      <c r="E123" s="5">
        <v>1968</v>
      </c>
      <c r="F123" s="5">
        <v>1979</v>
      </c>
      <c r="G123" s="6">
        <v>44127</v>
      </c>
      <c r="H123" s="5"/>
      <c r="I123" s="5"/>
      <c r="J123" s="5">
        <f t="shared" si="16"/>
        <v>11</v>
      </c>
      <c r="K123" s="8" t="b">
        <f t="shared" si="17"/>
        <v>1</v>
      </c>
    </row>
    <row r="124" spans="1:11">
      <c r="A124" s="5">
        <v>102</v>
      </c>
      <c r="B124" s="6">
        <v>44128</v>
      </c>
      <c r="C124" s="66">
        <v>0.5</v>
      </c>
      <c r="D124" s="5">
        <v>11.6</v>
      </c>
      <c r="E124" s="5">
        <v>1979</v>
      </c>
      <c r="F124" s="5">
        <v>1990</v>
      </c>
      <c r="G124" s="6">
        <v>44128</v>
      </c>
      <c r="H124" s="5"/>
      <c r="I124" s="5"/>
      <c r="J124" s="5">
        <f t="shared" si="16"/>
        <v>11</v>
      </c>
      <c r="K124" s="8" t="b">
        <f t="shared" si="17"/>
        <v>1</v>
      </c>
    </row>
    <row r="125" spans="1:11">
      <c r="A125" s="5">
        <v>102</v>
      </c>
      <c r="B125" s="6">
        <v>44129</v>
      </c>
      <c r="C125" s="66">
        <v>0.5</v>
      </c>
      <c r="D125" s="5">
        <v>11.6</v>
      </c>
      <c r="E125" s="5">
        <v>1990</v>
      </c>
      <c r="F125" s="5">
        <v>2001</v>
      </c>
      <c r="G125" s="6">
        <v>44129</v>
      </c>
      <c r="H125" s="5"/>
      <c r="I125" s="5"/>
      <c r="J125" s="5">
        <f t="shared" si="16"/>
        <v>11</v>
      </c>
      <c r="K125" s="8" t="b">
        <f t="shared" si="17"/>
        <v>1</v>
      </c>
    </row>
    <row r="126" spans="1:11">
      <c r="A126" s="5">
        <v>102</v>
      </c>
      <c r="B126" s="6">
        <v>44130</v>
      </c>
      <c r="C126" s="66">
        <v>0.5</v>
      </c>
      <c r="D126" s="5">
        <v>11.6</v>
      </c>
      <c r="E126" s="5">
        <v>2001</v>
      </c>
      <c r="F126" s="5">
        <v>2011</v>
      </c>
      <c r="G126" s="6">
        <v>44130</v>
      </c>
      <c r="H126" s="5"/>
      <c r="I126" s="5"/>
      <c r="J126" s="5">
        <f t="shared" si="16"/>
        <v>10</v>
      </c>
      <c r="K126" s="8" t="b">
        <f t="shared" si="17"/>
        <v>1</v>
      </c>
    </row>
    <row r="127" spans="1:11">
      <c r="A127" s="5">
        <v>102</v>
      </c>
      <c r="B127" s="6">
        <v>44132</v>
      </c>
      <c r="C127" s="66">
        <v>0.7</v>
      </c>
      <c r="D127" s="5">
        <v>8.35</v>
      </c>
      <c r="E127" s="5">
        <v>2011</v>
      </c>
      <c r="F127" s="5">
        <v>2019</v>
      </c>
      <c r="G127" s="6">
        <v>44132</v>
      </c>
      <c r="H127" s="5"/>
      <c r="I127" s="5"/>
      <c r="J127" s="5">
        <f t="shared" si="16"/>
        <v>8</v>
      </c>
      <c r="K127" s="8" t="b">
        <f t="shared" si="17"/>
        <v>1</v>
      </c>
    </row>
    <row r="128" spans="1:11">
      <c r="A128" s="5">
        <v>102</v>
      </c>
      <c r="B128" s="6">
        <v>44134</v>
      </c>
      <c r="C128" s="66">
        <v>0.7</v>
      </c>
      <c r="D128" s="5">
        <v>8.35</v>
      </c>
      <c r="E128" s="5">
        <v>2019</v>
      </c>
      <c r="F128" s="5">
        <v>2036</v>
      </c>
      <c r="G128" s="6">
        <v>44134</v>
      </c>
      <c r="H128" s="5"/>
      <c r="I128" s="5"/>
      <c r="J128" s="5">
        <f t="shared" si="16"/>
        <v>17</v>
      </c>
      <c r="K128" s="8" t="b">
        <f t="shared" si="17"/>
        <v>0</v>
      </c>
    </row>
    <row r="129" spans="1:11">
      <c r="A129" s="5">
        <v>102</v>
      </c>
      <c r="B129" s="6">
        <v>44162</v>
      </c>
      <c r="C129" s="66">
        <v>0.8</v>
      </c>
      <c r="D129" s="5">
        <v>7.25</v>
      </c>
      <c r="E129" s="5">
        <v>2102</v>
      </c>
      <c r="F129" s="5">
        <v>2117</v>
      </c>
      <c r="G129" s="6">
        <v>44162</v>
      </c>
      <c r="H129" s="5"/>
      <c r="I129" s="5"/>
      <c r="J129" s="5">
        <f t="shared" si="16"/>
        <v>15</v>
      </c>
      <c r="K129" s="8" t="b">
        <f t="shared" si="17"/>
        <v>1</v>
      </c>
    </row>
    <row r="130" spans="1:11">
      <c r="A130" s="5">
        <v>102</v>
      </c>
      <c r="B130" s="6">
        <v>44164</v>
      </c>
      <c r="C130" s="66">
        <v>0.8</v>
      </c>
      <c r="D130" s="5">
        <v>7.25</v>
      </c>
      <c r="E130" s="5">
        <v>2117</v>
      </c>
      <c r="F130" s="5">
        <v>2130</v>
      </c>
      <c r="G130" s="6">
        <v>44164</v>
      </c>
      <c r="H130" s="5"/>
      <c r="I130" s="5"/>
      <c r="J130" s="5">
        <f t="shared" ref="J130:J136" si="18">F130-E130</f>
        <v>13</v>
      </c>
      <c r="K130" s="8" t="b">
        <f t="shared" ref="K130:K136" si="19">F130=E131</f>
        <v>1</v>
      </c>
    </row>
    <row r="131" spans="1:11">
      <c r="A131" s="5">
        <v>102</v>
      </c>
      <c r="B131" s="6">
        <v>44166</v>
      </c>
      <c r="C131" s="66">
        <v>0.8</v>
      </c>
      <c r="D131" s="5">
        <v>7.25</v>
      </c>
      <c r="E131" s="5">
        <v>2130</v>
      </c>
      <c r="F131" s="5">
        <v>2147</v>
      </c>
      <c r="G131" s="6">
        <v>44166</v>
      </c>
      <c r="H131" s="5"/>
      <c r="I131" s="5"/>
      <c r="J131" s="5">
        <f t="shared" si="18"/>
        <v>17</v>
      </c>
      <c r="K131" s="8" t="b">
        <f>F131=F132</f>
        <v>0</v>
      </c>
    </row>
    <row r="132" spans="1:11">
      <c r="A132" s="5"/>
      <c r="B132" s="6"/>
      <c r="C132" s="66"/>
      <c r="D132" s="8"/>
      <c r="E132" s="5"/>
      <c r="F132" s="5"/>
      <c r="G132" s="6"/>
      <c r="H132" s="5"/>
      <c r="I132" s="5"/>
      <c r="J132" s="5" t="e">
        <f>#REF!-F132</f>
        <v>#REF!</v>
      </c>
      <c r="K132" s="8" t="e">
        <f>#REF!=E133</f>
        <v>#REF!</v>
      </c>
    </row>
    <row r="133" spans="1:11">
      <c r="A133" s="5"/>
      <c r="B133" s="6"/>
      <c r="C133" s="66"/>
      <c r="D133" s="5"/>
      <c r="E133" s="5"/>
      <c r="F133" s="5"/>
      <c r="G133" s="6"/>
      <c r="H133" s="5"/>
      <c r="I133" s="5"/>
      <c r="J133" s="5">
        <f t="shared" si="18"/>
        <v>0</v>
      </c>
      <c r="K133" s="8" t="b">
        <f t="shared" si="19"/>
        <v>1</v>
      </c>
    </row>
    <row r="134" spans="1:11">
      <c r="A134" s="5"/>
      <c r="B134" s="6"/>
      <c r="C134" s="66"/>
      <c r="D134" s="5"/>
      <c r="E134" s="5"/>
      <c r="F134" s="5"/>
      <c r="G134" s="6"/>
      <c r="H134" s="5"/>
      <c r="I134" s="5"/>
      <c r="J134" s="5">
        <f t="shared" si="18"/>
        <v>0</v>
      </c>
      <c r="K134" s="8" t="b">
        <f t="shared" si="19"/>
        <v>1</v>
      </c>
    </row>
    <row r="135" spans="1:11">
      <c r="A135" s="5"/>
      <c r="B135" s="6"/>
      <c r="C135" s="66"/>
      <c r="D135" s="5"/>
      <c r="E135" s="5"/>
      <c r="F135" s="5"/>
      <c r="G135" s="6"/>
      <c r="H135" s="5"/>
      <c r="I135" s="5"/>
      <c r="J135" s="5">
        <f t="shared" si="18"/>
        <v>0</v>
      </c>
      <c r="K135" s="8" t="b">
        <f t="shared" si="19"/>
        <v>1</v>
      </c>
    </row>
    <row r="136" spans="1:11">
      <c r="A136" s="5"/>
      <c r="B136" s="6"/>
      <c r="C136" s="66"/>
      <c r="D136" s="5"/>
      <c r="E136" s="5"/>
      <c r="F136" s="5"/>
      <c r="G136" s="6"/>
      <c r="H136" s="5"/>
      <c r="I136" s="5"/>
      <c r="J136" s="5">
        <f t="shared" si="18"/>
        <v>0</v>
      </c>
      <c r="K136" s="8" t="b">
        <f t="shared" si="19"/>
        <v>1</v>
      </c>
    </row>
    <row r="138" spans="1:11" ht="26.25">
      <c r="A138" s="138" t="s">
        <v>20</v>
      </c>
      <c r="B138" s="159"/>
      <c r="C138" s="159"/>
      <c r="D138" s="159"/>
      <c r="E138" s="159"/>
      <c r="F138" s="159"/>
      <c r="G138" s="159"/>
      <c r="H138" s="159"/>
      <c r="I138" s="159"/>
      <c r="J138" s="159"/>
      <c r="K138" s="160"/>
    </row>
    <row r="139" spans="1:11" ht="26.25">
      <c r="A139" s="138" t="s">
        <v>24</v>
      </c>
      <c r="B139" s="159"/>
      <c r="C139" s="159"/>
      <c r="D139" s="159"/>
      <c r="E139" s="159"/>
      <c r="F139" s="159"/>
      <c r="G139" s="159"/>
      <c r="H139" s="159"/>
      <c r="I139" s="159"/>
      <c r="J139" s="159"/>
      <c r="K139" s="160"/>
    </row>
    <row r="140" spans="1:11" ht="15.75" thickBot="1"/>
    <row r="141" spans="1:11" ht="15.75" thickBot="1">
      <c r="A141" s="132" t="s">
        <v>2</v>
      </c>
      <c r="B141" s="133"/>
      <c r="C141" s="133"/>
      <c r="D141" s="133"/>
      <c r="E141" s="133"/>
      <c r="F141" s="133"/>
      <c r="G141" s="133"/>
      <c r="H141" s="133"/>
      <c r="I141" s="133"/>
      <c r="J141" s="133"/>
      <c r="K141" s="134"/>
    </row>
    <row r="143" spans="1:11" ht="19.5" thickBot="1">
      <c r="A143" s="1" t="s">
        <v>3</v>
      </c>
      <c r="B143" s="61"/>
      <c r="C143" s="64"/>
      <c r="D143" s="54"/>
      <c r="E143" s="1"/>
      <c r="F143" s="1"/>
      <c r="G143" s="61"/>
      <c r="H143" s="1"/>
      <c r="I143" s="1"/>
    </row>
    <row r="144" spans="1:11" ht="30.75" thickBot="1">
      <c r="A144" s="2" t="s">
        <v>4</v>
      </c>
      <c r="B144" s="62" t="s">
        <v>5</v>
      </c>
      <c r="C144" s="65" t="s">
        <v>6</v>
      </c>
      <c r="D144" s="3" t="s">
        <v>7</v>
      </c>
      <c r="E144" s="3" t="s">
        <v>8</v>
      </c>
      <c r="F144" s="3" t="s">
        <v>9</v>
      </c>
      <c r="G144" s="62" t="s">
        <v>10</v>
      </c>
      <c r="H144" s="3" t="s">
        <v>21</v>
      </c>
      <c r="I144" s="4" t="s">
        <v>22</v>
      </c>
      <c r="J144" s="4" t="s">
        <v>11</v>
      </c>
      <c r="K144" s="4" t="s">
        <v>12</v>
      </c>
    </row>
    <row r="145" spans="1:11">
      <c r="A145" s="5">
        <v>102</v>
      </c>
      <c r="B145" s="6">
        <v>44199</v>
      </c>
      <c r="C145" s="66">
        <v>0.6</v>
      </c>
      <c r="D145" s="5">
        <v>9.67</v>
      </c>
      <c r="E145" s="5">
        <v>2180</v>
      </c>
      <c r="F145" s="5">
        <v>2206</v>
      </c>
      <c r="G145" s="6">
        <v>44199</v>
      </c>
      <c r="H145" s="5"/>
      <c r="I145" s="5"/>
      <c r="J145" s="5">
        <f>F145-E145</f>
        <v>26</v>
      </c>
      <c r="K145" s="8" t="b">
        <f>F145=E146</f>
        <v>1</v>
      </c>
    </row>
    <row r="146" spans="1:11">
      <c r="A146" s="5">
        <v>102</v>
      </c>
      <c r="B146" s="6">
        <v>44205</v>
      </c>
      <c r="C146" s="66">
        <v>0.7</v>
      </c>
      <c r="D146" s="5">
        <v>8.35</v>
      </c>
      <c r="E146" s="5">
        <v>2206</v>
      </c>
      <c r="F146" s="5">
        <v>2215</v>
      </c>
      <c r="G146" s="6">
        <v>44205</v>
      </c>
      <c r="H146" s="5"/>
      <c r="I146" s="5"/>
      <c r="J146" s="5">
        <f>F146-E146</f>
        <v>9</v>
      </c>
      <c r="K146" s="8" t="b">
        <f>F146=E147</f>
        <v>1</v>
      </c>
    </row>
    <row r="147" spans="1:11">
      <c r="A147" s="5">
        <v>102</v>
      </c>
      <c r="B147" s="6">
        <v>44206</v>
      </c>
      <c r="C147" s="66">
        <v>1</v>
      </c>
      <c r="D147" s="5">
        <v>5.8</v>
      </c>
      <c r="E147" s="5">
        <v>2215</v>
      </c>
      <c r="F147" s="5">
        <v>2222</v>
      </c>
      <c r="G147" s="6">
        <v>44206</v>
      </c>
      <c r="H147" s="5"/>
      <c r="I147" s="5"/>
      <c r="J147" s="5">
        <f>F147-E147</f>
        <v>7</v>
      </c>
      <c r="K147" s="8" t="b">
        <f>F147=E148</f>
        <v>1</v>
      </c>
    </row>
    <row r="148" spans="1:11">
      <c r="A148" s="5">
        <v>102</v>
      </c>
      <c r="B148" s="6">
        <v>44208</v>
      </c>
      <c r="C148" s="66">
        <v>1</v>
      </c>
      <c r="D148" s="5">
        <v>5.8</v>
      </c>
      <c r="E148" s="5">
        <v>2222</v>
      </c>
      <c r="F148" s="5">
        <v>2225</v>
      </c>
      <c r="G148" s="6">
        <v>44208</v>
      </c>
      <c r="H148" s="5"/>
      <c r="I148" s="5"/>
      <c r="J148" s="5">
        <f>F148-E148</f>
        <v>3</v>
      </c>
      <c r="K148" s="8" t="b">
        <f>F148=E149</f>
        <v>1</v>
      </c>
    </row>
    <row r="149" spans="1:11">
      <c r="A149" s="5">
        <v>102</v>
      </c>
      <c r="B149" s="6">
        <v>44209</v>
      </c>
      <c r="C149" s="66">
        <v>1</v>
      </c>
      <c r="D149" s="5">
        <v>5.8</v>
      </c>
      <c r="E149" s="5">
        <v>2225</v>
      </c>
      <c r="F149" s="5">
        <v>2228</v>
      </c>
      <c r="G149" s="6">
        <v>44209</v>
      </c>
      <c r="H149" s="5"/>
      <c r="I149" s="5"/>
      <c r="J149" s="5">
        <f>F149-E149</f>
        <v>3</v>
      </c>
      <c r="K149" s="8" t="b">
        <f>F149=E150</f>
        <v>1</v>
      </c>
    </row>
    <row r="150" spans="1:11">
      <c r="A150" s="5">
        <v>102</v>
      </c>
      <c r="B150" s="6">
        <v>44210</v>
      </c>
      <c r="C150" s="66">
        <v>1</v>
      </c>
      <c r="D150" s="5">
        <v>5.8</v>
      </c>
      <c r="E150" s="5">
        <v>2228</v>
      </c>
      <c r="F150" s="5">
        <v>2234</v>
      </c>
      <c r="G150" s="6">
        <v>44210</v>
      </c>
      <c r="H150" s="5"/>
      <c r="I150" s="5"/>
      <c r="J150" s="5">
        <f t="shared" ref="J150:J162" si="20">F150-E150</f>
        <v>6</v>
      </c>
      <c r="K150" s="8" t="b">
        <f t="shared" ref="K150:K162" si="21">F150=E151</f>
        <v>1</v>
      </c>
    </row>
    <row r="151" spans="1:11">
      <c r="A151" s="5">
        <v>102</v>
      </c>
      <c r="B151" s="6">
        <v>44214</v>
      </c>
      <c r="C151" s="66">
        <v>1</v>
      </c>
      <c r="D151" s="5">
        <v>5.8</v>
      </c>
      <c r="E151" s="5">
        <v>2234</v>
      </c>
      <c r="F151" s="5">
        <v>2246</v>
      </c>
      <c r="G151" s="6">
        <v>44214</v>
      </c>
      <c r="H151" s="5"/>
      <c r="I151" s="5"/>
      <c r="J151" s="5">
        <f t="shared" si="20"/>
        <v>12</v>
      </c>
      <c r="K151" s="8" t="b">
        <f t="shared" si="21"/>
        <v>1</v>
      </c>
    </row>
    <row r="152" spans="1:11">
      <c r="A152" s="5">
        <v>102</v>
      </c>
      <c r="B152" s="6">
        <v>44215</v>
      </c>
      <c r="C152" s="66">
        <v>1</v>
      </c>
      <c r="D152" s="5">
        <v>5.8</v>
      </c>
      <c r="E152" s="5">
        <v>2246</v>
      </c>
      <c r="F152" s="5">
        <v>2258</v>
      </c>
      <c r="G152" s="6">
        <v>44215</v>
      </c>
      <c r="H152" s="5"/>
      <c r="I152" s="5"/>
      <c r="J152" s="5">
        <f t="shared" si="20"/>
        <v>12</v>
      </c>
      <c r="K152" s="8" t="b">
        <f t="shared" si="21"/>
        <v>1</v>
      </c>
    </row>
    <row r="153" spans="1:11">
      <c r="A153" s="5">
        <v>102</v>
      </c>
      <c r="B153" s="6">
        <v>20</v>
      </c>
      <c r="C153" s="66">
        <v>1</v>
      </c>
      <c r="D153" s="5">
        <v>5.8</v>
      </c>
      <c r="E153" s="5">
        <v>2258</v>
      </c>
      <c r="F153" s="5">
        <v>2270</v>
      </c>
      <c r="G153" s="6">
        <v>44216</v>
      </c>
      <c r="H153" s="5"/>
      <c r="I153" s="5"/>
      <c r="J153" s="5">
        <f t="shared" si="20"/>
        <v>12</v>
      </c>
      <c r="K153" s="8" t="b">
        <f t="shared" si="21"/>
        <v>1</v>
      </c>
    </row>
    <row r="154" spans="1:11">
      <c r="A154" s="5">
        <v>102</v>
      </c>
      <c r="B154" s="6">
        <v>44217</v>
      </c>
      <c r="C154" s="66">
        <v>1</v>
      </c>
      <c r="D154" s="5">
        <v>5.8</v>
      </c>
      <c r="E154" s="5">
        <v>2270</v>
      </c>
      <c r="F154" s="5">
        <v>2282</v>
      </c>
      <c r="G154" s="6">
        <v>44217</v>
      </c>
      <c r="H154" s="5"/>
      <c r="I154" s="5"/>
      <c r="J154" s="5">
        <f t="shared" si="20"/>
        <v>12</v>
      </c>
      <c r="K154" s="8" t="b">
        <f t="shared" si="21"/>
        <v>1</v>
      </c>
    </row>
    <row r="155" spans="1:11">
      <c r="A155" s="5">
        <v>102</v>
      </c>
      <c r="B155" s="6">
        <v>44218</v>
      </c>
      <c r="C155" s="66">
        <v>1</v>
      </c>
      <c r="D155" s="5">
        <v>5.8</v>
      </c>
      <c r="E155" s="5">
        <v>2282</v>
      </c>
      <c r="F155" s="5">
        <v>2294</v>
      </c>
      <c r="G155" s="6">
        <v>44218</v>
      </c>
      <c r="H155" s="5"/>
      <c r="I155" s="5"/>
      <c r="J155" s="5">
        <f t="shared" si="20"/>
        <v>12</v>
      </c>
      <c r="K155" s="8" t="b">
        <f t="shared" si="21"/>
        <v>1</v>
      </c>
    </row>
    <row r="156" spans="1:11">
      <c r="A156" s="5">
        <v>102</v>
      </c>
      <c r="B156" s="6">
        <v>44219</v>
      </c>
      <c r="C156" s="66">
        <v>1</v>
      </c>
      <c r="D156" s="5">
        <v>5.8</v>
      </c>
      <c r="E156" s="5">
        <v>2294</v>
      </c>
      <c r="F156" s="5">
        <v>2318</v>
      </c>
      <c r="G156" s="6">
        <v>44219</v>
      </c>
      <c r="H156" s="5"/>
      <c r="I156" s="5"/>
      <c r="J156" s="5">
        <f t="shared" si="20"/>
        <v>24</v>
      </c>
      <c r="K156" s="8" t="b">
        <f t="shared" si="21"/>
        <v>1</v>
      </c>
    </row>
    <row r="157" spans="1:11">
      <c r="A157" s="5">
        <v>102</v>
      </c>
      <c r="B157" s="6">
        <v>44220</v>
      </c>
      <c r="C157" s="66">
        <v>1</v>
      </c>
      <c r="D157" s="5">
        <v>5.8</v>
      </c>
      <c r="E157" s="5">
        <v>2318</v>
      </c>
      <c r="F157" s="5">
        <v>2342</v>
      </c>
      <c r="G157" s="6">
        <v>44220</v>
      </c>
      <c r="H157" s="5"/>
      <c r="I157" s="5"/>
      <c r="J157" s="5">
        <f t="shared" si="20"/>
        <v>24</v>
      </c>
      <c r="K157" s="8" t="b">
        <f t="shared" si="21"/>
        <v>1</v>
      </c>
    </row>
    <row r="158" spans="1:11">
      <c r="A158" s="5">
        <v>102</v>
      </c>
      <c r="B158" s="6">
        <v>44221</v>
      </c>
      <c r="C158" s="66">
        <v>1</v>
      </c>
      <c r="D158" s="5">
        <v>5.8</v>
      </c>
      <c r="E158" s="5">
        <v>2342</v>
      </c>
      <c r="F158" s="5">
        <v>2369</v>
      </c>
      <c r="G158" s="6">
        <v>44221</v>
      </c>
      <c r="H158" s="5"/>
      <c r="I158" s="5"/>
      <c r="J158" s="5">
        <f t="shared" si="20"/>
        <v>27</v>
      </c>
      <c r="K158" s="8" t="b">
        <f t="shared" si="21"/>
        <v>1</v>
      </c>
    </row>
    <row r="159" spans="1:11">
      <c r="A159" s="5">
        <v>102</v>
      </c>
      <c r="B159" s="6">
        <v>44222</v>
      </c>
      <c r="C159" s="66">
        <v>1</v>
      </c>
      <c r="D159" s="5">
        <v>5.8</v>
      </c>
      <c r="E159" s="5">
        <v>2369</v>
      </c>
      <c r="F159" s="5">
        <v>2381</v>
      </c>
      <c r="G159" s="6">
        <v>44222</v>
      </c>
      <c r="H159" s="5"/>
      <c r="I159" s="5"/>
      <c r="J159" s="5">
        <f t="shared" si="20"/>
        <v>12</v>
      </c>
      <c r="K159" s="8" t="b">
        <f t="shared" si="21"/>
        <v>1</v>
      </c>
    </row>
    <row r="160" spans="1:11">
      <c r="A160" s="5">
        <v>102</v>
      </c>
      <c r="B160" s="6">
        <v>44223</v>
      </c>
      <c r="C160" s="66">
        <v>1</v>
      </c>
      <c r="D160" s="5">
        <v>5.8</v>
      </c>
      <c r="E160" s="5">
        <v>2381</v>
      </c>
      <c r="F160" s="5">
        <v>2393</v>
      </c>
      <c r="G160" s="6">
        <v>44223</v>
      </c>
      <c r="H160" s="5"/>
      <c r="I160" s="5"/>
      <c r="J160" s="5">
        <f t="shared" si="20"/>
        <v>12</v>
      </c>
      <c r="K160" s="8" t="b">
        <f t="shared" si="21"/>
        <v>0</v>
      </c>
    </row>
    <row r="161" spans="1:11">
      <c r="A161" s="5">
        <v>102</v>
      </c>
      <c r="B161" s="6">
        <v>44225</v>
      </c>
      <c r="C161" s="66">
        <v>1</v>
      </c>
      <c r="D161" s="5">
        <v>5.8</v>
      </c>
      <c r="E161" s="5">
        <v>0</v>
      </c>
      <c r="F161" s="5">
        <v>12</v>
      </c>
      <c r="G161" s="6">
        <v>44225</v>
      </c>
      <c r="H161" s="5"/>
      <c r="I161" s="5"/>
      <c r="J161" s="5">
        <f t="shared" si="20"/>
        <v>12</v>
      </c>
      <c r="K161" s="8" t="b">
        <f t="shared" si="21"/>
        <v>1</v>
      </c>
    </row>
    <row r="162" spans="1:11">
      <c r="A162" s="5">
        <v>102</v>
      </c>
      <c r="B162" s="6">
        <v>44226</v>
      </c>
      <c r="C162" s="66">
        <v>1</v>
      </c>
      <c r="D162" s="5">
        <v>5.8</v>
      </c>
      <c r="E162" s="5">
        <v>12</v>
      </c>
      <c r="F162" s="5">
        <v>23.3</v>
      </c>
      <c r="G162" s="6">
        <v>44226</v>
      </c>
      <c r="H162" s="5"/>
      <c r="I162" s="5"/>
      <c r="J162" s="5">
        <f t="shared" si="20"/>
        <v>11.3</v>
      </c>
      <c r="K162" s="8" t="b">
        <f t="shared" si="21"/>
        <v>1</v>
      </c>
    </row>
    <row r="163" spans="1:11">
      <c r="A163" s="5">
        <v>102</v>
      </c>
      <c r="B163" s="6">
        <v>44229</v>
      </c>
      <c r="C163" s="66">
        <v>1</v>
      </c>
      <c r="D163" s="5">
        <v>5.8</v>
      </c>
      <c r="E163" s="5">
        <v>23.3</v>
      </c>
      <c r="F163" s="5">
        <v>36.1</v>
      </c>
      <c r="G163" s="17">
        <v>44229</v>
      </c>
      <c r="H163" s="5"/>
      <c r="I163" s="5"/>
      <c r="J163" s="5">
        <f t="shared" ref="J163:J174" si="22">F163-E163</f>
        <v>12.8</v>
      </c>
      <c r="K163" s="8" t="b">
        <f t="shared" ref="K163:K174" si="23">F163=E164</f>
        <v>1</v>
      </c>
    </row>
    <row r="164" spans="1:11">
      <c r="A164" s="5">
        <v>102</v>
      </c>
      <c r="B164" s="6">
        <v>44232</v>
      </c>
      <c r="C164" s="66">
        <v>1</v>
      </c>
      <c r="D164" s="5">
        <v>5.8</v>
      </c>
      <c r="E164" s="5">
        <v>36.1</v>
      </c>
      <c r="F164" s="5">
        <v>41.1</v>
      </c>
      <c r="G164" s="6">
        <v>44232</v>
      </c>
      <c r="H164" s="5"/>
      <c r="I164" s="5"/>
      <c r="J164" s="5">
        <f t="shared" si="22"/>
        <v>5</v>
      </c>
      <c r="K164" s="8" t="b">
        <f t="shared" si="23"/>
        <v>0</v>
      </c>
    </row>
    <row r="165" spans="1:11">
      <c r="A165" s="5">
        <v>102</v>
      </c>
      <c r="B165" s="6">
        <v>44238</v>
      </c>
      <c r="C165" s="66">
        <v>1</v>
      </c>
      <c r="D165" s="5">
        <v>5.8</v>
      </c>
      <c r="E165" s="5">
        <v>48.6</v>
      </c>
      <c r="F165" s="5">
        <v>60.5</v>
      </c>
      <c r="G165" s="6">
        <v>44238</v>
      </c>
      <c r="H165" s="5"/>
      <c r="I165" s="5"/>
      <c r="J165" s="5">
        <f t="shared" si="22"/>
        <v>11.899999999999999</v>
      </c>
      <c r="K165" s="8" t="b">
        <f t="shared" si="23"/>
        <v>0</v>
      </c>
    </row>
    <row r="166" spans="1:11">
      <c r="A166" s="5">
        <v>102</v>
      </c>
      <c r="B166" s="6">
        <v>44239</v>
      </c>
      <c r="C166" s="66">
        <v>1</v>
      </c>
      <c r="D166" s="5">
        <v>5.8</v>
      </c>
      <c r="E166" s="5">
        <v>41.1</v>
      </c>
      <c r="F166" s="5">
        <v>51</v>
      </c>
      <c r="G166" s="6">
        <v>44239</v>
      </c>
      <c r="H166" s="5"/>
      <c r="I166" s="5"/>
      <c r="J166" s="5">
        <f t="shared" si="22"/>
        <v>9.8999999999999986</v>
      </c>
      <c r="K166" s="8" t="b">
        <f t="shared" si="23"/>
        <v>0</v>
      </c>
    </row>
    <row r="167" spans="1:11">
      <c r="A167" s="5">
        <v>102</v>
      </c>
      <c r="B167" s="6">
        <v>44246</v>
      </c>
      <c r="C167" s="66">
        <v>1</v>
      </c>
      <c r="D167" s="5">
        <v>5.8</v>
      </c>
      <c r="E167" s="5">
        <v>60.5</v>
      </c>
      <c r="F167" s="5">
        <v>72.400000000000006</v>
      </c>
      <c r="G167" s="6">
        <v>44246</v>
      </c>
      <c r="H167" s="5"/>
      <c r="I167" s="5"/>
      <c r="J167" s="5">
        <f t="shared" si="22"/>
        <v>11.900000000000006</v>
      </c>
      <c r="K167" s="8" t="b">
        <f t="shared" si="23"/>
        <v>0</v>
      </c>
    </row>
    <row r="168" spans="1:11">
      <c r="A168" s="5">
        <v>102</v>
      </c>
      <c r="B168" s="6">
        <v>44251</v>
      </c>
      <c r="C168" s="66">
        <v>1</v>
      </c>
      <c r="D168" s="5">
        <v>5.8</v>
      </c>
      <c r="E168" s="5">
        <v>73.3</v>
      </c>
      <c r="F168" s="5">
        <v>85.5</v>
      </c>
      <c r="G168" s="6">
        <v>44251</v>
      </c>
      <c r="H168" s="5"/>
      <c r="I168" s="5"/>
      <c r="J168" s="5">
        <f t="shared" si="22"/>
        <v>12.200000000000003</v>
      </c>
      <c r="K168" s="8" t="b">
        <f t="shared" si="23"/>
        <v>0</v>
      </c>
    </row>
    <row r="169" spans="1:11">
      <c r="A169" s="5">
        <v>102</v>
      </c>
      <c r="B169" s="6">
        <v>44257</v>
      </c>
      <c r="C169" s="66">
        <v>1</v>
      </c>
      <c r="D169" s="5">
        <v>5.8</v>
      </c>
      <c r="E169" s="5">
        <v>35.5</v>
      </c>
      <c r="F169" s="5">
        <v>91.5</v>
      </c>
      <c r="G169" s="6">
        <v>44257</v>
      </c>
      <c r="H169" s="5"/>
      <c r="I169" s="5"/>
      <c r="J169" s="5">
        <f t="shared" si="22"/>
        <v>56</v>
      </c>
      <c r="K169" s="8" t="b">
        <f t="shared" si="23"/>
        <v>1</v>
      </c>
    </row>
    <row r="170" spans="1:11">
      <c r="A170" s="5">
        <v>102</v>
      </c>
      <c r="B170" s="6">
        <v>44258</v>
      </c>
      <c r="C170" s="66">
        <v>1</v>
      </c>
      <c r="D170" s="5">
        <v>5.8</v>
      </c>
      <c r="E170" s="5">
        <v>91.5</v>
      </c>
      <c r="F170" s="5">
        <v>97.8</v>
      </c>
      <c r="G170" s="6">
        <v>44258</v>
      </c>
      <c r="H170" s="5"/>
      <c r="I170" s="5"/>
      <c r="J170" s="5">
        <f t="shared" si="22"/>
        <v>6.2999999999999972</v>
      </c>
      <c r="K170" s="8" t="b">
        <f t="shared" si="23"/>
        <v>1</v>
      </c>
    </row>
    <row r="171" spans="1:11">
      <c r="A171" s="5">
        <v>102</v>
      </c>
      <c r="B171" s="6">
        <v>44259</v>
      </c>
      <c r="C171" s="66">
        <v>1</v>
      </c>
      <c r="D171" s="5">
        <v>5.8</v>
      </c>
      <c r="E171" s="5">
        <v>97.8</v>
      </c>
      <c r="F171" s="5">
        <v>109.5</v>
      </c>
      <c r="G171" s="6">
        <v>44259</v>
      </c>
      <c r="H171" s="5"/>
      <c r="I171" s="5"/>
      <c r="J171" s="5">
        <f t="shared" si="22"/>
        <v>11.700000000000003</v>
      </c>
      <c r="K171" s="8" t="b">
        <f t="shared" si="23"/>
        <v>1</v>
      </c>
    </row>
    <row r="172" spans="1:11">
      <c r="A172" s="5" t="s">
        <v>25</v>
      </c>
      <c r="B172" s="6">
        <v>44261</v>
      </c>
      <c r="C172" s="66">
        <v>1</v>
      </c>
      <c r="D172" s="5">
        <v>5.8</v>
      </c>
      <c r="E172" s="5">
        <v>109.5</v>
      </c>
      <c r="F172" s="5">
        <v>117.9</v>
      </c>
      <c r="G172" s="6">
        <v>44261</v>
      </c>
      <c r="H172" s="5"/>
      <c r="I172" s="5"/>
      <c r="J172" s="5">
        <f t="shared" si="22"/>
        <v>8.4000000000000057</v>
      </c>
      <c r="K172" s="8" t="b">
        <f t="shared" si="23"/>
        <v>1</v>
      </c>
    </row>
    <row r="173" spans="1:11">
      <c r="A173" s="19" t="s">
        <v>26</v>
      </c>
      <c r="B173" s="6">
        <v>44263</v>
      </c>
      <c r="C173" s="66">
        <v>1</v>
      </c>
      <c r="D173" s="5">
        <v>5.8</v>
      </c>
      <c r="E173" s="5">
        <v>117.9</v>
      </c>
      <c r="F173" s="5">
        <v>123.8</v>
      </c>
      <c r="G173" s="6">
        <v>44263</v>
      </c>
      <c r="H173" s="5"/>
      <c r="I173" s="5"/>
      <c r="J173" s="5">
        <f t="shared" si="22"/>
        <v>5.8999999999999915</v>
      </c>
      <c r="K173" s="8" t="b">
        <f t="shared" si="23"/>
        <v>1</v>
      </c>
    </row>
    <row r="174" spans="1:11">
      <c r="A174" s="5" t="s">
        <v>27</v>
      </c>
      <c r="B174" s="6">
        <v>10</v>
      </c>
      <c r="C174" s="66">
        <v>1</v>
      </c>
      <c r="D174" s="5">
        <v>5.8</v>
      </c>
      <c r="E174" s="5">
        <v>123.8</v>
      </c>
      <c r="F174" s="5">
        <v>129.6</v>
      </c>
      <c r="G174" s="6">
        <v>44265</v>
      </c>
      <c r="H174" s="5"/>
      <c r="I174" s="5"/>
      <c r="J174" s="5">
        <f t="shared" si="22"/>
        <v>5.7999999999999972</v>
      </c>
      <c r="K174" s="8" t="b">
        <f t="shared" si="23"/>
        <v>1</v>
      </c>
    </row>
    <row r="175" spans="1:11">
      <c r="A175" s="5">
        <v>102</v>
      </c>
      <c r="B175" s="6">
        <v>44270</v>
      </c>
      <c r="C175" s="66">
        <v>1</v>
      </c>
      <c r="D175" s="5">
        <v>5.8</v>
      </c>
      <c r="E175" s="5">
        <v>129.6</v>
      </c>
      <c r="F175" s="5">
        <v>141.5</v>
      </c>
      <c r="G175" s="6">
        <v>44270</v>
      </c>
      <c r="H175" s="5"/>
      <c r="I175" s="5"/>
      <c r="J175" s="5">
        <f>F175-E175</f>
        <v>11.900000000000006</v>
      </c>
      <c r="K175" s="8" t="b">
        <f>F175=E176</f>
        <v>0</v>
      </c>
    </row>
    <row r="176" spans="1:11">
      <c r="A176" s="5" t="s">
        <v>28</v>
      </c>
      <c r="B176" s="6">
        <v>44273</v>
      </c>
      <c r="C176" s="66">
        <v>0.7</v>
      </c>
      <c r="D176" s="5">
        <v>8.2899999999999991</v>
      </c>
      <c r="E176" s="5">
        <v>141.30000000000001</v>
      </c>
      <c r="F176" s="5">
        <v>149.6</v>
      </c>
      <c r="G176" s="6">
        <v>44273</v>
      </c>
      <c r="H176" s="5"/>
      <c r="I176" s="5"/>
      <c r="J176" s="5">
        <f t="shared" ref="J176:J184" si="24">F176-E176</f>
        <v>8.2999999999999829</v>
      </c>
      <c r="K176" s="8" t="b">
        <f t="shared" ref="K176:K184" si="25">F176=E177</f>
        <v>1</v>
      </c>
    </row>
    <row r="177" spans="1:11">
      <c r="A177" s="5" t="s">
        <v>26</v>
      </c>
      <c r="B177" s="6">
        <v>44274</v>
      </c>
      <c r="C177" s="66">
        <v>0.7</v>
      </c>
      <c r="D177" s="5">
        <v>8.26</v>
      </c>
      <c r="E177" s="5">
        <v>149.6</v>
      </c>
      <c r="F177" s="5">
        <v>158.19999999999999</v>
      </c>
      <c r="G177" s="6">
        <v>44274</v>
      </c>
      <c r="H177" s="5"/>
      <c r="I177" s="5"/>
      <c r="J177" s="5">
        <f t="shared" si="24"/>
        <v>8.5999999999999943</v>
      </c>
      <c r="K177" s="8" t="b">
        <f t="shared" si="25"/>
        <v>1</v>
      </c>
    </row>
    <row r="178" spans="1:11">
      <c r="A178" s="5" t="s">
        <v>28</v>
      </c>
      <c r="B178" s="6">
        <v>44275</v>
      </c>
      <c r="C178" s="66">
        <v>0.7</v>
      </c>
      <c r="D178" s="5">
        <v>8.2899999999999991</v>
      </c>
      <c r="E178" s="5">
        <v>158.19999999999999</v>
      </c>
      <c r="F178" s="5">
        <v>166.2</v>
      </c>
      <c r="G178" s="6">
        <v>44275</v>
      </c>
      <c r="H178" s="5"/>
      <c r="I178" s="5"/>
      <c r="J178" s="5">
        <f t="shared" si="24"/>
        <v>8</v>
      </c>
      <c r="K178" s="8" t="b">
        <f t="shared" si="25"/>
        <v>1</v>
      </c>
    </row>
    <row r="179" spans="1:11">
      <c r="A179" s="5" t="s">
        <v>26</v>
      </c>
      <c r="B179" s="6">
        <v>44277</v>
      </c>
      <c r="C179" s="66">
        <v>0.6</v>
      </c>
      <c r="D179" s="5">
        <v>9.67</v>
      </c>
      <c r="E179" s="5">
        <v>166.2</v>
      </c>
      <c r="F179" s="5">
        <v>176.1</v>
      </c>
      <c r="G179" s="6">
        <v>44277</v>
      </c>
      <c r="H179" s="5"/>
      <c r="I179" s="5"/>
      <c r="J179" s="5">
        <f t="shared" si="24"/>
        <v>9.9000000000000057</v>
      </c>
      <c r="K179" s="8" t="b">
        <f t="shared" si="25"/>
        <v>1</v>
      </c>
    </row>
    <row r="180" spans="1:11">
      <c r="A180" s="5" t="s">
        <v>28</v>
      </c>
      <c r="B180" s="6">
        <v>44278</v>
      </c>
      <c r="C180" s="66">
        <v>0.6</v>
      </c>
      <c r="D180" s="5">
        <v>9.67</v>
      </c>
      <c r="E180" s="5">
        <v>176.1</v>
      </c>
      <c r="F180" s="5">
        <v>186</v>
      </c>
      <c r="G180" s="6">
        <v>44278</v>
      </c>
      <c r="H180" s="5"/>
      <c r="I180" s="5"/>
      <c r="J180" s="5">
        <f t="shared" si="24"/>
        <v>9.9000000000000057</v>
      </c>
      <c r="K180" s="8" t="b">
        <f t="shared" si="25"/>
        <v>0</v>
      </c>
    </row>
    <row r="181" spans="1:11">
      <c r="A181" s="5" t="s">
        <v>28</v>
      </c>
      <c r="B181" s="6">
        <v>44279</v>
      </c>
      <c r="C181" s="66">
        <v>0.6</v>
      </c>
      <c r="D181" s="5">
        <v>9.67</v>
      </c>
      <c r="E181" s="5">
        <v>176.3</v>
      </c>
      <c r="F181" s="5">
        <v>185</v>
      </c>
      <c r="G181" s="6">
        <v>44279</v>
      </c>
      <c r="H181" s="5"/>
      <c r="I181" s="5"/>
      <c r="J181" s="5">
        <f t="shared" si="24"/>
        <v>8.6999999999999886</v>
      </c>
      <c r="K181" s="8" t="b">
        <f t="shared" si="25"/>
        <v>1</v>
      </c>
    </row>
    <row r="182" spans="1:11">
      <c r="A182" s="5" t="s">
        <v>26</v>
      </c>
      <c r="B182" s="6">
        <v>44280</v>
      </c>
      <c r="C182" s="66">
        <v>0.6</v>
      </c>
      <c r="D182" s="5">
        <v>9.67</v>
      </c>
      <c r="E182" s="5">
        <v>185</v>
      </c>
      <c r="F182" s="5">
        <v>194.9</v>
      </c>
      <c r="G182" s="6">
        <v>44280</v>
      </c>
      <c r="H182" s="5"/>
      <c r="I182" s="5"/>
      <c r="J182" s="5">
        <f t="shared" si="24"/>
        <v>9.9000000000000057</v>
      </c>
      <c r="K182" s="8" t="b">
        <f t="shared" si="25"/>
        <v>1</v>
      </c>
    </row>
    <row r="183" spans="1:11">
      <c r="A183" s="5" t="s">
        <v>28</v>
      </c>
      <c r="B183" s="6">
        <v>44281</v>
      </c>
      <c r="C183" s="66">
        <v>0.6</v>
      </c>
      <c r="D183" s="5">
        <v>9.67</v>
      </c>
      <c r="E183" s="5">
        <v>194.9</v>
      </c>
      <c r="F183" s="5">
        <v>204.9</v>
      </c>
      <c r="G183" s="6">
        <v>44281</v>
      </c>
      <c r="H183" s="5"/>
      <c r="I183" s="5"/>
      <c r="J183" s="5">
        <f t="shared" si="24"/>
        <v>10</v>
      </c>
      <c r="K183" s="8" t="b">
        <f t="shared" si="25"/>
        <v>1</v>
      </c>
    </row>
    <row r="184" spans="1:11">
      <c r="A184" s="5" t="s">
        <v>26</v>
      </c>
      <c r="B184" s="6">
        <v>44283</v>
      </c>
      <c r="C184" s="66">
        <v>0.6</v>
      </c>
      <c r="D184" s="5">
        <v>9.67</v>
      </c>
      <c r="E184" s="5">
        <v>204.9</v>
      </c>
      <c r="F184" s="5">
        <v>214</v>
      </c>
      <c r="G184" s="6">
        <v>44283</v>
      </c>
      <c r="H184" s="5"/>
      <c r="I184" s="5"/>
      <c r="J184" s="5">
        <f t="shared" si="24"/>
        <v>9.0999999999999943</v>
      </c>
      <c r="K184" s="8" t="b">
        <f t="shared" si="25"/>
        <v>1</v>
      </c>
    </row>
    <row r="185" spans="1:11">
      <c r="A185" s="5" t="s">
        <v>28</v>
      </c>
      <c r="B185" s="6">
        <v>44284</v>
      </c>
      <c r="C185" s="66">
        <v>0.6</v>
      </c>
      <c r="D185" s="5">
        <v>9.67</v>
      </c>
      <c r="E185" s="5">
        <v>214</v>
      </c>
      <c r="F185" s="5">
        <v>224</v>
      </c>
      <c r="G185" s="6">
        <v>44284</v>
      </c>
      <c r="H185" s="5"/>
      <c r="I185" s="5"/>
      <c r="J185" s="5">
        <f>F185-E185</f>
        <v>10</v>
      </c>
      <c r="K185" s="8" t="b">
        <f>F185=E186</f>
        <v>0</v>
      </c>
    </row>
    <row r="186" spans="1:11">
      <c r="A186" s="5" t="s">
        <v>26</v>
      </c>
      <c r="B186" s="6">
        <v>44286</v>
      </c>
      <c r="C186" s="66">
        <v>0.6</v>
      </c>
      <c r="D186" s="5">
        <v>9.67</v>
      </c>
      <c r="E186" s="5">
        <v>224.1</v>
      </c>
      <c r="F186" s="5">
        <v>233.5</v>
      </c>
      <c r="G186" s="6">
        <v>44286</v>
      </c>
      <c r="H186" s="5"/>
      <c r="I186" s="5"/>
      <c r="J186" s="5">
        <f>F186-E186</f>
        <v>9.4000000000000057</v>
      </c>
      <c r="K186" s="8" t="b">
        <f>F186=E187</f>
        <v>0</v>
      </c>
    </row>
    <row r="187" spans="1:11">
      <c r="A187" s="5" t="s">
        <v>28</v>
      </c>
      <c r="B187" s="6">
        <v>44287</v>
      </c>
      <c r="C187" s="66">
        <v>0.6</v>
      </c>
      <c r="D187" s="5">
        <v>9.67</v>
      </c>
      <c r="E187" s="5">
        <v>233.8</v>
      </c>
      <c r="F187" s="5">
        <v>243</v>
      </c>
      <c r="G187" s="6">
        <v>44287</v>
      </c>
      <c r="H187" s="5"/>
      <c r="I187" s="5"/>
      <c r="J187" s="5">
        <f>F187-E187</f>
        <v>9.1999999999999886</v>
      </c>
      <c r="K187" s="8" t="b">
        <f>F187=E188</f>
        <v>1</v>
      </c>
    </row>
    <row r="188" spans="1:11">
      <c r="A188" s="5" t="s">
        <v>26</v>
      </c>
      <c r="B188" s="6">
        <v>44289</v>
      </c>
      <c r="C188" s="66">
        <v>0.6</v>
      </c>
      <c r="D188" s="5">
        <v>9.67</v>
      </c>
      <c r="E188" s="5">
        <v>243</v>
      </c>
      <c r="F188" s="5">
        <v>256.89999999999998</v>
      </c>
      <c r="G188" s="6">
        <v>44289</v>
      </c>
      <c r="H188" s="5"/>
      <c r="I188" s="5"/>
      <c r="J188" s="5">
        <f>F188-E188</f>
        <v>13.899999999999977</v>
      </c>
      <c r="K188" s="8" t="b">
        <f>F188=E189</f>
        <v>1</v>
      </c>
    </row>
    <row r="189" spans="1:11">
      <c r="A189" s="5" t="s">
        <v>28</v>
      </c>
      <c r="B189" s="6">
        <v>44290</v>
      </c>
      <c r="C189" s="66">
        <v>0.6</v>
      </c>
      <c r="D189" s="5">
        <v>9.67</v>
      </c>
      <c r="E189" s="5">
        <v>256.89999999999998</v>
      </c>
      <c r="F189" s="5">
        <v>262.5</v>
      </c>
      <c r="G189" s="6">
        <v>44290</v>
      </c>
      <c r="H189" s="5"/>
      <c r="I189" s="5"/>
      <c r="J189" s="5">
        <f t="shared" ref="J189:J200" si="26">F189-E189</f>
        <v>5.6000000000000227</v>
      </c>
      <c r="K189" s="8" t="b">
        <f t="shared" ref="K189:K200" si="27">F189=E190</f>
        <v>1</v>
      </c>
    </row>
    <row r="190" spans="1:11">
      <c r="A190" s="5" t="s">
        <v>28</v>
      </c>
      <c r="B190" s="6">
        <v>44293</v>
      </c>
      <c r="C190" s="66">
        <v>0.6</v>
      </c>
      <c r="D190" s="5">
        <v>9.67</v>
      </c>
      <c r="E190" s="5">
        <v>262.5</v>
      </c>
      <c r="F190" s="5">
        <v>271.7</v>
      </c>
      <c r="G190" s="6">
        <v>44293</v>
      </c>
      <c r="H190" s="5"/>
      <c r="I190" s="5"/>
      <c r="J190" s="5">
        <f t="shared" si="26"/>
        <v>9.1999999999999886</v>
      </c>
      <c r="K190" s="8" t="b">
        <f t="shared" si="27"/>
        <v>0</v>
      </c>
    </row>
    <row r="191" spans="1:11">
      <c r="A191" s="5" t="s">
        <v>29</v>
      </c>
      <c r="B191" s="6">
        <v>44294</v>
      </c>
      <c r="C191" s="66">
        <v>0.6</v>
      </c>
      <c r="D191" s="5">
        <v>9.67</v>
      </c>
      <c r="E191" s="5">
        <v>271</v>
      </c>
      <c r="F191" s="5">
        <v>276</v>
      </c>
      <c r="G191" s="6">
        <v>44294</v>
      </c>
      <c r="H191" s="5"/>
      <c r="I191" s="5"/>
      <c r="J191" s="5">
        <f t="shared" si="26"/>
        <v>5</v>
      </c>
      <c r="K191" s="8" t="b">
        <f t="shared" si="27"/>
        <v>1</v>
      </c>
    </row>
    <row r="192" spans="1:11">
      <c r="A192" s="5" t="s">
        <v>30</v>
      </c>
      <c r="B192" s="6">
        <v>44297</v>
      </c>
      <c r="C192" s="66">
        <v>0.8</v>
      </c>
      <c r="D192" s="5">
        <v>7.25</v>
      </c>
      <c r="E192" s="5">
        <v>276</v>
      </c>
      <c r="F192" s="5">
        <v>287.3</v>
      </c>
      <c r="G192" s="6">
        <v>44297</v>
      </c>
      <c r="H192" s="5"/>
      <c r="I192" s="5"/>
      <c r="J192" s="5">
        <f t="shared" si="26"/>
        <v>11.300000000000011</v>
      </c>
      <c r="K192" s="8" t="b">
        <f t="shared" si="27"/>
        <v>0</v>
      </c>
    </row>
    <row r="193" spans="1:11">
      <c r="A193" s="5">
        <v>102</v>
      </c>
      <c r="B193" s="6">
        <v>44303</v>
      </c>
      <c r="C193" s="66">
        <v>0.8</v>
      </c>
      <c r="D193" s="5">
        <v>7.25</v>
      </c>
      <c r="E193" s="5">
        <v>296.39999999999998</v>
      </c>
      <c r="F193" s="5">
        <v>311</v>
      </c>
      <c r="G193" s="6">
        <v>44303</v>
      </c>
      <c r="H193" s="5"/>
      <c r="I193" s="5"/>
      <c r="J193" s="5">
        <f t="shared" si="26"/>
        <v>14.600000000000023</v>
      </c>
      <c r="K193" s="8" t="b">
        <f t="shared" si="27"/>
        <v>1</v>
      </c>
    </row>
    <row r="194" spans="1:11">
      <c r="A194" s="5" t="s">
        <v>26</v>
      </c>
      <c r="B194" s="6">
        <v>44311</v>
      </c>
      <c r="C194" s="66">
        <v>0.7</v>
      </c>
      <c r="D194" s="5">
        <v>8.2899999999999991</v>
      </c>
      <c r="E194" s="5">
        <v>311</v>
      </c>
      <c r="F194" s="5">
        <v>319.39999999999998</v>
      </c>
      <c r="G194" s="6">
        <v>44311</v>
      </c>
      <c r="H194" s="5"/>
      <c r="I194" s="5"/>
      <c r="J194" s="5">
        <f t="shared" si="26"/>
        <v>8.3999999999999773</v>
      </c>
      <c r="K194" s="8" t="b">
        <f t="shared" si="27"/>
        <v>0</v>
      </c>
    </row>
    <row r="195" spans="1:11">
      <c r="A195" s="5" t="s">
        <v>28</v>
      </c>
      <c r="B195" s="6">
        <v>44312</v>
      </c>
      <c r="C195" s="66">
        <v>0.7</v>
      </c>
      <c r="D195" s="5">
        <v>8.2899999999999991</v>
      </c>
      <c r="E195" s="5">
        <v>319.5</v>
      </c>
      <c r="F195" s="5">
        <v>327.5</v>
      </c>
      <c r="G195" s="6">
        <v>44312</v>
      </c>
      <c r="H195" s="5"/>
      <c r="I195" s="5" t="s">
        <v>31</v>
      </c>
      <c r="J195" s="5">
        <f t="shared" si="26"/>
        <v>8</v>
      </c>
      <c r="K195" s="8" t="b">
        <f t="shared" si="27"/>
        <v>1</v>
      </c>
    </row>
    <row r="196" spans="1:11">
      <c r="A196" s="5" t="s">
        <v>28</v>
      </c>
      <c r="B196" s="6">
        <v>44319</v>
      </c>
      <c r="C196" s="66">
        <v>0.8</v>
      </c>
      <c r="D196" s="5">
        <v>7.25</v>
      </c>
      <c r="E196" s="5">
        <v>327.5</v>
      </c>
      <c r="F196" s="5">
        <v>341.9</v>
      </c>
      <c r="G196" s="6">
        <v>44319</v>
      </c>
      <c r="H196" s="5"/>
      <c r="I196" s="5"/>
      <c r="J196" s="5">
        <f t="shared" si="26"/>
        <v>14.399999999999977</v>
      </c>
      <c r="K196" s="8" t="b">
        <f t="shared" si="27"/>
        <v>1</v>
      </c>
    </row>
    <row r="197" spans="1:11">
      <c r="A197" s="5" t="s">
        <v>30</v>
      </c>
      <c r="B197" s="6">
        <v>44325</v>
      </c>
      <c r="C197" s="66">
        <v>1</v>
      </c>
      <c r="D197" s="5">
        <v>5.8</v>
      </c>
      <c r="E197" s="5">
        <v>341.9</v>
      </c>
      <c r="F197" s="5">
        <v>349.5</v>
      </c>
      <c r="G197" s="6">
        <v>44325</v>
      </c>
      <c r="H197" s="5"/>
      <c r="I197" s="5"/>
      <c r="J197" s="5">
        <f t="shared" si="26"/>
        <v>7.6000000000000227</v>
      </c>
      <c r="K197" s="8" t="b">
        <f t="shared" si="27"/>
        <v>1</v>
      </c>
    </row>
    <row r="198" spans="1:11">
      <c r="A198" s="5">
        <v>102</v>
      </c>
      <c r="B198" s="6">
        <v>44333</v>
      </c>
      <c r="C198" s="66">
        <v>1</v>
      </c>
      <c r="D198" s="5">
        <v>5.8</v>
      </c>
      <c r="E198" s="5">
        <v>349.5</v>
      </c>
      <c r="F198" s="5">
        <v>361.1</v>
      </c>
      <c r="G198" s="6">
        <v>44333</v>
      </c>
      <c r="H198" s="5"/>
      <c r="I198" s="5"/>
      <c r="J198" s="5">
        <f t="shared" si="26"/>
        <v>11.600000000000023</v>
      </c>
      <c r="K198" s="8" t="b">
        <f t="shared" si="27"/>
        <v>0</v>
      </c>
    </row>
    <row r="199" spans="1:11">
      <c r="A199" s="5">
        <v>102</v>
      </c>
      <c r="B199" s="6"/>
      <c r="C199" s="66"/>
      <c r="D199" s="5"/>
      <c r="E199" s="5"/>
      <c r="F199" s="5"/>
      <c r="G199" s="6"/>
      <c r="H199" s="5"/>
      <c r="I199" s="5"/>
      <c r="J199" s="5">
        <f t="shared" si="26"/>
        <v>0</v>
      </c>
      <c r="K199" s="8" t="b">
        <f t="shared" si="27"/>
        <v>1</v>
      </c>
    </row>
    <row r="200" spans="1:11">
      <c r="A200" s="5">
        <v>102</v>
      </c>
      <c r="B200" s="6"/>
      <c r="C200" s="66"/>
      <c r="D200" s="5"/>
      <c r="E200" s="5"/>
      <c r="F200" s="5"/>
      <c r="G200" s="6"/>
      <c r="H200" s="5"/>
      <c r="I200" s="5"/>
      <c r="J200" s="5">
        <f t="shared" si="26"/>
        <v>0</v>
      </c>
      <c r="K200" s="8" t="b">
        <f t="shared" si="27"/>
        <v>1</v>
      </c>
    </row>
    <row r="203" spans="1:11" ht="26.25">
      <c r="A203" s="138" t="s">
        <v>20</v>
      </c>
      <c r="B203" s="159"/>
      <c r="C203" s="159"/>
      <c r="D203" s="159"/>
      <c r="E203" s="159"/>
      <c r="F203" s="159"/>
      <c r="G203" s="159"/>
      <c r="H203" s="159"/>
      <c r="I203" s="159"/>
      <c r="J203" s="159"/>
      <c r="K203" s="160"/>
    </row>
    <row r="204" spans="1:11" ht="26.25">
      <c r="A204" s="138" t="s">
        <v>32</v>
      </c>
      <c r="B204" s="159"/>
      <c r="C204" s="159"/>
      <c r="D204" s="159"/>
      <c r="E204" s="159"/>
      <c r="F204" s="159"/>
      <c r="G204" s="159"/>
      <c r="H204" s="159"/>
      <c r="I204" s="159"/>
      <c r="J204" s="159"/>
      <c r="K204" s="160"/>
    </row>
    <row r="205" spans="1:11" ht="15.75" thickBot="1"/>
    <row r="206" spans="1:11" ht="15.75" thickBot="1">
      <c r="A206" s="132" t="s">
        <v>2</v>
      </c>
      <c r="B206" s="133"/>
      <c r="C206" s="133"/>
      <c r="D206" s="133"/>
      <c r="E206" s="133"/>
      <c r="F206" s="133"/>
      <c r="G206" s="133"/>
      <c r="H206" s="133"/>
      <c r="I206" s="133"/>
      <c r="J206" s="133"/>
      <c r="K206" s="134"/>
    </row>
    <row r="208" spans="1:11" ht="19.5" thickBot="1">
      <c r="A208" s="1" t="s">
        <v>3</v>
      </c>
      <c r="B208" s="61"/>
      <c r="C208" s="64"/>
      <c r="D208" s="54"/>
      <c r="E208" s="1"/>
      <c r="F208" s="1"/>
      <c r="G208" s="61"/>
      <c r="H208" s="1"/>
      <c r="I208" s="1"/>
    </row>
    <row r="209" spans="1:11" ht="30.75" thickBot="1">
      <c r="A209" s="2" t="s">
        <v>4</v>
      </c>
      <c r="B209" s="62" t="s">
        <v>5</v>
      </c>
      <c r="C209" s="65" t="s">
        <v>6</v>
      </c>
      <c r="D209" s="3" t="s">
        <v>7</v>
      </c>
      <c r="E209" s="3" t="s">
        <v>8</v>
      </c>
      <c r="F209" s="3" t="s">
        <v>9</v>
      </c>
      <c r="G209" s="62" t="s">
        <v>10</v>
      </c>
      <c r="H209" s="3" t="s">
        <v>21</v>
      </c>
      <c r="I209" s="4" t="s">
        <v>22</v>
      </c>
      <c r="J209" s="4" t="s">
        <v>11</v>
      </c>
      <c r="K209" s="4" t="s">
        <v>12</v>
      </c>
    </row>
    <row r="210" spans="1:11">
      <c r="A210" s="5" t="s">
        <v>33</v>
      </c>
      <c r="B210" s="6">
        <v>44342</v>
      </c>
      <c r="C210" s="66">
        <v>0.5</v>
      </c>
      <c r="D210" s="5">
        <v>11.6</v>
      </c>
      <c r="E210" s="5">
        <v>361.2</v>
      </c>
      <c r="F210" s="5">
        <v>375</v>
      </c>
      <c r="G210" s="6">
        <v>44342</v>
      </c>
      <c r="H210" s="5"/>
      <c r="I210" s="5"/>
      <c r="J210" s="5">
        <f t="shared" ref="J210:J220" si="28">F210-E210</f>
        <v>13.800000000000011</v>
      </c>
      <c r="K210" s="8" t="b">
        <f>E210=F198</f>
        <v>0</v>
      </c>
    </row>
    <row r="211" spans="1:11">
      <c r="A211" s="5" t="s">
        <v>33</v>
      </c>
      <c r="B211" s="6">
        <v>44343</v>
      </c>
      <c r="C211" s="66">
        <v>0.5</v>
      </c>
      <c r="D211" s="5">
        <v>11.6</v>
      </c>
      <c r="E211" s="5">
        <v>373.3</v>
      </c>
      <c r="F211" s="5">
        <v>384</v>
      </c>
      <c r="G211" s="6">
        <v>44343</v>
      </c>
      <c r="H211" s="5"/>
      <c r="I211" s="5"/>
      <c r="J211" s="5">
        <f t="shared" si="28"/>
        <v>10.699999999999989</v>
      </c>
      <c r="K211" s="8" t="b">
        <f>E211=F210</f>
        <v>0</v>
      </c>
    </row>
    <row r="212" spans="1:11">
      <c r="A212" s="5" t="s">
        <v>33</v>
      </c>
      <c r="B212" s="6">
        <v>44344</v>
      </c>
      <c r="C212" s="66">
        <v>0.6</v>
      </c>
      <c r="D212" s="5">
        <v>9.67</v>
      </c>
      <c r="E212" s="5">
        <v>384</v>
      </c>
      <c r="F212" s="5">
        <v>401</v>
      </c>
      <c r="G212" s="6">
        <v>283</v>
      </c>
      <c r="H212" s="5"/>
      <c r="I212" s="5"/>
      <c r="J212" s="5">
        <f t="shared" si="28"/>
        <v>17</v>
      </c>
      <c r="K212" s="8" t="b">
        <f t="shared" ref="K212:K275" si="29">E212=F211</f>
        <v>1</v>
      </c>
    </row>
    <row r="213" spans="1:11">
      <c r="A213" s="5" t="s">
        <v>33</v>
      </c>
      <c r="B213" s="6">
        <v>44346</v>
      </c>
      <c r="C213" s="66">
        <v>1</v>
      </c>
      <c r="D213" s="5">
        <v>5.8</v>
      </c>
      <c r="E213" s="5">
        <v>401</v>
      </c>
      <c r="F213" s="5">
        <v>406.6</v>
      </c>
      <c r="G213" s="6">
        <v>44346</v>
      </c>
      <c r="H213" s="5"/>
      <c r="I213" s="5"/>
      <c r="J213" s="5">
        <f t="shared" si="28"/>
        <v>5.6000000000000227</v>
      </c>
      <c r="K213" s="8" t="b">
        <f t="shared" si="29"/>
        <v>1</v>
      </c>
    </row>
    <row r="214" spans="1:11">
      <c r="A214" s="5" t="s">
        <v>33</v>
      </c>
      <c r="B214" s="6">
        <v>44349</v>
      </c>
      <c r="C214" s="66">
        <v>1</v>
      </c>
      <c r="D214" s="5">
        <v>5.8</v>
      </c>
      <c r="E214" s="5">
        <v>406.6</v>
      </c>
      <c r="F214" s="5">
        <v>412.4</v>
      </c>
      <c r="G214" s="6">
        <v>44349</v>
      </c>
      <c r="H214" s="5"/>
      <c r="I214" s="5"/>
      <c r="J214" s="5">
        <f t="shared" si="28"/>
        <v>5.7999999999999545</v>
      </c>
      <c r="K214" s="8" t="b">
        <f t="shared" si="29"/>
        <v>1</v>
      </c>
    </row>
    <row r="215" spans="1:11">
      <c r="A215" s="5" t="s">
        <v>33</v>
      </c>
      <c r="B215" s="6">
        <v>44357</v>
      </c>
      <c r="C215" s="66">
        <v>0.6</v>
      </c>
      <c r="D215" s="5">
        <v>9.67</v>
      </c>
      <c r="E215" s="5">
        <v>412.4</v>
      </c>
      <c r="F215" s="5">
        <v>430.3</v>
      </c>
      <c r="G215" s="6">
        <v>44357</v>
      </c>
      <c r="H215" s="5"/>
      <c r="I215" s="5"/>
      <c r="J215" s="5">
        <f t="shared" si="28"/>
        <v>17.900000000000034</v>
      </c>
      <c r="K215" s="8" t="b">
        <f t="shared" si="29"/>
        <v>1</v>
      </c>
    </row>
    <row r="216" spans="1:11">
      <c r="A216" s="5" t="s">
        <v>33</v>
      </c>
      <c r="B216" s="17">
        <v>44358</v>
      </c>
      <c r="C216" s="20">
        <v>0.8</v>
      </c>
      <c r="D216" s="8">
        <v>7.25</v>
      </c>
      <c r="E216" s="8">
        <v>430.3</v>
      </c>
      <c r="F216" s="8">
        <v>446.1</v>
      </c>
      <c r="G216" s="17">
        <v>44358</v>
      </c>
      <c r="H216" s="8"/>
      <c r="I216" s="8"/>
      <c r="J216" s="8">
        <f t="shared" si="28"/>
        <v>15.800000000000011</v>
      </c>
      <c r="K216" s="8" t="b">
        <f t="shared" si="29"/>
        <v>1</v>
      </c>
    </row>
    <row r="217" spans="1:11">
      <c r="A217" s="5" t="s">
        <v>33</v>
      </c>
      <c r="B217" s="17">
        <v>44361</v>
      </c>
      <c r="C217" s="20">
        <v>0.8</v>
      </c>
      <c r="D217" s="8">
        <v>7.25</v>
      </c>
      <c r="E217" s="8">
        <v>446.1</v>
      </c>
      <c r="F217" s="8">
        <v>453.5</v>
      </c>
      <c r="G217" s="17">
        <v>44360</v>
      </c>
      <c r="H217" s="8"/>
      <c r="I217" s="8"/>
      <c r="J217" s="8">
        <f t="shared" si="28"/>
        <v>7.3999999999999773</v>
      </c>
      <c r="K217" s="8" t="b">
        <f t="shared" si="29"/>
        <v>1</v>
      </c>
    </row>
    <row r="218" spans="1:11">
      <c r="A218" s="5" t="s">
        <v>33</v>
      </c>
      <c r="B218" s="17">
        <v>44362</v>
      </c>
      <c r="C218" s="20">
        <v>1</v>
      </c>
      <c r="D218" s="8">
        <v>5.8</v>
      </c>
      <c r="E218" s="8">
        <v>453.5</v>
      </c>
      <c r="F218" s="8">
        <v>456</v>
      </c>
      <c r="G218" s="17">
        <v>44362</v>
      </c>
      <c r="H218" s="8"/>
      <c r="I218" s="8"/>
      <c r="J218" s="8">
        <f t="shared" si="28"/>
        <v>2.5</v>
      </c>
      <c r="K218" s="8" t="b">
        <f t="shared" si="29"/>
        <v>1</v>
      </c>
    </row>
    <row r="219" spans="1:11">
      <c r="A219" s="5" t="s">
        <v>33</v>
      </c>
      <c r="B219" s="17">
        <v>44363</v>
      </c>
      <c r="C219" s="20">
        <v>1</v>
      </c>
      <c r="D219" s="8">
        <v>5.8</v>
      </c>
      <c r="E219" s="8">
        <v>456</v>
      </c>
      <c r="F219" s="8">
        <v>461</v>
      </c>
      <c r="G219" s="17">
        <v>44363</v>
      </c>
      <c r="H219" s="8"/>
      <c r="I219" s="8"/>
      <c r="J219" s="8">
        <f t="shared" si="28"/>
        <v>5</v>
      </c>
      <c r="K219" s="8" t="b">
        <f t="shared" si="29"/>
        <v>1</v>
      </c>
    </row>
    <row r="220" spans="1:11">
      <c r="A220" s="5" t="s">
        <v>33</v>
      </c>
      <c r="B220" s="17">
        <v>44364</v>
      </c>
      <c r="C220" s="20">
        <v>0.8</v>
      </c>
      <c r="D220" s="8">
        <v>7.25</v>
      </c>
      <c r="E220" s="8">
        <v>462</v>
      </c>
      <c r="F220" s="8">
        <v>469.3</v>
      </c>
      <c r="G220" s="17">
        <v>44364</v>
      </c>
      <c r="H220" s="8"/>
      <c r="I220" s="8"/>
      <c r="J220" s="8">
        <f t="shared" si="28"/>
        <v>7.3000000000000114</v>
      </c>
      <c r="K220" s="8" t="b">
        <f t="shared" si="29"/>
        <v>0</v>
      </c>
    </row>
    <row r="221" spans="1:11">
      <c r="A221" s="5" t="s">
        <v>33</v>
      </c>
      <c r="B221" s="17">
        <v>44365</v>
      </c>
      <c r="C221" s="20">
        <v>1</v>
      </c>
      <c r="D221" s="8">
        <v>5.8</v>
      </c>
      <c r="E221" s="8">
        <v>469.3</v>
      </c>
      <c r="F221" s="8">
        <v>480.7</v>
      </c>
      <c r="G221" s="17">
        <v>44365</v>
      </c>
      <c r="H221" s="8"/>
      <c r="I221" s="8"/>
      <c r="J221" s="8">
        <f t="shared" ref="J221:J227" si="30">F221-E221</f>
        <v>11.399999999999977</v>
      </c>
      <c r="K221" s="8" t="b">
        <f t="shared" si="29"/>
        <v>1</v>
      </c>
    </row>
    <row r="222" spans="1:11">
      <c r="A222" s="5" t="s">
        <v>33</v>
      </c>
      <c r="B222" s="17">
        <v>44366</v>
      </c>
      <c r="C222" s="20">
        <v>1</v>
      </c>
      <c r="D222" s="8">
        <v>5.8</v>
      </c>
      <c r="E222" s="8">
        <v>480.7</v>
      </c>
      <c r="F222" s="8">
        <v>492.8</v>
      </c>
      <c r="G222" s="17">
        <v>44366</v>
      </c>
      <c r="H222" s="8"/>
      <c r="I222" s="8"/>
      <c r="J222" s="8">
        <f t="shared" si="30"/>
        <v>12.100000000000023</v>
      </c>
      <c r="K222" s="8" t="b">
        <f t="shared" si="29"/>
        <v>1</v>
      </c>
    </row>
    <row r="223" spans="1:11">
      <c r="A223" s="5" t="s">
        <v>33</v>
      </c>
      <c r="B223" s="17">
        <v>44367</v>
      </c>
      <c r="C223" s="20">
        <v>1</v>
      </c>
      <c r="D223" s="8">
        <v>5.8</v>
      </c>
      <c r="E223" s="8">
        <v>492.8</v>
      </c>
      <c r="F223" s="8">
        <v>504.5</v>
      </c>
      <c r="G223" s="17">
        <v>44367</v>
      </c>
      <c r="H223" s="8"/>
      <c r="I223" s="8"/>
      <c r="J223" s="8">
        <f t="shared" si="30"/>
        <v>11.699999999999989</v>
      </c>
      <c r="K223" s="8" t="b">
        <f t="shared" si="29"/>
        <v>1</v>
      </c>
    </row>
    <row r="224" spans="1:11">
      <c r="A224" s="5" t="s">
        <v>33</v>
      </c>
      <c r="B224" s="17">
        <v>44368</v>
      </c>
      <c r="C224" s="20">
        <v>1</v>
      </c>
      <c r="D224" s="8">
        <v>5.8</v>
      </c>
      <c r="E224" s="8">
        <v>504.5</v>
      </c>
      <c r="F224" s="8">
        <v>516.20000000000005</v>
      </c>
      <c r="G224" s="17">
        <v>44368</v>
      </c>
      <c r="H224" s="8"/>
      <c r="I224" s="8"/>
      <c r="J224" s="8">
        <f t="shared" si="30"/>
        <v>11.700000000000045</v>
      </c>
      <c r="K224" s="8" t="b">
        <f t="shared" si="29"/>
        <v>1</v>
      </c>
    </row>
    <row r="225" spans="1:11">
      <c r="A225" s="5" t="s">
        <v>33</v>
      </c>
      <c r="B225" s="17">
        <v>44370</v>
      </c>
      <c r="C225" s="20">
        <v>1</v>
      </c>
      <c r="D225" s="8">
        <v>5.8</v>
      </c>
      <c r="E225" s="8">
        <v>0</v>
      </c>
      <c r="F225" s="8">
        <v>11.8</v>
      </c>
      <c r="G225" s="17">
        <v>44370</v>
      </c>
      <c r="H225" s="8"/>
      <c r="I225" s="8"/>
      <c r="J225" s="8">
        <f t="shared" si="30"/>
        <v>11.8</v>
      </c>
      <c r="K225" s="8" t="b">
        <f t="shared" si="29"/>
        <v>0</v>
      </c>
    </row>
    <row r="226" spans="1:11">
      <c r="A226" s="5" t="s">
        <v>33</v>
      </c>
      <c r="B226" s="17">
        <v>44371</v>
      </c>
      <c r="C226" s="20">
        <v>1</v>
      </c>
      <c r="D226" s="8">
        <v>5.8</v>
      </c>
      <c r="E226" s="8">
        <v>11.8</v>
      </c>
      <c r="F226" s="8">
        <v>23.6</v>
      </c>
      <c r="G226" s="17">
        <v>44371</v>
      </c>
      <c r="H226" s="8"/>
      <c r="I226" s="8"/>
      <c r="J226" s="8">
        <f t="shared" si="30"/>
        <v>11.8</v>
      </c>
      <c r="K226" s="8" t="b">
        <f t="shared" si="29"/>
        <v>1</v>
      </c>
    </row>
    <row r="227" spans="1:11">
      <c r="A227" s="5" t="s">
        <v>33</v>
      </c>
      <c r="B227" s="17">
        <v>44372</v>
      </c>
      <c r="C227" s="20">
        <v>1</v>
      </c>
      <c r="D227" s="8">
        <v>5.8</v>
      </c>
      <c r="E227" s="8">
        <v>23.6</v>
      </c>
      <c r="F227" s="8">
        <v>34.6</v>
      </c>
      <c r="G227" s="17">
        <v>44372</v>
      </c>
      <c r="H227" s="8"/>
      <c r="I227" s="8"/>
      <c r="J227" s="8">
        <f t="shared" si="30"/>
        <v>11</v>
      </c>
      <c r="K227" s="8" t="b">
        <f t="shared" si="29"/>
        <v>1</v>
      </c>
    </row>
    <row r="228" spans="1:11">
      <c r="A228" s="5" t="s">
        <v>33</v>
      </c>
      <c r="B228" s="17">
        <v>44374</v>
      </c>
      <c r="C228" s="20">
        <v>0.8</v>
      </c>
      <c r="D228" s="8">
        <v>7.25</v>
      </c>
      <c r="E228" s="8">
        <v>34.6</v>
      </c>
      <c r="F228" s="8">
        <v>49.1</v>
      </c>
      <c r="G228" s="17">
        <v>44374</v>
      </c>
      <c r="H228" s="8"/>
      <c r="I228" s="8"/>
      <c r="J228" s="8">
        <f t="shared" ref="J228:J233" si="31">F228-E228</f>
        <v>14.5</v>
      </c>
      <c r="K228" s="8" t="b">
        <f t="shared" si="29"/>
        <v>1</v>
      </c>
    </row>
    <row r="229" spans="1:11">
      <c r="A229" s="5" t="s">
        <v>33</v>
      </c>
      <c r="B229" s="17">
        <v>44376</v>
      </c>
      <c r="C229" s="20">
        <v>0.8</v>
      </c>
      <c r="D229" s="8">
        <v>7.25</v>
      </c>
      <c r="E229" s="8">
        <v>49.1</v>
      </c>
      <c r="F229" s="8">
        <v>61.2</v>
      </c>
      <c r="G229" s="17">
        <v>44376</v>
      </c>
      <c r="H229" s="8"/>
      <c r="I229" s="8"/>
      <c r="J229" s="8">
        <f t="shared" si="31"/>
        <v>12.100000000000001</v>
      </c>
      <c r="K229" s="8" t="b">
        <f t="shared" si="29"/>
        <v>1</v>
      </c>
    </row>
    <row r="230" spans="1:11">
      <c r="A230" s="5" t="s">
        <v>33</v>
      </c>
      <c r="B230" s="17">
        <v>44378</v>
      </c>
      <c r="C230" s="20">
        <v>1</v>
      </c>
      <c r="D230" s="8">
        <v>5.8</v>
      </c>
      <c r="E230" s="8">
        <v>63.2</v>
      </c>
      <c r="F230" s="8">
        <v>75.3</v>
      </c>
      <c r="G230" s="17">
        <v>44378</v>
      </c>
      <c r="H230" s="8"/>
      <c r="I230" s="8"/>
      <c r="J230" s="8">
        <f t="shared" si="31"/>
        <v>12.099999999999994</v>
      </c>
      <c r="K230" s="8" t="b">
        <f t="shared" si="29"/>
        <v>0</v>
      </c>
    </row>
    <row r="231" spans="1:11">
      <c r="A231" s="5" t="s">
        <v>33</v>
      </c>
      <c r="B231" s="17">
        <v>44379</v>
      </c>
      <c r="C231" s="20">
        <v>1</v>
      </c>
      <c r="D231" s="8">
        <v>5.8</v>
      </c>
      <c r="E231" s="8">
        <v>75.3</v>
      </c>
      <c r="F231" s="8">
        <v>87.1</v>
      </c>
      <c r="G231" s="17">
        <v>44379</v>
      </c>
      <c r="H231" s="8"/>
      <c r="I231" s="8"/>
      <c r="J231" s="8">
        <f t="shared" si="31"/>
        <v>11.799999999999997</v>
      </c>
      <c r="K231" s="8" t="b">
        <f t="shared" si="29"/>
        <v>1</v>
      </c>
    </row>
    <row r="232" spans="1:11">
      <c r="A232" s="5" t="s">
        <v>33</v>
      </c>
      <c r="B232" s="17">
        <v>44381</v>
      </c>
      <c r="C232" s="20">
        <v>0.7</v>
      </c>
      <c r="D232" s="8">
        <v>8.2899999999999991</v>
      </c>
      <c r="E232" s="8">
        <v>87.1</v>
      </c>
      <c r="F232" s="8">
        <v>103.6</v>
      </c>
      <c r="G232" s="17">
        <v>44381</v>
      </c>
      <c r="H232" s="8"/>
      <c r="I232" s="8"/>
      <c r="J232" s="8">
        <f t="shared" si="31"/>
        <v>16.5</v>
      </c>
      <c r="K232" s="8" t="b">
        <f t="shared" si="29"/>
        <v>1</v>
      </c>
    </row>
    <row r="233" spans="1:11">
      <c r="A233" s="5" t="s">
        <v>33</v>
      </c>
      <c r="B233" s="17">
        <v>44384</v>
      </c>
      <c r="C233" s="20">
        <v>0.7</v>
      </c>
      <c r="D233" s="8">
        <v>8.2899999999999991</v>
      </c>
      <c r="E233" s="8">
        <v>103.6</v>
      </c>
      <c r="F233" s="8">
        <v>120.2</v>
      </c>
      <c r="G233" s="17">
        <v>44384</v>
      </c>
      <c r="H233" s="8"/>
      <c r="I233" s="8"/>
      <c r="J233" s="8">
        <f t="shared" si="31"/>
        <v>16.600000000000009</v>
      </c>
      <c r="K233" s="8" t="b">
        <f t="shared" si="29"/>
        <v>1</v>
      </c>
    </row>
    <row r="234" spans="1:11">
      <c r="A234" s="5" t="s">
        <v>33</v>
      </c>
      <c r="B234" s="17">
        <v>44387</v>
      </c>
      <c r="C234" s="20">
        <v>0.7</v>
      </c>
      <c r="D234" s="8">
        <v>8.2899999999999991</v>
      </c>
      <c r="E234" s="8">
        <v>120.2</v>
      </c>
      <c r="F234" s="8">
        <v>136.4</v>
      </c>
      <c r="G234" s="17">
        <v>44387</v>
      </c>
      <c r="H234" s="8"/>
      <c r="I234" s="8"/>
      <c r="J234" s="8">
        <f>F234-E234</f>
        <v>16.200000000000003</v>
      </c>
      <c r="K234" s="8" t="b">
        <f t="shared" si="29"/>
        <v>1</v>
      </c>
    </row>
    <row r="235" spans="1:11">
      <c r="A235" s="5" t="s">
        <v>33</v>
      </c>
      <c r="B235" s="17">
        <v>44390</v>
      </c>
      <c r="C235" s="20">
        <v>0.7</v>
      </c>
      <c r="D235" s="8">
        <v>8.2899999999999991</v>
      </c>
      <c r="E235" s="8">
        <v>136.4</v>
      </c>
      <c r="F235" s="8">
        <v>153.4</v>
      </c>
      <c r="G235" s="17">
        <v>44299</v>
      </c>
      <c r="H235" s="8"/>
      <c r="I235" s="8"/>
      <c r="J235" s="8">
        <f>F235-E235</f>
        <v>17</v>
      </c>
      <c r="K235" s="8" t="b">
        <f t="shared" si="29"/>
        <v>1</v>
      </c>
    </row>
    <row r="236" spans="1:11">
      <c r="A236" s="5" t="s">
        <v>33</v>
      </c>
      <c r="B236" s="17">
        <v>44392</v>
      </c>
      <c r="C236" s="20">
        <v>0.8</v>
      </c>
      <c r="D236" s="8">
        <v>7.25</v>
      </c>
      <c r="E236" s="8">
        <v>153.4</v>
      </c>
      <c r="F236" s="8">
        <v>167.7</v>
      </c>
      <c r="G236" s="17">
        <v>44392</v>
      </c>
      <c r="H236" s="8"/>
      <c r="I236" s="8"/>
      <c r="J236" s="8">
        <f>F236-E236</f>
        <v>14.299999999999983</v>
      </c>
      <c r="K236" s="8" t="b">
        <f t="shared" si="29"/>
        <v>1</v>
      </c>
    </row>
    <row r="237" spans="1:11">
      <c r="A237" s="5" t="s">
        <v>33</v>
      </c>
      <c r="B237" s="17">
        <v>44394</v>
      </c>
      <c r="C237" s="20">
        <v>0.8</v>
      </c>
      <c r="D237" s="8">
        <v>7.25</v>
      </c>
      <c r="E237" s="8">
        <v>167.7</v>
      </c>
      <c r="F237" s="8">
        <v>185.9</v>
      </c>
      <c r="G237" s="17">
        <v>44394</v>
      </c>
      <c r="H237" s="8"/>
      <c r="I237" s="8"/>
      <c r="J237" s="8">
        <f t="shared" ref="J237:J244" si="32">F237-E237</f>
        <v>18.200000000000017</v>
      </c>
      <c r="K237" s="8" t="b">
        <f t="shared" si="29"/>
        <v>1</v>
      </c>
    </row>
    <row r="238" spans="1:11">
      <c r="A238" s="5" t="s">
        <v>33</v>
      </c>
      <c r="B238" s="17">
        <v>44396</v>
      </c>
      <c r="C238" s="20">
        <v>0.8</v>
      </c>
      <c r="D238" s="8">
        <v>7.25</v>
      </c>
      <c r="E238" s="8">
        <v>185.9</v>
      </c>
      <c r="F238" s="8">
        <v>200.4</v>
      </c>
      <c r="G238" s="17">
        <v>44396</v>
      </c>
      <c r="H238" s="8"/>
      <c r="I238" s="8"/>
      <c r="J238" s="8">
        <f t="shared" si="32"/>
        <v>14.5</v>
      </c>
      <c r="K238" s="8" t="b">
        <f t="shared" si="29"/>
        <v>1</v>
      </c>
    </row>
    <row r="239" spans="1:11">
      <c r="A239" s="5" t="s">
        <v>33</v>
      </c>
      <c r="B239" s="17">
        <v>44398</v>
      </c>
      <c r="C239" s="20">
        <v>0.8</v>
      </c>
      <c r="D239" s="8">
        <v>7.25</v>
      </c>
      <c r="E239" s="8">
        <v>200.4</v>
      </c>
      <c r="F239" s="8">
        <v>215.6</v>
      </c>
      <c r="G239" s="17">
        <v>44398</v>
      </c>
      <c r="H239" s="8"/>
      <c r="I239" s="8"/>
      <c r="J239" s="8">
        <f t="shared" si="32"/>
        <v>15.199999999999989</v>
      </c>
      <c r="K239" s="8" t="b">
        <f t="shared" si="29"/>
        <v>1</v>
      </c>
    </row>
    <row r="240" spans="1:11">
      <c r="A240" s="5" t="s">
        <v>33</v>
      </c>
      <c r="B240" s="17">
        <v>44400</v>
      </c>
      <c r="C240" s="20">
        <v>1</v>
      </c>
      <c r="D240" s="8">
        <v>5.8</v>
      </c>
      <c r="E240" s="8">
        <v>215.6</v>
      </c>
      <c r="F240" s="8">
        <v>227.2</v>
      </c>
      <c r="G240" s="17">
        <v>44400</v>
      </c>
      <c r="H240" s="8"/>
      <c r="I240" s="8"/>
      <c r="J240" s="8">
        <f t="shared" si="32"/>
        <v>11.599999999999994</v>
      </c>
      <c r="K240" s="8" t="b">
        <f t="shared" si="29"/>
        <v>1</v>
      </c>
    </row>
    <row r="241" spans="1:11">
      <c r="A241" s="5" t="s">
        <v>33</v>
      </c>
      <c r="B241" s="17">
        <v>44402</v>
      </c>
      <c r="C241" s="20">
        <v>0.7</v>
      </c>
      <c r="D241" s="8">
        <v>8.2899999999999991</v>
      </c>
      <c r="E241" s="8">
        <v>227.2</v>
      </c>
      <c r="F241" s="8">
        <v>240.1</v>
      </c>
      <c r="G241" s="17">
        <v>44402</v>
      </c>
      <c r="H241" s="8"/>
      <c r="I241" s="8"/>
      <c r="J241" s="8">
        <f t="shared" si="32"/>
        <v>12.900000000000006</v>
      </c>
      <c r="K241" s="8" t="b">
        <f t="shared" si="29"/>
        <v>1</v>
      </c>
    </row>
    <row r="242" spans="1:11">
      <c r="A242" s="5" t="s">
        <v>33</v>
      </c>
      <c r="B242" s="17">
        <v>44404</v>
      </c>
      <c r="C242" s="20">
        <v>1</v>
      </c>
      <c r="D242" s="8">
        <v>5.8</v>
      </c>
      <c r="E242" s="8">
        <v>240.1</v>
      </c>
      <c r="F242" s="8">
        <v>253</v>
      </c>
      <c r="G242" s="17">
        <v>44405</v>
      </c>
      <c r="H242" s="8"/>
      <c r="I242" s="8"/>
      <c r="J242" s="8">
        <f t="shared" si="32"/>
        <v>12.900000000000006</v>
      </c>
      <c r="K242" s="8" t="b">
        <f t="shared" si="29"/>
        <v>1</v>
      </c>
    </row>
    <row r="243" spans="1:11">
      <c r="A243" s="5" t="s">
        <v>33</v>
      </c>
      <c r="B243" s="17">
        <v>44406</v>
      </c>
      <c r="C243" s="20">
        <v>0.5</v>
      </c>
      <c r="D243" s="8">
        <v>11.6</v>
      </c>
      <c r="E243" s="8">
        <v>253</v>
      </c>
      <c r="F243" s="8">
        <v>267.8</v>
      </c>
      <c r="G243" s="17">
        <v>44406</v>
      </c>
      <c r="H243" s="8"/>
      <c r="I243" s="8"/>
      <c r="J243" s="8">
        <f t="shared" si="32"/>
        <v>14.800000000000011</v>
      </c>
      <c r="K243" s="8" t="b">
        <f t="shared" si="29"/>
        <v>1</v>
      </c>
    </row>
    <row r="244" spans="1:11">
      <c r="A244" s="5" t="s">
        <v>33</v>
      </c>
      <c r="B244" s="17">
        <v>44407</v>
      </c>
      <c r="C244" s="20">
        <v>0.5</v>
      </c>
      <c r="D244" s="8">
        <v>11.6</v>
      </c>
      <c r="E244" s="8">
        <v>267.8</v>
      </c>
      <c r="F244" s="8">
        <v>281.8</v>
      </c>
      <c r="G244" s="17">
        <v>44407</v>
      </c>
      <c r="H244" s="8"/>
      <c r="I244" s="8"/>
      <c r="J244" s="8">
        <f t="shared" si="32"/>
        <v>14</v>
      </c>
      <c r="K244" s="8" t="b">
        <f t="shared" si="29"/>
        <v>1</v>
      </c>
    </row>
    <row r="245" spans="1:11">
      <c r="A245" s="5" t="s">
        <v>33</v>
      </c>
      <c r="B245" s="17">
        <v>44408</v>
      </c>
      <c r="C245" s="20">
        <v>0.6</v>
      </c>
      <c r="D245" s="8">
        <v>9.57</v>
      </c>
      <c r="E245" s="8">
        <v>281.8</v>
      </c>
      <c r="F245" s="8">
        <v>291.5</v>
      </c>
      <c r="G245" s="17">
        <v>44408</v>
      </c>
      <c r="H245" s="8"/>
      <c r="I245" s="8"/>
      <c r="J245" s="8">
        <f t="shared" ref="J245:J253" si="33">F245-E245</f>
        <v>9.6999999999999886</v>
      </c>
      <c r="K245" s="8" t="b">
        <f t="shared" si="29"/>
        <v>1</v>
      </c>
    </row>
    <row r="246" spans="1:11">
      <c r="A246" s="5" t="s">
        <v>33</v>
      </c>
      <c r="B246" s="17">
        <v>44409</v>
      </c>
      <c r="C246" s="20">
        <v>0.6</v>
      </c>
      <c r="D246" s="8">
        <v>9.57</v>
      </c>
      <c r="E246" s="8">
        <v>291.5</v>
      </c>
      <c r="F246" s="8">
        <v>300.7</v>
      </c>
      <c r="G246" s="17">
        <v>44409</v>
      </c>
      <c r="H246" s="8"/>
      <c r="I246" s="8"/>
      <c r="J246" s="8">
        <f t="shared" si="33"/>
        <v>9.1999999999999886</v>
      </c>
      <c r="K246" s="8" t="b">
        <f t="shared" si="29"/>
        <v>1</v>
      </c>
    </row>
    <row r="247" spans="1:11">
      <c r="A247" s="5" t="s">
        <v>33</v>
      </c>
      <c r="B247" s="17">
        <v>44410</v>
      </c>
      <c r="C247" s="20">
        <v>1</v>
      </c>
      <c r="D247" s="8">
        <v>5.8</v>
      </c>
      <c r="E247" s="8">
        <v>300.7</v>
      </c>
      <c r="F247" s="8">
        <v>312.60000000000002</v>
      </c>
      <c r="G247" s="17">
        <v>44410</v>
      </c>
      <c r="H247" s="8"/>
      <c r="I247" s="8"/>
      <c r="J247" s="8">
        <f t="shared" si="33"/>
        <v>11.900000000000034</v>
      </c>
      <c r="K247" s="8" t="b">
        <f t="shared" si="29"/>
        <v>1</v>
      </c>
    </row>
    <row r="248" spans="1:11">
      <c r="A248" s="5" t="s">
        <v>33</v>
      </c>
      <c r="B248" s="17">
        <v>44412</v>
      </c>
      <c r="C248" s="20">
        <v>0.6</v>
      </c>
      <c r="D248" s="8">
        <v>9.67</v>
      </c>
      <c r="E248" s="8">
        <v>312.60000000000002</v>
      </c>
      <c r="F248" s="8">
        <v>322.60000000000002</v>
      </c>
      <c r="G248" s="17">
        <v>44320</v>
      </c>
      <c r="H248" s="8"/>
      <c r="I248" s="8"/>
      <c r="J248" s="8">
        <f t="shared" si="33"/>
        <v>10</v>
      </c>
      <c r="K248" s="8" t="b">
        <f t="shared" si="29"/>
        <v>1</v>
      </c>
    </row>
    <row r="249" spans="1:11">
      <c r="A249" s="5" t="s">
        <v>33</v>
      </c>
      <c r="B249" s="17">
        <v>44413</v>
      </c>
      <c r="C249" s="20">
        <v>0.6</v>
      </c>
      <c r="D249" s="8">
        <v>9.67</v>
      </c>
      <c r="E249" s="8">
        <v>322.60000000000002</v>
      </c>
      <c r="F249" s="8">
        <v>332.6</v>
      </c>
      <c r="G249" s="17">
        <v>44413</v>
      </c>
      <c r="H249" s="8"/>
      <c r="I249" s="8"/>
      <c r="J249" s="8">
        <f t="shared" si="33"/>
        <v>10</v>
      </c>
      <c r="K249" s="8" t="b">
        <f t="shared" si="29"/>
        <v>1</v>
      </c>
    </row>
    <row r="250" spans="1:11">
      <c r="A250" s="5" t="s">
        <v>33</v>
      </c>
      <c r="B250" s="17">
        <v>44414</v>
      </c>
      <c r="C250" s="20">
        <v>0.6</v>
      </c>
      <c r="D250" s="8">
        <v>9.67</v>
      </c>
      <c r="E250" s="8">
        <v>332.6</v>
      </c>
      <c r="F250" s="8">
        <v>341.9</v>
      </c>
      <c r="G250" s="17">
        <v>44414</v>
      </c>
      <c r="H250" s="8"/>
      <c r="I250" s="8"/>
      <c r="J250" s="8">
        <f t="shared" si="33"/>
        <v>9.2999999999999545</v>
      </c>
      <c r="K250" s="8" t="b">
        <f t="shared" si="29"/>
        <v>1</v>
      </c>
    </row>
    <row r="251" spans="1:11">
      <c r="A251" s="5" t="s">
        <v>33</v>
      </c>
      <c r="B251" s="17">
        <v>44415</v>
      </c>
      <c r="C251" s="20">
        <v>0.6</v>
      </c>
      <c r="D251" s="8">
        <v>9.67</v>
      </c>
      <c r="E251" s="8">
        <v>341.9</v>
      </c>
      <c r="F251" s="8">
        <v>351.6</v>
      </c>
      <c r="G251" s="17">
        <v>44415</v>
      </c>
      <c r="H251" s="8"/>
      <c r="I251" s="8"/>
      <c r="J251" s="8">
        <f t="shared" si="33"/>
        <v>9.7000000000000455</v>
      </c>
      <c r="K251" s="8" t="b">
        <f t="shared" si="29"/>
        <v>1</v>
      </c>
    </row>
    <row r="252" spans="1:11">
      <c r="A252" s="5" t="s">
        <v>33</v>
      </c>
      <c r="B252" s="17">
        <v>44416</v>
      </c>
      <c r="C252" s="20">
        <v>0.6</v>
      </c>
      <c r="D252" s="8">
        <v>9.67</v>
      </c>
      <c r="E252" s="8">
        <v>351.6</v>
      </c>
      <c r="F252" s="8">
        <v>361.3</v>
      </c>
      <c r="G252" s="17">
        <v>44416</v>
      </c>
      <c r="H252" s="8"/>
      <c r="I252" s="8"/>
      <c r="J252" s="8">
        <f t="shared" si="33"/>
        <v>9.6999999999999886</v>
      </c>
      <c r="K252" s="8" t="b">
        <f t="shared" si="29"/>
        <v>1</v>
      </c>
    </row>
    <row r="253" spans="1:11">
      <c r="A253" s="5" t="s">
        <v>33</v>
      </c>
      <c r="B253" s="17">
        <v>44417</v>
      </c>
      <c r="C253" s="20">
        <v>0.6</v>
      </c>
      <c r="D253" s="8">
        <v>9.67</v>
      </c>
      <c r="E253" s="8">
        <v>361.3</v>
      </c>
      <c r="F253" s="8">
        <v>370</v>
      </c>
      <c r="G253" s="17">
        <v>44417</v>
      </c>
      <c r="H253" s="8"/>
      <c r="I253" s="8"/>
      <c r="J253" s="8">
        <f t="shared" si="33"/>
        <v>8.6999999999999886</v>
      </c>
      <c r="K253" s="8" t="b">
        <f t="shared" si="29"/>
        <v>1</v>
      </c>
    </row>
    <row r="254" spans="1:11">
      <c r="A254" s="5" t="s">
        <v>33</v>
      </c>
      <c r="B254" s="17">
        <v>44418</v>
      </c>
      <c r="C254" s="20">
        <v>0.6</v>
      </c>
      <c r="D254" s="8">
        <v>9.67</v>
      </c>
      <c r="E254" s="8">
        <v>370</v>
      </c>
      <c r="F254" s="8">
        <v>380.6</v>
      </c>
      <c r="G254" s="17">
        <v>44418</v>
      </c>
      <c r="H254" s="8"/>
      <c r="I254" s="8"/>
      <c r="J254" s="8">
        <f t="shared" ref="J254:J263" si="34">F254-E254</f>
        <v>10.600000000000023</v>
      </c>
      <c r="K254" s="8" t="b">
        <f t="shared" si="29"/>
        <v>1</v>
      </c>
    </row>
    <row r="255" spans="1:11">
      <c r="A255" s="5" t="s">
        <v>33</v>
      </c>
      <c r="B255" s="17">
        <v>44419</v>
      </c>
      <c r="C255" s="20">
        <v>0.6</v>
      </c>
      <c r="D255" s="8">
        <v>9.67</v>
      </c>
      <c r="E255" s="8">
        <v>380.6</v>
      </c>
      <c r="F255" s="8">
        <v>390.3</v>
      </c>
      <c r="G255" s="17">
        <v>44419</v>
      </c>
      <c r="H255" s="8"/>
      <c r="I255" s="8"/>
      <c r="J255" s="8">
        <f t="shared" si="34"/>
        <v>9.6999999999999886</v>
      </c>
      <c r="K255" s="8" t="b">
        <f t="shared" si="29"/>
        <v>1</v>
      </c>
    </row>
    <row r="256" spans="1:11">
      <c r="A256" s="5" t="s">
        <v>33</v>
      </c>
      <c r="B256" s="17">
        <v>44420</v>
      </c>
      <c r="C256" s="20">
        <v>0.6</v>
      </c>
      <c r="D256" s="8">
        <v>9.67</v>
      </c>
      <c r="E256" s="8">
        <v>390.3</v>
      </c>
      <c r="F256" s="8">
        <v>399.3</v>
      </c>
      <c r="G256" s="17">
        <v>44420</v>
      </c>
      <c r="H256" s="8"/>
      <c r="I256" s="8"/>
      <c r="J256" s="8">
        <f t="shared" si="34"/>
        <v>9</v>
      </c>
      <c r="K256" s="8" t="b">
        <f t="shared" si="29"/>
        <v>1</v>
      </c>
    </row>
    <row r="257" spans="1:11">
      <c r="A257" s="5" t="s">
        <v>33</v>
      </c>
      <c r="B257" s="17">
        <v>44421</v>
      </c>
      <c r="C257" s="20">
        <v>0.6</v>
      </c>
      <c r="D257" s="8">
        <v>9.67</v>
      </c>
      <c r="E257" s="8">
        <v>399.3</v>
      </c>
      <c r="F257" s="8">
        <v>409.6</v>
      </c>
      <c r="G257" s="17">
        <v>44431</v>
      </c>
      <c r="H257" s="8"/>
      <c r="I257" s="8"/>
      <c r="J257" s="8">
        <f t="shared" si="34"/>
        <v>10.300000000000011</v>
      </c>
      <c r="K257" s="8" t="b">
        <f t="shared" si="29"/>
        <v>1</v>
      </c>
    </row>
    <row r="258" spans="1:11">
      <c r="A258" s="5" t="s">
        <v>33</v>
      </c>
      <c r="B258" s="17">
        <v>44422</v>
      </c>
      <c r="C258" s="20">
        <v>0.6</v>
      </c>
      <c r="D258" s="8">
        <v>9.67</v>
      </c>
      <c r="E258" s="8">
        <v>409.6</v>
      </c>
      <c r="F258" s="8">
        <v>419.3</v>
      </c>
      <c r="G258" s="17">
        <v>44422</v>
      </c>
      <c r="H258" s="8"/>
      <c r="I258" s="8"/>
      <c r="J258" s="8">
        <f t="shared" si="34"/>
        <v>9.6999999999999886</v>
      </c>
      <c r="K258" s="8" t="b">
        <f t="shared" si="29"/>
        <v>1</v>
      </c>
    </row>
    <row r="259" spans="1:11">
      <c r="A259" s="5" t="s">
        <v>34</v>
      </c>
      <c r="B259" s="17">
        <v>44423</v>
      </c>
      <c r="C259" s="20">
        <v>0.8</v>
      </c>
      <c r="D259" s="8">
        <v>7.25</v>
      </c>
      <c r="E259" s="8">
        <v>419.3</v>
      </c>
      <c r="F259" s="8">
        <v>429</v>
      </c>
      <c r="G259" s="17">
        <v>44423</v>
      </c>
      <c r="H259" s="8"/>
      <c r="I259" s="8"/>
      <c r="J259" s="8">
        <f t="shared" si="34"/>
        <v>9.6999999999999886</v>
      </c>
      <c r="K259" s="8" t="b">
        <f t="shared" si="29"/>
        <v>1</v>
      </c>
    </row>
    <row r="260" spans="1:11">
      <c r="A260" s="5" t="s">
        <v>35</v>
      </c>
      <c r="B260" s="17">
        <v>44424</v>
      </c>
      <c r="C260" s="20">
        <v>0.6</v>
      </c>
      <c r="D260" s="8">
        <v>9.67</v>
      </c>
      <c r="E260" s="8">
        <v>429</v>
      </c>
      <c r="F260" s="8">
        <v>438.6</v>
      </c>
      <c r="G260" s="17">
        <v>44424</v>
      </c>
      <c r="H260" s="8"/>
      <c r="I260" s="8"/>
      <c r="J260" s="8">
        <f t="shared" si="34"/>
        <v>9.6000000000000227</v>
      </c>
      <c r="K260" s="8" t="b">
        <f t="shared" si="29"/>
        <v>1</v>
      </c>
    </row>
    <row r="261" spans="1:11">
      <c r="A261" s="5" t="s">
        <v>34</v>
      </c>
      <c r="B261" s="17">
        <v>44425</v>
      </c>
      <c r="C261" s="20">
        <v>0.6</v>
      </c>
      <c r="D261" s="8">
        <v>9.67</v>
      </c>
      <c r="E261" s="8">
        <v>438.5</v>
      </c>
      <c r="F261" s="8">
        <v>448.3</v>
      </c>
      <c r="G261" s="17">
        <v>44425</v>
      </c>
      <c r="H261" s="8"/>
      <c r="I261" s="8"/>
      <c r="J261" s="8">
        <f t="shared" si="34"/>
        <v>9.8000000000000114</v>
      </c>
      <c r="K261" s="8" t="b">
        <f t="shared" si="29"/>
        <v>0</v>
      </c>
    </row>
    <row r="262" spans="1:11">
      <c r="A262" s="5" t="s">
        <v>35</v>
      </c>
      <c r="B262" s="17">
        <v>44426</v>
      </c>
      <c r="C262" s="20">
        <v>0.6</v>
      </c>
      <c r="D262" s="8">
        <v>9.67</v>
      </c>
      <c r="E262" s="8">
        <v>448.3</v>
      </c>
      <c r="F262" s="8">
        <v>458.2</v>
      </c>
      <c r="G262" s="17">
        <v>44426</v>
      </c>
      <c r="H262" s="8"/>
      <c r="I262" s="8"/>
      <c r="J262" s="8">
        <f t="shared" si="34"/>
        <v>9.8999999999999773</v>
      </c>
      <c r="K262" s="8" t="b">
        <f t="shared" si="29"/>
        <v>1</v>
      </c>
    </row>
    <row r="263" spans="1:11">
      <c r="A263" s="5" t="s">
        <v>34</v>
      </c>
      <c r="B263" s="17">
        <v>44427</v>
      </c>
      <c r="C263" s="20">
        <v>0.6</v>
      </c>
      <c r="D263" s="8">
        <v>9.67</v>
      </c>
      <c r="E263" s="8">
        <v>458.2</v>
      </c>
      <c r="F263" s="8">
        <v>467.5</v>
      </c>
      <c r="G263" s="17">
        <v>44427</v>
      </c>
      <c r="H263" s="8"/>
      <c r="I263" s="8"/>
      <c r="J263" s="8">
        <f t="shared" si="34"/>
        <v>9.3000000000000114</v>
      </c>
      <c r="K263" s="8" t="b">
        <f t="shared" si="29"/>
        <v>1</v>
      </c>
    </row>
    <row r="264" spans="1:11">
      <c r="A264" s="5" t="s">
        <v>35</v>
      </c>
      <c r="B264" s="17">
        <v>44428</v>
      </c>
      <c r="C264" s="20">
        <v>0.6</v>
      </c>
      <c r="D264" s="8">
        <v>9.67</v>
      </c>
      <c r="E264" s="8">
        <v>467.5</v>
      </c>
      <c r="F264" s="8">
        <v>477.5</v>
      </c>
      <c r="G264" s="17">
        <v>44428</v>
      </c>
      <c r="H264" s="8"/>
      <c r="I264" s="8"/>
      <c r="J264" s="8">
        <f t="shared" ref="J264:J275" si="35">F264-E264</f>
        <v>10</v>
      </c>
      <c r="K264" s="8" t="b">
        <f t="shared" si="29"/>
        <v>1</v>
      </c>
    </row>
    <row r="265" spans="1:11">
      <c r="A265" s="5" t="s">
        <v>34</v>
      </c>
      <c r="B265" s="17">
        <v>44429</v>
      </c>
      <c r="C265" s="20">
        <v>0.6</v>
      </c>
      <c r="D265" s="8">
        <v>9.9700000000000006</v>
      </c>
      <c r="E265" s="8">
        <v>477.5</v>
      </c>
      <c r="F265" s="8">
        <v>487</v>
      </c>
      <c r="G265" s="17">
        <v>44429</v>
      </c>
      <c r="H265" s="8"/>
      <c r="I265" s="8"/>
      <c r="J265" s="8">
        <f t="shared" si="35"/>
        <v>9.5</v>
      </c>
      <c r="K265" s="8" t="b">
        <f t="shared" si="29"/>
        <v>1</v>
      </c>
    </row>
    <row r="266" spans="1:11">
      <c r="A266" s="5" t="s">
        <v>35</v>
      </c>
      <c r="B266" s="17">
        <v>44430</v>
      </c>
      <c r="C266" s="20">
        <v>0.6</v>
      </c>
      <c r="D266" s="8">
        <v>9.67</v>
      </c>
      <c r="E266" s="8">
        <v>487</v>
      </c>
      <c r="F266" s="8">
        <v>497</v>
      </c>
      <c r="G266" s="17">
        <v>44430</v>
      </c>
      <c r="H266" s="8"/>
      <c r="I266" s="8"/>
      <c r="J266" s="8">
        <f t="shared" si="35"/>
        <v>10</v>
      </c>
      <c r="K266" s="8" t="b">
        <f t="shared" si="29"/>
        <v>1</v>
      </c>
    </row>
    <row r="267" spans="1:11">
      <c r="A267" s="5" t="s">
        <v>34</v>
      </c>
      <c r="B267" s="17">
        <v>44431</v>
      </c>
      <c r="C267" s="20">
        <v>0.6</v>
      </c>
      <c r="D267" s="8">
        <v>9.67</v>
      </c>
      <c r="E267" s="8">
        <v>497</v>
      </c>
      <c r="F267" s="8">
        <v>506.6</v>
      </c>
      <c r="G267" s="17">
        <v>44431</v>
      </c>
      <c r="H267" s="8"/>
      <c r="I267" s="8"/>
      <c r="J267" s="8">
        <f t="shared" si="35"/>
        <v>9.6000000000000227</v>
      </c>
      <c r="K267" s="8" t="b">
        <f t="shared" si="29"/>
        <v>1</v>
      </c>
    </row>
    <row r="268" spans="1:11">
      <c r="A268" s="5" t="s">
        <v>35</v>
      </c>
      <c r="B268" s="17">
        <v>44432</v>
      </c>
      <c r="C268" s="20">
        <v>0.6</v>
      </c>
      <c r="D268" s="8">
        <v>9.67</v>
      </c>
      <c r="E268" s="8">
        <v>506.8</v>
      </c>
      <c r="F268" s="8">
        <v>516.9</v>
      </c>
      <c r="G268" s="17">
        <v>44432</v>
      </c>
      <c r="H268" s="8"/>
      <c r="I268" s="8"/>
      <c r="J268" s="8">
        <f t="shared" si="35"/>
        <v>10.099999999999966</v>
      </c>
      <c r="K268" s="8" t="b">
        <f t="shared" si="29"/>
        <v>0</v>
      </c>
    </row>
    <row r="269" spans="1:11">
      <c r="A269" s="5" t="s">
        <v>34</v>
      </c>
      <c r="B269" s="17">
        <v>44433</v>
      </c>
      <c r="C269" s="20">
        <v>0.6</v>
      </c>
      <c r="D269" s="8">
        <v>9.67</v>
      </c>
      <c r="E269" s="8">
        <v>516.9</v>
      </c>
      <c r="F269" s="8">
        <v>526.20000000000005</v>
      </c>
      <c r="G269" s="17">
        <v>44433</v>
      </c>
      <c r="H269" s="8"/>
      <c r="I269" s="8"/>
      <c r="J269" s="8">
        <f t="shared" si="35"/>
        <v>9.3000000000000682</v>
      </c>
      <c r="K269" s="8" t="b">
        <f t="shared" si="29"/>
        <v>1</v>
      </c>
    </row>
    <row r="270" spans="1:11">
      <c r="A270" s="5" t="s">
        <v>35</v>
      </c>
      <c r="B270" s="17">
        <v>44434</v>
      </c>
      <c r="C270" s="20">
        <v>0.6</v>
      </c>
      <c r="D270" s="8">
        <v>9.67</v>
      </c>
      <c r="E270" s="8">
        <v>526.20000000000005</v>
      </c>
      <c r="F270" s="8">
        <v>536.1</v>
      </c>
      <c r="G270" s="17">
        <v>44434</v>
      </c>
      <c r="H270" s="8"/>
      <c r="I270" s="8"/>
      <c r="J270" s="8">
        <f t="shared" si="35"/>
        <v>9.8999999999999773</v>
      </c>
      <c r="K270" s="8" t="b">
        <f t="shared" si="29"/>
        <v>1</v>
      </c>
    </row>
    <row r="271" spans="1:11">
      <c r="A271" s="5" t="s">
        <v>34</v>
      </c>
      <c r="B271" s="17">
        <v>44435</v>
      </c>
      <c r="C271" s="20">
        <v>0.6</v>
      </c>
      <c r="D271" s="8">
        <v>9.67</v>
      </c>
      <c r="E271" s="8">
        <v>536.1</v>
      </c>
      <c r="F271" s="8">
        <v>546</v>
      </c>
      <c r="G271" s="17">
        <v>44435</v>
      </c>
      <c r="H271" s="8"/>
      <c r="I271" s="8"/>
      <c r="J271" s="8">
        <f t="shared" si="35"/>
        <v>9.8999999999999773</v>
      </c>
      <c r="K271" s="8" t="b">
        <f t="shared" si="29"/>
        <v>1</v>
      </c>
    </row>
    <row r="272" spans="1:11">
      <c r="A272" s="5" t="s">
        <v>35</v>
      </c>
      <c r="B272" s="17">
        <v>44436</v>
      </c>
      <c r="C272" s="20">
        <v>0.6</v>
      </c>
      <c r="D272" s="8">
        <v>9.67</v>
      </c>
      <c r="E272" s="8">
        <v>546</v>
      </c>
      <c r="F272" s="8">
        <v>555.5</v>
      </c>
      <c r="G272" s="17">
        <v>44436</v>
      </c>
      <c r="H272" s="8"/>
      <c r="I272" s="8"/>
      <c r="J272" s="8">
        <f t="shared" si="35"/>
        <v>9.5</v>
      </c>
      <c r="K272" s="8" t="b">
        <f t="shared" si="29"/>
        <v>1</v>
      </c>
    </row>
    <row r="273" spans="1:11">
      <c r="A273" s="5" t="s">
        <v>36</v>
      </c>
      <c r="B273" s="17">
        <v>44437</v>
      </c>
      <c r="C273" s="20">
        <v>0.6</v>
      </c>
      <c r="D273" s="8">
        <v>9.67</v>
      </c>
      <c r="E273" s="8">
        <v>555.5</v>
      </c>
      <c r="F273" s="8">
        <v>565.5</v>
      </c>
      <c r="G273" s="17">
        <v>44437</v>
      </c>
      <c r="H273" s="8"/>
      <c r="I273" s="8"/>
      <c r="J273" s="8">
        <f t="shared" si="35"/>
        <v>10</v>
      </c>
      <c r="K273" s="8" t="b">
        <f t="shared" si="29"/>
        <v>1</v>
      </c>
    </row>
    <row r="274" spans="1:11">
      <c r="A274" s="5" t="s">
        <v>37</v>
      </c>
      <c r="B274" s="17">
        <v>44438</v>
      </c>
      <c r="C274" s="20">
        <v>0.6</v>
      </c>
      <c r="D274" s="8">
        <v>9.67</v>
      </c>
      <c r="E274" s="8">
        <v>565.5</v>
      </c>
      <c r="F274" s="8">
        <v>574.79999999999995</v>
      </c>
      <c r="G274" s="17">
        <v>44438</v>
      </c>
      <c r="H274" s="8"/>
      <c r="I274" s="8"/>
      <c r="J274" s="8">
        <f t="shared" si="35"/>
        <v>9.2999999999999545</v>
      </c>
      <c r="K274" s="8" t="b">
        <f t="shared" si="29"/>
        <v>1</v>
      </c>
    </row>
    <row r="275" spans="1:11">
      <c r="A275" s="5" t="s">
        <v>36</v>
      </c>
      <c r="B275" s="17">
        <v>44439</v>
      </c>
      <c r="C275" s="20">
        <v>0.6</v>
      </c>
      <c r="D275" s="8">
        <v>9.67</v>
      </c>
      <c r="E275" s="8">
        <v>574.79999999999995</v>
      </c>
      <c r="F275" s="8">
        <v>584.70000000000005</v>
      </c>
      <c r="G275" s="17">
        <v>44439</v>
      </c>
      <c r="H275" s="8"/>
      <c r="I275" s="8"/>
      <c r="J275" s="8">
        <f t="shared" si="35"/>
        <v>9.9000000000000909</v>
      </c>
      <c r="K275" s="8" t="b">
        <f t="shared" si="29"/>
        <v>1</v>
      </c>
    </row>
    <row r="276" spans="1:11">
      <c r="A276" s="5" t="s">
        <v>37</v>
      </c>
      <c r="B276" s="17">
        <v>44440</v>
      </c>
      <c r="C276" s="20">
        <v>0.6</v>
      </c>
      <c r="D276" s="8">
        <v>9.67</v>
      </c>
      <c r="E276" s="8">
        <v>584.70000000000005</v>
      </c>
      <c r="F276" s="8">
        <v>594.5</v>
      </c>
      <c r="G276" s="17">
        <v>44440</v>
      </c>
      <c r="H276" s="8"/>
      <c r="I276" s="8"/>
      <c r="J276" s="8">
        <f t="shared" ref="J276:J281" si="36">F276-E276</f>
        <v>9.7999999999999545</v>
      </c>
      <c r="K276" s="8" t="b">
        <f t="shared" ref="K276:K308" si="37">E276=F275</f>
        <v>1</v>
      </c>
    </row>
    <row r="277" spans="1:11">
      <c r="A277" s="5" t="s">
        <v>36</v>
      </c>
      <c r="B277" s="17">
        <v>44441</v>
      </c>
      <c r="C277" s="20">
        <v>0.6</v>
      </c>
      <c r="D277" s="8">
        <v>9.67</v>
      </c>
      <c r="E277" s="8">
        <v>594.5</v>
      </c>
      <c r="F277" s="8">
        <v>604.20000000000005</v>
      </c>
      <c r="G277" s="17">
        <v>44441</v>
      </c>
      <c r="H277" s="8"/>
      <c r="I277" s="8"/>
      <c r="J277" s="8">
        <f t="shared" si="36"/>
        <v>9.7000000000000455</v>
      </c>
      <c r="K277" s="8" t="b">
        <f t="shared" si="37"/>
        <v>1</v>
      </c>
    </row>
    <row r="278" spans="1:11">
      <c r="A278" s="5" t="s">
        <v>37</v>
      </c>
      <c r="B278" s="17">
        <v>44442</v>
      </c>
      <c r="C278" s="20">
        <v>0.6</v>
      </c>
      <c r="D278" s="8">
        <v>9.67</v>
      </c>
      <c r="E278" s="8">
        <v>604.20000000000005</v>
      </c>
      <c r="F278" s="8">
        <v>614</v>
      </c>
      <c r="G278" s="17">
        <v>44442</v>
      </c>
      <c r="H278" s="8"/>
      <c r="I278" s="8"/>
      <c r="J278" s="8">
        <f t="shared" si="36"/>
        <v>9.7999999999999545</v>
      </c>
      <c r="K278" s="8" t="b">
        <f t="shared" si="37"/>
        <v>1</v>
      </c>
    </row>
    <row r="279" spans="1:11">
      <c r="A279" s="5" t="s">
        <v>36</v>
      </c>
      <c r="B279" s="17">
        <v>44443</v>
      </c>
      <c r="C279" s="20">
        <v>0.5</v>
      </c>
      <c r="D279" s="8">
        <v>11.6</v>
      </c>
      <c r="E279" s="8">
        <v>614</v>
      </c>
      <c r="F279" s="8">
        <v>625.6</v>
      </c>
      <c r="G279" s="17">
        <v>44443</v>
      </c>
      <c r="H279" s="8"/>
      <c r="I279" s="8"/>
      <c r="J279" s="8">
        <f t="shared" si="36"/>
        <v>11.600000000000023</v>
      </c>
      <c r="K279" s="8" t="b">
        <f t="shared" si="37"/>
        <v>1</v>
      </c>
    </row>
    <row r="280" spans="1:11">
      <c r="A280" s="5" t="s">
        <v>37</v>
      </c>
      <c r="B280" s="17">
        <v>44444</v>
      </c>
      <c r="C280" s="20">
        <v>0.5</v>
      </c>
      <c r="D280" s="8">
        <v>11.6</v>
      </c>
      <c r="E280" s="8">
        <v>625.6</v>
      </c>
      <c r="F280" s="8">
        <v>637.1</v>
      </c>
      <c r="G280" s="17">
        <v>44444</v>
      </c>
      <c r="H280" s="8"/>
      <c r="I280" s="8"/>
      <c r="J280" s="8">
        <f t="shared" si="36"/>
        <v>11.5</v>
      </c>
      <c r="K280" s="8" t="b">
        <f t="shared" si="37"/>
        <v>1</v>
      </c>
    </row>
    <row r="281" spans="1:11">
      <c r="A281" s="5" t="s">
        <v>36</v>
      </c>
      <c r="B281" s="17">
        <v>44445</v>
      </c>
      <c r="C281" s="20">
        <v>0.5</v>
      </c>
      <c r="D281" s="8">
        <v>11.6</v>
      </c>
      <c r="E281" s="8">
        <v>637.1</v>
      </c>
      <c r="F281" s="8">
        <v>648.5</v>
      </c>
      <c r="G281" s="17">
        <v>44445</v>
      </c>
      <c r="H281" s="8"/>
      <c r="I281" s="8"/>
      <c r="J281" s="8">
        <f t="shared" si="36"/>
        <v>11.399999999999977</v>
      </c>
      <c r="K281" s="8" t="b">
        <f t="shared" si="37"/>
        <v>1</v>
      </c>
    </row>
    <row r="282" spans="1:11">
      <c r="A282" s="5" t="s">
        <v>37</v>
      </c>
      <c r="B282" s="17">
        <v>44446</v>
      </c>
      <c r="C282" s="20">
        <v>0.5</v>
      </c>
      <c r="D282" s="8">
        <v>11.6</v>
      </c>
      <c r="E282" s="8">
        <v>648.5</v>
      </c>
      <c r="F282" s="8">
        <v>660.1</v>
      </c>
      <c r="G282" s="17">
        <v>44446</v>
      </c>
      <c r="H282" s="8"/>
      <c r="I282" s="8"/>
      <c r="J282" s="8">
        <f t="shared" ref="J282:J292" si="38">F282-E282</f>
        <v>11.600000000000023</v>
      </c>
      <c r="K282" s="8" t="b">
        <f t="shared" si="37"/>
        <v>1</v>
      </c>
    </row>
    <row r="283" spans="1:11">
      <c r="A283" s="5" t="s">
        <v>36</v>
      </c>
      <c r="B283" s="17">
        <v>44447</v>
      </c>
      <c r="C283" s="20">
        <v>0.5</v>
      </c>
      <c r="D283" s="8">
        <v>11.6</v>
      </c>
      <c r="E283" s="8">
        <v>660.1</v>
      </c>
      <c r="F283" s="8">
        <v>671.7</v>
      </c>
      <c r="G283" s="17">
        <v>44447</v>
      </c>
      <c r="H283" s="8"/>
      <c r="I283" s="8"/>
      <c r="J283" s="8">
        <f t="shared" si="38"/>
        <v>11.600000000000023</v>
      </c>
      <c r="K283" s="8" t="b">
        <f t="shared" si="37"/>
        <v>1</v>
      </c>
    </row>
    <row r="284" spans="1:11">
      <c r="A284" s="5" t="s">
        <v>37</v>
      </c>
      <c r="B284" s="17">
        <v>44448</v>
      </c>
      <c r="C284" s="20">
        <v>0.5</v>
      </c>
      <c r="D284" s="8">
        <v>11.6</v>
      </c>
      <c r="E284" s="8">
        <v>671.7</v>
      </c>
      <c r="F284" s="8">
        <v>683.3</v>
      </c>
      <c r="G284" s="17">
        <v>44448</v>
      </c>
      <c r="H284" s="8"/>
      <c r="I284" s="8"/>
      <c r="J284" s="8">
        <f t="shared" si="38"/>
        <v>11.599999999999909</v>
      </c>
      <c r="K284" s="8" t="b">
        <f t="shared" si="37"/>
        <v>1</v>
      </c>
    </row>
    <row r="285" spans="1:11">
      <c r="A285" s="5" t="s">
        <v>38</v>
      </c>
      <c r="B285" s="17">
        <v>44449</v>
      </c>
      <c r="C285" s="20">
        <v>0.5</v>
      </c>
      <c r="D285" s="8">
        <v>11.6</v>
      </c>
      <c r="E285" s="8">
        <v>683.3</v>
      </c>
      <c r="F285" s="8">
        <v>694.8</v>
      </c>
      <c r="G285" s="17">
        <v>44449</v>
      </c>
      <c r="H285" s="8"/>
      <c r="I285" s="8"/>
      <c r="J285" s="8">
        <f t="shared" si="38"/>
        <v>11.5</v>
      </c>
      <c r="K285" s="8" t="b">
        <f t="shared" si="37"/>
        <v>1</v>
      </c>
    </row>
    <row r="286" spans="1:11">
      <c r="A286" s="5" t="s">
        <v>37</v>
      </c>
      <c r="B286" s="17">
        <v>44450</v>
      </c>
      <c r="C286" s="20">
        <v>0.5</v>
      </c>
      <c r="D286" s="8">
        <v>11.6</v>
      </c>
      <c r="E286" s="8">
        <v>694.8</v>
      </c>
      <c r="F286" s="8">
        <v>706.7</v>
      </c>
      <c r="G286" s="17">
        <v>44450</v>
      </c>
      <c r="H286" s="8"/>
      <c r="I286" s="8"/>
      <c r="J286" s="8">
        <f t="shared" si="38"/>
        <v>11.900000000000091</v>
      </c>
      <c r="K286" s="8" t="b">
        <f t="shared" si="37"/>
        <v>1</v>
      </c>
    </row>
    <row r="287" spans="1:11">
      <c r="A287" s="5" t="s">
        <v>36</v>
      </c>
      <c r="B287" s="17">
        <v>44451</v>
      </c>
      <c r="C287" s="20">
        <v>0.5</v>
      </c>
      <c r="D287" s="8">
        <v>11.6</v>
      </c>
      <c r="E287" s="8">
        <v>706.7</v>
      </c>
      <c r="F287" s="8">
        <v>718.6</v>
      </c>
      <c r="G287" s="17">
        <v>44451</v>
      </c>
      <c r="H287" s="8"/>
      <c r="I287" s="8"/>
      <c r="J287" s="8">
        <f t="shared" si="38"/>
        <v>11.899999999999977</v>
      </c>
      <c r="K287" s="8" t="b">
        <f t="shared" si="37"/>
        <v>1</v>
      </c>
    </row>
    <row r="288" spans="1:11">
      <c r="A288" s="5" t="s">
        <v>37</v>
      </c>
      <c r="B288" s="17">
        <v>44452</v>
      </c>
      <c r="C288" s="20">
        <v>0.5</v>
      </c>
      <c r="D288" s="8">
        <v>11.6</v>
      </c>
      <c r="E288" s="8">
        <v>718.6</v>
      </c>
      <c r="F288" s="8">
        <v>729.5</v>
      </c>
      <c r="G288" s="17">
        <v>44452</v>
      </c>
      <c r="H288" s="8"/>
      <c r="I288" s="8"/>
      <c r="J288" s="8">
        <f t="shared" si="38"/>
        <v>10.899999999999977</v>
      </c>
      <c r="K288" s="8" t="b">
        <f t="shared" si="37"/>
        <v>1</v>
      </c>
    </row>
    <row r="289" spans="1:11">
      <c r="A289" s="5" t="s">
        <v>36</v>
      </c>
      <c r="B289" s="17">
        <v>44453</v>
      </c>
      <c r="C289" s="20">
        <v>0.5</v>
      </c>
      <c r="D289" s="8">
        <v>11.6</v>
      </c>
      <c r="E289" s="8">
        <v>729.5</v>
      </c>
      <c r="F289" s="8">
        <v>741.1</v>
      </c>
      <c r="G289" s="17">
        <v>44453</v>
      </c>
      <c r="H289" s="8"/>
      <c r="I289" s="8"/>
      <c r="J289" s="8">
        <f t="shared" si="38"/>
        <v>11.600000000000023</v>
      </c>
      <c r="K289" s="8" t="b">
        <f t="shared" si="37"/>
        <v>1</v>
      </c>
    </row>
    <row r="290" spans="1:11">
      <c r="A290" s="5" t="s">
        <v>37</v>
      </c>
      <c r="B290" s="17">
        <v>44454</v>
      </c>
      <c r="C290" s="20">
        <v>0.5</v>
      </c>
      <c r="D290" s="8">
        <v>11.6</v>
      </c>
      <c r="E290" s="8">
        <v>741.1</v>
      </c>
      <c r="F290" s="8">
        <v>752.6</v>
      </c>
      <c r="G290" s="17">
        <v>44454</v>
      </c>
      <c r="H290" s="8"/>
      <c r="I290" s="8"/>
      <c r="J290" s="8">
        <f t="shared" si="38"/>
        <v>11.5</v>
      </c>
      <c r="K290" s="8" t="b">
        <f t="shared" si="37"/>
        <v>1</v>
      </c>
    </row>
    <row r="291" spans="1:11">
      <c r="A291" s="5" t="s">
        <v>36</v>
      </c>
      <c r="B291" s="17">
        <v>44455</v>
      </c>
      <c r="C291" s="20">
        <v>0.5</v>
      </c>
      <c r="D291" s="8">
        <v>11.6</v>
      </c>
      <c r="E291" s="8">
        <v>752.6</v>
      </c>
      <c r="F291" s="8">
        <v>764.2</v>
      </c>
      <c r="G291" s="17">
        <v>44455</v>
      </c>
      <c r="H291" s="8"/>
      <c r="I291" s="8"/>
      <c r="J291" s="8">
        <f t="shared" si="38"/>
        <v>11.600000000000023</v>
      </c>
      <c r="K291" s="8" t="b">
        <f t="shared" si="37"/>
        <v>1</v>
      </c>
    </row>
    <row r="292" spans="1:11">
      <c r="A292" s="5" t="s">
        <v>37</v>
      </c>
      <c r="B292" s="17">
        <v>44456</v>
      </c>
      <c r="C292" s="20">
        <v>0.5</v>
      </c>
      <c r="D292" s="8">
        <v>11.6</v>
      </c>
      <c r="E292" s="8">
        <v>764.2</v>
      </c>
      <c r="F292" s="8">
        <v>775.5</v>
      </c>
      <c r="G292" s="17">
        <v>44456</v>
      </c>
      <c r="H292" s="8"/>
      <c r="I292" s="8"/>
      <c r="J292" s="8">
        <f t="shared" si="38"/>
        <v>11.299999999999955</v>
      </c>
      <c r="K292" s="8" t="b">
        <f t="shared" si="37"/>
        <v>1</v>
      </c>
    </row>
    <row r="293" spans="1:11">
      <c r="A293" s="5" t="s">
        <v>36</v>
      </c>
      <c r="B293" s="17">
        <v>44457</v>
      </c>
      <c r="C293" s="20">
        <v>0.5</v>
      </c>
      <c r="D293" s="8">
        <v>11.6</v>
      </c>
      <c r="E293" s="8">
        <v>775.5</v>
      </c>
      <c r="F293" s="8">
        <v>786</v>
      </c>
      <c r="G293" s="17">
        <v>44457</v>
      </c>
      <c r="H293" s="8"/>
      <c r="I293" s="8"/>
      <c r="J293" s="8">
        <f t="shared" ref="J293:J308" si="39">F293-E293</f>
        <v>10.5</v>
      </c>
      <c r="K293" s="8" t="b">
        <f t="shared" si="37"/>
        <v>1</v>
      </c>
    </row>
    <row r="294" spans="1:11">
      <c r="A294" s="5" t="s">
        <v>37</v>
      </c>
      <c r="B294" s="17">
        <v>44458</v>
      </c>
      <c r="C294" s="20">
        <v>0.5</v>
      </c>
      <c r="D294" s="8">
        <v>11.6</v>
      </c>
      <c r="E294" s="8">
        <v>787.4</v>
      </c>
      <c r="F294" s="8">
        <v>799</v>
      </c>
      <c r="G294" s="17">
        <v>44458</v>
      </c>
      <c r="H294" s="8"/>
      <c r="I294" s="8"/>
      <c r="J294" s="8">
        <f t="shared" si="39"/>
        <v>11.600000000000023</v>
      </c>
      <c r="K294" s="8" t="b">
        <f t="shared" si="37"/>
        <v>0</v>
      </c>
    </row>
    <row r="295" spans="1:11">
      <c r="A295" s="5" t="s">
        <v>36</v>
      </c>
      <c r="B295" s="17">
        <v>44459</v>
      </c>
      <c r="C295" s="20">
        <v>0.5</v>
      </c>
      <c r="D295" s="8">
        <v>11.6</v>
      </c>
      <c r="E295" s="8">
        <v>799</v>
      </c>
      <c r="F295" s="8">
        <v>810.5</v>
      </c>
      <c r="G295" s="17">
        <v>44459</v>
      </c>
      <c r="H295" s="8"/>
      <c r="I295" s="8"/>
      <c r="J295" s="8">
        <f t="shared" si="39"/>
        <v>11.5</v>
      </c>
      <c r="K295" s="8" t="b">
        <f t="shared" si="37"/>
        <v>1</v>
      </c>
    </row>
    <row r="296" spans="1:11">
      <c r="A296" s="5" t="s">
        <v>37</v>
      </c>
      <c r="B296" s="17">
        <v>44460</v>
      </c>
      <c r="C296" s="20">
        <v>0.5</v>
      </c>
      <c r="D296" s="8">
        <v>11.6</v>
      </c>
      <c r="E296" s="8">
        <v>810.5</v>
      </c>
      <c r="F296" s="8">
        <v>822.1</v>
      </c>
      <c r="G296" s="17">
        <v>44460</v>
      </c>
      <c r="H296" s="8"/>
      <c r="I296" s="8"/>
      <c r="J296" s="8">
        <f t="shared" si="39"/>
        <v>11.600000000000023</v>
      </c>
      <c r="K296" s="8" t="b">
        <f t="shared" si="37"/>
        <v>1</v>
      </c>
    </row>
    <row r="297" spans="1:11">
      <c r="A297" s="5" t="s">
        <v>36</v>
      </c>
      <c r="B297" s="17">
        <v>44461</v>
      </c>
      <c r="C297" s="20">
        <v>0.5</v>
      </c>
      <c r="D297" s="8">
        <v>11.6</v>
      </c>
      <c r="E297" s="8">
        <v>822.1</v>
      </c>
      <c r="F297" s="8">
        <v>833.6</v>
      </c>
      <c r="G297" s="17">
        <v>44461</v>
      </c>
      <c r="H297" s="8"/>
      <c r="I297" s="8"/>
      <c r="J297" s="8">
        <f t="shared" si="39"/>
        <v>11.5</v>
      </c>
      <c r="K297" s="8" t="b">
        <f t="shared" si="37"/>
        <v>1</v>
      </c>
    </row>
    <row r="298" spans="1:11">
      <c r="A298" s="5" t="s">
        <v>37</v>
      </c>
      <c r="B298" s="17">
        <v>44462</v>
      </c>
      <c r="C298" s="20">
        <v>0.5</v>
      </c>
      <c r="D298" s="8">
        <v>11.6</v>
      </c>
      <c r="E298" s="8">
        <v>833.6</v>
      </c>
      <c r="F298" s="8">
        <v>845.3</v>
      </c>
      <c r="G298" s="17">
        <v>44462</v>
      </c>
      <c r="H298" s="8"/>
      <c r="I298" s="8"/>
      <c r="J298" s="8">
        <f t="shared" si="39"/>
        <v>11.699999999999932</v>
      </c>
      <c r="K298" s="8" t="b">
        <f t="shared" si="37"/>
        <v>1</v>
      </c>
    </row>
    <row r="299" spans="1:11">
      <c r="A299" s="5" t="s">
        <v>36</v>
      </c>
      <c r="B299" s="17">
        <v>44463</v>
      </c>
      <c r="C299" s="20">
        <v>0.5</v>
      </c>
      <c r="D299" s="8">
        <v>11.6</v>
      </c>
      <c r="E299" s="8">
        <v>845.3</v>
      </c>
      <c r="F299" s="8">
        <v>857</v>
      </c>
      <c r="G299" s="17">
        <v>44463</v>
      </c>
      <c r="H299" s="8"/>
      <c r="I299" s="8"/>
      <c r="J299" s="8">
        <f t="shared" si="39"/>
        <v>11.700000000000045</v>
      </c>
      <c r="K299" s="8" t="b">
        <f t="shared" si="37"/>
        <v>1</v>
      </c>
    </row>
    <row r="300" spans="1:11">
      <c r="A300" s="5" t="s">
        <v>37</v>
      </c>
      <c r="B300" s="17">
        <v>44464</v>
      </c>
      <c r="C300" s="20">
        <v>0.5</v>
      </c>
      <c r="D300" s="8">
        <v>11.6</v>
      </c>
      <c r="E300" s="8">
        <v>857</v>
      </c>
      <c r="F300" s="8">
        <v>868.6</v>
      </c>
      <c r="G300" s="17">
        <v>44464</v>
      </c>
      <c r="H300" s="8"/>
      <c r="I300" s="8"/>
      <c r="J300" s="8">
        <f t="shared" si="39"/>
        <v>11.600000000000023</v>
      </c>
      <c r="K300" s="8" t="b">
        <f t="shared" si="37"/>
        <v>1</v>
      </c>
    </row>
    <row r="301" spans="1:11">
      <c r="A301" s="5" t="s">
        <v>36</v>
      </c>
      <c r="B301" s="17">
        <v>44465</v>
      </c>
      <c r="C301" s="20">
        <v>0.5</v>
      </c>
      <c r="D301" s="8">
        <v>11.6</v>
      </c>
      <c r="E301" s="8">
        <v>868.6</v>
      </c>
      <c r="F301" s="8">
        <v>880</v>
      </c>
      <c r="G301" s="17">
        <v>44465</v>
      </c>
      <c r="H301" s="8"/>
      <c r="I301" s="8"/>
      <c r="J301" s="8">
        <f t="shared" si="39"/>
        <v>11.399999999999977</v>
      </c>
      <c r="K301" s="8" t="b">
        <f t="shared" si="37"/>
        <v>1</v>
      </c>
    </row>
    <row r="302" spans="1:11">
      <c r="A302" s="5" t="s">
        <v>37</v>
      </c>
      <c r="B302" s="17">
        <v>44466</v>
      </c>
      <c r="C302" s="20">
        <v>0.5</v>
      </c>
      <c r="D302" s="8">
        <v>11.6</v>
      </c>
      <c r="E302" s="8">
        <v>880</v>
      </c>
      <c r="F302" s="8">
        <v>891.9</v>
      </c>
      <c r="G302" s="17">
        <v>44466</v>
      </c>
      <c r="H302" s="8"/>
      <c r="I302" s="8"/>
      <c r="J302" s="8">
        <f t="shared" si="39"/>
        <v>11.899999999999977</v>
      </c>
      <c r="K302" s="8" t="b">
        <f t="shared" si="37"/>
        <v>1</v>
      </c>
    </row>
    <row r="303" spans="1:11">
      <c r="A303" s="5" t="s">
        <v>36</v>
      </c>
      <c r="B303" s="17">
        <v>44467</v>
      </c>
      <c r="C303" s="20">
        <v>0.5</v>
      </c>
      <c r="D303" s="8">
        <v>11.6</v>
      </c>
      <c r="E303" s="8">
        <v>891.9</v>
      </c>
      <c r="F303" s="8">
        <v>906</v>
      </c>
      <c r="G303" s="17">
        <v>44467</v>
      </c>
      <c r="H303" s="8"/>
      <c r="I303" s="8"/>
      <c r="J303" s="8">
        <f t="shared" si="39"/>
        <v>14.100000000000023</v>
      </c>
      <c r="K303" s="8" t="b">
        <f t="shared" si="37"/>
        <v>1</v>
      </c>
    </row>
    <row r="304" spans="1:11">
      <c r="A304" s="5" t="s">
        <v>37</v>
      </c>
      <c r="B304" s="17">
        <v>44468</v>
      </c>
      <c r="C304" s="20">
        <v>0.5</v>
      </c>
      <c r="D304" s="8">
        <v>11.6</v>
      </c>
      <c r="E304" s="8">
        <v>906</v>
      </c>
      <c r="F304" s="8">
        <v>917.4</v>
      </c>
      <c r="G304" s="17">
        <v>44468</v>
      </c>
      <c r="H304" s="8"/>
      <c r="I304" s="8"/>
      <c r="J304" s="8">
        <f t="shared" si="39"/>
        <v>11.399999999999977</v>
      </c>
      <c r="K304" s="8" t="b">
        <f t="shared" si="37"/>
        <v>1</v>
      </c>
    </row>
    <row r="305" spans="1:11">
      <c r="A305" s="5" t="s">
        <v>36</v>
      </c>
      <c r="B305" s="17">
        <v>44469</v>
      </c>
      <c r="C305" s="20">
        <v>0.5</v>
      </c>
      <c r="D305" s="8">
        <v>11.6</v>
      </c>
      <c r="E305" s="8">
        <v>917.4</v>
      </c>
      <c r="F305" s="8">
        <v>928.9</v>
      </c>
      <c r="G305" s="17">
        <v>44469</v>
      </c>
      <c r="H305" s="8"/>
      <c r="I305" s="8"/>
      <c r="J305" s="8">
        <f t="shared" si="39"/>
        <v>11.5</v>
      </c>
      <c r="K305" s="8" t="b">
        <f t="shared" si="37"/>
        <v>1</v>
      </c>
    </row>
    <row r="306" spans="1:11">
      <c r="A306" s="5" t="s">
        <v>37</v>
      </c>
      <c r="B306" s="17">
        <v>44470</v>
      </c>
      <c r="C306" s="20">
        <v>0.5</v>
      </c>
      <c r="D306" s="8">
        <v>11.6</v>
      </c>
      <c r="E306" s="8">
        <v>928.9</v>
      </c>
      <c r="F306" s="8">
        <v>942.4</v>
      </c>
      <c r="G306" s="17">
        <v>44472</v>
      </c>
      <c r="H306" s="8"/>
      <c r="I306" s="8"/>
      <c r="J306" s="8">
        <f t="shared" si="39"/>
        <v>13.5</v>
      </c>
      <c r="K306" s="8" t="b">
        <f t="shared" si="37"/>
        <v>1</v>
      </c>
    </row>
    <row r="307" spans="1:11">
      <c r="A307" s="5" t="s">
        <v>36</v>
      </c>
      <c r="B307" s="17">
        <v>44473</v>
      </c>
      <c r="C307" s="20">
        <v>0.5</v>
      </c>
      <c r="D307" s="8">
        <v>11.6</v>
      </c>
      <c r="E307" s="8">
        <v>942.4</v>
      </c>
      <c r="F307" s="8">
        <v>956.4</v>
      </c>
      <c r="G307" s="17">
        <v>44473</v>
      </c>
      <c r="H307" s="8"/>
      <c r="I307" s="8"/>
      <c r="J307" s="8">
        <f t="shared" si="39"/>
        <v>14</v>
      </c>
      <c r="K307" s="8" t="b">
        <f t="shared" si="37"/>
        <v>1</v>
      </c>
    </row>
    <row r="308" spans="1:11">
      <c r="A308" s="5" t="s">
        <v>37</v>
      </c>
      <c r="B308" s="17">
        <v>44474</v>
      </c>
      <c r="C308" s="20">
        <v>0.5</v>
      </c>
      <c r="D308" s="8">
        <v>11.6</v>
      </c>
      <c r="E308" s="8">
        <v>956.4</v>
      </c>
      <c r="F308" s="8">
        <v>970.9</v>
      </c>
      <c r="G308" s="17">
        <v>44474</v>
      </c>
      <c r="H308" s="8"/>
      <c r="I308" s="8"/>
      <c r="J308" s="8">
        <f t="shared" si="39"/>
        <v>14.5</v>
      </c>
      <c r="K308" s="8" t="b">
        <f t="shared" si="37"/>
        <v>1</v>
      </c>
    </row>
    <row r="309" spans="1:11">
      <c r="A309" s="5" t="s">
        <v>36</v>
      </c>
      <c r="B309" s="17">
        <v>44475</v>
      </c>
      <c r="C309" s="20">
        <v>0.4</v>
      </c>
      <c r="D309" s="8">
        <v>14.5</v>
      </c>
      <c r="E309" s="8">
        <v>970.9</v>
      </c>
      <c r="F309" s="8">
        <v>984.9</v>
      </c>
      <c r="G309" s="17">
        <v>44475</v>
      </c>
      <c r="H309" s="8"/>
      <c r="I309" s="8"/>
      <c r="J309" s="8">
        <f>F309-E309</f>
        <v>14</v>
      </c>
      <c r="K309" s="8" t="b">
        <f>E309=F308</f>
        <v>1</v>
      </c>
    </row>
    <row r="310" spans="1:11">
      <c r="A310" s="5" t="s">
        <v>39</v>
      </c>
      <c r="B310" s="17">
        <v>44489</v>
      </c>
      <c r="C310" s="20">
        <v>0.6</v>
      </c>
      <c r="D310" s="8">
        <v>9.67</v>
      </c>
      <c r="E310" s="8">
        <v>1019</v>
      </c>
      <c r="F310" s="8">
        <v>1040.4000000000001</v>
      </c>
      <c r="G310" s="17">
        <v>44489</v>
      </c>
      <c r="H310" s="8"/>
      <c r="I310" s="8"/>
      <c r="J310" s="8">
        <f>F310-E310</f>
        <v>21.400000000000091</v>
      </c>
      <c r="K310" s="8" t="b">
        <f>E310=F309</f>
        <v>0</v>
      </c>
    </row>
    <row r="311" spans="1:11">
      <c r="A311" s="5" t="s">
        <v>39</v>
      </c>
      <c r="B311" s="17">
        <v>44490</v>
      </c>
      <c r="C311" s="20">
        <v>0.6</v>
      </c>
      <c r="D311" s="8">
        <v>9.67</v>
      </c>
      <c r="E311" s="8">
        <v>1040.4000000000001</v>
      </c>
      <c r="F311" s="8">
        <v>1057.5999999999999</v>
      </c>
      <c r="G311" s="17">
        <v>44490</v>
      </c>
      <c r="H311" s="8"/>
      <c r="I311" s="8"/>
      <c r="J311" s="8">
        <f>F311-E311</f>
        <v>17.199999999999818</v>
      </c>
      <c r="K311" s="8" t="b">
        <f>E311=F310</f>
        <v>1</v>
      </c>
    </row>
    <row r="312" spans="1:11">
      <c r="A312" s="5" t="s">
        <v>33</v>
      </c>
      <c r="B312" s="17"/>
      <c r="C312" s="20"/>
      <c r="D312" s="8"/>
      <c r="E312" s="8"/>
      <c r="F312" s="8"/>
      <c r="G312" s="17"/>
      <c r="H312" s="8"/>
      <c r="I312" s="8"/>
      <c r="J312" s="8">
        <f>F312-E312</f>
        <v>0</v>
      </c>
      <c r="K312" s="8" t="b">
        <f>E312=F311</f>
        <v>0</v>
      </c>
    </row>
    <row r="315" spans="1:11" ht="26.25">
      <c r="A315" s="129" t="s">
        <v>20</v>
      </c>
      <c r="B315" s="164"/>
      <c r="C315" s="164"/>
      <c r="D315" s="164"/>
      <c r="E315" s="164"/>
      <c r="F315" s="164"/>
      <c r="G315" s="164"/>
      <c r="H315" s="164"/>
      <c r="I315" s="164"/>
      <c r="J315" s="164"/>
      <c r="K315" s="165"/>
    </row>
    <row r="316" spans="1:11" ht="26.25">
      <c r="A316" s="129" t="s">
        <v>15</v>
      </c>
      <c r="B316" s="164"/>
      <c r="C316" s="164"/>
      <c r="D316" s="164"/>
      <c r="E316" s="164"/>
      <c r="F316" s="164"/>
      <c r="G316" s="164"/>
      <c r="H316" s="164"/>
      <c r="I316" s="164"/>
      <c r="J316" s="164"/>
      <c r="K316" s="165"/>
    </row>
    <row r="317" spans="1:11" ht="15.75" thickBot="1"/>
    <row r="318" spans="1:11" ht="15.75" thickBot="1">
      <c r="A318" s="132" t="s">
        <v>2</v>
      </c>
      <c r="B318" s="133"/>
      <c r="C318" s="133"/>
      <c r="D318" s="133"/>
      <c r="E318" s="133"/>
      <c r="F318" s="133"/>
      <c r="G318" s="133"/>
      <c r="H318" s="133"/>
      <c r="I318" s="133"/>
      <c r="J318" s="133"/>
      <c r="K318" s="134"/>
    </row>
    <row r="320" spans="1:11" ht="19.5" thickBot="1">
      <c r="A320" s="1" t="s">
        <v>3</v>
      </c>
      <c r="B320" s="61"/>
      <c r="C320" s="64"/>
      <c r="D320" s="54"/>
      <c r="E320" s="1"/>
      <c r="F320" s="1"/>
      <c r="G320" s="61"/>
      <c r="H320" s="1"/>
      <c r="I320" s="1"/>
    </row>
    <row r="321" spans="1:11" ht="30.75" thickBot="1">
      <c r="A321" s="2" t="s">
        <v>4</v>
      </c>
      <c r="B321" s="62" t="s">
        <v>5</v>
      </c>
      <c r="C321" s="65" t="s">
        <v>6</v>
      </c>
      <c r="D321" s="3" t="s">
        <v>7</v>
      </c>
      <c r="E321" s="3" t="s">
        <v>8</v>
      </c>
      <c r="F321" s="3" t="s">
        <v>9</v>
      </c>
      <c r="G321" s="62" t="s">
        <v>10</v>
      </c>
      <c r="H321" s="3" t="s">
        <v>21</v>
      </c>
      <c r="I321" s="4" t="s">
        <v>22</v>
      </c>
      <c r="J321" s="4" t="s">
        <v>11</v>
      </c>
      <c r="K321" s="4" t="s">
        <v>12</v>
      </c>
    </row>
    <row r="322" spans="1:11">
      <c r="A322" s="5" t="s">
        <v>33</v>
      </c>
      <c r="B322" s="6">
        <v>44586</v>
      </c>
      <c r="C322" s="66">
        <v>0.8</v>
      </c>
      <c r="D322" s="5">
        <v>7.25</v>
      </c>
      <c r="E322" s="5">
        <v>0</v>
      </c>
      <c r="F322" s="5">
        <v>16.2</v>
      </c>
      <c r="G322" s="6">
        <v>44586</v>
      </c>
      <c r="H322" s="5"/>
      <c r="I322" s="5"/>
      <c r="J322" s="5">
        <f t="shared" ref="J322:J327" si="40">F322-E322</f>
        <v>16.2</v>
      </c>
      <c r="K322" s="8" t="b">
        <f>E322=F311</f>
        <v>0</v>
      </c>
    </row>
    <row r="323" spans="1:11">
      <c r="A323" s="5" t="s">
        <v>33</v>
      </c>
      <c r="B323" s="6">
        <v>44587</v>
      </c>
      <c r="C323" s="66">
        <v>0.8</v>
      </c>
      <c r="D323" s="5">
        <v>7.25</v>
      </c>
      <c r="E323" s="5">
        <v>16.2</v>
      </c>
      <c r="F323" s="5">
        <v>22.4</v>
      </c>
      <c r="G323" s="6">
        <v>44587</v>
      </c>
      <c r="H323" s="5"/>
      <c r="I323" s="5"/>
      <c r="J323" s="5">
        <f t="shared" si="40"/>
        <v>6.1999999999999993</v>
      </c>
      <c r="K323" s="8" t="b">
        <f>E323=F322</f>
        <v>1</v>
      </c>
    </row>
    <row r="324" spans="1:11">
      <c r="A324" s="5" t="s">
        <v>33</v>
      </c>
      <c r="B324" s="6">
        <v>44590</v>
      </c>
      <c r="C324" s="66">
        <v>0.8</v>
      </c>
      <c r="D324" s="5">
        <v>7.25</v>
      </c>
      <c r="E324" s="5">
        <v>22.4</v>
      </c>
      <c r="F324" s="5">
        <v>36.9</v>
      </c>
      <c r="G324" s="6">
        <v>44590</v>
      </c>
      <c r="H324" s="5"/>
      <c r="I324" s="5"/>
      <c r="J324" s="5">
        <f t="shared" si="40"/>
        <v>14.5</v>
      </c>
      <c r="K324" s="8" t="b">
        <f>E324=F323</f>
        <v>1</v>
      </c>
    </row>
    <row r="325" spans="1:11">
      <c r="A325" s="5" t="s">
        <v>33</v>
      </c>
      <c r="B325" s="6">
        <v>44591</v>
      </c>
      <c r="C325" s="66">
        <v>1</v>
      </c>
      <c r="D325" s="5">
        <v>5.8</v>
      </c>
      <c r="E325" s="5">
        <v>36.9</v>
      </c>
      <c r="F325" s="5">
        <v>50.1</v>
      </c>
      <c r="G325" s="6">
        <v>44591</v>
      </c>
      <c r="H325" s="5"/>
      <c r="I325" s="5"/>
      <c r="J325" s="5">
        <f t="shared" si="40"/>
        <v>13.200000000000003</v>
      </c>
      <c r="K325" s="8" t="b">
        <f>E325=F324</f>
        <v>1</v>
      </c>
    </row>
    <row r="326" spans="1:11">
      <c r="A326" s="5" t="s">
        <v>33</v>
      </c>
      <c r="B326" s="6">
        <v>44592</v>
      </c>
      <c r="C326" s="66">
        <v>1</v>
      </c>
      <c r="D326" s="5">
        <v>5.8</v>
      </c>
      <c r="E326" s="5">
        <v>50.1</v>
      </c>
      <c r="F326" s="5">
        <v>66.400000000000006</v>
      </c>
      <c r="G326" s="6">
        <v>44592</v>
      </c>
      <c r="H326" s="5"/>
      <c r="I326" s="5"/>
      <c r="J326" s="5">
        <f t="shared" si="40"/>
        <v>16.300000000000004</v>
      </c>
      <c r="K326" s="8" t="b">
        <f>E326=F325</f>
        <v>1</v>
      </c>
    </row>
    <row r="327" spans="1:11">
      <c r="A327" s="5" t="s">
        <v>33</v>
      </c>
      <c r="B327" s="6">
        <v>44593</v>
      </c>
      <c r="C327" s="66">
        <v>1</v>
      </c>
      <c r="D327" s="5">
        <v>5.8</v>
      </c>
      <c r="E327" s="5">
        <v>66.400000000000006</v>
      </c>
      <c r="F327" s="5">
        <v>79.7</v>
      </c>
      <c r="G327" s="6">
        <v>44593</v>
      </c>
      <c r="H327" s="5"/>
      <c r="I327" s="5"/>
      <c r="J327" s="5">
        <f t="shared" si="40"/>
        <v>13.299999999999997</v>
      </c>
      <c r="K327" s="8" t="b">
        <f t="shared" ref="K327:K338" si="41">E327=F326</f>
        <v>1</v>
      </c>
    </row>
    <row r="328" spans="1:11">
      <c r="A328" s="5" t="s">
        <v>33</v>
      </c>
      <c r="B328" s="6">
        <v>44595</v>
      </c>
      <c r="C328" s="66">
        <v>1</v>
      </c>
      <c r="D328" s="5">
        <v>5.8</v>
      </c>
      <c r="E328" s="5">
        <v>79.7</v>
      </c>
      <c r="F328" s="5">
        <v>92.6</v>
      </c>
      <c r="G328" s="6">
        <v>44595</v>
      </c>
      <c r="H328" s="5"/>
      <c r="I328" s="5"/>
      <c r="J328" s="5">
        <f t="shared" ref="J328:J338" si="42">F328-E328</f>
        <v>12.899999999999991</v>
      </c>
      <c r="K328" s="8" t="b">
        <f t="shared" si="41"/>
        <v>1</v>
      </c>
    </row>
    <row r="329" spans="1:11">
      <c r="A329" s="5" t="s">
        <v>33</v>
      </c>
      <c r="B329" s="6">
        <v>44598</v>
      </c>
      <c r="C329" s="66">
        <v>0.7</v>
      </c>
      <c r="D329" s="5">
        <v>8.2899999999999991</v>
      </c>
      <c r="E329" s="5">
        <v>92.6</v>
      </c>
      <c r="F329" s="5">
        <v>108.2</v>
      </c>
      <c r="G329" s="6">
        <v>44598</v>
      </c>
      <c r="H329" s="5"/>
      <c r="I329" s="5"/>
      <c r="J329" s="5">
        <f t="shared" si="42"/>
        <v>15.600000000000009</v>
      </c>
      <c r="K329" s="8" t="b">
        <f t="shared" si="41"/>
        <v>1</v>
      </c>
    </row>
    <row r="330" spans="1:11">
      <c r="A330" s="25" t="s">
        <v>33</v>
      </c>
      <c r="B330" s="26">
        <v>44601</v>
      </c>
      <c r="C330" s="67">
        <v>1</v>
      </c>
      <c r="D330" s="25">
        <v>5.8</v>
      </c>
      <c r="E330" s="25">
        <v>108</v>
      </c>
      <c r="F330" s="25">
        <v>119.3</v>
      </c>
      <c r="G330" s="26">
        <v>44601</v>
      </c>
      <c r="H330" s="25"/>
      <c r="I330" s="25"/>
      <c r="J330" s="25">
        <f t="shared" si="42"/>
        <v>11.299999999999997</v>
      </c>
      <c r="K330" s="28" t="b">
        <f t="shared" si="41"/>
        <v>0</v>
      </c>
    </row>
    <row r="331" spans="1:11">
      <c r="A331" s="5" t="s">
        <v>33</v>
      </c>
      <c r="B331" s="6">
        <v>44618</v>
      </c>
      <c r="C331" s="66">
        <v>0.8</v>
      </c>
      <c r="D331" s="5">
        <v>7.25</v>
      </c>
      <c r="E331" s="5">
        <v>119.3</v>
      </c>
      <c r="F331" s="5">
        <v>134.5</v>
      </c>
      <c r="G331" s="6">
        <v>44619</v>
      </c>
      <c r="H331" s="5"/>
      <c r="I331" s="5"/>
      <c r="J331" s="5">
        <f t="shared" si="42"/>
        <v>15.200000000000003</v>
      </c>
      <c r="K331" s="8" t="b">
        <f t="shared" si="41"/>
        <v>1</v>
      </c>
    </row>
    <row r="332" spans="1:11">
      <c r="A332" s="5" t="s">
        <v>33</v>
      </c>
      <c r="B332" s="6">
        <v>44593</v>
      </c>
      <c r="C332" s="66">
        <v>0.8</v>
      </c>
      <c r="D332" s="5">
        <v>7.25</v>
      </c>
      <c r="E332" s="5">
        <v>134.5</v>
      </c>
      <c r="F332" s="5">
        <v>149.5</v>
      </c>
      <c r="G332" s="6">
        <v>44593</v>
      </c>
      <c r="H332" s="5"/>
      <c r="I332" s="5"/>
      <c r="J332" s="5">
        <f t="shared" si="42"/>
        <v>15</v>
      </c>
      <c r="K332" s="8" t="b">
        <f t="shared" si="41"/>
        <v>1</v>
      </c>
    </row>
    <row r="333" spans="1:11">
      <c r="A333" s="5" t="s">
        <v>33</v>
      </c>
      <c r="B333" s="6">
        <v>44624</v>
      </c>
      <c r="C333" s="66">
        <v>0.8</v>
      </c>
      <c r="D333" s="5">
        <v>7.25</v>
      </c>
      <c r="E333" s="5">
        <v>149.5</v>
      </c>
      <c r="F333" s="5">
        <v>164.4</v>
      </c>
      <c r="G333" s="6">
        <v>44624</v>
      </c>
      <c r="H333" s="5"/>
      <c r="I333" s="5"/>
      <c r="J333" s="5">
        <f t="shared" si="42"/>
        <v>14.900000000000006</v>
      </c>
      <c r="K333" s="8" t="b">
        <f t="shared" si="41"/>
        <v>1</v>
      </c>
    </row>
    <row r="334" spans="1:11">
      <c r="A334" s="5" t="s">
        <v>33</v>
      </c>
      <c r="B334" s="6">
        <v>44626</v>
      </c>
      <c r="C334" s="66">
        <v>0.8</v>
      </c>
      <c r="D334" s="5">
        <v>7.25</v>
      </c>
      <c r="E334" s="5">
        <v>164.4</v>
      </c>
      <c r="F334" s="5">
        <v>179.4</v>
      </c>
      <c r="G334" s="6">
        <v>44626</v>
      </c>
      <c r="H334" s="5"/>
      <c r="I334" s="5"/>
      <c r="J334" s="5">
        <f t="shared" si="42"/>
        <v>15</v>
      </c>
      <c r="K334" s="8" t="b">
        <f t="shared" si="41"/>
        <v>1</v>
      </c>
    </row>
    <row r="335" spans="1:11">
      <c r="A335" s="5" t="s">
        <v>33</v>
      </c>
      <c r="B335" s="6">
        <v>44629</v>
      </c>
      <c r="C335" s="66">
        <v>0.8</v>
      </c>
      <c r="D335" s="5">
        <v>7.25</v>
      </c>
      <c r="E335" s="5">
        <v>179.4</v>
      </c>
      <c r="F335" s="5">
        <v>185.4</v>
      </c>
      <c r="G335" s="6">
        <v>44629</v>
      </c>
      <c r="H335" s="5"/>
      <c r="I335" s="5"/>
      <c r="J335" s="5">
        <f t="shared" si="42"/>
        <v>6</v>
      </c>
      <c r="K335" s="8" t="b">
        <f t="shared" si="41"/>
        <v>1</v>
      </c>
    </row>
    <row r="336" spans="1:11">
      <c r="A336" s="5" t="s">
        <v>33</v>
      </c>
      <c r="B336" s="6">
        <v>44638</v>
      </c>
      <c r="C336" s="66">
        <v>0.7</v>
      </c>
      <c r="D336" s="5">
        <v>8.2899999999999991</v>
      </c>
      <c r="E336" s="5">
        <v>222.3</v>
      </c>
      <c r="F336" s="5">
        <v>240.1</v>
      </c>
      <c r="G336" s="6">
        <v>44638</v>
      </c>
      <c r="H336" s="5"/>
      <c r="I336" s="5"/>
      <c r="J336" s="5">
        <f t="shared" si="42"/>
        <v>17.799999999999983</v>
      </c>
      <c r="K336" s="8" t="b">
        <f t="shared" si="41"/>
        <v>0</v>
      </c>
    </row>
    <row r="337" spans="1:11">
      <c r="A337" s="5" t="s">
        <v>33</v>
      </c>
      <c r="B337" s="6">
        <v>44642</v>
      </c>
      <c r="C337" s="66">
        <v>0.7</v>
      </c>
      <c r="D337" s="5">
        <v>8.2899999999999991</v>
      </c>
      <c r="E337" s="5">
        <v>240.1</v>
      </c>
      <c r="F337" s="5">
        <v>257.2</v>
      </c>
      <c r="G337" s="6">
        <v>44642</v>
      </c>
      <c r="H337" s="5"/>
      <c r="I337" s="5"/>
      <c r="J337" s="5">
        <f t="shared" si="42"/>
        <v>17.099999999999994</v>
      </c>
      <c r="K337" s="8" t="b">
        <f t="shared" si="41"/>
        <v>1</v>
      </c>
    </row>
    <row r="338" spans="1:11">
      <c r="A338" s="5" t="s">
        <v>33</v>
      </c>
      <c r="B338" s="6">
        <v>44645</v>
      </c>
      <c r="C338" s="66">
        <v>0.7</v>
      </c>
      <c r="D338" s="5">
        <v>8.2899999999999991</v>
      </c>
      <c r="E338" s="5">
        <v>257.2</v>
      </c>
      <c r="F338" s="5">
        <v>273.89999999999998</v>
      </c>
      <c r="G338" s="6">
        <v>44645</v>
      </c>
      <c r="H338" s="5"/>
      <c r="I338" s="5"/>
      <c r="J338" s="5">
        <f t="shared" si="42"/>
        <v>16.699999999999989</v>
      </c>
      <c r="K338" s="8" t="b">
        <f t="shared" si="41"/>
        <v>1</v>
      </c>
    </row>
    <row r="339" spans="1:11">
      <c r="A339" s="5" t="s">
        <v>33</v>
      </c>
      <c r="B339" s="6">
        <v>44648</v>
      </c>
      <c r="C339" s="66">
        <v>0.7</v>
      </c>
      <c r="D339" s="5">
        <v>8.2899999999999991</v>
      </c>
      <c r="E339" s="5">
        <v>273.89999999999998</v>
      </c>
      <c r="F339" s="5">
        <v>290.39999999999998</v>
      </c>
      <c r="G339" s="6">
        <v>44648</v>
      </c>
      <c r="H339" s="5"/>
      <c r="I339" s="5"/>
      <c r="J339" s="5">
        <f t="shared" ref="J339:J345" si="43">F339-E339</f>
        <v>16.5</v>
      </c>
      <c r="K339" s="8" t="b">
        <f t="shared" ref="K339:K376" si="44">E339=F338</f>
        <v>1</v>
      </c>
    </row>
    <row r="340" spans="1:11">
      <c r="A340" s="5" t="s">
        <v>33</v>
      </c>
      <c r="B340" s="6">
        <v>44651</v>
      </c>
      <c r="C340" s="66">
        <v>0.7</v>
      </c>
      <c r="D340" s="5">
        <v>8.2899999999999991</v>
      </c>
      <c r="E340" s="5">
        <v>290.39999999999998</v>
      </c>
      <c r="F340" s="5">
        <v>307.2</v>
      </c>
      <c r="G340" s="6">
        <v>44650</v>
      </c>
      <c r="H340" s="5"/>
      <c r="I340" s="5"/>
      <c r="J340" s="5">
        <f t="shared" si="43"/>
        <v>16.800000000000011</v>
      </c>
      <c r="K340" s="8" t="b">
        <f t="shared" si="44"/>
        <v>1</v>
      </c>
    </row>
    <row r="341" spans="1:11">
      <c r="A341" s="39" t="s">
        <v>33</v>
      </c>
      <c r="B341" s="40"/>
      <c r="C341" s="68"/>
      <c r="D341" s="39"/>
      <c r="E341" s="39"/>
      <c r="F341" s="39"/>
      <c r="G341" s="40"/>
      <c r="H341" s="39"/>
      <c r="I341" s="39"/>
      <c r="J341" s="39">
        <f t="shared" si="43"/>
        <v>0</v>
      </c>
      <c r="K341" s="8" t="b">
        <f t="shared" si="44"/>
        <v>0</v>
      </c>
    </row>
    <row r="342" spans="1:11">
      <c r="A342" s="39" t="s">
        <v>33</v>
      </c>
      <c r="B342" s="40"/>
      <c r="C342" s="68"/>
      <c r="D342" s="39"/>
      <c r="E342" s="39"/>
      <c r="F342" s="39"/>
      <c r="G342" s="40"/>
      <c r="H342" s="39"/>
      <c r="I342" s="39"/>
      <c r="J342" s="39">
        <f t="shared" si="43"/>
        <v>0</v>
      </c>
      <c r="K342" s="8" t="b">
        <f t="shared" si="44"/>
        <v>1</v>
      </c>
    </row>
    <row r="343" spans="1:11">
      <c r="A343" s="39" t="s">
        <v>33</v>
      </c>
      <c r="B343" s="40"/>
      <c r="C343" s="68"/>
      <c r="D343" s="39"/>
      <c r="E343" s="39"/>
      <c r="F343" s="39"/>
      <c r="G343" s="40"/>
      <c r="H343" s="39"/>
      <c r="I343" s="39"/>
      <c r="J343" s="39">
        <f t="shared" si="43"/>
        <v>0</v>
      </c>
      <c r="K343" s="8" t="b">
        <f t="shared" si="44"/>
        <v>1</v>
      </c>
    </row>
    <row r="344" spans="1:11">
      <c r="A344" s="39" t="s">
        <v>33</v>
      </c>
      <c r="B344" s="40"/>
      <c r="C344" s="68"/>
      <c r="D344" s="39"/>
      <c r="E344" s="39"/>
      <c r="F344" s="39"/>
      <c r="G344" s="40"/>
      <c r="H344" s="39"/>
      <c r="I344" s="39"/>
      <c r="J344" s="39">
        <f t="shared" si="43"/>
        <v>0</v>
      </c>
      <c r="K344" s="8" t="b">
        <f t="shared" si="44"/>
        <v>1</v>
      </c>
    </row>
    <row r="345" spans="1:11">
      <c r="A345" s="39" t="s">
        <v>33</v>
      </c>
      <c r="B345" s="40"/>
      <c r="C345" s="68"/>
      <c r="D345" s="39"/>
      <c r="E345" s="39"/>
      <c r="F345" s="39"/>
      <c r="G345" s="40"/>
      <c r="H345" s="39"/>
      <c r="I345" s="39"/>
      <c r="J345" s="39">
        <f t="shared" si="43"/>
        <v>0</v>
      </c>
      <c r="K345" s="8" t="b">
        <f t="shared" si="44"/>
        <v>1</v>
      </c>
    </row>
    <row r="346" spans="1:11">
      <c r="A346" s="5" t="s">
        <v>33</v>
      </c>
      <c r="B346" s="6">
        <v>44674</v>
      </c>
      <c r="C346" s="66">
        <v>0.55000000000000004</v>
      </c>
      <c r="D346" s="5">
        <v>10.55</v>
      </c>
      <c r="E346" s="5">
        <v>445.5</v>
      </c>
      <c r="F346" s="5">
        <v>455.5</v>
      </c>
      <c r="G346" s="6">
        <v>44674</v>
      </c>
      <c r="H346" s="5"/>
      <c r="I346" s="5"/>
      <c r="J346" s="5">
        <f t="shared" ref="J346:J374" si="45">F346-E346</f>
        <v>10</v>
      </c>
      <c r="K346" s="8" t="b">
        <f t="shared" si="44"/>
        <v>0</v>
      </c>
    </row>
    <row r="347" spans="1:11">
      <c r="A347" s="5" t="s">
        <v>33</v>
      </c>
      <c r="B347" s="6">
        <v>44675</v>
      </c>
      <c r="C347" s="66">
        <v>0.55000000000000004</v>
      </c>
      <c r="D347" s="5">
        <v>10.55</v>
      </c>
      <c r="E347" s="5">
        <v>455.5</v>
      </c>
      <c r="F347" s="5">
        <v>465.7</v>
      </c>
      <c r="G347" s="6">
        <v>44675</v>
      </c>
      <c r="H347" s="5"/>
      <c r="I347" s="5"/>
      <c r="J347" s="5">
        <f t="shared" si="45"/>
        <v>10.199999999999989</v>
      </c>
      <c r="K347" s="8" t="b">
        <f t="shared" si="44"/>
        <v>1</v>
      </c>
    </row>
    <row r="348" spans="1:11">
      <c r="A348" s="5" t="s">
        <v>33</v>
      </c>
      <c r="B348" s="6">
        <v>44677</v>
      </c>
      <c r="C348" s="66">
        <v>0.55000000000000004</v>
      </c>
      <c r="D348" s="5">
        <v>10.55</v>
      </c>
      <c r="E348" s="5">
        <v>466.7</v>
      </c>
      <c r="F348" s="5">
        <v>476</v>
      </c>
      <c r="G348" s="6">
        <v>44677</v>
      </c>
      <c r="H348" s="5"/>
      <c r="I348" s="5"/>
      <c r="J348" s="5">
        <f t="shared" si="45"/>
        <v>9.3000000000000114</v>
      </c>
      <c r="K348" s="8" t="b">
        <f t="shared" si="44"/>
        <v>0</v>
      </c>
    </row>
    <row r="349" spans="1:11">
      <c r="A349" s="5" t="s">
        <v>33</v>
      </c>
      <c r="B349" s="6">
        <v>44678</v>
      </c>
      <c r="C349" s="66">
        <v>0.55000000000000004</v>
      </c>
      <c r="D349" s="5">
        <v>10.55</v>
      </c>
      <c r="E349" s="5">
        <v>476</v>
      </c>
      <c r="F349" s="5">
        <v>486.3</v>
      </c>
      <c r="G349" s="6">
        <v>44678</v>
      </c>
      <c r="H349" s="5"/>
      <c r="I349" s="5"/>
      <c r="J349" s="5">
        <f t="shared" si="45"/>
        <v>10.300000000000011</v>
      </c>
      <c r="K349" s="8" t="b">
        <f t="shared" si="44"/>
        <v>1</v>
      </c>
    </row>
    <row r="350" spans="1:11">
      <c r="A350" s="5" t="s">
        <v>33</v>
      </c>
      <c r="B350" s="6">
        <v>44680</v>
      </c>
      <c r="C350" s="66">
        <v>0.55000000000000004</v>
      </c>
      <c r="D350" s="5">
        <v>10.55</v>
      </c>
      <c r="E350" s="5">
        <v>486.3</v>
      </c>
      <c r="F350" s="5">
        <v>496.6</v>
      </c>
      <c r="G350" s="6">
        <v>44680</v>
      </c>
      <c r="H350" s="5"/>
      <c r="I350" s="5"/>
      <c r="J350" s="5">
        <f t="shared" si="45"/>
        <v>10.300000000000011</v>
      </c>
      <c r="K350" s="8" t="b">
        <f t="shared" si="44"/>
        <v>1</v>
      </c>
    </row>
    <row r="351" spans="1:11">
      <c r="A351" s="5" t="s">
        <v>33</v>
      </c>
      <c r="B351" s="6">
        <v>44681</v>
      </c>
      <c r="C351" s="66">
        <v>0.55000000000000004</v>
      </c>
      <c r="D351" s="5">
        <v>10.55</v>
      </c>
      <c r="E351" s="5">
        <v>496.6</v>
      </c>
      <c r="F351" s="5">
        <v>506.8</v>
      </c>
      <c r="G351" s="6">
        <v>44681</v>
      </c>
      <c r="H351" s="5"/>
      <c r="I351" s="5"/>
      <c r="J351" s="5">
        <f t="shared" si="45"/>
        <v>10.199999999999989</v>
      </c>
      <c r="K351" s="8" t="b">
        <f t="shared" si="44"/>
        <v>1</v>
      </c>
    </row>
    <row r="352" spans="1:11">
      <c r="A352" s="5" t="s">
        <v>33</v>
      </c>
      <c r="B352" s="6">
        <v>44683</v>
      </c>
      <c r="C352" s="66">
        <v>0.55000000000000004</v>
      </c>
      <c r="D352" s="5">
        <v>10.55</v>
      </c>
      <c r="E352" s="5">
        <v>506.8</v>
      </c>
      <c r="F352" s="5">
        <v>515</v>
      </c>
      <c r="G352" s="6">
        <v>44683</v>
      </c>
      <c r="H352" s="5"/>
      <c r="I352" s="5"/>
      <c r="J352" s="5">
        <f t="shared" si="45"/>
        <v>8.1999999999999886</v>
      </c>
      <c r="K352" s="8" t="b">
        <f t="shared" si="44"/>
        <v>1</v>
      </c>
    </row>
    <row r="353" spans="1:11">
      <c r="A353" s="5" t="s">
        <v>33</v>
      </c>
      <c r="B353" s="6">
        <v>44684</v>
      </c>
      <c r="C353" s="66">
        <v>0.55000000000000004</v>
      </c>
      <c r="D353" s="5">
        <v>10.55</v>
      </c>
      <c r="E353" s="5">
        <v>515</v>
      </c>
      <c r="F353" s="5">
        <v>527.29999999999995</v>
      </c>
      <c r="G353" s="6">
        <v>44684</v>
      </c>
      <c r="H353" s="5"/>
      <c r="I353" s="5"/>
      <c r="J353" s="5">
        <f t="shared" si="45"/>
        <v>12.299999999999955</v>
      </c>
      <c r="K353" s="8" t="b">
        <f t="shared" si="44"/>
        <v>1</v>
      </c>
    </row>
    <row r="354" spans="1:11">
      <c r="A354" s="5" t="s">
        <v>33</v>
      </c>
      <c r="B354" s="6">
        <v>44686</v>
      </c>
      <c r="C354" s="66">
        <v>0.55000000000000004</v>
      </c>
      <c r="D354" s="5">
        <v>10.55</v>
      </c>
      <c r="E354" s="5">
        <v>527.29999999999995</v>
      </c>
      <c r="F354" s="5">
        <v>537.6</v>
      </c>
      <c r="G354" s="6">
        <v>44686</v>
      </c>
      <c r="H354" s="5"/>
      <c r="I354" s="5"/>
      <c r="J354" s="5">
        <f t="shared" si="45"/>
        <v>10.300000000000068</v>
      </c>
      <c r="K354" s="8" t="b">
        <f>E354=F353</f>
        <v>1</v>
      </c>
    </row>
    <row r="355" spans="1:11">
      <c r="A355" s="5" t="s">
        <v>33</v>
      </c>
      <c r="B355" s="6">
        <v>44687</v>
      </c>
      <c r="C355" s="66">
        <v>0.55000000000000004</v>
      </c>
      <c r="D355" s="5">
        <v>10.55</v>
      </c>
      <c r="E355" s="5">
        <v>537.6</v>
      </c>
      <c r="F355" s="5">
        <v>548.20000000000005</v>
      </c>
      <c r="G355" s="6">
        <v>44687</v>
      </c>
      <c r="H355" s="5"/>
      <c r="I355" s="5"/>
      <c r="J355" s="5">
        <f t="shared" si="45"/>
        <v>10.600000000000023</v>
      </c>
      <c r="K355" s="8" t="b">
        <f t="shared" si="44"/>
        <v>1</v>
      </c>
    </row>
    <row r="356" spans="1:11">
      <c r="A356" s="5" t="s">
        <v>33</v>
      </c>
      <c r="B356" s="6">
        <v>44690</v>
      </c>
      <c r="C356" s="66">
        <v>0.55000000000000004</v>
      </c>
      <c r="D356" s="5">
        <v>10.55</v>
      </c>
      <c r="E356" s="5">
        <v>548.20000000000005</v>
      </c>
      <c r="F356" s="5">
        <v>558.1</v>
      </c>
      <c r="G356" s="6">
        <v>44690</v>
      </c>
      <c r="H356" s="5"/>
      <c r="I356" s="5"/>
      <c r="J356" s="5">
        <f t="shared" si="45"/>
        <v>9.8999999999999773</v>
      </c>
      <c r="K356" s="8" t="b">
        <f t="shared" si="44"/>
        <v>1</v>
      </c>
    </row>
    <row r="357" spans="1:11">
      <c r="A357" s="5" t="s">
        <v>33</v>
      </c>
      <c r="B357" s="6">
        <v>44691</v>
      </c>
      <c r="C357" s="66">
        <v>0.55000000000000004</v>
      </c>
      <c r="D357" s="5">
        <v>10.55</v>
      </c>
      <c r="E357" s="5">
        <v>558.1</v>
      </c>
      <c r="F357" s="5">
        <v>568.70000000000005</v>
      </c>
      <c r="G357" s="6">
        <v>44691</v>
      </c>
      <c r="H357" s="5"/>
      <c r="I357" s="5"/>
      <c r="J357" s="5">
        <f t="shared" si="45"/>
        <v>10.600000000000023</v>
      </c>
      <c r="K357" s="8" t="b">
        <f t="shared" si="44"/>
        <v>1</v>
      </c>
    </row>
    <row r="358" spans="1:11">
      <c r="A358" s="5" t="s">
        <v>33</v>
      </c>
      <c r="B358" s="6">
        <v>44693</v>
      </c>
      <c r="C358" s="66">
        <v>0.5</v>
      </c>
      <c r="D358" s="5">
        <v>11.6</v>
      </c>
      <c r="E358" s="5">
        <v>568.70000000000005</v>
      </c>
      <c r="F358" s="5">
        <v>578.9</v>
      </c>
      <c r="G358" s="6">
        <v>44693</v>
      </c>
      <c r="H358" s="5"/>
      <c r="I358" s="5"/>
      <c r="J358" s="5">
        <f t="shared" si="45"/>
        <v>10.199999999999932</v>
      </c>
      <c r="K358" s="8" t="b">
        <f t="shared" si="44"/>
        <v>1</v>
      </c>
    </row>
    <row r="359" spans="1:11">
      <c r="A359" s="5" t="s">
        <v>33</v>
      </c>
      <c r="B359" s="6">
        <v>44694</v>
      </c>
      <c r="C359" s="66">
        <v>0.5</v>
      </c>
      <c r="D359" s="5">
        <v>11.6</v>
      </c>
      <c r="E359" s="5">
        <v>578.9</v>
      </c>
      <c r="F359" s="5">
        <v>591.29999999999995</v>
      </c>
      <c r="G359" s="6">
        <v>44694</v>
      </c>
      <c r="H359" s="5"/>
      <c r="I359" s="5"/>
      <c r="J359" s="5">
        <f t="shared" si="45"/>
        <v>12.399999999999977</v>
      </c>
      <c r="K359" s="8" t="b">
        <f t="shared" si="44"/>
        <v>1</v>
      </c>
    </row>
    <row r="360" spans="1:11">
      <c r="A360" s="5" t="s">
        <v>33</v>
      </c>
      <c r="B360" s="6">
        <v>44696</v>
      </c>
      <c r="C360" s="66">
        <v>0.7</v>
      </c>
      <c r="D360" s="5">
        <v>8.2899999999999991</v>
      </c>
      <c r="E360" s="5">
        <v>591.29999999999995</v>
      </c>
      <c r="F360" s="5">
        <v>607.4</v>
      </c>
      <c r="G360" s="6">
        <v>44696</v>
      </c>
      <c r="H360" s="47"/>
      <c r="I360" s="5"/>
      <c r="J360" s="5">
        <f t="shared" si="45"/>
        <v>16.100000000000023</v>
      </c>
      <c r="K360" s="8" t="b">
        <f t="shared" si="44"/>
        <v>1</v>
      </c>
    </row>
    <row r="361" spans="1:11">
      <c r="A361" s="5" t="s">
        <v>33</v>
      </c>
      <c r="B361" s="6">
        <v>44698</v>
      </c>
      <c r="C361" s="66">
        <v>0.7</v>
      </c>
      <c r="D361" s="5">
        <v>8.2899999999999991</v>
      </c>
      <c r="E361" s="5">
        <v>607.4</v>
      </c>
      <c r="F361" s="5">
        <v>623.29999999999995</v>
      </c>
      <c r="G361" s="6">
        <v>44698</v>
      </c>
      <c r="H361" s="5"/>
      <c r="I361" s="5"/>
      <c r="J361" s="5">
        <f t="shared" si="45"/>
        <v>15.899999999999977</v>
      </c>
      <c r="K361" s="8" t="b">
        <f t="shared" si="44"/>
        <v>1</v>
      </c>
    </row>
    <row r="362" spans="1:11">
      <c r="A362" s="5" t="s">
        <v>33</v>
      </c>
      <c r="B362" s="6">
        <v>44700</v>
      </c>
      <c r="C362" s="66">
        <v>0.7</v>
      </c>
      <c r="D362" s="5">
        <v>8.2899999999999991</v>
      </c>
      <c r="E362" s="5">
        <v>623.29999999999995</v>
      </c>
      <c r="F362" s="5">
        <v>639.79999999999995</v>
      </c>
      <c r="G362" s="6">
        <v>44700</v>
      </c>
      <c r="H362" s="5"/>
      <c r="I362" s="5"/>
      <c r="J362" s="5">
        <f t="shared" si="45"/>
        <v>16.5</v>
      </c>
      <c r="K362" s="8" t="b">
        <f t="shared" si="44"/>
        <v>1</v>
      </c>
    </row>
    <row r="363" spans="1:11">
      <c r="A363" s="5" t="s">
        <v>33</v>
      </c>
      <c r="B363" s="6">
        <v>44704</v>
      </c>
      <c r="C363" s="66">
        <v>0.7</v>
      </c>
      <c r="D363" s="5">
        <v>8.2899999999999991</v>
      </c>
      <c r="E363" s="5">
        <v>639.79999999999995</v>
      </c>
      <c r="F363" s="5">
        <v>656</v>
      </c>
      <c r="G363" s="6">
        <v>44704</v>
      </c>
      <c r="H363" s="5"/>
      <c r="I363" s="5"/>
      <c r="J363" s="5">
        <f t="shared" si="45"/>
        <v>16.200000000000045</v>
      </c>
      <c r="K363" s="8" t="b">
        <f t="shared" si="44"/>
        <v>1</v>
      </c>
    </row>
    <row r="364" spans="1:11">
      <c r="A364" s="5" t="s">
        <v>33</v>
      </c>
      <c r="B364" s="6">
        <v>44705</v>
      </c>
      <c r="C364" s="66">
        <v>0.7</v>
      </c>
      <c r="D364" s="5">
        <v>8.2899999999999991</v>
      </c>
      <c r="E364" s="5">
        <v>656</v>
      </c>
      <c r="F364" s="5">
        <v>672.2</v>
      </c>
      <c r="G364" s="6">
        <v>44705</v>
      </c>
      <c r="H364" s="5"/>
      <c r="I364" s="5"/>
      <c r="J364" s="5">
        <f t="shared" si="45"/>
        <v>16.200000000000045</v>
      </c>
      <c r="K364" s="8" t="b">
        <f t="shared" si="44"/>
        <v>1</v>
      </c>
    </row>
    <row r="365" spans="1:11">
      <c r="A365" s="5" t="s">
        <v>33</v>
      </c>
      <c r="B365" s="6">
        <v>44707</v>
      </c>
      <c r="C365" s="66">
        <v>0.7</v>
      </c>
      <c r="D365" s="5">
        <v>8.2899999999999991</v>
      </c>
      <c r="E365" s="5">
        <v>672.2</v>
      </c>
      <c r="F365" s="5">
        <v>688.4</v>
      </c>
      <c r="G365" s="6">
        <v>44707</v>
      </c>
      <c r="H365" s="5"/>
      <c r="I365" s="5"/>
      <c r="J365" s="5">
        <f t="shared" si="45"/>
        <v>16.199999999999932</v>
      </c>
      <c r="K365" s="8" t="b">
        <f t="shared" si="44"/>
        <v>1</v>
      </c>
    </row>
    <row r="366" spans="1:11">
      <c r="A366" s="5" t="s">
        <v>33</v>
      </c>
      <c r="B366" s="6">
        <v>44709</v>
      </c>
      <c r="C366" s="66">
        <v>0.7</v>
      </c>
      <c r="D366" s="5">
        <v>8.2899999999999991</v>
      </c>
      <c r="E366" s="5">
        <v>688.4</v>
      </c>
      <c r="F366" s="5">
        <v>704.6</v>
      </c>
      <c r="G366" s="6">
        <v>44709</v>
      </c>
      <c r="H366" s="5"/>
      <c r="I366" s="5"/>
      <c r="J366" s="5">
        <f t="shared" si="45"/>
        <v>16.200000000000045</v>
      </c>
      <c r="K366" s="8" t="b">
        <f t="shared" si="44"/>
        <v>1</v>
      </c>
    </row>
    <row r="367" spans="1:11">
      <c r="A367" s="5" t="s">
        <v>33</v>
      </c>
      <c r="B367" s="6">
        <v>44712</v>
      </c>
      <c r="C367" s="66">
        <v>0.6</v>
      </c>
      <c r="D367" s="5">
        <v>9.67</v>
      </c>
      <c r="E367" s="5">
        <v>704.6</v>
      </c>
      <c r="F367" s="5">
        <v>723.4</v>
      </c>
      <c r="G367" s="6">
        <v>44712</v>
      </c>
      <c r="H367" s="5"/>
      <c r="I367" s="5"/>
      <c r="J367" s="5">
        <f>F367-E367</f>
        <v>18.799999999999955</v>
      </c>
      <c r="K367" s="8" t="b">
        <f t="shared" si="44"/>
        <v>1</v>
      </c>
    </row>
    <row r="368" spans="1:11">
      <c r="A368" s="5" t="s">
        <v>33</v>
      </c>
      <c r="B368" s="6">
        <v>44714</v>
      </c>
      <c r="C368" s="66">
        <v>0.6</v>
      </c>
      <c r="D368" s="5">
        <v>9.67</v>
      </c>
      <c r="E368" s="5">
        <v>723.4</v>
      </c>
      <c r="F368" s="5">
        <v>742.1</v>
      </c>
      <c r="G368" s="6">
        <v>44714</v>
      </c>
      <c r="H368" s="5"/>
      <c r="I368" s="5"/>
      <c r="J368" s="5">
        <f t="shared" si="45"/>
        <v>18.700000000000045</v>
      </c>
      <c r="K368" s="8" t="b">
        <f t="shared" si="44"/>
        <v>1</v>
      </c>
    </row>
    <row r="369" spans="1:11">
      <c r="A369" s="5" t="s">
        <v>33</v>
      </c>
      <c r="B369" s="6">
        <v>44716</v>
      </c>
      <c r="C369" s="66">
        <v>0.7</v>
      </c>
      <c r="D369" s="5">
        <v>8.2899999999999991</v>
      </c>
      <c r="E369" s="5">
        <v>742.1</v>
      </c>
      <c r="F369" s="5">
        <v>758.2</v>
      </c>
      <c r="G369" s="6">
        <v>44716</v>
      </c>
      <c r="H369" s="5"/>
      <c r="I369" s="5"/>
      <c r="J369" s="5">
        <f t="shared" si="45"/>
        <v>16.100000000000023</v>
      </c>
      <c r="K369" s="8" t="b">
        <f t="shared" si="44"/>
        <v>1</v>
      </c>
    </row>
    <row r="370" spans="1:11">
      <c r="A370" s="5" t="s">
        <v>33</v>
      </c>
      <c r="B370" s="6">
        <v>44718</v>
      </c>
      <c r="C370" s="66">
        <v>0.7</v>
      </c>
      <c r="D370" s="5">
        <v>8.2899999999999991</v>
      </c>
      <c r="E370" s="5">
        <v>758.2</v>
      </c>
      <c r="F370" s="5">
        <v>774.4</v>
      </c>
      <c r="G370" s="6">
        <v>44718</v>
      </c>
      <c r="H370" s="5"/>
      <c r="I370" s="5"/>
      <c r="J370" s="5">
        <f t="shared" si="45"/>
        <v>16.199999999999932</v>
      </c>
      <c r="K370" s="8" t="b">
        <f t="shared" si="44"/>
        <v>1</v>
      </c>
    </row>
    <row r="371" spans="1:11">
      <c r="A371" s="5" t="s">
        <v>33</v>
      </c>
      <c r="B371" s="6">
        <v>44720</v>
      </c>
      <c r="C371" s="66">
        <v>0.6</v>
      </c>
      <c r="D371" s="5">
        <v>9.67</v>
      </c>
      <c r="E371" s="5">
        <v>774.4</v>
      </c>
      <c r="F371" s="5">
        <v>793.4</v>
      </c>
      <c r="G371" s="6">
        <v>44720</v>
      </c>
      <c r="H371" s="5"/>
      <c r="I371" s="5"/>
      <c r="J371" s="5">
        <f t="shared" si="45"/>
        <v>19</v>
      </c>
      <c r="K371" s="8" t="b">
        <f t="shared" si="44"/>
        <v>1</v>
      </c>
    </row>
    <row r="372" spans="1:11">
      <c r="A372" s="5" t="s">
        <v>33</v>
      </c>
      <c r="B372" s="6">
        <v>44723</v>
      </c>
      <c r="C372" s="66">
        <v>0.6</v>
      </c>
      <c r="D372" s="5">
        <v>9.67</v>
      </c>
      <c r="E372" s="5">
        <v>793.4</v>
      </c>
      <c r="F372" s="5">
        <v>812.1</v>
      </c>
      <c r="G372" s="6">
        <v>44723</v>
      </c>
      <c r="H372" s="5"/>
      <c r="I372" s="5"/>
      <c r="J372" s="5">
        <f t="shared" si="45"/>
        <v>18.700000000000045</v>
      </c>
      <c r="K372" s="8" t="b">
        <f t="shared" si="44"/>
        <v>1</v>
      </c>
    </row>
    <row r="373" spans="1:11">
      <c r="A373" s="5" t="s">
        <v>33</v>
      </c>
      <c r="B373" s="6">
        <v>44724</v>
      </c>
      <c r="C373" s="66">
        <v>0.6</v>
      </c>
      <c r="D373" s="5">
        <v>9.67</v>
      </c>
      <c r="E373" s="5">
        <v>812.1</v>
      </c>
      <c r="F373" s="5">
        <v>830.7</v>
      </c>
      <c r="G373" s="6">
        <v>44724</v>
      </c>
      <c r="H373" s="5"/>
      <c r="I373" s="5"/>
      <c r="J373" s="5">
        <f>F373-E373</f>
        <v>18.600000000000023</v>
      </c>
      <c r="K373" s="8" t="b">
        <f t="shared" si="44"/>
        <v>1</v>
      </c>
    </row>
    <row r="374" spans="1:11">
      <c r="A374" s="8" t="s">
        <v>33</v>
      </c>
      <c r="B374" s="17">
        <v>44735</v>
      </c>
      <c r="C374" s="20">
        <v>0.6</v>
      </c>
      <c r="D374" s="8">
        <v>9.67</v>
      </c>
      <c r="E374" s="5">
        <v>830.7</v>
      </c>
      <c r="F374" s="8">
        <v>849.6</v>
      </c>
      <c r="G374" s="17">
        <v>44735</v>
      </c>
      <c r="H374" s="8"/>
      <c r="I374" s="8"/>
      <c r="J374" s="8">
        <f t="shared" si="45"/>
        <v>18.899999999999977</v>
      </c>
      <c r="K374" s="8" t="b">
        <f t="shared" si="44"/>
        <v>1</v>
      </c>
    </row>
    <row r="375" spans="1:11">
      <c r="A375" s="8" t="s">
        <v>33</v>
      </c>
      <c r="B375" s="17"/>
      <c r="C375" s="20"/>
      <c r="D375" s="8"/>
      <c r="E375" s="5"/>
      <c r="F375" s="8"/>
      <c r="G375" s="17"/>
      <c r="H375" s="8"/>
      <c r="I375" s="8"/>
      <c r="J375" s="8"/>
      <c r="K375" s="8" t="b">
        <f t="shared" si="44"/>
        <v>0</v>
      </c>
    </row>
    <row r="376" spans="1:11">
      <c r="A376" s="8" t="s">
        <v>33</v>
      </c>
      <c r="B376" s="17"/>
      <c r="C376" s="20"/>
      <c r="D376" s="8"/>
      <c r="E376" s="5"/>
      <c r="F376" s="8"/>
      <c r="G376" s="17"/>
      <c r="H376" s="8"/>
      <c r="I376" s="8"/>
      <c r="J376" s="8"/>
      <c r="K376" s="8" t="b">
        <f t="shared" si="44"/>
        <v>1</v>
      </c>
    </row>
    <row r="378" spans="1:11" ht="26.25">
      <c r="A378" s="129" t="s">
        <v>20</v>
      </c>
      <c r="B378" s="164"/>
      <c r="C378" s="164"/>
      <c r="D378" s="164"/>
      <c r="E378" s="164"/>
      <c r="F378" s="164"/>
      <c r="G378" s="164"/>
      <c r="H378" s="164"/>
      <c r="I378" s="164"/>
      <c r="J378" s="164"/>
      <c r="K378" s="165"/>
    </row>
    <row r="379" spans="1:11" ht="26.25">
      <c r="A379" s="129" t="s">
        <v>15</v>
      </c>
      <c r="B379" s="164"/>
      <c r="C379" s="164"/>
      <c r="D379" s="164"/>
      <c r="E379" s="164"/>
      <c r="F379" s="164"/>
      <c r="G379" s="164"/>
      <c r="H379" s="164"/>
      <c r="I379" s="164"/>
      <c r="J379" s="164"/>
      <c r="K379" s="165"/>
    </row>
    <row r="380" spans="1:11" ht="15.75" thickBot="1"/>
    <row r="381" spans="1:11" ht="15.75" thickBot="1">
      <c r="A381" s="132" t="s">
        <v>2</v>
      </c>
      <c r="B381" s="133"/>
      <c r="C381" s="133"/>
      <c r="D381" s="133"/>
      <c r="E381" s="133"/>
      <c r="F381" s="133"/>
      <c r="G381" s="133"/>
      <c r="H381" s="133"/>
      <c r="I381" s="133"/>
      <c r="J381" s="133"/>
      <c r="K381" s="134"/>
    </row>
    <row r="383" spans="1:11" ht="19.5" thickBot="1">
      <c r="A383" s="1" t="s">
        <v>3</v>
      </c>
      <c r="B383" s="61"/>
      <c r="C383" s="64"/>
      <c r="D383" s="54"/>
      <c r="E383" s="1"/>
      <c r="F383" s="1"/>
      <c r="G383" s="61"/>
      <c r="H383" s="1"/>
      <c r="I383" s="1"/>
    </row>
    <row r="384" spans="1:11" ht="30.75" thickBot="1">
      <c r="A384" s="2" t="s">
        <v>4</v>
      </c>
      <c r="B384" s="62" t="s">
        <v>5</v>
      </c>
      <c r="C384" s="65" t="s">
        <v>6</v>
      </c>
      <c r="D384" s="3" t="s">
        <v>7</v>
      </c>
      <c r="E384" s="3" t="s">
        <v>8</v>
      </c>
      <c r="F384" s="3" t="s">
        <v>9</v>
      </c>
      <c r="G384" s="62" t="s">
        <v>10</v>
      </c>
      <c r="H384" s="3" t="s">
        <v>21</v>
      </c>
      <c r="I384" s="4" t="s">
        <v>22</v>
      </c>
      <c r="J384" s="4" t="s">
        <v>11</v>
      </c>
      <c r="K384" s="4" t="s">
        <v>12</v>
      </c>
    </row>
    <row r="385" spans="1:11">
      <c r="A385" s="5" t="s">
        <v>40</v>
      </c>
      <c r="B385" s="6">
        <v>44803</v>
      </c>
      <c r="C385" s="66">
        <v>0.5</v>
      </c>
      <c r="D385" s="5">
        <v>11.6</v>
      </c>
      <c r="E385" s="5">
        <v>848.5</v>
      </c>
      <c r="F385" s="5">
        <v>872.3</v>
      </c>
      <c r="G385" s="6">
        <v>44803</v>
      </c>
      <c r="H385" s="5"/>
      <c r="I385" s="5"/>
      <c r="J385" s="5">
        <f t="shared" ref="J385:J392" si="46">F385-E385</f>
        <v>23.799999999999955</v>
      </c>
      <c r="K385" s="8" t="b">
        <f>E385=F374</f>
        <v>0</v>
      </c>
    </row>
    <row r="386" spans="1:11">
      <c r="A386" s="5" t="s">
        <v>40</v>
      </c>
      <c r="B386" s="6">
        <v>44829</v>
      </c>
      <c r="C386" s="66">
        <v>0.5</v>
      </c>
      <c r="D386" s="5">
        <v>11.6</v>
      </c>
      <c r="E386" s="5">
        <v>872.3</v>
      </c>
      <c r="F386" s="5">
        <v>895</v>
      </c>
      <c r="G386" s="6">
        <v>44829</v>
      </c>
      <c r="H386" s="5"/>
      <c r="I386" s="5"/>
      <c r="J386" s="5">
        <f t="shared" si="46"/>
        <v>22.700000000000045</v>
      </c>
      <c r="K386" s="8" t="b">
        <f t="shared" ref="K386:K391" si="47">E386=F385</f>
        <v>1</v>
      </c>
    </row>
    <row r="387" spans="1:11">
      <c r="A387" s="5" t="s">
        <v>40</v>
      </c>
      <c r="B387" s="6">
        <v>44831</v>
      </c>
      <c r="C387" s="66">
        <v>0.5</v>
      </c>
      <c r="D387" s="5">
        <v>11.6</v>
      </c>
      <c r="E387" s="5">
        <v>895</v>
      </c>
      <c r="F387" s="5">
        <v>917.7</v>
      </c>
      <c r="G387" s="6">
        <v>44831</v>
      </c>
      <c r="H387" s="5"/>
      <c r="I387" s="5"/>
      <c r="J387" s="5">
        <f t="shared" si="46"/>
        <v>22.700000000000045</v>
      </c>
      <c r="K387" s="8" t="b">
        <f t="shared" si="47"/>
        <v>1</v>
      </c>
    </row>
    <row r="388" spans="1:11">
      <c r="A388" s="5" t="s">
        <v>40</v>
      </c>
      <c r="B388" s="6">
        <v>44832</v>
      </c>
      <c r="C388" s="66">
        <v>0.5</v>
      </c>
      <c r="D388" s="5">
        <v>11.6</v>
      </c>
      <c r="E388" s="5">
        <v>917.7</v>
      </c>
      <c r="F388" s="5">
        <v>941.6</v>
      </c>
      <c r="G388" s="6">
        <v>44832</v>
      </c>
      <c r="H388" s="5"/>
      <c r="I388" s="5"/>
      <c r="J388" s="5">
        <f t="shared" si="46"/>
        <v>23.899999999999977</v>
      </c>
      <c r="K388" s="8" t="b">
        <f t="shared" si="47"/>
        <v>1</v>
      </c>
    </row>
    <row r="389" spans="1:11">
      <c r="A389" s="5" t="s">
        <v>40</v>
      </c>
      <c r="B389" s="6">
        <v>44833</v>
      </c>
      <c r="C389" s="66">
        <v>0.4</v>
      </c>
      <c r="D389" s="5">
        <v>14.5</v>
      </c>
      <c r="E389" s="5">
        <v>941.6</v>
      </c>
      <c r="F389" s="5">
        <v>971.2</v>
      </c>
      <c r="G389" s="6">
        <v>44833</v>
      </c>
      <c r="H389" s="5"/>
      <c r="I389" s="5"/>
      <c r="J389" s="5">
        <f t="shared" si="46"/>
        <v>29.600000000000023</v>
      </c>
      <c r="K389" s="8" t="b">
        <f t="shared" si="47"/>
        <v>1</v>
      </c>
    </row>
    <row r="390" spans="1:11">
      <c r="A390" s="5" t="s">
        <v>40</v>
      </c>
      <c r="B390" s="6">
        <v>44837</v>
      </c>
      <c r="C390" s="66">
        <v>0.5</v>
      </c>
      <c r="D390" s="5">
        <v>11.6</v>
      </c>
      <c r="E390" s="5">
        <v>971.2</v>
      </c>
      <c r="F390" s="5">
        <v>981.2</v>
      </c>
      <c r="G390" s="6">
        <v>44837</v>
      </c>
      <c r="H390" s="5"/>
      <c r="I390" s="5"/>
      <c r="J390" s="5">
        <f t="shared" si="46"/>
        <v>10</v>
      </c>
      <c r="K390" s="8" t="b">
        <f t="shared" si="47"/>
        <v>1</v>
      </c>
    </row>
    <row r="391" spans="1:11">
      <c r="A391" s="55" t="s">
        <v>40</v>
      </c>
      <c r="B391" s="17"/>
      <c r="C391" s="20"/>
      <c r="D391" s="8"/>
      <c r="E391" s="5"/>
      <c r="F391" s="8"/>
      <c r="G391" s="17"/>
      <c r="H391" s="8"/>
      <c r="I391" s="8"/>
      <c r="J391" s="5">
        <f t="shared" si="46"/>
        <v>0</v>
      </c>
      <c r="K391" s="8" t="b">
        <f t="shared" si="47"/>
        <v>0</v>
      </c>
    </row>
    <row r="392" spans="1:11">
      <c r="A392" s="55" t="s">
        <v>40</v>
      </c>
      <c r="B392" s="17"/>
      <c r="C392" s="20"/>
      <c r="D392" s="8"/>
      <c r="E392" s="5"/>
      <c r="F392" s="5"/>
      <c r="G392" s="17"/>
      <c r="H392" s="8"/>
      <c r="I392" s="8"/>
      <c r="J392" s="5">
        <f t="shared" si="46"/>
        <v>0</v>
      </c>
      <c r="K392" s="8" t="b">
        <f t="shared" ref="K392" si="48">E392=F391</f>
        <v>1</v>
      </c>
    </row>
    <row r="395" spans="1:11" ht="26.25">
      <c r="A395" s="161" t="s">
        <v>20</v>
      </c>
      <c r="B395" s="162"/>
      <c r="C395" s="162"/>
      <c r="D395" s="162"/>
      <c r="E395" s="162"/>
      <c r="F395" s="162"/>
      <c r="G395" s="162"/>
      <c r="H395" s="162"/>
      <c r="I395" s="162"/>
      <c r="J395" s="162"/>
      <c r="K395" s="163"/>
    </row>
    <row r="396" spans="1:11" ht="26.25">
      <c r="A396" s="161" t="s">
        <v>41</v>
      </c>
      <c r="B396" s="162"/>
      <c r="C396" s="162"/>
      <c r="D396" s="162"/>
      <c r="E396" s="162"/>
      <c r="F396" s="162"/>
      <c r="G396" s="162"/>
      <c r="H396" s="162"/>
      <c r="I396" s="162"/>
      <c r="J396" s="162"/>
      <c r="K396" s="163"/>
    </row>
    <row r="397" spans="1:11" ht="15.75" thickBot="1"/>
    <row r="398" spans="1:11" ht="15.75" thickBot="1">
      <c r="A398" s="132" t="s">
        <v>2</v>
      </c>
      <c r="B398" s="133"/>
      <c r="C398" s="133"/>
      <c r="D398" s="133"/>
      <c r="E398" s="133"/>
      <c r="F398" s="133"/>
      <c r="G398" s="133"/>
      <c r="H398" s="133"/>
      <c r="I398" s="133"/>
      <c r="J398" s="133"/>
      <c r="K398" s="134"/>
    </row>
    <row r="400" spans="1:11" ht="19.5" thickBot="1">
      <c r="A400" s="1" t="s">
        <v>3</v>
      </c>
      <c r="B400" s="61"/>
      <c r="C400" s="64"/>
      <c r="D400" s="54"/>
      <c r="E400" s="1"/>
      <c r="F400" s="1"/>
      <c r="G400" s="61"/>
      <c r="H400" s="1"/>
      <c r="I400" s="1"/>
    </row>
    <row r="401" spans="1:11" ht="30.75" thickBot="1">
      <c r="A401" s="2" t="s">
        <v>4</v>
      </c>
      <c r="B401" s="62" t="s">
        <v>5</v>
      </c>
      <c r="C401" s="65" t="s">
        <v>6</v>
      </c>
      <c r="D401" s="3" t="s">
        <v>7</v>
      </c>
      <c r="E401" s="3" t="s">
        <v>8</v>
      </c>
      <c r="F401" s="3" t="s">
        <v>9</v>
      </c>
      <c r="G401" s="62" t="s">
        <v>10</v>
      </c>
      <c r="H401" s="3" t="s">
        <v>21</v>
      </c>
      <c r="I401" s="4" t="s">
        <v>22</v>
      </c>
      <c r="J401" s="4" t="s">
        <v>11</v>
      </c>
      <c r="K401" s="4" t="s">
        <v>12</v>
      </c>
    </row>
    <row r="402" spans="1:11">
      <c r="A402" s="5" t="s">
        <v>40</v>
      </c>
      <c r="B402" s="6">
        <v>44837</v>
      </c>
      <c r="C402" s="66">
        <v>0.5</v>
      </c>
      <c r="D402" s="5">
        <v>11.6</v>
      </c>
      <c r="E402" s="5">
        <v>971.2</v>
      </c>
      <c r="F402" s="5">
        <v>981.2</v>
      </c>
      <c r="G402" s="6">
        <v>44837</v>
      </c>
      <c r="H402" s="5"/>
      <c r="I402" s="5"/>
      <c r="J402" s="5">
        <f t="shared" ref="J402:J422" si="49">F402-E402</f>
        <v>10</v>
      </c>
      <c r="K402" s="8" t="b">
        <f>E402=F391</f>
        <v>0</v>
      </c>
    </row>
    <row r="403" spans="1:11">
      <c r="A403" s="5" t="s">
        <v>40</v>
      </c>
      <c r="B403" s="6">
        <v>44929</v>
      </c>
      <c r="C403" s="66">
        <v>0.8</v>
      </c>
      <c r="D403" s="5">
        <v>7.25</v>
      </c>
      <c r="E403" s="5">
        <v>981.2</v>
      </c>
      <c r="F403" s="5">
        <v>997.1</v>
      </c>
      <c r="G403" s="6">
        <v>44929</v>
      </c>
      <c r="H403" s="5"/>
      <c r="I403" s="5"/>
      <c r="J403" s="5">
        <f t="shared" si="49"/>
        <v>15.899999999999977</v>
      </c>
      <c r="K403" s="8" t="b">
        <f>E403=F402</f>
        <v>1</v>
      </c>
    </row>
    <row r="404" spans="1:11">
      <c r="A404" s="5" t="s">
        <v>40</v>
      </c>
      <c r="B404" s="6">
        <v>44930</v>
      </c>
      <c r="C404" s="66">
        <v>1</v>
      </c>
      <c r="D404" s="5">
        <v>5.8</v>
      </c>
      <c r="E404" s="5">
        <v>997.1</v>
      </c>
      <c r="F404" s="5">
        <v>1009.2</v>
      </c>
      <c r="G404" s="6">
        <v>44930</v>
      </c>
      <c r="H404" s="5"/>
      <c r="I404" s="5"/>
      <c r="J404" s="5">
        <f t="shared" si="49"/>
        <v>12.100000000000023</v>
      </c>
      <c r="K404" s="8" t="b">
        <f t="shared" ref="K404:K467" si="50">E404=F403</f>
        <v>1</v>
      </c>
    </row>
    <row r="405" spans="1:11">
      <c r="A405" s="5" t="s">
        <v>35</v>
      </c>
      <c r="B405" s="6">
        <v>44933</v>
      </c>
      <c r="C405" s="66">
        <v>1</v>
      </c>
      <c r="D405" s="5">
        <v>5.8</v>
      </c>
      <c r="E405" s="5">
        <v>1009.2</v>
      </c>
      <c r="F405" s="5">
        <v>1013.2</v>
      </c>
      <c r="G405" s="6">
        <v>44933</v>
      </c>
      <c r="H405" s="5"/>
      <c r="I405" s="5"/>
      <c r="J405" s="5">
        <f t="shared" si="49"/>
        <v>4</v>
      </c>
      <c r="K405" s="8" t="b">
        <f t="shared" si="50"/>
        <v>1</v>
      </c>
    </row>
    <row r="406" spans="1:11">
      <c r="A406" s="55" t="s">
        <v>40</v>
      </c>
      <c r="B406" s="56">
        <v>44937</v>
      </c>
      <c r="C406" s="69">
        <v>1</v>
      </c>
      <c r="D406" s="55">
        <v>5.8</v>
      </c>
      <c r="E406" s="55">
        <v>1013.2</v>
      </c>
      <c r="F406" s="55">
        <v>1025.3</v>
      </c>
      <c r="G406" s="12">
        <v>44938</v>
      </c>
      <c r="H406" s="5"/>
      <c r="J406" s="5">
        <f t="shared" si="49"/>
        <v>12.099999999999909</v>
      </c>
      <c r="K406" s="8" t="b">
        <f t="shared" si="50"/>
        <v>1</v>
      </c>
    </row>
    <row r="407" spans="1:11">
      <c r="A407" s="55" t="s">
        <v>40</v>
      </c>
      <c r="B407" s="17">
        <v>44938</v>
      </c>
      <c r="C407" s="20">
        <v>1</v>
      </c>
      <c r="D407" s="8">
        <v>5.8</v>
      </c>
      <c r="E407" s="5">
        <v>1025.3</v>
      </c>
      <c r="F407" s="8">
        <v>1035</v>
      </c>
      <c r="G407" s="17">
        <v>44938</v>
      </c>
      <c r="H407" s="5"/>
      <c r="I407" s="8"/>
      <c r="J407" s="5">
        <f t="shared" si="49"/>
        <v>9.7000000000000455</v>
      </c>
      <c r="K407" s="8" t="b">
        <f t="shared" si="50"/>
        <v>1</v>
      </c>
    </row>
    <row r="408" spans="1:11">
      <c r="A408" s="57" t="s">
        <v>40</v>
      </c>
      <c r="B408" s="58">
        <v>44939</v>
      </c>
      <c r="C408" s="70">
        <v>1</v>
      </c>
      <c r="D408" s="28">
        <v>5.8</v>
      </c>
      <c r="E408" s="25">
        <v>1035</v>
      </c>
      <c r="F408" s="28">
        <v>1047.0999999999999</v>
      </c>
      <c r="G408" s="58">
        <v>44939</v>
      </c>
      <c r="H408" s="25"/>
      <c r="I408" s="28"/>
      <c r="J408" s="25">
        <f t="shared" si="49"/>
        <v>12.099999999999909</v>
      </c>
      <c r="K408" s="8" t="b">
        <f t="shared" si="50"/>
        <v>1</v>
      </c>
    </row>
    <row r="409" spans="1:11">
      <c r="A409" s="55" t="s">
        <v>40</v>
      </c>
      <c r="B409" s="17">
        <v>44940</v>
      </c>
      <c r="C409" s="20">
        <v>1</v>
      </c>
      <c r="D409" s="8">
        <v>5.8</v>
      </c>
      <c r="E409" s="5">
        <v>1047.0999999999999</v>
      </c>
      <c r="F409" s="5">
        <v>1058.7</v>
      </c>
      <c r="G409" s="17">
        <v>44940</v>
      </c>
      <c r="H409" s="5"/>
      <c r="I409" s="8"/>
      <c r="J409" s="5">
        <f t="shared" si="49"/>
        <v>11.600000000000136</v>
      </c>
      <c r="K409" s="8" t="b">
        <f t="shared" si="50"/>
        <v>1</v>
      </c>
    </row>
    <row r="410" spans="1:11">
      <c r="A410" s="55" t="s">
        <v>40</v>
      </c>
      <c r="B410" s="17">
        <v>44942</v>
      </c>
      <c r="C410" s="20">
        <v>1</v>
      </c>
      <c r="D410" s="8">
        <v>5.8</v>
      </c>
      <c r="E410" s="5">
        <v>1058.7</v>
      </c>
      <c r="F410" s="8">
        <v>1070</v>
      </c>
      <c r="G410" s="17">
        <v>44942</v>
      </c>
      <c r="H410" s="8"/>
      <c r="I410" s="8"/>
      <c r="J410" s="5">
        <f t="shared" si="49"/>
        <v>11.299999999999955</v>
      </c>
      <c r="K410" s="8" t="b">
        <f t="shared" si="50"/>
        <v>1</v>
      </c>
    </row>
    <row r="411" spans="1:11">
      <c r="A411" s="55" t="s">
        <v>40</v>
      </c>
      <c r="B411" s="17">
        <v>44943</v>
      </c>
      <c r="C411" s="20">
        <v>1</v>
      </c>
      <c r="D411" s="8">
        <v>5.8</v>
      </c>
      <c r="E411" s="5">
        <v>1070</v>
      </c>
      <c r="F411" s="8">
        <v>1082.0999999999999</v>
      </c>
      <c r="G411" s="17">
        <v>44943</v>
      </c>
      <c r="H411" s="8"/>
      <c r="I411" s="8"/>
      <c r="J411" s="5">
        <f t="shared" si="49"/>
        <v>12.099999999999909</v>
      </c>
      <c r="K411" s="8" t="b">
        <f t="shared" si="50"/>
        <v>1</v>
      </c>
    </row>
    <row r="412" spans="1:11">
      <c r="A412" s="55" t="s">
        <v>40</v>
      </c>
      <c r="B412" s="17">
        <v>44944</v>
      </c>
      <c r="C412" s="20">
        <v>1</v>
      </c>
      <c r="D412" s="8">
        <v>5.8</v>
      </c>
      <c r="E412" s="5">
        <v>1082.0999999999999</v>
      </c>
      <c r="F412" s="8">
        <v>1093.7</v>
      </c>
      <c r="G412" s="17">
        <v>44944</v>
      </c>
      <c r="H412" s="8"/>
      <c r="I412" s="8"/>
      <c r="J412" s="5">
        <f t="shared" si="49"/>
        <v>11.600000000000136</v>
      </c>
      <c r="K412" s="8" t="b">
        <f t="shared" si="50"/>
        <v>1</v>
      </c>
    </row>
    <row r="413" spans="1:11">
      <c r="A413" s="55" t="s">
        <v>40</v>
      </c>
      <c r="B413" s="17">
        <v>44945</v>
      </c>
      <c r="C413" s="20">
        <v>1</v>
      </c>
      <c r="D413" s="8">
        <v>5.8</v>
      </c>
      <c r="E413" s="5">
        <v>1093.7</v>
      </c>
      <c r="F413" s="5">
        <v>1105.5</v>
      </c>
      <c r="G413" s="17">
        <v>44945</v>
      </c>
      <c r="H413" s="8"/>
      <c r="I413" s="8"/>
      <c r="J413" s="5">
        <f t="shared" si="49"/>
        <v>11.799999999999955</v>
      </c>
      <c r="K413" s="8" t="b">
        <f t="shared" si="50"/>
        <v>1</v>
      </c>
    </row>
    <row r="414" spans="1:11">
      <c r="A414" s="55" t="s">
        <v>40</v>
      </c>
      <c r="B414" s="17">
        <v>44946</v>
      </c>
      <c r="C414" s="20">
        <v>1</v>
      </c>
      <c r="D414" s="8">
        <v>5.8</v>
      </c>
      <c r="E414" s="5">
        <v>1105.5</v>
      </c>
      <c r="F414" s="8">
        <v>1117.7</v>
      </c>
      <c r="G414" s="17">
        <v>44946</v>
      </c>
      <c r="H414" s="8"/>
      <c r="I414" s="8"/>
      <c r="J414" s="5">
        <f t="shared" si="49"/>
        <v>12.200000000000045</v>
      </c>
      <c r="K414" s="8" t="b">
        <f t="shared" si="50"/>
        <v>1</v>
      </c>
    </row>
    <row r="415" spans="1:11">
      <c r="A415" s="55" t="s">
        <v>40</v>
      </c>
      <c r="B415" s="17">
        <v>44947</v>
      </c>
      <c r="C415" s="20">
        <v>1</v>
      </c>
      <c r="D415" s="8">
        <v>5.8</v>
      </c>
      <c r="E415" s="5">
        <v>1117.7</v>
      </c>
      <c r="F415" s="5">
        <v>1129.2</v>
      </c>
      <c r="G415" s="17">
        <v>44947</v>
      </c>
      <c r="H415" s="8"/>
      <c r="I415" s="8"/>
      <c r="J415" s="5">
        <f t="shared" si="49"/>
        <v>11.5</v>
      </c>
      <c r="K415" s="8" t="b">
        <f t="shared" si="50"/>
        <v>1</v>
      </c>
    </row>
    <row r="416" spans="1:11">
      <c r="A416" s="55" t="s">
        <v>40</v>
      </c>
      <c r="B416" s="17">
        <v>44950</v>
      </c>
      <c r="C416" s="20">
        <v>1</v>
      </c>
      <c r="D416" s="8">
        <v>5.8</v>
      </c>
      <c r="E416" s="5">
        <v>1129.2</v>
      </c>
      <c r="F416" s="8">
        <v>1141.0999999999999</v>
      </c>
      <c r="G416" s="17">
        <v>44950</v>
      </c>
      <c r="H416" s="8"/>
      <c r="I416" s="8"/>
      <c r="J416" s="5">
        <f t="shared" si="49"/>
        <v>11.899999999999864</v>
      </c>
      <c r="K416" s="8" t="b">
        <f t="shared" si="50"/>
        <v>1</v>
      </c>
    </row>
    <row r="417" spans="1:11">
      <c r="A417" s="57" t="s">
        <v>40</v>
      </c>
      <c r="B417" s="58">
        <v>44952</v>
      </c>
      <c r="C417" s="70">
        <v>1</v>
      </c>
      <c r="D417" s="28">
        <v>5.8</v>
      </c>
      <c r="E417" s="25">
        <v>1141.0999999999999</v>
      </c>
      <c r="F417" s="25">
        <v>1152.3</v>
      </c>
      <c r="G417" s="58">
        <v>44953</v>
      </c>
      <c r="H417" s="28"/>
      <c r="I417" s="28"/>
      <c r="J417" s="25">
        <f t="shared" si="49"/>
        <v>11.200000000000045</v>
      </c>
      <c r="K417" s="8" t="b">
        <f t="shared" si="50"/>
        <v>1</v>
      </c>
    </row>
    <row r="418" spans="1:11">
      <c r="A418" s="55" t="s">
        <v>40</v>
      </c>
      <c r="B418" s="17">
        <v>44954</v>
      </c>
      <c r="C418" s="20">
        <v>1</v>
      </c>
      <c r="D418" s="8">
        <v>5.8</v>
      </c>
      <c r="E418" s="5">
        <v>1152.3</v>
      </c>
      <c r="F418" s="8">
        <v>1163.5999999999999</v>
      </c>
      <c r="G418" s="17">
        <v>44954</v>
      </c>
      <c r="H418" s="8"/>
      <c r="I418" s="8"/>
      <c r="J418" s="5">
        <f t="shared" si="49"/>
        <v>11.299999999999955</v>
      </c>
      <c r="K418" s="8" t="b">
        <f t="shared" si="50"/>
        <v>1</v>
      </c>
    </row>
    <row r="419" spans="1:11">
      <c r="A419" s="55" t="s">
        <v>40</v>
      </c>
      <c r="B419" s="17">
        <v>44956</v>
      </c>
      <c r="C419" s="20">
        <v>1</v>
      </c>
      <c r="D419" s="8">
        <v>5.8</v>
      </c>
      <c r="E419" s="5">
        <v>1163.5999999999999</v>
      </c>
      <c r="F419" s="5">
        <v>1175.2</v>
      </c>
      <c r="G419" s="17">
        <v>44956</v>
      </c>
      <c r="H419" s="8"/>
      <c r="I419" s="8"/>
      <c r="J419" s="5">
        <f t="shared" si="49"/>
        <v>11.600000000000136</v>
      </c>
      <c r="K419" s="8" t="b">
        <f t="shared" si="50"/>
        <v>1</v>
      </c>
    </row>
    <row r="420" spans="1:11">
      <c r="A420" s="55" t="s">
        <v>40</v>
      </c>
      <c r="B420" s="17">
        <v>44958</v>
      </c>
      <c r="C420" s="20">
        <v>0.8</v>
      </c>
      <c r="D420" s="8">
        <v>7.25</v>
      </c>
      <c r="E420" s="5">
        <v>1175.2</v>
      </c>
      <c r="F420" s="8">
        <v>1189.5999999999999</v>
      </c>
      <c r="G420" s="17">
        <v>44958</v>
      </c>
      <c r="H420" s="8"/>
      <c r="I420" s="8"/>
      <c r="J420" s="5">
        <f t="shared" si="49"/>
        <v>14.399999999999864</v>
      </c>
      <c r="K420" s="8" t="b">
        <f t="shared" si="50"/>
        <v>1</v>
      </c>
    </row>
    <row r="421" spans="1:11">
      <c r="A421" s="57" t="s">
        <v>40</v>
      </c>
      <c r="B421" s="58">
        <v>44959</v>
      </c>
      <c r="C421" s="70">
        <v>1</v>
      </c>
      <c r="D421" s="28">
        <v>5.8</v>
      </c>
      <c r="E421" s="25">
        <v>1189.5999999999999</v>
      </c>
      <c r="F421" s="25">
        <v>1201.4000000000001</v>
      </c>
      <c r="G421" s="58">
        <v>44959</v>
      </c>
      <c r="H421" s="28"/>
      <c r="I421" s="28"/>
      <c r="J421" s="25">
        <f t="shared" si="49"/>
        <v>11.800000000000182</v>
      </c>
      <c r="K421" s="8" t="b">
        <f t="shared" si="50"/>
        <v>1</v>
      </c>
    </row>
    <row r="422" spans="1:11">
      <c r="A422" s="55" t="s">
        <v>40</v>
      </c>
      <c r="B422" s="17">
        <v>44961</v>
      </c>
      <c r="C422" s="20">
        <v>0.8</v>
      </c>
      <c r="D422" s="8">
        <v>7.25</v>
      </c>
      <c r="E422" s="5">
        <v>1201.4000000000001</v>
      </c>
      <c r="F422" s="5">
        <v>1215.7</v>
      </c>
      <c r="G422" s="17">
        <v>44961</v>
      </c>
      <c r="H422" s="8"/>
      <c r="I422" s="8"/>
      <c r="J422" s="5">
        <f t="shared" si="49"/>
        <v>14.299999999999955</v>
      </c>
      <c r="K422" s="8" t="b">
        <f t="shared" si="50"/>
        <v>1</v>
      </c>
    </row>
    <row r="423" spans="1:11">
      <c r="A423" s="55" t="s">
        <v>40</v>
      </c>
      <c r="B423" s="17">
        <v>44963</v>
      </c>
      <c r="C423" s="20">
        <v>0.8</v>
      </c>
      <c r="D423" s="8">
        <v>7.25</v>
      </c>
      <c r="E423" s="5">
        <v>1212.7</v>
      </c>
      <c r="F423" s="5">
        <v>1229.9000000000001</v>
      </c>
      <c r="G423" s="17">
        <v>44963</v>
      </c>
      <c r="H423" s="8"/>
      <c r="I423" s="8"/>
      <c r="J423" s="5">
        <f t="shared" ref="J423:J432" si="51">F423-E423</f>
        <v>17.200000000000045</v>
      </c>
      <c r="K423" s="8" t="b">
        <f>E423=F422</f>
        <v>0</v>
      </c>
    </row>
    <row r="424" spans="1:11">
      <c r="A424" s="55" t="s">
        <v>25</v>
      </c>
      <c r="B424" s="17">
        <v>44965</v>
      </c>
      <c r="C424" s="20">
        <v>0.7</v>
      </c>
      <c r="D424" s="8">
        <v>8.2899999999999991</v>
      </c>
      <c r="E424" s="5">
        <v>1229.9000000000001</v>
      </c>
      <c r="F424" s="5">
        <v>1238.7</v>
      </c>
      <c r="G424" s="17">
        <v>44965</v>
      </c>
      <c r="H424" s="8"/>
      <c r="I424" s="8"/>
      <c r="J424" s="5">
        <f t="shared" si="51"/>
        <v>8.7999999999999545</v>
      </c>
      <c r="K424" s="8" t="b">
        <f t="shared" si="50"/>
        <v>1</v>
      </c>
    </row>
    <row r="425" spans="1:11">
      <c r="A425" s="55" t="s">
        <v>27</v>
      </c>
      <c r="B425" s="17">
        <v>44966</v>
      </c>
      <c r="C425" s="20">
        <v>0.7</v>
      </c>
      <c r="D425" s="8">
        <v>8.2899999999999991</v>
      </c>
      <c r="E425" s="5">
        <v>1238.7</v>
      </c>
      <c r="F425" s="5">
        <v>1246.8</v>
      </c>
      <c r="G425" s="17">
        <v>44966</v>
      </c>
      <c r="H425" s="8"/>
      <c r="I425" s="8"/>
      <c r="J425" s="5">
        <f t="shared" si="51"/>
        <v>8.0999999999999091</v>
      </c>
      <c r="K425" s="8" t="b">
        <f t="shared" si="50"/>
        <v>1</v>
      </c>
    </row>
    <row r="426" spans="1:11">
      <c r="A426" s="55" t="s">
        <v>25</v>
      </c>
      <c r="B426" s="17">
        <v>44967</v>
      </c>
      <c r="C426" s="20">
        <v>0.7</v>
      </c>
      <c r="D426" s="8">
        <v>8.2899999999999991</v>
      </c>
      <c r="E426" s="5">
        <v>1246.8</v>
      </c>
      <c r="F426" s="5">
        <v>1254.9000000000001</v>
      </c>
      <c r="G426" s="17">
        <v>44967</v>
      </c>
      <c r="H426" s="8"/>
      <c r="I426" s="8"/>
      <c r="J426" s="5">
        <f t="shared" si="51"/>
        <v>8.1000000000001364</v>
      </c>
      <c r="K426" s="8" t="b">
        <f t="shared" si="50"/>
        <v>1</v>
      </c>
    </row>
    <row r="427" spans="1:11">
      <c r="A427" s="55" t="s">
        <v>27</v>
      </c>
      <c r="B427" s="17">
        <v>44968</v>
      </c>
      <c r="C427" s="20">
        <v>0.7</v>
      </c>
      <c r="D427" s="8">
        <v>8.2899999999999991</v>
      </c>
      <c r="E427" s="5">
        <v>1254.9000000000001</v>
      </c>
      <c r="F427" s="5">
        <v>1263.9000000000001</v>
      </c>
      <c r="G427" s="17">
        <v>44968</v>
      </c>
      <c r="H427" s="8"/>
      <c r="I427" s="8"/>
      <c r="J427" s="5">
        <f t="shared" si="51"/>
        <v>9</v>
      </c>
      <c r="K427" s="8" t="b">
        <f t="shared" si="50"/>
        <v>1</v>
      </c>
    </row>
    <row r="428" spans="1:11">
      <c r="A428" s="55" t="s">
        <v>25</v>
      </c>
      <c r="B428" s="17">
        <v>44969</v>
      </c>
      <c r="C428" s="20">
        <v>0.7</v>
      </c>
      <c r="D428" s="8">
        <v>8.2899999999999991</v>
      </c>
      <c r="E428" s="5">
        <v>1263.9000000000001</v>
      </c>
      <c r="F428" s="5">
        <v>1272.8</v>
      </c>
      <c r="G428" s="17">
        <v>44969</v>
      </c>
      <c r="H428" s="8"/>
      <c r="I428" s="8"/>
      <c r="J428" s="5">
        <f t="shared" si="51"/>
        <v>8.8999999999998636</v>
      </c>
      <c r="K428" s="8" t="b">
        <f t="shared" si="50"/>
        <v>1</v>
      </c>
    </row>
    <row r="429" spans="1:11">
      <c r="A429" s="55" t="s">
        <v>27</v>
      </c>
      <c r="B429" s="17">
        <v>44970</v>
      </c>
      <c r="C429" s="20">
        <v>0.7</v>
      </c>
      <c r="D429" s="8">
        <v>8.2899999999999991</v>
      </c>
      <c r="E429" s="5">
        <v>1272.8</v>
      </c>
      <c r="F429" s="5">
        <v>1282.7</v>
      </c>
      <c r="G429" s="17">
        <v>44970</v>
      </c>
      <c r="H429" s="8"/>
      <c r="I429" s="8"/>
      <c r="J429" s="5">
        <f t="shared" si="51"/>
        <v>9.9000000000000909</v>
      </c>
      <c r="K429" s="8" t="b">
        <f t="shared" si="50"/>
        <v>1</v>
      </c>
    </row>
    <row r="430" spans="1:11">
      <c r="A430" s="55" t="s">
        <v>25</v>
      </c>
      <c r="B430" s="17">
        <v>44971</v>
      </c>
      <c r="C430" s="20">
        <v>0.7</v>
      </c>
      <c r="D430" s="8">
        <v>8.2899999999999991</v>
      </c>
      <c r="E430" s="5">
        <v>1282.7</v>
      </c>
      <c r="F430" s="5">
        <v>1291</v>
      </c>
      <c r="G430" s="17">
        <v>44970</v>
      </c>
      <c r="H430" s="8"/>
      <c r="I430" s="8"/>
      <c r="J430" s="5">
        <f t="shared" si="51"/>
        <v>8.2999999999999545</v>
      </c>
      <c r="K430" s="8" t="b">
        <f t="shared" si="50"/>
        <v>1</v>
      </c>
    </row>
    <row r="431" spans="1:11">
      <c r="A431" s="55" t="s">
        <v>42</v>
      </c>
      <c r="B431" s="17">
        <v>44972</v>
      </c>
      <c r="C431" s="20">
        <v>0.7</v>
      </c>
      <c r="D431" s="8">
        <v>8.2899999999999991</v>
      </c>
      <c r="E431" s="5">
        <v>1291</v>
      </c>
      <c r="F431" s="5">
        <v>1299.3</v>
      </c>
      <c r="G431" s="17">
        <v>44971</v>
      </c>
      <c r="H431" s="8"/>
      <c r="I431" s="8"/>
      <c r="J431" s="5">
        <f t="shared" si="51"/>
        <v>8.2999999999999545</v>
      </c>
      <c r="K431" s="8" t="b">
        <f t="shared" si="50"/>
        <v>1</v>
      </c>
    </row>
    <row r="432" spans="1:11">
      <c r="A432" s="55" t="s">
        <v>40</v>
      </c>
      <c r="B432" s="17">
        <v>44973</v>
      </c>
      <c r="C432" s="20">
        <v>0.6</v>
      </c>
      <c r="D432" s="8">
        <v>9.67</v>
      </c>
      <c r="E432" s="5">
        <v>1299.3</v>
      </c>
      <c r="F432" s="5">
        <v>1318.9</v>
      </c>
      <c r="G432" s="17">
        <v>44973</v>
      </c>
      <c r="H432" s="8"/>
      <c r="I432" s="8"/>
      <c r="J432" s="5">
        <f t="shared" si="51"/>
        <v>19.600000000000136</v>
      </c>
      <c r="K432" s="8" t="b">
        <f t="shared" si="50"/>
        <v>1</v>
      </c>
    </row>
    <row r="433" spans="1:11">
      <c r="A433" s="55" t="s">
        <v>25</v>
      </c>
      <c r="B433" s="17">
        <v>44975</v>
      </c>
      <c r="C433" s="20">
        <v>0.6</v>
      </c>
      <c r="D433" s="8">
        <v>9.67</v>
      </c>
      <c r="E433" s="5">
        <v>1318.9</v>
      </c>
      <c r="F433" s="5">
        <v>1328.8</v>
      </c>
      <c r="G433" s="17">
        <v>44975</v>
      </c>
      <c r="H433" s="8"/>
      <c r="I433" s="8"/>
      <c r="J433" s="5">
        <f t="shared" ref="J433:J434" si="52">F433-E433</f>
        <v>9.8999999999998636</v>
      </c>
      <c r="K433" s="8" t="b">
        <f t="shared" si="50"/>
        <v>1</v>
      </c>
    </row>
    <row r="434" spans="1:11">
      <c r="A434" s="55" t="s">
        <v>27</v>
      </c>
      <c r="B434" s="17">
        <v>44976</v>
      </c>
      <c r="C434" s="20">
        <v>0.6</v>
      </c>
      <c r="D434" s="8">
        <v>9.67</v>
      </c>
      <c r="E434" s="5">
        <v>1328.8</v>
      </c>
      <c r="F434" s="5">
        <v>1338.7</v>
      </c>
      <c r="G434" s="17">
        <v>44976</v>
      </c>
      <c r="H434" s="8"/>
      <c r="I434" s="8"/>
      <c r="J434" s="5">
        <f t="shared" si="52"/>
        <v>9.9000000000000909</v>
      </c>
      <c r="K434" s="8" t="b">
        <f t="shared" si="50"/>
        <v>1</v>
      </c>
    </row>
    <row r="435" spans="1:11">
      <c r="A435" s="55" t="s">
        <v>25</v>
      </c>
      <c r="B435" s="17">
        <v>44977</v>
      </c>
      <c r="C435" s="20">
        <v>0.6</v>
      </c>
      <c r="D435" s="8">
        <v>9.67</v>
      </c>
      <c r="E435" s="5">
        <v>1338.7</v>
      </c>
      <c r="F435" s="5">
        <v>1348.7</v>
      </c>
      <c r="G435" s="17">
        <v>44977</v>
      </c>
      <c r="H435" s="8"/>
      <c r="I435" s="8"/>
      <c r="J435" s="5">
        <f t="shared" ref="J435:J441" si="53">F435-E435</f>
        <v>10</v>
      </c>
      <c r="K435" s="8" t="b">
        <f t="shared" si="50"/>
        <v>1</v>
      </c>
    </row>
    <row r="436" spans="1:11">
      <c r="A436" s="55" t="s">
        <v>27</v>
      </c>
      <c r="B436" s="17">
        <v>44978</v>
      </c>
      <c r="C436" s="20">
        <v>0.6</v>
      </c>
      <c r="D436" s="8">
        <v>9.67</v>
      </c>
      <c r="E436" s="5">
        <v>1348.7</v>
      </c>
      <c r="F436" s="5">
        <v>1356.5</v>
      </c>
      <c r="G436" s="17">
        <v>44978</v>
      </c>
      <c r="H436" s="8"/>
      <c r="I436" s="8"/>
      <c r="J436" s="5">
        <f t="shared" si="53"/>
        <v>7.7999999999999545</v>
      </c>
      <c r="K436" s="8" t="b">
        <f t="shared" si="50"/>
        <v>1</v>
      </c>
    </row>
    <row r="437" spans="1:11">
      <c r="A437" s="55" t="s">
        <v>25</v>
      </c>
      <c r="B437" s="17">
        <v>44979</v>
      </c>
      <c r="C437" s="20">
        <v>0.6</v>
      </c>
      <c r="D437" s="8">
        <v>9.67</v>
      </c>
      <c r="E437" s="5">
        <v>1356.5</v>
      </c>
      <c r="F437" s="5">
        <v>1366.5</v>
      </c>
      <c r="G437" s="17">
        <v>44979</v>
      </c>
      <c r="H437" s="8"/>
      <c r="I437" s="8"/>
      <c r="J437" s="5">
        <f t="shared" si="53"/>
        <v>10</v>
      </c>
      <c r="K437" s="8" t="b">
        <f t="shared" si="50"/>
        <v>1</v>
      </c>
    </row>
    <row r="438" spans="1:11">
      <c r="A438" s="57" t="s">
        <v>40</v>
      </c>
      <c r="B438" s="58">
        <v>44980</v>
      </c>
      <c r="C438" s="70">
        <v>1</v>
      </c>
      <c r="D438" s="28">
        <v>5.8</v>
      </c>
      <c r="E438" s="25">
        <v>1366.5</v>
      </c>
      <c r="F438" s="25">
        <v>1378</v>
      </c>
      <c r="G438" s="58">
        <v>44980</v>
      </c>
      <c r="H438" s="28"/>
      <c r="I438" s="28"/>
      <c r="J438" s="25">
        <f t="shared" si="53"/>
        <v>11.5</v>
      </c>
      <c r="K438" s="8" t="b">
        <f t="shared" si="50"/>
        <v>1</v>
      </c>
    </row>
    <row r="439" spans="1:11">
      <c r="A439" s="55" t="s">
        <v>27</v>
      </c>
      <c r="B439" s="17">
        <v>44981</v>
      </c>
      <c r="C439" s="20">
        <v>0.6</v>
      </c>
      <c r="D439" s="8">
        <v>9.67</v>
      </c>
      <c r="E439" s="5">
        <v>1378</v>
      </c>
      <c r="F439" s="5">
        <v>1388.2</v>
      </c>
      <c r="G439" s="17">
        <v>44981</v>
      </c>
      <c r="H439" s="8"/>
      <c r="I439" s="8"/>
      <c r="J439" s="5">
        <f t="shared" si="53"/>
        <v>10.200000000000045</v>
      </c>
      <c r="K439" s="8" t="b">
        <f t="shared" si="50"/>
        <v>1</v>
      </c>
    </row>
    <row r="440" spans="1:11">
      <c r="A440" s="55" t="s">
        <v>25</v>
      </c>
      <c r="B440" s="17">
        <v>44982</v>
      </c>
      <c r="C440" s="20">
        <v>0.5</v>
      </c>
      <c r="D440" s="8">
        <v>11.6</v>
      </c>
      <c r="E440" s="5">
        <v>1388.2</v>
      </c>
      <c r="F440" s="5">
        <v>1399.8</v>
      </c>
      <c r="G440" s="17">
        <v>44982</v>
      </c>
      <c r="H440" s="8"/>
      <c r="I440" s="8"/>
      <c r="J440" s="5">
        <f t="shared" si="53"/>
        <v>11.599999999999909</v>
      </c>
      <c r="K440" s="8" t="b">
        <f t="shared" si="50"/>
        <v>1</v>
      </c>
    </row>
    <row r="441" spans="1:11">
      <c r="A441" s="55" t="s">
        <v>27</v>
      </c>
      <c r="B441" s="17">
        <v>44983</v>
      </c>
      <c r="C441" s="20">
        <v>0.5</v>
      </c>
      <c r="D441" s="8">
        <v>11.6</v>
      </c>
      <c r="E441" s="5">
        <v>1399.8</v>
      </c>
      <c r="F441" s="5">
        <v>1411.2</v>
      </c>
      <c r="G441" s="17">
        <v>44983</v>
      </c>
      <c r="H441" s="8"/>
      <c r="I441" s="8"/>
      <c r="J441" s="5">
        <f t="shared" si="53"/>
        <v>11.400000000000091</v>
      </c>
      <c r="K441" s="8" t="b">
        <f t="shared" si="50"/>
        <v>1</v>
      </c>
    </row>
    <row r="442" spans="1:11">
      <c r="A442" s="55" t="s">
        <v>25</v>
      </c>
      <c r="B442" s="17">
        <v>44984</v>
      </c>
      <c r="C442" s="20">
        <v>0.5</v>
      </c>
      <c r="D442" s="8">
        <v>11.6</v>
      </c>
      <c r="E442" s="5">
        <v>1411.2</v>
      </c>
      <c r="F442" s="5">
        <v>1422.8</v>
      </c>
      <c r="G442" s="17">
        <v>44984</v>
      </c>
      <c r="H442" s="8"/>
      <c r="I442" s="8"/>
      <c r="J442" s="5">
        <f t="shared" ref="J442:J443" si="54">F442-E442</f>
        <v>11.599999999999909</v>
      </c>
      <c r="K442" s="8" t="b">
        <f t="shared" si="50"/>
        <v>1</v>
      </c>
    </row>
    <row r="443" spans="1:11">
      <c r="A443" s="57" t="s">
        <v>40</v>
      </c>
      <c r="B443" s="58">
        <v>44985</v>
      </c>
      <c r="C443" s="71">
        <v>1</v>
      </c>
      <c r="D443" s="28">
        <v>5.8</v>
      </c>
      <c r="E443" s="25">
        <v>1422.8</v>
      </c>
      <c r="F443" s="25">
        <v>1435.6</v>
      </c>
      <c r="G443" s="58">
        <v>44985</v>
      </c>
      <c r="H443" s="28"/>
      <c r="I443" s="28"/>
      <c r="J443" s="25">
        <f t="shared" si="54"/>
        <v>12.799999999999955</v>
      </c>
      <c r="K443" s="8" t="b">
        <f t="shared" si="50"/>
        <v>1</v>
      </c>
    </row>
    <row r="444" spans="1:11">
      <c r="A444" s="55" t="s">
        <v>42</v>
      </c>
      <c r="B444" s="17">
        <v>44986</v>
      </c>
      <c r="C444" s="20">
        <v>0.5</v>
      </c>
      <c r="D444" s="8">
        <v>11.6</v>
      </c>
      <c r="E444" s="5">
        <v>1435.6</v>
      </c>
      <c r="F444" s="5">
        <v>1446.7</v>
      </c>
      <c r="G444" s="17">
        <v>44986</v>
      </c>
      <c r="H444" s="8"/>
      <c r="I444" s="8"/>
      <c r="J444" s="5">
        <f t="shared" ref="J444:J451" si="55">F444-E444</f>
        <v>11.100000000000136</v>
      </c>
      <c r="K444" s="8" t="b">
        <f t="shared" si="50"/>
        <v>1</v>
      </c>
    </row>
    <row r="445" spans="1:11">
      <c r="A445" s="55" t="s">
        <v>25</v>
      </c>
      <c r="B445" s="17">
        <v>44988</v>
      </c>
      <c r="C445" s="69">
        <v>0.5</v>
      </c>
      <c r="D445" s="8">
        <v>11.6</v>
      </c>
      <c r="E445" s="5">
        <v>1446.7</v>
      </c>
      <c r="F445" s="55">
        <v>1458</v>
      </c>
      <c r="G445" s="17">
        <v>44988</v>
      </c>
      <c r="H445" s="8"/>
      <c r="I445" s="8"/>
      <c r="J445" s="5">
        <f t="shared" si="55"/>
        <v>11.299999999999955</v>
      </c>
      <c r="K445" s="8" t="b">
        <f t="shared" si="50"/>
        <v>1</v>
      </c>
    </row>
    <row r="446" spans="1:11">
      <c r="A446" s="57" t="s">
        <v>27</v>
      </c>
      <c r="B446" s="58">
        <v>44988</v>
      </c>
      <c r="C446" s="70">
        <v>1</v>
      </c>
      <c r="D446" s="28">
        <v>5.8</v>
      </c>
      <c r="E446" s="25">
        <v>1458</v>
      </c>
      <c r="F446" s="25">
        <v>1465.5</v>
      </c>
      <c r="G446" s="58">
        <v>44988</v>
      </c>
      <c r="H446" s="28"/>
      <c r="I446" s="28"/>
      <c r="J446" s="25">
        <f t="shared" si="55"/>
        <v>7.5</v>
      </c>
      <c r="K446" s="8" t="b">
        <f>E446=E445</f>
        <v>0</v>
      </c>
    </row>
    <row r="447" spans="1:11">
      <c r="A447" s="55" t="s">
        <v>42</v>
      </c>
      <c r="B447" s="17">
        <v>44989</v>
      </c>
      <c r="C447" s="69">
        <v>0.5</v>
      </c>
      <c r="D447" s="8">
        <v>11.6</v>
      </c>
      <c r="E447" s="5">
        <v>1465.5</v>
      </c>
      <c r="F447" s="5">
        <v>1477.6</v>
      </c>
      <c r="G447" s="17">
        <v>44989</v>
      </c>
      <c r="H447" s="8"/>
      <c r="I447" s="8"/>
      <c r="J447" s="5">
        <f t="shared" si="55"/>
        <v>12.099999999999909</v>
      </c>
      <c r="K447" s="8" t="b">
        <f t="shared" si="50"/>
        <v>1</v>
      </c>
    </row>
    <row r="448" spans="1:11">
      <c r="A448" s="55" t="s">
        <v>25</v>
      </c>
      <c r="B448" s="17">
        <v>44990</v>
      </c>
      <c r="C448" s="20">
        <v>0.5</v>
      </c>
      <c r="D448" s="8">
        <v>11.6</v>
      </c>
      <c r="E448" s="5">
        <v>1477.6</v>
      </c>
      <c r="F448" s="5">
        <v>1489.4</v>
      </c>
      <c r="G448" s="17">
        <v>44990</v>
      </c>
      <c r="H448" s="8"/>
      <c r="I448" s="8"/>
      <c r="J448" s="5">
        <f t="shared" si="55"/>
        <v>11.800000000000182</v>
      </c>
      <c r="K448" s="8" t="b">
        <f t="shared" si="50"/>
        <v>1</v>
      </c>
    </row>
    <row r="449" spans="1:11">
      <c r="A449" s="55" t="s">
        <v>27</v>
      </c>
      <c r="B449" s="17">
        <v>44991</v>
      </c>
      <c r="C449" s="20">
        <v>0.5</v>
      </c>
      <c r="D449" s="8">
        <v>11.6</v>
      </c>
      <c r="E449" s="5">
        <v>1489.4</v>
      </c>
      <c r="F449" s="5">
        <v>1500.5</v>
      </c>
      <c r="G449" s="17">
        <v>44991</v>
      </c>
      <c r="H449" s="8"/>
      <c r="I449" s="8"/>
      <c r="J449" s="5">
        <f t="shared" si="55"/>
        <v>11.099999999999909</v>
      </c>
      <c r="K449" s="8" t="b">
        <f t="shared" si="50"/>
        <v>1</v>
      </c>
    </row>
    <row r="450" spans="1:11">
      <c r="A450" s="57" t="s">
        <v>27</v>
      </c>
      <c r="B450" s="58">
        <v>44992</v>
      </c>
      <c r="C450" s="70">
        <v>1</v>
      </c>
      <c r="D450" s="28">
        <v>5.8</v>
      </c>
      <c r="E450" s="25">
        <v>1500.5</v>
      </c>
      <c r="F450" s="25">
        <v>1513.7</v>
      </c>
      <c r="G450" s="58">
        <v>44992</v>
      </c>
      <c r="H450" s="28"/>
      <c r="I450" s="28"/>
      <c r="J450" s="25">
        <f t="shared" si="55"/>
        <v>13.200000000000045</v>
      </c>
      <c r="K450" s="8" t="b">
        <f t="shared" si="50"/>
        <v>1</v>
      </c>
    </row>
    <row r="451" spans="1:11">
      <c r="A451" s="55" t="s">
        <v>25</v>
      </c>
      <c r="B451" s="17">
        <v>44994</v>
      </c>
      <c r="C451" s="20">
        <v>0.5</v>
      </c>
      <c r="D451" s="8">
        <v>11.6</v>
      </c>
      <c r="E451" s="5">
        <v>1513.7</v>
      </c>
      <c r="F451" s="5">
        <v>1525.4</v>
      </c>
      <c r="G451" s="17">
        <v>44994</v>
      </c>
      <c r="H451" s="8"/>
      <c r="I451" s="8"/>
      <c r="J451" s="5">
        <f t="shared" si="55"/>
        <v>11.700000000000045</v>
      </c>
      <c r="K451" s="8" t="b">
        <f t="shared" si="50"/>
        <v>1</v>
      </c>
    </row>
    <row r="452" spans="1:11">
      <c r="A452" s="57" t="s">
        <v>40</v>
      </c>
      <c r="B452" s="58">
        <v>44995</v>
      </c>
      <c r="C452" s="70">
        <v>1</v>
      </c>
      <c r="D452" s="28">
        <v>5.8</v>
      </c>
      <c r="E452" s="25">
        <v>1525.4</v>
      </c>
      <c r="F452" s="25">
        <v>1537.2</v>
      </c>
      <c r="G452" s="58">
        <v>44995</v>
      </c>
      <c r="H452" s="28"/>
      <c r="I452" s="28"/>
      <c r="J452" s="25">
        <f t="shared" ref="J452:J459" si="56">F452-E452</f>
        <v>11.799999999999955</v>
      </c>
      <c r="K452" s="8" t="b">
        <f t="shared" si="50"/>
        <v>1</v>
      </c>
    </row>
    <row r="453" spans="1:11">
      <c r="A453" s="55" t="s">
        <v>42</v>
      </c>
      <c r="B453" s="17">
        <v>44996</v>
      </c>
      <c r="C453" s="20">
        <v>0.5</v>
      </c>
      <c r="D453" s="15">
        <v>11.6</v>
      </c>
      <c r="E453" s="5">
        <v>1537.2</v>
      </c>
      <c r="F453" s="5">
        <v>1549.1</v>
      </c>
      <c r="G453" s="17">
        <v>44996</v>
      </c>
      <c r="H453" s="8"/>
      <c r="I453" s="8"/>
      <c r="J453" s="5">
        <f t="shared" si="56"/>
        <v>11.899999999999864</v>
      </c>
      <c r="K453" s="8" t="b">
        <f t="shared" si="50"/>
        <v>1</v>
      </c>
    </row>
    <row r="454" spans="1:11">
      <c r="A454" s="55" t="s">
        <v>25</v>
      </c>
      <c r="B454" s="17">
        <v>44997</v>
      </c>
      <c r="C454" s="20">
        <v>0.5</v>
      </c>
      <c r="D454" s="15">
        <v>11.6</v>
      </c>
      <c r="E454" s="5">
        <v>1549.1</v>
      </c>
      <c r="F454" s="5">
        <v>1560.6</v>
      </c>
      <c r="G454" s="17">
        <v>44997</v>
      </c>
      <c r="H454" s="8"/>
      <c r="I454" s="8"/>
      <c r="J454" s="5">
        <f t="shared" si="56"/>
        <v>11.5</v>
      </c>
      <c r="K454" s="8" t="b">
        <f t="shared" si="50"/>
        <v>1</v>
      </c>
    </row>
    <row r="455" spans="1:11">
      <c r="A455" s="55" t="s">
        <v>27</v>
      </c>
      <c r="B455" s="17">
        <v>44998</v>
      </c>
      <c r="C455" s="20">
        <v>0.5</v>
      </c>
      <c r="D455" s="8">
        <v>11.6</v>
      </c>
      <c r="E455" s="8">
        <v>1560.6</v>
      </c>
      <c r="F455" s="8">
        <v>1572.1</v>
      </c>
      <c r="G455" s="17">
        <v>44998</v>
      </c>
      <c r="H455" s="8"/>
      <c r="I455" s="8"/>
      <c r="J455" s="5">
        <f t="shared" si="56"/>
        <v>11.5</v>
      </c>
      <c r="K455" s="8" t="b">
        <f t="shared" si="50"/>
        <v>1</v>
      </c>
    </row>
    <row r="456" spans="1:11">
      <c r="A456" s="55" t="s">
        <v>25</v>
      </c>
      <c r="B456" s="17">
        <v>44999</v>
      </c>
      <c r="C456" s="20">
        <v>0.5</v>
      </c>
      <c r="D456" s="8">
        <v>11.6</v>
      </c>
      <c r="E456" s="8">
        <v>1572.1</v>
      </c>
      <c r="F456" s="8">
        <v>1581.8</v>
      </c>
      <c r="G456" s="17">
        <v>44999</v>
      </c>
      <c r="H456" s="8"/>
      <c r="I456" s="8"/>
      <c r="J456" s="5">
        <f t="shared" si="56"/>
        <v>9.7000000000000455</v>
      </c>
      <c r="K456" s="8" t="b">
        <f t="shared" si="50"/>
        <v>1</v>
      </c>
    </row>
    <row r="457" spans="1:11">
      <c r="A457" s="55" t="s">
        <v>27</v>
      </c>
      <c r="B457" s="17">
        <v>45000</v>
      </c>
      <c r="C457" s="20">
        <v>0.5</v>
      </c>
      <c r="D457" s="8">
        <v>11.6</v>
      </c>
      <c r="E457" s="8">
        <v>1581.8</v>
      </c>
      <c r="F457" s="8">
        <v>1592.9</v>
      </c>
      <c r="G457" s="17">
        <v>45000</v>
      </c>
      <c r="H457" s="8"/>
      <c r="I457" s="8"/>
      <c r="J457" s="5">
        <f t="shared" si="56"/>
        <v>11.100000000000136</v>
      </c>
      <c r="K457" s="8" t="b">
        <f t="shared" si="50"/>
        <v>1</v>
      </c>
    </row>
    <row r="458" spans="1:11">
      <c r="A458" s="55" t="s">
        <v>25</v>
      </c>
      <c r="B458" s="17">
        <v>45000</v>
      </c>
      <c r="C458" s="20">
        <v>1</v>
      </c>
      <c r="D458" s="8">
        <v>5.8</v>
      </c>
      <c r="E458" s="8">
        <v>1592.9</v>
      </c>
      <c r="F458" s="8">
        <v>1598</v>
      </c>
      <c r="G458" s="17">
        <v>45000</v>
      </c>
      <c r="H458" s="8"/>
      <c r="I458" s="8"/>
      <c r="J458" s="5">
        <f t="shared" si="56"/>
        <v>5.0999999999999091</v>
      </c>
      <c r="K458" s="8" t="b">
        <f t="shared" si="50"/>
        <v>1</v>
      </c>
    </row>
    <row r="459" spans="1:11">
      <c r="A459" s="55" t="s">
        <v>27</v>
      </c>
      <c r="B459" s="17">
        <v>45001</v>
      </c>
      <c r="C459" s="20">
        <v>1</v>
      </c>
      <c r="D459" s="8">
        <v>5.8</v>
      </c>
      <c r="E459" s="8">
        <v>1598</v>
      </c>
      <c r="F459" s="8">
        <v>1607</v>
      </c>
      <c r="G459" s="17">
        <v>45001</v>
      </c>
      <c r="H459" s="8"/>
      <c r="I459" s="8"/>
      <c r="J459" s="5">
        <f t="shared" si="56"/>
        <v>9</v>
      </c>
      <c r="K459" s="8" t="b">
        <f t="shared" si="50"/>
        <v>1</v>
      </c>
    </row>
    <row r="460" spans="1:11">
      <c r="A460" s="55" t="s">
        <v>25</v>
      </c>
      <c r="B460" s="17">
        <v>45001</v>
      </c>
      <c r="C460" s="20">
        <v>0.6</v>
      </c>
      <c r="D460" s="8">
        <v>9.67</v>
      </c>
      <c r="E460" s="8">
        <v>1607</v>
      </c>
      <c r="F460" s="8">
        <v>1616.8</v>
      </c>
      <c r="G460" s="17">
        <v>45001</v>
      </c>
      <c r="H460" s="8"/>
      <c r="I460" s="8"/>
      <c r="J460" s="5">
        <f t="shared" ref="J460:J480" si="57">F460-E460</f>
        <v>9.7999999999999545</v>
      </c>
      <c r="K460" s="8" t="b">
        <f t="shared" si="50"/>
        <v>1</v>
      </c>
    </row>
    <row r="461" spans="1:11">
      <c r="A461" s="55" t="s">
        <v>27</v>
      </c>
      <c r="B461" s="17">
        <v>45003</v>
      </c>
      <c r="C461" s="20">
        <v>0.6</v>
      </c>
      <c r="D461" s="8">
        <v>9.67</v>
      </c>
      <c r="E461" s="8">
        <v>1616.8</v>
      </c>
      <c r="F461" s="8">
        <v>1628.5</v>
      </c>
      <c r="G461" s="17">
        <v>45003</v>
      </c>
      <c r="H461" s="8"/>
      <c r="I461" s="8"/>
      <c r="J461" s="5">
        <f t="shared" si="57"/>
        <v>11.700000000000045</v>
      </c>
      <c r="K461" s="8" t="b">
        <f t="shared" si="50"/>
        <v>1</v>
      </c>
    </row>
    <row r="462" spans="1:11">
      <c r="A462" s="55" t="s">
        <v>25</v>
      </c>
      <c r="B462" s="17">
        <v>45005</v>
      </c>
      <c r="C462" s="20">
        <v>0.6</v>
      </c>
      <c r="D462" s="8">
        <v>9.67</v>
      </c>
      <c r="E462" s="8">
        <v>1628.5</v>
      </c>
      <c r="F462" s="8">
        <v>1639</v>
      </c>
      <c r="G462" s="17">
        <v>45005</v>
      </c>
      <c r="H462" s="8"/>
      <c r="I462" s="8"/>
      <c r="J462" s="5">
        <f t="shared" si="57"/>
        <v>10.5</v>
      </c>
      <c r="K462" s="8" t="b">
        <f t="shared" si="50"/>
        <v>1</v>
      </c>
    </row>
    <row r="463" spans="1:11">
      <c r="A463" s="55" t="s">
        <v>27</v>
      </c>
      <c r="B463" s="17">
        <v>45006</v>
      </c>
      <c r="C463" s="20">
        <v>0.5</v>
      </c>
      <c r="D463" s="8">
        <v>11.6</v>
      </c>
      <c r="E463" s="8">
        <v>1639</v>
      </c>
      <c r="F463" s="8">
        <v>1651.2</v>
      </c>
      <c r="G463" s="17">
        <v>45006</v>
      </c>
      <c r="H463" s="8"/>
      <c r="I463" s="8"/>
      <c r="J463" s="5">
        <f t="shared" si="57"/>
        <v>12.200000000000045</v>
      </c>
      <c r="K463" s="8" t="b">
        <f t="shared" si="50"/>
        <v>1</v>
      </c>
    </row>
    <row r="464" spans="1:11">
      <c r="A464" s="55" t="s">
        <v>25</v>
      </c>
      <c r="B464" s="17">
        <v>45008</v>
      </c>
      <c r="C464" s="20">
        <v>0.5</v>
      </c>
      <c r="D464" s="8">
        <v>11.6</v>
      </c>
      <c r="E464" s="8">
        <v>1651.2</v>
      </c>
      <c r="F464" s="8">
        <v>1662</v>
      </c>
      <c r="G464" s="17">
        <v>45008</v>
      </c>
      <c r="H464" s="8"/>
      <c r="I464" s="8"/>
      <c r="J464" s="5">
        <f t="shared" si="57"/>
        <v>10.799999999999955</v>
      </c>
      <c r="K464" s="8" t="b">
        <f t="shared" si="50"/>
        <v>1</v>
      </c>
    </row>
    <row r="465" spans="1:11">
      <c r="A465" s="55" t="s">
        <v>27</v>
      </c>
      <c r="B465" s="17">
        <v>45009</v>
      </c>
      <c r="C465" s="20">
        <v>0.5</v>
      </c>
      <c r="D465" s="8">
        <v>11.6</v>
      </c>
      <c r="E465" s="8">
        <v>1662</v>
      </c>
      <c r="F465" s="8">
        <v>1673.4</v>
      </c>
      <c r="G465" s="17">
        <v>45009</v>
      </c>
      <c r="H465" s="8"/>
      <c r="I465" s="8"/>
      <c r="J465" s="5">
        <f t="shared" si="57"/>
        <v>11.400000000000091</v>
      </c>
      <c r="K465" s="8" t="b">
        <f t="shared" si="50"/>
        <v>1</v>
      </c>
    </row>
    <row r="466" spans="1:11">
      <c r="A466" s="55" t="s">
        <v>25</v>
      </c>
      <c r="B466" s="17">
        <v>45010</v>
      </c>
      <c r="C466" s="20">
        <v>0.5</v>
      </c>
      <c r="D466" s="8">
        <v>11.6</v>
      </c>
      <c r="E466" s="8">
        <v>1673.4</v>
      </c>
      <c r="F466" s="8">
        <v>1685.1</v>
      </c>
      <c r="G466" s="17">
        <v>45010</v>
      </c>
      <c r="H466" s="8"/>
      <c r="I466" s="8"/>
      <c r="J466" s="5">
        <f t="shared" si="57"/>
        <v>11.699999999999818</v>
      </c>
      <c r="K466" s="8" t="b">
        <f t="shared" si="50"/>
        <v>1</v>
      </c>
    </row>
    <row r="467" spans="1:11">
      <c r="A467" s="55" t="s">
        <v>27</v>
      </c>
      <c r="B467" s="17">
        <v>45011</v>
      </c>
      <c r="C467" s="20">
        <v>0.5</v>
      </c>
      <c r="D467" s="8">
        <v>11.6</v>
      </c>
      <c r="E467" s="8">
        <v>1685.1</v>
      </c>
      <c r="F467" s="8">
        <v>1696.6</v>
      </c>
      <c r="G467" s="17">
        <v>45011</v>
      </c>
      <c r="H467" s="8"/>
      <c r="I467" s="8"/>
      <c r="J467" s="5">
        <f t="shared" si="57"/>
        <v>11.5</v>
      </c>
      <c r="K467" s="8" t="b">
        <f t="shared" si="50"/>
        <v>1</v>
      </c>
    </row>
    <row r="468" spans="1:11">
      <c r="A468" s="55" t="s">
        <v>25</v>
      </c>
      <c r="B468" s="17">
        <v>45012</v>
      </c>
      <c r="C468" s="20">
        <v>0.5</v>
      </c>
      <c r="D468" s="8">
        <v>11.6</v>
      </c>
      <c r="E468" s="8">
        <v>1696.6</v>
      </c>
      <c r="F468" s="8">
        <v>1708.2</v>
      </c>
      <c r="G468" s="17">
        <v>45012</v>
      </c>
      <c r="H468" s="8"/>
      <c r="I468" s="8"/>
      <c r="J468" s="5">
        <f t="shared" si="57"/>
        <v>11.600000000000136</v>
      </c>
      <c r="K468" s="8" t="b">
        <f t="shared" ref="K468:K480" si="58">E468=F467</f>
        <v>1</v>
      </c>
    </row>
    <row r="469" spans="1:11">
      <c r="A469" s="55" t="s">
        <v>42</v>
      </c>
      <c r="B469" s="17">
        <v>45013</v>
      </c>
      <c r="C469" s="20">
        <v>0.5</v>
      </c>
      <c r="D469" s="8">
        <v>11.6</v>
      </c>
      <c r="E469" s="8">
        <v>1708.2</v>
      </c>
      <c r="F469" s="8">
        <v>1719.6</v>
      </c>
      <c r="G469" s="17">
        <v>45013</v>
      </c>
      <c r="H469" s="8"/>
      <c r="I469" s="8"/>
      <c r="J469" s="5">
        <f t="shared" si="57"/>
        <v>11.399999999999864</v>
      </c>
      <c r="K469" s="8" t="b">
        <f t="shared" si="58"/>
        <v>1</v>
      </c>
    </row>
    <row r="470" spans="1:11">
      <c r="A470" s="55" t="s">
        <v>25</v>
      </c>
      <c r="B470" s="17">
        <v>45014</v>
      </c>
      <c r="C470" s="20">
        <v>0.5</v>
      </c>
      <c r="D470" s="8">
        <v>11.6</v>
      </c>
      <c r="E470" s="8">
        <v>1719.6</v>
      </c>
      <c r="F470" s="8">
        <v>1731.3</v>
      </c>
      <c r="G470" s="17">
        <v>45014</v>
      </c>
      <c r="H470" s="8"/>
      <c r="I470" s="8"/>
      <c r="J470" s="5">
        <f t="shared" si="57"/>
        <v>11.700000000000045</v>
      </c>
      <c r="K470" s="8" t="b">
        <f t="shared" si="58"/>
        <v>1</v>
      </c>
    </row>
    <row r="471" spans="1:11">
      <c r="A471" s="55" t="s">
        <v>27</v>
      </c>
      <c r="B471" s="17">
        <v>45017</v>
      </c>
      <c r="C471" s="20">
        <v>0.6</v>
      </c>
      <c r="D471" s="8">
        <v>9.67</v>
      </c>
      <c r="E471" s="8">
        <v>1731.3</v>
      </c>
      <c r="F471" s="8">
        <v>1741.8</v>
      </c>
      <c r="G471" s="17">
        <v>45017</v>
      </c>
      <c r="H471" s="8"/>
      <c r="I471" s="8"/>
      <c r="J471" s="5">
        <f t="shared" si="57"/>
        <v>10.5</v>
      </c>
      <c r="K471" s="8" t="b">
        <f t="shared" si="58"/>
        <v>1</v>
      </c>
    </row>
    <row r="472" spans="1:11">
      <c r="A472" s="55" t="s">
        <v>25</v>
      </c>
      <c r="B472" s="17">
        <v>45018</v>
      </c>
      <c r="C472" s="20">
        <v>0.6</v>
      </c>
      <c r="D472" s="8">
        <v>9.67</v>
      </c>
      <c r="E472" s="8">
        <v>1741.8</v>
      </c>
      <c r="F472" s="8">
        <v>1752.8</v>
      </c>
      <c r="G472" s="17">
        <v>45018</v>
      </c>
      <c r="H472" s="8"/>
      <c r="I472" s="8"/>
      <c r="J472" s="5">
        <f t="shared" si="57"/>
        <v>11</v>
      </c>
      <c r="K472" s="8" t="b">
        <f t="shared" si="58"/>
        <v>1</v>
      </c>
    </row>
    <row r="473" spans="1:11">
      <c r="A473" s="55" t="s">
        <v>40</v>
      </c>
      <c r="B473" s="17">
        <v>45023</v>
      </c>
      <c r="C473" s="20">
        <v>0.6</v>
      </c>
      <c r="D473" s="8">
        <v>9.67</v>
      </c>
      <c r="E473" s="8">
        <v>1752.8</v>
      </c>
      <c r="F473" s="8">
        <v>1772</v>
      </c>
      <c r="G473" s="17">
        <v>45023</v>
      </c>
      <c r="H473" s="8"/>
      <c r="I473" s="8"/>
      <c r="J473" s="5">
        <f t="shared" si="57"/>
        <v>19.200000000000045</v>
      </c>
      <c r="K473" s="8" t="b">
        <f t="shared" si="58"/>
        <v>1</v>
      </c>
    </row>
    <row r="474" spans="1:11">
      <c r="A474" s="55" t="s">
        <v>40</v>
      </c>
      <c r="B474" s="17">
        <v>45025</v>
      </c>
      <c r="C474" s="20">
        <v>1</v>
      </c>
      <c r="D474" s="8">
        <v>5.8</v>
      </c>
      <c r="E474" s="8">
        <v>1772</v>
      </c>
      <c r="F474" s="8">
        <v>1783.8</v>
      </c>
      <c r="G474" s="17">
        <v>45025</v>
      </c>
      <c r="H474" s="8"/>
      <c r="I474" s="8"/>
      <c r="J474" s="5">
        <f t="shared" si="57"/>
        <v>11.799999999999955</v>
      </c>
      <c r="K474" s="8" t="b">
        <f t="shared" si="58"/>
        <v>1</v>
      </c>
    </row>
    <row r="475" spans="1:11">
      <c r="A475" s="55" t="s">
        <v>40</v>
      </c>
      <c r="B475" s="17">
        <v>45036</v>
      </c>
      <c r="C475" s="20">
        <v>0.6</v>
      </c>
      <c r="D475" s="8">
        <v>9.67</v>
      </c>
      <c r="E475" s="8">
        <v>1783.8</v>
      </c>
      <c r="F475" s="8">
        <v>1803.6</v>
      </c>
      <c r="G475" s="17">
        <v>45036</v>
      </c>
      <c r="H475" s="8"/>
      <c r="I475" s="8"/>
      <c r="J475" s="5">
        <f t="shared" si="57"/>
        <v>19.799999999999955</v>
      </c>
      <c r="K475" s="8" t="b">
        <f t="shared" si="58"/>
        <v>1</v>
      </c>
    </row>
    <row r="476" spans="1:11">
      <c r="A476" s="55" t="s">
        <v>40</v>
      </c>
      <c r="B476" s="17">
        <v>45045</v>
      </c>
      <c r="C476" s="20">
        <v>0.8</v>
      </c>
      <c r="D476" s="8">
        <v>7.25</v>
      </c>
      <c r="E476" s="8">
        <v>1803.6</v>
      </c>
      <c r="F476" s="8">
        <v>1818.1</v>
      </c>
      <c r="G476" s="17">
        <v>45045</v>
      </c>
      <c r="H476" s="8"/>
      <c r="I476" s="8"/>
      <c r="J476" s="5">
        <f t="shared" si="57"/>
        <v>14.5</v>
      </c>
      <c r="K476" s="8" t="b">
        <f t="shared" si="58"/>
        <v>1</v>
      </c>
    </row>
    <row r="477" spans="1:11">
      <c r="A477" s="55" t="s">
        <v>27</v>
      </c>
      <c r="B477" s="17">
        <v>45048</v>
      </c>
      <c r="C477" s="20">
        <v>1</v>
      </c>
      <c r="D477" s="8">
        <v>5.8</v>
      </c>
      <c r="E477" s="8">
        <v>1818.1</v>
      </c>
      <c r="F477" s="8">
        <v>1824.8</v>
      </c>
      <c r="G477" s="17">
        <v>45048</v>
      </c>
      <c r="H477" s="8"/>
      <c r="I477" s="8"/>
      <c r="J477" s="5">
        <f t="shared" si="57"/>
        <v>6.7000000000000455</v>
      </c>
      <c r="K477" s="8" t="b">
        <f t="shared" si="58"/>
        <v>1</v>
      </c>
    </row>
    <row r="478" spans="1:11">
      <c r="A478" s="55" t="s">
        <v>43</v>
      </c>
      <c r="B478" s="17">
        <v>45053</v>
      </c>
      <c r="C478" s="20">
        <v>1</v>
      </c>
      <c r="D478" s="8">
        <v>5.8</v>
      </c>
      <c r="E478" s="8">
        <v>1824.8</v>
      </c>
      <c r="F478" s="8">
        <v>1833.6</v>
      </c>
      <c r="G478" s="17">
        <v>45053</v>
      </c>
      <c r="H478" s="8"/>
      <c r="I478" s="8"/>
      <c r="J478" s="5">
        <f t="shared" si="57"/>
        <v>8.7999999999999545</v>
      </c>
      <c r="K478" s="8" t="b">
        <f t="shared" si="58"/>
        <v>1</v>
      </c>
    </row>
    <row r="479" spans="1:11">
      <c r="A479" s="55" t="s">
        <v>44</v>
      </c>
      <c r="B479" s="17">
        <v>45056</v>
      </c>
      <c r="C479" s="20">
        <v>1</v>
      </c>
      <c r="D479" s="8">
        <v>5.8</v>
      </c>
      <c r="E479" s="8">
        <v>1833.6</v>
      </c>
      <c r="F479" s="8">
        <v>1836.7</v>
      </c>
      <c r="G479" s="17">
        <v>45056</v>
      </c>
      <c r="H479" s="8"/>
      <c r="I479" s="8"/>
      <c r="J479" s="5">
        <f t="shared" si="57"/>
        <v>3.1000000000001364</v>
      </c>
      <c r="K479" s="8" t="b">
        <f t="shared" si="58"/>
        <v>1</v>
      </c>
    </row>
    <row r="480" spans="1:11">
      <c r="A480" s="55" t="s">
        <v>40</v>
      </c>
      <c r="B480" s="17"/>
      <c r="C480" s="20"/>
      <c r="D480" s="8"/>
      <c r="E480" s="8"/>
      <c r="F480" s="8"/>
      <c r="G480" s="17"/>
      <c r="H480" s="8"/>
      <c r="I480" s="8"/>
      <c r="J480" s="5">
        <f t="shared" si="57"/>
        <v>0</v>
      </c>
      <c r="K480" s="8" t="b">
        <f t="shared" si="58"/>
        <v>0</v>
      </c>
    </row>
    <row r="482" spans="1:11" ht="26.25">
      <c r="A482" s="168" t="s">
        <v>20</v>
      </c>
      <c r="B482" s="169"/>
      <c r="C482" s="169"/>
      <c r="D482" s="169"/>
      <c r="E482" s="169"/>
      <c r="F482" s="169"/>
      <c r="G482" s="169"/>
      <c r="H482" s="169"/>
      <c r="I482" s="169"/>
      <c r="J482" s="169"/>
      <c r="K482" s="170"/>
    </row>
    <row r="483" spans="1:11" ht="26.25">
      <c r="A483" s="168" t="s">
        <v>45</v>
      </c>
      <c r="B483" s="169"/>
      <c r="C483" s="169"/>
      <c r="D483" s="169"/>
      <c r="E483" s="169"/>
      <c r="F483" s="169"/>
      <c r="G483" s="169"/>
      <c r="H483" s="169"/>
      <c r="I483" s="169"/>
      <c r="J483" s="169"/>
      <c r="K483" s="170"/>
    </row>
    <row r="484" spans="1:11" ht="15.75" thickBot="1"/>
    <row r="485" spans="1:11" ht="15.75" thickBot="1">
      <c r="A485" s="132" t="s">
        <v>2</v>
      </c>
      <c r="B485" s="133"/>
      <c r="C485" s="133"/>
      <c r="D485" s="133"/>
      <c r="E485" s="133"/>
      <c r="F485" s="133"/>
      <c r="G485" s="133"/>
      <c r="H485" s="133"/>
      <c r="I485" s="133"/>
      <c r="J485" s="133"/>
      <c r="K485" s="134"/>
    </row>
    <row r="487" spans="1:11" ht="19.5" thickBot="1">
      <c r="A487" s="1" t="s">
        <v>3</v>
      </c>
      <c r="B487" s="61"/>
      <c r="C487" s="64"/>
      <c r="D487" s="54"/>
      <c r="E487" s="1"/>
      <c r="F487" s="1"/>
      <c r="G487" s="61"/>
      <c r="H487" s="1"/>
      <c r="I487" s="1"/>
    </row>
    <row r="488" spans="1:11" ht="30.75" thickBot="1">
      <c r="A488" s="2" t="s">
        <v>4</v>
      </c>
      <c r="B488" s="62" t="s">
        <v>5</v>
      </c>
      <c r="C488" s="65" t="s">
        <v>6</v>
      </c>
      <c r="D488" s="3" t="s">
        <v>7</v>
      </c>
      <c r="E488" s="3" t="s">
        <v>8</v>
      </c>
      <c r="F488" s="3" t="s">
        <v>9</v>
      </c>
      <c r="G488" s="62" t="s">
        <v>10</v>
      </c>
      <c r="H488" s="3" t="s">
        <v>21</v>
      </c>
      <c r="I488" s="4" t="s">
        <v>22</v>
      </c>
      <c r="J488" s="4" t="s">
        <v>11</v>
      </c>
      <c r="K488" s="4" t="s">
        <v>12</v>
      </c>
    </row>
    <row r="489" spans="1:11">
      <c r="A489" s="5">
        <v>102</v>
      </c>
      <c r="B489" s="6">
        <v>45084</v>
      </c>
      <c r="C489" s="66">
        <v>0.6</v>
      </c>
      <c r="D489" s="5">
        <v>9.67</v>
      </c>
      <c r="E489" s="5">
        <v>0.1</v>
      </c>
      <c r="F489" s="5">
        <v>20.8</v>
      </c>
      <c r="G489" s="6">
        <v>45084</v>
      </c>
      <c r="H489" s="5"/>
      <c r="I489" s="5"/>
      <c r="J489" s="5">
        <f>F489-E489</f>
        <v>20.7</v>
      </c>
      <c r="K489" s="8" t="b">
        <f>E489=F479</f>
        <v>0</v>
      </c>
    </row>
    <row r="490" spans="1:11">
      <c r="A490" s="5">
        <v>102</v>
      </c>
      <c r="B490" s="6">
        <v>45085</v>
      </c>
      <c r="C490" s="66">
        <v>1</v>
      </c>
      <c r="D490" s="5">
        <v>5.8</v>
      </c>
      <c r="E490" s="5">
        <v>20.8</v>
      </c>
      <c r="F490" s="5">
        <v>32.9</v>
      </c>
      <c r="G490" s="6">
        <v>45085</v>
      </c>
      <c r="H490" s="5"/>
      <c r="I490" s="5"/>
      <c r="J490" s="5">
        <f>F490-E490</f>
        <v>12.099999999999998</v>
      </c>
      <c r="K490" s="8" t="b">
        <f>E490=F489</f>
        <v>1</v>
      </c>
    </row>
    <row r="491" spans="1:11">
      <c r="A491" s="5">
        <v>102</v>
      </c>
      <c r="B491" s="6">
        <v>45086</v>
      </c>
      <c r="C491" s="66">
        <v>1</v>
      </c>
      <c r="D491" s="5">
        <v>5.8</v>
      </c>
      <c r="E491" s="5">
        <v>32.9</v>
      </c>
      <c r="F491" s="5">
        <v>43.2</v>
      </c>
      <c r="G491" s="6">
        <v>45086</v>
      </c>
      <c r="H491" s="5"/>
      <c r="I491" s="5"/>
      <c r="J491" s="5">
        <f t="shared" ref="J491" si="59">F491-E491</f>
        <v>10.300000000000004</v>
      </c>
      <c r="K491" s="8" t="b">
        <f>E491=F490</f>
        <v>1</v>
      </c>
    </row>
    <row r="492" spans="1:11">
      <c r="A492" s="5">
        <v>102</v>
      </c>
      <c r="B492" s="6">
        <v>45087</v>
      </c>
      <c r="C492" s="66">
        <v>1</v>
      </c>
      <c r="D492" s="5">
        <v>5.8</v>
      </c>
      <c r="E492" s="5">
        <v>43.2</v>
      </c>
      <c r="F492" s="5">
        <v>54.8</v>
      </c>
      <c r="G492" s="6">
        <v>45087</v>
      </c>
      <c r="H492" s="5"/>
      <c r="I492" s="5"/>
      <c r="J492" s="5">
        <f t="shared" ref="J492:J506" si="60">F492-E492</f>
        <v>11.599999999999994</v>
      </c>
      <c r="K492" s="8" t="b">
        <f t="shared" ref="K492:K506" si="61">E492=F491</f>
        <v>1</v>
      </c>
    </row>
    <row r="493" spans="1:11">
      <c r="A493" s="5">
        <v>102</v>
      </c>
      <c r="B493" s="6">
        <v>45088</v>
      </c>
      <c r="C493" s="66">
        <v>1</v>
      </c>
      <c r="D493" s="5">
        <v>5.8</v>
      </c>
      <c r="E493" s="5">
        <v>54.8</v>
      </c>
      <c r="F493" s="5">
        <v>66.2</v>
      </c>
      <c r="G493" s="6">
        <v>45088</v>
      </c>
      <c r="H493" s="5"/>
      <c r="I493" s="5"/>
      <c r="J493" s="5">
        <f t="shared" si="60"/>
        <v>11.400000000000006</v>
      </c>
      <c r="K493" s="8" t="b">
        <f t="shared" si="61"/>
        <v>1</v>
      </c>
    </row>
    <row r="494" spans="1:11">
      <c r="A494" s="5">
        <v>102</v>
      </c>
      <c r="B494" s="6">
        <v>45089</v>
      </c>
      <c r="C494" s="66">
        <v>1</v>
      </c>
      <c r="D494" s="5">
        <v>5.8</v>
      </c>
      <c r="E494" s="5">
        <v>66.2</v>
      </c>
      <c r="F494" s="5">
        <v>77.7</v>
      </c>
      <c r="G494" s="6">
        <v>45089</v>
      </c>
      <c r="H494" s="5"/>
      <c r="I494" s="5"/>
      <c r="J494" s="5">
        <f t="shared" si="60"/>
        <v>11.5</v>
      </c>
      <c r="K494" s="8" t="b">
        <f t="shared" si="61"/>
        <v>1</v>
      </c>
    </row>
    <row r="495" spans="1:11">
      <c r="A495" s="5">
        <v>102</v>
      </c>
      <c r="B495" s="6">
        <v>45090</v>
      </c>
      <c r="C495" s="66">
        <v>1</v>
      </c>
      <c r="D495" s="5">
        <v>5.8</v>
      </c>
      <c r="E495" s="5">
        <v>77.7</v>
      </c>
      <c r="F495" s="5">
        <v>89.2</v>
      </c>
      <c r="G495" s="6">
        <v>45090</v>
      </c>
      <c r="H495" s="5"/>
      <c r="I495" s="5"/>
      <c r="J495" s="5">
        <f t="shared" si="60"/>
        <v>11.5</v>
      </c>
      <c r="K495" s="8" t="b">
        <f t="shared" si="61"/>
        <v>1</v>
      </c>
    </row>
    <row r="496" spans="1:11">
      <c r="A496" s="5">
        <v>102</v>
      </c>
      <c r="B496" s="6">
        <v>45091</v>
      </c>
      <c r="C496" s="66">
        <v>1</v>
      </c>
      <c r="D496" s="5">
        <v>5.8</v>
      </c>
      <c r="E496" s="5">
        <v>89.2</v>
      </c>
      <c r="F496" s="5">
        <v>100.7</v>
      </c>
      <c r="G496" s="6">
        <v>45091</v>
      </c>
      <c r="H496" s="5"/>
      <c r="I496" s="5"/>
      <c r="J496" s="5">
        <f t="shared" si="60"/>
        <v>11.5</v>
      </c>
      <c r="K496" s="8" t="b">
        <f t="shared" si="61"/>
        <v>1</v>
      </c>
    </row>
    <row r="497" spans="1:11">
      <c r="A497" s="5">
        <v>102</v>
      </c>
      <c r="B497" s="6">
        <v>45092</v>
      </c>
      <c r="C497" s="66">
        <v>1</v>
      </c>
      <c r="D497" s="5">
        <v>5.8</v>
      </c>
      <c r="E497" s="5">
        <v>100.7</v>
      </c>
      <c r="F497" s="5">
        <v>112.7</v>
      </c>
      <c r="G497" s="6">
        <v>45092</v>
      </c>
      <c r="H497" s="5"/>
      <c r="I497" s="5"/>
      <c r="J497" s="5">
        <f t="shared" si="60"/>
        <v>12</v>
      </c>
      <c r="K497" s="8" t="b">
        <f t="shared" si="61"/>
        <v>1</v>
      </c>
    </row>
    <row r="498" spans="1:11">
      <c r="A498" s="5">
        <v>102</v>
      </c>
      <c r="B498" s="6">
        <v>45094</v>
      </c>
      <c r="C498" s="66">
        <v>1</v>
      </c>
      <c r="D498" s="5">
        <v>5.8</v>
      </c>
      <c r="E498" s="5">
        <v>112.7</v>
      </c>
      <c r="F498" s="5">
        <v>124.3</v>
      </c>
      <c r="G498" s="6">
        <v>45094</v>
      </c>
      <c r="H498" s="5"/>
      <c r="I498" s="5"/>
      <c r="J498" s="5">
        <f t="shared" si="60"/>
        <v>11.599999999999994</v>
      </c>
      <c r="K498" s="8" t="b">
        <f t="shared" si="61"/>
        <v>1</v>
      </c>
    </row>
    <row r="499" spans="1:11">
      <c r="A499" s="5">
        <v>102</v>
      </c>
      <c r="B499" s="6">
        <v>45095</v>
      </c>
      <c r="C499" s="66">
        <v>1</v>
      </c>
      <c r="D499" s="5">
        <v>5.8</v>
      </c>
      <c r="E499" s="5">
        <v>124.3</v>
      </c>
      <c r="F499" s="5">
        <v>135.1</v>
      </c>
      <c r="G499" s="6">
        <v>45095</v>
      </c>
      <c r="H499" s="5"/>
      <c r="I499" s="5"/>
      <c r="J499" s="5">
        <f t="shared" si="60"/>
        <v>10.799999999999997</v>
      </c>
      <c r="K499" s="8" t="b">
        <f t="shared" si="61"/>
        <v>1</v>
      </c>
    </row>
    <row r="500" spans="1:11">
      <c r="A500" s="5">
        <v>102</v>
      </c>
      <c r="B500" s="6">
        <v>45097</v>
      </c>
      <c r="C500" s="66">
        <v>1</v>
      </c>
      <c r="D500" s="5">
        <v>5.8</v>
      </c>
      <c r="E500" s="5">
        <v>135.1</v>
      </c>
      <c r="F500" s="5">
        <v>146.5</v>
      </c>
      <c r="G500" s="6">
        <v>45097</v>
      </c>
      <c r="H500" s="5"/>
      <c r="I500" s="5"/>
      <c r="J500" s="5">
        <f t="shared" si="60"/>
        <v>11.400000000000006</v>
      </c>
      <c r="K500" s="8" t="b">
        <f t="shared" si="61"/>
        <v>1</v>
      </c>
    </row>
    <row r="501" spans="1:11">
      <c r="A501" s="5">
        <v>102</v>
      </c>
      <c r="B501" s="6">
        <v>45099</v>
      </c>
      <c r="C501" s="66">
        <v>0.7</v>
      </c>
      <c r="D501" s="5">
        <v>8.2899999999999991</v>
      </c>
      <c r="E501" s="5">
        <v>146.5</v>
      </c>
      <c r="F501" s="5">
        <v>162.9</v>
      </c>
      <c r="G501" s="6">
        <v>45099</v>
      </c>
      <c r="H501" s="5"/>
      <c r="I501" s="5"/>
      <c r="J501" s="5">
        <f t="shared" si="60"/>
        <v>16.400000000000006</v>
      </c>
      <c r="K501" s="8" t="b">
        <f t="shared" si="61"/>
        <v>1</v>
      </c>
    </row>
    <row r="502" spans="1:11">
      <c r="A502" s="5">
        <v>102</v>
      </c>
      <c r="B502" s="6">
        <v>45101</v>
      </c>
      <c r="C502" s="66">
        <v>0.8</v>
      </c>
      <c r="D502" s="5">
        <v>7.25</v>
      </c>
      <c r="E502" s="5">
        <v>162.9</v>
      </c>
      <c r="F502" s="5">
        <v>177.1</v>
      </c>
      <c r="G502" s="6">
        <v>45101</v>
      </c>
      <c r="H502" s="5"/>
      <c r="I502" s="5"/>
      <c r="J502" s="5">
        <f t="shared" si="60"/>
        <v>14.199999999999989</v>
      </c>
      <c r="K502" s="8" t="b">
        <f t="shared" si="61"/>
        <v>1</v>
      </c>
    </row>
    <row r="503" spans="1:11">
      <c r="A503" s="5">
        <v>102</v>
      </c>
      <c r="B503" s="6">
        <v>45103</v>
      </c>
      <c r="C503" s="66">
        <v>0.8</v>
      </c>
      <c r="D503" s="5">
        <v>7.25</v>
      </c>
      <c r="E503" s="5">
        <v>177.1</v>
      </c>
      <c r="F503" s="5">
        <v>191.4</v>
      </c>
      <c r="G503" s="6">
        <v>45103</v>
      </c>
      <c r="H503" s="5"/>
      <c r="I503" s="5"/>
      <c r="J503" s="5">
        <f t="shared" si="60"/>
        <v>14.300000000000011</v>
      </c>
      <c r="K503" s="8" t="b">
        <f t="shared" si="61"/>
        <v>1</v>
      </c>
    </row>
    <row r="504" spans="1:11">
      <c r="A504" s="5">
        <v>102</v>
      </c>
      <c r="B504" s="6">
        <v>45105</v>
      </c>
      <c r="C504" s="66">
        <v>0.8</v>
      </c>
      <c r="D504" s="5">
        <v>7.25</v>
      </c>
      <c r="E504" s="5">
        <v>191.4</v>
      </c>
      <c r="F504" s="5">
        <v>205.6</v>
      </c>
      <c r="G504" s="6">
        <v>45105</v>
      </c>
      <c r="H504" s="5"/>
      <c r="I504" s="5"/>
      <c r="J504" s="5">
        <f t="shared" si="60"/>
        <v>14.199999999999989</v>
      </c>
      <c r="K504" s="8" t="b">
        <f t="shared" si="61"/>
        <v>1</v>
      </c>
    </row>
    <row r="505" spans="1:11">
      <c r="A505" s="5">
        <v>102</v>
      </c>
      <c r="B505" s="6"/>
      <c r="C505" s="66"/>
      <c r="D505" s="5"/>
      <c r="E505" s="5"/>
      <c r="F505" s="5"/>
      <c r="G505" s="6"/>
      <c r="H505" s="5"/>
      <c r="I505" s="5"/>
      <c r="J505" s="5">
        <f t="shared" si="60"/>
        <v>0</v>
      </c>
      <c r="K505" s="8" t="b">
        <f t="shared" si="61"/>
        <v>0</v>
      </c>
    </row>
    <row r="506" spans="1:11">
      <c r="A506" s="5">
        <v>102</v>
      </c>
      <c r="B506" s="6"/>
      <c r="C506" s="66"/>
      <c r="D506" s="5"/>
      <c r="E506" s="5"/>
      <c r="F506" s="5"/>
      <c r="G506" s="6"/>
      <c r="H506" s="5"/>
      <c r="I506" s="5"/>
      <c r="J506" s="5">
        <f t="shared" si="60"/>
        <v>0</v>
      </c>
      <c r="K506" s="8" t="b">
        <f t="shared" si="61"/>
        <v>1</v>
      </c>
    </row>
    <row r="507" spans="1:11">
      <c r="A507" s="11"/>
      <c r="B507" s="12"/>
      <c r="C507" s="95"/>
      <c r="E507" s="15"/>
      <c r="F507" s="15"/>
      <c r="G507" s="12"/>
      <c r="H507" s="15"/>
      <c r="I507" s="15"/>
      <c r="J507" s="15"/>
      <c r="K507" s="16"/>
    </row>
    <row r="508" spans="1:11" ht="26.25">
      <c r="A508" s="138" t="s">
        <v>20</v>
      </c>
      <c r="B508" s="159"/>
      <c r="C508" s="159"/>
      <c r="D508" s="159"/>
      <c r="E508" s="159"/>
      <c r="F508" s="159"/>
      <c r="G508" s="159"/>
      <c r="H508" s="159"/>
      <c r="I508" s="159"/>
      <c r="J508" s="159"/>
      <c r="K508" s="160"/>
    </row>
    <row r="509" spans="1:11" ht="26.25">
      <c r="A509" s="138" t="s">
        <v>46</v>
      </c>
      <c r="B509" s="159"/>
      <c r="C509" s="159"/>
      <c r="D509" s="159"/>
      <c r="E509" s="159"/>
      <c r="F509" s="159"/>
      <c r="G509" s="159"/>
      <c r="H509" s="159"/>
      <c r="I509" s="159"/>
      <c r="J509" s="159"/>
      <c r="K509" s="160"/>
    </row>
    <row r="510" spans="1:11" ht="15.75" thickBot="1"/>
    <row r="511" spans="1:11" ht="15.75" thickBot="1">
      <c r="A511" s="132" t="s">
        <v>2</v>
      </c>
      <c r="B511" s="133"/>
      <c r="C511" s="133"/>
      <c r="D511" s="133"/>
      <c r="E511" s="133"/>
      <c r="F511" s="133"/>
      <c r="G511" s="133"/>
      <c r="H511" s="133"/>
      <c r="I511" s="133"/>
      <c r="J511" s="133"/>
      <c r="K511" s="134"/>
    </row>
    <row r="513" spans="1:11" ht="19.5" thickBot="1">
      <c r="A513" s="1" t="s">
        <v>3</v>
      </c>
      <c r="B513" s="61"/>
      <c r="C513" s="64"/>
      <c r="D513" s="54"/>
      <c r="E513" s="1"/>
      <c r="F513" s="1"/>
      <c r="G513" s="61"/>
      <c r="H513" s="1"/>
      <c r="I513" s="1"/>
    </row>
    <row r="514" spans="1:11" ht="30.75" thickBot="1">
      <c r="A514" s="2" t="s">
        <v>4</v>
      </c>
      <c r="B514" s="62" t="s">
        <v>5</v>
      </c>
      <c r="C514" s="65" t="s">
        <v>6</v>
      </c>
      <c r="D514" s="3" t="s">
        <v>7</v>
      </c>
      <c r="E514" s="3" t="s">
        <v>8</v>
      </c>
      <c r="F514" s="3" t="s">
        <v>9</v>
      </c>
      <c r="G514" s="62" t="s">
        <v>10</v>
      </c>
      <c r="H514" s="3" t="s">
        <v>21</v>
      </c>
      <c r="I514" s="4" t="s">
        <v>22</v>
      </c>
      <c r="J514" s="4" t="s">
        <v>11</v>
      </c>
      <c r="K514" s="4" t="s">
        <v>12</v>
      </c>
    </row>
    <row r="515" spans="1:11">
      <c r="A515" s="5">
        <v>102</v>
      </c>
      <c r="B515" s="6">
        <v>45198</v>
      </c>
      <c r="C515" s="66">
        <v>0.6</v>
      </c>
      <c r="D515" s="5">
        <v>9.67</v>
      </c>
      <c r="E515" s="5">
        <v>205.9</v>
      </c>
      <c r="F515" s="5">
        <v>214.9</v>
      </c>
      <c r="G515" s="6">
        <v>45198</v>
      </c>
      <c r="H515" s="5"/>
      <c r="I515" s="5"/>
      <c r="J515" s="5">
        <f t="shared" ref="J515:J520" si="62">F515-E515</f>
        <v>9</v>
      </c>
      <c r="K515" s="8" t="b">
        <f t="shared" ref="K515:K520" si="63">E515=F514</f>
        <v>0</v>
      </c>
    </row>
    <row r="516" spans="1:11">
      <c r="A516" s="5">
        <v>102</v>
      </c>
      <c r="B516" s="6">
        <v>45199</v>
      </c>
      <c r="C516" s="66">
        <v>0.6</v>
      </c>
      <c r="D516" s="5">
        <v>9.67</v>
      </c>
      <c r="E516" s="5">
        <v>214.9</v>
      </c>
      <c r="F516" s="5">
        <v>224.9</v>
      </c>
      <c r="G516" s="6">
        <v>45199</v>
      </c>
      <c r="H516" s="5"/>
      <c r="I516" s="5"/>
      <c r="J516" s="5">
        <f t="shared" si="62"/>
        <v>10</v>
      </c>
      <c r="K516" s="8" t="b">
        <f t="shared" si="63"/>
        <v>1</v>
      </c>
    </row>
    <row r="517" spans="1:11">
      <c r="A517" s="5">
        <v>102</v>
      </c>
      <c r="B517" s="6">
        <v>45202</v>
      </c>
      <c r="C517" s="66">
        <v>0.5</v>
      </c>
      <c r="D517" s="5">
        <v>11.16</v>
      </c>
      <c r="E517" s="5">
        <v>224.9</v>
      </c>
      <c r="F517" s="5">
        <v>236</v>
      </c>
      <c r="G517" s="6">
        <v>45202</v>
      </c>
      <c r="H517" s="5"/>
      <c r="I517" s="5"/>
      <c r="J517" s="5">
        <f t="shared" si="62"/>
        <v>11.099999999999994</v>
      </c>
      <c r="K517" s="8" t="b">
        <f t="shared" si="63"/>
        <v>1</v>
      </c>
    </row>
    <row r="518" spans="1:11">
      <c r="A518" s="5">
        <v>102</v>
      </c>
      <c r="B518" s="6">
        <v>45203</v>
      </c>
      <c r="C518" s="66">
        <v>0.5</v>
      </c>
      <c r="D518" s="5">
        <v>11.16</v>
      </c>
      <c r="E518" s="5">
        <v>236</v>
      </c>
      <c r="F518" s="5">
        <v>247.9</v>
      </c>
      <c r="G518" s="6">
        <v>45203</v>
      </c>
      <c r="H518" s="5"/>
      <c r="I518" s="5"/>
      <c r="J518" s="5">
        <f t="shared" si="62"/>
        <v>11.900000000000006</v>
      </c>
      <c r="K518" s="8" t="b">
        <f t="shared" si="63"/>
        <v>1</v>
      </c>
    </row>
    <row r="519" spans="1:11">
      <c r="A519" s="5">
        <v>102</v>
      </c>
      <c r="B519" s="6">
        <v>45205</v>
      </c>
      <c r="C519" s="66">
        <v>0.5</v>
      </c>
      <c r="D519" s="5">
        <v>11.16</v>
      </c>
      <c r="E519" s="5">
        <v>247.9</v>
      </c>
      <c r="F519" s="5">
        <v>270.8</v>
      </c>
      <c r="G519" s="6">
        <v>45205</v>
      </c>
      <c r="H519" s="5"/>
      <c r="I519" s="5"/>
      <c r="J519" s="5">
        <f t="shared" si="62"/>
        <v>22.900000000000006</v>
      </c>
      <c r="K519" s="8" t="b">
        <f t="shared" si="63"/>
        <v>1</v>
      </c>
    </row>
    <row r="520" spans="1:11">
      <c r="A520" s="5">
        <v>102</v>
      </c>
      <c r="B520" s="6">
        <v>45206</v>
      </c>
      <c r="C520" s="66">
        <v>1</v>
      </c>
      <c r="D520" s="5">
        <v>5.58</v>
      </c>
      <c r="E520" s="5">
        <v>270.8</v>
      </c>
      <c r="F520" s="5">
        <v>282.2</v>
      </c>
      <c r="G520" s="6">
        <v>45206</v>
      </c>
      <c r="H520" s="5"/>
      <c r="I520" s="5"/>
      <c r="J520" s="5">
        <f t="shared" si="62"/>
        <v>11.399999999999977</v>
      </c>
      <c r="K520" s="8" t="b">
        <f t="shared" si="63"/>
        <v>1</v>
      </c>
    </row>
    <row r="521" spans="1:11">
      <c r="A521" s="5">
        <v>102</v>
      </c>
      <c r="B521" s="6">
        <v>45207</v>
      </c>
      <c r="C521" s="66">
        <v>1</v>
      </c>
      <c r="D521" s="5">
        <v>5.58</v>
      </c>
      <c r="E521" s="5">
        <v>282.2</v>
      </c>
      <c r="F521" s="5">
        <v>293.7</v>
      </c>
      <c r="G521" s="6">
        <v>45207</v>
      </c>
      <c r="H521" s="5"/>
      <c r="I521" s="5"/>
      <c r="J521" s="5">
        <f t="shared" ref="J521:J532" si="64">F521-E521</f>
        <v>11.5</v>
      </c>
      <c r="K521" s="8" t="b">
        <f t="shared" ref="K521:K532" si="65">E521=F520</f>
        <v>1</v>
      </c>
    </row>
    <row r="522" spans="1:11">
      <c r="A522" s="5">
        <v>102</v>
      </c>
      <c r="B522" s="6">
        <v>45208</v>
      </c>
      <c r="C522" s="66">
        <v>1</v>
      </c>
      <c r="D522" s="5">
        <v>5.58</v>
      </c>
      <c r="E522" s="5">
        <v>293.7</v>
      </c>
      <c r="F522" s="5">
        <v>305.10000000000002</v>
      </c>
      <c r="G522" s="6">
        <v>45208</v>
      </c>
      <c r="H522" s="5"/>
      <c r="I522" s="5"/>
      <c r="J522" s="5">
        <f t="shared" si="64"/>
        <v>11.400000000000034</v>
      </c>
      <c r="K522" s="8" t="b">
        <f t="shared" si="65"/>
        <v>1</v>
      </c>
    </row>
    <row r="523" spans="1:11">
      <c r="A523" s="5">
        <v>102</v>
      </c>
      <c r="B523" s="6">
        <v>45210</v>
      </c>
      <c r="C523" s="66">
        <v>1</v>
      </c>
      <c r="D523" s="5">
        <v>5.58</v>
      </c>
      <c r="E523" s="5">
        <v>305.10000000000002</v>
      </c>
      <c r="F523" s="5">
        <v>319.3</v>
      </c>
      <c r="G523" s="6">
        <v>45210</v>
      </c>
      <c r="H523" s="5"/>
      <c r="I523" s="5"/>
      <c r="J523" s="5">
        <f t="shared" si="64"/>
        <v>14.199999999999989</v>
      </c>
      <c r="K523" s="8" t="b">
        <f t="shared" si="65"/>
        <v>1</v>
      </c>
    </row>
    <row r="524" spans="1:11">
      <c r="A524" s="5">
        <v>102</v>
      </c>
      <c r="B524" s="6">
        <v>45211</v>
      </c>
      <c r="C524" s="66">
        <v>1</v>
      </c>
      <c r="D524" s="5">
        <v>5.58</v>
      </c>
      <c r="E524" s="5">
        <v>319.3</v>
      </c>
      <c r="F524" s="5">
        <v>328.2</v>
      </c>
      <c r="G524" s="6">
        <v>45211</v>
      </c>
      <c r="H524" s="5"/>
      <c r="I524" s="5"/>
      <c r="J524" s="5">
        <f t="shared" si="64"/>
        <v>8.8999999999999773</v>
      </c>
      <c r="K524" s="8" t="b">
        <f t="shared" si="65"/>
        <v>1</v>
      </c>
    </row>
    <row r="525" spans="1:11">
      <c r="A525" s="5">
        <v>102</v>
      </c>
      <c r="B525" s="6">
        <v>45212</v>
      </c>
      <c r="C525" s="66">
        <v>0.7</v>
      </c>
      <c r="D525" s="5">
        <v>8.2899999999999991</v>
      </c>
      <c r="E525" s="5">
        <v>328.2</v>
      </c>
      <c r="F525" s="5">
        <v>344.7</v>
      </c>
      <c r="G525" s="6">
        <v>45212</v>
      </c>
      <c r="H525" s="5"/>
      <c r="I525" s="5"/>
      <c r="J525" s="5">
        <f t="shared" si="64"/>
        <v>16.5</v>
      </c>
      <c r="K525" s="8" t="b">
        <f t="shared" si="65"/>
        <v>1</v>
      </c>
    </row>
    <row r="526" spans="1:11">
      <c r="A526" s="5">
        <v>102</v>
      </c>
      <c r="B526" s="6">
        <v>45213</v>
      </c>
      <c r="C526" s="66">
        <v>1</v>
      </c>
      <c r="D526" s="5">
        <v>5.58</v>
      </c>
      <c r="E526" s="5">
        <v>344.7</v>
      </c>
      <c r="F526" s="5">
        <v>356.1</v>
      </c>
      <c r="G526" s="6">
        <v>45213</v>
      </c>
      <c r="H526" s="5"/>
      <c r="I526" s="5"/>
      <c r="J526" s="5">
        <f t="shared" si="64"/>
        <v>11.400000000000034</v>
      </c>
      <c r="K526" s="8" t="b">
        <f t="shared" si="65"/>
        <v>1</v>
      </c>
    </row>
    <row r="527" spans="1:11">
      <c r="A527" s="5">
        <v>102</v>
      </c>
      <c r="B527" s="6">
        <v>45214</v>
      </c>
      <c r="C527" s="66">
        <v>1</v>
      </c>
      <c r="D527" s="5">
        <v>5.58</v>
      </c>
      <c r="E527" s="5">
        <v>356.1</v>
      </c>
      <c r="F527" s="5">
        <v>367.5</v>
      </c>
      <c r="G527" s="6">
        <v>45214</v>
      </c>
      <c r="H527" s="5"/>
      <c r="I527" s="5"/>
      <c r="J527" s="5">
        <f t="shared" si="64"/>
        <v>11.399999999999977</v>
      </c>
      <c r="K527" s="8" t="b">
        <f t="shared" si="65"/>
        <v>1</v>
      </c>
    </row>
    <row r="528" spans="1:11">
      <c r="A528" s="5">
        <v>102</v>
      </c>
      <c r="B528" s="6">
        <v>45215</v>
      </c>
      <c r="C528" s="66">
        <v>1</v>
      </c>
      <c r="D528" s="5">
        <v>5.58</v>
      </c>
      <c r="E528" s="5">
        <v>367.5</v>
      </c>
      <c r="F528" s="5">
        <v>378.9</v>
      </c>
      <c r="G528" s="6">
        <v>45215</v>
      </c>
      <c r="H528" s="5"/>
      <c r="I528" s="5"/>
      <c r="J528" s="5">
        <f t="shared" si="64"/>
        <v>11.399999999999977</v>
      </c>
      <c r="K528" s="8" t="b">
        <f t="shared" si="65"/>
        <v>1</v>
      </c>
    </row>
    <row r="529" spans="1:11">
      <c r="A529" s="5">
        <v>102</v>
      </c>
      <c r="B529" s="6">
        <v>45216</v>
      </c>
      <c r="C529" s="66">
        <v>1</v>
      </c>
      <c r="D529" s="5">
        <v>5.58</v>
      </c>
      <c r="E529" s="5">
        <v>378.9</v>
      </c>
      <c r="F529" s="5">
        <v>390.4</v>
      </c>
      <c r="G529" s="6">
        <v>45216</v>
      </c>
      <c r="H529" s="5"/>
      <c r="I529" s="5"/>
      <c r="J529" s="5">
        <f t="shared" si="64"/>
        <v>11.5</v>
      </c>
      <c r="K529" s="8" t="b">
        <f t="shared" si="65"/>
        <v>1</v>
      </c>
    </row>
    <row r="530" spans="1:11">
      <c r="A530" s="5">
        <v>102</v>
      </c>
      <c r="B530" s="6">
        <v>45217</v>
      </c>
      <c r="C530" s="66">
        <v>1</v>
      </c>
      <c r="D530" s="5">
        <v>5.58</v>
      </c>
      <c r="E530" s="5">
        <v>390.4</v>
      </c>
      <c r="F530" s="5">
        <v>401.8</v>
      </c>
      <c r="G530" s="6">
        <v>45217</v>
      </c>
      <c r="H530" s="5"/>
      <c r="I530" s="5"/>
      <c r="J530" s="5">
        <f t="shared" si="64"/>
        <v>11.400000000000034</v>
      </c>
      <c r="K530" s="8" t="b">
        <f t="shared" si="65"/>
        <v>1</v>
      </c>
    </row>
    <row r="531" spans="1:11">
      <c r="A531" s="5">
        <v>102</v>
      </c>
      <c r="B531" s="6">
        <v>45218</v>
      </c>
      <c r="C531" s="66">
        <v>1</v>
      </c>
      <c r="D531" s="5">
        <v>5.58</v>
      </c>
      <c r="E531" s="5">
        <v>401.8</v>
      </c>
      <c r="F531" s="5">
        <v>413.2</v>
      </c>
      <c r="G531" s="6">
        <v>45218</v>
      </c>
      <c r="H531" s="5"/>
      <c r="I531" s="5"/>
      <c r="J531" s="5">
        <f t="shared" si="64"/>
        <v>11.399999999999977</v>
      </c>
      <c r="K531" s="8" t="b">
        <f t="shared" si="65"/>
        <v>1</v>
      </c>
    </row>
    <row r="532" spans="1:11">
      <c r="A532" s="5">
        <v>102</v>
      </c>
      <c r="B532" s="6">
        <v>45219</v>
      </c>
      <c r="C532" s="66">
        <v>1</v>
      </c>
      <c r="D532" s="5">
        <v>5.58</v>
      </c>
      <c r="E532" s="5">
        <v>413.2</v>
      </c>
      <c r="F532" s="5">
        <v>424.7</v>
      </c>
      <c r="G532" s="6">
        <v>45219</v>
      </c>
      <c r="H532" s="5"/>
      <c r="I532" s="5"/>
      <c r="J532" s="5">
        <f t="shared" si="64"/>
        <v>11.5</v>
      </c>
      <c r="K532" s="8" t="b">
        <f t="shared" si="65"/>
        <v>1</v>
      </c>
    </row>
    <row r="533" spans="1:11">
      <c r="A533" s="5">
        <v>102</v>
      </c>
      <c r="B533" s="6">
        <v>45220</v>
      </c>
      <c r="C533" s="66">
        <v>1</v>
      </c>
      <c r="D533" s="5">
        <v>5.58</v>
      </c>
      <c r="E533" s="5">
        <v>424.7</v>
      </c>
      <c r="F533" s="5">
        <v>436.1</v>
      </c>
      <c r="G533" s="6">
        <v>45220</v>
      </c>
      <c r="H533" s="5"/>
      <c r="I533" s="5"/>
      <c r="J533" s="5">
        <f t="shared" ref="J533:J543" si="66">F533-E533</f>
        <v>11.400000000000034</v>
      </c>
      <c r="K533" s="8" t="b">
        <f t="shared" ref="K533:K543" si="67">E533=F532</f>
        <v>1</v>
      </c>
    </row>
    <row r="534" spans="1:11">
      <c r="A534" s="5">
        <v>102</v>
      </c>
      <c r="B534" s="6">
        <v>45221</v>
      </c>
      <c r="C534" s="66">
        <v>1</v>
      </c>
      <c r="D534" s="5">
        <v>5.58</v>
      </c>
      <c r="E534" s="5">
        <v>436.1</v>
      </c>
      <c r="F534" s="5">
        <v>448.2</v>
      </c>
      <c r="G534" s="6">
        <v>45221</v>
      </c>
      <c r="H534" s="5"/>
      <c r="I534" s="5"/>
      <c r="J534" s="5">
        <f t="shared" si="66"/>
        <v>12.099999999999966</v>
      </c>
      <c r="K534" s="8" t="b">
        <f t="shared" si="67"/>
        <v>1</v>
      </c>
    </row>
    <row r="535" spans="1:11">
      <c r="A535" s="5">
        <v>102</v>
      </c>
      <c r="B535" s="6">
        <v>45222</v>
      </c>
      <c r="C535" s="66">
        <v>1</v>
      </c>
      <c r="D535" s="5">
        <v>5.58</v>
      </c>
      <c r="E535" s="5">
        <v>448.2</v>
      </c>
      <c r="F535" s="5">
        <v>459.6</v>
      </c>
      <c r="G535" s="6">
        <v>45222</v>
      </c>
      <c r="H535" s="5"/>
      <c r="I535" s="5"/>
      <c r="J535" s="5">
        <f t="shared" si="66"/>
        <v>11.400000000000034</v>
      </c>
      <c r="K535" s="8" t="b">
        <f t="shared" si="67"/>
        <v>1</v>
      </c>
    </row>
    <row r="536" spans="1:11">
      <c r="A536" s="5">
        <v>102</v>
      </c>
      <c r="B536" s="6">
        <v>45223</v>
      </c>
      <c r="C536" s="66">
        <v>1</v>
      </c>
      <c r="D536" s="5">
        <v>5.58</v>
      </c>
      <c r="E536" s="5">
        <v>459.6</v>
      </c>
      <c r="F536" s="5">
        <v>471</v>
      </c>
      <c r="G536" s="6">
        <v>45223</v>
      </c>
      <c r="H536" s="5"/>
      <c r="I536" s="5"/>
      <c r="J536" s="5">
        <f t="shared" si="66"/>
        <v>11.399999999999977</v>
      </c>
      <c r="K536" s="8" t="b">
        <f t="shared" si="67"/>
        <v>1</v>
      </c>
    </row>
    <row r="537" spans="1:11">
      <c r="A537" s="5">
        <v>102</v>
      </c>
      <c r="B537" s="6">
        <v>45224</v>
      </c>
      <c r="C537" s="66">
        <v>1</v>
      </c>
      <c r="D537" s="5">
        <v>5.58</v>
      </c>
      <c r="E537" s="5">
        <v>471</v>
      </c>
      <c r="F537" s="5">
        <v>482.5</v>
      </c>
      <c r="G537" s="6">
        <v>45224</v>
      </c>
      <c r="H537" s="5"/>
      <c r="I537" s="5"/>
      <c r="J537" s="5">
        <f t="shared" si="66"/>
        <v>11.5</v>
      </c>
      <c r="K537" s="8" t="b">
        <f t="shared" si="67"/>
        <v>1</v>
      </c>
    </row>
    <row r="538" spans="1:11">
      <c r="A538" s="101">
        <v>102</v>
      </c>
      <c r="B538" s="102">
        <v>45225</v>
      </c>
      <c r="C538" s="104">
        <v>1</v>
      </c>
      <c r="D538" s="101">
        <v>5.58</v>
      </c>
      <c r="E538" s="101">
        <v>482.5</v>
      </c>
      <c r="F538" s="101">
        <v>488.5</v>
      </c>
      <c r="G538" s="102">
        <v>45225</v>
      </c>
      <c r="H538" s="101"/>
      <c r="I538" s="101"/>
      <c r="J538" s="101">
        <f t="shared" si="66"/>
        <v>6</v>
      </c>
      <c r="K538" s="8" t="b">
        <f t="shared" si="67"/>
        <v>1</v>
      </c>
    </row>
    <row r="539" spans="1:11">
      <c r="A539" s="5">
        <v>102</v>
      </c>
      <c r="B539" s="6">
        <v>45227</v>
      </c>
      <c r="C539" s="66">
        <v>0.8</v>
      </c>
      <c r="D539" s="5">
        <v>6.89</v>
      </c>
      <c r="E539" s="5">
        <v>488.5</v>
      </c>
      <c r="F539" s="5">
        <v>503.1</v>
      </c>
      <c r="G539" s="6">
        <v>45227</v>
      </c>
      <c r="H539" s="5"/>
      <c r="I539" s="5"/>
      <c r="J539" s="5">
        <f t="shared" si="66"/>
        <v>14.600000000000023</v>
      </c>
      <c r="K539" s="8" t="b">
        <f t="shared" si="67"/>
        <v>1</v>
      </c>
    </row>
    <row r="540" spans="1:11">
      <c r="A540" s="5">
        <v>102</v>
      </c>
      <c r="B540" s="6">
        <v>45229</v>
      </c>
      <c r="C540" s="66">
        <v>0.8</v>
      </c>
      <c r="D540" s="5">
        <v>6.89</v>
      </c>
      <c r="E540" s="5">
        <v>503.1</v>
      </c>
      <c r="F540" s="5">
        <v>517.29999999999995</v>
      </c>
      <c r="G540" s="6">
        <v>45229</v>
      </c>
      <c r="H540" s="5"/>
      <c r="I540" s="5"/>
      <c r="J540" s="5">
        <f t="shared" si="66"/>
        <v>14.199999999999932</v>
      </c>
      <c r="K540" s="8" t="b">
        <f t="shared" si="67"/>
        <v>1</v>
      </c>
    </row>
    <row r="541" spans="1:11">
      <c r="A541" s="5">
        <v>102</v>
      </c>
      <c r="B541" s="6">
        <v>45231</v>
      </c>
      <c r="C541" s="66">
        <v>0.8</v>
      </c>
      <c r="D541" s="5">
        <v>6.89</v>
      </c>
      <c r="E541" s="5">
        <v>517.29999999999995</v>
      </c>
      <c r="F541" s="5">
        <v>531.6</v>
      </c>
      <c r="G541" s="6">
        <v>45231</v>
      </c>
      <c r="H541" s="5"/>
      <c r="I541" s="5"/>
      <c r="J541" s="5">
        <f t="shared" si="66"/>
        <v>14.300000000000068</v>
      </c>
      <c r="K541" s="8" t="b">
        <f t="shared" si="67"/>
        <v>1</v>
      </c>
    </row>
    <row r="542" spans="1:11">
      <c r="A542" s="80">
        <v>102</v>
      </c>
      <c r="B542" s="81">
        <v>45232</v>
      </c>
      <c r="C542" s="105">
        <v>1</v>
      </c>
      <c r="D542" s="80">
        <v>5.58</v>
      </c>
      <c r="E542" s="80">
        <v>531.6</v>
      </c>
      <c r="F542" s="80">
        <v>537.5</v>
      </c>
      <c r="G542" s="81">
        <v>45232</v>
      </c>
      <c r="H542" s="80"/>
      <c r="I542" s="80"/>
      <c r="J542" s="80">
        <f t="shared" si="66"/>
        <v>5.8999999999999773</v>
      </c>
      <c r="K542" s="8" t="b">
        <f t="shared" si="67"/>
        <v>1</v>
      </c>
    </row>
    <row r="543" spans="1:11">
      <c r="A543" s="101">
        <v>102</v>
      </c>
      <c r="B543" s="102">
        <v>45234</v>
      </c>
      <c r="C543" s="104">
        <v>1</v>
      </c>
      <c r="D543" s="101">
        <v>5.58</v>
      </c>
      <c r="E543" s="101">
        <v>537.5</v>
      </c>
      <c r="F543" s="101">
        <v>542.70000000000005</v>
      </c>
      <c r="G543" s="102">
        <v>45234</v>
      </c>
      <c r="H543" s="101"/>
      <c r="I543" s="101"/>
      <c r="J543" s="101">
        <f t="shared" si="66"/>
        <v>5.2000000000000455</v>
      </c>
      <c r="K543" s="8" t="b">
        <f t="shared" si="67"/>
        <v>1</v>
      </c>
    </row>
    <row r="544" spans="1:11">
      <c r="A544" s="5">
        <v>102</v>
      </c>
      <c r="B544" s="6">
        <v>45236</v>
      </c>
      <c r="C544" s="66">
        <v>0.8</v>
      </c>
      <c r="D544" s="5">
        <v>6.89</v>
      </c>
      <c r="E544" s="5">
        <v>542.70000000000005</v>
      </c>
      <c r="F544" s="5">
        <v>557.79999999999995</v>
      </c>
      <c r="G544" s="6">
        <v>45236</v>
      </c>
      <c r="H544" s="5"/>
      <c r="I544" s="5"/>
      <c r="J544" s="5">
        <f t="shared" ref="J544:J558" si="68">F544-E544</f>
        <v>15.099999999999909</v>
      </c>
      <c r="K544" s="8" t="b">
        <f t="shared" ref="K544:K558" si="69">E544=F543</f>
        <v>1</v>
      </c>
    </row>
    <row r="545" spans="1:11">
      <c r="A545" s="5">
        <v>102</v>
      </c>
      <c r="B545" s="6">
        <v>45238</v>
      </c>
      <c r="C545" s="66">
        <v>0.8</v>
      </c>
      <c r="D545" s="5">
        <v>6.89</v>
      </c>
      <c r="E545" s="5">
        <v>557.79999999999995</v>
      </c>
      <c r="F545" s="5">
        <v>572.9</v>
      </c>
      <c r="G545" s="6">
        <v>45238</v>
      </c>
      <c r="H545" s="5"/>
      <c r="I545" s="5"/>
      <c r="J545" s="5">
        <f t="shared" si="68"/>
        <v>15.100000000000023</v>
      </c>
      <c r="K545" s="8" t="b">
        <f t="shared" si="69"/>
        <v>1</v>
      </c>
    </row>
    <row r="546" spans="1:11">
      <c r="A546" s="80">
        <v>102</v>
      </c>
      <c r="B546" s="81">
        <v>45239</v>
      </c>
      <c r="C546" s="105">
        <v>1</v>
      </c>
      <c r="D546" s="80">
        <v>5.58</v>
      </c>
      <c r="E546" s="80">
        <v>572.9</v>
      </c>
      <c r="F546" s="80">
        <v>584.70000000000005</v>
      </c>
      <c r="G546" s="81">
        <v>45239</v>
      </c>
      <c r="H546" s="80"/>
      <c r="I546" s="80"/>
      <c r="J546" s="80">
        <f t="shared" si="68"/>
        <v>11.800000000000068</v>
      </c>
      <c r="K546" s="8" t="b">
        <f t="shared" si="69"/>
        <v>1</v>
      </c>
    </row>
    <row r="547" spans="1:11">
      <c r="A547" s="5">
        <v>102</v>
      </c>
      <c r="B547" s="6">
        <v>45241</v>
      </c>
      <c r="C547" s="66">
        <v>1</v>
      </c>
      <c r="D547" s="5">
        <v>5.58</v>
      </c>
      <c r="E547" s="5">
        <v>584.70000000000005</v>
      </c>
      <c r="F547" s="5">
        <v>596.20000000000005</v>
      </c>
      <c r="G547" s="6">
        <v>45241</v>
      </c>
      <c r="H547" s="5"/>
      <c r="I547" s="5"/>
      <c r="J547" s="5">
        <f t="shared" si="68"/>
        <v>11.5</v>
      </c>
      <c r="K547" s="8" t="b">
        <f t="shared" si="69"/>
        <v>1</v>
      </c>
    </row>
    <row r="548" spans="1:11">
      <c r="A548" s="5">
        <v>102</v>
      </c>
      <c r="B548" s="6">
        <v>45243</v>
      </c>
      <c r="C548" s="66">
        <v>0.8</v>
      </c>
      <c r="D548" s="5">
        <v>6.89</v>
      </c>
      <c r="E548" s="5">
        <v>596.20000000000005</v>
      </c>
      <c r="F548" s="5">
        <v>610.4</v>
      </c>
      <c r="G548" s="6">
        <v>45243</v>
      </c>
      <c r="H548" s="5"/>
      <c r="I548" s="5"/>
      <c r="J548" s="5">
        <f t="shared" si="68"/>
        <v>14.199999999999932</v>
      </c>
      <c r="K548" s="8" t="b">
        <f t="shared" si="69"/>
        <v>1</v>
      </c>
    </row>
    <row r="549" spans="1:11">
      <c r="A549" s="5">
        <v>102</v>
      </c>
      <c r="B549" s="6">
        <v>45245</v>
      </c>
      <c r="C549" s="66">
        <v>0.7</v>
      </c>
      <c r="D549" s="5">
        <v>7.97</v>
      </c>
      <c r="E549" s="5">
        <v>610.4</v>
      </c>
      <c r="F549" s="5">
        <v>626.6</v>
      </c>
      <c r="G549" s="6">
        <v>45245</v>
      </c>
      <c r="H549" s="5"/>
      <c r="I549" s="5"/>
      <c r="J549" s="5">
        <f t="shared" si="68"/>
        <v>16.200000000000045</v>
      </c>
      <c r="K549" s="8" t="b">
        <f>E549=F548</f>
        <v>1</v>
      </c>
    </row>
    <row r="550" spans="1:11">
      <c r="A550" s="5">
        <v>102</v>
      </c>
      <c r="B550" s="6">
        <v>45247</v>
      </c>
      <c r="C550" s="66">
        <v>0.8</v>
      </c>
      <c r="D550" s="5">
        <v>6.89</v>
      </c>
      <c r="E550" s="5">
        <v>626.6</v>
      </c>
      <c r="F550" s="5">
        <v>640.1</v>
      </c>
      <c r="G550" s="6">
        <v>45247</v>
      </c>
      <c r="H550" s="5"/>
      <c r="I550" s="5"/>
      <c r="J550" s="5">
        <f>F550-E550</f>
        <v>13.5</v>
      </c>
      <c r="K550" s="8" t="b">
        <f t="shared" si="69"/>
        <v>1</v>
      </c>
    </row>
    <row r="551" spans="1:11">
      <c r="A551" s="5">
        <v>102</v>
      </c>
      <c r="B551" s="6">
        <v>45252</v>
      </c>
      <c r="C551" s="66">
        <v>0.8</v>
      </c>
      <c r="D551" s="5">
        <v>6.89</v>
      </c>
      <c r="E551" s="5">
        <v>640.1</v>
      </c>
      <c r="F551" s="5">
        <v>655.5</v>
      </c>
      <c r="G551" s="6">
        <v>45252</v>
      </c>
      <c r="H551" s="5"/>
      <c r="I551" s="5"/>
      <c r="J551" s="5">
        <f>F551-E551</f>
        <v>15.399999999999977</v>
      </c>
      <c r="K551" s="8" t="b">
        <f t="shared" si="69"/>
        <v>1</v>
      </c>
    </row>
    <row r="552" spans="1:11">
      <c r="A552" s="80">
        <v>102</v>
      </c>
      <c r="B552" s="81">
        <v>45254</v>
      </c>
      <c r="C552" s="105">
        <v>1</v>
      </c>
      <c r="D552" s="80">
        <v>5.58</v>
      </c>
      <c r="E552" s="80">
        <v>655.5</v>
      </c>
      <c r="F552" s="80">
        <v>661.6</v>
      </c>
      <c r="G552" s="81">
        <v>45254</v>
      </c>
      <c r="H552" s="80"/>
      <c r="I552" s="80"/>
      <c r="J552" s="80">
        <f t="shared" si="68"/>
        <v>6.1000000000000227</v>
      </c>
      <c r="K552" s="8" t="b">
        <f t="shared" si="69"/>
        <v>1</v>
      </c>
    </row>
    <row r="553" spans="1:11">
      <c r="A553" s="5">
        <v>102</v>
      </c>
      <c r="B553" s="6">
        <v>45254</v>
      </c>
      <c r="C553" s="66">
        <v>1</v>
      </c>
      <c r="D553" s="5">
        <v>5.58</v>
      </c>
      <c r="E553" s="5">
        <v>661.6</v>
      </c>
      <c r="F553" s="5">
        <v>673.5</v>
      </c>
      <c r="G553" s="6">
        <v>45254</v>
      </c>
      <c r="H553" s="5"/>
      <c r="I553" s="5"/>
      <c r="J553" s="5">
        <f t="shared" si="68"/>
        <v>11.899999999999977</v>
      </c>
      <c r="K553" s="8" t="b">
        <f t="shared" si="69"/>
        <v>1</v>
      </c>
    </row>
    <row r="554" spans="1:11">
      <c r="A554" s="5">
        <v>102</v>
      </c>
      <c r="B554" s="6">
        <v>45255</v>
      </c>
      <c r="C554" s="66">
        <v>1</v>
      </c>
      <c r="D554" s="5">
        <v>5.58</v>
      </c>
      <c r="E554" s="5">
        <v>673.5</v>
      </c>
      <c r="F554" s="5">
        <v>685.5</v>
      </c>
      <c r="G554" s="6">
        <v>45255</v>
      </c>
      <c r="H554" s="5"/>
      <c r="I554" s="5"/>
      <c r="J554" s="5">
        <f t="shared" si="68"/>
        <v>12</v>
      </c>
      <c r="K554" s="8" t="b">
        <f t="shared" si="69"/>
        <v>1</v>
      </c>
    </row>
    <row r="555" spans="1:11">
      <c r="A555" s="5">
        <v>102</v>
      </c>
      <c r="B555" s="6">
        <v>45256</v>
      </c>
      <c r="C555" s="66">
        <v>0.6</v>
      </c>
      <c r="D555" s="5">
        <v>9.67</v>
      </c>
      <c r="E555" s="5">
        <v>685.5</v>
      </c>
      <c r="F555" s="5">
        <v>700.5</v>
      </c>
      <c r="G555" s="6">
        <v>45256</v>
      </c>
      <c r="H555" s="5"/>
      <c r="I555" s="5"/>
      <c r="J555" s="5">
        <f t="shared" si="68"/>
        <v>15</v>
      </c>
      <c r="K555" s="8" t="b">
        <f t="shared" si="69"/>
        <v>1</v>
      </c>
    </row>
    <row r="556" spans="1:11">
      <c r="A556" s="5">
        <v>102</v>
      </c>
      <c r="B556" s="6">
        <v>45258</v>
      </c>
      <c r="C556" s="66">
        <v>0.6</v>
      </c>
      <c r="D556" s="5">
        <v>9.67</v>
      </c>
      <c r="E556" s="5">
        <v>700.5</v>
      </c>
      <c r="F556" s="5">
        <v>720.4</v>
      </c>
      <c r="G556" s="6">
        <v>45258</v>
      </c>
      <c r="H556" s="5"/>
      <c r="I556" s="5"/>
      <c r="J556" s="5">
        <f t="shared" si="68"/>
        <v>19.899999999999977</v>
      </c>
      <c r="K556" s="8" t="b">
        <f t="shared" si="69"/>
        <v>1</v>
      </c>
    </row>
    <row r="557" spans="1:11">
      <c r="A557" s="5">
        <v>102</v>
      </c>
      <c r="B557" s="6">
        <v>45260</v>
      </c>
      <c r="C557" s="66">
        <v>0.6</v>
      </c>
      <c r="D557" s="5">
        <v>9.67</v>
      </c>
      <c r="E557" s="5">
        <v>736.6</v>
      </c>
      <c r="F557" s="5">
        <v>756.8</v>
      </c>
      <c r="G557" s="6">
        <v>45260</v>
      </c>
      <c r="H557" s="5"/>
      <c r="I557" s="5"/>
      <c r="J557" s="5">
        <f t="shared" si="68"/>
        <v>20.199999999999932</v>
      </c>
      <c r="K557" s="8" t="b">
        <f t="shared" si="69"/>
        <v>0</v>
      </c>
    </row>
    <row r="558" spans="1:11">
      <c r="A558" s="5">
        <v>102</v>
      </c>
      <c r="B558" s="6">
        <v>45261</v>
      </c>
      <c r="C558" s="66">
        <v>1</v>
      </c>
      <c r="D558" s="5">
        <v>5.58</v>
      </c>
      <c r="E558" s="5">
        <v>756.8</v>
      </c>
      <c r="F558" s="5">
        <v>769.5</v>
      </c>
      <c r="G558" s="6">
        <v>45261</v>
      </c>
      <c r="H558" s="5"/>
      <c r="I558" s="5"/>
      <c r="J558" s="5">
        <f t="shared" si="68"/>
        <v>12.700000000000045</v>
      </c>
      <c r="K558" s="8" t="b">
        <f t="shared" si="69"/>
        <v>1</v>
      </c>
    </row>
    <row r="559" spans="1:11">
      <c r="A559" s="5">
        <v>102</v>
      </c>
      <c r="B559" s="6">
        <v>45262</v>
      </c>
      <c r="C559" s="66">
        <v>0.5</v>
      </c>
      <c r="D559" s="5">
        <v>11.16</v>
      </c>
      <c r="E559" s="5">
        <v>769.5</v>
      </c>
      <c r="F559" s="5">
        <v>793.1</v>
      </c>
      <c r="G559" s="6">
        <v>45262</v>
      </c>
      <c r="H559" s="5"/>
      <c r="I559" s="5"/>
      <c r="J559" s="5">
        <f t="shared" ref="J559:J580" si="70">F559-E559</f>
        <v>23.600000000000023</v>
      </c>
      <c r="K559" s="8" t="b">
        <f t="shared" ref="K559:K580" si="71">E559=F558</f>
        <v>1</v>
      </c>
    </row>
    <row r="560" spans="1:11">
      <c r="A560" s="5">
        <v>102</v>
      </c>
      <c r="B560" s="6">
        <v>45264</v>
      </c>
      <c r="C560" s="66">
        <v>0.7</v>
      </c>
      <c r="D560" s="5">
        <v>8.2899999999999991</v>
      </c>
      <c r="E560" s="5">
        <v>793.1</v>
      </c>
      <c r="F560" s="5">
        <v>809.3</v>
      </c>
      <c r="G560" s="6">
        <v>45264</v>
      </c>
      <c r="H560" s="5"/>
      <c r="I560" s="5"/>
      <c r="J560" s="5">
        <f t="shared" si="70"/>
        <v>16.199999999999932</v>
      </c>
      <c r="K560" s="8" t="b">
        <f t="shared" si="71"/>
        <v>1</v>
      </c>
    </row>
    <row r="561" spans="1:11">
      <c r="A561" s="5">
        <v>102</v>
      </c>
      <c r="B561" s="6">
        <v>45266</v>
      </c>
      <c r="C561" s="66">
        <v>0.6</v>
      </c>
      <c r="D561" s="5">
        <v>9.67</v>
      </c>
      <c r="E561" s="5">
        <v>809.3</v>
      </c>
      <c r="F561" s="5">
        <v>829.6</v>
      </c>
      <c r="G561" s="6">
        <v>45266</v>
      </c>
      <c r="H561" s="5"/>
      <c r="I561" s="5"/>
      <c r="J561" s="5">
        <f t="shared" si="70"/>
        <v>20.300000000000068</v>
      </c>
      <c r="K561" s="8" t="b">
        <f t="shared" si="71"/>
        <v>1</v>
      </c>
    </row>
    <row r="562" spans="1:11">
      <c r="A562" s="5">
        <v>102</v>
      </c>
      <c r="B562" s="6">
        <v>45268</v>
      </c>
      <c r="C562" s="66">
        <v>0.6</v>
      </c>
      <c r="D562" s="5">
        <v>9.67</v>
      </c>
      <c r="E562" s="5">
        <v>829.6</v>
      </c>
      <c r="F562" s="5">
        <v>850.1</v>
      </c>
      <c r="G562" s="6">
        <v>45268</v>
      </c>
      <c r="H562" s="5"/>
      <c r="I562" s="5"/>
      <c r="J562" s="5">
        <f t="shared" si="70"/>
        <v>20.5</v>
      </c>
      <c r="K562" s="8" t="b">
        <f t="shared" si="71"/>
        <v>1</v>
      </c>
    </row>
    <row r="563" spans="1:11">
      <c r="A563" s="5">
        <v>102</v>
      </c>
      <c r="B563" s="6">
        <v>45269</v>
      </c>
      <c r="C563" s="66">
        <v>0.6</v>
      </c>
      <c r="D563" s="5">
        <v>9.67</v>
      </c>
      <c r="E563" s="5">
        <v>850.1</v>
      </c>
      <c r="F563" s="5">
        <v>870.3</v>
      </c>
      <c r="G563" s="6">
        <v>45269</v>
      </c>
      <c r="H563" s="5"/>
      <c r="I563" s="5"/>
      <c r="J563" s="5">
        <f t="shared" si="70"/>
        <v>20.199999999999932</v>
      </c>
      <c r="K563" s="8" t="b">
        <f t="shared" si="71"/>
        <v>1</v>
      </c>
    </row>
    <row r="564" spans="1:11">
      <c r="A564" s="5">
        <v>102</v>
      </c>
      <c r="B564" s="6">
        <v>45270</v>
      </c>
      <c r="C564" s="66">
        <v>1</v>
      </c>
      <c r="D564" s="5">
        <v>5.58</v>
      </c>
      <c r="E564" s="5">
        <v>870.3</v>
      </c>
      <c r="F564" s="5">
        <v>882.4</v>
      </c>
      <c r="G564" s="6">
        <v>45270</v>
      </c>
      <c r="H564" s="5"/>
      <c r="I564" s="5"/>
      <c r="J564" s="5">
        <f t="shared" si="70"/>
        <v>12.100000000000023</v>
      </c>
      <c r="K564" s="8" t="b">
        <f t="shared" si="71"/>
        <v>1</v>
      </c>
    </row>
    <row r="565" spans="1:11">
      <c r="A565" s="5">
        <v>102</v>
      </c>
      <c r="B565" s="6">
        <v>45272</v>
      </c>
      <c r="C565" s="66">
        <v>0.6</v>
      </c>
      <c r="D565" s="5">
        <v>9.67</v>
      </c>
      <c r="E565" s="5">
        <v>882.4</v>
      </c>
      <c r="F565" s="5">
        <v>901.3</v>
      </c>
      <c r="G565" s="6">
        <v>45272</v>
      </c>
      <c r="H565" s="5"/>
      <c r="I565" s="5"/>
      <c r="J565" s="5">
        <f t="shared" si="70"/>
        <v>18.899999999999977</v>
      </c>
      <c r="K565" s="8" t="b">
        <f t="shared" si="71"/>
        <v>1</v>
      </c>
    </row>
    <row r="566" spans="1:11">
      <c r="A566" s="5">
        <v>102</v>
      </c>
      <c r="B566" s="6">
        <v>45274</v>
      </c>
      <c r="C566" s="66">
        <v>0.6</v>
      </c>
      <c r="D566" s="5">
        <v>9.67</v>
      </c>
      <c r="E566" s="5">
        <v>901.3</v>
      </c>
      <c r="F566" s="5">
        <v>920.4</v>
      </c>
      <c r="G566" s="6">
        <v>45274</v>
      </c>
      <c r="H566" s="5"/>
      <c r="I566" s="5"/>
      <c r="J566" s="5">
        <f t="shared" si="70"/>
        <v>19.100000000000023</v>
      </c>
      <c r="K566" s="8" t="b">
        <f t="shared" si="71"/>
        <v>1</v>
      </c>
    </row>
    <row r="567" spans="1:11">
      <c r="A567" s="5">
        <v>102</v>
      </c>
      <c r="B567" s="6">
        <v>45277</v>
      </c>
      <c r="C567" s="66">
        <v>0.5</v>
      </c>
      <c r="D567" s="5">
        <v>11.16</v>
      </c>
      <c r="E567" s="5">
        <v>920.4</v>
      </c>
      <c r="F567" s="5">
        <v>944.9</v>
      </c>
      <c r="G567" s="6">
        <v>45277</v>
      </c>
      <c r="H567" s="5"/>
      <c r="I567" s="5"/>
      <c r="J567" s="5">
        <f t="shared" si="70"/>
        <v>24.5</v>
      </c>
      <c r="K567" s="8" t="b">
        <f t="shared" si="71"/>
        <v>1</v>
      </c>
    </row>
    <row r="568" spans="1:11">
      <c r="A568" s="5">
        <v>102</v>
      </c>
      <c r="B568" s="6">
        <v>45279</v>
      </c>
      <c r="C568" s="66">
        <v>1</v>
      </c>
      <c r="D568" s="5">
        <v>5.58</v>
      </c>
      <c r="E568" s="5">
        <v>944.9</v>
      </c>
      <c r="F568" s="5">
        <v>956.9</v>
      </c>
      <c r="G568" s="6">
        <v>45279</v>
      </c>
      <c r="H568" s="5"/>
      <c r="I568" s="5"/>
      <c r="J568" s="5">
        <f t="shared" si="70"/>
        <v>12</v>
      </c>
      <c r="K568" s="8" t="b">
        <f t="shared" si="71"/>
        <v>1</v>
      </c>
    </row>
    <row r="569" spans="1:11">
      <c r="A569" s="5">
        <v>102</v>
      </c>
      <c r="B569" s="6">
        <v>45285</v>
      </c>
      <c r="C569" s="66">
        <v>0.7</v>
      </c>
      <c r="D569" s="5">
        <v>8.2899999999999991</v>
      </c>
      <c r="E569" s="5">
        <v>956.9</v>
      </c>
      <c r="F569" s="5">
        <v>973.1</v>
      </c>
      <c r="G569" s="6">
        <v>45285</v>
      </c>
      <c r="H569" s="5"/>
      <c r="I569" s="5"/>
      <c r="J569" s="5">
        <f t="shared" si="70"/>
        <v>16.200000000000045</v>
      </c>
      <c r="K569" s="8" t="b">
        <f t="shared" si="71"/>
        <v>1</v>
      </c>
    </row>
    <row r="570" spans="1:11">
      <c r="A570" s="5">
        <v>102</v>
      </c>
      <c r="B570" s="6">
        <v>45287</v>
      </c>
      <c r="C570" s="66">
        <v>0.7</v>
      </c>
      <c r="D570" s="5">
        <v>8.2899999999999991</v>
      </c>
      <c r="E570" s="5">
        <v>973.1</v>
      </c>
      <c r="F570" s="5">
        <v>989.2</v>
      </c>
      <c r="G570" s="6">
        <v>45287</v>
      </c>
      <c r="H570" s="5"/>
      <c r="I570" s="5"/>
      <c r="J570" s="5">
        <f t="shared" si="70"/>
        <v>16.100000000000023</v>
      </c>
      <c r="K570" s="8" t="b">
        <f t="shared" si="71"/>
        <v>1</v>
      </c>
    </row>
    <row r="571" spans="1:11">
      <c r="A571" s="5">
        <v>102</v>
      </c>
      <c r="B571" s="6">
        <v>45289</v>
      </c>
      <c r="C571" s="66">
        <v>0.7</v>
      </c>
      <c r="D571" s="5">
        <v>8.2899999999999991</v>
      </c>
      <c r="E571" s="5">
        <v>989.2</v>
      </c>
      <c r="F571" s="5">
        <v>1005.4</v>
      </c>
      <c r="G571" s="6">
        <v>45289</v>
      </c>
      <c r="H571" s="5"/>
      <c r="I571" s="5"/>
      <c r="J571" s="5">
        <f t="shared" si="70"/>
        <v>16.199999999999932</v>
      </c>
      <c r="K571" s="8" t="b">
        <f t="shared" si="71"/>
        <v>1</v>
      </c>
    </row>
    <row r="572" spans="1:11">
      <c r="A572" s="5">
        <v>102</v>
      </c>
      <c r="B572" s="6">
        <v>45291</v>
      </c>
      <c r="C572" s="66">
        <v>0.7</v>
      </c>
      <c r="D572" s="5">
        <v>8.2899999999999991</v>
      </c>
      <c r="E572" s="5">
        <v>1005.4</v>
      </c>
      <c r="F572" s="5">
        <v>1022.8</v>
      </c>
      <c r="G572" s="6">
        <v>45291</v>
      </c>
      <c r="H572" s="5"/>
      <c r="I572" s="5"/>
      <c r="J572" s="5">
        <f t="shared" si="70"/>
        <v>17.399999999999977</v>
      </c>
      <c r="K572" s="8" t="b">
        <f t="shared" si="71"/>
        <v>1</v>
      </c>
    </row>
    <row r="573" spans="1:11">
      <c r="A573" s="5">
        <v>102</v>
      </c>
      <c r="B573" s="6">
        <v>45292</v>
      </c>
      <c r="C573" s="66">
        <v>1</v>
      </c>
      <c r="D573" s="5">
        <v>5.58</v>
      </c>
      <c r="E573" s="5">
        <v>1022.8</v>
      </c>
      <c r="F573" s="5">
        <v>1033.3</v>
      </c>
      <c r="G573" s="6">
        <v>45292</v>
      </c>
      <c r="H573" s="5"/>
      <c r="I573" s="5"/>
      <c r="J573" s="5">
        <f t="shared" si="70"/>
        <v>10.5</v>
      </c>
      <c r="K573" s="8" t="b">
        <f t="shared" si="71"/>
        <v>1</v>
      </c>
    </row>
    <row r="574" spans="1:11">
      <c r="A574" s="80">
        <v>102</v>
      </c>
      <c r="B574" s="81">
        <v>45296</v>
      </c>
      <c r="C574" s="105">
        <v>1</v>
      </c>
      <c r="D574" s="80">
        <v>5.58</v>
      </c>
      <c r="E574" s="80">
        <v>1033.3</v>
      </c>
      <c r="F574" s="80">
        <v>1039.0999999999999</v>
      </c>
      <c r="G574" s="81">
        <v>45296</v>
      </c>
      <c r="H574" s="80"/>
      <c r="I574" s="80"/>
      <c r="J574" s="80">
        <f t="shared" si="70"/>
        <v>5.7999999999999545</v>
      </c>
      <c r="K574" s="8" t="b">
        <f t="shared" si="71"/>
        <v>1</v>
      </c>
    </row>
    <row r="575" spans="1:11">
      <c r="A575" s="5">
        <v>102</v>
      </c>
      <c r="B575" s="6">
        <v>45302</v>
      </c>
      <c r="C575" s="66">
        <v>0.8</v>
      </c>
      <c r="D575" s="5">
        <v>6.89</v>
      </c>
      <c r="E575" s="5">
        <v>1039.0999999999999</v>
      </c>
      <c r="F575" s="5">
        <v>1053.4000000000001</v>
      </c>
      <c r="G575" s="6">
        <v>45302</v>
      </c>
      <c r="H575" s="5"/>
      <c r="I575" s="5"/>
      <c r="J575" s="5">
        <f t="shared" si="70"/>
        <v>14.300000000000182</v>
      </c>
      <c r="K575" s="8" t="b">
        <f t="shared" si="71"/>
        <v>1</v>
      </c>
    </row>
    <row r="576" spans="1:11">
      <c r="A576" s="5">
        <v>102</v>
      </c>
      <c r="B576" s="6">
        <v>45304</v>
      </c>
      <c r="C576" s="66">
        <v>0.6</v>
      </c>
      <c r="D576" s="5">
        <v>9.67</v>
      </c>
      <c r="E576" s="5">
        <v>1053.4000000000001</v>
      </c>
      <c r="F576" s="5">
        <v>1072.4000000000001</v>
      </c>
      <c r="G576" s="6">
        <v>45304</v>
      </c>
      <c r="H576" s="5"/>
      <c r="I576" s="5"/>
      <c r="J576" s="5">
        <f t="shared" si="70"/>
        <v>19</v>
      </c>
      <c r="K576" s="8" t="b">
        <f t="shared" si="71"/>
        <v>1</v>
      </c>
    </row>
    <row r="577" spans="1:11">
      <c r="A577" s="5">
        <v>102</v>
      </c>
      <c r="B577" s="6">
        <v>45307</v>
      </c>
      <c r="C577" s="66">
        <v>0.8</v>
      </c>
      <c r="D577" s="5">
        <v>6.89</v>
      </c>
      <c r="E577" s="5">
        <v>1072.4000000000001</v>
      </c>
      <c r="F577" s="5">
        <v>1086.5999999999999</v>
      </c>
      <c r="G577" s="6">
        <v>45307</v>
      </c>
      <c r="H577" s="5"/>
      <c r="I577" s="5"/>
      <c r="J577" s="5">
        <f t="shared" si="70"/>
        <v>14.199999999999818</v>
      </c>
      <c r="K577" s="8" t="b">
        <f t="shared" si="71"/>
        <v>1</v>
      </c>
    </row>
    <row r="578" spans="1:11">
      <c r="A578" s="5">
        <v>102</v>
      </c>
      <c r="B578" s="6">
        <v>45308</v>
      </c>
      <c r="C578" s="66">
        <v>1</v>
      </c>
      <c r="D578" s="5">
        <v>5.58</v>
      </c>
      <c r="E578" s="5">
        <v>1086.5999999999999</v>
      </c>
      <c r="F578" s="5">
        <v>1098.0999999999999</v>
      </c>
      <c r="G578" s="6">
        <v>45308</v>
      </c>
      <c r="H578" s="5"/>
      <c r="I578" s="5"/>
      <c r="J578" s="5">
        <f t="shared" si="70"/>
        <v>11.5</v>
      </c>
      <c r="K578" s="8" t="b">
        <f t="shared" si="71"/>
        <v>1</v>
      </c>
    </row>
    <row r="579" spans="1:11">
      <c r="A579" s="5">
        <v>102</v>
      </c>
      <c r="B579" s="6">
        <v>45310</v>
      </c>
      <c r="C579" s="66">
        <v>0.8</v>
      </c>
      <c r="D579" s="5">
        <v>6.89</v>
      </c>
      <c r="E579" s="5">
        <v>1098.0999999999999</v>
      </c>
      <c r="F579" s="5">
        <v>1112.3</v>
      </c>
      <c r="G579" s="6">
        <v>45310</v>
      </c>
      <c r="H579" s="5"/>
      <c r="I579" s="5"/>
      <c r="J579" s="5">
        <f t="shared" si="70"/>
        <v>14.200000000000045</v>
      </c>
      <c r="K579" s="8" t="b">
        <f t="shared" si="71"/>
        <v>1</v>
      </c>
    </row>
    <row r="580" spans="1:11">
      <c r="A580" s="5">
        <v>102</v>
      </c>
      <c r="B580" s="6">
        <v>45312</v>
      </c>
      <c r="C580" s="66">
        <v>1</v>
      </c>
      <c r="D580" s="5">
        <v>5.58</v>
      </c>
      <c r="E580" s="5">
        <v>1112.3</v>
      </c>
      <c r="F580" s="5">
        <v>1123.7</v>
      </c>
      <c r="G580" s="6">
        <v>45312</v>
      </c>
      <c r="H580" s="5"/>
      <c r="I580" s="5"/>
      <c r="J580" s="5">
        <f t="shared" si="70"/>
        <v>11.400000000000091</v>
      </c>
      <c r="K580" s="8" t="b">
        <f t="shared" si="71"/>
        <v>1</v>
      </c>
    </row>
    <row r="581" spans="1:11">
      <c r="A581" s="101">
        <v>102</v>
      </c>
      <c r="B581" s="102">
        <v>45313</v>
      </c>
      <c r="C581" s="104">
        <v>1</v>
      </c>
      <c r="D581" s="101">
        <v>5.58</v>
      </c>
      <c r="E581" s="101">
        <v>1123.7</v>
      </c>
      <c r="F581" s="101">
        <v>1127.3</v>
      </c>
      <c r="G581" s="102">
        <v>45313</v>
      </c>
      <c r="H581" s="101"/>
      <c r="I581" s="101"/>
      <c r="J581" s="101">
        <f t="shared" ref="J581:J603" si="72">F581-E581</f>
        <v>3.5999999999999091</v>
      </c>
      <c r="K581" s="8" t="b">
        <f t="shared" ref="K581:K602" si="73">E581=F580</f>
        <v>1</v>
      </c>
    </row>
    <row r="582" spans="1:11">
      <c r="A582" s="101">
        <v>102</v>
      </c>
      <c r="B582" s="102">
        <v>45320</v>
      </c>
      <c r="C582" s="104">
        <v>1</v>
      </c>
      <c r="D582" s="101">
        <v>5.58</v>
      </c>
      <c r="E582" s="101">
        <v>1127.3</v>
      </c>
      <c r="F582" s="101">
        <v>1134.8</v>
      </c>
      <c r="G582" s="102">
        <v>45320</v>
      </c>
      <c r="H582" s="101"/>
      <c r="I582" s="101"/>
      <c r="J582" s="101">
        <f t="shared" si="72"/>
        <v>7.5</v>
      </c>
      <c r="K582" s="8" t="b">
        <f t="shared" si="73"/>
        <v>1</v>
      </c>
    </row>
    <row r="583" spans="1:11">
      <c r="A583" s="5">
        <v>102</v>
      </c>
      <c r="B583" s="6">
        <v>45327</v>
      </c>
      <c r="C583" s="66">
        <v>0.8</v>
      </c>
      <c r="D583" s="5">
        <v>6.89</v>
      </c>
      <c r="E583" s="5">
        <v>1134.8</v>
      </c>
      <c r="F583" s="5">
        <v>1149</v>
      </c>
      <c r="G583" s="6">
        <v>45327</v>
      </c>
      <c r="H583" s="5"/>
      <c r="I583" s="5"/>
      <c r="J583" s="5">
        <f t="shared" si="72"/>
        <v>14.200000000000045</v>
      </c>
      <c r="K583" s="8" t="b">
        <f t="shared" si="73"/>
        <v>1</v>
      </c>
    </row>
    <row r="584" spans="1:11">
      <c r="A584" s="5">
        <v>102</v>
      </c>
      <c r="B584" s="6">
        <v>45329</v>
      </c>
      <c r="C584" s="66">
        <v>1</v>
      </c>
      <c r="D584" s="5">
        <v>5.58</v>
      </c>
      <c r="E584" s="5">
        <v>1149</v>
      </c>
      <c r="F584" s="5">
        <v>1160.4000000000001</v>
      </c>
      <c r="G584" s="6">
        <v>45329</v>
      </c>
      <c r="H584" s="5"/>
      <c r="I584" s="5"/>
      <c r="J584" s="5">
        <f t="shared" si="72"/>
        <v>11.400000000000091</v>
      </c>
      <c r="K584" s="8" t="b">
        <f t="shared" si="73"/>
        <v>1</v>
      </c>
    </row>
    <row r="585" spans="1:11">
      <c r="A585" s="5">
        <v>102</v>
      </c>
      <c r="B585" s="6"/>
      <c r="C585" s="66"/>
      <c r="D585" s="5"/>
      <c r="E585" s="5"/>
      <c r="F585" s="5"/>
      <c r="G585" s="6"/>
      <c r="H585" s="5"/>
      <c r="I585" s="5"/>
      <c r="J585" s="5">
        <f t="shared" si="72"/>
        <v>0</v>
      </c>
      <c r="K585" s="8" t="b">
        <f t="shared" si="73"/>
        <v>0</v>
      </c>
    </row>
    <row r="586" spans="1:11">
      <c r="A586" s="5">
        <v>102</v>
      </c>
      <c r="B586" s="6"/>
      <c r="C586" s="66"/>
      <c r="D586" s="5"/>
      <c r="E586" s="5"/>
      <c r="F586" s="5"/>
      <c r="G586" s="6"/>
      <c r="H586" s="5"/>
      <c r="I586" s="5"/>
      <c r="J586" s="5">
        <f t="shared" si="72"/>
        <v>0</v>
      </c>
      <c r="K586" s="8" t="b">
        <f t="shared" si="73"/>
        <v>1</v>
      </c>
    </row>
    <row r="587" spans="1:11">
      <c r="A587" s="5">
        <v>102</v>
      </c>
      <c r="B587" s="6"/>
      <c r="C587" s="66"/>
      <c r="D587" s="5"/>
      <c r="E587" s="5"/>
      <c r="F587" s="5"/>
      <c r="G587" s="6"/>
      <c r="H587" s="5"/>
      <c r="I587" s="5"/>
      <c r="J587" s="5">
        <f t="shared" si="72"/>
        <v>0</v>
      </c>
      <c r="K587" s="8" t="b">
        <f t="shared" si="73"/>
        <v>1</v>
      </c>
    </row>
    <row r="588" spans="1:11">
      <c r="A588" s="5">
        <v>102</v>
      </c>
      <c r="B588" s="6"/>
      <c r="C588" s="66"/>
      <c r="D588" s="5"/>
      <c r="E588" s="5"/>
      <c r="F588" s="5"/>
      <c r="G588" s="6"/>
      <c r="H588" s="5"/>
      <c r="I588" s="5"/>
      <c r="J588" s="5">
        <f t="shared" si="72"/>
        <v>0</v>
      </c>
      <c r="K588" s="8" t="b">
        <f t="shared" si="73"/>
        <v>1</v>
      </c>
    </row>
    <row r="589" spans="1:11">
      <c r="A589" s="5">
        <v>102</v>
      </c>
      <c r="B589" s="6"/>
      <c r="C589" s="66"/>
      <c r="D589" s="5"/>
      <c r="E589" s="5"/>
      <c r="F589" s="5"/>
      <c r="G589" s="6"/>
      <c r="H589" s="5"/>
      <c r="I589" s="5"/>
      <c r="J589" s="5">
        <f t="shared" si="72"/>
        <v>0</v>
      </c>
      <c r="K589" s="8" t="b">
        <f t="shared" si="73"/>
        <v>1</v>
      </c>
    </row>
    <row r="590" spans="1:11" ht="26.25">
      <c r="A590" s="138" t="s">
        <v>20</v>
      </c>
      <c r="B590" s="159"/>
      <c r="C590" s="159"/>
      <c r="D590" s="159"/>
      <c r="E590" s="159"/>
      <c r="F590" s="159"/>
      <c r="G590" s="159"/>
      <c r="H590" s="159"/>
      <c r="I590" s="159"/>
      <c r="J590" s="159"/>
      <c r="K590" s="160"/>
    </row>
    <row r="591" spans="1:11" ht="26.25">
      <c r="A591" s="138" t="s">
        <v>47</v>
      </c>
      <c r="B591" s="159"/>
      <c r="C591" s="159"/>
      <c r="D591" s="159"/>
      <c r="E591" s="159"/>
      <c r="F591" s="159"/>
      <c r="G591" s="159"/>
      <c r="H591" s="159"/>
      <c r="I591" s="159"/>
      <c r="J591" s="159"/>
      <c r="K591" s="160"/>
    </row>
    <row r="592" spans="1:11" ht="15.75" thickBot="1"/>
    <row r="593" spans="1:11" ht="15.75" thickBot="1">
      <c r="A593" s="132" t="s">
        <v>2</v>
      </c>
      <c r="B593" s="133"/>
      <c r="C593" s="133"/>
      <c r="D593" s="133"/>
      <c r="E593" s="133"/>
      <c r="F593" s="133"/>
      <c r="G593" s="133"/>
      <c r="H593" s="133"/>
      <c r="I593" s="133"/>
      <c r="J593" s="133"/>
      <c r="K593" s="134"/>
    </row>
    <row r="595" spans="1:11" ht="19.5" thickBot="1">
      <c r="A595" s="1" t="s">
        <v>3</v>
      </c>
      <c r="B595" s="61"/>
      <c r="C595" s="64"/>
      <c r="D595" s="54"/>
      <c r="E595" s="1"/>
      <c r="F595" s="1"/>
      <c r="G595" s="61"/>
      <c r="H595" s="1"/>
      <c r="I595" s="1"/>
    </row>
    <row r="596" spans="1:11" ht="30.75" thickBot="1">
      <c r="A596" s="2" t="s">
        <v>4</v>
      </c>
      <c r="B596" s="62" t="s">
        <v>5</v>
      </c>
      <c r="C596" s="65" t="s">
        <v>6</v>
      </c>
      <c r="D596" s="3" t="s">
        <v>7</v>
      </c>
      <c r="E596" s="3" t="s">
        <v>8</v>
      </c>
      <c r="F596" s="3" t="s">
        <v>9</v>
      </c>
      <c r="G596" s="62" t="s">
        <v>10</v>
      </c>
      <c r="H596" s="3" t="s">
        <v>21</v>
      </c>
      <c r="I596" s="4" t="s">
        <v>22</v>
      </c>
      <c r="J596" s="4" t="s">
        <v>11</v>
      </c>
      <c r="K596" s="4" t="s">
        <v>12</v>
      </c>
    </row>
    <row r="597" spans="1:11">
      <c r="A597" s="5">
        <v>102</v>
      </c>
      <c r="B597" s="6">
        <v>45353</v>
      </c>
      <c r="C597" s="66">
        <v>1</v>
      </c>
      <c r="D597" s="5">
        <v>5.58</v>
      </c>
      <c r="E597" s="5">
        <v>1160.4000000000001</v>
      </c>
      <c r="F597" s="5">
        <v>1171.8</v>
      </c>
      <c r="G597" s="6">
        <v>45353</v>
      </c>
      <c r="H597" s="5"/>
      <c r="I597" s="5"/>
      <c r="J597" s="5">
        <f t="shared" ref="J597" si="74">F597-E597</f>
        <v>11.399999999999864</v>
      </c>
      <c r="K597" s="8" t="b">
        <f t="shared" ref="K597" si="75">E597=F596</f>
        <v>0</v>
      </c>
    </row>
    <row r="598" spans="1:11">
      <c r="A598" s="5">
        <v>102</v>
      </c>
      <c r="B598" s="6">
        <v>45357</v>
      </c>
      <c r="C598" s="66">
        <v>1</v>
      </c>
      <c r="D598" s="5">
        <v>5.58</v>
      </c>
      <c r="E598" s="5">
        <v>1171.8</v>
      </c>
      <c r="F598" s="5">
        <v>1183.3</v>
      </c>
      <c r="G598" s="6">
        <v>45357</v>
      </c>
      <c r="H598" s="5"/>
      <c r="I598" s="5"/>
      <c r="J598" s="5">
        <f t="shared" si="72"/>
        <v>11.5</v>
      </c>
      <c r="K598" s="8" t="b">
        <f t="shared" si="73"/>
        <v>1</v>
      </c>
    </row>
    <row r="599" spans="1:11">
      <c r="A599" s="5">
        <v>102</v>
      </c>
      <c r="B599" s="6">
        <v>45364</v>
      </c>
      <c r="C599" s="66">
        <v>0.7</v>
      </c>
      <c r="D599" s="5">
        <v>8.2899999999999991</v>
      </c>
      <c r="E599" s="5">
        <v>1183.3</v>
      </c>
      <c r="F599" s="5">
        <v>1199.5</v>
      </c>
      <c r="G599" s="6">
        <v>45364</v>
      </c>
      <c r="H599" s="5"/>
      <c r="I599" s="5"/>
      <c r="J599" s="5">
        <f t="shared" si="72"/>
        <v>16.200000000000045</v>
      </c>
      <c r="K599" s="8" t="b">
        <f t="shared" si="73"/>
        <v>1</v>
      </c>
    </row>
    <row r="600" spans="1:11">
      <c r="A600" s="5">
        <v>102</v>
      </c>
      <c r="B600" s="6">
        <v>45365</v>
      </c>
      <c r="C600" s="66">
        <v>1</v>
      </c>
      <c r="D600" s="5">
        <v>5.58</v>
      </c>
      <c r="E600" s="5">
        <v>1199.5</v>
      </c>
      <c r="F600" s="5">
        <v>1211.2</v>
      </c>
      <c r="G600" s="6">
        <v>45365</v>
      </c>
      <c r="H600" s="5"/>
      <c r="I600" s="5"/>
      <c r="J600" s="5">
        <f t="shared" si="72"/>
        <v>11.700000000000045</v>
      </c>
      <c r="K600" s="8" t="b">
        <f t="shared" si="73"/>
        <v>1</v>
      </c>
    </row>
    <row r="601" spans="1:11">
      <c r="A601" s="5">
        <v>102</v>
      </c>
      <c r="B601" s="6">
        <v>45367</v>
      </c>
      <c r="C601" s="66">
        <v>1</v>
      </c>
      <c r="D601" s="5">
        <v>5.58</v>
      </c>
      <c r="E601" s="5">
        <v>1211.2</v>
      </c>
      <c r="F601" s="5">
        <v>1222.7</v>
      </c>
      <c r="G601" s="6">
        <v>45367</v>
      </c>
      <c r="H601" s="5"/>
      <c r="I601" s="5"/>
      <c r="J601" s="5">
        <f t="shared" si="72"/>
        <v>11.5</v>
      </c>
      <c r="K601" s="8" t="b">
        <f t="shared" si="73"/>
        <v>1</v>
      </c>
    </row>
    <row r="602" spans="1:11">
      <c r="A602" s="5">
        <v>102</v>
      </c>
      <c r="B602" s="6">
        <v>45369</v>
      </c>
      <c r="C602" s="66">
        <v>1</v>
      </c>
      <c r="D602" s="5">
        <v>5.58</v>
      </c>
      <c r="E602" s="5">
        <v>1222.7</v>
      </c>
      <c r="F602" s="5">
        <v>1234.2</v>
      </c>
      <c r="G602" s="6">
        <v>45369</v>
      </c>
      <c r="H602" s="5"/>
      <c r="I602" s="5"/>
      <c r="J602" s="5">
        <f t="shared" si="72"/>
        <v>11.5</v>
      </c>
      <c r="K602" s="8" t="b">
        <f t="shared" si="73"/>
        <v>1</v>
      </c>
    </row>
    <row r="603" spans="1:11">
      <c r="A603" s="5">
        <v>102</v>
      </c>
      <c r="B603" s="6">
        <v>45371</v>
      </c>
      <c r="C603" s="66">
        <v>1</v>
      </c>
      <c r="D603" s="5">
        <v>5.58</v>
      </c>
      <c r="E603" s="5">
        <v>1234.2</v>
      </c>
      <c r="F603" s="5">
        <v>1245.5999999999999</v>
      </c>
      <c r="G603" s="6">
        <v>45371</v>
      </c>
      <c r="H603" s="5"/>
      <c r="I603" s="5"/>
      <c r="J603" s="5">
        <f t="shared" si="72"/>
        <v>11.399999999999864</v>
      </c>
      <c r="K603" s="8" t="b">
        <f>E603=F602</f>
        <v>1</v>
      </c>
    </row>
    <row r="604" spans="1:11">
      <c r="A604" s="5">
        <v>102</v>
      </c>
      <c r="B604" s="6">
        <v>45374</v>
      </c>
      <c r="C604" s="66">
        <v>1</v>
      </c>
      <c r="D604" s="5">
        <v>5.58</v>
      </c>
      <c r="E604" s="5">
        <v>1245.5999999999999</v>
      </c>
      <c r="F604" s="5">
        <v>1256.2</v>
      </c>
      <c r="G604" s="6">
        <v>45374</v>
      </c>
      <c r="H604" s="5"/>
      <c r="I604" s="5"/>
      <c r="J604" s="5">
        <f t="shared" ref="J604:J629" si="76">F604-E604</f>
        <v>10.600000000000136</v>
      </c>
      <c r="K604" s="8" t="b">
        <f t="shared" ref="K604:K629" si="77">E604=F603</f>
        <v>1</v>
      </c>
    </row>
    <row r="605" spans="1:11">
      <c r="A605" s="5">
        <v>102</v>
      </c>
      <c r="B605" s="6">
        <v>45377</v>
      </c>
      <c r="C605" s="66">
        <v>0.8</v>
      </c>
      <c r="D605" s="5">
        <v>6.89</v>
      </c>
      <c r="E605" s="5">
        <v>1256.2</v>
      </c>
      <c r="F605" s="5">
        <v>1270.5</v>
      </c>
      <c r="G605" s="6">
        <v>45377</v>
      </c>
      <c r="H605" s="5"/>
      <c r="I605" s="5"/>
      <c r="J605" s="5">
        <f t="shared" si="76"/>
        <v>14.299999999999955</v>
      </c>
      <c r="K605" s="8" t="b">
        <f t="shared" si="77"/>
        <v>1</v>
      </c>
    </row>
    <row r="606" spans="1:11">
      <c r="A606" s="5">
        <v>102</v>
      </c>
      <c r="B606" s="6">
        <v>45380</v>
      </c>
      <c r="C606" s="66">
        <v>0.7</v>
      </c>
      <c r="D606" s="5">
        <v>8.2899999999999991</v>
      </c>
      <c r="E606" s="5">
        <v>1270.5</v>
      </c>
      <c r="F606" s="5">
        <v>1287</v>
      </c>
      <c r="G606" s="6">
        <v>45380</v>
      </c>
      <c r="H606" s="5"/>
      <c r="I606" s="5"/>
      <c r="J606" s="5">
        <f t="shared" si="76"/>
        <v>16.5</v>
      </c>
      <c r="K606" s="8" t="b">
        <f t="shared" si="77"/>
        <v>1</v>
      </c>
    </row>
    <row r="607" spans="1:11">
      <c r="A607" s="5">
        <v>102</v>
      </c>
      <c r="B607" s="6">
        <v>45383</v>
      </c>
      <c r="C607" s="66">
        <v>1</v>
      </c>
      <c r="D607" s="5">
        <v>5.58</v>
      </c>
      <c r="E607" s="5">
        <v>1287</v>
      </c>
      <c r="F607" s="5">
        <v>1298.5</v>
      </c>
      <c r="G607" s="6">
        <v>45383</v>
      </c>
      <c r="H607" s="5"/>
      <c r="I607" s="5"/>
      <c r="J607" s="5">
        <f t="shared" si="76"/>
        <v>11.5</v>
      </c>
      <c r="K607" s="8" t="b">
        <f t="shared" si="77"/>
        <v>1</v>
      </c>
    </row>
    <row r="608" spans="1:11">
      <c r="A608" s="5">
        <v>102</v>
      </c>
      <c r="B608" s="6">
        <v>45391</v>
      </c>
      <c r="C608" s="66">
        <v>0.8</v>
      </c>
      <c r="D608" s="5">
        <v>6.89</v>
      </c>
      <c r="E608" s="5">
        <v>1298.5</v>
      </c>
      <c r="F608" s="5">
        <v>1312.8</v>
      </c>
      <c r="G608" s="6">
        <v>45391</v>
      </c>
      <c r="H608" s="5"/>
      <c r="I608" s="5"/>
      <c r="J608" s="5">
        <f t="shared" si="76"/>
        <v>14.299999999999955</v>
      </c>
      <c r="K608" s="8" t="b">
        <f t="shared" si="77"/>
        <v>1</v>
      </c>
    </row>
    <row r="609" spans="1:11">
      <c r="A609" s="5">
        <v>102</v>
      </c>
      <c r="B609" s="6">
        <v>45398</v>
      </c>
      <c r="C609" s="66">
        <v>1</v>
      </c>
      <c r="D609" s="5">
        <v>5.58</v>
      </c>
      <c r="E609" s="5">
        <v>1312.8</v>
      </c>
      <c r="F609" s="5">
        <v>1327.1</v>
      </c>
      <c r="G609" s="6">
        <v>45398</v>
      </c>
      <c r="H609" s="5"/>
      <c r="I609" s="5"/>
      <c r="J609" s="5">
        <f t="shared" si="76"/>
        <v>14.299999999999955</v>
      </c>
      <c r="K609" s="8" t="b">
        <f t="shared" si="77"/>
        <v>1</v>
      </c>
    </row>
    <row r="610" spans="1:11">
      <c r="A610" s="5">
        <v>102</v>
      </c>
      <c r="B610" s="6">
        <v>45400</v>
      </c>
      <c r="C610" s="66">
        <v>1</v>
      </c>
      <c r="D610" s="5">
        <v>5.58</v>
      </c>
      <c r="E610" s="5">
        <v>1327.1</v>
      </c>
      <c r="F610" s="5">
        <v>1338.9</v>
      </c>
      <c r="G610" s="6">
        <v>45400</v>
      </c>
      <c r="H610" s="5"/>
      <c r="I610" s="5"/>
      <c r="J610" s="5">
        <f t="shared" si="76"/>
        <v>11.800000000000182</v>
      </c>
      <c r="K610" s="8" t="b">
        <f t="shared" si="77"/>
        <v>1</v>
      </c>
    </row>
    <row r="611" spans="1:11">
      <c r="A611" s="5">
        <v>102</v>
      </c>
      <c r="B611" s="6">
        <v>45401</v>
      </c>
      <c r="C611" s="66">
        <v>1</v>
      </c>
      <c r="D611" s="5">
        <v>5.58</v>
      </c>
      <c r="E611" s="5">
        <v>1338.9</v>
      </c>
      <c r="F611" s="5">
        <v>1350.4</v>
      </c>
      <c r="G611" s="6">
        <v>45401</v>
      </c>
      <c r="H611" s="5"/>
      <c r="I611" s="5"/>
      <c r="J611" s="5">
        <f t="shared" si="76"/>
        <v>11.5</v>
      </c>
      <c r="K611" s="8" t="b">
        <f t="shared" si="77"/>
        <v>1</v>
      </c>
    </row>
    <row r="612" spans="1:11">
      <c r="A612" s="5">
        <v>102</v>
      </c>
      <c r="B612" s="6">
        <v>45402</v>
      </c>
      <c r="C612" s="66">
        <v>1</v>
      </c>
      <c r="D612" s="5">
        <v>5.58</v>
      </c>
      <c r="E612" s="5">
        <v>1350.4</v>
      </c>
      <c r="F612" s="5">
        <v>1362.1</v>
      </c>
      <c r="G612" s="6">
        <v>45402</v>
      </c>
      <c r="H612" s="5"/>
      <c r="I612" s="5"/>
      <c r="J612" s="5">
        <f t="shared" si="76"/>
        <v>11.699999999999818</v>
      </c>
      <c r="K612" s="8" t="b">
        <f t="shared" si="77"/>
        <v>1</v>
      </c>
    </row>
    <row r="613" spans="1:11">
      <c r="A613" s="5">
        <v>102</v>
      </c>
      <c r="B613" s="6">
        <v>45407</v>
      </c>
      <c r="C613" s="66">
        <v>0.8</v>
      </c>
      <c r="D613" s="5">
        <v>6.89</v>
      </c>
      <c r="E613" s="5">
        <v>1373.6</v>
      </c>
      <c r="F613" s="5">
        <v>1388.5</v>
      </c>
      <c r="G613" s="6">
        <v>45407</v>
      </c>
      <c r="H613" s="5"/>
      <c r="I613" s="5"/>
      <c r="J613" s="5">
        <f t="shared" si="76"/>
        <v>14.900000000000091</v>
      </c>
      <c r="K613" s="8" t="b">
        <f t="shared" si="77"/>
        <v>0</v>
      </c>
    </row>
    <row r="614" spans="1:11">
      <c r="A614" s="5">
        <v>102</v>
      </c>
      <c r="B614" s="6">
        <v>45410</v>
      </c>
      <c r="C614" s="66">
        <v>0.8</v>
      </c>
      <c r="D614" s="5">
        <v>6.89</v>
      </c>
      <c r="E614" s="5">
        <v>1388.5</v>
      </c>
      <c r="F614" s="5">
        <v>1402.9</v>
      </c>
      <c r="G614" s="6">
        <v>45410</v>
      </c>
      <c r="H614" s="5"/>
      <c r="I614" s="5"/>
      <c r="J614" s="5">
        <f t="shared" si="76"/>
        <v>14.400000000000091</v>
      </c>
      <c r="K614" s="8" t="b">
        <f t="shared" si="77"/>
        <v>1</v>
      </c>
    </row>
    <row r="615" spans="1:11">
      <c r="A615" s="5">
        <v>102</v>
      </c>
      <c r="B615" s="6">
        <v>45412</v>
      </c>
      <c r="C615" s="66">
        <v>1</v>
      </c>
      <c r="D615" s="5">
        <v>5.58</v>
      </c>
      <c r="E615" s="5">
        <v>1402.9</v>
      </c>
      <c r="F615" s="5">
        <v>1414.8</v>
      </c>
      <c r="G615" s="6">
        <v>45412</v>
      </c>
      <c r="H615" s="5"/>
      <c r="I615" s="5"/>
      <c r="J615" s="5">
        <f t="shared" si="76"/>
        <v>11.899999999999864</v>
      </c>
      <c r="K615" s="8" t="b">
        <f t="shared" si="77"/>
        <v>1</v>
      </c>
    </row>
    <row r="616" spans="1:11">
      <c r="A616" s="5">
        <v>102</v>
      </c>
      <c r="B616" s="6">
        <v>45415</v>
      </c>
      <c r="C616" s="66">
        <v>0.8</v>
      </c>
      <c r="D616" s="5">
        <v>6.89</v>
      </c>
      <c r="E616" s="5">
        <v>1414.8</v>
      </c>
      <c r="F616" s="5">
        <v>1429.1</v>
      </c>
      <c r="G616" s="6">
        <v>45415</v>
      </c>
      <c r="H616" s="5"/>
      <c r="I616" s="5"/>
      <c r="J616" s="5">
        <f t="shared" si="76"/>
        <v>14.299999999999955</v>
      </c>
      <c r="K616" s="8" t="b">
        <f t="shared" si="77"/>
        <v>1</v>
      </c>
    </row>
    <row r="617" spans="1:11">
      <c r="A617" s="5">
        <v>102</v>
      </c>
      <c r="B617" s="6">
        <v>45416</v>
      </c>
      <c r="C617" s="66">
        <v>0.8</v>
      </c>
      <c r="D617" s="5">
        <v>6.89</v>
      </c>
      <c r="E617" s="5">
        <v>1429.1</v>
      </c>
      <c r="F617" s="5">
        <v>1443.5</v>
      </c>
      <c r="G617" s="6">
        <v>45416</v>
      </c>
      <c r="H617" s="5"/>
      <c r="I617" s="5"/>
      <c r="J617" s="5">
        <f t="shared" si="76"/>
        <v>14.400000000000091</v>
      </c>
      <c r="K617" s="8" t="b">
        <f t="shared" si="77"/>
        <v>1</v>
      </c>
    </row>
    <row r="618" spans="1:11">
      <c r="A618" s="5">
        <v>102</v>
      </c>
      <c r="B618" s="6">
        <v>45418</v>
      </c>
      <c r="C618" s="66">
        <v>1</v>
      </c>
      <c r="D618" s="5">
        <v>5.58</v>
      </c>
      <c r="E618" s="5">
        <v>1443.5</v>
      </c>
      <c r="F618" s="5">
        <v>1455</v>
      </c>
      <c r="G618" s="6">
        <v>45418</v>
      </c>
      <c r="H618" s="5"/>
      <c r="I618" s="5"/>
      <c r="J618" s="5">
        <f t="shared" si="76"/>
        <v>11.5</v>
      </c>
      <c r="K618" s="8" t="b">
        <f t="shared" si="77"/>
        <v>1</v>
      </c>
    </row>
    <row r="619" spans="1:11">
      <c r="A619" s="5">
        <v>102</v>
      </c>
      <c r="B619" s="6">
        <v>45420</v>
      </c>
      <c r="C619" s="66">
        <v>1</v>
      </c>
      <c r="D619" s="5">
        <v>5.58</v>
      </c>
      <c r="E619" s="5">
        <v>1455</v>
      </c>
      <c r="F619" s="5">
        <v>1466.6</v>
      </c>
      <c r="G619" s="6">
        <v>45420</v>
      </c>
      <c r="H619" s="5"/>
      <c r="I619" s="5"/>
      <c r="J619" s="5">
        <f t="shared" si="76"/>
        <v>11.599999999999909</v>
      </c>
      <c r="K619" s="8" t="b">
        <f t="shared" si="77"/>
        <v>1</v>
      </c>
    </row>
    <row r="620" spans="1:11">
      <c r="A620" s="5">
        <v>102</v>
      </c>
      <c r="B620" s="6">
        <v>45422</v>
      </c>
      <c r="C620" s="66">
        <v>0.7</v>
      </c>
      <c r="D620" s="5">
        <v>8.2899999999999991</v>
      </c>
      <c r="E620" s="5">
        <v>1466.6</v>
      </c>
      <c r="F620" s="5">
        <v>1483.1</v>
      </c>
      <c r="G620" s="6">
        <v>45422</v>
      </c>
      <c r="H620" s="5"/>
      <c r="I620" s="5"/>
      <c r="J620" s="5">
        <f t="shared" si="76"/>
        <v>16.5</v>
      </c>
      <c r="K620" s="8" t="b">
        <f t="shared" si="77"/>
        <v>1</v>
      </c>
    </row>
    <row r="621" spans="1:11">
      <c r="A621" s="5">
        <v>102</v>
      </c>
      <c r="B621" s="6">
        <v>45425</v>
      </c>
      <c r="C621" s="66">
        <v>0.7</v>
      </c>
      <c r="D621" s="5">
        <v>8.2899999999999991</v>
      </c>
      <c r="E621" s="5">
        <v>1483.1</v>
      </c>
      <c r="F621" s="5">
        <v>1499.4</v>
      </c>
      <c r="G621" s="6">
        <v>45425</v>
      </c>
      <c r="H621" s="5"/>
      <c r="I621" s="5"/>
      <c r="J621" s="5">
        <f t="shared" si="76"/>
        <v>16.300000000000182</v>
      </c>
      <c r="K621" s="8" t="b">
        <f t="shared" si="77"/>
        <v>1</v>
      </c>
    </row>
    <row r="622" spans="1:11">
      <c r="A622" s="5">
        <v>102</v>
      </c>
      <c r="B622" s="6">
        <v>45428</v>
      </c>
      <c r="C622" s="66">
        <v>0.7</v>
      </c>
      <c r="D622" s="5">
        <v>8.2899999999999991</v>
      </c>
      <c r="E622" s="5">
        <v>1499.4</v>
      </c>
      <c r="F622" s="5">
        <v>1515.8</v>
      </c>
      <c r="G622" s="6">
        <v>45428</v>
      </c>
      <c r="H622" s="5"/>
      <c r="I622" s="5"/>
      <c r="J622" s="5">
        <f t="shared" si="76"/>
        <v>16.399999999999864</v>
      </c>
      <c r="K622" s="8" t="b">
        <f t="shared" si="77"/>
        <v>1</v>
      </c>
    </row>
    <row r="623" spans="1:11">
      <c r="A623" s="5">
        <v>102</v>
      </c>
      <c r="B623" s="6">
        <v>45431</v>
      </c>
      <c r="C623" s="66">
        <v>0.7</v>
      </c>
      <c r="D623" s="5">
        <v>8.2899999999999991</v>
      </c>
      <c r="E623" s="5">
        <v>1515.8</v>
      </c>
      <c r="F623" s="5">
        <v>1532.2</v>
      </c>
      <c r="G623" s="6">
        <v>45431</v>
      </c>
      <c r="H623" s="5"/>
      <c r="I623" s="5"/>
      <c r="J623" s="5">
        <f t="shared" si="76"/>
        <v>16.400000000000091</v>
      </c>
      <c r="K623" s="8" t="b">
        <f t="shared" si="77"/>
        <v>1</v>
      </c>
    </row>
    <row r="624" spans="1:11">
      <c r="A624" s="5">
        <v>102</v>
      </c>
      <c r="B624" s="6">
        <v>45434</v>
      </c>
      <c r="C624" s="66">
        <v>0.7</v>
      </c>
      <c r="D624" s="5">
        <v>8.2899999999999991</v>
      </c>
      <c r="E624" s="5">
        <v>1532.2</v>
      </c>
      <c r="F624" s="5">
        <v>1548.5</v>
      </c>
      <c r="G624" s="6">
        <v>45434</v>
      </c>
      <c r="H624" s="5"/>
      <c r="I624" s="5"/>
      <c r="J624" s="5">
        <f t="shared" si="76"/>
        <v>16.299999999999955</v>
      </c>
      <c r="K624" s="8" t="b">
        <f t="shared" si="77"/>
        <v>1</v>
      </c>
    </row>
    <row r="625" spans="1:11">
      <c r="A625" s="5">
        <v>102</v>
      </c>
      <c r="B625" s="6">
        <v>45437</v>
      </c>
      <c r="C625" s="66">
        <v>0.7</v>
      </c>
      <c r="D625" s="5">
        <v>8.2899999999999991</v>
      </c>
      <c r="E625" s="5">
        <v>1548.5</v>
      </c>
      <c r="F625" s="5">
        <v>1564.9</v>
      </c>
      <c r="G625" s="6">
        <v>45437</v>
      </c>
      <c r="H625" s="5"/>
      <c r="I625" s="5"/>
      <c r="J625" s="5">
        <f t="shared" si="76"/>
        <v>16.400000000000091</v>
      </c>
      <c r="K625" s="8" t="b">
        <f t="shared" si="77"/>
        <v>1</v>
      </c>
    </row>
    <row r="626" spans="1:11">
      <c r="A626" s="5">
        <v>102</v>
      </c>
      <c r="B626" s="6">
        <v>45440</v>
      </c>
      <c r="C626" s="66">
        <v>0.7</v>
      </c>
      <c r="D626" s="5">
        <v>8.2899999999999991</v>
      </c>
      <c r="E626" s="5">
        <v>1564.9</v>
      </c>
      <c r="F626" s="5">
        <v>1581.3</v>
      </c>
      <c r="G626" s="6">
        <v>45440</v>
      </c>
      <c r="H626" s="5"/>
      <c r="I626" s="5"/>
      <c r="J626" s="5">
        <f t="shared" si="76"/>
        <v>16.399999999999864</v>
      </c>
      <c r="K626" s="8" t="b">
        <f t="shared" si="77"/>
        <v>1</v>
      </c>
    </row>
    <row r="627" spans="1:11">
      <c r="A627" s="5">
        <v>102</v>
      </c>
      <c r="B627" s="6">
        <v>45443</v>
      </c>
      <c r="C627" s="66">
        <v>0.7</v>
      </c>
      <c r="D627" s="5">
        <v>8.2899999999999991</v>
      </c>
      <c r="E627" s="5">
        <v>1581.3</v>
      </c>
      <c r="F627" s="5">
        <v>1598.3</v>
      </c>
      <c r="G627" s="6">
        <v>45443</v>
      </c>
      <c r="H627" s="5"/>
      <c r="I627" s="5"/>
      <c r="J627" s="5">
        <f t="shared" si="76"/>
        <v>17</v>
      </c>
      <c r="K627" s="8" t="b">
        <f t="shared" si="77"/>
        <v>1</v>
      </c>
    </row>
    <row r="628" spans="1:11">
      <c r="A628" s="5">
        <v>102</v>
      </c>
      <c r="B628" s="6">
        <v>45446</v>
      </c>
      <c r="C628" s="66">
        <v>0.7</v>
      </c>
      <c r="D628" s="5">
        <v>8.2899999999999991</v>
      </c>
      <c r="E628" s="5">
        <v>1598.3</v>
      </c>
      <c r="F628" s="5">
        <v>1614.2</v>
      </c>
      <c r="G628" s="6">
        <v>45446</v>
      </c>
      <c r="H628" s="5"/>
      <c r="I628" s="5"/>
      <c r="J628" s="5">
        <f t="shared" si="76"/>
        <v>15.900000000000091</v>
      </c>
      <c r="K628" s="8" t="b">
        <f t="shared" si="77"/>
        <v>1</v>
      </c>
    </row>
    <row r="629" spans="1:11">
      <c r="A629" s="5">
        <v>102</v>
      </c>
      <c r="B629" s="6">
        <v>45449</v>
      </c>
      <c r="C629" s="66">
        <v>0.7</v>
      </c>
      <c r="D629" s="5">
        <v>8.2899999999999991</v>
      </c>
      <c r="E629" s="5">
        <v>1614.2</v>
      </c>
      <c r="F629" s="5">
        <v>1630.6</v>
      </c>
      <c r="G629" s="6">
        <v>45449</v>
      </c>
      <c r="H629" s="5"/>
      <c r="I629" s="5"/>
      <c r="J629" s="5">
        <f t="shared" si="76"/>
        <v>16.399999999999864</v>
      </c>
      <c r="K629" s="8" t="b">
        <f t="shared" si="77"/>
        <v>1</v>
      </c>
    </row>
    <row r="630" spans="1:11">
      <c r="A630" s="5">
        <v>102</v>
      </c>
      <c r="B630" s="6">
        <v>45452</v>
      </c>
      <c r="C630" s="66">
        <v>0.7</v>
      </c>
      <c r="D630" s="5">
        <v>8.2899999999999991</v>
      </c>
      <c r="E630" s="5">
        <v>1630.6</v>
      </c>
      <c r="F630" s="5">
        <v>1647</v>
      </c>
      <c r="G630" s="6">
        <v>45452</v>
      </c>
      <c r="H630" s="5"/>
      <c r="I630" s="5"/>
      <c r="J630" s="5">
        <f t="shared" ref="J630:J668" si="78">F630-E630</f>
        <v>16.400000000000091</v>
      </c>
      <c r="K630" s="8" t="b">
        <f t="shared" ref="K630:K668" si="79">E630=F629</f>
        <v>1</v>
      </c>
    </row>
    <row r="631" spans="1:11">
      <c r="A631" s="5">
        <v>102</v>
      </c>
      <c r="B631" s="6">
        <v>45533</v>
      </c>
      <c r="C631" s="66">
        <v>0.5</v>
      </c>
      <c r="D631" s="5">
        <v>10.4</v>
      </c>
      <c r="E631" s="5">
        <v>1647</v>
      </c>
      <c r="F631" s="5">
        <v>1650.3</v>
      </c>
      <c r="G631" s="6">
        <v>45533</v>
      </c>
      <c r="H631" s="5"/>
      <c r="I631" s="5"/>
      <c r="J631" s="5">
        <f t="shared" si="78"/>
        <v>3.2999999999999545</v>
      </c>
      <c r="K631" s="8" t="b">
        <f t="shared" si="79"/>
        <v>1</v>
      </c>
    </row>
    <row r="632" spans="1:11">
      <c r="A632" s="5">
        <v>102</v>
      </c>
      <c r="B632" s="6"/>
      <c r="C632" s="66"/>
      <c r="D632" s="5"/>
      <c r="E632" s="5"/>
      <c r="F632" s="5"/>
      <c r="G632" s="6"/>
      <c r="H632" s="5"/>
      <c r="I632" s="5"/>
      <c r="J632" s="5">
        <f t="shared" si="78"/>
        <v>0</v>
      </c>
      <c r="K632" s="8" t="b">
        <f t="shared" si="79"/>
        <v>0</v>
      </c>
    </row>
    <row r="633" spans="1:11" ht="26.25">
      <c r="A633" s="138" t="s">
        <v>20</v>
      </c>
      <c r="B633" s="159"/>
      <c r="C633" s="159"/>
      <c r="D633" s="159"/>
      <c r="E633" s="159"/>
      <c r="F633" s="159"/>
      <c r="G633" s="159"/>
      <c r="H633" s="159"/>
      <c r="I633" s="159"/>
      <c r="J633" s="159"/>
      <c r="K633" s="160"/>
    </row>
    <row r="634" spans="1:11" ht="26.25">
      <c r="A634" s="138" t="s">
        <v>48</v>
      </c>
      <c r="B634" s="159"/>
      <c r="C634" s="159"/>
      <c r="D634" s="159"/>
      <c r="E634" s="159"/>
      <c r="F634" s="159"/>
      <c r="G634" s="159"/>
      <c r="H634" s="159"/>
      <c r="I634" s="159"/>
      <c r="J634" s="159"/>
      <c r="K634" s="160"/>
    </row>
    <row r="635" spans="1:11" ht="15.75" thickBot="1"/>
    <row r="636" spans="1:11" ht="15.75" thickBot="1">
      <c r="A636" s="132" t="s">
        <v>2</v>
      </c>
      <c r="B636" s="133"/>
      <c r="C636" s="133"/>
      <c r="D636" s="133"/>
      <c r="E636" s="133"/>
      <c r="F636" s="133"/>
      <c r="G636" s="133"/>
      <c r="H636" s="133"/>
      <c r="I636" s="133"/>
      <c r="J636" s="133"/>
      <c r="K636" s="134"/>
    </row>
    <row r="638" spans="1:11" ht="19.5" thickBot="1">
      <c r="A638" s="1" t="s">
        <v>3</v>
      </c>
      <c r="B638" s="61"/>
      <c r="C638" s="64"/>
      <c r="D638" s="54"/>
      <c r="E638" s="1"/>
      <c r="F638" s="1"/>
      <c r="G638" s="61"/>
      <c r="H638" s="1"/>
      <c r="I638" s="1"/>
    </row>
    <row r="639" spans="1:11" ht="30.75" thickBot="1">
      <c r="A639" s="2" t="s">
        <v>4</v>
      </c>
      <c r="B639" s="62" t="s">
        <v>5</v>
      </c>
      <c r="C639" s="65" t="s">
        <v>6</v>
      </c>
      <c r="D639" s="3" t="s">
        <v>7</v>
      </c>
      <c r="E639" s="3" t="s">
        <v>8</v>
      </c>
      <c r="F639" s="3" t="s">
        <v>9</v>
      </c>
      <c r="G639" s="62" t="s">
        <v>10</v>
      </c>
      <c r="H639" s="3" t="s">
        <v>21</v>
      </c>
      <c r="I639" s="4" t="s">
        <v>22</v>
      </c>
      <c r="J639" s="4" t="s">
        <v>11</v>
      </c>
      <c r="K639" s="4" t="s">
        <v>12</v>
      </c>
    </row>
    <row r="640" spans="1:11">
      <c r="A640" s="5">
        <v>102</v>
      </c>
      <c r="B640" s="6">
        <v>45563</v>
      </c>
      <c r="C640" s="66">
        <v>0.5</v>
      </c>
      <c r="D640" s="5">
        <v>11.16</v>
      </c>
      <c r="E640" s="5">
        <v>1650.3</v>
      </c>
      <c r="F640" s="5">
        <v>1674.3</v>
      </c>
      <c r="G640" s="6">
        <v>45563</v>
      </c>
      <c r="H640" s="5"/>
      <c r="I640" s="5"/>
      <c r="J640" s="5">
        <f t="shared" ref="J640" si="80">F640-E640</f>
        <v>24</v>
      </c>
      <c r="K640" s="8" t="b">
        <f t="shared" ref="K640" si="81">E640=F639</f>
        <v>0</v>
      </c>
    </row>
    <row r="641" spans="1:11">
      <c r="A641" s="5">
        <v>102</v>
      </c>
      <c r="B641" s="6">
        <v>45565</v>
      </c>
      <c r="C641" s="66">
        <v>0.9</v>
      </c>
      <c r="D641" s="5">
        <v>6.2</v>
      </c>
      <c r="E641" s="5">
        <v>1674.3</v>
      </c>
      <c r="F641" s="5">
        <v>1686.1</v>
      </c>
      <c r="G641" s="6">
        <v>45565</v>
      </c>
      <c r="H641" s="5"/>
      <c r="I641" s="5"/>
      <c r="J641" s="5">
        <f t="shared" si="78"/>
        <v>11.799999999999955</v>
      </c>
      <c r="K641" s="8" t="b">
        <f t="shared" si="79"/>
        <v>1</v>
      </c>
    </row>
    <row r="642" spans="1:11">
      <c r="A642" s="5">
        <v>102</v>
      </c>
      <c r="B642" s="6">
        <v>45566</v>
      </c>
      <c r="C642" s="66">
        <v>1</v>
      </c>
      <c r="D642" s="5">
        <v>5.58</v>
      </c>
      <c r="E642" s="5">
        <v>1686.1</v>
      </c>
      <c r="F642" s="5">
        <v>1709.7</v>
      </c>
      <c r="G642" s="6">
        <v>45566</v>
      </c>
      <c r="H642" s="5"/>
      <c r="I642" s="5"/>
      <c r="J642" s="5">
        <f t="shared" si="78"/>
        <v>23.600000000000136</v>
      </c>
      <c r="K642" s="8" t="b">
        <f t="shared" si="79"/>
        <v>1</v>
      </c>
    </row>
    <row r="643" spans="1:11">
      <c r="A643" s="5">
        <v>102</v>
      </c>
      <c r="B643" s="6">
        <v>45567</v>
      </c>
      <c r="C643" s="66">
        <v>1</v>
      </c>
      <c r="D643" s="5">
        <v>5.58</v>
      </c>
      <c r="E643" s="5">
        <v>1709.7</v>
      </c>
      <c r="F643" s="5">
        <v>1721.2</v>
      </c>
      <c r="G643" s="6">
        <v>45567</v>
      </c>
      <c r="H643" s="5"/>
      <c r="I643" s="5"/>
      <c r="J643" s="5">
        <f t="shared" si="78"/>
        <v>11.5</v>
      </c>
      <c r="K643" s="8" t="b">
        <f t="shared" si="79"/>
        <v>1</v>
      </c>
    </row>
    <row r="644" spans="1:11">
      <c r="A644" s="5">
        <v>102</v>
      </c>
      <c r="B644" s="6">
        <v>45568</v>
      </c>
      <c r="C644" s="66">
        <v>1</v>
      </c>
      <c r="D644" s="5">
        <v>5.58</v>
      </c>
      <c r="E644" s="5">
        <v>1721.2</v>
      </c>
      <c r="F644" s="5">
        <v>1732.6</v>
      </c>
      <c r="G644" s="6">
        <v>45568</v>
      </c>
      <c r="H644" s="5"/>
      <c r="I644" s="5"/>
      <c r="J644" s="5">
        <f t="shared" si="78"/>
        <v>11.399999999999864</v>
      </c>
      <c r="K644" s="8" t="b">
        <f t="shared" si="79"/>
        <v>1</v>
      </c>
    </row>
    <row r="645" spans="1:11">
      <c r="A645" s="5">
        <v>102</v>
      </c>
      <c r="B645" s="6">
        <v>45569</v>
      </c>
      <c r="C645" s="66">
        <v>1</v>
      </c>
      <c r="D645" s="5">
        <v>5.58</v>
      </c>
      <c r="E645" s="5">
        <v>1732.6</v>
      </c>
      <c r="F645" s="5">
        <v>1755.9</v>
      </c>
      <c r="G645" s="6">
        <v>45569</v>
      </c>
      <c r="H645" s="5"/>
      <c r="I645" s="5"/>
      <c r="J645" s="5">
        <f t="shared" si="78"/>
        <v>23.300000000000182</v>
      </c>
      <c r="K645" s="8" t="b">
        <f t="shared" si="79"/>
        <v>1</v>
      </c>
    </row>
    <row r="646" spans="1:11">
      <c r="A646" s="5">
        <v>102</v>
      </c>
      <c r="B646" s="6">
        <v>45570</v>
      </c>
      <c r="C646" s="66">
        <v>1</v>
      </c>
      <c r="D646" s="5">
        <v>5.58</v>
      </c>
      <c r="E646" s="5">
        <v>1755.9</v>
      </c>
      <c r="F646" s="5">
        <v>1767</v>
      </c>
      <c r="G646" s="6">
        <v>45570</v>
      </c>
      <c r="H646" s="5"/>
      <c r="I646" s="5"/>
      <c r="J646" s="5">
        <f t="shared" si="78"/>
        <v>11.099999999999909</v>
      </c>
      <c r="K646" s="8" t="b">
        <f t="shared" si="79"/>
        <v>1</v>
      </c>
    </row>
    <row r="647" spans="1:11">
      <c r="A647" s="5">
        <v>102</v>
      </c>
      <c r="B647" s="6">
        <v>45571</v>
      </c>
      <c r="C647" s="66">
        <v>1</v>
      </c>
      <c r="D647" s="5">
        <v>5.58</v>
      </c>
      <c r="E647" s="5">
        <v>1767</v>
      </c>
      <c r="F647" s="5">
        <v>1791</v>
      </c>
      <c r="G647" s="6">
        <v>45571</v>
      </c>
      <c r="H647" s="5"/>
      <c r="I647" s="5"/>
      <c r="J647" s="5">
        <f t="shared" si="78"/>
        <v>24</v>
      </c>
      <c r="K647" s="8" t="b">
        <f t="shared" si="79"/>
        <v>1</v>
      </c>
    </row>
    <row r="648" spans="1:11">
      <c r="A648" s="5">
        <v>102</v>
      </c>
      <c r="B648" s="6">
        <v>45572</v>
      </c>
      <c r="C648" s="66">
        <v>1</v>
      </c>
      <c r="D648" s="5">
        <v>5.58</v>
      </c>
      <c r="E648" s="5">
        <v>1791</v>
      </c>
      <c r="F648" s="5">
        <v>1812.8</v>
      </c>
      <c r="G648" s="6">
        <v>45572</v>
      </c>
      <c r="H648" s="5"/>
      <c r="I648" s="5"/>
      <c r="J648" s="5">
        <f t="shared" si="78"/>
        <v>21.799999999999955</v>
      </c>
      <c r="K648" s="8" t="b">
        <f t="shared" si="79"/>
        <v>1</v>
      </c>
    </row>
    <row r="649" spans="1:11">
      <c r="A649" s="5">
        <v>102</v>
      </c>
      <c r="B649" s="6">
        <v>45573</v>
      </c>
      <c r="C649" s="66">
        <v>1</v>
      </c>
      <c r="D649" s="5">
        <v>5.58</v>
      </c>
      <c r="E649" s="5">
        <v>1812.8</v>
      </c>
      <c r="F649" s="5">
        <v>1824.2</v>
      </c>
      <c r="G649" s="6">
        <v>45573</v>
      </c>
      <c r="H649" s="5"/>
      <c r="I649" s="5"/>
      <c r="J649" s="5">
        <f t="shared" si="78"/>
        <v>11.400000000000091</v>
      </c>
      <c r="K649" s="8" t="b">
        <f t="shared" si="79"/>
        <v>1</v>
      </c>
    </row>
    <row r="650" spans="1:11">
      <c r="A650" s="5">
        <v>102</v>
      </c>
      <c r="B650" s="6">
        <v>45574</v>
      </c>
      <c r="C650" s="66">
        <v>1</v>
      </c>
      <c r="D650" s="5">
        <v>5.58</v>
      </c>
      <c r="E650" s="5">
        <v>1824.2</v>
      </c>
      <c r="F650" s="5">
        <v>1847</v>
      </c>
      <c r="G650" s="6">
        <v>45574</v>
      </c>
      <c r="H650" s="5"/>
      <c r="I650" s="5"/>
      <c r="J650" s="5">
        <f t="shared" si="78"/>
        <v>22.799999999999955</v>
      </c>
      <c r="K650" s="8" t="b">
        <f t="shared" si="79"/>
        <v>1</v>
      </c>
    </row>
    <row r="651" spans="1:11">
      <c r="A651" s="5">
        <v>102</v>
      </c>
      <c r="B651" s="6">
        <v>45575</v>
      </c>
      <c r="C651" s="66">
        <v>1</v>
      </c>
      <c r="D651" s="5">
        <v>5.58</v>
      </c>
      <c r="E651" s="5">
        <v>1847</v>
      </c>
      <c r="F651" s="5">
        <v>1858.9</v>
      </c>
      <c r="G651" s="6">
        <v>45575</v>
      </c>
      <c r="H651" s="5"/>
      <c r="I651" s="5"/>
      <c r="J651" s="5">
        <f t="shared" si="78"/>
        <v>11.900000000000091</v>
      </c>
      <c r="K651" s="8" t="b">
        <f t="shared" si="79"/>
        <v>1</v>
      </c>
    </row>
    <row r="652" spans="1:11">
      <c r="A652" s="5">
        <v>102</v>
      </c>
      <c r="B652" s="6">
        <v>45576</v>
      </c>
      <c r="C652" s="66">
        <v>1</v>
      </c>
      <c r="D652" s="5">
        <v>5.58</v>
      </c>
      <c r="E652" s="5">
        <v>1858.9</v>
      </c>
      <c r="F652" s="5">
        <v>1870.2</v>
      </c>
      <c r="G652" s="6">
        <v>45576</v>
      </c>
      <c r="H652" s="5"/>
      <c r="I652" s="5"/>
      <c r="J652" s="5">
        <f>F652-E652</f>
        <v>11.299999999999955</v>
      </c>
      <c r="K652" s="8" t="b">
        <f t="shared" si="79"/>
        <v>1</v>
      </c>
    </row>
    <row r="653" spans="1:11">
      <c r="A653" s="5">
        <v>102</v>
      </c>
      <c r="B653" s="6">
        <v>45577</v>
      </c>
      <c r="C653" s="66">
        <v>0.8</v>
      </c>
      <c r="D653" s="5">
        <v>6.98</v>
      </c>
      <c r="E653" s="5">
        <v>1870.2</v>
      </c>
      <c r="F653" s="5">
        <v>1873.1</v>
      </c>
      <c r="G653" s="6">
        <v>45577</v>
      </c>
      <c r="H653" s="5"/>
      <c r="I653" s="5"/>
      <c r="J653" s="5">
        <f t="shared" si="78"/>
        <v>2.8999999999998636</v>
      </c>
      <c r="K653" s="8" t="b">
        <f t="shared" si="79"/>
        <v>1</v>
      </c>
    </row>
    <row r="654" spans="1:11">
      <c r="A654" s="5">
        <v>102</v>
      </c>
      <c r="B654" s="6"/>
      <c r="C654" s="66"/>
      <c r="D654" s="5"/>
      <c r="E654" s="5"/>
      <c r="F654" s="5"/>
      <c r="G654" s="6"/>
      <c r="H654" s="5"/>
      <c r="I654" s="5"/>
      <c r="J654" s="5">
        <f t="shared" si="78"/>
        <v>0</v>
      </c>
      <c r="K654" s="8" t="b">
        <f t="shared" si="79"/>
        <v>0</v>
      </c>
    </row>
    <row r="655" spans="1:11">
      <c r="A655" s="5">
        <v>102</v>
      </c>
      <c r="B655" s="6"/>
      <c r="C655" s="66"/>
      <c r="D655" s="5"/>
      <c r="E655" s="5"/>
      <c r="F655" s="5"/>
      <c r="G655" s="6"/>
      <c r="H655" s="5"/>
      <c r="I655" s="5"/>
      <c r="J655" s="5">
        <f t="shared" si="78"/>
        <v>0</v>
      </c>
      <c r="K655" s="8" t="b">
        <f t="shared" si="79"/>
        <v>1</v>
      </c>
    </row>
    <row r="656" spans="1:11">
      <c r="A656" s="5">
        <v>102</v>
      </c>
      <c r="B656" s="6"/>
      <c r="C656" s="66"/>
      <c r="D656" s="5"/>
      <c r="E656" s="5"/>
      <c r="F656" s="5"/>
      <c r="G656" s="6"/>
      <c r="H656" s="5"/>
      <c r="I656" s="5"/>
      <c r="J656" s="5">
        <f t="shared" si="78"/>
        <v>0</v>
      </c>
      <c r="K656" s="8" t="b">
        <f t="shared" si="79"/>
        <v>1</v>
      </c>
    </row>
    <row r="657" spans="1:11">
      <c r="A657" s="5">
        <v>102</v>
      </c>
      <c r="B657" s="6"/>
      <c r="C657" s="66"/>
      <c r="D657" s="5"/>
      <c r="E657" s="5"/>
      <c r="F657" s="5"/>
      <c r="G657" s="6"/>
      <c r="H657" s="5"/>
      <c r="I657" s="5"/>
      <c r="J657" s="5">
        <f t="shared" si="78"/>
        <v>0</v>
      </c>
      <c r="K657" s="8" t="b">
        <f t="shared" si="79"/>
        <v>1</v>
      </c>
    </row>
    <row r="658" spans="1:11">
      <c r="A658" s="5">
        <v>102</v>
      </c>
      <c r="B658" s="6"/>
      <c r="C658" s="66"/>
      <c r="D658" s="5"/>
      <c r="E658" s="5"/>
      <c r="F658" s="5"/>
      <c r="G658" s="6"/>
      <c r="H658" s="5"/>
      <c r="I658" s="5"/>
      <c r="J658" s="5">
        <f t="shared" si="78"/>
        <v>0</v>
      </c>
      <c r="K658" s="8" t="b">
        <f t="shared" si="79"/>
        <v>1</v>
      </c>
    </row>
    <row r="659" spans="1:11">
      <c r="A659" s="5">
        <v>102</v>
      </c>
      <c r="B659" s="6"/>
      <c r="C659" s="66"/>
      <c r="D659" s="5"/>
      <c r="E659" s="5"/>
      <c r="F659" s="5"/>
      <c r="G659" s="6"/>
      <c r="H659" s="5"/>
      <c r="I659" s="5"/>
      <c r="J659" s="5">
        <f t="shared" si="78"/>
        <v>0</v>
      </c>
      <c r="K659" s="8" t="b">
        <f t="shared" si="79"/>
        <v>1</v>
      </c>
    </row>
    <row r="660" spans="1:11">
      <c r="A660" s="5">
        <v>102</v>
      </c>
      <c r="B660" s="6"/>
      <c r="C660" s="66"/>
      <c r="D660" s="5"/>
      <c r="E660" s="5"/>
      <c r="F660" s="5"/>
      <c r="G660" s="6"/>
      <c r="H660" s="5"/>
      <c r="I660" s="5"/>
      <c r="J660" s="5">
        <f t="shared" si="78"/>
        <v>0</v>
      </c>
      <c r="K660" s="8" t="b">
        <f t="shared" si="79"/>
        <v>1</v>
      </c>
    </row>
    <row r="661" spans="1:11">
      <c r="A661" s="5">
        <v>102</v>
      </c>
      <c r="B661" s="6"/>
      <c r="C661" s="66"/>
      <c r="D661" s="5"/>
      <c r="E661" s="5"/>
      <c r="F661" s="5"/>
      <c r="G661" s="6"/>
      <c r="H661" s="5"/>
      <c r="I661" s="5"/>
      <c r="J661" s="5">
        <f t="shared" si="78"/>
        <v>0</v>
      </c>
      <c r="K661" s="8" t="b">
        <f t="shared" si="79"/>
        <v>1</v>
      </c>
    </row>
    <row r="662" spans="1:11">
      <c r="A662" s="5">
        <v>102</v>
      </c>
      <c r="B662" s="6"/>
      <c r="C662" s="66"/>
      <c r="D662" s="5"/>
      <c r="E662" s="5"/>
      <c r="F662" s="5"/>
      <c r="G662" s="6"/>
      <c r="H662" s="5"/>
      <c r="I662" s="5"/>
      <c r="J662" s="5">
        <f t="shared" si="78"/>
        <v>0</v>
      </c>
      <c r="K662" s="8" t="b">
        <f t="shared" si="79"/>
        <v>1</v>
      </c>
    </row>
    <row r="663" spans="1:11">
      <c r="A663" s="5">
        <v>102</v>
      </c>
      <c r="B663" s="6"/>
      <c r="C663" s="66"/>
      <c r="D663" s="5"/>
      <c r="E663" s="5"/>
      <c r="F663" s="5"/>
      <c r="G663" s="6"/>
      <c r="H663" s="5"/>
      <c r="I663" s="5"/>
      <c r="J663" s="5">
        <f t="shared" si="78"/>
        <v>0</v>
      </c>
      <c r="K663" s="8" t="b">
        <f t="shared" si="79"/>
        <v>1</v>
      </c>
    </row>
    <row r="664" spans="1:11">
      <c r="A664" s="5">
        <v>102</v>
      </c>
      <c r="B664" s="6"/>
      <c r="C664" s="66"/>
      <c r="D664" s="5"/>
      <c r="E664" s="5"/>
      <c r="F664" s="5"/>
      <c r="G664" s="6"/>
      <c r="H664" s="5"/>
      <c r="I664" s="5"/>
      <c r="J664" s="5">
        <f t="shared" si="78"/>
        <v>0</v>
      </c>
      <c r="K664" s="8" t="b">
        <f t="shared" si="79"/>
        <v>1</v>
      </c>
    </row>
    <row r="665" spans="1:11">
      <c r="A665" s="5">
        <v>102</v>
      </c>
      <c r="B665" s="6"/>
      <c r="C665" s="66"/>
      <c r="D665" s="5"/>
      <c r="E665" s="5"/>
      <c r="F665" s="5"/>
      <c r="G665" s="6"/>
      <c r="H665" s="5"/>
      <c r="I665" s="5"/>
      <c r="J665" s="5">
        <f t="shared" si="78"/>
        <v>0</v>
      </c>
      <c r="K665" s="8" t="b">
        <f t="shared" si="79"/>
        <v>1</v>
      </c>
    </row>
    <row r="666" spans="1:11">
      <c r="A666" s="5">
        <v>102</v>
      </c>
      <c r="B666" s="6"/>
      <c r="C666" s="66"/>
      <c r="D666" s="5"/>
      <c r="E666" s="5"/>
      <c r="F666" s="5"/>
      <c r="G666" s="6"/>
      <c r="H666" s="5"/>
      <c r="I666" s="5"/>
      <c r="J666" s="5">
        <f t="shared" si="78"/>
        <v>0</v>
      </c>
      <c r="K666" s="8" t="b">
        <f t="shared" si="79"/>
        <v>1</v>
      </c>
    </row>
    <row r="667" spans="1:11">
      <c r="A667" s="5">
        <v>102</v>
      </c>
      <c r="B667" s="6"/>
      <c r="C667" s="66"/>
      <c r="D667" s="5"/>
      <c r="E667" s="5"/>
      <c r="F667" s="5"/>
      <c r="G667" s="6"/>
      <c r="H667" s="5"/>
      <c r="I667" s="5"/>
      <c r="J667" s="5">
        <f t="shared" si="78"/>
        <v>0</v>
      </c>
      <c r="K667" s="8" t="b">
        <f t="shared" si="79"/>
        <v>1</v>
      </c>
    </row>
    <row r="668" spans="1:11">
      <c r="A668" s="5">
        <v>102</v>
      </c>
      <c r="B668" s="6"/>
      <c r="C668" s="66"/>
      <c r="D668" s="5"/>
      <c r="E668" s="5"/>
      <c r="F668" s="5"/>
      <c r="G668" s="6"/>
      <c r="H668" s="5"/>
      <c r="I668" s="5"/>
      <c r="J668" s="5">
        <f t="shared" si="78"/>
        <v>0</v>
      </c>
      <c r="K668" s="8" t="b">
        <f t="shared" si="79"/>
        <v>1</v>
      </c>
    </row>
  </sheetData>
  <mergeCells count="33">
    <mergeCell ref="A509:K509"/>
    <mergeCell ref="A511:K511"/>
    <mergeCell ref="A316:K316"/>
    <mergeCell ref="A318:K318"/>
    <mergeCell ref="A482:K482"/>
    <mergeCell ref="A483:K483"/>
    <mergeCell ref="A485:K485"/>
    <mergeCell ref="A398:K398"/>
    <mergeCell ref="A508:K508"/>
    <mergeCell ref="A54:K54"/>
    <mergeCell ref="A1:K1"/>
    <mergeCell ref="A2:K2"/>
    <mergeCell ref="A4:K4"/>
    <mergeCell ref="A51:K51"/>
    <mergeCell ref="A52:K52"/>
    <mergeCell ref="A138:K138"/>
    <mergeCell ref="A139:K139"/>
    <mergeCell ref="A141:K141"/>
    <mergeCell ref="A395:K395"/>
    <mergeCell ref="A396:K396"/>
    <mergeCell ref="A203:K203"/>
    <mergeCell ref="A204:K204"/>
    <mergeCell ref="A206:K206"/>
    <mergeCell ref="A378:K378"/>
    <mergeCell ref="A379:K379"/>
    <mergeCell ref="A381:K381"/>
    <mergeCell ref="A315:K315"/>
    <mergeCell ref="A633:K633"/>
    <mergeCell ref="A634:K634"/>
    <mergeCell ref="A636:K636"/>
    <mergeCell ref="A590:K590"/>
    <mergeCell ref="A591:K591"/>
    <mergeCell ref="A593:K593"/>
  </mergeCells>
  <conditionalFormatting sqref="K1:K376 K378:K392 K395:K1048576">
    <cfRule type="containsText" dxfId="102" priority="1" operator="containsText" text="FALSO">
      <formula>NOT(ISERROR(SEARCH("FALSO",K1)))</formula>
    </cfRule>
    <cfRule type="containsText" dxfId="101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8014-6F55-4462-A524-EF44C4D5B880}">
  <sheetPr codeName="Planilha3"/>
  <dimension ref="A1:I474"/>
  <sheetViews>
    <sheetView topLeftCell="A445" zoomScaleNormal="100" workbookViewId="0">
      <selection activeCell="H468" sqref="H468"/>
    </sheetView>
  </sheetViews>
  <sheetFormatPr defaultRowHeight="15"/>
  <cols>
    <col min="1" max="1" width="10.7109375" bestFit="1" customWidth="1"/>
    <col min="2" max="2" width="11.140625" customWidth="1"/>
    <col min="3" max="4" width="11.42578125" customWidth="1"/>
    <col min="5" max="5" width="17" customWidth="1"/>
    <col min="6" max="6" width="13.7109375" customWidth="1"/>
    <col min="7" max="7" width="23.140625" customWidth="1"/>
    <col min="8" max="8" width="10.7109375" customWidth="1"/>
    <col min="9" max="9" width="17.5703125" customWidth="1"/>
  </cols>
  <sheetData>
    <row r="1" spans="1:9" ht="26.25">
      <c r="A1" s="144" t="s">
        <v>49</v>
      </c>
      <c r="B1" s="166"/>
      <c r="C1" s="166"/>
      <c r="D1" s="166"/>
      <c r="E1" s="166"/>
      <c r="F1" s="166"/>
      <c r="G1" s="166"/>
      <c r="H1" s="166"/>
      <c r="I1" s="167"/>
    </row>
    <row r="2" spans="1:9" ht="26.25">
      <c r="A2" s="144" t="s">
        <v>50</v>
      </c>
      <c r="B2" s="166"/>
      <c r="C2" s="166"/>
      <c r="D2" s="166"/>
      <c r="E2" s="166"/>
      <c r="F2" s="166"/>
      <c r="G2" s="166"/>
      <c r="H2" s="166"/>
      <c r="I2" s="167"/>
    </row>
    <row r="3" spans="1:9" ht="15.75" thickBot="1"/>
    <row r="4" spans="1:9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4"/>
    </row>
    <row r="6" spans="1:9" ht="19.5" thickBot="1">
      <c r="A6" s="1" t="s">
        <v>3</v>
      </c>
      <c r="B6" s="1"/>
      <c r="C6" s="1"/>
      <c r="D6" s="1"/>
      <c r="E6" s="1"/>
      <c r="F6" s="1"/>
      <c r="G6" s="1"/>
    </row>
    <row r="7" spans="1:9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4" t="s">
        <v>11</v>
      </c>
      <c r="I7" s="4" t="s">
        <v>12</v>
      </c>
    </row>
    <row r="8" spans="1:9">
      <c r="A8" s="5">
        <v>103</v>
      </c>
      <c r="B8" s="6">
        <v>43753</v>
      </c>
      <c r="C8" s="7">
        <v>1</v>
      </c>
      <c r="D8" s="9">
        <v>5.8</v>
      </c>
      <c r="E8" s="5">
        <v>235.8</v>
      </c>
      <c r="F8" s="5">
        <v>248.4</v>
      </c>
      <c r="G8" s="6">
        <v>43753</v>
      </c>
      <c r="H8" s="5">
        <f t="shared" ref="H8:H40" si="0">F8-E8</f>
        <v>12.599999999999994</v>
      </c>
      <c r="I8" s="8" t="b">
        <f t="shared" ref="I8:I40" si="1">F8=E9</f>
        <v>1</v>
      </c>
    </row>
    <row r="9" spans="1:9">
      <c r="A9" s="5">
        <v>103</v>
      </c>
      <c r="B9" s="6">
        <v>43754</v>
      </c>
      <c r="C9" s="7">
        <v>1</v>
      </c>
      <c r="D9" s="9">
        <v>5.8</v>
      </c>
      <c r="E9" s="5">
        <v>248.4</v>
      </c>
      <c r="F9" s="5">
        <v>258.60000000000002</v>
      </c>
      <c r="G9" s="6">
        <v>43754</v>
      </c>
      <c r="H9" s="5">
        <f t="shared" si="0"/>
        <v>10.200000000000017</v>
      </c>
      <c r="I9" s="8" t="b">
        <f t="shared" si="1"/>
        <v>1</v>
      </c>
    </row>
    <row r="10" spans="1:9">
      <c r="A10" s="5">
        <v>103</v>
      </c>
      <c r="B10" s="6">
        <v>43755</v>
      </c>
      <c r="C10" s="7">
        <v>1</v>
      </c>
      <c r="D10" s="9">
        <v>5.8</v>
      </c>
      <c r="E10" s="5">
        <v>258.60000000000002</v>
      </c>
      <c r="F10" s="5">
        <v>270.5</v>
      </c>
      <c r="G10" s="6">
        <v>43755</v>
      </c>
      <c r="H10" s="5">
        <f t="shared" si="0"/>
        <v>11.899999999999977</v>
      </c>
      <c r="I10" s="8" t="b">
        <f t="shared" si="1"/>
        <v>1</v>
      </c>
    </row>
    <row r="11" spans="1:9">
      <c r="A11" s="5">
        <v>103</v>
      </c>
      <c r="B11" s="6">
        <v>43756</v>
      </c>
      <c r="C11" s="7">
        <v>1</v>
      </c>
      <c r="D11" s="9">
        <v>5.8</v>
      </c>
      <c r="E11" s="5">
        <v>270.5</v>
      </c>
      <c r="F11" s="5">
        <v>282</v>
      </c>
      <c r="G11" s="6">
        <v>43756</v>
      </c>
      <c r="H11" s="5">
        <f t="shared" si="0"/>
        <v>11.5</v>
      </c>
      <c r="I11" s="8" t="b">
        <f t="shared" si="1"/>
        <v>1</v>
      </c>
    </row>
    <row r="12" spans="1:9">
      <c r="A12" s="5">
        <v>103</v>
      </c>
      <c r="B12" s="6">
        <v>43757</v>
      </c>
      <c r="C12" s="7">
        <v>1</v>
      </c>
      <c r="D12" s="9">
        <v>5.8</v>
      </c>
      <c r="E12" s="5">
        <v>282</v>
      </c>
      <c r="F12" s="5">
        <v>294</v>
      </c>
      <c r="G12" s="6">
        <v>43757</v>
      </c>
      <c r="H12" s="5">
        <f t="shared" si="0"/>
        <v>12</v>
      </c>
      <c r="I12" s="8" t="b">
        <f t="shared" si="1"/>
        <v>1</v>
      </c>
    </row>
    <row r="13" spans="1:9">
      <c r="A13" s="5">
        <v>103</v>
      </c>
      <c r="B13" s="6">
        <v>43758</v>
      </c>
      <c r="C13" s="7">
        <v>1</v>
      </c>
      <c r="D13" s="9">
        <v>5.8</v>
      </c>
      <c r="E13" s="5">
        <v>294</v>
      </c>
      <c r="F13" s="5">
        <v>306.7</v>
      </c>
      <c r="G13" s="6">
        <v>43758</v>
      </c>
      <c r="H13" s="5">
        <f t="shared" si="0"/>
        <v>12.699999999999989</v>
      </c>
      <c r="I13" s="8" t="b">
        <f t="shared" si="1"/>
        <v>1</v>
      </c>
    </row>
    <row r="14" spans="1:9">
      <c r="A14" s="5">
        <v>103</v>
      </c>
      <c r="B14" s="6">
        <v>43759</v>
      </c>
      <c r="C14" s="7">
        <v>1</v>
      </c>
      <c r="D14" s="9">
        <v>5.8</v>
      </c>
      <c r="E14" s="5">
        <v>306.7</v>
      </c>
      <c r="F14" s="5">
        <v>317.5</v>
      </c>
      <c r="G14" s="6">
        <v>43759</v>
      </c>
      <c r="H14" s="5">
        <f t="shared" si="0"/>
        <v>10.800000000000011</v>
      </c>
      <c r="I14" s="8" t="b">
        <f t="shared" si="1"/>
        <v>1</v>
      </c>
    </row>
    <row r="15" spans="1:9">
      <c r="A15" s="5">
        <v>103</v>
      </c>
      <c r="B15" s="6">
        <v>43760</v>
      </c>
      <c r="C15" s="7">
        <v>1</v>
      </c>
      <c r="D15" s="9">
        <v>5.8</v>
      </c>
      <c r="E15" s="5">
        <v>317.5</v>
      </c>
      <c r="F15" s="5">
        <v>329.1</v>
      </c>
      <c r="G15" s="6">
        <v>43760</v>
      </c>
      <c r="H15" s="5">
        <f t="shared" si="0"/>
        <v>11.600000000000023</v>
      </c>
      <c r="I15" s="8" t="b">
        <f t="shared" si="1"/>
        <v>1</v>
      </c>
    </row>
    <row r="16" spans="1:9">
      <c r="A16" s="5">
        <v>103</v>
      </c>
      <c r="B16" s="6">
        <v>43766</v>
      </c>
      <c r="C16" s="7">
        <v>0.8</v>
      </c>
      <c r="D16" s="5">
        <v>7.25</v>
      </c>
      <c r="E16" s="5">
        <v>329.1</v>
      </c>
      <c r="F16" s="5">
        <v>343.8</v>
      </c>
      <c r="G16" s="6">
        <v>43766</v>
      </c>
      <c r="H16" s="5">
        <f t="shared" si="0"/>
        <v>14.699999999999989</v>
      </c>
      <c r="I16" s="8" t="b">
        <f t="shared" si="1"/>
        <v>1</v>
      </c>
    </row>
    <row r="17" spans="1:9">
      <c r="A17" s="5">
        <v>103</v>
      </c>
      <c r="B17" s="6">
        <v>43768</v>
      </c>
      <c r="C17" s="7">
        <v>0.8</v>
      </c>
      <c r="D17" s="5">
        <v>7.25</v>
      </c>
      <c r="E17" s="5">
        <v>343.8</v>
      </c>
      <c r="F17" s="5">
        <v>358</v>
      </c>
      <c r="G17" s="6">
        <v>43768</v>
      </c>
      <c r="H17" s="5">
        <f t="shared" si="0"/>
        <v>14.199999999999989</v>
      </c>
      <c r="I17" s="8" t="b">
        <f t="shared" si="1"/>
        <v>1</v>
      </c>
    </row>
    <row r="18" spans="1:9">
      <c r="A18" s="5">
        <v>103</v>
      </c>
      <c r="B18" s="6">
        <v>43770</v>
      </c>
      <c r="C18" s="7">
        <v>0.8</v>
      </c>
      <c r="D18" s="5">
        <v>7.25</v>
      </c>
      <c r="E18" s="5">
        <v>358</v>
      </c>
      <c r="F18" s="5">
        <v>372.5</v>
      </c>
      <c r="G18" s="6">
        <v>43770</v>
      </c>
      <c r="H18" s="5">
        <f t="shared" si="0"/>
        <v>14.5</v>
      </c>
      <c r="I18" s="8" t="b">
        <f t="shared" si="1"/>
        <v>1</v>
      </c>
    </row>
    <row r="19" spans="1:9">
      <c r="A19" s="5">
        <v>103</v>
      </c>
      <c r="B19" s="6">
        <v>43772</v>
      </c>
      <c r="C19" s="7">
        <v>0.8</v>
      </c>
      <c r="D19" s="5">
        <v>7.25</v>
      </c>
      <c r="E19" s="5">
        <v>372.5</v>
      </c>
      <c r="F19" s="5">
        <v>387.8</v>
      </c>
      <c r="G19" s="6">
        <v>43772</v>
      </c>
      <c r="H19" s="5">
        <f t="shared" si="0"/>
        <v>15.300000000000011</v>
      </c>
      <c r="I19" s="8" t="b">
        <f t="shared" si="1"/>
        <v>1</v>
      </c>
    </row>
    <row r="20" spans="1:9">
      <c r="A20" s="5">
        <v>103</v>
      </c>
      <c r="B20" s="6">
        <v>43774</v>
      </c>
      <c r="C20" s="7">
        <v>0.8</v>
      </c>
      <c r="D20" s="5">
        <v>7.25</v>
      </c>
      <c r="E20" s="5">
        <v>387.8</v>
      </c>
      <c r="F20" s="5">
        <v>401.5</v>
      </c>
      <c r="G20" s="6">
        <v>43774</v>
      </c>
      <c r="H20" s="5">
        <f t="shared" si="0"/>
        <v>13.699999999999989</v>
      </c>
      <c r="I20" s="8" t="b">
        <f t="shared" si="1"/>
        <v>1</v>
      </c>
    </row>
    <row r="21" spans="1:9">
      <c r="A21" s="5">
        <v>103</v>
      </c>
      <c r="B21" s="6">
        <v>43776</v>
      </c>
      <c r="C21" s="7">
        <v>1</v>
      </c>
      <c r="D21" s="9">
        <v>5.8</v>
      </c>
      <c r="E21" s="5">
        <v>401.5</v>
      </c>
      <c r="F21" s="5">
        <v>414.4</v>
      </c>
      <c r="G21" s="6">
        <v>43776</v>
      </c>
      <c r="H21" s="5">
        <f t="shared" si="0"/>
        <v>12.899999999999977</v>
      </c>
      <c r="I21" s="8" t="b">
        <f t="shared" si="1"/>
        <v>1</v>
      </c>
    </row>
    <row r="22" spans="1:9">
      <c r="A22" s="5">
        <v>103</v>
      </c>
      <c r="B22" s="6">
        <v>43778</v>
      </c>
      <c r="C22" s="7">
        <v>0.65</v>
      </c>
      <c r="D22" s="5">
        <v>8.92</v>
      </c>
      <c r="E22" s="5">
        <v>414.4</v>
      </c>
      <c r="F22" s="5">
        <v>432.8</v>
      </c>
      <c r="G22" s="6">
        <v>43778</v>
      </c>
      <c r="H22" s="5">
        <f t="shared" si="0"/>
        <v>18.400000000000034</v>
      </c>
      <c r="I22" s="8" t="b">
        <f t="shared" si="1"/>
        <v>1</v>
      </c>
    </row>
    <row r="23" spans="1:9">
      <c r="A23" s="5">
        <v>103</v>
      </c>
      <c r="B23" s="6">
        <v>43781</v>
      </c>
      <c r="C23" s="7">
        <v>0.65</v>
      </c>
      <c r="D23" s="5">
        <v>8.92</v>
      </c>
      <c r="E23" s="5">
        <v>432.8</v>
      </c>
      <c r="F23" s="5">
        <v>450.3</v>
      </c>
      <c r="G23" s="6">
        <v>43781</v>
      </c>
      <c r="H23" s="5">
        <f t="shared" si="0"/>
        <v>17.5</v>
      </c>
      <c r="I23" s="8" t="b">
        <f t="shared" si="1"/>
        <v>1</v>
      </c>
    </row>
    <row r="24" spans="1:9">
      <c r="A24" s="5">
        <v>103</v>
      </c>
      <c r="B24" s="6">
        <v>43784</v>
      </c>
      <c r="C24" s="7">
        <v>0.65</v>
      </c>
      <c r="D24" s="5">
        <v>8.92</v>
      </c>
      <c r="E24" s="5">
        <v>450.3</v>
      </c>
      <c r="F24" s="5">
        <v>469.2</v>
      </c>
      <c r="G24" s="6">
        <v>43784</v>
      </c>
      <c r="H24" s="5">
        <f t="shared" si="0"/>
        <v>18.899999999999977</v>
      </c>
      <c r="I24" s="8" t="b">
        <f t="shared" si="1"/>
        <v>1</v>
      </c>
    </row>
    <row r="25" spans="1:9">
      <c r="A25" s="5">
        <v>103</v>
      </c>
      <c r="B25" s="6">
        <v>43785</v>
      </c>
      <c r="C25" s="7">
        <v>0.65</v>
      </c>
      <c r="D25" s="5">
        <v>8.92</v>
      </c>
      <c r="E25" s="5">
        <v>469.2</v>
      </c>
      <c r="F25" s="5">
        <v>487.9</v>
      </c>
      <c r="G25" s="6">
        <v>43785</v>
      </c>
      <c r="H25" s="5">
        <f t="shared" si="0"/>
        <v>18.699999999999989</v>
      </c>
      <c r="I25" s="8" t="b">
        <f t="shared" si="1"/>
        <v>1</v>
      </c>
    </row>
    <row r="26" spans="1:9">
      <c r="A26" s="5">
        <v>103</v>
      </c>
      <c r="B26" s="6">
        <v>43791</v>
      </c>
      <c r="C26" s="7">
        <v>0.8</v>
      </c>
      <c r="D26" s="5">
        <v>7.25</v>
      </c>
      <c r="E26" s="5">
        <v>487.9</v>
      </c>
      <c r="F26" s="5">
        <v>502.9</v>
      </c>
      <c r="G26" s="6">
        <v>43791</v>
      </c>
      <c r="H26" s="5">
        <f t="shared" si="0"/>
        <v>15</v>
      </c>
      <c r="I26" s="8" t="b">
        <f t="shared" si="1"/>
        <v>1</v>
      </c>
    </row>
    <row r="27" spans="1:9">
      <c r="A27" s="5">
        <v>103</v>
      </c>
      <c r="B27" s="6">
        <v>43793</v>
      </c>
      <c r="C27" s="7">
        <v>1</v>
      </c>
      <c r="D27" s="9">
        <v>5.8</v>
      </c>
      <c r="E27" s="5">
        <v>502.9</v>
      </c>
      <c r="F27" s="5">
        <v>515</v>
      </c>
      <c r="G27" s="6">
        <v>43793</v>
      </c>
      <c r="H27" s="5">
        <f t="shared" si="0"/>
        <v>12.100000000000023</v>
      </c>
      <c r="I27" s="8" t="b">
        <f t="shared" si="1"/>
        <v>1</v>
      </c>
    </row>
    <row r="28" spans="1:9">
      <c r="A28" s="5">
        <v>103</v>
      </c>
      <c r="B28" s="6">
        <v>43797</v>
      </c>
      <c r="C28" s="7">
        <v>0.8</v>
      </c>
      <c r="D28" s="5">
        <v>7.25</v>
      </c>
      <c r="E28" s="5">
        <v>515</v>
      </c>
      <c r="F28" s="5">
        <v>524.1</v>
      </c>
      <c r="G28" s="6">
        <v>43797</v>
      </c>
      <c r="H28" s="5">
        <f t="shared" si="0"/>
        <v>9.1000000000000227</v>
      </c>
      <c r="I28" s="8" t="b">
        <f t="shared" si="1"/>
        <v>1</v>
      </c>
    </row>
    <row r="29" spans="1:9">
      <c r="A29" s="5">
        <v>103</v>
      </c>
      <c r="B29" s="6">
        <v>43805</v>
      </c>
      <c r="C29" s="7">
        <v>0.7</v>
      </c>
      <c r="D29" s="5">
        <v>8.2899999999999991</v>
      </c>
      <c r="E29" s="5">
        <v>524.1</v>
      </c>
      <c r="F29" s="5">
        <v>545.20000000000005</v>
      </c>
      <c r="G29" s="6">
        <v>43805</v>
      </c>
      <c r="H29" s="5">
        <f t="shared" si="0"/>
        <v>21.100000000000023</v>
      </c>
      <c r="I29" s="8" t="b">
        <f t="shared" si="1"/>
        <v>0</v>
      </c>
    </row>
    <row r="30" spans="1:9">
      <c r="A30" s="5">
        <v>103</v>
      </c>
      <c r="B30" s="6">
        <v>43808</v>
      </c>
      <c r="C30" s="7">
        <v>1</v>
      </c>
      <c r="D30" s="9">
        <v>5.8</v>
      </c>
      <c r="E30" s="5">
        <v>0</v>
      </c>
      <c r="F30" s="5">
        <v>12</v>
      </c>
      <c r="G30" s="6">
        <v>43808</v>
      </c>
      <c r="H30" s="5">
        <f t="shared" si="0"/>
        <v>12</v>
      </c>
      <c r="I30" s="8" t="b">
        <f t="shared" si="1"/>
        <v>1</v>
      </c>
    </row>
    <row r="31" spans="1:9">
      <c r="A31" s="5">
        <v>103</v>
      </c>
      <c r="B31" s="6">
        <v>43810</v>
      </c>
      <c r="C31" s="7">
        <v>0.7</v>
      </c>
      <c r="D31" s="5">
        <v>8.2899999999999991</v>
      </c>
      <c r="E31" s="5">
        <v>12</v>
      </c>
      <c r="F31" s="5">
        <v>29.8</v>
      </c>
      <c r="G31" s="6">
        <v>43810</v>
      </c>
      <c r="H31" s="5">
        <f t="shared" si="0"/>
        <v>17.8</v>
      </c>
      <c r="I31" s="8" t="b">
        <f t="shared" si="1"/>
        <v>1</v>
      </c>
    </row>
    <row r="32" spans="1:9">
      <c r="A32" s="5">
        <v>103</v>
      </c>
      <c r="B32" s="6">
        <v>43812</v>
      </c>
      <c r="C32" s="7">
        <v>0.7</v>
      </c>
      <c r="D32" s="5">
        <v>8.2899999999999991</v>
      </c>
      <c r="E32" s="5">
        <v>29.8</v>
      </c>
      <c r="F32" s="5">
        <v>46.8</v>
      </c>
      <c r="G32" s="6">
        <v>43812</v>
      </c>
      <c r="H32" s="5">
        <f t="shared" si="0"/>
        <v>16.999999999999996</v>
      </c>
      <c r="I32" s="8" t="b">
        <f t="shared" si="1"/>
        <v>1</v>
      </c>
    </row>
    <row r="33" spans="1:9">
      <c r="A33" s="5">
        <v>103</v>
      </c>
      <c r="B33" s="6">
        <v>43814</v>
      </c>
      <c r="C33" s="7">
        <v>0.7</v>
      </c>
      <c r="D33" s="5">
        <v>8.2899999999999991</v>
      </c>
      <c r="E33" s="5">
        <v>46.8</v>
      </c>
      <c r="F33" s="5">
        <v>64.099999999999994</v>
      </c>
      <c r="G33" s="6">
        <v>43814</v>
      </c>
      <c r="H33" s="5">
        <f t="shared" si="0"/>
        <v>17.299999999999997</v>
      </c>
      <c r="I33" s="8" t="b">
        <f t="shared" si="1"/>
        <v>1</v>
      </c>
    </row>
    <row r="34" spans="1:9">
      <c r="A34" s="5">
        <v>103</v>
      </c>
      <c r="B34" s="6">
        <v>43817</v>
      </c>
      <c r="C34" s="7">
        <v>0.7</v>
      </c>
      <c r="D34" s="5">
        <v>8.2899999999999991</v>
      </c>
      <c r="E34" s="5">
        <v>64.099999999999994</v>
      </c>
      <c r="F34" s="5">
        <v>79.7</v>
      </c>
      <c r="G34" s="6">
        <v>43817</v>
      </c>
      <c r="H34" s="5">
        <f t="shared" si="0"/>
        <v>15.600000000000009</v>
      </c>
      <c r="I34" s="8" t="b">
        <f t="shared" si="1"/>
        <v>1</v>
      </c>
    </row>
    <row r="35" spans="1:9">
      <c r="A35" s="5">
        <v>103</v>
      </c>
      <c r="B35" s="6">
        <v>43820</v>
      </c>
      <c r="C35" s="7">
        <v>0.7</v>
      </c>
      <c r="D35" s="5">
        <v>8.2899999999999991</v>
      </c>
      <c r="E35" s="5">
        <v>79.7</v>
      </c>
      <c r="F35" s="5">
        <v>96</v>
      </c>
      <c r="G35" s="6">
        <v>43820</v>
      </c>
      <c r="H35" s="5">
        <f t="shared" si="0"/>
        <v>16.299999999999997</v>
      </c>
      <c r="I35" s="8" t="b">
        <f t="shared" si="1"/>
        <v>1</v>
      </c>
    </row>
    <row r="36" spans="1:9">
      <c r="A36" s="5">
        <v>103</v>
      </c>
      <c r="B36" s="6">
        <v>43822</v>
      </c>
      <c r="C36" s="7">
        <v>0.7</v>
      </c>
      <c r="D36" s="5">
        <v>8.2899999999999991</v>
      </c>
      <c r="E36" s="5">
        <v>96</v>
      </c>
      <c r="F36" s="5">
        <v>112</v>
      </c>
      <c r="G36" s="6">
        <v>43822</v>
      </c>
      <c r="H36" s="5">
        <f t="shared" si="0"/>
        <v>16</v>
      </c>
      <c r="I36" s="8" t="b">
        <f t="shared" si="1"/>
        <v>0</v>
      </c>
    </row>
    <row r="37" spans="1:9">
      <c r="A37" s="5">
        <v>103</v>
      </c>
      <c r="B37" s="6">
        <v>43825</v>
      </c>
      <c r="C37" s="7">
        <v>0.7</v>
      </c>
      <c r="D37" s="5">
        <v>8.2899999999999991</v>
      </c>
      <c r="E37" s="5">
        <v>96</v>
      </c>
      <c r="F37" s="5">
        <v>113</v>
      </c>
      <c r="G37" s="6">
        <v>43825</v>
      </c>
      <c r="H37" s="5">
        <f t="shared" si="0"/>
        <v>17</v>
      </c>
      <c r="I37" s="8" t="b">
        <f t="shared" si="1"/>
        <v>1</v>
      </c>
    </row>
    <row r="38" spans="1:9">
      <c r="A38" s="5">
        <v>103</v>
      </c>
      <c r="B38" s="6">
        <v>43827</v>
      </c>
      <c r="C38" s="7">
        <v>0.8</v>
      </c>
      <c r="D38" s="5">
        <v>7.25</v>
      </c>
      <c r="E38" s="5">
        <v>113</v>
      </c>
      <c r="F38" s="5">
        <v>129.30000000000001</v>
      </c>
      <c r="G38" s="6">
        <v>43827</v>
      </c>
      <c r="H38" s="5">
        <f t="shared" si="0"/>
        <v>16.300000000000011</v>
      </c>
      <c r="I38" s="8" t="b">
        <f t="shared" si="1"/>
        <v>1</v>
      </c>
    </row>
    <row r="39" spans="1:9">
      <c r="A39" s="5">
        <v>103</v>
      </c>
      <c r="B39" s="6">
        <v>43829</v>
      </c>
      <c r="C39" s="7">
        <v>0.8</v>
      </c>
      <c r="D39" s="5">
        <v>7.25</v>
      </c>
      <c r="E39" s="5">
        <v>129.30000000000001</v>
      </c>
      <c r="F39" s="5">
        <v>144.30000000000001</v>
      </c>
      <c r="G39" s="6">
        <v>43829</v>
      </c>
      <c r="H39" s="5">
        <f t="shared" si="0"/>
        <v>15</v>
      </c>
      <c r="I39" s="8" t="b">
        <f t="shared" si="1"/>
        <v>1</v>
      </c>
    </row>
    <row r="40" spans="1:9">
      <c r="A40" s="5">
        <v>103</v>
      </c>
      <c r="B40" s="6">
        <v>43830</v>
      </c>
      <c r="C40" s="7">
        <v>0.8</v>
      </c>
      <c r="D40" s="5">
        <v>7.25</v>
      </c>
      <c r="E40" s="5">
        <v>144.30000000000001</v>
      </c>
      <c r="F40" s="5">
        <v>151.9</v>
      </c>
      <c r="G40" s="6">
        <v>43830</v>
      </c>
      <c r="H40" s="5">
        <f t="shared" si="0"/>
        <v>7.5999999999999943</v>
      </c>
      <c r="I40" s="8" t="b">
        <f t="shared" si="1"/>
        <v>0</v>
      </c>
    </row>
    <row r="41" spans="1:9">
      <c r="A41" s="5"/>
      <c r="B41" s="6"/>
      <c r="C41" s="7"/>
      <c r="D41" s="5"/>
      <c r="E41" s="5"/>
      <c r="F41" s="5"/>
      <c r="G41" s="6"/>
      <c r="H41" s="5">
        <f t="shared" ref="H41:H47" si="2">F41-E41</f>
        <v>0</v>
      </c>
      <c r="I41" s="8" t="b">
        <f t="shared" ref="I41:I47" si="3">F41=E42</f>
        <v>1</v>
      </c>
    </row>
    <row r="42" spans="1:9">
      <c r="A42" s="5"/>
      <c r="B42" s="6"/>
      <c r="C42" s="7"/>
      <c r="D42" s="5"/>
      <c r="E42" s="5"/>
      <c r="F42" s="5"/>
      <c r="G42" s="6"/>
      <c r="H42" s="5">
        <f t="shared" si="2"/>
        <v>0</v>
      </c>
      <c r="I42" s="8" t="b">
        <f t="shared" si="3"/>
        <v>1</v>
      </c>
    </row>
    <row r="43" spans="1:9">
      <c r="A43" s="5"/>
      <c r="B43" s="6"/>
      <c r="C43" s="7"/>
      <c r="D43" s="5"/>
      <c r="E43" s="5"/>
      <c r="F43" s="5"/>
      <c r="G43" s="6"/>
      <c r="H43" s="5">
        <f t="shared" si="2"/>
        <v>0</v>
      </c>
      <c r="I43" s="8" t="b">
        <f t="shared" si="3"/>
        <v>1</v>
      </c>
    </row>
    <row r="44" spans="1:9">
      <c r="A44" s="5"/>
      <c r="B44" s="6"/>
      <c r="C44" s="7"/>
      <c r="D44" s="5"/>
      <c r="E44" s="5"/>
      <c r="F44" s="5"/>
      <c r="G44" s="6"/>
      <c r="H44" s="5">
        <f t="shared" si="2"/>
        <v>0</v>
      </c>
      <c r="I44" s="8" t="b">
        <f t="shared" si="3"/>
        <v>1</v>
      </c>
    </row>
    <row r="45" spans="1:9">
      <c r="A45" s="5"/>
      <c r="B45" s="6"/>
      <c r="C45" s="7"/>
      <c r="D45" s="5"/>
      <c r="E45" s="5"/>
      <c r="F45" s="5"/>
      <c r="G45" s="6"/>
      <c r="H45" s="5">
        <f t="shared" si="2"/>
        <v>0</v>
      </c>
      <c r="I45" s="8" t="b">
        <f t="shared" si="3"/>
        <v>1</v>
      </c>
    </row>
    <row r="46" spans="1:9">
      <c r="A46" s="5"/>
      <c r="B46" s="6"/>
      <c r="C46" s="7"/>
      <c r="D46" s="5"/>
      <c r="E46" s="5"/>
      <c r="F46" s="5"/>
      <c r="G46" s="6"/>
      <c r="H46" s="5">
        <f t="shared" si="2"/>
        <v>0</v>
      </c>
      <c r="I46" s="8" t="b">
        <f t="shared" si="3"/>
        <v>1</v>
      </c>
    </row>
    <row r="47" spans="1:9">
      <c r="A47" s="5"/>
      <c r="B47" s="6"/>
      <c r="C47" s="7"/>
      <c r="D47" s="5"/>
      <c r="E47" s="5"/>
      <c r="F47" s="5"/>
      <c r="G47" s="6"/>
      <c r="H47" s="5">
        <f t="shared" si="2"/>
        <v>0</v>
      </c>
      <c r="I47" s="8" t="b">
        <f t="shared" si="3"/>
        <v>1</v>
      </c>
    </row>
    <row r="49" spans="1:9" ht="26.25">
      <c r="A49" s="144" t="s">
        <v>49</v>
      </c>
      <c r="B49" s="166"/>
      <c r="C49" s="166"/>
      <c r="D49" s="166"/>
      <c r="E49" s="166"/>
      <c r="F49" s="166"/>
      <c r="G49" s="166"/>
      <c r="H49" s="166"/>
      <c r="I49" s="167"/>
    </row>
    <row r="50" spans="1:9" ht="26.25">
      <c r="A50" s="144" t="s">
        <v>51</v>
      </c>
      <c r="B50" s="166"/>
      <c r="C50" s="166"/>
      <c r="D50" s="166"/>
      <c r="E50" s="166"/>
      <c r="F50" s="166"/>
      <c r="G50" s="166"/>
      <c r="H50" s="166"/>
      <c r="I50" s="167"/>
    </row>
    <row r="51" spans="1:9" ht="15.75" thickBot="1"/>
    <row r="52" spans="1:9" ht="15.75" thickBot="1">
      <c r="A52" s="132" t="s">
        <v>2</v>
      </c>
      <c r="B52" s="133"/>
      <c r="C52" s="133"/>
      <c r="D52" s="133"/>
      <c r="E52" s="133"/>
      <c r="F52" s="133"/>
      <c r="G52" s="133"/>
      <c r="H52" s="133"/>
      <c r="I52" s="134"/>
    </row>
    <row r="54" spans="1:9" ht="19.5" thickBot="1">
      <c r="A54" s="1" t="s">
        <v>3</v>
      </c>
      <c r="B54" s="1"/>
      <c r="C54" s="1"/>
      <c r="D54" s="1"/>
      <c r="E54" s="1"/>
      <c r="F54" s="1"/>
      <c r="G54" s="1"/>
    </row>
    <row r="55" spans="1:9" ht="30.75" thickBot="1">
      <c r="A55" s="2" t="s">
        <v>4</v>
      </c>
      <c r="B55" s="3" t="s">
        <v>5</v>
      </c>
      <c r="C55" s="3" t="s">
        <v>6</v>
      </c>
      <c r="D55" s="3" t="s">
        <v>7</v>
      </c>
      <c r="E55" s="3" t="s">
        <v>8</v>
      </c>
      <c r="F55" s="3" t="s">
        <v>9</v>
      </c>
      <c r="G55" s="3" t="s">
        <v>10</v>
      </c>
      <c r="H55" s="4" t="s">
        <v>11</v>
      </c>
      <c r="I55" s="4" t="s">
        <v>12</v>
      </c>
    </row>
    <row r="56" spans="1:9">
      <c r="A56" s="5">
        <v>103</v>
      </c>
      <c r="B56" s="6">
        <v>43877</v>
      </c>
      <c r="C56" s="7">
        <v>0.4</v>
      </c>
      <c r="D56" s="9">
        <v>14.5</v>
      </c>
      <c r="E56" s="5">
        <v>34.200000000000003</v>
      </c>
      <c r="F56" s="5">
        <v>62.9</v>
      </c>
      <c r="G56" s="6">
        <v>43878</v>
      </c>
      <c r="H56" s="5">
        <f t="shared" ref="H56:H73" si="4">F56-E56</f>
        <v>28.699999999999996</v>
      </c>
      <c r="I56" s="8" t="b">
        <f t="shared" ref="I56:I61" si="5">F56=E57</f>
        <v>1</v>
      </c>
    </row>
    <row r="57" spans="1:9">
      <c r="A57" s="5">
        <v>103</v>
      </c>
      <c r="B57" s="6">
        <v>43878</v>
      </c>
      <c r="C57" s="7">
        <v>0.4</v>
      </c>
      <c r="D57" s="9">
        <v>14.5</v>
      </c>
      <c r="E57" s="5">
        <v>62.9</v>
      </c>
      <c r="F57" s="5">
        <v>92.4</v>
      </c>
      <c r="G57" s="6">
        <v>43879</v>
      </c>
      <c r="H57" s="5">
        <f t="shared" si="4"/>
        <v>29.500000000000007</v>
      </c>
      <c r="I57" s="8" t="b">
        <f t="shared" si="5"/>
        <v>1</v>
      </c>
    </row>
    <row r="58" spans="1:9">
      <c r="A58" s="5">
        <v>103</v>
      </c>
      <c r="B58" s="6">
        <v>43879</v>
      </c>
      <c r="C58" s="7">
        <v>1</v>
      </c>
      <c r="D58" s="9">
        <v>5.8</v>
      </c>
      <c r="E58" s="5">
        <v>92.4</v>
      </c>
      <c r="F58" s="5">
        <v>104.1</v>
      </c>
      <c r="G58" s="6">
        <v>43880</v>
      </c>
      <c r="H58" s="5">
        <f t="shared" si="4"/>
        <v>11.699999999999989</v>
      </c>
      <c r="I58" s="8" t="b">
        <f t="shared" si="5"/>
        <v>1</v>
      </c>
    </row>
    <row r="59" spans="1:9">
      <c r="A59" s="5">
        <v>103</v>
      </c>
      <c r="B59" s="6">
        <v>43880</v>
      </c>
      <c r="C59" s="7">
        <v>1</v>
      </c>
      <c r="D59" s="9">
        <v>5.8</v>
      </c>
      <c r="E59" s="5">
        <v>104.1</v>
      </c>
      <c r="F59" s="5">
        <v>115.8</v>
      </c>
      <c r="G59" s="6">
        <v>43880</v>
      </c>
      <c r="H59" s="5">
        <f t="shared" si="4"/>
        <v>11.700000000000003</v>
      </c>
      <c r="I59" s="8" t="b">
        <f t="shared" si="5"/>
        <v>1</v>
      </c>
    </row>
    <row r="60" spans="1:9">
      <c r="A60" s="5">
        <v>103</v>
      </c>
      <c r="B60" s="6">
        <v>43881</v>
      </c>
      <c r="C60" s="7">
        <v>1</v>
      </c>
      <c r="D60" s="9">
        <v>5.8</v>
      </c>
      <c r="E60" s="5">
        <v>115.8</v>
      </c>
      <c r="F60" s="5">
        <v>126.5</v>
      </c>
      <c r="G60" s="6">
        <v>43881</v>
      </c>
      <c r="H60" s="5">
        <f t="shared" si="4"/>
        <v>10.700000000000003</v>
      </c>
      <c r="I60" s="8" t="b">
        <f t="shared" si="5"/>
        <v>1</v>
      </c>
    </row>
    <row r="61" spans="1:9">
      <c r="A61" s="5">
        <v>103</v>
      </c>
      <c r="B61" s="6">
        <v>43883</v>
      </c>
      <c r="C61" s="7">
        <v>1</v>
      </c>
      <c r="D61" s="9">
        <v>5.8</v>
      </c>
      <c r="E61" s="5">
        <v>126.5</v>
      </c>
      <c r="F61" s="5">
        <v>140</v>
      </c>
      <c r="G61" s="6">
        <v>43883</v>
      </c>
      <c r="H61" s="5">
        <f t="shared" si="4"/>
        <v>13.5</v>
      </c>
      <c r="I61" s="8" t="b">
        <f t="shared" si="5"/>
        <v>1</v>
      </c>
    </row>
    <row r="62" spans="1:9">
      <c r="A62" s="5">
        <v>103</v>
      </c>
      <c r="B62" s="6">
        <v>43886</v>
      </c>
      <c r="C62" s="7">
        <v>1</v>
      </c>
      <c r="D62" s="9">
        <v>5.8</v>
      </c>
      <c r="E62" s="5">
        <v>140</v>
      </c>
      <c r="F62" s="5">
        <v>152</v>
      </c>
      <c r="G62" s="6">
        <v>43886</v>
      </c>
      <c r="H62" s="5">
        <f t="shared" si="4"/>
        <v>12</v>
      </c>
      <c r="I62" s="8" t="b">
        <f t="shared" ref="I62:I73" si="6">F62=E63</f>
        <v>1</v>
      </c>
    </row>
    <row r="63" spans="1:9">
      <c r="A63" s="5">
        <v>103</v>
      </c>
      <c r="B63" s="6">
        <v>43888</v>
      </c>
      <c r="C63" s="7">
        <v>1</v>
      </c>
      <c r="D63" s="9">
        <v>5.8</v>
      </c>
      <c r="E63" s="5">
        <v>152</v>
      </c>
      <c r="F63" s="5">
        <v>167</v>
      </c>
      <c r="G63" s="6">
        <v>43888</v>
      </c>
      <c r="H63" s="5">
        <f t="shared" si="4"/>
        <v>15</v>
      </c>
      <c r="I63" s="8" t="b">
        <f t="shared" si="6"/>
        <v>1</v>
      </c>
    </row>
    <row r="64" spans="1:9">
      <c r="A64" s="5">
        <v>103</v>
      </c>
      <c r="B64" s="6">
        <v>43892</v>
      </c>
      <c r="C64" s="7">
        <v>1</v>
      </c>
      <c r="D64" s="9">
        <v>5.8</v>
      </c>
      <c r="E64" s="5">
        <v>167</v>
      </c>
      <c r="F64" s="5">
        <v>179.1</v>
      </c>
      <c r="G64" s="6">
        <v>43892</v>
      </c>
      <c r="H64" s="5">
        <f t="shared" si="4"/>
        <v>12.099999999999994</v>
      </c>
      <c r="I64" s="8" t="b">
        <f t="shared" si="6"/>
        <v>1</v>
      </c>
    </row>
    <row r="65" spans="1:9">
      <c r="A65" s="5">
        <v>103</v>
      </c>
      <c r="B65" s="6">
        <v>43909</v>
      </c>
      <c r="C65" s="7">
        <v>0.8</v>
      </c>
      <c r="D65" s="9">
        <v>7.25</v>
      </c>
      <c r="E65" s="5">
        <v>179.1</v>
      </c>
      <c r="F65" s="5">
        <v>194</v>
      </c>
      <c r="G65" s="6">
        <v>43909</v>
      </c>
      <c r="H65" s="5">
        <f t="shared" si="4"/>
        <v>14.900000000000006</v>
      </c>
      <c r="I65" s="8" t="b">
        <f t="shared" si="6"/>
        <v>1</v>
      </c>
    </row>
    <row r="66" spans="1:9">
      <c r="A66" s="5">
        <v>103</v>
      </c>
      <c r="B66" s="6">
        <v>43910</v>
      </c>
      <c r="C66" s="7">
        <v>1</v>
      </c>
      <c r="D66" s="9">
        <v>5.8</v>
      </c>
      <c r="E66" s="5">
        <v>194</v>
      </c>
      <c r="F66" s="5">
        <v>207.1</v>
      </c>
      <c r="G66" s="6">
        <v>43910</v>
      </c>
      <c r="H66" s="5">
        <f t="shared" si="4"/>
        <v>13.099999999999994</v>
      </c>
      <c r="I66" s="8" t="b">
        <f t="shared" si="6"/>
        <v>1</v>
      </c>
    </row>
    <row r="67" spans="1:9">
      <c r="A67" s="5">
        <v>103</v>
      </c>
      <c r="B67" s="6">
        <v>43913</v>
      </c>
      <c r="C67" s="7">
        <v>0.8</v>
      </c>
      <c r="D67" s="9">
        <v>7.25</v>
      </c>
      <c r="E67" s="5">
        <v>207.1</v>
      </c>
      <c r="F67" s="5">
        <v>218.4</v>
      </c>
      <c r="G67" s="6">
        <v>43913</v>
      </c>
      <c r="H67" s="5">
        <f t="shared" si="4"/>
        <v>11.300000000000011</v>
      </c>
      <c r="I67" s="8" t="b">
        <f t="shared" si="6"/>
        <v>1</v>
      </c>
    </row>
    <row r="68" spans="1:9">
      <c r="A68" s="5">
        <v>103</v>
      </c>
      <c r="B68" s="6">
        <v>43921</v>
      </c>
      <c r="C68" s="7">
        <v>0.8</v>
      </c>
      <c r="D68" s="9">
        <v>7.25</v>
      </c>
      <c r="E68" s="5">
        <v>218.4</v>
      </c>
      <c r="F68" s="5">
        <v>233</v>
      </c>
      <c r="G68" s="6">
        <v>43921</v>
      </c>
      <c r="H68" s="5">
        <f t="shared" si="4"/>
        <v>14.599999999999994</v>
      </c>
      <c r="I68" s="8" t="b">
        <f t="shared" si="6"/>
        <v>1</v>
      </c>
    </row>
    <row r="69" spans="1:9">
      <c r="A69" s="5">
        <v>103</v>
      </c>
      <c r="B69" s="6">
        <v>43923</v>
      </c>
      <c r="C69" s="7">
        <v>1</v>
      </c>
      <c r="D69" s="9">
        <v>5.8</v>
      </c>
      <c r="E69" s="5">
        <v>233</v>
      </c>
      <c r="F69" s="5">
        <v>245</v>
      </c>
      <c r="G69" s="6">
        <v>43923</v>
      </c>
      <c r="H69" s="5">
        <f t="shared" si="4"/>
        <v>12</v>
      </c>
      <c r="I69" s="8" t="b">
        <f t="shared" si="6"/>
        <v>1</v>
      </c>
    </row>
    <row r="70" spans="1:9">
      <c r="A70" s="5">
        <v>103</v>
      </c>
      <c r="B70" s="6">
        <v>43925</v>
      </c>
      <c r="C70" s="7">
        <v>1</v>
      </c>
      <c r="D70" s="9">
        <v>5.8</v>
      </c>
      <c r="E70" s="5">
        <v>245</v>
      </c>
      <c r="F70" s="5">
        <v>257</v>
      </c>
      <c r="G70" s="6">
        <v>43925</v>
      </c>
      <c r="H70" s="5">
        <f t="shared" si="4"/>
        <v>12</v>
      </c>
      <c r="I70" s="8" t="b">
        <f t="shared" si="6"/>
        <v>1</v>
      </c>
    </row>
    <row r="71" spans="1:9">
      <c r="A71" s="5">
        <v>103</v>
      </c>
      <c r="B71" s="6">
        <v>43926</v>
      </c>
      <c r="C71" s="7">
        <v>0.8</v>
      </c>
      <c r="D71" s="9">
        <v>7.25</v>
      </c>
      <c r="E71" s="5">
        <v>257</v>
      </c>
      <c r="F71" s="5">
        <v>272</v>
      </c>
      <c r="G71" s="6">
        <v>43926</v>
      </c>
      <c r="H71" s="5">
        <f t="shared" si="4"/>
        <v>15</v>
      </c>
      <c r="I71" s="8" t="b">
        <f t="shared" si="6"/>
        <v>1</v>
      </c>
    </row>
    <row r="72" spans="1:9">
      <c r="A72" s="5">
        <v>103</v>
      </c>
      <c r="B72" s="6">
        <v>43928</v>
      </c>
      <c r="C72" s="7">
        <v>0.8</v>
      </c>
      <c r="D72" s="9">
        <v>7.25</v>
      </c>
      <c r="E72" s="5">
        <v>272</v>
      </c>
      <c r="F72" s="5">
        <v>287</v>
      </c>
      <c r="G72" s="6">
        <v>43928</v>
      </c>
      <c r="H72" s="5">
        <f t="shared" si="4"/>
        <v>15</v>
      </c>
      <c r="I72" s="8" t="b">
        <f t="shared" si="6"/>
        <v>1</v>
      </c>
    </row>
    <row r="73" spans="1:9">
      <c r="A73" s="5">
        <v>103</v>
      </c>
      <c r="B73" s="6">
        <v>43932</v>
      </c>
      <c r="C73" s="7">
        <v>0.8</v>
      </c>
      <c r="D73" s="9">
        <v>7.25</v>
      </c>
      <c r="E73" s="5">
        <v>287</v>
      </c>
      <c r="F73" s="5">
        <v>301</v>
      </c>
      <c r="G73" s="6">
        <v>43932</v>
      </c>
      <c r="H73" s="5">
        <f t="shared" si="4"/>
        <v>14</v>
      </c>
      <c r="I73" s="8" t="b">
        <f t="shared" si="6"/>
        <v>1</v>
      </c>
    </row>
    <row r="74" spans="1:9">
      <c r="A74" s="5">
        <v>103</v>
      </c>
      <c r="B74" s="6">
        <v>43942</v>
      </c>
      <c r="C74" s="7">
        <v>0.8</v>
      </c>
      <c r="D74" s="9">
        <v>7.25</v>
      </c>
      <c r="E74" s="5">
        <v>301</v>
      </c>
      <c r="F74" s="5">
        <v>320</v>
      </c>
      <c r="G74" s="6">
        <v>43942</v>
      </c>
      <c r="H74" s="5">
        <f t="shared" ref="H74:H86" si="7">F74-E74</f>
        <v>19</v>
      </c>
      <c r="I74" s="8" t="b">
        <f t="shared" ref="I74:I86" si="8">F74=E75</f>
        <v>1</v>
      </c>
    </row>
    <row r="75" spans="1:9">
      <c r="A75" s="5">
        <v>103</v>
      </c>
      <c r="B75" s="6">
        <v>43947</v>
      </c>
      <c r="C75" s="7">
        <v>0.8</v>
      </c>
      <c r="D75" s="9">
        <v>7.25</v>
      </c>
      <c r="E75" s="5">
        <v>320</v>
      </c>
      <c r="F75" s="5">
        <v>336</v>
      </c>
      <c r="G75" s="6">
        <v>43947</v>
      </c>
      <c r="H75" s="5">
        <f t="shared" si="7"/>
        <v>16</v>
      </c>
      <c r="I75" s="8" t="b">
        <f t="shared" si="8"/>
        <v>1</v>
      </c>
    </row>
    <row r="76" spans="1:9">
      <c r="A76" s="5">
        <v>103</v>
      </c>
      <c r="B76" s="6">
        <v>43948</v>
      </c>
      <c r="C76" s="7">
        <v>0.8</v>
      </c>
      <c r="D76" s="9">
        <v>8.25</v>
      </c>
      <c r="E76" s="5">
        <v>336</v>
      </c>
      <c r="F76" s="5">
        <v>349</v>
      </c>
      <c r="G76" s="6">
        <v>43949</v>
      </c>
      <c r="H76" s="5">
        <f t="shared" si="7"/>
        <v>13</v>
      </c>
      <c r="I76" s="8" t="b">
        <f t="shared" si="8"/>
        <v>0</v>
      </c>
    </row>
    <row r="77" spans="1:9">
      <c r="A77" s="5">
        <v>103</v>
      </c>
      <c r="B77" s="6">
        <v>43956</v>
      </c>
      <c r="C77" s="7">
        <v>1</v>
      </c>
      <c r="D77" s="9">
        <v>5.8</v>
      </c>
      <c r="E77" s="5">
        <v>376</v>
      </c>
      <c r="F77" s="5">
        <v>388</v>
      </c>
      <c r="G77" s="6">
        <v>43956</v>
      </c>
      <c r="H77" s="5">
        <f t="shared" si="7"/>
        <v>12</v>
      </c>
      <c r="I77" s="8" t="b">
        <f t="shared" si="8"/>
        <v>1</v>
      </c>
    </row>
    <row r="78" spans="1:9">
      <c r="A78" s="5">
        <v>103</v>
      </c>
      <c r="B78" s="6">
        <v>43964</v>
      </c>
      <c r="C78" s="7">
        <v>1</v>
      </c>
      <c r="D78" s="9">
        <v>5.8</v>
      </c>
      <c r="E78" s="5">
        <v>388</v>
      </c>
      <c r="F78" s="5">
        <v>401.8</v>
      </c>
      <c r="G78" s="6">
        <v>43964</v>
      </c>
      <c r="H78" s="5">
        <f t="shared" si="7"/>
        <v>13.800000000000011</v>
      </c>
      <c r="I78" s="8" t="b">
        <f t="shared" si="8"/>
        <v>1</v>
      </c>
    </row>
    <row r="79" spans="1:9">
      <c r="A79" s="5">
        <v>103</v>
      </c>
      <c r="B79" s="6">
        <v>43968</v>
      </c>
      <c r="C79" s="7">
        <v>0.7</v>
      </c>
      <c r="D79" s="9">
        <v>8.2899999999999991</v>
      </c>
      <c r="E79" s="5">
        <v>401.8</v>
      </c>
      <c r="F79" s="5">
        <v>410.7</v>
      </c>
      <c r="G79" s="6">
        <v>43968</v>
      </c>
      <c r="H79" s="5">
        <f t="shared" si="7"/>
        <v>8.8999999999999773</v>
      </c>
      <c r="I79" s="8" t="b">
        <f t="shared" si="8"/>
        <v>1</v>
      </c>
    </row>
    <row r="80" spans="1:9">
      <c r="A80" s="5">
        <v>103</v>
      </c>
      <c r="B80" s="6">
        <v>43971</v>
      </c>
      <c r="C80" s="7">
        <v>0.7</v>
      </c>
      <c r="D80" s="9">
        <v>8.2899999999999991</v>
      </c>
      <c r="E80" s="5">
        <v>410.7</v>
      </c>
      <c r="F80" s="5">
        <v>427.7</v>
      </c>
      <c r="G80" s="6">
        <v>43971</v>
      </c>
      <c r="H80" s="5">
        <f t="shared" si="7"/>
        <v>17</v>
      </c>
      <c r="I80" s="8" t="b">
        <f t="shared" si="8"/>
        <v>1</v>
      </c>
    </row>
    <row r="81" spans="1:9">
      <c r="A81" s="5">
        <v>103</v>
      </c>
      <c r="B81" s="6">
        <v>43976</v>
      </c>
      <c r="C81" s="7">
        <v>0.8</v>
      </c>
      <c r="D81" s="9">
        <v>7.25</v>
      </c>
      <c r="E81" s="5">
        <v>427.7</v>
      </c>
      <c r="F81" s="5">
        <v>440.4</v>
      </c>
      <c r="G81" s="6">
        <v>43976</v>
      </c>
      <c r="H81" s="5">
        <f t="shared" si="7"/>
        <v>12.699999999999989</v>
      </c>
      <c r="I81" s="8" t="b">
        <f t="shared" si="8"/>
        <v>0</v>
      </c>
    </row>
    <row r="82" spans="1:9">
      <c r="A82" s="5">
        <v>103</v>
      </c>
      <c r="B82" s="6">
        <v>43983</v>
      </c>
      <c r="C82" s="7">
        <v>0.7</v>
      </c>
      <c r="D82" s="9">
        <v>8.2899999999999991</v>
      </c>
      <c r="E82" s="5">
        <v>0</v>
      </c>
      <c r="F82" s="5">
        <v>18.399999999999999</v>
      </c>
      <c r="G82" s="6">
        <v>43983</v>
      </c>
      <c r="H82" s="5">
        <f t="shared" si="7"/>
        <v>18.399999999999999</v>
      </c>
      <c r="I82" s="8" t="b">
        <f t="shared" si="8"/>
        <v>1</v>
      </c>
    </row>
    <row r="83" spans="1:9">
      <c r="A83" s="5">
        <v>103</v>
      </c>
      <c r="B83" s="6">
        <v>43987</v>
      </c>
      <c r="C83" s="7">
        <v>0.7</v>
      </c>
      <c r="D83" s="9">
        <v>8.2899999999999991</v>
      </c>
      <c r="E83" s="5">
        <v>18.399999999999999</v>
      </c>
      <c r="F83" s="5">
        <v>36</v>
      </c>
      <c r="G83" s="6">
        <v>43987</v>
      </c>
      <c r="H83" s="5">
        <f t="shared" si="7"/>
        <v>17.600000000000001</v>
      </c>
      <c r="I83" s="8" t="b">
        <f t="shared" si="8"/>
        <v>1</v>
      </c>
    </row>
    <row r="84" spans="1:9">
      <c r="A84" s="5">
        <v>103</v>
      </c>
      <c r="B84" s="6">
        <v>43993</v>
      </c>
      <c r="C84" s="7">
        <v>0.7</v>
      </c>
      <c r="D84" s="9">
        <v>8.2899999999999991</v>
      </c>
      <c r="E84" s="5">
        <v>36</v>
      </c>
      <c r="F84" s="5">
        <v>53</v>
      </c>
      <c r="G84" s="6">
        <v>43993</v>
      </c>
      <c r="H84" s="5">
        <f t="shared" si="7"/>
        <v>17</v>
      </c>
      <c r="I84" s="8" t="b">
        <f t="shared" si="8"/>
        <v>1</v>
      </c>
    </row>
    <row r="85" spans="1:9">
      <c r="A85" s="5">
        <v>103</v>
      </c>
      <c r="B85" s="6">
        <v>43998</v>
      </c>
      <c r="C85" s="7">
        <v>0.7</v>
      </c>
      <c r="D85" s="9">
        <v>8.2899999999999991</v>
      </c>
      <c r="E85" s="5">
        <v>53</v>
      </c>
      <c r="F85" s="5">
        <v>69.900000000000006</v>
      </c>
      <c r="G85" s="6">
        <v>43998</v>
      </c>
      <c r="H85" s="5">
        <f t="shared" si="7"/>
        <v>16.900000000000006</v>
      </c>
      <c r="I85" s="8" t="b">
        <f t="shared" si="8"/>
        <v>1</v>
      </c>
    </row>
    <row r="86" spans="1:9">
      <c r="A86" s="5">
        <v>103</v>
      </c>
      <c r="B86" s="6">
        <v>44002</v>
      </c>
      <c r="C86" s="7">
        <v>0.7</v>
      </c>
      <c r="D86" s="9">
        <v>8.2899999999999991</v>
      </c>
      <c r="E86" s="5">
        <v>69.900000000000006</v>
      </c>
      <c r="F86" s="5">
        <v>85.9</v>
      </c>
      <c r="G86" s="6">
        <v>44002</v>
      </c>
      <c r="H86" s="5">
        <f t="shared" si="7"/>
        <v>16</v>
      </c>
      <c r="I86" s="8" t="b">
        <f t="shared" si="8"/>
        <v>1</v>
      </c>
    </row>
    <row r="87" spans="1:9">
      <c r="A87" s="5">
        <v>103</v>
      </c>
      <c r="B87" s="6">
        <v>44007</v>
      </c>
      <c r="C87" s="7">
        <v>0.7</v>
      </c>
      <c r="D87" s="9">
        <v>8.2899999999999991</v>
      </c>
      <c r="E87" s="5">
        <v>85.9</v>
      </c>
      <c r="F87" s="5">
        <v>103.1</v>
      </c>
      <c r="G87" s="6">
        <v>44007</v>
      </c>
      <c r="H87" s="5">
        <f t="shared" ref="H87:H93" si="9">F87-E87</f>
        <v>17.199999999999989</v>
      </c>
      <c r="I87" s="8" t="b">
        <f t="shared" ref="I87:I93" si="10">F87=E88</f>
        <v>1</v>
      </c>
    </row>
    <row r="88" spans="1:9">
      <c r="A88" s="5">
        <v>103</v>
      </c>
      <c r="B88" s="6">
        <v>44012</v>
      </c>
      <c r="C88" s="7">
        <v>0.7</v>
      </c>
      <c r="D88" s="9">
        <v>8.2899999999999991</v>
      </c>
      <c r="E88" s="5">
        <v>103.1</v>
      </c>
      <c r="F88" s="5">
        <v>119.5</v>
      </c>
      <c r="G88" s="6">
        <v>44012</v>
      </c>
      <c r="H88" s="5">
        <f t="shared" si="9"/>
        <v>16.400000000000006</v>
      </c>
      <c r="I88" s="8" t="b">
        <f t="shared" si="10"/>
        <v>1</v>
      </c>
    </row>
    <row r="89" spans="1:9">
      <c r="A89" s="5">
        <v>103</v>
      </c>
      <c r="B89" s="6">
        <v>44020</v>
      </c>
      <c r="C89" s="7">
        <v>0.5</v>
      </c>
      <c r="D89" s="9">
        <v>11.6</v>
      </c>
      <c r="E89" s="5">
        <v>119.5</v>
      </c>
      <c r="F89" s="5">
        <v>131</v>
      </c>
      <c r="G89" s="6">
        <v>44020</v>
      </c>
      <c r="H89" s="5">
        <f t="shared" si="9"/>
        <v>11.5</v>
      </c>
      <c r="I89" s="8" t="b">
        <f t="shared" si="10"/>
        <v>1</v>
      </c>
    </row>
    <row r="90" spans="1:9">
      <c r="A90" s="5">
        <v>103</v>
      </c>
      <c r="B90" s="6">
        <v>44021</v>
      </c>
      <c r="C90" s="7">
        <v>0.5</v>
      </c>
      <c r="D90" s="9">
        <v>11.6</v>
      </c>
      <c r="E90" s="5">
        <v>131</v>
      </c>
      <c r="F90" s="5">
        <v>142</v>
      </c>
      <c r="G90" s="6">
        <v>44021</v>
      </c>
      <c r="H90" s="5">
        <f t="shared" si="9"/>
        <v>11</v>
      </c>
      <c r="I90" s="8" t="b">
        <f t="shared" si="10"/>
        <v>1</v>
      </c>
    </row>
    <row r="91" spans="1:9">
      <c r="A91" s="5">
        <v>103</v>
      </c>
      <c r="B91" s="6">
        <v>44027</v>
      </c>
      <c r="C91" s="7">
        <v>0.5</v>
      </c>
      <c r="D91" s="9">
        <v>11.6</v>
      </c>
      <c r="E91" s="5">
        <v>142</v>
      </c>
      <c r="F91" s="5">
        <v>154</v>
      </c>
      <c r="G91" s="6">
        <v>44027</v>
      </c>
      <c r="H91" s="5">
        <f t="shared" si="9"/>
        <v>12</v>
      </c>
      <c r="I91" s="8" t="b">
        <f t="shared" si="10"/>
        <v>1</v>
      </c>
    </row>
    <row r="92" spans="1:9">
      <c r="A92" s="5">
        <v>103</v>
      </c>
      <c r="B92" s="6">
        <v>44028</v>
      </c>
      <c r="C92" s="7">
        <v>0.4</v>
      </c>
      <c r="D92" s="9">
        <v>14.68</v>
      </c>
      <c r="E92" s="5">
        <v>154</v>
      </c>
      <c r="F92" s="5">
        <v>168</v>
      </c>
      <c r="G92" s="6">
        <v>44028</v>
      </c>
      <c r="H92" s="5">
        <f t="shared" si="9"/>
        <v>14</v>
      </c>
      <c r="I92" s="8" t="b">
        <f t="shared" si="10"/>
        <v>1</v>
      </c>
    </row>
    <row r="93" spans="1:9">
      <c r="A93" s="5">
        <v>103</v>
      </c>
      <c r="B93" s="6">
        <v>44034</v>
      </c>
      <c r="C93" s="7">
        <v>0.4</v>
      </c>
      <c r="D93" s="9">
        <v>14.68</v>
      </c>
      <c r="E93" s="5">
        <v>168</v>
      </c>
      <c r="F93" s="5">
        <v>184</v>
      </c>
      <c r="G93" s="6">
        <v>44034</v>
      </c>
      <c r="H93" s="5">
        <f t="shared" si="9"/>
        <v>16</v>
      </c>
      <c r="I93" s="8" t="b">
        <f t="shared" si="10"/>
        <v>1</v>
      </c>
    </row>
    <row r="94" spans="1:9">
      <c r="A94" s="5">
        <v>103</v>
      </c>
      <c r="B94" s="6">
        <v>44035</v>
      </c>
      <c r="C94" s="7">
        <v>0.4</v>
      </c>
      <c r="D94" s="9">
        <v>14.68</v>
      </c>
      <c r="E94" s="5">
        <v>184</v>
      </c>
      <c r="F94" s="5">
        <v>199</v>
      </c>
      <c r="G94" s="6">
        <v>44035</v>
      </c>
      <c r="H94" s="5">
        <f t="shared" ref="H94:H102" si="11">F94-E94</f>
        <v>15</v>
      </c>
      <c r="I94" s="8" t="b">
        <f t="shared" ref="I94:I102" si="12">F94=E95</f>
        <v>1</v>
      </c>
    </row>
    <row r="95" spans="1:9">
      <c r="A95" s="5">
        <v>103</v>
      </c>
      <c r="B95" s="6">
        <v>44041</v>
      </c>
      <c r="C95" s="7">
        <v>0.4</v>
      </c>
      <c r="D95" s="9">
        <v>14.68</v>
      </c>
      <c r="E95" s="5">
        <v>199</v>
      </c>
      <c r="F95" s="5">
        <v>216</v>
      </c>
      <c r="G95" s="6">
        <v>44041</v>
      </c>
      <c r="H95" s="5">
        <f t="shared" si="11"/>
        <v>17</v>
      </c>
      <c r="I95" s="8" t="b">
        <f t="shared" si="12"/>
        <v>1</v>
      </c>
    </row>
    <row r="96" spans="1:9">
      <c r="A96" s="5">
        <v>103</v>
      </c>
      <c r="B96" s="6">
        <v>44042</v>
      </c>
      <c r="C96" s="7">
        <v>0.4</v>
      </c>
      <c r="D96" s="9">
        <v>14.68</v>
      </c>
      <c r="E96" s="5">
        <v>216</v>
      </c>
      <c r="F96" s="5">
        <v>226</v>
      </c>
      <c r="G96" s="6">
        <v>44042</v>
      </c>
      <c r="H96" s="5">
        <f t="shared" si="11"/>
        <v>10</v>
      </c>
      <c r="I96" s="8" t="b">
        <f t="shared" si="12"/>
        <v>0</v>
      </c>
    </row>
    <row r="97" spans="1:9">
      <c r="A97" s="5">
        <v>103</v>
      </c>
      <c r="B97" s="6">
        <v>44049</v>
      </c>
      <c r="C97" s="7">
        <v>0.4</v>
      </c>
      <c r="D97" s="9">
        <v>14.68</v>
      </c>
      <c r="E97" s="5">
        <v>0</v>
      </c>
      <c r="F97" s="5">
        <v>14</v>
      </c>
      <c r="G97" s="6">
        <v>44049</v>
      </c>
      <c r="H97" s="5">
        <f t="shared" si="11"/>
        <v>14</v>
      </c>
      <c r="I97" s="8" t="b">
        <f t="shared" si="12"/>
        <v>1</v>
      </c>
    </row>
    <row r="98" spans="1:9">
      <c r="A98" s="5">
        <v>103</v>
      </c>
      <c r="B98" s="6">
        <v>44050</v>
      </c>
      <c r="C98" s="7">
        <v>0.4</v>
      </c>
      <c r="D98" s="9">
        <v>14.68</v>
      </c>
      <c r="E98" s="5">
        <v>14</v>
      </c>
      <c r="F98" s="5">
        <v>29</v>
      </c>
      <c r="G98" s="6">
        <v>44050</v>
      </c>
      <c r="H98" s="5">
        <f t="shared" si="11"/>
        <v>15</v>
      </c>
      <c r="I98" s="8" t="b">
        <f t="shared" si="12"/>
        <v>1</v>
      </c>
    </row>
    <row r="99" spans="1:9">
      <c r="A99" s="5">
        <v>103</v>
      </c>
      <c r="B99" s="6">
        <v>44098</v>
      </c>
      <c r="C99" s="7">
        <v>0.9</v>
      </c>
      <c r="D99" s="9">
        <v>6.44</v>
      </c>
      <c r="E99" s="5">
        <v>29</v>
      </c>
      <c r="F99" s="5">
        <v>36</v>
      </c>
      <c r="G99" s="6" t="s">
        <v>52</v>
      </c>
      <c r="H99" s="5">
        <f t="shared" si="11"/>
        <v>7</v>
      </c>
      <c r="I99" s="8" t="b">
        <f t="shared" si="12"/>
        <v>1</v>
      </c>
    </row>
    <row r="100" spans="1:9">
      <c r="A100" s="5">
        <v>103</v>
      </c>
      <c r="B100" s="6">
        <v>44099</v>
      </c>
      <c r="C100" s="7">
        <v>0.9</v>
      </c>
      <c r="D100" s="9">
        <v>6.44</v>
      </c>
      <c r="E100" s="5">
        <v>36</v>
      </c>
      <c r="F100" s="5">
        <v>45</v>
      </c>
      <c r="G100" s="6">
        <v>44099</v>
      </c>
      <c r="H100" s="5">
        <f t="shared" si="11"/>
        <v>9</v>
      </c>
      <c r="I100" s="8" t="b">
        <f t="shared" si="12"/>
        <v>1</v>
      </c>
    </row>
    <row r="101" spans="1:9">
      <c r="A101" s="5">
        <v>103</v>
      </c>
      <c r="B101" s="6">
        <v>44100</v>
      </c>
      <c r="C101" s="7">
        <v>0.4</v>
      </c>
      <c r="D101" s="9">
        <v>14.68</v>
      </c>
      <c r="E101" s="5">
        <v>45</v>
      </c>
      <c r="F101" s="5">
        <v>58</v>
      </c>
      <c r="G101" s="6">
        <v>44100</v>
      </c>
      <c r="H101" s="5">
        <f t="shared" si="11"/>
        <v>13</v>
      </c>
      <c r="I101" s="8" t="b">
        <f t="shared" si="12"/>
        <v>1</v>
      </c>
    </row>
    <row r="102" spans="1:9">
      <c r="A102" s="5">
        <v>103</v>
      </c>
      <c r="B102" s="6">
        <v>44102</v>
      </c>
      <c r="C102" s="7">
        <v>0.4</v>
      </c>
      <c r="D102" s="9">
        <v>14.68</v>
      </c>
      <c r="E102" s="5">
        <v>58</v>
      </c>
      <c r="F102" s="5">
        <v>88</v>
      </c>
      <c r="G102" s="6">
        <v>44102</v>
      </c>
      <c r="H102" s="5">
        <f t="shared" si="11"/>
        <v>30</v>
      </c>
      <c r="I102" s="8" t="b">
        <f t="shared" si="12"/>
        <v>1</v>
      </c>
    </row>
    <row r="103" spans="1:9">
      <c r="A103" s="5">
        <v>103</v>
      </c>
      <c r="B103" s="6">
        <v>44103</v>
      </c>
      <c r="C103" s="7">
        <v>0.4</v>
      </c>
      <c r="D103" s="9">
        <v>14.68</v>
      </c>
      <c r="E103" s="5">
        <v>88</v>
      </c>
      <c r="F103" s="5">
        <v>118</v>
      </c>
      <c r="G103" s="6">
        <v>44103</v>
      </c>
      <c r="H103" s="5">
        <f t="shared" ref="H103:H114" si="13">F103-E103</f>
        <v>30</v>
      </c>
      <c r="I103" s="8" t="b">
        <f t="shared" ref="I103:I114" si="14">F103=E104</f>
        <v>1</v>
      </c>
    </row>
    <row r="104" spans="1:9">
      <c r="A104" s="5">
        <v>103</v>
      </c>
      <c r="B104" s="6">
        <v>44104</v>
      </c>
      <c r="C104" s="7">
        <v>0.4</v>
      </c>
      <c r="D104" s="9">
        <v>14.68</v>
      </c>
      <c r="E104" s="5">
        <v>118</v>
      </c>
      <c r="F104" s="5">
        <v>133</v>
      </c>
      <c r="G104" s="6">
        <v>44104</v>
      </c>
      <c r="H104" s="5">
        <f t="shared" si="13"/>
        <v>15</v>
      </c>
      <c r="I104" s="8" t="b">
        <f t="shared" si="14"/>
        <v>1</v>
      </c>
    </row>
    <row r="105" spans="1:9">
      <c r="A105" s="5">
        <v>103</v>
      </c>
      <c r="B105" s="6">
        <v>44105</v>
      </c>
      <c r="C105" s="7">
        <v>0.4</v>
      </c>
      <c r="D105" s="9">
        <v>14.68</v>
      </c>
      <c r="E105" s="5">
        <v>133</v>
      </c>
      <c r="F105" s="5">
        <v>149</v>
      </c>
      <c r="G105" s="6">
        <v>44104</v>
      </c>
      <c r="H105" s="5">
        <f t="shared" si="13"/>
        <v>16</v>
      </c>
      <c r="I105" s="8" t="b">
        <f t="shared" si="14"/>
        <v>1</v>
      </c>
    </row>
    <row r="106" spans="1:9">
      <c r="A106" s="5">
        <v>103</v>
      </c>
      <c r="B106" s="6">
        <v>44106</v>
      </c>
      <c r="C106" s="7">
        <v>0.4</v>
      </c>
      <c r="D106" s="9">
        <v>14.68</v>
      </c>
      <c r="E106" s="5">
        <v>149</v>
      </c>
      <c r="F106" s="5">
        <v>164</v>
      </c>
      <c r="G106" s="6">
        <v>44105</v>
      </c>
      <c r="H106" s="5">
        <f t="shared" si="13"/>
        <v>15</v>
      </c>
      <c r="I106" s="8" t="b">
        <f t="shared" si="14"/>
        <v>0</v>
      </c>
    </row>
    <row r="107" spans="1:9">
      <c r="A107" s="5">
        <v>103</v>
      </c>
      <c r="B107" s="6">
        <v>44108</v>
      </c>
      <c r="C107" s="7">
        <v>0.4</v>
      </c>
      <c r="D107" s="9">
        <v>14.68</v>
      </c>
      <c r="E107" s="5">
        <v>179</v>
      </c>
      <c r="F107" s="5">
        <v>193</v>
      </c>
      <c r="G107" s="6">
        <v>44108</v>
      </c>
      <c r="H107" s="5">
        <f t="shared" si="13"/>
        <v>14</v>
      </c>
      <c r="I107" s="8" t="b">
        <f t="shared" si="14"/>
        <v>0</v>
      </c>
    </row>
    <row r="108" spans="1:9">
      <c r="A108" s="5">
        <v>103</v>
      </c>
      <c r="B108" s="6"/>
      <c r="C108" s="7"/>
      <c r="D108" s="9"/>
      <c r="E108" s="5"/>
      <c r="F108" s="5"/>
      <c r="G108" s="6"/>
      <c r="H108" s="5">
        <f t="shared" si="13"/>
        <v>0</v>
      </c>
      <c r="I108" s="8" t="b">
        <f t="shared" si="14"/>
        <v>1</v>
      </c>
    </row>
    <row r="109" spans="1:9">
      <c r="A109" s="5">
        <v>103</v>
      </c>
      <c r="B109" s="6"/>
      <c r="C109" s="7"/>
      <c r="D109" s="9"/>
      <c r="E109" s="5"/>
      <c r="F109" s="5"/>
      <c r="G109" s="6"/>
      <c r="H109" s="5">
        <f t="shared" si="13"/>
        <v>0</v>
      </c>
      <c r="I109" s="8" t="b">
        <f t="shared" si="14"/>
        <v>1</v>
      </c>
    </row>
    <row r="110" spans="1:9">
      <c r="A110" s="5">
        <v>103</v>
      </c>
      <c r="B110" s="6"/>
      <c r="C110" s="7"/>
      <c r="D110" s="9"/>
      <c r="E110" s="5"/>
      <c r="F110" s="5"/>
      <c r="G110" s="6"/>
      <c r="H110" s="5">
        <f t="shared" si="13"/>
        <v>0</v>
      </c>
      <c r="I110" s="8" t="b">
        <f t="shared" si="14"/>
        <v>1</v>
      </c>
    </row>
    <row r="111" spans="1:9">
      <c r="A111" s="5">
        <v>103</v>
      </c>
      <c r="B111" s="6"/>
      <c r="C111" s="7"/>
      <c r="D111" s="9"/>
      <c r="E111" s="5"/>
      <c r="F111" s="5"/>
      <c r="G111" s="6"/>
      <c r="H111" s="5">
        <f t="shared" si="13"/>
        <v>0</v>
      </c>
      <c r="I111" s="8" t="b">
        <f t="shared" si="14"/>
        <v>1</v>
      </c>
    </row>
    <row r="112" spans="1:9">
      <c r="A112" s="5">
        <v>103</v>
      </c>
      <c r="B112" s="6"/>
      <c r="C112" s="7"/>
      <c r="D112" s="9"/>
      <c r="E112" s="5"/>
      <c r="F112" s="5"/>
      <c r="G112" s="6"/>
      <c r="H112" s="5">
        <f t="shared" si="13"/>
        <v>0</v>
      </c>
      <c r="I112" s="8" t="b">
        <f t="shared" si="14"/>
        <v>1</v>
      </c>
    </row>
    <row r="113" spans="1:9">
      <c r="A113" s="5">
        <v>103</v>
      </c>
      <c r="B113" s="6"/>
      <c r="C113" s="7"/>
      <c r="D113" s="9"/>
      <c r="E113" s="5"/>
      <c r="F113" s="5"/>
      <c r="G113" s="6"/>
      <c r="H113" s="5">
        <f t="shared" si="13"/>
        <v>0</v>
      </c>
      <c r="I113" s="8" t="b">
        <f t="shared" si="14"/>
        <v>1</v>
      </c>
    </row>
    <row r="114" spans="1:9">
      <c r="A114" s="5">
        <v>103</v>
      </c>
      <c r="B114" s="6"/>
      <c r="C114" s="7"/>
      <c r="D114" s="9"/>
      <c r="E114" s="5"/>
      <c r="F114" s="5"/>
      <c r="G114" s="6"/>
      <c r="H114" s="5">
        <f t="shared" si="13"/>
        <v>0</v>
      </c>
      <c r="I114" s="8" t="b">
        <f t="shared" si="14"/>
        <v>1</v>
      </c>
    </row>
    <row r="119" spans="1:9" ht="26.25">
      <c r="A119" s="138" t="s">
        <v>49</v>
      </c>
      <c r="B119" s="159"/>
      <c r="C119" s="159"/>
      <c r="D119" s="159"/>
      <c r="E119" s="159"/>
      <c r="F119" s="159"/>
      <c r="G119" s="159"/>
      <c r="H119" s="159"/>
      <c r="I119" s="160"/>
    </row>
    <row r="120" spans="1:9" ht="26.25">
      <c r="A120" s="138" t="s">
        <v>13</v>
      </c>
      <c r="B120" s="159"/>
      <c r="C120" s="159"/>
      <c r="D120" s="159"/>
      <c r="E120" s="159"/>
      <c r="F120" s="159"/>
      <c r="G120" s="159"/>
      <c r="H120" s="159"/>
      <c r="I120" s="160"/>
    </row>
    <row r="121" spans="1:9" ht="15.75" thickBot="1"/>
    <row r="122" spans="1:9" ht="15.75" thickBot="1">
      <c r="A122" s="132" t="s">
        <v>2</v>
      </c>
      <c r="B122" s="133"/>
      <c r="C122" s="133"/>
      <c r="D122" s="133"/>
      <c r="E122" s="133"/>
      <c r="F122" s="133"/>
      <c r="G122" s="133"/>
      <c r="H122" s="133"/>
      <c r="I122" s="134"/>
    </row>
    <row r="124" spans="1:9" ht="19.5" thickBot="1">
      <c r="A124" s="1" t="s">
        <v>3</v>
      </c>
      <c r="B124" s="1"/>
      <c r="C124" s="1"/>
      <c r="D124" s="1"/>
      <c r="E124" s="1"/>
      <c r="F124" s="1"/>
      <c r="G124" s="1"/>
    </row>
    <row r="125" spans="1:9" ht="30.75" thickBot="1">
      <c r="A125" s="2" t="s">
        <v>4</v>
      </c>
      <c r="B125" s="3" t="s">
        <v>5</v>
      </c>
      <c r="C125" s="3" t="s">
        <v>6</v>
      </c>
      <c r="D125" s="3" t="s">
        <v>7</v>
      </c>
      <c r="E125" s="3" t="s">
        <v>8</v>
      </c>
      <c r="F125" s="3" t="s">
        <v>9</v>
      </c>
      <c r="G125" s="3" t="s">
        <v>10</v>
      </c>
      <c r="H125" s="4" t="s">
        <v>11</v>
      </c>
      <c r="I125" s="4" t="s">
        <v>12</v>
      </c>
    </row>
    <row r="126" spans="1:9">
      <c r="A126" s="5">
        <v>103</v>
      </c>
      <c r="B126" s="6">
        <v>44098</v>
      </c>
      <c r="C126" s="7">
        <v>0.9</v>
      </c>
      <c r="D126" s="9">
        <v>6.44</v>
      </c>
      <c r="E126" s="5">
        <v>29</v>
      </c>
      <c r="F126" s="5">
        <v>36</v>
      </c>
      <c r="G126" s="6" t="s">
        <v>52</v>
      </c>
      <c r="H126" s="5">
        <f>F126-E126</f>
        <v>7</v>
      </c>
      <c r="I126" s="8" t="b">
        <f t="shared" ref="I126:I131" si="15">F135=E136</f>
        <v>1</v>
      </c>
    </row>
    <row r="127" spans="1:9">
      <c r="A127" s="5">
        <v>103</v>
      </c>
      <c r="B127" s="6">
        <v>44099</v>
      </c>
      <c r="C127" s="7">
        <v>0.9</v>
      </c>
      <c r="D127" s="9">
        <v>6.44</v>
      </c>
      <c r="E127" s="5">
        <v>36</v>
      </c>
      <c r="F127" s="5">
        <v>45</v>
      </c>
      <c r="G127" s="6">
        <v>44099</v>
      </c>
      <c r="H127" s="5">
        <f t="shared" ref="H127:H149" si="16">F127-E127</f>
        <v>9</v>
      </c>
      <c r="I127" s="8" t="b">
        <f t="shared" si="15"/>
        <v>1</v>
      </c>
    </row>
    <row r="128" spans="1:9">
      <c r="A128" s="5">
        <v>103</v>
      </c>
      <c r="B128" s="6">
        <v>44100</v>
      </c>
      <c r="C128" s="7">
        <v>0.4</v>
      </c>
      <c r="D128" s="9">
        <v>14.68</v>
      </c>
      <c r="E128" s="5">
        <v>45</v>
      </c>
      <c r="F128" s="5">
        <v>58</v>
      </c>
      <c r="G128" s="6">
        <v>44100</v>
      </c>
      <c r="H128" s="5">
        <f t="shared" si="16"/>
        <v>13</v>
      </c>
      <c r="I128" s="8" t="b">
        <f t="shared" si="15"/>
        <v>1</v>
      </c>
    </row>
    <row r="129" spans="1:9">
      <c r="A129" s="5">
        <v>103</v>
      </c>
      <c r="B129" s="6">
        <v>44102</v>
      </c>
      <c r="C129" s="7">
        <v>0.4</v>
      </c>
      <c r="D129" s="9">
        <v>14.68</v>
      </c>
      <c r="E129" s="5">
        <v>58</v>
      </c>
      <c r="F129" s="5">
        <v>88</v>
      </c>
      <c r="G129" s="6">
        <v>44102</v>
      </c>
      <c r="H129" s="5">
        <f t="shared" si="16"/>
        <v>30</v>
      </c>
      <c r="I129" s="8" t="b">
        <f t="shared" si="15"/>
        <v>1</v>
      </c>
    </row>
    <row r="130" spans="1:9">
      <c r="A130" s="5">
        <v>103</v>
      </c>
      <c r="B130" s="6">
        <v>44103</v>
      </c>
      <c r="C130" s="7">
        <v>0.4</v>
      </c>
      <c r="D130" s="9">
        <v>14.68</v>
      </c>
      <c r="E130" s="5">
        <v>88</v>
      </c>
      <c r="F130" s="5">
        <v>118</v>
      </c>
      <c r="G130" s="6">
        <v>44103</v>
      </c>
      <c r="H130" s="5">
        <f t="shared" si="16"/>
        <v>30</v>
      </c>
      <c r="I130" s="8" t="b">
        <f t="shared" si="15"/>
        <v>1</v>
      </c>
    </row>
    <row r="131" spans="1:9">
      <c r="A131" s="5">
        <v>103</v>
      </c>
      <c r="B131" s="6">
        <v>44104</v>
      </c>
      <c r="C131" s="7">
        <v>0.4</v>
      </c>
      <c r="D131" s="9">
        <v>14.68</v>
      </c>
      <c r="E131" s="5">
        <v>118</v>
      </c>
      <c r="F131" s="5">
        <v>133</v>
      </c>
      <c r="G131" s="6">
        <v>44104</v>
      </c>
      <c r="H131" s="5">
        <f t="shared" si="16"/>
        <v>15</v>
      </c>
      <c r="I131" s="8" t="b">
        <f t="shared" si="15"/>
        <v>1</v>
      </c>
    </row>
    <row r="132" spans="1:9">
      <c r="A132" s="5">
        <v>103</v>
      </c>
      <c r="B132" s="6">
        <v>44105</v>
      </c>
      <c r="C132" s="7">
        <v>0.4</v>
      </c>
      <c r="D132" s="9">
        <v>14.68</v>
      </c>
      <c r="E132" s="5">
        <v>133</v>
      </c>
      <c r="F132" s="5">
        <v>149</v>
      </c>
      <c r="G132" s="6">
        <v>44104</v>
      </c>
      <c r="H132" s="5">
        <f t="shared" si="16"/>
        <v>16</v>
      </c>
      <c r="I132" s="8" t="b">
        <f t="shared" ref="I132:I149" si="17">F141=E142</f>
        <v>1</v>
      </c>
    </row>
    <row r="133" spans="1:9">
      <c r="A133" s="5">
        <v>103</v>
      </c>
      <c r="B133" s="6">
        <v>44106</v>
      </c>
      <c r="C133" s="7">
        <v>0.4</v>
      </c>
      <c r="D133" s="9">
        <v>14.68</v>
      </c>
      <c r="E133" s="5">
        <v>149</v>
      </c>
      <c r="F133" s="5">
        <v>164</v>
      </c>
      <c r="G133" s="6">
        <v>44105</v>
      </c>
      <c r="H133" s="5">
        <f t="shared" si="16"/>
        <v>15</v>
      </c>
      <c r="I133" s="8" t="b">
        <f t="shared" si="17"/>
        <v>1</v>
      </c>
    </row>
    <row r="134" spans="1:9">
      <c r="A134" s="5">
        <v>103</v>
      </c>
      <c r="B134" s="6">
        <v>44108</v>
      </c>
      <c r="C134" s="7">
        <v>0.4</v>
      </c>
      <c r="D134" s="9">
        <v>14.68</v>
      </c>
      <c r="E134" s="5">
        <v>179</v>
      </c>
      <c r="F134" s="5">
        <v>193</v>
      </c>
      <c r="G134" s="6">
        <v>44108</v>
      </c>
      <c r="H134" s="5">
        <f t="shared" si="16"/>
        <v>14</v>
      </c>
      <c r="I134" s="8" t="b">
        <f t="shared" si="17"/>
        <v>1</v>
      </c>
    </row>
    <row r="135" spans="1:9">
      <c r="A135" s="5">
        <v>103</v>
      </c>
      <c r="B135" s="6">
        <v>44113</v>
      </c>
      <c r="C135" s="7">
        <v>1</v>
      </c>
      <c r="D135" s="9">
        <v>5.8</v>
      </c>
      <c r="E135" s="5">
        <v>193.3</v>
      </c>
      <c r="F135" s="5">
        <v>206.1</v>
      </c>
      <c r="G135" s="6">
        <v>44113</v>
      </c>
      <c r="H135" s="5">
        <f t="shared" si="16"/>
        <v>12.799999999999983</v>
      </c>
      <c r="I135" s="8" t="b">
        <f t="shared" si="17"/>
        <v>1</v>
      </c>
    </row>
    <row r="136" spans="1:9">
      <c r="A136" s="5">
        <v>103</v>
      </c>
      <c r="B136" s="6">
        <v>44115</v>
      </c>
      <c r="C136" s="7">
        <v>0.8</v>
      </c>
      <c r="D136" s="9">
        <v>7.25</v>
      </c>
      <c r="E136" s="5">
        <v>206.1</v>
      </c>
      <c r="F136" s="5">
        <v>220</v>
      </c>
      <c r="G136" s="6">
        <v>44115</v>
      </c>
      <c r="H136" s="5">
        <f t="shared" si="16"/>
        <v>13.900000000000006</v>
      </c>
      <c r="I136" s="8" t="b">
        <f t="shared" si="17"/>
        <v>1</v>
      </c>
    </row>
    <row r="137" spans="1:9">
      <c r="A137" s="5">
        <v>103</v>
      </c>
      <c r="B137" s="6">
        <v>44116</v>
      </c>
      <c r="C137" s="7">
        <v>0.8</v>
      </c>
      <c r="D137" s="9">
        <v>7.25</v>
      </c>
      <c r="E137" s="5">
        <v>220</v>
      </c>
      <c r="F137" s="5">
        <v>234</v>
      </c>
      <c r="G137" s="6">
        <v>44116</v>
      </c>
      <c r="H137" s="5">
        <f t="shared" si="16"/>
        <v>14</v>
      </c>
      <c r="I137" s="8" t="b">
        <f t="shared" si="17"/>
        <v>1</v>
      </c>
    </row>
    <row r="138" spans="1:9">
      <c r="A138" s="5">
        <v>103</v>
      </c>
      <c r="B138" s="6">
        <v>44119</v>
      </c>
      <c r="C138" s="7">
        <v>0.8</v>
      </c>
      <c r="D138" s="9">
        <v>7.25</v>
      </c>
      <c r="E138" s="5">
        <v>234</v>
      </c>
      <c r="F138" s="5">
        <v>246</v>
      </c>
      <c r="G138" s="6">
        <v>44119</v>
      </c>
      <c r="H138" s="5">
        <f t="shared" si="16"/>
        <v>12</v>
      </c>
      <c r="I138" s="8" t="b">
        <f t="shared" si="17"/>
        <v>1</v>
      </c>
    </row>
    <row r="139" spans="1:9">
      <c r="A139" s="5">
        <v>103</v>
      </c>
      <c r="B139" s="6">
        <v>44120</v>
      </c>
      <c r="C139" s="7">
        <v>0.8</v>
      </c>
      <c r="D139" s="9">
        <v>7.25</v>
      </c>
      <c r="E139" s="5">
        <v>246</v>
      </c>
      <c r="F139" s="5">
        <v>259</v>
      </c>
      <c r="G139" s="6">
        <v>44120</v>
      </c>
      <c r="H139" s="5">
        <f t="shared" si="16"/>
        <v>13</v>
      </c>
      <c r="I139" s="8" t="b">
        <f t="shared" si="17"/>
        <v>0</v>
      </c>
    </row>
    <row r="140" spans="1:9">
      <c r="A140" s="5">
        <v>103</v>
      </c>
      <c r="B140" s="6">
        <v>44121</v>
      </c>
      <c r="C140" s="7">
        <v>0.8</v>
      </c>
      <c r="D140" s="9">
        <v>7.25</v>
      </c>
      <c r="E140" s="5">
        <v>259</v>
      </c>
      <c r="F140" s="5">
        <v>281</v>
      </c>
      <c r="G140" s="6">
        <v>44121</v>
      </c>
      <c r="H140" s="5">
        <f t="shared" si="16"/>
        <v>22</v>
      </c>
      <c r="I140" s="8" t="b">
        <f t="shared" si="17"/>
        <v>1</v>
      </c>
    </row>
    <row r="141" spans="1:9">
      <c r="A141" s="5">
        <v>103</v>
      </c>
      <c r="B141" s="6">
        <v>44122</v>
      </c>
      <c r="C141" s="7">
        <v>1</v>
      </c>
      <c r="D141" s="9">
        <v>5.8</v>
      </c>
      <c r="E141" s="5">
        <v>281</v>
      </c>
      <c r="F141" s="5">
        <v>293</v>
      </c>
      <c r="G141" s="6">
        <v>44122</v>
      </c>
      <c r="H141" s="5">
        <f t="shared" si="16"/>
        <v>12</v>
      </c>
      <c r="I141" s="8" t="b">
        <f t="shared" si="17"/>
        <v>1</v>
      </c>
    </row>
    <row r="142" spans="1:9">
      <c r="A142" s="5">
        <v>103</v>
      </c>
      <c r="B142" s="6">
        <v>44123</v>
      </c>
      <c r="C142" s="7">
        <v>1</v>
      </c>
      <c r="D142" s="9">
        <v>5.8</v>
      </c>
      <c r="E142" s="5">
        <v>293</v>
      </c>
      <c r="F142" s="5">
        <v>304</v>
      </c>
      <c r="G142" s="6">
        <v>44123</v>
      </c>
      <c r="H142" s="5">
        <f t="shared" si="16"/>
        <v>11</v>
      </c>
      <c r="I142" s="8" t="b">
        <f t="shared" si="17"/>
        <v>1</v>
      </c>
    </row>
    <row r="143" spans="1:9">
      <c r="A143" s="5">
        <v>103</v>
      </c>
      <c r="B143" s="6">
        <v>44124</v>
      </c>
      <c r="C143" s="7">
        <v>0.8</v>
      </c>
      <c r="D143" s="9">
        <v>7.25</v>
      </c>
      <c r="E143" s="5">
        <v>304</v>
      </c>
      <c r="F143" s="5">
        <v>316</v>
      </c>
      <c r="G143" s="6">
        <v>44124</v>
      </c>
      <c r="H143" s="5">
        <f t="shared" si="16"/>
        <v>12</v>
      </c>
      <c r="I143" s="8" t="b">
        <f t="shared" si="17"/>
        <v>1</v>
      </c>
    </row>
    <row r="144" spans="1:9">
      <c r="A144" s="5">
        <v>103</v>
      </c>
      <c r="B144" s="6">
        <v>44125</v>
      </c>
      <c r="C144" s="7">
        <v>1</v>
      </c>
      <c r="D144" s="9">
        <v>5.8</v>
      </c>
      <c r="E144" s="5">
        <v>316</v>
      </c>
      <c r="F144" s="5">
        <v>328</v>
      </c>
      <c r="G144" s="6">
        <v>44125</v>
      </c>
      <c r="H144" s="5">
        <f t="shared" si="16"/>
        <v>12</v>
      </c>
      <c r="I144" s="8" t="b">
        <f t="shared" si="17"/>
        <v>1</v>
      </c>
    </row>
    <row r="145" spans="1:9">
      <c r="A145" s="5">
        <v>103</v>
      </c>
      <c r="B145" s="6">
        <v>44126</v>
      </c>
      <c r="C145" s="7">
        <v>1</v>
      </c>
      <c r="D145" s="9">
        <v>5.8</v>
      </c>
      <c r="E145" s="5">
        <v>328</v>
      </c>
      <c r="F145" s="5">
        <v>351</v>
      </c>
      <c r="G145" s="6">
        <v>44126</v>
      </c>
      <c r="H145" s="5">
        <f t="shared" si="16"/>
        <v>23</v>
      </c>
      <c r="I145" s="8" t="b">
        <f t="shared" si="17"/>
        <v>0</v>
      </c>
    </row>
    <row r="146" spans="1:9">
      <c r="A146" s="5">
        <v>103</v>
      </c>
      <c r="B146" s="6">
        <v>44129</v>
      </c>
      <c r="C146" s="7">
        <v>1</v>
      </c>
      <c r="D146" s="9">
        <v>5.8</v>
      </c>
      <c r="E146" s="5">
        <v>351</v>
      </c>
      <c r="F146" s="5">
        <v>366</v>
      </c>
      <c r="G146" s="6">
        <v>44129</v>
      </c>
      <c r="H146" s="5">
        <f t="shared" si="16"/>
        <v>15</v>
      </c>
      <c r="I146" s="8" t="b">
        <f t="shared" si="17"/>
        <v>1</v>
      </c>
    </row>
    <row r="147" spans="1:9">
      <c r="A147" s="5">
        <v>103</v>
      </c>
      <c r="B147" s="6">
        <v>44132</v>
      </c>
      <c r="C147" s="7">
        <v>1</v>
      </c>
      <c r="D147" s="9">
        <v>5.8</v>
      </c>
      <c r="E147" s="5">
        <v>366</v>
      </c>
      <c r="F147" s="5">
        <v>381</v>
      </c>
      <c r="G147" s="6">
        <v>44132</v>
      </c>
      <c r="H147" s="5">
        <f t="shared" si="16"/>
        <v>15</v>
      </c>
      <c r="I147" s="8" t="b">
        <f t="shared" si="17"/>
        <v>1</v>
      </c>
    </row>
    <row r="148" spans="1:9">
      <c r="A148" s="5">
        <v>103</v>
      </c>
      <c r="B148" s="6">
        <v>44139</v>
      </c>
      <c r="C148" s="7">
        <v>1</v>
      </c>
      <c r="D148" s="9">
        <v>5.8</v>
      </c>
      <c r="E148" s="5">
        <v>381</v>
      </c>
      <c r="F148" s="5">
        <v>393.2</v>
      </c>
      <c r="G148" s="6">
        <v>44139</v>
      </c>
      <c r="H148" s="5">
        <f t="shared" si="16"/>
        <v>12.199999999999989</v>
      </c>
      <c r="I148" s="8" t="b">
        <f t="shared" si="17"/>
        <v>0</v>
      </c>
    </row>
    <row r="149" spans="1:9">
      <c r="A149" s="5">
        <v>103</v>
      </c>
      <c r="B149" s="6">
        <v>44161</v>
      </c>
      <c r="C149" s="7">
        <v>1</v>
      </c>
      <c r="D149" s="9">
        <v>5.8</v>
      </c>
      <c r="E149" s="5">
        <v>448</v>
      </c>
      <c r="F149" s="5">
        <v>459</v>
      </c>
      <c r="G149" s="6">
        <v>44161</v>
      </c>
      <c r="H149" s="5">
        <f t="shared" si="16"/>
        <v>11</v>
      </c>
      <c r="I149" s="8" t="b">
        <f t="shared" si="17"/>
        <v>0</v>
      </c>
    </row>
    <row r="150" spans="1:9">
      <c r="A150" s="5">
        <v>103</v>
      </c>
      <c r="B150" s="6">
        <v>44162</v>
      </c>
      <c r="C150" s="7">
        <v>1</v>
      </c>
      <c r="D150" s="9">
        <v>5.8</v>
      </c>
      <c r="E150" s="5">
        <v>459</v>
      </c>
      <c r="F150" s="5">
        <v>474</v>
      </c>
      <c r="G150" s="6">
        <v>44162</v>
      </c>
      <c r="H150" s="5">
        <f>F150-E150</f>
        <v>15</v>
      </c>
      <c r="I150" s="8" t="b">
        <f>F159=E160</f>
        <v>1</v>
      </c>
    </row>
    <row r="151" spans="1:9">
      <c r="A151" s="5">
        <v>103</v>
      </c>
      <c r="B151" s="6">
        <v>44163</v>
      </c>
      <c r="C151" s="7">
        <v>0.8</v>
      </c>
      <c r="D151" s="9">
        <v>7.25</v>
      </c>
      <c r="E151" s="5">
        <v>474</v>
      </c>
      <c r="F151" s="5">
        <v>490</v>
      </c>
      <c r="G151" s="6">
        <v>44163</v>
      </c>
      <c r="H151" s="5">
        <f>F151-E151</f>
        <v>16</v>
      </c>
      <c r="I151" s="8" t="b">
        <f>F160=E161</f>
        <v>1</v>
      </c>
    </row>
    <row r="152" spans="1:9">
      <c r="A152" s="5">
        <v>103</v>
      </c>
      <c r="B152" s="6">
        <v>44164</v>
      </c>
      <c r="C152" s="7">
        <v>0.8</v>
      </c>
      <c r="D152" s="9">
        <v>7.25</v>
      </c>
      <c r="E152" s="5">
        <v>490</v>
      </c>
      <c r="F152" s="5">
        <v>503</v>
      </c>
      <c r="G152" s="6">
        <v>44164</v>
      </c>
      <c r="H152" s="5">
        <f>F152-E152</f>
        <v>13</v>
      </c>
      <c r="I152" s="8" t="b">
        <f>F161=E162</f>
        <v>0</v>
      </c>
    </row>
    <row r="153" spans="1:9">
      <c r="A153" s="5">
        <v>103</v>
      </c>
      <c r="B153" s="6">
        <v>44165</v>
      </c>
      <c r="C153" s="7">
        <v>0.8</v>
      </c>
      <c r="D153" s="9">
        <v>7.25</v>
      </c>
      <c r="E153" s="5">
        <v>503</v>
      </c>
      <c r="F153" s="5">
        <v>520</v>
      </c>
      <c r="G153" s="6">
        <v>44165</v>
      </c>
      <c r="H153" s="5">
        <f>F153-E153</f>
        <v>17</v>
      </c>
      <c r="I153" s="8" t="b">
        <f>F162=E163</f>
        <v>1</v>
      </c>
    </row>
    <row r="154" spans="1:9">
      <c r="A154" s="5">
        <v>103</v>
      </c>
      <c r="B154" s="6">
        <v>44167</v>
      </c>
      <c r="C154" s="7">
        <v>0.6</v>
      </c>
      <c r="D154" s="9">
        <v>9.67</v>
      </c>
      <c r="E154" s="5">
        <v>520</v>
      </c>
      <c r="F154" s="5">
        <v>539</v>
      </c>
      <c r="G154" s="6">
        <v>44167</v>
      </c>
      <c r="H154" s="5">
        <f t="shared" ref="H154:H160" si="18">F154-E154</f>
        <v>19</v>
      </c>
      <c r="I154" s="8" t="b">
        <f>F163=E164</f>
        <v>1</v>
      </c>
    </row>
    <row r="155" spans="1:9">
      <c r="A155" s="5">
        <v>103</v>
      </c>
      <c r="B155" s="6">
        <v>44198</v>
      </c>
      <c r="C155" s="7">
        <v>0.6</v>
      </c>
      <c r="D155" s="9">
        <v>9.67</v>
      </c>
      <c r="E155" s="5">
        <v>682</v>
      </c>
      <c r="F155" s="5">
        <v>702.7</v>
      </c>
      <c r="G155" s="6"/>
      <c r="H155" s="5">
        <f t="shared" si="18"/>
        <v>20.700000000000045</v>
      </c>
      <c r="I155" s="8" t="e">
        <f>F164=#REF!</f>
        <v>#REF!</v>
      </c>
    </row>
    <row r="156" spans="1:9">
      <c r="A156" s="5">
        <v>103</v>
      </c>
      <c r="B156" s="6">
        <v>44203</v>
      </c>
      <c r="C156" s="7">
        <v>0.6</v>
      </c>
      <c r="D156" s="9">
        <v>9.67</v>
      </c>
      <c r="E156" s="5">
        <v>702.7</v>
      </c>
      <c r="F156" s="5">
        <v>721.4</v>
      </c>
      <c r="G156" s="6"/>
      <c r="H156" s="5">
        <f t="shared" si="18"/>
        <v>18.699999999999932</v>
      </c>
      <c r="I156" s="8" t="e">
        <f>#REF!=#REF!</f>
        <v>#REF!</v>
      </c>
    </row>
    <row r="157" spans="1:9">
      <c r="A157" s="5">
        <v>103</v>
      </c>
      <c r="B157" s="6">
        <v>44206</v>
      </c>
      <c r="C157" s="7">
        <v>0.7</v>
      </c>
      <c r="D157" s="9">
        <v>8.2899999999999991</v>
      </c>
      <c r="E157" s="5">
        <v>721.4</v>
      </c>
      <c r="F157" s="5">
        <v>736.2</v>
      </c>
      <c r="G157" s="6"/>
      <c r="H157" s="5">
        <f t="shared" si="18"/>
        <v>14.800000000000068</v>
      </c>
      <c r="I157" s="8" t="e">
        <f>#REF!=E167</f>
        <v>#REF!</v>
      </c>
    </row>
    <row r="158" spans="1:9">
      <c r="A158" s="5">
        <v>103</v>
      </c>
      <c r="B158" s="6">
        <v>44227</v>
      </c>
      <c r="C158" s="7">
        <v>0.6</v>
      </c>
      <c r="D158" s="9">
        <v>9.67</v>
      </c>
      <c r="E158" s="5">
        <v>735</v>
      </c>
      <c r="F158" s="5">
        <v>755</v>
      </c>
      <c r="G158" s="6"/>
      <c r="H158" s="5">
        <f t="shared" si="18"/>
        <v>20</v>
      </c>
      <c r="I158" s="8" t="b">
        <f t="shared" ref="I158:I164" si="19">F167=E168</f>
        <v>1</v>
      </c>
    </row>
    <row r="159" spans="1:9">
      <c r="A159" s="5">
        <v>103</v>
      </c>
      <c r="B159" s="6">
        <v>44229</v>
      </c>
      <c r="C159" s="7">
        <v>0.8</v>
      </c>
      <c r="D159" s="9">
        <v>7.25</v>
      </c>
      <c r="E159" s="5">
        <v>755.7</v>
      </c>
      <c r="F159" s="5">
        <v>770.3</v>
      </c>
      <c r="G159" s="6"/>
      <c r="H159" s="5">
        <f t="shared" si="18"/>
        <v>14.599999999999909</v>
      </c>
      <c r="I159" s="8" t="b">
        <f t="shared" si="19"/>
        <v>1</v>
      </c>
    </row>
    <row r="160" spans="1:9">
      <c r="A160" s="5">
        <v>103</v>
      </c>
      <c r="B160" s="6">
        <v>44230</v>
      </c>
      <c r="C160" s="7">
        <v>1</v>
      </c>
      <c r="D160" s="9">
        <v>5.8</v>
      </c>
      <c r="E160" s="5">
        <v>770.3</v>
      </c>
      <c r="F160" s="5">
        <v>782.4</v>
      </c>
      <c r="G160" s="6"/>
      <c r="H160" s="5">
        <f t="shared" si="18"/>
        <v>12.100000000000023</v>
      </c>
      <c r="I160" s="8" t="b">
        <f t="shared" si="19"/>
        <v>1</v>
      </c>
    </row>
    <row r="161" spans="1:9">
      <c r="A161" s="5">
        <v>103</v>
      </c>
      <c r="B161" s="6">
        <v>44231</v>
      </c>
      <c r="C161" s="7">
        <v>1</v>
      </c>
      <c r="D161" s="9">
        <v>5.8</v>
      </c>
      <c r="E161" s="5">
        <v>782.4</v>
      </c>
      <c r="F161" s="5">
        <v>791</v>
      </c>
      <c r="G161" s="6"/>
      <c r="H161" s="5">
        <f t="shared" ref="H161:H192" si="20">F161-E161</f>
        <v>8.6000000000000227</v>
      </c>
      <c r="I161" s="8" t="b">
        <f t="shared" si="19"/>
        <v>1</v>
      </c>
    </row>
    <row r="162" spans="1:9">
      <c r="A162" s="5">
        <v>103</v>
      </c>
      <c r="B162" s="6"/>
      <c r="C162" s="7"/>
      <c r="D162" s="9"/>
      <c r="E162" s="5"/>
      <c r="F162" s="5"/>
      <c r="G162" s="6"/>
      <c r="H162" s="5">
        <f t="shared" si="20"/>
        <v>0</v>
      </c>
      <c r="I162" s="8" t="b">
        <f t="shared" si="19"/>
        <v>1</v>
      </c>
    </row>
    <row r="163" spans="1:9">
      <c r="A163" s="5">
        <v>103</v>
      </c>
      <c r="B163" s="6"/>
      <c r="C163" s="7"/>
      <c r="D163" s="9"/>
      <c r="E163" s="5"/>
      <c r="F163" s="5"/>
      <c r="G163" s="6"/>
      <c r="H163" s="5">
        <f t="shared" si="20"/>
        <v>0</v>
      </c>
      <c r="I163" s="8" t="b">
        <f t="shared" si="19"/>
        <v>0</v>
      </c>
    </row>
    <row r="164" spans="1:9">
      <c r="A164" s="5">
        <v>103</v>
      </c>
      <c r="B164" s="6"/>
      <c r="C164" s="7"/>
      <c r="D164" s="9"/>
      <c r="E164" s="5"/>
      <c r="F164" s="5"/>
      <c r="G164" s="6"/>
      <c r="H164" s="5">
        <f t="shared" si="20"/>
        <v>0</v>
      </c>
      <c r="I164" s="8" t="b">
        <f t="shared" si="19"/>
        <v>0</v>
      </c>
    </row>
    <row r="165" spans="1:9">
      <c r="A165" s="11"/>
      <c r="B165" s="12"/>
      <c r="C165" s="13"/>
      <c r="D165" s="14"/>
      <c r="E165" s="15"/>
      <c r="F165" s="15"/>
      <c r="G165" s="12"/>
      <c r="H165" s="15"/>
      <c r="I165" s="16"/>
    </row>
    <row r="166" spans="1:9">
      <c r="A166" s="11"/>
      <c r="B166" s="12"/>
      <c r="C166" s="13"/>
      <c r="D166" s="14"/>
      <c r="E166" s="15"/>
      <c r="F166" s="15"/>
      <c r="G166" s="12"/>
      <c r="H166" s="15"/>
      <c r="I166" s="16"/>
    </row>
    <row r="167" spans="1:9" ht="26.25">
      <c r="A167" s="150" t="s">
        <v>49</v>
      </c>
      <c r="B167" s="174"/>
      <c r="C167" s="174"/>
      <c r="D167" s="174"/>
      <c r="E167" s="174"/>
      <c r="F167" s="174"/>
      <c r="G167" s="174"/>
      <c r="H167" s="174"/>
      <c r="I167" s="175"/>
    </row>
    <row r="168" spans="1:9" ht="26.25">
      <c r="A168" s="150" t="s">
        <v>53</v>
      </c>
      <c r="B168" s="174"/>
      <c r="C168" s="174"/>
      <c r="D168" s="174"/>
      <c r="E168" s="174"/>
      <c r="F168" s="174"/>
      <c r="G168" s="174"/>
      <c r="H168" s="174"/>
      <c r="I168" s="175"/>
    </row>
    <row r="169" spans="1:9" ht="15.75" thickBot="1"/>
    <row r="170" spans="1:9" ht="15.75" thickBot="1">
      <c r="A170" s="132" t="s">
        <v>2</v>
      </c>
      <c r="B170" s="133"/>
      <c r="C170" s="133"/>
      <c r="D170" s="133"/>
      <c r="E170" s="133"/>
      <c r="F170" s="133"/>
      <c r="G170" s="133"/>
      <c r="H170" s="133"/>
      <c r="I170" s="134"/>
    </row>
    <row r="172" spans="1:9" ht="19.5" thickBot="1">
      <c r="A172" s="1" t="s">
        <v>3</v>
      </c>
      <c r="B172" s="1"/>
      <c r="C172" s="1"/>
      <c r="D172" s="1"/>
      <c r="E172" s="1"/>
      <c r="F172" s="1"/>
      <c r="G172" s="1"/>
    </row>
    <row r="173" spans="1:9" ht="30.75" thickBot="1">
      <c r="A173" s="2" t="s">
        <v>4</v>
      </c>
      <c r="B173" s="3" t="s">
        <v>5</v>
      </c>
      <c r="C173" s="3" t="s">
        <v>6</v>
      </c>
      <c r="D173" s="3" t="s">
        <v>7</v>
      </c>
      <c r="E173" s="3" t="s">
        <v>8</v>
      </c>
      <c r="F173" s="3" t="s">
        <v>9</v>
      </c>
      <c r="G173" s="3" t="s">
        <v>10</v>
      </c>
      <c r="H173" s="4" t="s">
        <v>11</v>
      </c>
      <c r="I173" s="4" t="s">
        <v>12</v>
      </c>
    </row>
    <row r="174" spans="1:9">
      <c r="A174" s="5">
        <v>103</v>
      </c>
      <c r="B174" s="6">
        <v>44232</v>
      </c>
      <c r="C174" s="7">
        <v>1</v>
      </c>
      <c r="D174" s="9">
        <v>5.8</v>
      </c>
      <c r="E174" s="5">
        <v>794</v>
      </c>
      <c r="F174" s="5">
        <v>805.8</v>
      </c>
      <c r="G174" s="6">
        <v>44232</v>
      </c>
      <c r="H174" s="5">
        <f t="shared" ref="H174:H179" si="21">F174-E174</f>
        <v>11.799999999999955</v>
      </c>
      <c r="I174" s="8" t="b">
        <f t="shared" ref="I174:I179" si="22">F183=E184</f>
        <v>0</v>
      </c>
    </row>
    <row r="175" spans="1:9">
      <c r="A175" s="5">
        <v>103</v>
      </c>
      <c r="B175" s="6">
        <v>44233</v>
      </c>
      <c r="C175" s="7">
        <v>1</v>
      </c>
      <c r="D175" s="9">
        <v>5.8</v>
      </c>
      <c r="E175" s="5">
        <v>805.8</v>
      </c>
      <c r="F175" s="5">
        <v>820.1</v>
      </c>
      <c r="G175" s="6">
        <v>44233</v>
      </c>
      <c r="H175" s="5">
        <f t="shared" si="21"/>
        <v>14.300000000000068</v>
      </c>
      <c r="I175" s="8" t="b">
        <f t="shared" si="22"/>
        <v>1</v>
      </c>
    </row>
    <row r="176" spans="1:9">
      <c r="A176" s="5">
        <v>103</v>
      </c>
      <c r="B176" s="6">
        <v>44241</v>
      </c>
      <c r="C176" s="7">
        <v>1</v>
      </c>
      <c r="D176" s="9">
        <v>5.8</v>
      </c>
      <c r="E176" s="5">
        <v>820.1</v>
      </c>
      <c r="F176" s="5">
        <v>832.1</v>
      </c>
      <c r="G176" s="6">
        <v>44241</v>
      </c>
      <c r="H176" s="5">
        <f t="shared" si="21"/>
        <v>12</v>
      </c>
      <c r="I176" s="8" t="b">
        <f t="shared" si="22"/>
        <v>1</v>
      </c>
    </row>
    <row r="177" spans="1:9">
      <c r="A177" s="5">
        <v>103</v>
      </c>
      <c r="B177" s="6">
        <v>44250</v>
      </c>
      <c r="C177" s="7">
        <v>1</v>
      </c>
      <c r="D177" s="9">
        <v>5.8</v>
      </c>
      <c r="E177" s="5">
        <v>832.1</v>
      </c>
      <c r="F177" s="5">
        <v>843.8</v>
      </c>
      <c r="G177" s="6">
        <v>44250</v>
      </c>
      <c r="H177" s="5">
        <f t="shared" si="21"/>
        <v>11.699999999999932</v>
      </c>
      <c r="I177" s="8" t="b">
        <f t="shared" si="22"/>
        <v>1</v>
      </c>
    </row>
    <row r="178" spans="1:9">
      <c r="A178" s="5">
        <v>103</v>
      </c>
      <c r="B178" s="6">
        <v>44251</v>
      </c>
      <c r="C178" s="7">
        <v>1</v>
      </c>
      <c r="D178" s="9">
        <v>5.8</v>
      </c>
      <c r="E178" s="5">
        <v>843.8</v>
      </c>
      <c r="F178" s="5">
        <v>854.8</v>
      </c>
      <c r="G178" s="6">
        <v>44251</v>
      </c>
      <c r="H178" s="5">
        <f t="shared" si="21"/>
        <v>11</v>
      </c>
      <c r="I178" s="8" t="b">
        <f t="shared" si="22"/>
        <v>0</v>
      </c>
    </row>
    <row r="179" spans="1:9">
      <c r="A179" s="5">
        <v>103</v>
      </c>
      <c r="B179" s="6">
        <v>44257</v>
      </c>
      <c r="C179" s="7">
        <v>1</v>
      </c>
      <c r="D179" s="9">
        <v>5.8</v>
      </c>
      <c r="E179" s="5">
        <v>854.8</v>
      </c>
      <c r="F179" s="5">
        <v>861.8</v>
      </c>
      <c r="G179" s="6">
        <v>44257</v>
      </c>
      <c r="H179" s="5">
        <f t="shared" si="21"/>
        <v>7</v>
      </c>
      <c r="I179" s="8" t="b">
        <f t="shared" si="22"/>
        <v>1</v>
      </c>
    </row>
    <row r="180" spans="1:9">
      <c r="A180" s="5">
        <v>103</v>
      </c>
      <c r="B180" s="6">
        <v>44258</v>
      </c>
      <c r="C180" s="7">
        <v>1</v>
      </c>
      <c r="D180" s="9">
        <v>5.8</v>
      </c>
      <c r="E180" s="5">
        <v>861.8</v>
      </c>
      <c r="F180" s="5">
        <v>867.1</v>
      </c>
      <c r="G180" s="6">
        <v>44258</v>
      </c>
      <c r="H180" s="5">
        <f t="shared" si="20"/>
        <v>5.3000000000000682</v>
      </c>
      <c r="I180" s="8" t="b">
        <f t="shared" ref="I180:I197" si="23">F189=E190</f>
        <v>1</v>
      </c>
    </row>
    <row r="181" spans="1:9">
      <c r="A181" s="5">
        <v>103</v>
      </c>
      <c r="B181" s="6">
        <v>44259</v>
      </c>
      <c r="C181" s="7">
        <v>1</v>
      </c>
      <c r="D181" s="9">
        <v>5.8</v>
      </c>
      <c r="E181" s="5">
        <v>867.1</v>
      </c>
      <c r="F181" s="5">
        <v>873.4</v>
      </c>
      <c r="G181" s="6">
        <v>44259</v>
      </c>
      <c r="H181" s="5">
        <f t="shared" si="20"/>
        <v>6.2999999999999545</v>
      </c>
      <c r="I181" s="8" t="b">
        <f t="shared" si="23"/>
        <v>1</v>
      </c>
    </row>
    <row r="182" spans="1:9">
      <c r="A182" s="5">
        <v>103</v>
      </c>
      <c r="B182" s="6">
        <v>44260</v>
      </c>
      <c r="C182" s="7">
        <v>0.7</v>
      </c>
      <c r="D182" s="9">
        <v>8.2899999999999991</v>
      </c>
      <c r="E182" s="5">
        <v>873.4</v>
      </c>
      <c r="F182" s="5">
        <v>890</v>
      </c>
      <c r="G182" s="6">
        <v>44260</v>
      </c>
      <c r="H182" s="5">
        <f t="shared" si="20"/>
        <v>16.600000000000023</v>
      </c>
      <c r="I182" s="8" t="b">
        <f t="shared" si="23"/>
        <v>0</v>
      </c>
    </row>
    <row r="183" spans="1:9">
      <c r="A183" s="5">
        <v>103</v>
      </c>
      <c r="B183" s="6">
        <v>44271</v>
      </c>
      <c r="C183" s="7">
        <v>0.7</v>
      </c>
      <c r="D183" s="9">
        <v>8.2899999999999991</v>
      </c>
      <c r="E183" s="5">
        <v>890</v>
      </c>
      <c r="F183" s="5">
        <v>906.8</v>
      </c>
      <c r="G183" s="6">
        <v>44271</v>
      </c>
      <c r="H183" s="5">
        <f t="shared" si="20"/>
        <v>16.799999999999955</v>
      </c>
      <c r="I183" s="8" t="b">
        <f t="shared" si="23"/>
        <v>1</v>
      </c>
    </row>
    <row r="184" spans="1:9">
      <c r="A184" s="5">
        <v>103</v>
      </c>
      <c r="B184" s="6">
        <v>44276</v>
      </c>
      <c r="C184" s="7">
        <v>0.7</v>
      </c>
      <c r="D184" s="9">
        <v>8.2899999999999991</v>
      </c>
      <c r="E184" s="5">
        <v>906.3</v>
      </c>
      <c r="F184" s="5">
        <v>923.7</v>
      </c>
      <c r="G184" s="6">
        <v>44276</v>
      </c>
      <c r="H184" s="5">
        <f t="shared" si="20"/>
        <v>17.400000000000091</v>
      </c>
      <c r="I184" s="8" t="b">
        <f t="shared" si="23"/>
        <v>1</v>
      </c>
    </row>
    <row r="185" spans="1:9">
      <c r="A185" s="5">
        <v>103</v>
      </c>
      <c r="B185" s="6">
        <v>44277</v>
      </c>
      <c r="C185" s="7">
        <v>0.7</v>
      </c>
      <c r="D185" s="9">
        <v>8.2899999999999991</v>
      </c>
      <c r="E185" s="5">
        <v>923.7</v>
      </c>
      <c r="F185" s="5">
        <v>940.2</v>
      </c>
      <c r="G185" s="6">
        <v>44278</v>
      </c>
      <c r="H185" s="5">
        <f t="shared" si="20"/>
        <v>16.5</v>
      </c>
      <c r="I185" s="8" t="b">
        <f t="shared" si="23"/>
        <v>0</v>
      </c>
    </row>
    <row r="186" spans="1:9">
      <c r="A186" s="5">
        <v>103</v>
      </c>
      <c r="B186" s="6">
        <v>44281</v>
      </c>
      <c r="C186" s="7">
        <v>0.7</v>
      </c>
      <c r="D186" s="9">
        <v>8.2899999999999991</v>
      </c>
      <c r="E186" s="5">
        <v>940.2</v>
      </c>
      <c r="F186" s="5">
        <v>956.8</v>
      </c>
      <c r="G186" s="6">
        <v>44280</v>
      </c>
      <c r="H186" s="5">
        <f t="shared" si="20"/>
        <v>16.599999999999909</v>
      </c>
      <c r="I186" s="8" t="b">
        <f t="shared" si="23"/>
        <v>0</v>
      </c>
    </row>
    <row r="187" spans="1:9">
      <c r="A187" s="5">
        <v>103</v>
      </c>
      <c r="B187" s="6">
        <v>44283</v>
      </c>
      <c r="C187" s="7">
        <v>0.7</v>
      </c>
      <c r="D187" s="9">
        <v>8.2899999999999991</v>
      </c>
      <c r="E187" s="5">
        <v>956.8</v>
      </c>
      <c r="F187" s="5">
        <v>973.3</v>
      </c>
      <c r="G187" s="6">
        <v>44283</v>
      </c>
      <c r="H187" s="5">
        <f t="shared" si="20"/>
        <v>16.5</v>
      </c>
      <c r="I187" s="8" t="b">
        <f t="shared" si="23"/>
        <v>1</v>
      </c>
    </row>
    <row r="188" spans="1:9">
      <c r="A188" s="5">
        <v>103</v>
      </c>
      <c r="B188" s="6">
        <v>44284</v>
      </c>
      <c r="C188" s="7">
        <v>1</v>
      </c>
      <c r="D188" s="9">
        <v>5.8</v>
      </c>
      <c r="E188" s="5">
        <v>973.4</v>
      </c>
      <c r="F188" s="5">
        <v>984.6</v>
      </c>
      <c r="G188" s="6">
        <v>44284</v>
      </c>
      <c r="H188" s="5">
        <f t="shared" si="20"/>
        <v>11.200000000000045</v>
      </c>
      <c r="I188" s="8" t="b">
        <f t="shared" si="23"/>
        <v>0</v>
      </c>
    </row>
    <row r="189" spans="1:9">
      <c r="A189" s="5">
        <v>103</v>
      </c>
      <c r="B189" s="6">
        <v>44285</v>
      </c>
      <c r="C189" s="7">
        <v>1</v>
      </c>
      <c r="D189" s="9">
        <v>5.8</v>
      </c>
      <c r="E189" s="5">
        <v>984.6</v>
      </c>
      <c r="F189" s="5">
        <v>996.4</v>
      </c>
      <c r="G189" s="6">
        <v>44285</v>
      </c>
      <c r="H189" s="5">
        <f t="shared" si="20"/>
        <v>11.799999999999955</v>
      </c>
      <c r="I189" s="8" t="b">
        <f t="shared" si="23"/>
        <v>1</v>
      </c>
    </row>
    <row r="190" spans="1:9">
      <c r="A190" s="5">
        <v>103</v>
      </c>
      <c r="B190" s="6">
        <v>44288</v>
      </c>
      <c r="C190" s="7">
        <v>0.7</v>
      </c>
      <c r="D190" s="9">
        <v>8.2899999999999991</v>
      </c>
      <c r="E190" s="5">
        <v>996.4</v>
      </c>
      <c r="F190" s="5">
        <v>1008.5</v>
      </c>
      <c r="G190" s="6">
        <v>44288</v>
      </c>
      <c r="H190" s="5">
        <f t="shared" si="20"/>
        <v>12.100000000000023</v>
      </c>
      <c r="I190" s="8" t="b">
        <f t="shared" si="23"/>
        <v>1</v>
      </c>
    </row>
    <row r="191" spans="1:9">
      <c r="A191" s="5">
        <v>103</v>
      </c>
      <c r="B191" s="6">
        <v>44295</v>
      </c>
      <c r="C191" s="7">
        <v>0.7</v>
      </c>
      <c r="D191" s="9">
        <v>8.2899999999999991</v>
      </c>
      <c r="E191" s="5">
        <v>1008.5</v>
      </c>
      <c r="F191" s="5">
        <v>1025.5999999999999</v>
      </c>
      <c r="G191" s="6">
        <v>44295</v>
      </c>
      <c r="H191" s="5">
        <f t="shared" si="20"/>
        <v>17.099999999999909</v>
      </c>
      <c r="I191" s="8" t="b">
        <f t="shared" si="23"/>
        <v>1</v>
      </c>
    </row>
    <row r="192" spans="1:9">
      <c r="A192" s="5">
        <v>103</v>
      </c>
      <c r="B192" s="6">
        <v>44298</v>
      </c>
      <c r="C192" s="7">
        <v>0.7</v>
      </c>
      <c r="D192" s="9">
        <v>8.2899999999999991</v>
      </c>
      <c r="E192" s="5">
        <v>10256</v>
      </c>
      <c r="F192" s="5">
        <v>1042.3</v>
      </c>
      <c r="G192" s="6">
        <v>44298</v>
      </c>
      <c r="H192" s="5">
        <f t="shared" si="20"/>
        <v>-9213.7000000000007</v>
      </c>
      <c r="I192" s="8" t="b">
        <f t="shared" si="23"/>
        <v>1</v>
      </c>
    </row>
    <row r="193" spans="1:9">
      <c r="A193" s="5">
        <v>103</v>
      </c>
      <c r="B193" s="6">
        <v>44301</v>
      </c>
      <c r="C193" s="7">
        <v>1</v>
      </c>
      <c r="D193" s="9">
        <v>5.8</v>
      </c>
      <c r="E193" s="5">
        <v>1042.3</v>
      </c>
      <c r="F193" s="5">
        <v>1054.3</v>
      </c>
      <c r="G193" s="6">
        <v>44301</v>
      </c>
      <c r="H193" s="5">
        <f>F193-E193</f>
        <v>12</v>
      </c>
      <c r="I193" s="8" t="b">
        <f t="shared" si="23"/>
        <v>1</v>
      </c>
    </row>
    <row r="194" spans="1:9">
      <c r="A194" s="5">
        <v>103</v>
      </c>
      <c r="B194" s="6">
        <v>44304</v>
      </c>
      <c r="C194" s="7">
        <v>0.7</v>
      </c>
      <c r="D194" s="9">
        <v>8.2899999999999991</v>
      </c>
      <c r="E194" s="5">
        <v>1054.3</v>
      </c>
      <c r="F194" s="5">
        <v>1070.8</v>
      </c>
      <c r="G194" s="6">
        <v>44304</v>
      </c>
      <c r="H194" s="5">
        <f>F194-E194</f>
        <v>16.5</v>
      </c>
      <c r="I194" s="8" t="b">
        <f t="shared" si="23"/>
        <v>1</v>
      </c>
    </row>
    <row r="195" spans="1:9">
      <c r="A195" s="5">
        <v>103</v>
      </c>
      <c r="B195" s="6">
        <v>44312</v>
      </c>
      <c r="C195" s="7">
        <v>0.7</v>
      </c>
      <c r="D195" s="9">
        <v>8.2899999999999991</v>
      </c>
      <c r="E195" s="5">
        <v>0</v>
      </c>
      <c r="F195" s="5">
        <v>15.3</v>
      </c>
      <c r="G195" s="6">
        <v>44312</v>
      </c>
      <c r="H195" s="5">
        <f>F195-E195</f>
        <v>15.3</v>
      </c>
      <c r="I195" s="8" t="b">
        <f t="shared" si="23"/>
        <v>1</v>
      </c>
    </row>
    <row r="196" spans="1:9">
      <c r="A196" s="5">
        <v>103</v>
      </c>
      <c r="B196" s="6">
        <v>44321</v>
      </c>
      <c r="C196" s="7">
        <v>0.7</v>
      </c>
      <c r="D196" s="9">
        <v>8.2899999999999991</v>
      </c>
      <c r="E196" s="5">
        <v>32.1</v>
      </c>
      <c r="F196" s="5">
        <v>48.6</v>
      </c>
      <c r="G196" s="6">
        <v>44321</v>
      </c>
      <c r="H196" s="5">
        <f>F196-E196</f>
        <v>16.5</v>
      </c>
      <c r="I196" s="8" t="b">
        <f t="shared" si="23"/>
        <v>1</v>
      </c>
    </row>
    <row r="197" spans="1:9">
      <c r="A197" s="5">
        <v>103</v>
      </c>
      <c r="B197" s="6">
        <v>44324</v>
      </c>
      <c r="C197" s="7">
        <v>0.7</v>
      </c>
      <c r="D197" s="9">
        <v>8.2899999999999991</v>
      </c>
      <c r="E197" s="5">
        <v>48.6</v>
      </c>
      <c r="F197" s="5">
        <v>66.2</v>
      </c>
      <c r="G197" s="6">
        <v>44324</v>
      </c>
      <c r="H197" s="5">
        <f>F197-E197</f>
        <v>17.600000000000001</v>
      </c>
      <c r="I197" s="8" t="b">
        <f t="shared" si="23"/>
        <v>1</v>
      </c>
    </row>
    <row r="198" spans="1:9">
      <c r="A198" s="5">
        <v>103</v>
      </c>
      <c r="B198" s="6">
        <v>44328</v>
      </c>
      <c r="C198" s="7">
        <v>0.7</v>
      </c>
      <c r="D198" s="9">
        <v>8.2899999999999991</v>
      </c>
      <c r="E198" s="5">
        <v>65.2</v>
      </c>
      <c r="F198" s="5">
        <v>81.900000000000006</v>
      </c>
      <c r="G198" s="6">
        <v>44328</v>
      </c>
      <c r="H198" s="5">
        <f t="shared" ref="H198:H207" si="24">F198-E198</f>
        <v>16.700000000000003</v>
      </c>
      <c r="I198" s="8" t="b">
        <f t="shared" ref="I198:I207" si="25">F207=E208</f>
        <v>1</v>
      </c>
    </row>
    <row r="199" spans="1:9">
      <c r="A199" s="5">
        <v>103</v>
      </c>
      <c r="B199" s="6">
        <v>103</v>
      </c>
      <c r="C199" s="7">
        <v>0.5</v>
      </c>
      <c r="D199" s="9">
        <v>11.6</v>
      </c>
      <c r="E199" s="5">
        <v>81.900000000000006</v>
      </c>
      <c r="F199" s="5">
        <v>93.9</v>
      </c>
      <c r="G199" s="6">
        <v>44332</v>
      </c>
      <c r="H199" s="5">
        <f t="shared" si="24"/>
        <v>12</v>
      </c>
      <c r="I199" s="8" t="b">
        <f t="shared" si="25"/>
        <v>1</v>
      </c>
    </row>
    <row r="200" spans="1:9">
      <c r="A200" s="5">
        <v>103</v>
      </c>
      <c r="B200" s="6">
        <v>44333</v>
      </c>
      <c r="C200" s="7">
        <v>0.5</v>
      </c>
      <c r="D200" s="9">
        <v>11.6</v>
      </c>
      <c r="E200" s="5">
        <v>93.9</v>
      </c>
      <c r="F200" s="5">
        <v>105.1</v>
      </c>
      <c r="G200" s="6">
        <v>44333</v>
      </c>
      <c r="H200" s="5">
        <f t="shared" si="24"/>
        <v>11.199999999999989</v>
      </c>
      <c r="I200" s="8" t="b">
        <f t="shared" si="25"/>
        <v>1</v>
      </c>
    </row>
    <row r="201" spans="1:9">
      <c r="A201" s="5">
        <v>103</v>
      </c>
      <c r="B201" s="6">
        <v>44338</v>
      </c>
      <c r="C201" s="7">
        <v>0.5</v>
      </c>
      <c r="D201" s="9">
        <v>11.6</v>
      </c>
      <c r="E201" s="5">
        <v>105.1</v>
      </c>
      <c r="F201" s="5">
        <v>117.1</v>
      </c>
      <c r="G201" s="6">
        <v>44338</v>
      </c>
      <c r="H201" s="5">
        <f t="shared" si="24"/>
        <v>12</v>
      </c>
      <c r="I201" s="8" t="b">
        <f t="shared" si="25"/>
        <v>1</v>
      </c>
    </row>
    <row r="202" spans="1:9">
      <c r="A202" s="5">
        <v>103</v>
      </c>
      <c r="B202" s="6">
        <v>44339</v>
      </c>
      <c r="C202" s="7">
        <v>0.5</v>
      </c>
      <c r="D202" s="9">
        <v>11.6</v>
      </c>
      <c r="E202" s="5">
        <v>117.1</v>
      </c>
      <c r="F202" s="5">
        <v>128.30000000000001</v>
      </c>
      <c r="G202" s="6">
        <v>44339</v>
      </c>
      <c r="H202" s="5">
        <f t="shared" si="24"/>
        <v>11.200000000000017</v>
      </c>
      <c r="I202" s="8" t="b">
        <f t="shared" si="25"/>
        <v>1</v>
      </c>
    </row>
    <row r="203" spans="1:9">
      <c r="A203" s="5">
        <v>103</v>
      </c>
      <c r="B203" s="6">
        <v>44375</v>
      </c>
      <c r="C203" s="7">
        <v>0.6</v>
      </c>
      <c r="D203" s="9">
        <v>9.67</v>
      </c>
      <c r="E203" s="5">
        <v>128.30000000000001</v>
      </c>
      <c r="F203" s="5">
        <v>147.69999999999999</v>
      </c>
      <c r="G203" s="6">
        <v>44344</v>
      </c>
      <c r="H203" s="5">
        <f t="shared" si="24"/>
        <v>19.399999999999977</v>
      </c>
      <c r="I203" s="8" t="b">
        <f t="shared" si="25"/>
        <v>1</v>
      </c>
    </row>
    <row r="204" spans="1:9">
      <c r="A204" s="5">
        <v>103</v>
      </c>
      <c r="B204" s="6">
        <v>44347</v>
      </c>
      <c r="C204" s="7">
        <v>0.5</v>
      </c>
      <c r="D204" s="9">
        <v>11.6</v>
      </c>
      <c r="E204" s="5">
        <v>147.69999999999999</v>
      </c>
      <c r="F204" s="5">
        <v>159.6</v>
      </c>
      <c r="G204" s="6">
        <v>44347</v>
      </c>
      <c r="H204" s="5">
        <f t="shared" si="24"/>
        <v>11.900000000000006</v>
      </c>
      <c r="I204" s="8" t="b">
        <f t="shared" si="25"/>
        <v>1</v>
      </c>
    </row>
    <row r="205" spans="1:9">
      <c r="A205" s="5">
        <v>103</v>
      </c>
      <c r="B205" s="6">
        <v>44348</v>
      </c>
      <c r="C205" s="7">
        <v>0.5</v>
      </c>
      <c r="D205" s="9">
        <v>11.6</v>
      </c>
      <c r="E205" s="5">
        <v>159.6</v>
      </c>
      <c r="F205" s="5">
        <v>170.8</v>
      </c>
      <c r="G205" s="6">
        <v>44348</v>
      </c>
      <c r="H205" s="5">
        <f t="shared" si="24"/>
        <v>11.200000000000017</v>
      </c>
      <c r="I205" s="8" t="b">
        <f t="shared" si="25"/>
        <v>1</v>
      </c>
    </row>
    <row r="206" spans="1:9">
      <c r="A206" s="5">
        <v>103</v>
      </c>
      <c r="B206" s="6">
        <v>44353</v>
      </c>
      <c r="C206" s="7">
        <v>0.5</v>
      </c>
      <c r="D206" s="9">
        <v>11.6</v>
      </c>
      <c r="E206" s="5">
        <v>170.8</v>
      </c>
      <c r="F206" s="5">
        <v>182.2</v>
      </c>
      <c r="G206" s="6">
        <v>44353</v>
      </c>
      <c r="H206" s="5">
        <f t="shared" si="24"/>
        <v>11.399999999999977</v>
      </c>
      <c r="I206" s="8" t="b">
        <f t="shared" si="25"/>
        <v>1</v>
      </c>
    </row>
    <row r="207" spans="1:9">
      <c r="A207" s="5">
        <v>103</v>
      </c>
      <c r="B207" s="6">
        <v>44354</v>
      </c>
      <c r="C207" s="7">
        <v>0.5</v>
      </c>
      <c r="D207" s="9">
        <v>11.6</v>
      </c>
      <c r="E207" s="5">
        <v>182.2</v>
      </c>
      <c r="F207" s="5">
        <v>194.1</v>
      </c>
      <c r="G207" s="6">
        <v>44354</v>
      </c>
      <c r="H207" s="5">
        <f t="shared" si="24"/>
        <v>11.900000000000006</v>
      </c>
      <c r="I207" s="8" t="b">
        <f t="shared" si="25"/>
        <v>1</v>
      </c>
    </row>
    <row r="208" spans="1:9">
      <c r="A208" s="5">
        <v>103</v>
      </c>
      <c r="B208" s="6">
        <v>44359</v>
      </c>
      <c r="C208" s="7">
        <v>0.5</v>
      </c>
      <c r="D208" s="9">
        <v>11.6</v>
      </c>
      <c r="E208" s="5">
        <v>194.1</v>
      </c>
      <c r="F208" s="5">
        <v>205.4</v>
      </c>
      <c r="G208" s="6">
        <v>44359</v>
      </c>
      <c r="H208" s="5">
        <f t="shared" ref="H208:H221" si="26">F208-E208</f>
        <v>11.300000000000011</v>
      </c>
      <c r="I208" s="8" t="b">
        <f t="shared" ref="I208:I221" si="27">F217=E218</f>
        <v>1</v>
      </c>
    </row>
    <row r="209" spans="1:9">
      <c r="A209" s="5">
        <v>103</v>
      </c>
      <c r="B209" s="6">
        <v>44360</v>
      </c>
      <c r="C209" s="7">
        <v>0.5</v>
      </c>
      <c r="D209" s="9">
        <v>11.6</v>
      </c>
      <c r="E209" s="5">
        <v>205.4</v>
      </c>
      <c r="F209" s="5">
        <v>217.3</v>
      </c>
      <c r="G209" s="6">
        <v>44360</v>
      </c>
      <c r="H209" s="5">
        <f t="shared" si="26"/>
        <v>11.900000000000006</v>
      </c>
      <c r="I209" s="8" t="b">
        <f t="shared" si="27"/>
        <v>1</v>
      </c>
    </row>
    <row r="210" spans="1:9">
      <c r="A210" s="5">
        <v>103</v>
      </c>
      <c r="B210" s="6">
        <v>44365</v>
      </c>
      <c r="C210" s="7">
        <v>0.5</v>
      </c>
      <c r="D210" s="9">
        <v>11.6</v>
      </c>
      <c r="E210" s="5">
        <v>217.3</v>
      </c>
      <c r="F210" s="5">
        <v>228.8</v>
      </c>
      <c r="G210" s="6">
        <v>44365</v>
      </c>
      <c r="H210" s="5">
        <f t="shared" si="26"/>
        <v>11.5</v>
      </c>
      <c r="I210" s="8" t="b">
        <f t="shared" si="27"/>
        <v>0</v>
      </c>
    </row>
    <row r="211" spans="1:9">
      <c r="A211" s="5">
        <v>103</v>
      </c>
      <c r="B211" s="6">
        <v>44366</v>
      </c>
      <c r="C211" s="7">
        <v>0.5</v>
      </c>
      <c r="D211" s="9">
        <v>11.6</v>
      </c>
      <c r="E211" s="5">
        <v>228.8</v>
      </c>
      <c r="F211" s="5">
        <v>240.2</v>
      </c>
      <c r="G211" s="6">
        <v>44366</v>
      </c>
      <c r="H211" s="5">
        <f t="shared" si="26"/>
        <v>11.399999999999977</v>
      </c>
      <c r="I211" s="8" t="b">
        <f t="shared" si="27"/>
        <v>1</v>
      </c>
    </row>
    <row r="212" spans="1:9">
      <c r="A212" s="5">
        <v>103</v>
      </c>
      <c r="B212" s="6">
        <v>44370</v>
      </c>
      <c r="C212" s="7">
        <v>0.5</v>
      </c>
      <c r="D212" s="9">
        <v>11.6</v>
      </c>
      <c r="E212" s="5">
        <v>240.2</v>
      </c>
      <c r="F212" s="5">
        <v>252</v>
      </c>
      <c r="G212" s="6">
        <v>44370</v>
      </c>
      <c r="H212" s="5">
        <f t="shared" si="26"/>
        <v>11.800000000000011</v>
      </c>
      <c r="I212" s="8" t="b">
        <f t="shared" si="27"/>
        <v>1</v>
      </c>
    </row>
    <row r="213" spans="1:9">
      <c r="A213" s="5">
        <v>103</v>
      </c>
      <c r="B213" s="6">
        <v>44371</v>
      </c>
      <c r="C213" s="7">
        <v>0.5</v>
      </c>
      <c r="D213" s="9">
        <v>11.6</v>
      </c>
      <c r="E213" s="5">
        <v>252</v>
      </c>
      <c r="F213" s="5">
        <v>264</v>
      </c>
      <c r="G213" s="6">
        <v>44371</v>
      </c>
      <c r="H213" s="5">
        <f t="shared" si="26"/>
        <v>12</v>
      </c>
      <c r="I213" s="8" t="b">
        <f t="shared" si="27"/>
        <v>1</v>
      </c>
    </row>
    <row r="214" spans="1:9">
      <c r="A214" s="5">
        <v>103</v>
      </c>
      <c r="B214" s="6">
        <v>44375</v>
      </c>
      <c r="C214" s="7">
        <v>0.5</v>
      </c>
      <c r="D214" s="9">
        <v>11.6</v>
      </c>
      <c r="E214" s="5">
        <v>264</v>
      </c>
      <c r="F214" s="5">
        <v>275.3</v>
      </c>
      <c r="G214" s="6">
        <v>44375</v>
      </c>
      <c r="H214" s="5">
        <f t="shared" si="26"/>
        <v>11.300000000000011</v>
      </c>
      <c r="I214" s="8" t="b">
        <f t="shared" si="27"/>
        <v>1</v>
      </c>
    </row>
    <row r="215" spans="1:9">
      <c r="A215" s="5">
        <v>103</v>
      </c>
      <c r="B215" s="6">
        <v>44376</v>
      </c>
      <c r="C215" s="7">
        <v>0.5</v>
      </c>
      <c r="D215" s="9">
        <v>11.6</v>
      </c>
      <c r="E215" s="5">
        <v>275.3</v>
      </c>
      <c r="F215" s="5">
        <v>287.3</v>
      </c>
      <c r="G215" s="6">
        <v>44376</v>
      </c>
      <c r="H215" s="5">
        <f t="shared" si="26"/>
        <v>12</v>
      </c>
      <c r="I215" s="8" t="b">
        <f t="shared" si="27"/>
        <v>1</v>
      </c>
    </row>
    <row r="216" spans="1:9">
      <c r="A216" s="5">
        <v>103</v>
      </c>
      <c r="B216" s="6">
        <v>44380</v>
      </c>
      <c r="C216" s="7">
        <v>0.5</v>
      </c>
      <c r="D216" s="9">
        <v>11.6</v>
      </c>
      <c r="E216" s="5">
        <v>287.3</v>
      </c>
      <c r="F216" s="5">
        <v>298.7</v>
      </c>
      <c r="G216" s="6">
        <v>44380</v>
      </c>
      <c r="H216" s="5">
        <f t="shared" si="26"/>
        <v>11.399999999999977</v>
      </c>
      <c r="I216" s="8" t="b">
        <f t="shared" si="27"/>
        <v>1</v>
      </c>
    </row>
    <row r="217" spans="1:9">
      <c r="A217" s="5">
        <v>103</v>
      </c>
      <c r="B217" s="6">
        <v>44381</v>
      </c>
      <c r="C217" s="7">
        <v>0.5</v>
      </c>
      <c r="D217" s="9">
        <v>11.6</v>
      </c>
      <c r="E217" s="5">
        <v>298.7</v>
      </c>
      <c r="F217" s="5">
        <v>310.60000000000002</v>
      </c>
      <c r="G217" s="6">
        <v>44381</v>
      </c>
      <c r="H217" s="5">
        <f t="shared" si="26"/>
        <v>11.900000000000034</v>
      </c>
      <c r="I217" s="8" t="b">
        <f t="shared" si="27"/>
        <v>1</v>
      </c>
    </row>
    <row r="218" spans="1:9">
      <c r="A218" s="5">
        <v>103</v>
      </c>
      <c r="B218" s="6">
        <v>44383</v>
      </c>
      <c r="C218" s="7">
        <v>0.5</v>
      </c>
      <c r="D218" s="9">
        <v>11.6</v>
      </c>
      <c r="E218" s="5">
        <v>310.60000000000002</v>
      </c>
      <c r="F218" s="5">
        <v>322.10000000000002</v>
      </c>
      <c r="G218" s="6">
        <v>44383</v>
      </c>
      <c r="H218" s="5">
        <f t="shared" si="26"/>
        <v>11.5</v>
      </c>
      <c r="I218" s="8" t="b">
        <f t="shared" si="27"/>
        <v>1</v>
      </c>
    </row>
    <row r="219" spans="1:9">
      <c r="A219" s="5">
        <v>103</v>
      </c>
      <c r="B219" s="6">
        <v>44384</v>
      </c>
      <c r="C219" s="7">
        <v>0.5</v>
      </c>
      <c r="D219" s="9">
        <v>11.6</v>
      </c>
      <c r="E219" s="5">
        <v>322.10000000000002</v>
      </c>
      <c r="F219" s="5">
        <v>333.7</v>
      </c>
      <c r="G219" s="6">
        <v>44384</v>
      </c>
      <c r="H219" s="5">
        <f t="shared" si="26"/>
        <v>11.599999999999966</v>
      </c>
      <c r="I219" s="8" t="b">
        <f t="shared" si="27"/>
        <v>0</v>
      </c>
    </row>
    <row r="220" spans="1:9">
      <c r="A220" s="5">
        <v>103</v>
      </c>
      <c r="B220" s="6"/>
      <c r="C220" s="7"/>
      <c r="D220" s="9"/>
      <c r="E220" s="5"/>
      <c r="F220" s="5"/>
      <c r="G220" s="6"/>
      <c r="H220" s="5">
        <f t="shared" si="26"/>
        <v>0</v>
      </c>
      <c r="I220" s="8" t="b">
        <f t="shared" si="27"/>
        <v>0</v>
      </c>
    </row>
    <row r="221" spans="1:9">
      <c r="A221" s="5">
        <v>103</v>
      </c>
      <c r="B221" s="6"/>
      <c r="C221" s="7"/>
      <c r="D221" s="9"/>
      <c r="E221" s="5"/>
      <c r="F221" s="5"/>
      <c r="G221" s="6"/>
      <c r="H221" s="5">
        <f t="shared" si="26"/>
        <v>0</v>
      </c>
      <c r="I221" s="8" t="b">
        <f t="shared" si="27"/>
        <v>1</v>
      </c>
    </row>
    <row r="223" spans="1:9" ht="26.25">
      <c r="A223" s="176" t="s">
        <v>49</v>
      </c>
      <c r="B223" s="177"/>
      <c r="C223" s="177"/>
      <c r="D223" s="177"/>
      <c r="E223" s="177"/>
      <c r="F223" s="177"/>
      <c r="G223" s="177"/>
      <c r="H223" s="177"/>
      <c r="I223" s="178"/>
    </row>
    <row r="224" spans="1:9" ht="26.25">
      <c r="A224" s="176" t="s">
        <v>15</v>
      </c>
      <c r="B224" s="177"/>
      <c r="C224" s="177"/>
      <c r="D224" s="177"/>
      <c r="E224" s="177"/>
      <c r="F224" s="177"/>
      <c r="G224" s="177"/>
      <c r="H224" s="177"/>
      <c r="I224" s="178"/>
    </row>
    <row r="225" spans="1:9" ht="15.75" thickBot="1"/>
    <row r="226" spans="1:9" ht="15.75" thickBot="1">
      <c r="A226" s="132" t="s">
        <v>2</v>
      </c>
      <c r="B226" s="133"/>
      <c r="C226" s="133"/>
      <c r="D226" s="133"/>
      <c r="E226" s="133"/>
      <c r="F226" s="133"/>
      <c r="G226" s="133"/>
      <c r="H226" s="133"/>
      <c r="I226" s="134"/>
    </row>
    <row r="228" spans="1:9" ht="19.5" thickBot="1">
      <c r="A228" s="1" t="s">
        <v>3</v>
      </c>
      <c r="B228" s="1"/>
      <c r="C228" s="1"/>
      <c r="D228" s="1"/>
      <c r="E228" s="1"/>
      <c r="F228" s="1"/>
      <c r="G228" s="1"/>
    </row>
    <row r="229" spans="1:9" ht="30.75" thickBot="1">
      <c r="A229" s="2" t="s">
        <v>4</v>
      </c>
      <c r="B229" s="3" t="s">
        <v>5</v>
      </c>
      <c r="C229" s="3" t="s">
        <v>6</v>
      </c>
      <c r="D229" s="3" t="s">
        <v>7</v>
      </c>
      <c r="E229" s="3" t="s">
        <v>8</v>
      </c>
      <c r="F229" s="3" t="s">
        <v>9</v>
      </c>
      <c r="G229" s="3" t="s">
        <v>10</v>
      </c>
      <c r="H229" s="4" t="s">
        <v>11</v>
      </c>
      <c r="I229" s="4" t="s">
        <v>12</v>
      </c>
    </row>
    <row r="230" spans="1:9">
      <c r="A230" s="5">
        <v>103</v>
      </c>
      <c r="B230" s="6">
        <v>44477</v>
      </c>
      <c r="C230" s="7">
        <v>0.4</v>
      </c>
      <c r="D230" s="9">
        <v>14.5</v>
      </c>
      <c r="E230" s="5">
        <v>333.7</v>
      </c>
      <c r="F230" s="5">
        <v>363.1</v>
      </c>
      <c r="G230" s="6">
        <v>44477</v>
      </c>
      <c r="H230" s="5">
        <f>F230-E230</f>
        <v>29.400000000000034</v>
      </c>
      <c r="I230" s="8" t="b">
        <f>E230=F219</f>
        <v>1</v>
      </c>
    </row>
    <row r="231" spans="1:9">
      <c r="A231" s="5">
        <v>103</v>
      </c>
      <c r="B231" s="6">
        <v>44478</v>
      </c>
      <c r="C231" s="7">
        <v>0.7</v>
      </c>
      <c r="D231" s="9">
        <v>8.2899999999999991</v>
      </c>
      <c r="E231" s="5">
        <v>363.1</v>
      </c>
      <c r="F231" s="5">
        <v>379.7</v>
      </c>
      <c r="G231" s="6">
        <v>44478</v>
      </c>
      <c r="H231" s="5">
        <f>F231-E231</f>
        <v>16.599999999999966</v>
      </c>
      <c r="I231" s="8" t="b">
        <f>E231=F230</f>
        <v>1</v>
      </c>
    </row>
    <row r="232" spans="1:9">
      <c r="A232" s="5">
        <v>103</v>
      </c>
      <c r="B232" s="6">
        <v>44533</v>
      </c>
      <c r="C232" s="7">
        <v>0.6</v>
      </c>
      <c r="D232" s="9">
        <v>9.67</v>
      </c>
      <c r="E232" s="5">
        <v>381.1</v>
      </c>
      <c r="F232" s="5">
        <v>391.3</v>
      </c>
      <c r="G232" s="6">
        <v>44533</v>
      </c>
      <c r="H232" s="5">
        <f>F232-E232</f>
        <v>10.199999999999989</v>
      </c>
      <c r="I232" s="8" t="b">
        <f t="shared" ref="I232:I272" si="28">E232=F231</f>
        <v>0</v>
      </c>
    </row>
    <row r="233" spans="1:9">
      <c r="A233" s="5">
        <v>103</v>
      </c>
      <c r="B233" s="6">
        <v>44581</v>
      </c>
      <c r="C233" s="7">
        <v>0.7</v>
      </c>
      <c r="D233" s="9">
        <v>8.2899999999999991</v>
      </c>
      <c r="E233" s="5">
        <v>258.10000000000002</v>
      </c>
      <c r="F233" s="5">
        <v>275.89999999999998</v>
      </c>
      <c r="G233" s="6">
        <v>44581</v>
      </c>
      <c r="H233" s="5">
        <f t="shared" ref="H233:H239" si="29">F233-E233</f>
        <v>17.799999999999955</v>
      </c>
      <c r="I233" s="8" t="b">
        <f t="shared" si="28"/>
        <v>0</v>
      </c>
    </row>
    <row r="234" spans="1:9">
      <c r="A234" s="5">
        <v>103</v>
      </c>
      <c r="B234" s="6">
        <v>44583</v>
      </c>
      <c r="C234" s="7">
        <v>0.7</v>
      </c>
      <c r="D234" s="9">
        <v>8.2899999999999991</v>
      </c>
      <c r="E234" s="5">
        <v>275.89999999999998</v>
      </c>
      <c r="F234" s="5">
        <v>292.8</v>
      </c>
      <c r="G234" s="6">
        <v>44583</v>
      </c>
      <c r="H234" s="5">
        <f t="shared" si="29"/>
        <v>16.900000000000034</v>
      </c>
      <c r="I234" s="8" t="b">
        <f t="shared" si="28"/>
        <v>1</v>
      </c>
    </row>
    <row r="235" spans="1:9">
      <c r="A235" s="25">
        <v>103</v>
      </c>
      <c r="B235" s="26">
        <v>44601</v>
      </c>
      <c r="C235" s="27">
        <v>1</v>
      </c>
      <c r="D235" s="34">
        <v>5.8</v>
      </c>
      <c r="E235" s="25">
        <v>292</v>
      </c>
      <c r="F235" s="25">
        <v>304.39999999999998</v>
      </c>
      <c r="G235" s="26">
        <v>44601</v>
      </c>
      <c r="H235" s="25">
        <f t="shared" si="29"/>
        <v>12.399999999999977</v>
      </c>
      <c r="I235" s="8" t="b">
        <f t="shared" si="28"/>
        <v>0</v>
      </c>
    </row>
    <row r="236" spans="1:9">
      <c r="A236" s="5">
        <v>103</v>
      </c>
      <c r="B236" s="6">
        <v>44618</v>
      </c>
      <c r="C236" s="7">
        <v>0.8</v>
      </c>
      <c r="D236" s="9">
        <v>7.25</v>
      </c>
      <c r="E236" s="5">
        <v>0</v>
      </c>
      <c r="F236" s="5">
        <v>14.3</v>
      </c>
      <c r="G236" s="6">
        <v>44619</v>
      </c>
      <c r="H236" s="5">
        <f t="shared" si="29"/>
        <v>14.3</v>
      </c>
      <c r="I236" s="8" t="b">
        <f t="shared" si="28"/>
        <v>0</v>
      </c>
    </row>
    <row r="237" spans="1:9">
      <c r="A237" s="5">
        <v>103</v>
      </c>
      <c r="B237" s="6">
        <v>44621</v>
      </c>
      <c r="C237" s="7">
        <v>0.8</v>
      </c>
      <c r="D237" s="9">
        <v>7.25</v>
      </c>
      <c r="E237" s="5">
        <v>14.3</v>
      </c>
      <c r="F237" s="5">
        <v>28.7</v>
      </c>
      <c r="G237" s="6">
        <v>44621</v>
      </c>
      <c r="H237" s="5">
        <f t="shared" si="29"/>
        <v>14.399999999999999</v>
      </c>
      <c r="I237" s="8" t="b">
        <f t="shared" si="28"/>
        <v>1</v>
      </c>
    </row>
    <row r="238" spans="1:9">
      <c r="A238" s="5">
        <v>103</v>
      </c>
      <c r="B238" s="6">
        <v>44624</v>
      </c>
      <c r="C238" s="7">
        <v>0.8</v>
      </c>
      <c r="D238" s="9">
        <v>7.5</v>
      </c>
      <c r="E238" s="5">
        <v>28.7</v>
      </c>
      <c r="F238" s="5">
        <v>44.4</v>
      </c>
      <c r="G238" s="6">
        <v>44623</v>
      </c>
      <c r="H238" s="5">
        <f t="shared" si="29"/>
        <v>15.7</v>
      </c>
      <c r="I238" s="8" t="b">
        <f t="shared" si="28"/>
        <v>1</v>
      </c>
    </row>
    <row r="239" spans="1:9">
      <c r="A239" s="5">
        <v>103</v>
      </c>
      <c r="B239" s="6">
        <v>44626</v>
      </c>
      <c r="C239" s="7">
        <v>0.8</v>
      </c>
      <c r="D239" s="9">
        <v>7.25</v>
      </c>
      <c r="E239" s="5">
        <v>44.4</v>
      </c>
      <c r="F239" s="5">
        <v>59.5</v>
      </c>
      <c r="G239" s="6">
        <v>44626</v>
      </c>
      <c r="H239" s="5">
        <f t="shared" si="29"/>
        <v>15.100000000000001</v>
      </c>
      <c r="I239" s="8" t="b">
        <f t="shared" si="28"/>
        <v>1</v>
      </c>
    </row>
    <row r="240" spans="1:9">
      <c r="A240" s="5">
        <v>103</v>
      </c>
      <c r="B240" s="6">
        <v>44629</v>
      </c>
      <c r="C240" s="7">
        <v>0.8</v>
      </c>
      <c r="D240" s="9">
        <v>7.25</v>
      </c>
      <c r="E240" s="5">
        <v>59.5</v>
      </c>
      <c r="F240" s="5">
        <v>73.8</v>
      </c>
      <c r="G240" s="6">
        <v>44629</v>
      </c>
      <c r="H240" s="5">
        <f t="shared" ref="H240:H245" si="30">F240-E240</f>
        <v>14.299999999999997</v>
      </c>
      <c r="I240" s="8" t="b">
        <f t="shared" si="28"/>
        <v>1</v>
      </c>
    </row>
    <row r="241" spans="1:9">
      <c r="A241" s="5">
        <v>103</v>
      </c>
      <c r="B241" s="6">
        <v>44638</v>
      </c>
      <c r="C241" s="7">
        <v>0.7</v>
      </c>
      <c r="D241" s="9">
        <v>8.2899999999999991</v>
      </c>
      <c r="E241" s="5">
        <v>101.8</v>
      </c>
      <c r="F241" s="5">
        <v>119.3</v>
      </c>
      <c r="G241" s="6">
        <v>44638</v>
      </c>
      <c r="H241" s="5">
        <f t="shared" si="30"/>
        <v>17.5</v>
      </c>
      <c r="I241" s="8" t="b">
        <f t="shared" si="28"/>
        <v>0</v>
      </c>
    </row>
    <row r="242" spans="1:9">
      <c r="A242" s="5">
        <v>103</v>
      </c>
      <c r="B242" s="6">
        <v>44642</v>
      </c>
      <c r="C242" s="7">
        <v>0.7</v>
      </c>
      <c r="D242" s="9">
        <v>8.2899999999999991</v>
      </c>
      <c r="E242" s="5">
        <v>119.3</v>
      </c>
      <c r="F242" s="5">
        <v>136</v>
      </c>
      <c r="G242" s="6">
        <v>44642</v>
      </c>
      <c r="H242" s="5">
        <f t="shared" si="30"/>
        <v>16.700000000000003</v>
      </c>
      <c r="I242" s="8" t="b">
        <f t="shared" si="28"/>
        <v>1</v>
      </c>
    </row>
    <row r="243" spans="1:9">
      <c r="A243" s="25">
        <v>103</v>
      </c>
      <c r="B243" s="26">
        <v>44643</v>
      </c>
      <c r="C243" s="27">
        <v>1</v>
      </c>
      <c r="D243" s="34">
        <v>5.8</v>
      </c>
      <c r="E243" s="25">
        <v>136</v>
      </c>
      <c r="F243" s="25">
        <v>147.69999999999999</v>
      </c>
      <c r="G243" s="26">
        <v>44643</v>
      </c>
      <c r="H243" s="25">
        <f t="shared" si="30"/>
        <v>11.699999999999989</v>
      </c>
      <c r="I243" s="8" t="b">
        <f t="shared" si="28"/>
        <v>1</v>
      </c>
    </row>
    <row r="244" spans="1:9">
      <c r="A244" s="5">
        <v>103</v>
      </c>
      <c r="B244" s="6">
        <v>44646</v>
      </c>
      <c r="C244" s="7">
        <v>0.7</v>
      </c>
      <c r="D244" s="9">
        <v>8.2899999999999991</v>
      </c>
      <c r="E244" s="5">
        <v>147.69999999999999</v>
      </c>
      <c r="F244" s="5">
        <v>164.2</v>
      </c>
      <c r="G244" s="6">
        <v>44646</v>
      </c>
      <c r="H244" s="5">
        <f t="shared" si="30"/>
        <v>16.5</v>
      </c>
      <c r="I244" s="8" t="b">
        <f t="shared" si="28"/>
        <v>1</v>
      </c>
    </row>
    <row r="245" spans="1:9">
      <c r="A245" s="5">
        <v>103</v>
      </c>
      <c r="B245" s="6">
        <v>44649</v>
      </c>
      <c r="C245" s="7">
        <v>0.7</v>
      </c>
      <c r="D245" s="9">
        <v>8.2899999999999991</v>
      </c>
      <c r="E245" s="5">
        <v>164.2</v>
      </c>
      <c r="F245" s="5">
        <v>179</v>
      </c>
      <c r="G245" s="6">
        <v>44649</v>
      </c>
      <c r="H245" s="5">
        <f t="shared" si="30"/>
        <v>14.800000000000011</v>
      </c>
      <c r="I245" s="8" t="b">
        <f t="shared" si="28"/>
        <v>1</v>
      </c>
    </row>
    <row r="246" spans="1:9">
      <c r="A246" s="39">
        <v>103</v>
      </c>
      <c r="B246" s="40"/>
      <c r="C246" s="41"/>
      <c r="D246" s="48"/>
      <c r="E246" s="39"/>
      <c r="F246" s="39"/>
      <c r="G246" s="40"/>
      <c r="H246" s="39">
        <f t="shared" ref="H246:H258" si="31">F246-E246</f>
        <v>0</v>
      </c>
      <c r="I246" s="8" t="b">
        <f t="shared" si="28"/>
        <v>0</v>
      </c>
    </row>
    <row r="247" spans="1:9">
      <c r="A247" s="39">
        <v>103</v>
      </c>
      <c r="B247" s="40"/>
      <c r="C247" s="41"/>
      <c r="D247" s="48"/>
      <c r="E247" s="39"/>
      <c r="F247" s="39"/>
      <c r="G247" s="40"/>
      <c r="H247" s="39">
        <f t="shared" si="31"/>
        <v>0</v>
      </c>
      <c r="I247" s="8" t="b">
        <f t="shared" si="28"/>
        <v>1</v>
      </c>
    </row>
    <row r="248" spans="1:9">
      <c r="A248" s="39">
        <v>103</v>
      </c>
      <c r="B248" s="40"/>
      <c r="C248" s="41"/>
      <c r="D248" s="48"/>
      <c r="E248" s="39"/>
      <c r="F248" s="39"/>
      <c r="G248" s="40"/>
      <c r="H248" s="39">
        <f t="shared" si="31"/>
        <v>0</v>
      </c>
      <c r="I248" s="8" t="b">
        <f t="shared" si="28"/>
        <v>1</v>
      </c>
    </row>
    <row r="249" spans="1:9">
      <c r="A249" s="39">
        <v>103</v>
      </c>
      <c r="B249" s="40"/>
      <c r="C249" s="41"/>
      <c r="D249" s="48"/>
      <c r="E249" s="39"/>
      <c r="F249" s="39"/>
      <c r="G249" s="40"/>
      <c r="H249" s="39">
        <f t="shared" si="31"/>
        <v>0</v>
      </c>
      <c r="I249" s="8" t="b">
        <f t="shared" si="28"/>
        <v>1</v>
      </c>
    </row>
    <row r="250" spans="1:9">
      <c r="A250" s="39">
        <v>103</v>
      </c>
      <c r="B250" s="40"/>
      <c r="C250" s="41"/>
      <c r="D250" s="48"/>
      <c r="E250" s="39"/>
      <c r="F250" s="39"/>
      <c r="G250" s="40"/>
      <c r="H250" s="39">
        <f>F250-E250</f>
        <v>0</v>
      </c>
      <c r="I250" s="8" t="b">
        <f t="shared" si="28"/>
        <v>1</v>
      </c>
    </row>
    <row r="251" spans="1:9">
      <c r="A251" s="5">
        <v>103</v>
      </c>
      <c r="B251" s="6">
        <v>44674</v>
      </c>
      <c r="C251" s="7">
        <v>0.55000000000000004</v>
      </c>
      <c r="D251" s="9">
        <v>10.55</v>
      </c>
      <c r="E251" s="5">
        <v>317</v>
      </c>
      <c r="F251" s="5">
        <v>328.3</v>
      </c>
      <c r="G251" s="6">
        <v>44674</v>
      </c>
      <c r="H251" s="5">
        <f t="shared" si="31"/>
        <v>11.300000000000011</v>
      </c>
      <c r="I251" s="8" t="b">
        <f t="shared" si="28"/>
        <v>0</v>
      </c>
    </row>
    <row r="252" spans="1:9">
      <c r="A252" s="5">
        <v>103</v>
      </c>
      <c r="B252" s="6">
        <v>44675</v>
      </c>
      <c r="C252" s="7">
        <v>0.55000000000000004</v>
      </c>
      <c r="D252" s="9">
        <v>10.55</v>
      </c>
      <c r="E252" s="5">
        <v>328.3</v>
      </c>
      <c r="F252" s="5">
        <v>338.5</v>
      </c>
      <c r="G252" s="6">
        <v>44675</v>
      </c>
      <c r="H252" s="5">
        <f t="shared" si="31"/>
        <v>10.199999999999989</v>
      </c>
      <c r="I252" s="8" t="b">
        <f t="shared" si="28"/>
        <v>1</v>
      </c>
    </row>
    <row r="253" spans="1:9">
      <c r="A253" s="5">
        <v>103</v>
      </c>
      <c r="B253" s="6">
        <v>44677</v>
      </c>
      <c r="C253" s="7">
        <v>0.55000000000000004</v>
      </c>
      <c r="D253" s="9">
        <v>10.55</v>
      </c>
      <c r="E253" s="5">
        <v>338.5</v>
      </c>
      <c r="F253" s="5">
        <v>349.2</v>
      </c>
      <c r="G253" s="6">
        <v>44677</v>
      </c>
      <c r="H253" s="5">
        <f t="shared" si="31"/>
        <v>10.699999999999989</v>
      </c>
      <c r="I253" s="8" t="b">
        <f t="shared" si="28"/>
        <v>1</v>
      </c>
    </row>
    <row r="254" spans="1:9">
      <c r="A254" s="5">
        <v>103</v>
      </c>
      <c r="B254" s="6">
        <v>44679</v>
      </c>
      <c r="C254" s="7">
        <v>0.55000000000000004</v>
      </c>
      <c r="D254" s="9">
        <v>10.55</v>
      </c>
      <c r="E254" s="5">
        <v>349.2</v>
      </c>
      <c r="F254" s="5">
        <v>359.7</v>
      </c>
      <c r="G254" s="6">
        <v>44679</v>
      </c>
      <c r="H254" s="5">
        <f t="shared" si="31"/>
        <v>10.5</v>
      </c>
      <c r="I254" s="8" t="b">
        <f t="shared" si="28"/>
        <v>1</v>
      </c>
    </row>
    <row r="255" spans="1:9">
      <c r="A255" s="5">
        <v>103</v>
      </c>
      <c r="B255" s="6">
        <v>44680</v>
      </c>
      <c r="C255" s="7">
        <v>0.55000000000000004</v>
      </c>
      <c r="D255" s="9">
        <v>10.55</v>
      </c>
      <c r="E255" s="5">
        <v>359.7</v>
      </c>
      <c r="F255" s="5">
        <v>370.1</v>
      </c>
      <c r="G255" s="6">
        <v>44680</v>
      </c>
      <c r="H255" s="5">
        <f t="shared" si="31"/>
        <v>10.400000000000034</v>
      </c>
      <c r="I255" s="8" t="b">
        <f t="shared" si="28"/>
        <v>1</v>
      </c>
    </row>
    <row r="256" spans="1:9">
      <c r="A256" s="5">
        <v>103</v>
      </c>
      <c r="B256" s="6">
        <v>44682</v>
      </c>
      <c r="C256" s="7">
        <v>0.55000000000000004</v>
      </c>
      <c r="D256" s="9">
        <v>10.55</v>
      </c>
      <c r="E256" s="5">
        <v>370.1</v>
      </c>
      <c r="F256" s="5">
        <v>380.8</v>
      </c>
      <c r="G256" s="6">
        <v>44682</v>
      </c>
      <c r="H256" s="5">
        <f t="shared" si="31"/>
        <v>10.699999999999989</v>
      </c>
      <c r="I256" s="8" t="b">
        <f t="shared" si="28"/>
        <v>1</v>
      </c>
    </row>
    <row r="257" spans="1:9">
      <c r="A257" s="5">
        <v>103</v>
      </c>
      <c r="B257" s="6">
        <v>44683</v>
      </c>
      <c r="C257" s="7">
        <v>0.55000000000000004</v>
      </c>
      <c r="D257" s="9">
        <v>10.55</v>
      </c>
      <c r="E257" s="5">
        <v>380.8</v>
      </c>
      <c r="F257" s="5">
        <v>391.2</v>
      </c>
      <c r="G257" s="6">
        <v>44683</v>
      </c>
      <c r="H257" s="5">
        <f t="shared" si="31"/>
        <v>10.399999999999977</v>
      </c>
      <c r="I257" s="8" t="b">
        <f t="shared" si="28"/>
        <v>1</v>
      </c>
    </row>
    <row r="258" spans="1:9">
      <c r="A258" s="5">
        <v>103</v>
      </c>
      <c r="B258" s="6">
        <v>44685</v>
      </c>
      <c r="C258" s="7">
        <v>0.55000000000000004</v>
      </c>
      <c r="D258" s="9">
        <v>10.55</v>
      </c>
      <c r="E258" s="5">
        <v>391.2</v>
      </c>
      <c r="F258" s="5">
        <v>401.6</v>
      </c>
      <c r="G258" s="6">
        <v>44685</v>
      </c>
      <c r="H258" s="5">
        <f t="shared" si="31"/>
        <v>10.400000000000034</v>
      </c>
      <c r="I258" s="8" t="b">
        <f>E258=F257</f>
        <v>1</v>
      </c>
    </row>
    <row r="259" spans="1:9">
      <c r="A259" s="5">
        <v>103</v>
      </c>
      <c r="B259" s="6">
        <v>44686</v>
      </c>
      <c r="C259" s="7">
        <v>0.55000000000000004</v>
      </c>
      <c r="D259" s="9">
        <v>10.55</v>
      </c>
      <c r="E259" s="5">
        <v>401.6</v>
      </c>
      <c r="F259" s="5">
        <v>412.1</v>
      </c>
      <c r="G259" s="6">
        <v>44686</v>
      </c>
      <c r="H259" s="5">
        <f t="shared" ref="H259:H265" si="32">F259-E259</f>
        <v>10.5</v>
      </c>
      <c r="I259" s="8" t="b">
        <f t="shared" si="28"/>
        <v>1</v>
      </c>
    </row>
    <row r="260" spans="1:9">
      <c r="A260" s="5">
        <v>103</v>
      </c>
      <c r="B260" s="6">
        <v>44688</v>
      </c>
      <c r="C260" s="7">
        <v>0.55000000000000004</v>
      </c>
      <c r="D260" s="9">
        <v>10.55</v>
      </c>
      <c r="E260" s="5">
        <v>412.1</v>
      </c>
      <c r="F260" s="5">
        <v>422.1</v>
      </c>
      <c r="G260" s="6">
        <v>44688</v>
      </c>
      <c r="H260" s="5">
        <f t="shared" si="32"/>
        <v>10</v>
      </c>
      <c r="I260" s="8" t="b">
        <f t="shared" si="28"/>
        <v>1</v>
      </c>
    </row>
    <row r="261" spans="1:9">
      <c r="A261" s="5">
        <v>103</v>
      </c>
      <c r="B261" s="6">
        <v>44690</v>
      </c>
      <c r="C261" s="7">
        <v>0.55000000000000004</v>
      </c>
      <c r="D261" s="9">
        <v>10.55</v>
      </c>
      <c r="E261" s="5">
        <v>422.1</v>
      </c>
      <c r="F261" s="5">
        <v>432.4</v>
      </c>
      <c r="G261" s="6">
        <v>44690</v>
      </c>
      <c r="H261" s="5">
        <f t="shared" si="32"/>
        <v>10.299999999999955</v>
      </c>
      <c r="I261" s="8" t="b">
        <f t="shared" si="28"/>
        <v>1</v>
      </c>
    </row>
    <row r="262" spans="1:9">
      <c r="A262" s="5">
        <v>103</v>
      </c>
      <c r="B262" s="6">
        <v>44692</v>
      </c>
      <c r="C262" s="7">
        <v>0.55000000000000004</v>
      </c>
      <c r="D262" s="9">
        <v>10.55</v>
      </c>
      <c r="E262" s="5">
        <v>432.4</v>
      </c>
      <c r="F262" s="5">
        <v>444.3</v>
      </c>
      <c r="G262" s="6">
        <v>44692</v>
      </c>
      <c r="H262" s="5">
        <f t="shared" si="32"/>
        <v>11.900000000000034</v>
      </c>
      <c r="I262" s="8" t="b">
        <f t="shared" si="28"/>
        <v>1</v>
      </c>
    </row>
    <row r="263" spans="1:9">
      <c r="A263" s="5">
        <v>103</v>
      </c>
      <c r="B263" s="6">
        <v>44695</v>
      </c>
      <c r="C263" s="7">
        <v>0.7</v>
      </c>
      <c r="D263" s="9">
        <v>8.2899999999999991</v>
      </c>
      <c r="E263" s="5">
        <v>444.3</v>
      </c>
      <c r="F263" s="5">
        <v>461.5</v>
      </c>
      <c r="G263" s="6">
        <v>44695</v>
      </c>
      <c r="H263" s="5">
        <f t="shared" si="32"/>
        <v>17.199999999999989</v>
      </c>
      <c r="I263" s="8" t="b">
        <f t="shared" si="28"/>
        <v>1</v>
      </c>
    </row>
    <row r="264" spans="1:9">
      <c r="A264" s="5">
        <v>103</v>
      </c>
      <c r="B264" s="6">
        <v>44697</v>
      </c>
      <c r="C264" s="7">
        <v>0.7</v>
      </c>
      <c r="D264" s="9">
        <v>8.2899999999999991</v>
      </c>
      <c r="E264" s="5">
        <v>0.1</v>
      </c>
      <c r="F264" s="5">
        <v>16.399999999999999</v>
      </c>
      <c r="G264" s="6">
        <v>44697</v>
      </c>
      <c r="H264" s="5">
        <f t="shared" si="32"/>
        <v>16.299999999999997</v>
      </c>
      <c r="I264" s="8" t="b">
        <f t="shared" si="28"/>
        <v>0</v>
      </c>
    </row>
    <row r="265" spans="1:9">
      <c r="A265" s="5">
        <v>103</v>
      </c>
      <c r="B265" s="6">
        <v>44699</v>
      </c>
      <c r="C265" s="7">
        <v>0.7</v>
      </c>
      <c r="D265" s="9">
        <v>8.2899999999999991</v>
      </c>
      <c r="E265" s="5">
        <v>16.399999999999999</v>
      </c>
      <c r="F265" s="5">
        <v>32.9</v>
      </c>
      <c r="G265" s="6">
        <v>44699</v>
      </c>
      <c r="H265" s="5">
        <f t="shared" si="32"/>
        <v>16.5</v>
      </c>
      <c r="I265" s="8" t="b">
        <f t="shared" si="28"/>
        <v>1</v>
      </c>
    </row>
    <row r="266" spans="1:9">
      <c r="A266" s="5">
        <v>103</v>
      </c>
      <c r="B266" s="6">
        <v>44702</v>
      </c>
      <c r="C266" s="7">
        <v>0.7</v>
      </c>
      <c r="D266" s="9">
        <v>8.2899999999999991</v>
      </c>
      <c r="E266" s="5">
        <v>32.9</v>
      </c>
      <c r="F266" s="5">
        <v>49.3</v>
      </c>
      <c r="G266" s="6">
        <v>44702</v>
      </c>
      <c r="H266" s="5">
        <f t="shared" ref="H266:H272" si="33">F266-E266</f>
        <v>16.399999999999999</v>
      </c>
      <c r="I266" s="8" t="b">
        <f t="shared" si="28"/>
        <v>1</v>
      </c>
    </row>
    <row r="267" spans="1:9">
      <c r="A267" s="5">
        <v>103</v>
      </c>
      <c r="B267" s="6">
        <v>44705</v>
      </c>
      <c r="C267" s="7">
        <v>0.7</v>
      </c>
      <c r="D267" s="9">
        <v>8.2899999999999991</v>
      </c>
      <c r="E267" s="5">
        <v>49.3</v>
      </c>
      <c r="F267" s="5">
        <v>65.8</v>
      </c>
      <c r="G267" s="6">
        <v>44705</v>
      </c>
      <c r="H267" s="5">
        <f t="shared" si="33"/>
        <v>16.5</v>
      </c>
      <c r="I267" s="8" t="b">
        <f t="shared" si="28"/>
        <v>1</v>
      </c>
    </row>
    <row r="268" spans="1:9">
      <c r="A268" s="5">
        <v>103</v>
      </c>
      <c r="B268" s="6">
        <v>44707</v>
      </c>
      <c r="C268" s="7">
        <v>0.7</v>
      </c>
      <c r="D268" s="9">
        <v>8.2899999999999991</v>
      </c>
      <c r="E268" s="5">
        <v>65.8</v>
      </c>
      <c r="F268" s="5">
        <v>82.2</v>
      </c>
      <c r="G268" s="6">
        <v>44707</v>
      </c>
      <c r="H268" s="5">
        <f t="shared" si="33"/>
        <v>16.400000000000006</v>
      </c>
      <c r="I268" s="8" t="b">
        <f t="shared" si="28"/>
        <v>1</v>
      </c>
    </row>
    <row r="269" spans="1:9">
      <c r="A269" s="5">
        <v>103</v>
      </c>
      <c r="B269" s="6">
        <v>44709</v>
      </c>
      <c r="C269" s="7">
        <v>0.7</v>
      </c>
      <c r="D269" s="9">
        <v>8.2899999999999991</v>
      </c>
      <c r="E269" s="5">
        <v>82.2</v>
      </c>
      <c r="F269" s="5">
        <v>98.7</v>
      </c>
      <c r="G269" s="6">
        <v>44709</v>
      </c>
      <c r="H269" s="5">
        <f t="shared" si="33"/>
        <v>16.5</v>
      </c>
      <c r="I269" s="8" t="b">
        <f t="shared" si="28"/>
        <v>1</v>
      </c>
    </row>
    <row r="270" spans="1:9">
      <c r="A270" s="5">
        <v>103</v>
      </c>
      <c r="B270" s="6">
        <v>44711</v>
      </c>
      <c r="C270" s="7">
        <v>0.7</v>
      </c>
      <c r="D270" s="9">
        <v>8.2899999999999991</v>
      </c>
      <c r="E270" s="5">
        <v>98.7</v>
      </c>
      <c r="F270" s="5">
        <v>115.7</v>
      </c>
      <c r="G270" s="6">
        <v>44711</v>
      </c>
      <c r="H270" s="5">
        <f t="shared" si="33"/>
        <v>17</v>
      </c>
      <c r="I270" s="8" t="b">
        <f t="shared" si="28"/>
        <v>1</v>
      </c>
    </row>
    <row r="271" spans="1:9">
      <c r="A271" s="5">
        <v>103</v>
      </c>
      <c r="B271" s="6"/>
      <c r="C271" s="7"/>
      <c r="D271" s="9"/>
      <c r="E271" s="5"/>
      <c r="F271" s="5"/>
      <c r="G271" s="6"/>
      <c r="H271" s="5">
        <f t="shared" si="33"/>
        <v>0</v>
      </c>
      <c r="I271" s="8" t="b">
        <f t="shared" si="28"/>
        <v>0</v>
      </c>
    </row>
    <row r="272" spans="1:9">
      <c r="A272" s="5">
        <v>103</v>
      </c>
      <c r="B272" s="6"/>
      <c r="C272" s="7"/>
      <c r="D272" s="9"/>
      <c r="E272" s="5"/>
      <c r="F272" s="5"/>
      <c r="G272" s="6"/>
      <c r="H272" s="5">
        <f t="shared" si="33"/>
        <v>0</v>
      </c>
      <c r="I272" s="8" t="b">
        <f t="shared" si="28"/>
        <v>1</v>
      </c>
    </row>
    <row r="273" spans="1:9">
      <c r="A273" s="15"/>
      <c r="B273" s="12"/>
      <c r="C273" s="13"/>
      <c r="D273" s="14"/>
      <c r="E273" s="15"/>
      <c r="F273" s="15"/>
      <c r="G273" s="12"/>
      <c r="H273" s="15"/>
      <c r="I273" s="15"/>
    </row>
    <row r="275" spans="1:9" ht="26.25">
      <c r="A275" s="138" t="s">
        <v>49</v>
      </c>
      <c r="B275" s="159"/>
      <c r="C275" s="159"/>
      <c r="D275" s="159"/>
      <c r="E275" s="159"/>
      <c r="F275" s="159"/>
      <c r="G275" s="159"/>
      <c r="H275" s="159"/>
      <c r="I275" s="160"/>
    </row>
    <row r="276" spans="1:9" ht="26.25">
      <c r="A276" s="138" t="s">
        <v>16</v>
      </c>
      <c r="B276" s="159"/>
      <c r="C276" s="159"/>
      <c r="D276" s="159"/>
      <c r="E276" s="159"/>
      <c r="F276" s="159"/>
      <c r="G276" s="159"/>
      <c r="H276" s="159"/>
      <c r="I276" s="160"/>
    </row>
    <row r="277" spans="1:9" ht="15.75" thickBot="1"/>
    <row r="278" spans="1:9" ht="15.75" thickBot="1">
      <c r="A278" s="132" t="s">
        <v>2</v>
      </c>
      <c r="B278" s="133"/>
      <c r="C278" s="133"/>
      <c r="D278" s="133"/>
      <c r="E278" s="133"/>
      <c r="F278" s="133"/>
      <c r="G278" s="133"/>
      <c r="H278" s="133"/>
      <c r="I278" s="134"/>
    </row>
    <row r="280" spans="1:9" ht="19.5" thickBot="1">
      <c r="A280" s="1" t="s">
        <v>3</v>
      </c>
      <c r="B280" s="1"/>
      <c r="C280" s="1"/>
      <c r="D280" s="1"/>
      <c r="E280" s="1"/>
      <c r="F280" s="1"/>
      <c r="G280" s="1"/>
    </row>
    <row r="281" spans="1:9" ht="30.75" thickBot="1">
      <c r="A281" s="2" t="s">
        <v>4</v>
      </c>
      <c r="B281" s="3" t="s">
        <v>5</v>
      </c>
      <c r="C281" s="3" t="s">
        <v>6</v>
      </c>
      <c r="D281" s="3" t="s">
        <v>7</v>
      </c>
      <c r="E281" s="3" t="s">
        <v>8</v>
      </c>
      <c r="F281" s="3" t="s">
        <v>9</v>
      </c>
      <c r="G281" s="3" t="s">
        <v>10</v>
      </c>
      <c r="H281" s="4" t="s">
        <v>11</v>
      </c>
      <c r="I281" s="4" t="s">
        <v>12</v>
      </c>
    </row>
    <row r="282" spans="1:9">
      <c r="A282" s="5">
        <v>103</v>
      </c>
      <c r="B282" s="6">
        <v>44738</v>
      </c>
      <c r="C282" s="7">
        <v>0.5</v>
      </c>
      <c r="D282" s="9">
        <v>11.6</v>
      </c>
      <c r="E282" s="5">
        <v>113.8</v>
      </c>
      <c r="F282" s="5">
        <v>137.9</v>
      </c>
      <c r="G282" s="6">
        <v>44738</v>
      </c>
      <c r="H282" s="5">
        <f>F282-E282</f>
        <v>24.100000000000009</v>
      </c>
      <c r="I282" s="8" t="b">
        <f>F308=E309</f>
        <v>1</v>
      </c>
    </row>
    <row r="283" spans="1:9">
      <c r="A283" s="5">
        <v>103</v>
      </c>
      <c r="B283" s="6">
        <v>44740</v>
      </c>
      <c r="C283" s="7">
        <v>1</v>
      </c>
      <c r="D283" s="9">
        <v>5.8</v>
      </c>
      <c r="E283" s="5">
        <v>137.9</v>
      </c>
      <c r="F283" s="5">
        <v>143.9</v>
      </c>
      <c r="G283" s="6">
        <v>44740</v>
      </c>
      <c r="H283" s="5">
        <f>F283-E283</f>
        <v>6</v>
      </c>
      <c r="I283" s="8" t="b">
        <f>E283=F282</f>
        <v>1</v>
      </c>
    </row>
    <row r="284" spans="1:9">
      <c r="A284" s="5">
        <v>103</v>
      </c>
      <c r="B284" s="6">
        <v>44741</v>
      </c>
      <c r="C284" s="7">
        <v>1</v>
      </c>
      <c r="D284" s="9">
        <v>5.8</v>
      </c>
      <c r="E284" s="5">
        <v>144.9</v>
      </c>
      <c r="F284" s="5">
        <v>149.9</v>
      </c>
      <c r="G284" s="6">
        <v>44741</v>
      </c>
      <c r="H284" s="5">
        <f>F284-E284</f>
        <v>5</v>
      </c>
      <c r="I284" s="8" t="b">
        <f>E284=F283</f>
        <v>0</v>
      </c>
    </row>
    <row r="285" spans="1:9">
      <c r="A285" s="5">
        <v>103</v>
      </c>
      <c r="B285" s="6">
        <v>44742</v>
      </c>
      <c r="C285" s="7">
        <v>0.6</v>
      </c>
      <c r="D285" s="9">
        <v>9.67</v>
      </c>
      <c r="E285" s="5">
        <v>149.9</v>
      </c>
      <c r="F285" s="5">
        <v>162</v>
      </c>
      <c r="G285" s="6">
        <v>44742</v>
      </c>
      <c r="H285" s="5">
        <f t="shared" ref="H285:H350" si="34">F285-E285</f>
        <v>12.099999999999994</v>
      </c>
      <c r="I285" s="8" t="b">
        <f>E285=F284</f>
        <v>1</v>
      </c>
    </row>
    <row r="286" spans="1:9">
      <c r="A286" s="5">
        <v>103</v>
      </c>
      <c r="B286" s="6">
        <v>44747</v>
      </c>
      <c r="C286" s="7">
        <v>1</v>
      </c>
      <c r="D286" s="9">
        <v>5.8</v>
      </c>
      <c r="E286" s="5">
        <v>162</v>
      </c>
      <c r="F286" s="5">
        <v>168.5</v>
      </c>
      <c r="G286" s="6">
        <v>44747</v>
      </c>
      <c r="H286" s="5">
        <f t="shared" si="34"/>
        <v>6.5</v>
      </c>
      <c r="I286" s="8" t="b">
        <f t="shared" ref="I286:I301" si="35">E286=F285</f>
        <v>1</v>
      </c>
    </row>
    <row r="287" spans="1:9">
      <c r="A287" s="5">
        <v>103</v>
      </c>
      <c r="B287" s="6">
        <v>44748</v>
      </c>
      <c r="C287" s="7">
        <v>0.5</v>
      </c>
      <c r="D287" s="9">
        <v>11.6</v>
      </c>
      <c r="E287" s="5">
        <v>168.5</v>
      </c>
      <c r="F287" s="5">
        <v>182.3</v>
      </c>
      <c r="G287" s="6">
        <v>44748</v>
      </c>
      <c r="H287" s="5">
        <f t="shared" si="34"/>
        <v>13.800000000000011</v>
      </c>
      <c r="I287" s="8" t="b">
        <f t="shared" si="35"/>
        <v>1</v>
      </c>
    </row>
    <row r="288" spans="1:9">
      <c r="A288" s="5">
        <v>103</v>
      </c>
      <c r="B288" s="6">
        <v>44749</v>
      </c>
      <c r="C288" s="7">
        <v>0.5</v>
      </c>
      <c r="D288" s="9">
        <v>11.6</v>
      </c>
      <c r="E288" s="5">
        <v>182.3</v>
      </c>
      <c r="F288" s="5">
        <v>197.4</v>
      </c>
      <c r="G288" s="6">
        <v>44749</v>
      </c>
      <c r="H288" s="5">
        <f t="shared" si="34"/>
        <v>15.099999999999994</v>
      </c>
      <c r="I288" s="8" t="b">
        <f t="shared" si="35"/>
        <v>1</v>
      </c>
    </row>
    <row r="289" spans="1:9">
      <c r="A289" s="5">
        <v>103</v>
      </c>
      <c r="B289" s="6">
        <v>44750</v>
      </c>
      <c r="C289" s="7">
        <v>1</v>
      </c>
      <c r="D289" s="9">
        <v>5.8</v>
      </c>
      <c r="E289" s="5">
        <v>197.4</v>
      </c>
      <c r="F289" s="5">
        <v>209.3</v>
      </c>
      <c r="G289" s="6">
        <v>44750</v>
      </c>
      <c r="H289" s="5">
        <f t="shared" si="34"/>
        <v>11.900000000000006</v>
      </c>
      <c r="I289" s="8" t="b">
        <f t="shared" si="35"/>
        <v>1</v>
      </c>
    </row>
    <row r="290" spans="1:9">
      <c r="A290" s="5">
        <v>103</v>
      </c>
      <c r="B290" s="6">
        <v>44751</v>
      </c>
      <c r="C290" s="7">
        <v>1</v>
      </c>
      <c r="D290" s="9">
        <v>5.8</v>
      </c>
      <c r="E290" s="5">
        <v>209.3</v>
      </c>
      <c r="F290" s="5">
        <v>220.9</v>
      </c>
      <c r="G290" s="6">
        <v>44751</v>
      </c>
      <c r="H290" s="5">
        <f t="shared" si="34"/>
        <v>11.599999999999994</v>
      </c>
      <c r="I290" s="8" t="b">
        <f t="shared" si="35"/>
        <v>1</v>
      </c>
    </row>
    <row r="291" spans="1:9">
      <c r="A291" s="5">
        <v>103</v>
      </c>
      <c r="B291" s="6">
        <v>44752</v>
      </c>
      <c r="C291" s="7">
        <v>1</v>
      </c>
      <c r="D291" s="9">
        <v>5.8</v>
      </c>
      <c r="E291" s="5">
        <v>220.9</v>
      </c>
      <c r="F291" s="5">
        <v>232.1</v>
      </c>
      <c r="G291" s="6">
        <v>44752</v>
      </c>
      <c r="H291" s="5">
        <f t="shared" si="34"/>
        <v>11.199999999999989</v>
      </c>
      <c r="I291" s="8" t="b">
        <f t="shared" si="35"/>
        <v>1</v>
      </c>
    </row>
    <row r="292" spans="1:9">
      <c r="A292" s="5">
        <v>103</v>
      </c>
      <c r="B292" s="6">
        <v>44753</v>
      </c>
      <c r="C292" s="7">
        <v>1</v>
      </c>
      <c r="D292" s="9">
        <v>5.8</v>
      </c>
      <c r="E292" s="5">
        <v>232.1</v>
      </c>
      <c r="F292" s="5">
        <v>243.9</v>
      </c>
      <c r="G292" s="6">
        <v>44753</v>
      </c>
      <c r="H292" s="5">
        <f t="shared" si="34"/>
        <v>11.800000000000011</v>
      </c>
      <c r="I292" s="8" t="b">
        <f t="shared" si="35"/>
        <v>1</v>
      </c>
    </row>
    <row r="293" spans="1:9">
      <c r="A293" s="5">
        <v>103</v>
      </c>
      <c r="B293" s="6">
        <v>44754</v>
      </c>
      <c r="C293" s="7">
        <v>1</v>
      </c>
      <c r="D293" s="9">
        <v>5.8</v>
      </c>
      <c r="E293" s="5">
        <v>243.9</v>
      </c>
      <c r="F293" s="5">
        <v>256.89999999999998</v>
      </c>
      <c r="G293" s="6">
        <v>44754</v>
      </c>
      <c r="H293" s="5">
        <f t="shared" si="34"/>
        <v>12.999999999999972</v>
      </c>
      <c r="I293" s="8" t="b">
        <f t="shared" si="35"/>
        <v>1</v>
      </c>
    </row>
    <row r="294" spans="1:9">
      <c r="A294" s="5">
        <v>103</v>
      </c>
      <c r="B294" s="6">
        <v>44755</v>
      </c>
      <c r="C294" s="7">
        <v>1</v>
      </c>
      <c r="D294" s="9">
        <v>5.8</v>
      </c>
      <c r="E294" s="5">
        <v>256.89999999999998</v>
      </c>
      <c r="F294" s="5">
        <v>262.7</v>
      </c>
      <c r="G294" s="6">
        <v>44755</v>
      </c>
      <c r="H294" s="5">
        <f t="shared" si="34"/>
        <v>5.8000000000000114</v>
      </c>
      <c r="I294" s="8" t="b">
        <f t="shared" si="35"/>
        <v>1</v>
      </c>
    </row>
    <row r="295" spans="1:9">
      <c r="A295" s="5">
        <v>103</v>
      </c>
      <c r="B295" s="6">
        <v>44756</v>
      </c>
      <c r="C295" s="7">
        <v>1</v>
      </c>
      <c r="D295" s="9">
        <v>5.8</v>
      </c>
      <c r="E295" s="5">
        <v>262.7</v>
      </c>
      <c r="F295" s="5">
        <v>268.3</v>
      </c>
      <c r="G295" s="6">
        <v>44756</v>
      </c>
      <c r="H295" s="5">
        <f t="shared" si="34"/>
        <v>5.6000000000000227</v>
      </c>
      <c r="I295" s="8" t="b">
        <f t="shared" si="35"/>
        <v>1</v>
      </c>
    </row>
    <row r="296" spans="1:9">
      <c r="A296" s="5">
        <v>103</v>
      </c>
      <c r="B296" s="6">
        <v>44757</v>
      </c>
      <c r="C296" s="7">
        <v>1</v>
      </c>
      <c r="D296" s="9">
        <v>5.8</v>
      </c>
      <c r="E296" s="5">
        <v>268.3</v>
      </c>
      <c r="F296" s="5">
        <v>280</v>
      </c>
      <c r="G296" s="6">
        <v>44757</v>
      </c>
      <c r="H296" s="5">
        <f t="shared" si="34"/>
        <v>11.699999999999989</v>
      </c>
      <c r="I296" s="8" t="b">
        <f t="shared" si="35"/>
        <v>1</v>
      </c>
    </row>
    <row r="297" spans="1:9">
      <c r="A297" s="5">
        <v>103</v>
      </c>
      <c r="B297" s="6">
        <v>44758</v>
      </c>
      <c r="C297" s="7">
        <v>1</v>
      </c>
      <c r="D297" s="9">
        <v>5.8</v>
      </c>
      <c r="E297" s="5">
        <v>280</v>
      </c>
      <c r="F297" s="5">
        <v>292.3</v>
      </c>
      <c r="G297" s="6">
        <v>44758</v>
      </c>
      <c r="H297" s="5">
        <f t="shared" si="34"/>
        <v>12.300000000000011</v>
      </c>
      <c r="I297" s="8" t="b">
        <f t="shared" si="35"/>
        <v>1</v>
      </c>
    </row>
    <row r="298" spans="1:9">
      <c r="A298" s="5">
        <v>103</v>
      </c>
      <c r="B298" s="6">
        <v>44759</v>
      </c>
      <c r="C298" s="7">
        <v>1</v>
      </c>
      <c r="D298" s="9">
        <v>5.8</v>
      </c>
      <c r="E298" s="5">
        <v>292.3</v>
      </c>
      <c r="F298" s="5">
        <v>305.2</v>
      </c>
      <c r="G298" s="6">
        <v>44759</v>
      </c>
      <c r="H298" s="5">
        <f t="shared" si="34"/>
        <v>12.899999999999977</v>
      </c>
      <c r="I298" s="8" t="b">
        <f t="shared" si="35"/>
        <v>1</v>
      </c>
    </row>
    <row r="299" spans="1:9">
      <c r="A299" s="5">
        <v>103</v>
      </c>
      <c r="B299" s="6">
        <v>44760</v>
      </c>
      <c r="C299" s="7">
        <v>1</v>
      </c>
      <c r="D299" s="9">
        <v>5.8</v>
      </c>
      <c r="E299" s="5">
        <v>305.2</v>
      </c>
      <c r="F299" s="5">
        <v>316.8</v>
      </c>
      <c r="G299" s="6">
        <v>44760</v>
      </c>
      <c r="H299" s="5">
        <f t="shared" si="34"/>
        <v>11.600000000000023</v>
      </c>
      <c r="I299" s="8" t="b">
        <f t="shared" si="35"/>
        <v>1</v>
      </c>
    </row>
    <row r="300" spans="1:9">
      <c r="A300" s="5">
        <v>103</v>
      </c>
      <c r="B300" s="6">
        <v>44761</v>
      </c>
      <c r="C300" s="7">
        <v>1</v>
      </c>
      <c r="D300" s="9">
        <v>5.8</v>
      </c>
      <c r="E300" s="5">
        <v>316.8</v>
      </c>
      <c r="F300" s="5">
        <v>327.8</v>
      </c>
      <c r="G300" s="6">
        <v>44761</v>
      </c>
      <c r="H300" s="5">
        <f t="shared" si="34"/>
        <v>11</v>
      </c>
      <c r="I300" s="8" t="b">
        <f t="shared" si="35"/>
        <v>1</v>
      </c>
    </row>
    <row r="301" spans="1:9">
      <c r="A301" s="5">
        <v>103</v>
      </c>
      <c r="B301" s="6">
        <v>44762</v>
      </c>
      <c r="C301" s="7">
        <v>1</v>
      </c>
      <c r="D301" s="9">
        <v>5.8</v>
      </c>
      <c r="E301" s="5">
        <v>327.8</v>
      </c>
      <c r="F301" s="5">
        <v>339.4</v>
      </c>
      <c r="G301" s="6">
        <v>44762</v>
      </c>
      <c r="H301" s="5">
        <f t="shared" si="34"/>
        <v>11.599999999999966</v>
      </c>
      <c r="I301" s="8" t="b">
        <f t="shared" si="35"/>
        <v>1</v>
      </c>
    </row>
    <row r="302" spans="1:9">
      <c r="A302" s="5">
        <v>103</v>
      </c>
      <c r="B302" s="6">
        <v>44764</v>
      </c>
      <c r="C302" s="7">
        <v>1</v>
      </c>
      <c r="D302" s="9">
        <v>5.8</v>
      </c>
      <c r="E302" s="5">
        <v>339.4</v>
      </c>
      <c r="F302" s="5">
        <v>352.2</v>
      </c>
      <c r="G302" s="6">
        <v>44764</v>
      </c>
      <c r="H302" s="5">
        <f>F302-E302</f>
        <v>12.800000000000011</v>
      </c>
      <c r="I302" s="8" t="b">
        <f>E302=F301</f>
        <v>1</v>
      </c>
    </row>
    <row r="303" spans="1:9">
      <c r="A303" s="5">
        <v>103</v>
      </c>
      <c r="B303" s="6">
        <v>44766</v>
      </c>
      <c r="C303" s="7">
        <v>1</v>
      </c>
      <c r="D303" s="9">
        <v>5.8</v>
      </c>
      <c r="E303" s="5">
        <v>352.2</v>
      </c>
      <c r="F303" s="5">
        <v>363.7</v>
      </c>
      <c r="G303" s="6">
        <v>44766</v>
      </c>
      <c r="H303" s="5">
        <f>F303-E303</f>
        <v>11.5</v>
      </c>
      <c r="I303" s="8" t="b">
        <f>E303=F302</f>
        <v>1</v>
      </c>
    </row>
    <row r="304" spans="1:9">
      <c r="A304" s="5">
        <v>103</v>
      </c>
      <c r="B304" s="6">
        <v>44768</v>
      </c>
      <c r="C304" s="7">
        <v>1</v>
      </c>
      <c r="D304" s="9">
        <v>5.8</v>
      </c>
      <c r="E304" s="5">
        <v>363.7</v>
      </c>
      <c r="F304" s="5">
        <v>374.7</v>
      </c>
      <c r="G304" s="6">
        <v>44768</v>
      </c>
      <c r="H304" s="5">
        <f>F304-E304</f>
        <v>11</v>
      </c>
      <c r="I304" s="8" t="b">
        <f>E304=F303</f>
        <v>1</v>
      </c>
    </row>
    <row r="305" spans="1:9">
      <c r="A305" s="5">
        <v>103</v>
      </c>
      <c r="B305" s="6">
        <v>44769</v>
      </c>
      <c r="C305" s="7">
        <v>1</v>
      </c>
      <c r="D305" s="9">
        <v>5.8</v>
      </c>
      <c r="E305" s="5">
        <v>374.7</v>
      </c>
      <c r="F305" s="5">
        <v>386.7</v>
      </c>
      <c r="G305" s="6">
        <v>44769</v>
      </c>
      <c r="H305" s="5">
        <f>F305-E305</f>
        <v>12</v>
      </c>
      <c r="I305" s="8" t="b">
        <f>E305=F304</f>
        <v>1</v>
      </c>
    </row>
    <row r="306" spans="1:9">
      <c r="A306" s="5">
        <v>103</v>
      </c>
      <c r="B306" s="6">
        <v>44771</v>
      </c>
      <c r="C306" s="7">
        <v>1</v>
      </c>
      <c r="D306" s="9">
        <v>5.8</v>
      </c>
      <c r="E306" s="5">
        <v>386.1</v>
      </c>
      <c r="F306" s="5">
        <v>398.3</v>
      </c>
      <c r="G306" s="6">
        <v>44771</v>
      </c>
      <c r="H306" s="5">
        <f>F306-E306</f>
        <v>12.199999999999989</v>
      </c>
      <c r="I306" s="8" t="b">
        <f t="shared" ref="I306:I369" si="36">E306=F305</f>
        <v>0</v>
      </c>
    </row>
    <row r="307" spans="1:9">
      <c r="A307" s="5">
        <v>103</v>
      </c>
      <c r="B307" s="6">
        <v>44773</v>
      </c>
      <c r="C307" s="7">
        <v>0.8</v>
      </c>
      <c r="D307" s="9">
        <v>7.34</v>
      </c>
      <c r="E307" s="5">
        <v>398.3</v>
      </c>
      <c r="F307" s="5">
        <v>414.3</v>
      </c>
      <c r="G307" s="6">
        <v>44773</v>
      </c>
      <c r="H307" s="5">
        <f t="shared" si="34"/>
        <v>16</v>
      </c>
      <c r="I307" s="8" t="b">
        <f t="shared" si="36"/>
        <v>1</v>
      </c>
    </row>
    <row r="308" spans="1:9">
      <c r="A308" s="5">
        <v>103</v>
      </c>
      <c r="B308" s="6">
        <v>44775</v>
      </c>
      <c r="C308" s="7">
        <v>0.8</v>
      </c>
      <c r="D308" s="9">
        <v>7.34</v>
      </c>
      <c r="E308" s="5">
        <v>414.3</v>
      </c>
      <c r="F308" s="5">
        <v>427.6</v>
      </c>
      <c r="G308" s="6">
        <v>44775</v>
      </c>
      <c r="H308" s="5">
        <f t="shared" si="34"/>
        <v>13.300000000000011</v>
      </c>
      <c r="I308" s="8" t="b">
        <f t="shared" si="36"/>
        <v>1</v>
      </c>
    </row>
    <row r="309" spans="1:9">
      <c r="A309" s="5">
        <v>103</v>
      </c>
      <c r="B309" s="6">
        <v>44777</v>
      </c>
      <c r="C309" s="7">
        <v>0.8</v>
      </c>
      <c r="D309" s="9">
        <v>7.34</v>
      </c>
      <c r="E309" s="5">
        <v>427.6</v>
      </c>
      <c r="F309" s="5">
        <v>441</v>
      </c>
      <c r="G309" s="6">
        <v>44777</v>
      </c>
      <c r="H309" s="5">
        <f t="shared" si="34"/>
        <v>13.399999999999977</v>
      </c>
      <c r="I309" s="8" t="b">
        <f t="shared" si="36"/>
        <v>1</v>
      </c>
    </row>
    <row r="310" spans="1:9">
      <c r="A310" s="5">
        <v>103</v>
      </c>
      <c r="B310" s="6">
        <v>44779</v>
      </c>
      <c r="C310" s="7">
        <v>0.8</v>
      </c>
      <c r="D310" s="9">
        <v>7.34</v>
      </c>
      <c r="E310" s="5">
        <v>441</v>
      </c>
      <c r="F310" s="5">
        <v>456.4</v>
      </c>
      <c r="G310" s="6">
        <v>44779</v>
      </c>
      <c r="H310" s="5">
        <f t="shared" si="34"/>
        <v>15.399999999999977</v>
      </c>
      <c r="I310" s="8" t="b">
        <f t="shared" si="36"/>
        <v>1</v>
      </c>
    </row>
    <row r="311" spans="1:9">
      <c r="A311" s="5">
        <v>103</v>
      </c>
      <c r="B311" s="6">
        <v>44781</v>
      </c>
      <c r="C311" s="7">
        <v>0.7</v>
      </c>
      <c r="D311" s="9">
        <v>8.2899999999999991</v>
      </c>
      <c r="E311" s="5">
        <v>456.4</v>
      </c>
      <c r="F311" s="5">
        <v>472.9</v>
      </c>
      <c r="G311" s="6">
        <v>44781</v>
      </c>
      <c r="H311" s="5">
        <f t="shared" si="34"/>
        <v>16.5</v>
      </c>
      <c r="I311" s="8" t="b">
        <f t="shared" si="36"/>
        <v>1</v>
      </c>
    </row>
    <row r="312" spans="1:9">
      <c r="A312" s="5">
        <v>103</v>
      </c>
      <c r="B312" s="6">
        <v>44783</v>
      </c>
      <c r="C312" s="7">
        <v>0.8</v>
      </c>
      <c r="D312" s="9">
        <v>7.34</v>
      </c>
      <c r="E312" s="5">
        <v>472.9</v>
      </c>
      <c r="F312" s="5">
        <v>487.6</v>
      </c>
      <c r="G312" s="6">
        <v>44783</v>
      </c>
      <c r="H312" s="5">
        <f t="shared" si="34"/>
        <v>14.700000000000045</v>
      </c>
      <c r="I312" s="8" t="b">
        <f t="shared" si="36"/>
        <v>1</v>
      </c>
    </row>
    <row r="313" spans="1:9">
      <c r="A313" s="5">
        <v>103</v>
      </c>
      <c r="B313" s="6">
        <v>44785</v>
      </c>
      <c r="C313" s="7">
        <v>0.7</v>
      </c>
      <c r="D313" s="9">
        <v>8.2899999999999991</v>
      </c>
      <c r="E313" s="5">
        <v>487.6</v>
      </c>
      <c r="F313" s="5">
        <v>504.2</v>
      </c>
      <c r="G313" s="6">
        <v>44785</v>
      </c>
      <c r="H313" s="5">
        <f t="shared" si="34"/>
        <v>16.599999999999966</v>
      </c>
      <c r="I313" s="8" t="b">
        <f t="shared" si="36"/>
        <v>1</v>
      </c>
    </row>
    <row r="314" spans="1:9">
      <c r="A314" s="5">
        <v>103</v>
      </c>
      <c r="B314" s="6">
        <v>44789</v>
      </c>
      <c r="C314" s="7">
        <v>1</v>
      </c>
      <c r="D314" s="9">
        <v>5.8</v>
      </c>
      <c r="E314" s="5">
        <v>519</v>
      </c>
      <c r="F314" s="5">
        <v>531.6</v>
      </c>
      <c r="G314" s="6">
        <v>44789</v>
      </c>
      <c r="H314" s="5">
        <f t="shared" si="34"/>
        <v>12.600000000000023</v>
      </c>
      <c r="I314" s="8" t="b">
        <f t="shared" si="36"/>
        <v>0</v>
      </c>
    </row>
    <row r="315" spans="1:9">
      <c r="A315" s="5">
        <v>103</v>
      </c>
      <c r="B315" s="6">
        <v>44791</v>
      </c>
      <c r="C315" s="7">
        <v>0.8</v>
      </c>
      <c r="D315" s="9">
        <v>7.34</v>
      </c>
      <c r="E315" s="5">
        <v>531.6</v>
      </c>
      <c r="F315" s="5">
        <v>544.9</v>
      </c>
      <c r="G315" s="6">
        <v>44791</v>
      </c>
      <c r="H315" s="5">
        <f t="shared" si="34"/>
        <v>13.299999999999955</v>
      </c>
      <c r="I315" s="8" t="b">
        <f t="shared" si="36"/>
        <v>1</v>
      </c>
    </row>
    <row r="316" spans="1:9">
      <c r="A316" s="5">
        <v>103</v>
      </c>
      <c r="B316" s="6">
        <v>44793</v>
      </c>
      <c r="C316" s="7">
        <v>0.7</v>
      </c>
      <c r="D316" s="9">
        <v>8.2899999999999991</v>
      </c>
      <c r="E316" s="5">
        <v>544.9</v>
      </c>
      <c r="F316" s="5">
        <v>558.5</v>
      </c>
      <c r="G316" s="6">
        <v>44793</v>
      </c>
      <c r="H316" s="5">
        <f t="shared" si="34"/>
        <v>13.600000000000023</v>
      </c>
      <c r="I316" s="8" t="b">
        <f t="shared" si="36"/>
        <v>1</v>
      </c>
    </row>
    <row r="317" spans="1:9">
      <c r="A317" s="5">
        <v>103</v>
      </c>
      <c r="B317" s="6">
        <v>44795</v>
      </c>
      <c r="C317" s="7">
        <v>0.6</v>
      </c>
      <c r="D317" s="9">
        <v>9.67</v>
      </c>
      <c r="E317" s="5">
        <v>558.5</v>
      </c>
      <c r="F317" s="5">
        <v>580.6</v>
      </c>
      <c r="G317" s="6">
        <v>44795</v>
      </c>
      <c r="H317" s="5">
        <f t="shared" si="34"/>
        <v>22.100000000000023</v>
      </c>
      <c r="I317" s="8" t="b">
        <f t="shared" si="36"/>
        <v>1</v>
      </c>
    </row>
    <row r="318" spans="1:9">
      <c r="A318" s="5">
        <v>103</v>
      </c>
      <c r="B318" s="6">
        <v>44799</v>
      </c>
      <c r="C318" s="7">
        <v>0.6</v>
      </c>
      <c r="D318" s="9">
        <v>9.67</v>
      </c>
      <c r="E318" s="5">
        <v>580.6</v>
      </c>
      <c r="F318" s="5">
        <v>600.20000000000005</v>
      </c>
      <c r="G318" s="6">
        <v>44799</v>
      </c>
      <c r="H318" s="5">
        <f t="shared" si="34"/>
        <v>19.600000000000023</v>
      </c>
      <c r="I318" s="8" t="b">
        <f t="shared" si="36"/>
        <v>1</v>
      </c>
    </row>
    <row r="319" spans="1:9">
      <c r="A319" s="5">
        <v>103</v>
      </c>
      <c r="B319" s="6">
        <v>44800</v>
      </c>
      <c r="C319" s="7">
        <v>0.65</v>
      </c>
      <c r="D319" s="9">
        <v>8.92</v>
      </c>
      <c r="E319" s="5">
        <v>600.20000000000005</v>
      </c>
      <c r="F319" s="5">
        <v>619.6</v>
      </c>
      <c r="G319" s="6">
        <v>44800</v>
      </c>
      <c r="H319" s="5">
        <f t="shared" si="34"/>
        <v>19.399999999999977</v>
      </c>
      <c r="I319" s="8" t="b">
        <f t="shared" si="36"/>
        <v>1</v>
      </c>
    </row>
    <row r="320" spans="1:9">
      <c r="A320" s="5">
        <v>103</v>
      </c>
      <c r="B320" s="6">
        <v>44801</v>
      </c>
      <c r="C320" s="7">
        <v>0.6</v>
      </c>
      <c r="D320" s="9">
        <v>9.67</v>
      </c>
      <c r="E320" s="5">
        <v>619.6</v>
      </c>
      <c r="F320" s="5">
        <v>639</v>
      </c>
      <c r="G320" s="6">
        <v>44801</v>
      </c>
      <c r="H320" s="5">
        <f t="shared" si="34"/>
        <v>19.399999999999977</v>
      </c>
      <c r="I320" s="8" t="b">
        <f t="shared" si="36"/>
        <v>1</v>
      </c>
    </row>
    <row r="321" spans="1:9">
      <c r="A321" s="5">
        <v>103</v>
      </c>
      <c r="B321" s="6">
        <v>44803</v>
      </c>
      <c r="C321" s="7">
        <v>0.7</v>
      </c>
      <c r="D321" s="9">
        <v>8.2899999999999991</v>
      </c>
      <c r="E321" s="5">
        <v>639</v>
      </c>
      <c r="F321" s="5">
        <v>657</v>
      </c>
      <c r="G321" s="6">
        <v>44803</v>
      </c>
      <c r="H321" s="5">
        <f t="shared" si="34"/>
        <v>18</v>
      </c>
      <c r="I321" s="8" t="b">
        <f t="shared" si="36"/>
        <v>1</v>
      </c>
    </row>
    <row r="322" spans="1:9">
      <c r="A322" s="5">
        <v>103</v>
      </c>
      <c r="B322" s="6">
        <v>44804</v>
      </c>
      <c r="C322" s="7">
        <v>0.7</v>
      </c>
      <c r="D322" s="9">
        <v>8.2899999999999991</v>
      </c>
      <c r="E322" s="5">
        <v>657</v>
      </c>
      <c r="F322" s="5">
        <v>672.2</v>
      </c>
      <c r="G322" s="6">
        <v>44804</v>
      </c>
      <c r="H322" s="5">
        <f t="shared" si="34"/>
        <v>15.200000000000045</v>
      </c>
      <c r="I322" s="8" t="b">
        <f t="shared" si="36"/>
        <v>1</v>
      </c>
    </row>
    <row r="323" spans="1:9">
      <c r="A323" s="5">
        <v>103</v>
      </c>
      <c r="B323" s="6">
        <v>44807</v>
      </c>
      <c r="C323" s="7">
        <v>0.6</v>
      </c>
      <c r="D323" s="9">
        <v>9.67</v>
      </c>
      <c r="E323" s="5">
        <v>672.3</v>
      </c>
      <c r="F323" s="5">
        <v>691.4</v>
      </c>
      <c r="G323" s="6">
        <v>44807</v>
      </c>
      <c r="H323" s="5">
        <f t="shared" si="34"/>
        <v>19.100000000000023</v>
      </c>
      <c r="I323" s="8" t="b">
        <f>E323=F322</f>
        <v>0</v>
      </c>
    </row>
    <row r="324" spans="1:9">
      <c r="A324" s="5">
        <v>103</v>
      </c>
      <c r="B324" s="6">
        <v>44810</v>
      </c>
      <c r="C324" s="7">
        <v>0.5</v>
      </c>
      <c r="D324" s="9">
        <v>11.6</v>
      </c>
      <c r="E324" s="5">
        <v>703.4</v>
      </c>
      <c r="F324" s="5">
        <v>715.4</v>
      </c>
      <c r="G324" s="6">
        <v>44810</v>
      </c>
      <c r="H324" s="5">
        <f t="shared" si="34"/>
        <v>12</v>
      </c>
      <c r="I324" s="8" t="b">
        <f t="shared" si="36"/>
        <v>0</v>
      </c>
    </row>
    <row r="325" spans="1:9">
      <c r="A325" s="5">
        <v>103</v>
      </c>
      <c r="B325" s="6">
        <v>44811</v>
      </c>
      <c r="C325" s="7">
        <v>0.5</v>
      </c>
      <c r="D325" s="9">
        <v>11.6</v>
      </c>
      <c r="E325" s="5">
        <v>715.4</v>
      </c>
      <c r="F325" s="5">
        <v>727.4</v>
      </c>
      <c r="G325" s="6">
        <v>44811</v>
      </c>
      <c r="H325" s="5">
        <f t="shared" si="34"/>
        <v>12</v>
      </c>
      <c r="I325" s="8" t="b">
        <f t="shared" si="36"/>
        <v>1</v>
      </c>
    </row>
    <row r="326" spans="1:9">
      <c r="A326" s="5">
        <v>103</v>
      </c>
      <c r="B326" s="6">
        <v>44812</v>
      </c>
      <c r="C326" s="7">
        <v>0.5</v>
      </c>
      <c r="D326" s="9">
        <v>11.6</v>
      </c>
      <c r="E326" s="5">
        <v>727.4</v>
      </c>
      <c r="F326" s="5">
        <v>739.4</v>
      </c>
      <c r="G326" s="6">
        <v>44812</v>
      </c>
      <c r="H326" s="5">
        <f t="shared" si="34"/>
        <v>12</v>
      </c>
      <c r="I326" s="8" t="b">
        <f t="shared" si="36"/>
        <v>1</v>
      </c>
    </row>
    <row r="327" spans="1:9">
      <c r="A327" s="5">
        <v>103</v>
      </c>
      <c r="B327" s="6">
        <v>44813</v>
      </c>
      <c r="C327" s="7">
        <v>0.5</v>
      </c>
      <c r="D327" s="9">
        <v>11.6</v>
      </c>
      <c r="E327" s="5">
        <v>739.4</v>
      </c>
      <c r="F327" s="5">
        <v>749.5</v>
      </c>
      <c r="G327" s="6">
        <v>44813</v>
      </c>
      <c r="H327" s="5">
        <f t="shared" si="34"/>
        <v>10.100000000000023</v>
      </c>
      <c r="I327" s="8" t="b">
        <f t="shared" si="36"/>
        <v>1</v>
      </c>
    </row>
    <row r="328" spans="1:9">
      <c r="A328" s="5">
        <v>103</v>
      </c>
      <c r="B328" s="6">
        <v>44814</v>
      </c>
      <c r="C328" s="7">
        <v>0.5</v>
      </c>
      <c r="D328" s="9">
        <v>11.6</v>
      </c>
      <c r="E328" s="5">
        <v>749.5</v>
      </c>
      <c r="F328" s="5">
        <v>760.9</v>
      </c>
      <c r="G328" s="6">
        <v>44814</v>
      </c>
      <c r="H328" s="5">
        <f t="shared" si="34"/>
        <v>11.399999999999977</v>
      </c>
      <c r="I328" s="8" t="b">
        <f t="shared" si="36"/>
        <v>1</v>
      </c>
    </row>
    <row r="329" spans="1:9">
      <c r="A329" s="5">
        <v>103</v>
      </c>
      <c r="B329" s="6">
        <v>44815</v>
      </c>
      <c r="C329" s="7">
        <v>0.5</v>
      </c>
      <c r="D329" s="9">
        <v>11.6</v>
      </c>
      <c r="E329" s="5">
        <v>760.9</v>
      </c>
      <c r="F329" s="5">
        <v>772.8</v>
      </c>
      <c r="G329" s="6">
        <v>44815</v>
      </c>
      <c r="H329" s="5">
        <f t="shared" si="34"/>
        <v>11.899999999999977</v>
      </c>
      <c r="I329" s="8" t="b">
        <f t="shared" si="36"/>
        <v>1</v>
      </c>
    </row>
    <row r="330" spans="1:9">
      <c r="A330" s="5">
        <v>103</v>
      </c>
      <c r="B330" s="6">
        <v>44816</v>
      </c>
      <c r="C330" s="7">
        <v>0.5</v>
      </c>
      <c r="D330" s="9">
        <v>11.6</v>
      </c>
      <c r="E330" s="5">
        <v>772.8</v>
      </c>
      <c r="F330" s="5">
        <v>785.2</v>
      </c>
      <c r="G330" s="6">
        <v>44816</v>
      </c>
      <c r="H330" s="5">
        <f t="shared" si="34"/>
        <v>12.400000000000091</v>
      </c>
      <c r="I330" s="8" t="b">
        <f t="shared" si="36"/>
        <v>1</v>
      </c>
    </row>
    <row r="331" spans="1:9">
      <c r="A331" s="5">
        <v>103</v>
      </c>
      <c r="B331" s="6">
        <v>44817</v>
      </c>
      <c r="C331" s="7">
        <v>0.5</v>
      </c>
      <c r="D331" s="9">
        <v>11.6</v>
      </c>
      <c r="E331" s="5">
        <v>785.2</v>
      </c>
      <c r="F331" s="5">
        <v>797.6</v>
      </c>
      <c r="G331" s="6">
        <v>44817</v>
      </c>
      <c r="H331" s="5">
        <f t="shared" si="34"/>
        <v>12.399999999999977</v>
      </c>
      <c r="I331" s="8" t="b">
        <f t="shared" si="36"/>
        <v>1</v>
      </c>
    </row>
    <row r="332" spans="1:9">
      <c r="A332" s="5">
        <v>103</v>
      </c>
      <c r="B332" s="6">
        <v>44818</v>
      </c>
      <c r="C332" s="7">
        <v>0.5</v>
      </c>
      <c r="D332" s="9">
        <v>11.6</v>
      </c>
      <c r="E332" s="5">
        <v>797.6</v>
      </c>
      <c r="F332" s="5">
        <v>811.3</v>
      </c>
      <c r="G332" s="6">
        <v>44818</v>
      </c>
      <c r="H332" s="5">
        <f t="shared" si="34"/>
        <v>13.699999999999932</v>
      </c>
      <c r="I332" s="8" t="b">
        <f t="shared" si="36"/>
        <v>1</v>
      </c>
    </row>
    <row r="333" spans="1:9">
      <c r="A333" s="5">
        <v>103</v>
      </c>
      <c r="B333" s="6">
        <v>44819</v>
      </c>
      <c r="C333" s="7">
        <v>0.5</v>
      </c>
      <c r="D333" s="9">
        <v>11.6</v>
      </c>
      <c r="E333" s="5">
        <v>811.3</v>
      </c>
      <c r="F333" s="5">
        <v>821.1</v>
      </c>
      <c r="G333" s="6">
        <v>44819</v>
      </c>
      <c r="H333" s="5">
        <f t="shared" si="34"/>
        <v>9.8000000000000682</v>
      </c>
      <c r="I333" s="8" t="b">
        <f t="shared" si="36"/>
        <v>1</v>
      </c>
    </row>
    <row r="334" spans="1:9">
      <c r="A334" s="5">
        <v>103</v>
      </c>
      <c r="B334" s="6">
        <v>44820</v>
      </c>
      <c r="C334" s="7">
        <v>0.5</v>
      </c>
      <c r="D334" s="9">
        <v>11.6</v>
      </c>
      <c r="E334" s="5">
        <v>821.1</v>
      </c>
      <c r="F334" s="5">
        <v>832.8</v>
      </c>
      <c r="G334" s="6">
        <v>44820</v>
      </c>
      <c r="H334" s="5">
        <f t="shared" si="34"/>
        <v>11.699999999999932</v>
      </c>
      <c r="I334" s="8" t="b">
        <f t="shared" si="36"/>
        <v>1</v>
      </c>
    </row>
    <row r="335" spans="1:9">
      <c r="A335" s="5">
        <v>103</v>
      </c>
      <c r="B335" s="6">
        <v>44821</v>
      </c>
      <c r="C335" s="7">
        <v>0.4</v>
      </c>
      <c r="D335" s="9">
        <v>14.5</v>
      </c>
      <c r="E335" s="5">
        <v>832.8</v>
      </c>
      <c r="F335" s="5">
        <v>847.9</v>
      </c>
      <c r="G335" s="6">
        <v>44821</v>
      </c>
      <c r="H335" s="5">
        <f t="shared" si="34"/>
        <v>15.100000000000023</v>
      </c>
      <c r="I335" s="8" t="b">
        <f t="shared" si="36"/>
        <v>1</v>
      </c>
    </row>
    <row r="336" spans="1:9">
      <c r="A336" s="5">
        <v>103</v>
      </c>
      <c r="B336" s="6">
        <v>44822</v>
      </c>
      <c r="C336" s="7">
        <v>0.4</v>
      </c>
      <c r="D336" s="9">
        <v>14.5</v>
      </c>
      <c r="E336" s="5">
        <v>847.9</v>
      </c>
      <c r="F336" s="5">
        <v>863</v>
      </c>
      <c r="G336" s="6">
        <v>44822</v>
      </c>
      <c r="H336" s="5">
        <f t="shared" si="34"/>
        <v>15.100000000000023</v>
      </c>
      <c r="I336" s="8" t="b">
        <f t="shared" si="36"/>
        <v>1</v>
      </c>
    </row>
    <row r="337" spans="1:9">
      <c r="A337" s="5">
        <v>103</v>
      </c>
      <c r="B337" s="6">
        <v>44823</v>
      </c>
      <c r="C337" s="7">
        <v>0.4</v>
      </c>
      <c r="D337" s="9">
        <v>14.5</v>
      </c>
      <c r="E337" s="5">
        <v>863</v>
      </c>
      <c r="F337" s="5">
        <v>876.2</v>
      </c>
      <c r="G337" s="6">
        <v>44823</v>
      </c>
      <c r="H337" s="5">
        <f t="shared" si="34"/>
        <v>13.200000000000045</v>
      </c>
      <c r="I337" s="8" t="b">
        <f t="shared" si="36"/>
        <v>1</v>
      </c>
    </row>
    <row r="338" spans="1:9">
      <c r="A338" s="5">
        <v>103</v>
      </c>
      <c r="B338" s="6">
        <v>44825</v>
      </c>
      <c r="C338" s="7">
        <v>0.4</v>
      </c>
      <c r="D338" s="9">
        <v>14.5</v>
      </c>
      <c r="E338" s="5">
        <v>876.2</v>
      </c>
      <c r="F338" s="5">
        <v>885.4</v>
      </c>
      <c r="G338" s="6">
        <v>44825</v>
      </c>
      <c r="H338" s="5">
        <f t="shared" si="34"/>
        <v>9.1999999999999318</v>
      </c>
      <c r="I338" s="8" t="b">
        <f t="shared" si="36"/>
        <v>1</v>
      </c>
    </row>
    <row r="339" spans="1:9">
      <c r="A339" s="5">
        <v>103</v>
      </c>
      <c r="B339" s="6">
        <v>44826</v>
      </c>
      <c r="C339" s="7">
        <v>0.4</v>
      </c>
      <c r="D339" s="9">
        <v>14.5</v>
      </c>
      <c r="E339" s="5">
        <v>885.4</v>
      </c>
      <c r="F339" s="5">
        <v>898.8</v>
      </c>
      <c r="G339" s="6">
        <v>44826</v>
      </c>
      <c r="H339" s="5">
        <f t="shared" si="34"/>
        <v>13.399999999999977</v>
      </c>
      <c r="I339" s="8" t="b">
        <f t="shared" si="36"/>
        <v>1</v>
      </c>
    </row>
    <row r="340" spans="1:9">
      <c r="A340" s="5">
        <v>103</v>
      </c>
      <c r="B340" s="6">
        <v>44828</v>
      </c>
      <c r="C340" s="7">
        <v>0.4</v>
      </c>
      <c r="D340" s="9">
        <v>14.5</v>
      </c>
      <c r="E340" s="5">
        <v>898.8</v>
      </c>
      <c r="F340" s="5">
        <v>913.6</v>
      </c>
      <c r="G340" s="6">
        <v>44828</v>
      </c>
      <c r="H340" s="5">
        <f t="shared" si="34"/>
        <v>14.800000000000068</v>
      </c>
      <c r="I340" s="8" t="b">
        <f t="shared" si="36"/>
        <v>1</v>
      </c>
    </row>
    <row r="341" spans="1:9">
      <c r="A341" s="5">
        <v>103</v>
      </c>
      <c r="B341" s="6">
        <v>44829</v>
      </c>
      <c r="C341" s="7">
        <v>0.4</v>
      </c>
      <c r="D341" s="9">
        <v>14.5</v>
      </c>
      <c r="E341" s="5">
        <v>913.6</v>
      </c>
      <c r="F341" s="5">
        <v>928.6</v>
      </c>
      <c r="G341" s="6">
        <v>44829</v>
      </c>
      <c r="H341" s="5">
        <f t="shared" si="34"/>
        <v>15</v>
      </c>
      <c r="I341" s="8" t="b">
        <f t="shared" si="36"/>
        <v>1</v>
      </c>
    </row>
    <row r="342" spans="1:9">
      <c r="A342" s="5">
        <v>103</v>
      </c>
      <c r="B342" s="6">
        <v>44830</v>
      </c>
      <c r="C342" s="7">
        <v>0.4</v>
      </c>
      <c r="D342" s="9">
        <v>14.5</v>
      </c>
      <c r="E342" s="5">
        <v>928.6</v>
      </c>
      <c r="F342" s="5">
        <v>947.6</v>
      </c>
      <c r="G342" s="6">
        <v>44830</v>
      </c>
      <c r="H342" s="5">
        <f t="shared" si="34"/>
        <v>19</v>
      </c>
      <c r="I342" s="8" t="b">
        <f t="shared" si="36"/>
        <v>1</v>
      </c>
    </row>
    <row r="343" spans="1:9">
      <c r="A343" s="5">
        <v>103</v>
      </c>
      <c r="B343" s="6">
        <v>44831</v>
      </c>
      <c r="C343" s="7">
        <v>0.4</v>
      </c>
      <c r="D343" s="9">
        <v>14.5</v>
      </c>
      <c r="E343" s="5">
        <v>947.6</v>
      </c>
      <c r="F343" s="5">
        <v>957.7</v>
      </c>
      <c r="G343" s="6">
        <v>44831</v>
      </c>
      <c r="H343" s="5">
        <f t="shared" si="34"/>
        <v>10.100000000000023</v>
      </c>
      <c r="I343" s="8" t="b">
        <f t="shared" si="36"/>
        <v>1</v>
      </c>
    </row>
    <row r="344" spans="1:9">
      <c r="A344" s="5">
        <v>103</v>
      </c>
      <c r="B344" s="6">
        <v>44832</v>
      </c>
      <c r="C344" s="7">
        <v>0.4</v>
      </c>
      <c r="D344" s="9">
        <v>14.5</v>
      </c>
      <c r="E344" s="5">
        <v>957.7</v>
      </c>
      <c r="F344" s="5">
        <v>971.6</v>
      </c>
      <c r="G344" s="6">
        <v>44832</v>
      </c>
      <c r="H344" s="5">
        <f t="shared" si="34"/>
        <v>13.899999999999977</v>
      </c>
      <c r="I344" s="8" t="b">
        <f t="shared" si="36"/>
        <v>1</v>
      </c>
    </row>
    <row r="345" spans="1:9">
      <c r="A345" s="5">
        <v>103</v>
      </c>
      <c r="B345" s="6">
        <v>44833</v>
      </c>
      <c r="C345" s="7">
        <v>0.4</v>
      </c>
      <c r="D345" s="9">
        <v>14.5</v>
      </c>
      <c r="E345" s="5">
        <v>971.6</v>
      </c>
      <c r="F345" s="5">
        <v>986.7</v>
      </c>
      <c r="G345" s="6">
        <v>44833</v>
      </c>
      <c r="H345" s="5">
        <f t="shared" si="34"/>
        <v>15.100000000000023</v>
      </c>
      <c r="I345" s="8" t="b">
        <f t="shared" si="36"/>
        <v>1</v>
      </c>
    </row>
    <row r="346" spans="1:9">
      <c r="A346" s="5">
        <v>103</v>
      </c>
      <c r="B346" s="6">
        <v>44834</v>
      </c>
      <c r="C346" s="7">
        <v>0.4</v>
      </c>
      <c r="D346" s="9">
        <v>14.5</v>
      </c>
      <c r="E346" s="5">
        <v>986.7</v>
      </c>
      <c r="F346" s="5">
        <v>1000.6</v>
      </c>
      <c r="G346" s="6">
        <v>44834</v>
      </c>
      <c r="H346" s="5">
        <f t="shared" si="34"/>
        <v>13.899999999999977</v>
      </c>
      <c r="I346" s="8" t="b">
        <f t="shared" si="36"/>
        <v>1</v>
      </c>
    </row>
    <row r="347" spans="1:9">
      <c r="A347" s="5">
        <v>103</v>
      </c>
      <c r="B347" s="6">
        <v>44835</v>
      </c>
      <c r="C347" s="7">
        <v>0.4</v>
      </c>
      <c r="D347" s="9">
        <v>14.5</v>
      </c>
      <c r="E347" s="5">
        <v>1000.6</v>
      </c>
      <c r="F347" s="5">
        <v>1014.6</v>
      </c>
      <c r="G347" s="6">
        <v>44835</v>
      </c>
      <c r="H347" s="5">
        <f t="shared" si="34"/>
        <v>14</v>
      </c>
      <c r="I347" s="8" t="b">
        <f t="shared" si="36"/>
        <v>1</v>
      </c>
    </row>
    <row r="348" spans="1:9">
      <c r="A348" s="5">
        <v>103</v>
      </c>
      <c r="B348" s="6">
        <v>44836</v>
      </c>
      <c r="C348" s="7">
        <v>0.4</v>
      </c>
      <c r="D348" s="9">
        <v>14.5</v>
      </c>
      <c r="E348" s="5">
        <v>1014.6</v>
      </c>
      <c r="F348" s="5">
        <v>1030.5999999999999</v>
      </c>
      <c r="G348" s="6">
        <v>44836</v>
      </c>
      <c r="H348" s="5">
        <f t="shared" si="34"/>
        <v>15.999999999999886</v>
      </c>
      <c r="I348" s="8" t="b">
        <f t="shared" si="36"/>
        <v>1</v>
      </c>
    </row>
    <row r="349" spans="1:9">
      <c r="A349" s="5">
        <v>103</v>
      </c>
      <c r="B349" s="6">
        <v>44837</v>
      </c>
      <c r="C349" s="7">
        <v>0.4</v>
      </c>
      <c r="D349" s="9">
        <v>14.5</v>
      </c>
      <c r="E349" s="5">
        <v>1030.5999999999999</v>
      </c>
      <c r="F349" s="5">
        <v>1046.5999999999999</v>
      </c>
      <c r="G349" s="6">
        <v>44837</v>
      </c>
      <c r="H349" s="5">
        <f t="shared" si="34"/>
        <v>16</v>
      </c>
      <c r="I349" s="8" t="b">
        <f t="shared" si="36"/>
        <v>1</v>
      </c>
    </row>
    <row r="350" spans="1:9">
      <c r="A350" s="5">
        <v>103</v>
      </c>
      <c r="B350" s="6">
        <v>44838</v>
      </c>
      <c r="C350" s="7">
        <v>1</v>
      </c>
      <c r="D350" s="9">
        <v>5.8</v>
      </c>
      <c r="E350" s="5">
        <v>1046.5999999999999</v>
      </c>
      <c r="F350" s="5">
        <v>1058.5999999999999</v>
      </c>
      <c r="G350" s="6">
        <v>44838</v>
      </c>
      <c r="H350" s="5">
        <f t="shared" si="34"/>
        <v>12</v>
      </c>
      <c r="I350" s="8" t="b">
        <f t="shared" si="36"/>
        <v>1</v>
      </c>
    </row>
    <row r="351" spans="1:9">
      <c r="A351" s="5">
        <v>103</v>
      </c>
      <c r="B351" s="6">
        <v>44839</v>
      </c>
      <c r="C351" s="7">
        <v>0.4</v>
      </c>
      <c r="D351" s="9">
        <v>14.5</v>
      </c>
      <c r="E351" s="5">
        <v>1058.5999999999999</v>
      </c>
      <c r="F351" s="5">
        <v>1073.0999999999999</v>
      </c>
      <c r="G351" s="6">
        <v>44839</v>
      </c>
      <c r="H351" s="5">
        <f t="shared" ref="H351:H375" si="37">F351-E351</f>
        <v>14.5</v>
      </c>
      <c r="I351" s="8" t="b">
        <f t="shared" si="36"/>
        <v>1</v>
      </c>
    </row>
    <row r="352" spans="1:9">
      <c r="A352" s="5">
        <v>103</v>
      </c>
      <c r="B352" s="6">
        <v>44840</v>
      </c>
      <c r="C352" s="7">
        <v>0.4</v>
      </c>
      <c r="D352" s="9">
        <v>14.5</v>
      </c>
      <c r="E352" s="5">
        <v>1073.0999999999999</v>
      </c>
      <c r="F352" s="5">
        <v>1089.0999999999999</v>
      </c>
      <c r="G352" s="6">
        <v>44840</v>
      </c>
      <c r="H352" s="5">
        <f t="shared" si="37"/>
        <v>16</v>
      </c>
      <c r="I352" s="8" t="b">
        <f t="shared" si="36"/>
        <v>1</v>
      </c>
    </row>
    <row r="353" spans="1:9">
      <c r="A353" s="5">
        <v>103</v>
      </c>
      <c r="B353" s="6">
        <v>44841</v>
      </c>
      <c r="C353" s="7">
        <v>0.4</v>
      </c>
      <c r="D353" s="9">
        <v>14.5</v>
      </c>
      <c r="E353" s="5">
        <v>1089.0999999999999</v>
      </c>
      <c r="F353" s="5">
        <v>1104.5999999999999</v>
      </c>
      <c r="G353" s="6">
        <v>44841</v>
      </c>
      <c r="H353" s="5">
        <f t="shared" si="37"/>
        <v>15.5</v>
      </c>
      <c r="I353" s="8" t="b">
        <f t="shared" si="36"/>
        <v>1</v>
      </c>
    </row>
    <row r="354" spans="1:9">
      <c r="A354" s="5">
        <v>103</v>
      </c>
      <c r="B354" s="6">
        <v>44842</v>
      </c>
      <c r="C354" s="7">
        <v>0.4</v>
      </c>
      <c r="D354" s="9">
        <v>14.5</v>
      </c>
      <c r="E354" s="5">
        <v>1104.5999999999999</v>
      </c>
      <c r="F354" s="5">
        <v>1119.8</v>
      </c>
      <c r="G354" s="6">
        <v>44842</v>
      </c>
      <c r="H354" s="5">
        <f t="shared" si="37"/>
        <v>15.200000000000045</v>
      </c>
      <c r="I354" s="8" t="b">
        <f t="shared" si="36"/>
        <v>1</v>
      </c>
    </row>
    <row r="355" spans="1:9">
      <c r="A355" s="5">
        <v>103</v>
      </c>
      <c r="B355" s="6">
        <v>44843</v>
      </c>
      <c r="C355" s="7">
        <v>0.4</v>
      </c>
      <c r="D355" s="9">
        <v>14.5</v>
      </c>
      <c r="E355" s="5">
        <v>1119.8</v>
      </c>
      <c r="F355" s="5">
        <v>1134.3</v>
      </c>
      <c r="G355" s="6">
        <v>44843</v>
      </c>
      <c r="H355" s="5">
        <f t="shared" si="37"/>
        <v>14.5</v>
      </c>
      <c r="I355" s="8" t="b">
        <f t="shared" si="36"/>
        <v>1</v>
      </c>
    </row>
    <row r="356" spans="1:9">
      <c r="A356" s="5">
        <v>103</v>
      </c>
      <c r="B356" s="6">
        <v>44844</v>
      </c>
      <c r="C356" s="7">
        <v>0.4</v>
      </c>
      <c r="D356" s="9">
        <v>14.5</v>
      </c>
      <c r="E356" s="5">
        <v>1134.3</v>
      </c>
      <c r="F356" s="5">
        <v>1149.3</v>
      </c>
      <c r="G356" s="6">
        <v>44844</v>
      </c>
      <c r="H356" s="5">
        <f t="shared" si="37"/>
        <v>15</v>
      </c>
      <c r="I356" s="8" t="b">
        <f t="shared" si="36"/>
        <v>1</v>
      </c>
    </row>
    <row r="357" spans="1:9">
      <c r="A357" s="5">
        <v>103</v>
      </c>
      <c r="B357" s="6">
        <v>44846</v>
      </c>
      <c r="C357" s="7">
        <v>0.4</v>
      </c>
      <c r="D357" s="9">
        <v>14.5</v>
      </c>
      <c r="E357" s="5">
        <v>1149.3</v>
      </c>
      <c r="F357" s="5">
        <v>1155.2</v>
      </c>
      <c r="G357" s="6">
        <v>44846</v>
      </c>
      <c r="H357" s="5">
        <f t="shared" si="37"/>
        <v>5.9000000000000909</v>
      </c>
      <c r="I357" s="8" t="b">
        <f t="shared" si="36"/>
        <v>1</v>
      </c>
    </row>
    <row r="358" spans="1:9">
      <c r="A358" s="5">
        <v>103</v>
      </c>
      <c r="B358" s="6">
        <v>44847</v>
      </c>
      <c r="C358" s="7">
        <v>0.4</v>
      </c>
      <c r="D358" s="9">
        <v>14.5</v>
      </c>
      <c r="E358" s="5">
        <v>1155.2</v>
      </c>
      <c r="F358" s="5">
        <v>1178.8</v>
      </c>
      <c r="G358" s="6">
        <v>44847</v>
      </c>
      <c r="H358" s="5">
        <f t="shared" si="37"/>
        <v>23.599999999999909</v>
      </c>
      <c r="I358" s="8" t="b">
        <f t="shared" si="36"/>
        <v>1</v>
      </c>
    </row>
    <row r="359" spans="1:9">
      <c r="A359" s="5">
        <v>103</v>
      </c>
      <c r="B359" s="6">
        <v>44849</v>
      </c>
      <c r="C359" s="7">
        <v>0.4</v>
      </c>
      <c r="D359" s="9">
        <v>14.5</v>
      </c>
      <c r="E359" s="5">
        <v>1178.8</v>
      </c>
      <c r="F359" s="5">
        <v>1193.7</v>
      </c>
      <c r="G359" s="6">
        <v>44849</v>
      </c>
      <c r="H359" s="5">
        <f t="shared" si="37"/>
        <v>14.900000000000091</v>
      </c>
      <c r="I359" s="8" t="b">
        <f t="shared" si="36"/>
        <v>1</v>
      </c>
    </row>
    <row r="360" spans="1:9">
      <c r="A360" s="5">
        <v>103</v>
      </c>
      <c r="B360" s="6">
        <v>44850</v>
      </c>
      <c r="C360" s="7">
        <v>0.4</v>
      </c>
      <c r="D360" s="9">
        <v>14.5</v>
      </c>
      <c r="E360" s="5">
        <v>1193.7</v>
      </c>
      <c r="F360" s="5">
        <v>1208.7</v>
      </c>
      <c r="G360" s="6">
        <v>44850</v>
      </c>
      <c r="H360" s="5">
        <f t="shared" si="37"/>
        <v>15</v>
      </c>
      <c r="I360" s="8" t="b">
        <f t="shared" si="36"/>
        <v>1</v>
      </c>
    </row>
    <row r="361" spans="1:9">
      <c r="A361" s="5">
        <v>103</v>
      </c>
      <c r="B361" s="6">
        <v>44854</v>
      </c>
      <c r="C361" s="7">
        <v>0.4</v>
      </c>
      <c r="D361" s="9">
        <v>14.5</v>
      </c>
      <c r="E361" s="5">
        <v>208.7</v>
      </c>
      <c r="F361" s="5">
        <v>223.7</v>
      </c>
      <c r="G361" s="6">
        <v>44854</v>
      </c>
      <c r="H361" s="5">
        <f t="shared" si="37"/>
        <v>15</v>
      </c>
      <c r="I361" s="8" t="b">
        <f t="shared" si="36"/>
        <v>0</v>
      </c>
    </row>
    <row r="362" spans="1:9">
      <c r="A362" s="5">
        <v>103</v>
      </c>
      <c r="B362" s="6">
        <v>44855</v>
      </c>
      <c r="C362" s="7">
        <v>0.4</v>
      </c>
      <c r="D362" s="9">
        <v>14.5</v>
      </c>
      <c r="E362" s="5">
        <v>223.7</v>
      </c>
      <c r="F362" s="5">
        <v>238.2</v>
      </c>
      <c r="G362" s="6">
        <v>44855</v>
      </c>
      <c r="H362" s="5">
        <f t="shared" si="37"/>
        <v>14.5</v>
      </c>
      <c r="I362" s="8" t="b">
        <f t="shared" si="36"/>
        <v>1</v>
      </c>
    </row>
    <row r="363" spans="1:9">
      <c r="A363" s="5">
        <v>103</v>
      </c>
      <c r="B363" s="6">
        <v>44856</v>
      </c>
      <c r="C363" s="7">
        <v>0.4</v>
      </c>
      <c r="D363" s="9">
        <v>14.5</v>
      </c>
      <c r="E363" s="5">
        <v>238.2</v>
      </c>
      <c r="F363" s="5">
        <v>252.8</v>
      </c>
      <c r="G363" s="6">
        <v>44856</v>
      </c>
      <c r="H363" s="5">
        <f t="shared" si="37"/>
        <v>14.600000000000023</v>
      </c>
      <c r="I363" s="8" t="b">
        <f t="shared" si="36"/>
        <v>1</v>
      </c>
    </row>
    <row r="364" spans="1:9">
      <c r="A364" s="5">
        <v>103</v>
      </c>
      <c r="B364" s="6">
        <v>44858</v>
      </c>
      <c r="C364" s="7">
        <v>0.4</v>
      </c>
      <c r="D364" s="9">
        <v>14.5</v>
      </c>
      <c r="E364" s="5">
        <v>252.8</v>
      </c>
      <c r="F364" s="5">
        <v>267.8</v>
      </c>
      <c r="G364" s="6">
        <v>44858</v>
      </c>
      <c r="H364" s="5">
        <f t="shared" si="37"/>
        <v>15</v>
      </c>
      <c r="I364" s="8" t="b">
        <f t="shared" si="36"/>
        <v>1</v>
      </c>
    </row>
    <row r="365" spans="1:9">
      <c r="A365" s="5">
        <v>103</v>
      </c>
      <c r="B365" s="6">
        <v>44860</v>
      </c>
      <c r="C365" s="7">
        <v>0.4</v>
      </c>
      <c r="D365" s="9">
        <v>14.5</v>
      </c>
      <c r="E365" s="5">
        <v>267.8</v>
      </c>
      <c r="F365" s="5">
        <v>280.7</v>
      </c>
      <c r="G365" s="6">
        <v>44860</v>
      </c>
      <c r="H365" s="5">
        <f t="shared" si="37"/>
        <v>12.899999999999977</v>
      </c>
      <c r="I365" s="8" t="b">
        <f t="shared" si="36"/>
        <v>1</v>
      </c>
    </row>
    <row r="366" spans="1:9">
      <c r="A366" s="5">
        <v>103</v>
      </c>
      <c r="B366" s="6">
        <v>44861</v>
      </c>
      <c r="C366" s="7">
        <v>0.4</v>
      </c>
      <c r="D366" s="9">
        <v>14.5</v>
      </c>
      <c r="E366" s="5">
        <v>280.7</v>
      </c>
      <c r="F366" s="5">
        <v>295.7</v>
      </c>
      <c r="G366" s="6">
        <v>44861</v>
      </c>
      <c r="H366" s="5">
        <f t="shared" si="37"/>
        <v>15</v>
      </c>
      <c r="I366" s="8" t="b">
        <f t="shared" si="36"/>
        <v>1</v>
      </c>
    </row>
    <row r="367" spans="1:9">
      <c r="A367" s="5">
        <v>103</v>
      </c>
      <c r="B367" s="6">
        <v>44864</v>
      </c>
      <c r="C367" s="7">
        <v>0.4</v>
      </c>
      <c r="D367" s="9">
        <v>14.5</v>
      </c>
      <c r="E367" s="5">
        <v>295.7</v>
      </c>
      <c r="F367" s="5">
        <v>309.8</v>
      </c>
      <c r="G367" s="6">
        <v>44864</v>
      </c>
      <c r="H367" s="5">
        <f t="shared" si="37"/>
        <v>14.100000000000023</v>
      </c>
      <c r="I367" s="8" t="b">
        <f t="shared" si="36"/>
        <v>1</v>
      </c>
    </row>
    <row r="368" spans="1:9">
      <c r="A368" s="5">
        <v>103</v>
      </c>
      <c r="B368" s="6">
        <v>44865</v>
      </c>
      <c r="C368" s="7">
        <v>0.4</v>
      </c>
      <c r="D368" s="9">
        <v>14.5</v>
      </c>
      <c r="E368" s="5">
        <v>309.8</v>
      </c>
      <c r="F368" s="5">
        <v>316.3</v>
      </c>
      <c r="G368" s="6">
        <v>44865</v>
      </c>
      <c r="H368" s="5">
        <f t="shared" si="37"/>
        <v>6.5</v>
      </c>
      <c r="I368" s="8" t="b">
        <f t="shared" si="36"/>
        <v>1</v>
      </c>
    </row>
    <row r="369" spans="1:9">
      <c r="A369" s="5">
        <v>103</v>
      </c>
      <c r="B369" s="6">
        <v>44872</v>
      </c>
      <c r="C369" s="7">
        <v>0.7</v>
      </c>
      <c r="D369" s="9">
        <v>8.2899999999999991</v>
      </c>
      <c r="E369" s="5">
        <v>316.3</v>
      </c>
      <c r="F369" s="5">
        <v>333</v>
      </c>
      <c r="G369" s="6">
        <v>44872</v>
      </c>
      <c r="H369" s="5">
        <f t="shared" si="37"/>
        <v>16.699999999999989</v>
      </c>
      <c r="I369" s="8" t="b">
        <f t="shared" si="36"/>
        <v>1</v>
      </c>
    </row>
    <row r="370" spans="1:9">
      <c r="A370" s="5">
        <v>103</v>
      </c>
      <c r="B370" s="6">
        <v>44873</v>
      </c>
      <c r="C370" s="7">
        <v>0.4</v>
      </c>
      <c r="D370" s="9">
        <v>14.5</v>
      </c>
      <c r="E370" s="5">
        <v>333</v>
      </c>
      <c r="F370" s="5">
        <v>348.3</v>
      </c>
      <c r="G370" s="6">
        <v>44873</v>
      </c>
      <c r="H370" s="5">
        <f t="shared" si="37"/>
        <v>15.300000000000011</v>
      </c>
      <c r="I370" s="8" t="b">
        <f t="shared" ref="I370:I375" si="38">E370=F369</f>
        <v>1</v>
      </c>
    </row>
    <row r="371" spans="1:9">
      <c r="A371" s="5">
        <v>103</v>
      </c>
      <c r="B371" s="6">
        <v>44874</v>
      </c>
      <c r="C371" s="7">
        <v>0.5</v>
      </c>
      <c r="D371" s="9">
        <v>11.6</v>
      </c>
      <c r="E371" s="5">
        <v>348.3</v>
      </c>
      <c r="F371" s="5">
        <v>359.8</v>
      </c>
      <c r="G371" s="6">
        <v>44874</v>
      </c>
      <c r="H371" s="5">
        <f t="shared" si="37"/>
        <v>11.5</v>
      </c>
      <c r="I371" s="8" t="b">
        <f t="shared" si="38"/>
        <v>1</v>
      </c>
    </row>
    <row r="372" spans="1:9">
      <c r="A372" s="5">
        <v>103</v>
      </c>
      <c r="B372" s="6">
        <v>44875</v>
      </c>
      <c r="C372" s="7">
        <v>0.5</v>
      </c>
      <c r="D372" s="9">
        <v>11.6</v>
      </c>
      <c r="E372" s="5">
        <v>359.8</v>
      </c>
      <c r="F372" s="5">
        <v>371.4</v>
      </c>
      <c r="G372" s="6">
        <v>44875</v>
      </c>
      <c r="H372" s="5">
        <f t="shared" si="37"/>
        <v>11.599999999999966</v>
      </c>
      <c r="I372" s="8" t="b">
        <f t="shared" si="38"/>
        <v>1</v>
      </c>
    </row>
    <row r="373" spans="1:9">
      <c r="A373" s="5">
        <v>103</v>
      </c>
      <c r="B373" s="6">
        <v>44876</v>
      </c>
      <c r="C373" s="7">
        <v>0.5</v>
      </c>
      <c r="D373" s="9">
        <v>11.6</v>
      </c>
      <c r="E373" s="5">
        <v>371.4</v>
      </c>
      <c r="F373" s="5">
        <v>382.7</v>
      </c>
      <c r="G373" s="6">
        <v>44876</v>
      </c>
      <c r="H373" s="5">
        <f t="shared" si="37"/>
        <v>11.300000000000011</v>
      </c>
      <c r="I373" s="8" t="b">
        <f t="shared" si="38"/>
        <v>1</v>
      </c>
    </row>
    <row r="374" spans="1:9">
      <c r="A374" s="5">
        <v>103</v>
      </c>
      <c r="B374" s="6"/>
      <c r="C374" s="7"/>
      <c r="D374" s="9"/>
      <c r="E374" s="5"/>
      <c r="F374" s="5"/>
      <c r="G374" s="6"/>
      <c r="H374" s="5">
        <f t="shared" si="37"/>
        <v>0</v>
      </c>
      <c r="I374" s="8" t="b">
        <f t="shared" si="38"/>
        <v>0</v>
      </c>
    </row>
    <row r="375" spans="1:9">
      <c r="A375" s="5">
        <v>103</v>
      </c>
      <c r="B375" s="6"/>
      <c r="C375" s="7"/>
      <c r="D375" s="9"/>
      <c r="E375" s="5"/>
      <c r="F375" s="5"/>
      <c r="G375" s="6"/>
      <c r="H375" s="5">
        <f t="shared" si="37"/>
        <v>0</v>
      </c>
      <c r="I375" s="8" t="b">
        <f t="shared" si="38"/>
        <v>1</v>
      </c>
    </row>
    <row r="378" spans="1:9" ht="26.25">
      <c r="A378" s="171" t="s">
        <v>49</v>
      </c>
      <c r="B378" s="172"/>
      <c r="C378" s="172"/>
      <c r="D378" s="172"/>
      <c r="E378" s="172"/>
      <c r="F378" s="172"/>
      <c r="G378" s="172"/>
      <c r="H378" s="172"/>
      <c r="I378" s="173"/>
    </row>
    <row r="379" spans="1:9" ht="26.25">
      <c r="A379" s="171" t="s">
        <v>17</v>
      </c>
      <c r="B379" s="172"/>
      <c r="C379" s="172"/>
      <c r="D379" s="172"/>
      <c r="E379" s="172"/>
      <c r="F379" s="172"/>
      <c r="G379" s="172"/>
      <c r="H379" s="172"/>
      <c r="I379" s="173"/>
    </row>
    <row r="380" spans="1:9" ht="15.75" thickBot="1"/>
    <row r="381" spans="1:9" ht="15.75" thickBot="1">
      <c r="A381" s="132" t="s">
        <v>2</v>
      </c>
      <c r="B381" s="133"/>
      <c r="C381" s="133"/>
      <c r="D381" s="133"/>
      <c r="E381" s="133"/>
      <c r="F381" s="133"/>
      <c r="G381" s="133"/>
      <c r="H381" s="133"/>
      <c r="I381" s="134"/>
    </row>
    <row r="383" spans="1:9" ht="19.5" thickBot="1">
      <c r="A383" s="1" t="s">
        <v>3</v>
      </c>
      <c r="B383" s="1"/>
      <c r="C383" s="1"/>
      <c r="D383" s="1"/>
      <c r="E383" s="1"/>
      <c r="F383" s="1"/>
      <c r="G383" s="1"/>
    </row>
    <row r="384" spans="1:9" ht="30.75" thickBot="1">
      <c r="A384" s="2" t="s">
        <v>4</v>
      </c>
      <c r="B384" s="3" t="s">
        <v>5</v>
      </c>
      <c r="C384" s="3" t="s">
        <v>6</v>
      </c>
      <c r="D384" s="3" t="s">
        <v>7</v>
      </c>
      <c r="E384" s="3" t="s">
        <v>8</v>
      </c>
      <c r="F384" s="3" t="s">
        <v>9</v>
      </c>
      <c r="G384" s="3" t="s">
        <v>10</v>
      </c>
      <c r="H384" s="4" t="s">
        <v>11</v>
      </c>
      <c r="I384" s="4" t="s">
        <v>12</v>
      </c>
    </row>
    <row r="385" spans="1:9">
      <c r="A385" s="25">
        <v>103</v>
      </c>
      <c r="B385" s="26">
        <v>44922</v>
      </c>
      <c r="C385" s="27">
        <v>1</v>
      </c>
      <c r="D385" s="34">
        <v>5.8</v>
      </c>
      <c r="E385" s="25">
        <v>0</v>
      </c>
      <c r="F385" s="25">
        <v>12</v>
      </c>
      <c r="G385" s="26">
        <v>44922</v>
      </c>
      <c r="H385" s="25">
        <f t="shared" ref="H385" si="39">F385-E385</f>
        <v>12</v>
      </c>
      <c r="I385" s="8" t="b">
        <f>E385=F373</f>
        <v>0</v>
      </c>
    </row>
    <row r="386" spans="1:9">
      <c r="A386" s="5">
        <v>103</v>
      </c>
      <c r="B386" s="6">
        <v>44950</v>
      </c>
      <c r="C386" s="7">
        <v>1</v>
      </c>
      <c r="D386" s="9">
        <v>5.8</v>
      </c>
      <c r="E386" s="5">
        <v>12</v>
      </c>
      <c r="F386" s="5">
        <v>23.9</v>
      </c>
      <c r="G386" s="6">
        <v>44950</v>
      </c>
      <c r="H386" s="5">
        <f>F386-E386</f>
        <v>11.899999999999999</v>
      </c>
      <c r="I386" s="8" t="b">
        <f>E386=F385</f>
        <v>1</v>
      </c>
    </row>
    <row r="387" spans="1:9">
      <c r="A387" s="5">
        <v>103</v>
      </c>
      <c r="B387" s="6">
        <v>44957</v>
      </c>
      <c r="C387" s="7">
        <v>0.7</v>
      </c>
      <c r="D387" s="9">
        <v>8.2899999999999991</v>
      </c>
      <c r="E387" s="5">
        <v>23.9</v>
      </c>
      <c r="F387" s="5">
        <v>40.700000000000003</v>
      </c>
      <c r="G387" s="6">
        <v>44957</v>
      </c>
      <c r="H387" s="5">
        <f>F387-E387</f>
        <v>16.800000000000004</v>
      </c>
      <c r="I387" s="8" t="b">
        <f t="shared" ref="I387:I389" si="40">E387=F386</f>
        <v>1</v>
      </c>
    </row>
    <row r="388" spans="1:9">
      <c r="A388" s="5">
        <v>103</v>
      </c>
      <c r="B388" s="6" t="s">
        <v>54</v>
      </c>
      <c r="C388" s="7">
        <v>0.7</v>
      </c>
      <c r="D388" s="9">
        <v>8.2899999999999991</v>
      </c>
      <c r="E388" s="5">
        <v>40.700000000000003</v>
      </c>
      <c r="F388" s="5">
        <v>57.4</v>
      </c>
      <c r="G388" s="6">
        <v>44963</v>
      </c>
      <c r="H388" s="5">
        <f>F388-E388</f>
        <v>16.699999999999996</v>
      </c>
      <c r="I388" s="8" t="b">
        <f t="shared" si="40"/>
        <v>1</v>
      </c>
    </row>
    <row r="389" spans="1:9">
      <c r="A389" s="5">
        <v>103</v>
      </c>
      <c r="B389" s="6">
        <v>44967</v>
      </c>
      <c r="C389" s="7">
        <v>0.7</v>
      </c>
      <c r="D389" s="9">
        <v>8.2899999999999991</v>
      </c>
      <c r="E389" s="5">
        <v>57.4</v>
      </c>
      <c r="F389" s="5">
        <v>72.8</v>
      </c>
      <c r="G389" s="6">
        <v>44967</v>
      </c>
      <c r="H389" s="5">
        <f>F389-E389</f>
        <v>15.399999999999999</v>
      </c>
      <c r="I389" s="8" t="b">
        <f t="shared" si="40"/>
        <v>1</v>
      </c>
    </row>
    <row r="390" spans="1:9">
      <c r="A390" s="5">
        <v>103</v>
      </c>
      <c r="B390" s="6">
        <v>44970</v>
      </c>
      <c r="C390" s="7">
        <v>0.7</v>
      </c>
      <c r="D390" s="9">
        <v>8.2899999999999991</v>
      </c>
      <c r="E390" s="5">
        <v>72.8</v>
      </c>
      <c r="F390" s="5">
        <v>90</v>
      </c>
      <c r="G390" s="6">
        <v>44970</v>
      </c>
      <c r="H390" s="5">
        <f t="shared" ref="H390:H400" si="41">F390-E390</f>
        <v>17.200000000000003</v>
      </c>
      <c r="I390" s="8" t="b">
        <f t="shared" ref="I390:I400" si="42">E390=F389</f>
        <v>1</v>
      </c>
    </row>
    <row r="391" spans="1:9">
      <c r="A391" s="5">
        <v>103</v>
      </c>
      <c r="B391" s="6">
        <v>44973</v>
      </c>
      <c r="C391" s="7">
        <v>0.7</v>
      </c>
      <c r="D391" s="9">
        <v>8.2899999999999991</v>
      </c>
      <c r="E391" s="5">
        <v>90</v>
      </c>
      <c r="F391" s="5">
        <v>106.5</v>
      </c>
      <c r="G391" s="6">
        <v>44973</v>
      </c>
      <c r="H391" s="5">
        <f t="shared" si="41"/>
        <v>16.5</v>
      </c>
      <c r="I391" s="8" t="b">
        <f t="shared" si="42"/>
        <v>1</v>
      </c>
    </row>
    <row r="392" spans="1:9">
      <c r="A392" s="5">
        <v>103</v>
      </c>
      <c r="B392" s="6">
        <v>44976</v>
      </c>
      <c r="C392" s="7">
        <v>0.7</v>
      </c>
      <c r="D392" s="9">
        <v>8.2899999999999991</v>
      </c>
      <c r="E392" s="5">
        <v>106.5</v>
      </c>
      <c r="F392" s="5">
        <v>123.1</v>
      </c>
      <c r="G392" s="6">
        <v>44976</v>
      </c>
      <c r="H392" s="5">
        <v>8.2899999999999991</v>
      </c>
      <c r="I392" s="8" t="b">
        <f t="shared" si="42"/>
        <v>1</v>
      </c>
    </row>
    <row r="393" spans="1:9">
      <c r="A393" s="5">
        <v>103</v>
      </c>
      <c r="B393" s="6">
        <v>44980</v>
      </c>
      <c r="C393" s="7">
        <v>0.7</v>
      </c>
      <c r="D393" s="9">
        <v>8.2899999999999991</v>
      </c>
      <c r="E393" s="5">
        <v>123.1</v>
      </c>
      <c r="F393" s="5">
        <v>139.30000000000001</v>
      </c>
      <c r="G393" s="6">
        <v>44980</v>
      </c>
      <c r="H393" s="5">
        <f t="shared" si="41"/>
        <v>16.200000000000017</v>
      </c>
      <c r="I393" s="8" t="b">
        <f t="shared" si="42"/>
        <v>1</v>
      </c>
    </row>
    <row r="394" spans="1:9">
      <c r="A394" s="5">
        <v>103</v>
      </c>
      <c r="B394" s="6">
        <v>44990</v>
      </c>
      <c r="C394" s="7">
        <v>0.6</v>
      </c>
      <c r="D394" s="9">
        <v>9.67</v>
      </c>
      <c r="E394" s="5">
        <v>139.30000000000001</v>
      </c>
      <c r="F394" s="5">
        <v>157.69999999999999</v>
      </c>
      <c r="G394" s="6">
        <v>44990</v>
      </c>
      <c r="H394" s="5">
        <f t="shared" si="41"/>
        <v>18.399999999999977</v>
      </c>
      <c r="I394" s="8" t="b">
        <f t="shared" si="42"/>
        <v>1</v>
      </c>
    </row>
    <row r="395" spans="1:9">
      <c r="A395" s="5">
        <v>103</v>
      </c>
      <c r="B395" s="6">
        <v>44992</v>
      </c>
      <c r="C395" s="7">
        <v>0.6</v>
      </c>
      <c r="D395" s="9">
        <v>9.67</v>
      </c>
      <c r="E395" s="5">
        <v>157.69999999999999</v>
      </c>
      <c r="F395" s="5">
        <v>171.2</v>
      </c>
      <c r="G395" s="6">
        <v>44992</v>
      </c>
      <c r="H395" s="5">
        <f t="shared" si="41"/>
        <v>13.5</v>
      </c>
      <c r="I395" s="8" t="b">
        <f t="shared" si="42"/>
        <v>1</v>
      </c>
    </row>
    <row r="396" spans="1:9">
      <c r="A396" s="5">
        <v>103</v>
      </c>
      <c r="B396" s="6">
        <v>44994</v>
      </c>
      <c r="C396" s="7">
        <v>0.6</v>
      </c>
      <c r="D396" s="9">
        <v>9.67</v>
      </c>
      <c r="E396" s="5">
        <v>171.2</v>
      </c>
      <c r="F396" s="5">
        <v>190.4</v>
      </c>
      <c r="G396" s="6">
        <v>44994</v>
      </c>
      <c r="H396" s="5">
        <f t="shared" si="41"/>
        <v>19.200000000000017</v>
      </c>
      <c r="I396" s="8" t="b">
        <f t="shared" si="42"/>
        <v>1</v>
      </c>
    </row>
    <row r="397" spans="1:9">
      <c r="A397" s="5">
        <v>103</v>
      </c>
      <c r="B397" s="6">
        <v>44997</v>
      </c>
      <c r="C397" s="7">
        <v>0.6</v>
      </c>
      <c r="D397" s="9">
        <v>9.67</v>
      </c>
      <c r="E397" s="5">
        <v>190.4</v>
      </c>
      <c r="F397" s="5">
        <v>207.1</v>
      </c>
      <c r="G397" s="6">
        <v>44997</v>
      </c>
      <c r="H397" s="5">
        <f t="shared" si="41"/>
        <v>16.699999999999989</v>
      </c>
      <c r="I397" s="8" t="b">
        <f t="shared" si="42"/>
        <v>1</v>
      </c>
    </row>
    <row r="398" spans="1:9">
      <c r="A398" s="5">
        <v>103</v>
      </c>
      <c r="B398" s="6">
        <v>44999</v>
      </c>
      <c r="C398" s="7">
        <v>0.6</v>
      </c>
      <c r="D398" s="9">
        <v>9.67</v>
      </c>
      <c r="E398" s="5">
        <v>207.1</v>
      </c>
      <c r="F398" s="5">
        <v>226.5</v>
      </c>
      <c r="G398" s="6">
        <v>44999</v>
      </c>
      <c r="H398" s="5">
        <f t="shared" si="41"/>
        <v>19.400000000000006</v>
      </c>
      <c r="I398" s="8" t="b">
        <f t="shared" si="42"/>
        <v>1</v>
      </c>
    </row>
    <row r="399" spans="1:9">
      <c r="A399" s="5">
        <v>103</v>
      </c>
      <c r="B399" s="6">
        <v>45000</v>
      </c>
      <c r="C399" s="7">
        <v>0.7</v>
      </c>
      <c r="D399" s="9">
        <v>8.2899999999999991</v>
      </c>
      <c r="E399" s="5">
        <v>226.5</v>
      </c>
      <c r="F399" s="5">
        <v>245.7</v>
      </c>
      <c r="G399" s="6">
        <v>45000</v>
      </c>
      <c r="H399" s="5">
        <f t="shared" si="41"/>
        <v>19.199999999999989</v>
      </c>
      <c r="I399" s="8" t="b">
        <f t="shared" si="42"/>
        <v>1</v>
      </c>
    </row>
    <row r="400" spans="1:9">
      <c r="A400" s="5">
        <v>103</v>
      </c>
      <c r="B400" s="6">
        <v>45007</v>
      </c>
      <c r="C400" s="7">
        <v>0.6</v>
      </c>
      <c r="D400" s="9">
        <v>9.67</v>
      </c>
      <c r="E400" s="5">
        <v>245.7</v>
      </c>
      <c r="F400" s="5">
        <v>265.7</v>
      </c>
      <c r="G400" s="6">
        <v>45007</v>
      </c>
      <c r="H400" s="5">
        <f t="shared" si="41"/>
        <v>20</v>
      </c>
      <c r="I400" s="8" t="b">
        <f t="shared" si="42"/>
        <v>1</v>
      </c>
    </row>
    <row r="401" spans="1:9">
      <c r="A401" s="5">
        <v>103</v>
      </c>
      <c r="B401" s="6">
        <v>45010</v>
      </c>
      <c r="C401" s="7">
        <v>0.4</v>
      </c>
      <c r="D401" s="9">
        <v>14.5</v>
      </c>
      <c r="E401" s="5">
        <v>265.7</v>
      </c>
      <c r="F401" s="5">
        <v>292.89999999999998</v>
      </c>
      <c r="G401" s="6">
        <v>45010</v>
      </c>
      <c r="H401" s="5">
        <f t="shared" ref="H401:H408" si="43">F401-E401</f>
        <v>27.199999999999989</v>
      </c>
      <c r="I401" s="8" t="b">
        <f t="shared" ref="I401:I408" si="44">E401=F400</f>
        <v>1</v>
      </c>
    </row>
    <row r="402" spans="1:9">
      <c r="A402" s="5">
        <v>103</v>
      </c>
      <c r="B402" s="6">
        <v>45013</v>
      </c>
      <c r="C402" s="7">
        <v>0.6</v>
      </c>
      <c r="D402" s="9">
        <v>9.67</v>
      </c>
      <c r="E402" s="5">
        <v>292.89999999999998</v>
      </c>
      <c r="F402" s="5">
        <v>312.2</v>
      </c>
      <c r="G402" s="6">
        <v>45013</v>
      </c>
      <c r="H402" s="5">
        <f t="shared" si="43"/>
        <v>19.300000000000011</v>
      </c>
      <c r="I402" s="8" t="b">
        <f t="shared" si="44"/>
        <v>1</v>
      </c>
    </row>
    <row r="403" spans="1:9">
      <c r="A403" s="5">
        <v>103</v>
      </c>
      <c r="B403" s="6">
        <v>45016</v>
      </c>
      <c r="C403" s="7">
        <v>0.6</v>
      </c>
      <c r="D403" s="9">
        <v>9.67</v>
      </c>
      <c r="E403" s="5">
        <v>312.2</v>
      </c>
      <c r="F403" s="5">
        <v>331.5</v>
      </c>
      <c r="G403" s="6">
        <v>45016</v>
      </c>
      <c r="H403" s="5">
        <f t="shared" si="43"/>
        <v>19.300000000000011</v>
      </c>
      <c r="I403" s="8" t="b">
        <f t="shared" si="44"/>
        <v>1</v>
      </c>
    </row>
    <row r="404" spans="1:9">
      <c r="A404" s="5">
        <v>103</v>
      </c>
      <c r="B404" s="6">
        <v>45022</v>
      </c>
      <c r="C404" s="7">
        <v>0.7</v>
      </c>
      <c r="D404" s="9">
        <v>8.2899999999999991</v>
      </c>
      <c r="E404" s="5">
        <v>331.5</v>
      </c>
      <c r="F404" s="5">
        <v>348.1</v>
      </c>
      <c r="G404" s="6">
        <v>45022</v>
      </c>
      <c r="H404" s="5">
        <f t="shared" si="43"/>
        <v>16.600000000000023</v>
      </c>
      <c r="I404" s="8" t="b">
        <f t="shared" si="44"/>
        <v>1</v>
      </c>
    </row>
    <row r="405" spans="1:9">
      <c r="A405" s="5">
        <v>103</v>
      </c>
      <c r="B405" s="6">
        <v>45029</v>
      </c>
      <c r="C405" s="7">
        <v>0.6</v>
      </c>
      <c r="D405" s="9">
        <v>9.67</v>
      </c>
      <c r="E405" s="5">
        <v>348.1</v>
      </c>
      <c r="F405" s="5">
        <v>367.4</v>
      </c>
      <c r="G405" s="6">
        <v>45029</v>
      </c>
      <c r="H405" s="5">
        <f t="shared" si="43"/>
        <v>19.299999999999955</v>
      </c>
      <c r="I405" s="8" t="b">
        <f t="shared" si="44"/>
        <v>1</v>
      </c>
    </row>
    <row r="406" spans="1:9">
      <c r="A406" s="5">
        <v>103</v>
      </c>
      <c r="B406" s="6">
        <v>45038</v>
      </c>
      <c r="C406" s="7">
        <v>0.6</v>
      </c>
      <c r="D406" s="9">
        <v>9.67</v>
      </c>
      <c r="E406" s="5">
        <v>367.4</v>
      </c>
      <c r="F406" s="5">
        <v>386.7</v>
      </c>
      <c r="G406" s="6">
        <v>45038</v>
      </c>
      <c r="H406" s="5">
        <f t="shared" si="43"/>
        <v>19.300000000000011</v>
      </c>
      <c r="I406" s="8" t="b">
        <f t="shared" si="44"/>
        <v>1</v>
      </c>
    </row>
    <row r="407" spans="1:9">
      <c r="A407" s="5">
        <v>103</v>
      </c>
      <c r="B407" s="6">
        <v>45043</v>
      </c>
      <c r="C407" s="7">
        <v>0.6</v>
      </c>
      <c r="D407" s="9">
        <v>9.67</v>
      </c>
      <c r="E407" s="5">
        <v>386.7</v>
      </c>
      <c r="F407" s="5">
        <v>405.9</v>
      </c>
      <c r="G407" s="6">
        <v>45043</v>
      </c>
      <c r="H407" s="5">
        <f t="shared" si="43"/>
        <v>19.199999999999989</v>
      </c>
      <c r="I407" s="8" t="b">
        <f t="shared" si="44"/>
        <v>1</v>
      </c>
    </row>
    <row r="408" spans="1:9">
      <c r="A408" s="5">
        <v>103</v>
      </c>
      <c r="B408" s="6"/>
      <c r="C408" s="7"/>
      <c r="D408" s="9"/>
      <c r="E408" s="5"/>
      <c r="F408" s="5"/>
      <c r="G408" s="6"/>
      <c r="H408" s="5">
        <f t="shared" si="43"/>
        <v>0</v>
      </c>
      <c r="I408" s="8" t="b">
        <f t="shared" si="44"/>
        <v>0</v>
      </c>
    </row>
    <row r="410" spans="1:9" ht="26.25">
      <c r="A410" s="171" t="s">
        <v>49</v>
      </c>
      <c r="B410" s="172"/>
      <c r="C410" s="172"/>
      <c r="D410" s="172"/>
      <c r="E410" s="172"/>
      <c r="F410" s="172"/>
      <c r="G410" s="172"/>
      <c r="H410" s="172"/>
      <c r="I410" s="173"/>
    </row>
    <row r="411" spans="1:9" ht="26.25">
      <c r="A411" s="171" t="s">
        <v>18</v>
      </c>
      <c r="B411" s="172"/>
      <c r="C411" s="172"/>
      <c r="D411" s="172"/>
      <c r="E411" s="172"/>
      <c r="F411" s="172"/>
      <c r="G411" s="172"/>
      <c r="H411" s="172"/>
      <c r="I411" s="173"/>
    </row>
    <row r="413" spans="1:9">
      <c r="A413" s="132" t="s">
        <v>2</v>
      </c>
      <c r="B413" s="133"/>
      <c r="C413" s="133"/>
      <c r="D413" s="133"/>
      <c r="E413" s="133"/>
      <c r="F413" s="133"/>
      <c r="G413" s="133"/>
      <c r="H413" s="133"/>
      <c r="I413" s="134"/>
    </row>
    <row r="415" spans="1:9" ht="18.75">
      <c r="A415" s="1" t="s">
        <v>3</v>
      </c>
      <c r="B415" s="1"/>
      <c r="C415" s="1"/>
      <c r="D415" s="1"/>
      <c r="E415" s="1"/>
      <c r="F415" s="1"/>
      <c r="G415" s="1"/>
    </row>
    <row r="416" spans="1:9" ht="30">
      <c r="A416" s="2" t="s">
        <v>4</v>
      </c>
      <c r="B416" s="3" t="s">
        <v>5</v>
      </c>
      <c r="C416" s="3" t="s">
        <v>6</v>
      </c>
      <c r="D416" s="3" t="s">
        <v>7</v>
      </c>
      <c r="E416" s="3" t="s">
        <v>8</v>
      </c>
      <c r="F416" s="3" t="s">
        <v>9</v>
      </c>
      <c r="G416" s="3" t="s">
        <v>10</v>
      </c>
      <c r="H416" s="4" t="s">
        <v>11</v>
      </c>
      <c r="I416" s="4" t="s">
        <v>12</v>
      </c>
    </row>
    <row r="417" spans="1:9">
      <c r="A417" s="5">
        <v>103</v>
      </c>
      <c r="B417" s="6">
        <v>45113</v>
      </c>
      <c r="C417" s="7">
        <v>0.4</v>
      </c>
      <c r="D417" s="9">
        <v>14.5</v>
      </c>
      <c r="E417" s="5">
        <v>405.9</v>
      </c>
      <c r="F417" s="5">
        <v>420.8</v>
      </c>
      <c r="G417" s="6">
        <v>45113</v>
      </c>
      <c r="H417" s="5">
        <f>F417-E417</f>
        <v>14.900000000000034</v>
      </c>
      <c r="I417" s="8" t="b">
        <f>E417=F407</f>
        <v>1</v>
      </c>
    </row>
    <row r="418" spans="1:9">
      <c r="A418" s="5">
        <v>103</v>
      </c>
      <c r="B418" s="6">
        <v>45114</v>
      </c>
      <c r="C418" s="7">
        <v>0.4</v>
      </c>
      <c r="D418" s="9">
        <v>14.5</v>
      </c>
      <c r="E418" s="5">
        <v>420.8</v>
      </c>
      <c r="F418" s="5">
        <v>434.9</v>
      </c>
      <c r="G418" s="6">
        <v>45114</v>
      </c>
      <c r="H418" s="5">
        <f>F418-E418</f>
        <v>14.099999999999966</v>
      </c>
      <c r="I418" s="8" t="b">
        <f>E418=F417</f>
        <v>1</v>
      </c>
    </row>
    <row r="419" spans="1:9">
      <c r="A419" s="5">
        <v>103</v>
      </c>
      <c r="B419" s="6">
        <v>45117</v>
      </c>
      <c r="C419" s="7">
        <v>0.4</v>
      </c>
      <c r="D419" s="9">
        <v>14.5</v>
      </c>
      <c r="E419" s="5">
        <v>434.9</v>
      </c>
      <c r="F419" s="5">
        <v>449.8</v>
      </c>
      <c r="G419" s="6">
        <v>45117</v>
      </c>
      <c r="H419" s="5">
        <f>F419-E419</f>
        <v>14.900000000000034</v>
      </c>
      <c r="I419" s="8" t="b">
        <f t="shared" ref="I419:I421" si="45">E419=F418</f>
        <v>1</v>
      </c>
    </row>
    <row r="420" spans="1:9">
      <c r="A420" s="5">
        <v>103</v>
      </c>
      <c r="B420" s="6">
        <v>45118</v>
      </c>
      <c r="C420" s="7">
        <v>0.4</v>
      </c>
      <c r="D420" s="9">
        <v>14.5</v>
      </c>
      <c r="E420" s="5">
        <v>449.8</v>
      </c>
      <c r="F420" s="5">
        <v>463.8</v>
      </c>
      <c r="G420" s="6">
        <v>45118</v>
      </c>
      <c r="H420" s="5">
        <f>F420-E420</f>
        <v>14</v>
      </c>
      <c r="I420" s="8" t="b">
        <f>E420=F419</f>
        <v>1</v>
      </c>
    </row>
    <row r="421" spans="1:9">
      <c r="A421" s="5">
        <v>103</v>
      </c>
      <c r="B421" s="6">
        <v>45121</v>
      </c>
      <c r="C421" s="7">
        <v>0.4</v>
      </c>
      <c r="D421" s="9">
        <v>14.5</v>
      </c>
      <c r="E421" s="5">
        <v>463.8</v>
      </c>
      <c r="F421" s="5">
        <v>478.7</v>
      </c>
      <c r="G421" s="6">
        <v>45121</v>
      </c>
      <c r="H421" s="5">
        <f t="shared" ref="H421" si="46">F421-E421</f>
        <v>14.899999999999977</v>
      </c>
      <c r="I421" s="8" t="b">
        <f t="shared" si="45"/>
        <v>1</v>
      </c>
    </row>
    <row r="422" spans="1:9">
      <c r="A422" s="5">
        <v>103</v>
      </c>
      <c r="B422" s="6">
        <v>45122</v>
      </c>
      <c r="C422" s="7">
        <v>0.4</v>
      </c>
      <c r="D422" s="9">
        <v>14.5</v>
      </c>
      <c r="E422" s="5">
        <v>478.7</v>
      </c>
      <c r="F422" s="5">
        <v>492.9</v>
      </c>
      <c r="G422" s="6">
        <v>45122</v>
      </c>
      <c r="H422" s="5">
        <f t="shared" ref="H422:H432" si="47">F422-E422</f>
        <v>14.199999999999989</v>
      </c>
      <c r="I422" s="8" t="b">
        <f t="shared" ref="I422:I432" si="48">E422=F421</f>
        <v>1</v>
      </c>
    </row>
    <row r="423" spans="1:9">
      <c r="A423" s="5">
        <v>103</v>
      </c>
      <c r="B423" s="6">
        <v>45169</v>
      </c>
      <c r="C423" s="7">
        <v>0.8</v>
      </c>
      <c r="D423" s="9">
        <v>6.4</v>
      </c>
      <c r="E423" s="5">
        <v>492.9</v>
      </c>
      <c r="F423" s="5">
        <v>503.2</v>
      </c>
      <c r="G423" s="6">
        <v>45169</v>
      </c>
      <c r="H423" s="5">
        <f t="shared" si="47"/>
        <v>10.300000000000011</v>
      </c>
      <c r="I423" s="8" t="b">
        <f t="shared" si="48"/>
        <v>1</v>
      </c>
    </row>
    <row r="424" spans="1:9" ht="26.25">
      <c r="A424" s="171" t="s">
        <v>49</v>
      </c>
      <c r="B424" s="172"/>
      <c r="C424" s="172"/>
      <c r="D424" s="172"/>
      <c r="E424" s="172"/>
      <c r="F424" s="172"/>
      <c r="G424" s="172"/>
      <c r="H424" s="172"/>
      <c r="I424" s="173"/>
    </row>
    <row r="425" spans="1:9" ht="26.25">
      <c r="A425" s="171" t="s">
        <v>19</v>
      </c>
      <c r="B425" s="172"/>
      <c r="C425" s="172"/>
      <c r="D425" s="172"/>
      <c r="E425" s="172"/>
      <c r="F425" s="172"/>
      <c r="G425" s="172"/>
      <c r="H425" s="172"/>
      <c r="I425" s="173"/>
    </row>
    <row r="426" spans="1:9" ht="15.75" thickBot="1"/>
    <row r="427" spans="1:9" ht="15.75" thickBot="1">
      <c r="A427" s="132" t="s">
        <v>2</v>
      </c>
      <c r="B427" s="133"/>
      <c r="C427" s="133"/>
      <c r="D427" s="133"/>
      <c r="E427" s="133"/>
      <c r="F427" s="133"/>
      <c r="G427" s="133"/>
      <c r="H427" s="133"/>
      <c r="I427" s="134"/>
    </row>
    <row r="429" spans="1:9" ht="19.5" thickBot="1">
      <c r="A429" s="1" t="s">
        <v>3</v>
      </c>
      <c r="B429" s="1"/>
      <c r="C429" s="1"/>
      <c r="D429" s="1"/>
      <c r="E429" s="1"/>
      <c r="F429" s="1"/>
      <c r="G429" s="1"/>
    </row>
    <row r="430" spans="1:9" ht="30.75" thickBot="1">
      <c r="A430" s="2" t="s">
        <v>4</v>
      </c>
      <c r="B430" s="3" t="s">
        <v>5</v>
      </c>
      <c r="C430" s="3" t="s">
        <v>6</v>
      </c>
      <c r="D430" s="3" t="s">
        <v>7</v>
      </c>
      <c r="E430" s="3" t="s">
        <v>8</v>
      </c>
      <c r="F430" s="3" t="s">
        <v>9</v>
      </c>
      <c r="G430" s="3" t="s">
        <v>10</v>
      </c>
      <c r="H430" s="4" t="s">
        <v>11</v>
      </c>
      <c r="I430" s="4" t="s">
        <v>12</v>
      </c>
    </row>
    <row r="431" spans="1:9">
      <c r="A431" s="5">
        <v>103</v>
      </c>
      <c r="B431" s="6">
        <v>45273</v>
      </c>
      <c r="C431" s="7">
        <v>0.5</v>
      </c>
      <c r="D431" s="9">
        <v>9.67</v>
      </c>
      <c r="E431" s="5">
        <v>503.2</v>
      </c>
      <c r="F431" s="5">
        <v>526.1</v>
      </c>
      <c r="G431" s="6">
        <v>45273</v>
      </c>
      <c r="H431" s="5">
        <f t="shared" si="47"/>
        <v>22.900000000000034</v>
      </c>
      <c r="I431" s="8" t="b">
        <f t="shared" si="48"/>
        <v>0</v>
      </c>
    </row>
    <row r="432" spans="1:9">
      <c r="A432" s="5">
        <v>103</v>
      </c>
      <c r="B432" s="6">
        <v>45274</v>
      </c>
      <c r="C432" s="7">
        <v>0.6</v>
      </c>
      <c r="D432" s="9">
        <v>9.67</v>
      </c>
      <c r="E432" s="5">
        <v>526.1</v>
      </c>
      <c r="F432" s="5">
        <v>545</v>
      </c>
      <c r="G432" s="6">
        <v>45274</v>
      </c>
      <c r="H432" s="5">
        <f t="shared" si="47"/>
        <v>18.899999999999977</v>
      </c>
      <c r="I432" s="8" t="b">
        <f t="shared" si="48"/>
        <v>1</v>
      </c>
    </row>
    <row r="433" spans="1:9">
      <c r="A433" s="5">
        <v>103</v>
      </c>
      <c r="B433" s="6">
        <v>45279</v>
      </c>
      <c r="C433" s="7">
        <v>0.6</v>
      </c>
      <c r="D433" s="9">
        <v>9.67</v>
      </c>
      <c r="E433" s="5">
        <v>545</v>
      </c>
      <c r="F433" s="5">
        <v>564.1</v>
      </c>
      <c r="G433" s="6">
        <v>45279</v>
      </c>
      <c r="H433" s="5">
        <f t="shared" ref="H433:H457" si="49">F433-E433</f>
        <v>19.100000000000023</v>
      </c>
      <c r="I433" s="8" t="b">
        <f t="shared" ref="I433:I457" si="50">E433=F432</f>
        <v>1</v>
      </c>
    </row>
    <row r="434" spans="1:9">
      <c r="A434" s="101">
        <v>103</v>
      </c>
      <c r="B434" s="102">
        <v>45280</v>
      </c>
      <c r="C434" s="103">
        <v>0.6</v>
      </c>
      <c r="D434" s="107">
        <v>9.67</v>
      </c>
      <c r="E434" s="101">
        <v>564.1</v>
      </c>
      <c r="F434" s="101">
        <v>566.5</v>
      </c>
      <c r="G434" s="102">
        <v>45280</v>
      </c>
      <c r="H434" s="101">
        <f t="shared" si="49"/>
        <v>2.3999999999999773</v>
      </c>
      <c r="I434" s="8" t="b">
        <f t="shared" si="50"/>
        <v>1</v>
      </c>
    </row>
    <row r="435" spans="1:9">
      <c r="A435" s="5">
        <v>103</v>
      </c>
      <c r="B435" s="6">
        <v>45282</v>
      </c>
      <c r="C435" s="7">
        <v>1</v>
      </c>
      <c r="D435" s="9">
        <v>5.8</v>
      </c>
      <c r="E435" s="5">
        <v>566.5</v>
      </c>
      <c r="F435" s="5">
        <v>579</v>
      </c>
      <c r="G435" s="6">
        <v>45282</v>
      </c>
      <c r="H435" s="5">
        <f t="shared" si="49"/>
        <v>12.5</v>
      </c>
      <c r="I435" s="8" t="b">
        <f t="shared" si="50"/>
        <v>1</v>
      </c>
    </row>
    <row r="436" spans="1:9">
      <c r="A436" s="5">
        <v>103</v>
      </c>
      <c r="B436" s="6">
        <v>45283</v>
      </c>
      <c r="C436" s="7">
        <v>1</v>
      </c>
      <c r="D436" s="9">
        <v>5.8</v>
      </c>
      <c r="E436" s="5">
        <v>579</v>
      </c>
      <c r="F436" s="5">
        <v>591.9</v>
      </c>
      <c r="G436" s="6">
        <v>45283</v>
      </c>
      <c r="H436" s="5">
        <f t="shared" si="49"/>
        <v>12.899999999999977</v>
      </c>
      <c r="I436" s="8" t="b">
        <f t="shared" si="50"/>
        <v>1</v>
      </c>
    </row>
    <row r="437" spans="1:9">
      <c r="A437" s="5">
        <v>103</v>
      </c>
      <c r="B437" s="6">
        <v>45284</v>
      </c>
      <c r="C437" s="7">
        <v>1</v>
      </c>
      <c r="D437" s="9">
        <v>5.8</v>
      </c>
      <c r="E437" s="5">
        <v>591.9</v>
      </c>
      <c r="F437" s="5">
        <v>603.4</v>
      </c>
      <c r="G437" s="6">
        <v>45284</v>
      </c>
      <c r="H437" s="5">
        <f t="shared" si="49"/>
        <v>11.5</v>
      </c>
      <c r="I437" s="8" t="b">
        <f t="shared" si="50"/>
        <v>1</v>
      </c>
    </row>
    <row r="438" spans="1:9">
      <c r="A438" s="5">
        <v>103</v>
      </c>
      <c r="B438" s="6">
        <v>45285</v>
      </c>
      <c r="C438" s="7">
        <v>1</v>
      </c>
      <c r="D438" s="9">
        <v>5.8</v>
      </c>
      <c r="E438" s="5">
        <v>603.4</v>
      </c>
      <c r="F438" s="5">
        <v>614.9</v>
      </c>
      <c r="G438" s="6">
        <v>45285</v>
      </c>
      <c r="H438" s="5">
        <f t="shared" si="49"/>
        <v>11.5</v>
      </c>
      <c r="I438" s="8" t="b">
        <f t="shared" si="50"/>
        <v>1</v>
      </c>
    </row>
    <row r="439" spans="1:9">
      <c r="A439" s="5">
        <v>103</v>
      </c>
      <c r="B439" s="6">
        <v>45286</v>
      </c>
      <c r="C439" s="7">
        <v>0.6</v>
      </c>
      <c r="D439" s="9">
        <v>9.67</v>
      </c>
      <c r="E439" s="5">
        <v>614.9</v>
      </c>
      <c r="F439" s="5">
        <v>634</v>
      </c>
      <c r="G439" s="6">
        <v>45286</v>
      </c>
      <c r="H439" s="5">
        <f t="shared" si="49"/>
        <v>19.100000000000023</v>
      </c>
      <c r="I439" s="8" t="b">
        <f t="shared" si="50"/>
        <v>1</v>
      </c>
    </row>
    <row r="440" spans="1:9">
      <c r="A440" s="5">
        <v>103</v>
      </c>
      <c r="B440" s="6">
        <v>45287</v>
      </c>
      <c r="C440" s="7">
        <v>1</v>
      </c>
      <c r="D440" s="9">
        <v>5.8</v>
      </c>
      <c r="E440" s="5">
        <v>634</v>
      </c>
      <c r="F440" s="5">
        <v>645.5</v>
      </c>
      <c r="G440" s="6">
        <v>45287</v>
      </c>
      <c r="H440" s="5">
        <f t="shared" si="49"/>
        <v>11.5</v>
      </c>
      <c r="I440" s="8" t="b">
        <f t="shared" si="50"/>
        <v>1</v>
      </c>
    </row>
    <row r="441" spans="1:9">
      <c r="A441" s="5">
        <v>103</v>
      </c>
      <c r="B441" s="6">
        <v>45288</v>
      </c>
      <c r="C441" s="7">
        <v>1</v>
      </c>
      <c r="D441" s="9">
        <v>5.8</v>
      </c>
      <c r="E441" s="5">
        <v>645.5</v>
      </c>
      <c r="F441" s="5">
        <v>657</v>
      </c>
      <c r="G441" s="6">
        <v>45288</v>
      </c>
      <c r="H441" s="5">
        <f t="shared" si="49"/>
        <v>11.5</v>
      </c>
      <c r="I441" s="8" t="b">
        <f t="shared" si="50"/>
        <v>1</v>
      </c>
    </row>
    <row r="442" spans="1:9">
      <c r="A442" s="5">
        <v>103</v>
      </c>
      <c r="B442" s="6">
        <v>45289</v>
      </c>
      <c r="C442" s="7">
        <v>1</v>
      </c>
      <c r="D442" s="9">
        <v>5.8</v>
      </c>
      <c r="E442" s="5">
        <v>657</v>
      </c>
      <c r="F442" s="5">
        <v>668.5</v>
      </c>
      <c r="G442" s="6">
        <v>45289</v>
      </c>
      <c r="H442" s="5">
        <f t="shared" si="49"/>
        <v>11.5</v>
      </c>
      <c r="I442" s="8" t="b">
        <f t="shared" si="50"/>
        <v>1</v>
      </c>
    </row>
    <row r="443" spans="1:9">
      <c r="A443" s="5">
        <v>103</v>
      </c>
      <c r="B443" s="6">
        <v>45290</v>
      </c>
      <c r="C443" s="7">
        <v>1</v>
      </c>
      <c r="D443" s="9">
        <v>5.8</v>
      </c>
      <c r="E443" s="5">
        <v>668.5</v>
      </c>
      <c r="F443" s="5">
        <v>680</v>
      </c>
      <c r="G443" s="6">
        <v>45290</v>
      </c>
      <c r="H443" s="5">
        <f t="shared" si="49"/>
        <v>11.5</v>
      </c>
      <c r="I443" s="8" t="b">
        <f t="shared" si="50"/>
        <v>1</v>
      </c>
    </row>
    <row r="444" spans="1:9">
      <c r="A444" s="101">
        <v>103</v>
      </c>
      <c r="B444" s="102">
        <v>45291</v>
      </c>
      <c r="C444" s="103">
        <v>1</v>
      </c>
      <c r="D444" s="107">
        <v>5.8</v>
      </c>
      <c r="E444" s="101">
        <v>680</v>
      </c>
      <c r="F444" s="101">
        <v>680</v>
      </c>
      <c r="G444" s="102">
        <v>45291</v>
      </c>
      <c r="H444" s="101">
        <f t="shared" si="49"/>
        <v>0</v>
      </c>
      <c r="I444" s="8" t="b">
        <f t="shared" si="50"/>
        <v>1</v>
      </c>
    </row>
    <row r="445" spans="1:9">
      <c r="A445" s="5">
        <v>103</v>
      </c>
      <c r="B445" s="6">
        <v>45292</v>
      </c>
      <c r="C445" s="7">
        <v>1</v>
      </c>
      <c r="D445" s="9">
        <v>5.8</v>
      </c>
      <c r="E445" s="5">
        <v>680</v>
      </c>
      <c r="F445" s="5">
        <v>680</v>
      </c>
      <c r="G445" s="6">
        <v>45292</v>
      </c>
      <c r="H445" s="5">
        <f t="shared" si="49"/>
        <v>0</v>
      </c>
      <c r="I445" s="8" t="b">
        <f t="shared" si="50"/>
        <v>1</v>
      </c>
    </row>
    <row r="446" spans="1:9">
      <c r="A446" s="5">
        <v>103</v>
      </c>
      <c r="B446" s="6">
        <v>45302</v>
      </c>
      <c r="C446" s="7">
        <v>1</v>
      </c>
      <c r="D446" s="9">
        <v>5.8</v>
      </c>
      <c r="E446" s="5">
        <v>680</v>
      </c>
      <c r="F446" s="5">
        <v>691.5</v>
      </c>
      <c r="G446" s="6">
        <v>45302</v>
      </c>
      <c r="H446" s="5">
        <f t="shared" si="49"/>
        <v>11.5</v>
      </c>
      <c r="I446" s="8" t="b">
        <f t="shared" si="50"/>
        <v>1</v>
      </c>
    </row>
    <row r="447" spans="1:9">
      <c r="A447" s="5">
        <v>103</v>
      </c>
      <c r="B447" s="6">
        <v>45307</v>
      </c>
      <c r="C447" s="7">
        <v>1</v>
      </c>
      <c r="D447" s="9">
        <v>5.8</v>
      </c>
      <c r="E447" s="5">
        <v>691</v>
      </c>
      <c r="F447" s="5">
        <v>703.3</v>
      </c>
      <c r="G447" s="6">
        <v>45307</v>
      </c>
      <c r="H447" s="5">
        <f t="shared" si="49"/>
        <v>12.299999999999955</v>
      </c>
      <c r="I447" s="8" t="b">
        <f t="shared" si="50"/>
        <v>0</v>
      </c>
    </row>
    <row r="448" spans="1:9">
      <c r="A448" s="5">
        <v>103</v>
      </c>
      <c r="B448" s="6">
        <v>45316</v>
      </c>
      <c r="C448" s="7">
        <v>1</v>
      </c>
      <c r="D448" s="9">
        <v>5.8</v>
      </c>
      <c r="E448" s="5">
        <v>703</v>
      </c>
      <c r="F448" s="5">
        <v>714.5</v>
      </c>
      <c r="G448" s="6">
        <v>45316</v>
      </c>
      <c r="H448" s="5">
        <f t="shared" si="49"/>
        <v>11.5</v>
      </c>
      <c r="I448" s="8" t="b">
        <f t="shared" si="50"/>
        <v>0</v>
      </c>
    </row>
    <row r="449" spans="1:9">
      <c r="A449" s="5">
        <v>103</v>
      </c>
      <c r="B449" s="6">
        <v>45328</v>
      </c>
      <c r="C449" s="7">
        <v>0.6</v>
      </c>
      <c r="D449" s="9">
        <v>9.67</v>
      </c>
      <c r="E449" s="5">
        <v>714.5</v>
      </c>
      <c r="F449" s="5">
        <v>733.8</v>
      </c>
      <c r="G449" s="6">
        <v>45328</v>
      </c>
      <c r="H449" s="5">
        <f t="shared" si="49"/>
        <v>19.299999999999955</v>
      </c>
      <c r="I449" s="8" t="b">
        <f t="shared" si="50"/>
        <v>1</v>
      </c>
    </row>
    <row r="450" spans="1:9">
      <c r="A450" s="5">
        <v>103</v>
      </c>
      <c r="B450" s="6">
        <v>45330</v>
      </c>
      <c r="C450" s="7">
        <v>1</v>
      </c>
      <c r="D450" s="9">
        <v>5.8</v>
      </c>
      <c r="E450" s="5">
        <v>733.8</v>
      </c>
      <c r="F450" s="5">
        <v>745.3</v>
      </c>
      <c r="G450" s="6">
        <v>45330</v>
      </c>
      <c r="H450" s="5">
        <f t="shared" si="49"/>
        <v>11.5</v>
      </c>
      <c r="I450" s="8" t="b">
        <f t="shared" si="50"/>
        <v>1</v>
      </c>
    </row>
    <row r="451" spans="1:9">
      <c r="A451" s="5">
        <v>103</v>
      </c>
      <c r="B451" s="6">
        <v>45338</v>
      </c>
      <c r="C451" s="7">
        <v>0.7</v>
      </c>
      <c r="D451" s="9">
        <v>8.26</v>
      </c>
      <c r="E451" s="5">
        <v>745.3</v>
      </c>
      <c r="F451" s="5">
        <v>754.3</v>
      </c>
      <c r="G451" s="6">
        <v>45338</v>
      </c>
      <c r="H451" s="5">
        <f t="shared" si="49"/>
        <v>9</v>
      </c>
      <c r="I451" s="8" t="b">
        <f t="shared" si="50"/>
        <v>1</v>
      </c>
    </row>
    <row r="452" spans="1:9">
      <c r="A452" s="5">
        <v>103</v>
      </c>
      <c r="B452" s="6">
        <v>45347</v>
      </c>
      <c r="C452" s="7">
        <v>1</v>
      </c>
      <c r="D452" s="9">
        <v>5.8</v>
      </c>
      <c r="E452" s="5">
        <v>754.3</v>
      </c>
      <c r="F452" s="5">
        <v>771.5</v>
      </c>
      <c r="G452" s="6">
        <v>45347</v>
      </c>
      <c r="H452" s="5">
        <f t="shared" si="49"/>
        <v>17.200000000000045</v>
      </c>
      <c r="I452" s="8" t="b">
        <f t="shared" si="50"/>
        <v>1</v>
      </c>
    </row>
    <row r="453" spans="1:9">
      <c r="A453" s="5">
        <v>103</v>
      </c>
      <c r="B453" s="6">
        <v>45349</v>
      </c>
      <c r="C453" s="7">
        <v>0.7</v>
      </c>
      <c r="D453" s="9">
        <v>8.2899999999999991</v>
      </c>
      <c r="E453" s="5">
        <v>771.5</v>
      </c>
      <c r="F453" s="5">
        <v>788</v>
      </c>
      <c r="G453" s="6">
        <v>45349</v>
      </c>
      <c r="H453" s="5">
        <f t="shared" si="49"/>
        <v>16.5</v>
      </c>
      <c r="I453" s="8" t="b">
        <f t="shared" si="50"/>
        <v>1</v>
      </c>
    </row>
    <row r="454" spans="1:9">
      <c r="A454" s="5">
        <v>103</v>
      </c>
      <c r="B454" s="6">
        <v>45352</v>
      </c>
      <c r="C454" s="7">
        <v>0.7</v>
      </c>
      <c r="D454" s="9">
        <v>8.2899999999999991</v>
      </c>
      <c r="E454" s="5">
        <v>788</v>
      </c>
      <c r="F454" s="5">
        <v>804.3</v>
      </c>
      <c r="G454" s="6">
        <v>45352</v>
      </c>
      <c r="H454" s="5">
        <f t="shared" si="49"/>
        <v>16.299999999999955</v>
      </c>
      <c r="I454" s="8" t="b">
        <f t="shared" si="50"/>
        <v>1</v>
      </c>
    </row>
    <row r="455" spans="1:9">
      <c r="A455" s="5">
        <v>103</v>
      </c>
      <c r="B455" s="6">
        <v>45354</v>
      </c>
      <c r="C455" s="7">
        <v>1</v>
      </c>
      <c r="D455" s="9">
        <v>5.8</v>
      </c>
      <c r="E455" s="5">
        <v>804.3</v>
      </c>
      <c r="F455" s="5">
        <v>814.7</v>
      </c>
      <c r="G455" s="6">
        <v>45354</v>
      </c>
      <c r="H455" s="5">
        <f t="shared" si="49"/>
        <v>10.400000000000091</v>
      </c>
      <c r="I455" s="8" t="b">
        <f t="shared" si="50"/>
        <v>1</v>
      </c>
    </row>
    <row r="456" spans="1:9">
      <c r="A456" s="5">
        <v>103</v>
      </c>
      <c r="B456" s="6">
        <v>45357</v>
      </c>
      <c r="C456" s="7">
        <v>1</v>
      </c>
      <c r="D456" s="9">
        <v>5.8</v>
      </c>
      <c r="E456" s="5">
        <v>814.7</v>
      </c>
      <c r="F456" s="5">
        <v>826.2</v>
      </c>
      <c r="G456" s="6">
        <v>45357</v>
      </c>
      <c r="H456" s="5">
        <f t="shared" si="49"/>
        <v>11.5</v>
      </c>
      <c r="I456" s="8" t="b">
        <f t="shared" si="50"/>
        <v>1</v>
      </c>
    </row>
    <row r="457" spans="1:9">
      <c r="A457" s="5">
        <v>103</v>
      </c>
      <c r="B457" s="6">
        <v>45361</v>
      </c>
      <c r="C457" s="7">
        <v>0.7</v>
      </c>
      <c r="D457" s="9">
        <v>8.26</v>
      </c>
      <c r="E457" s="5">
        <v>826.2</v>
      </c>
      <c r="F457" s="5">
        <v>842.4</v>
      </c>
      <c r="G457" s="6">
        <v>45361</v>
      </c>
      <c r="H457" s="5">
        <f t="shared" si="49"/>
        <v>16.199999999999932</v>
      </c>
      <c r="I457" s="8" t="b">
        <f t="shared" si="50"/>
        <v>1</v>
      </c>
    </row>
    <row r="458" spans="1:9">
      <c r="A458" s="5">
        <v>103</v>
      </c>
      <c r="B458" s="6">
        <v>45364</v>
      </c>
      <c r="C458" s="7">
        <v>0.9</v>
      </c>
      <c r="D458" s="9">
        <v>6.44</v>
      </c>
      <c r="E458" s="5">
        <v>842.4</v>
      </c>
      <c r="F458" s="5">
        <v>855.2</v>
      </c>
      <c r="G458" s="6">
        <v>45364</v>
      </c>
      <c r="H458" s="5">
        <f t="shared" ref="H458:H474" si="51">F458-E458</f>
        <v>12.800000000000068</v>
      </c>
      <c r="I458" s="8" t="b">
        <f t="shared" ref="I458:I474" si="52">E458=F457</f>
        <v>1</v>
      </c>
    </row>
    <row r="459" spans="1:9">
      <c r="A459" s="5">
        <v>103</v>
      </c>
      <c r="B459" s="6">
        <v>45366</v>
      </c>
      <c r="C459" s="7">
        <v>0.7</v>
      </c>
      <c r="D459" s="9">
        <v>5.26</v>
      </c>
      <c r="E459" s="5">
        <v>855.2</v>
      </c>
      <c r="F459" s="5">
        <v>871.5</v>
      </c>
      <c r="G459" s="6">
        <v>45366</v>
      </c>
      <c r="H459" s="5">
        <f t="shared" si="51"/>
        <v>16.299999999999955</v>
      </c>
      <c r="I459" s="8" t="b">
        <f t="shared" si="52"/>
        <v>1</v>
      </c>
    </row>
    <row r="460" spans="1:9">
      <c r="A460" s="5">
        <v>103</v>
      </c>
      <c r="B460" s="6">
        <v>45370</v>
      </c>
      <c r="C460" s="7">
        <v>1</v>
      </c>
      <c r="D460" s="9">
        <v>5.8</v>
      </c>
      <c r="E460" s="5">
        <v>871.5</v>
      </c>
      <c r="F460" s="5">
        <v>883.1</v>
      </c>
      <c r="G460" s="6">
        <v>45370</v>
      </c>
      <c r="H460" s="5">
        <f t="shared" si="51"/>
        <v>11.600000000000023</v>
      </c>
      <c r="I460" s="8" t="b">
        <f t="shared" si="52"/>
        <v>1</v>
      </c>
    </row>
    <row r="461" spans="1:9">
      <c r="A461" s="5">
        <v>103</v>
      </c>
      <c r="B461" s="6">
        <v>45378</v>
      </c>
      <c r="C461" s="7">
        <v>0.9</v>
      </c>
      <c r="D461" s="9">
        <v>6.44</v>
      </c>
      <c r="E461" s="5">
        <v>883.1</v>
      </c>
      <c r="F461" s="5">
        <v>896.1</v>
      </c>
      <c r="G461" s="6">
        <v>45378</v>
      </c>
      <c r="H461" s="5">
        <f t="shared" si="51"/>
        <v>13</v>
      </c>
      <c r="I461" s="8" t="b">
        <f t="shared" si="52"/>
        <v>1</v>
      </c>
    </row>
    <row r="462" spans="1:9">
      <c r="A462" s="5">
        <v>103</v>
      </c>
      <c r="B462" s="6">
        <v>45380</v>
      </c>
      <c r="C462" s="7">
        <v>0.7</v>
      </c>
      <c r="D462" s="9">
        <v>8.26</v>
      </c>
      <c r="E462" s="5">
        <v>896.1</v>
      </c>
      <c r="F462" s="5">
        <v>912.7</v>
      </c>
      <c r="G462" s="6">
        <v>45380</v>
      </c>
      <c r="H462" s="5">
        <f t="shared" si="51"/>
        <v>16.600000000000023</v>
      </c>
      <c r="I462" s="8" t="b">
        <f t="shared" si="52"/>
        <v>1</v>
      </c>
    </row>
    <row r="463" spans="1:9">
      <c r="A463" s="5">
        <v>103</v>
      </c>
      <c r="B463" s="6">
        <v>45383</v>
      </c>
      <c r="C463" s="7">
        <v>1</v>
      </c>
      <c r="D463" s="9">
        <v>5.8</v>
      </c>
      <c r="E463" s="5">
        <v>912.7</v>
      </c>
      <c r="F463" s="5">
        <v>924.2</v>
      </c>
      <c r="G463" s="6">
        <v>45383</v>
      </c>
      <c r="H463" s="5">
        <f t="shared" si="51"/>
        <v>11.5</v>
      </c>
      <c r="I463" s="8" t="b">
        <f t="shared" si="52"/>
        <v>1</v>
      </c>
    </row>
    <row r="464" spans="1:9">
      <c r="A464" s="5">
        <v>103</v>
      </c>
      <c r="B464" s="6">
        <v>45393</v>
      </c>
      <c r="C464" s="7">
        <v>0.7</v>
      </c>
      <c r="D464" s="9">
        <v>8.26</v>
      </c>
      <c r="E464" s="5">
        <v>924.2</v>
      </c>
      <c r="F464" s="5">
        <v>929.9</v>
      </c>
      <c r="G464" s="6">
        <v>45393</v>
      </c>
      <c r="H464" s="5">
        <f t="shared" si="51"/>
        <v>5.6999999999999318</v>
      </c>
      <c r="I464" s="8" t="b">
        <f t="shared" si="52"/>
        <v>1</v>
      </c>
    </row>
    <row r="465" spans="1:9">
      <c r="A465" s="5">
        <v>103</v>
      </c>
      <c r="B465" s="6">
        <v>45400</v>
      </c>
      <c r="C465" s="7">
        <v>0.7</v>
      </c>
      <c r="D465" s="9">
        <v>8.26</v>
      </c>
      <c r="E465" s="5">
        <v>943.4</v>
      </c>
      <c r="F465" s="5">
        <v>959.7</v>
      </c>
      <c r="G465" s="6">
        <v>45400</v>
      </c>
      <c r="H465" s="5">
        <f t="shared" si="51"/>
        <v>16.300000000000068</v>
      </c>
      <c r="I465" s="8" t="b">
        <f t="shared" si="52"/>
        <v>0</v>
      </c>
    </row>
    <row r="466" spans="1:9">
      <c r="A466" s="5">
        <v>103</v>
      </c>
      <c r="B466" s="6">
        <v>45403</v>
      </c>
      <c r="C466" s="7">
        <v>0.7</v>
      </c>
      <c r="D466" s="9">
        <v>8.26</v>
      </c>
      <c r="E466" s="5">
        <v>959.7</v>
      </c>
      <c r="F466" s="5">
        <v>976.1</v>
      </c>
      <c r="G466" s="6">
        <v>45403</v>
      </c>
      <c r="H466" s="5">
        <f t="shared" si="51"/>
        <v>16.399999999999977</v>
      </c>
      <c r="I466" s="8" t="b">
        <f t="shared" si="52"/>
        <v>1</v>
      </c>
    </row>
    <row r="467" spans="1:9">
      <c r="A467" s="5">
        <v>103</v>
      </c>
      <c r="B467" s="6">
        <v>45406</v>
      </c>
      <c r="C467" s="7">
        <v>0.7</v>
      </c>
      <c r="D467" s="9">
        <v>8.26</v>
      </c>
      <c r="E467" s="5">
        <v>976.1</v>
      </c>
      <c r="F467" s="5">
        <v>992.4</v>
      </c>
      <c r="G467" s="6">
        <v>45406</v>
      </c>
      <c r="H467" s="5">
        <f t="shared" si="51"/>
        <v>16.299999999999955</v>
      </c>
      <c r="I467" s="8" t="b">
        <f t="shared" si="52"/>
        <v>1</v>
      </c>
    </row>
    <row r="468" spans="1:9">
      <c r="A468" s="5">
        <v>103</v>
      </c>
      <c r="B468" s="6">
        <v>45419</v>
      </c>
      <c r="C468" s="7">
        <v>0.6</v>
      </c>
      <c r="D468" s="9">
        <v>9.67</v>
      </c>
      <c r="E468" s="5">
        <v>992.4</v>
      </c>
      <c r="F468" s="5">
        <v>1011.9</v>
      </c>
      <c r="G468" s="6">
        <v>45419</v>
      </c>
      <c r="H468" s="5">
        <f t="shared" si="51"/>
        <v>19.5</v>
      </c>
      <c r="I468" s="8" t="b">
        <f t="shared" si="52"/>
        <v>1</v>
      </c>
    </row>
    <row r="469" spans="1:9">
      <c r="A469" s="5">
        <v>103</v>
      </c>
      <c r="B469" s="6"/>
      <c r="C469" s="7"/>
      <c r="D469" s="9"/>
      <c r="E469" s="5"/>
      <c r="F469" s="5"/>
      <c r="G469" s="6"/>
      <c r="H469" s="5">
        <f t="shared" si="51"/>
        <v>0</v>
      </c>
      <c r="I469" s="8" t="b">
        <f t="shared" si="52"/>
        <v>0</v>
      </c>
    </row>
    <row r="470" spans="1:9">
      <c r="A470" s="5">
        <v>103</v>
      </c>
      <c r="B470" s="6"/>
      <c r="C470" s="7"/>
      <c r="D470" s="9"/>
      <c r="E470" s="5"/>
      <c r="F470" s="5"/>
      <c r="G470" s="6"/>
      <c r="H470" s="5">
        <f t="shared" si="51"/>
        <v>0</v>
      </c>
      <c r="I470" s="8" t="b">
        <f t="shared" si="52"/>
        <v>1</v>
      </c>
    </row>
    <row r="471" spans="1:9">
      <c r="A471" s="5">
        <v>103</v>
      </c>
      <c r="B471" s="6"/>
      <c r="C471" s="7"/>
      <c r="D471" s="9"/>
      <c r="E471" s="5"/>
      <c r="F471" s="5"/>
      <c r="G471" s="6"/>
      <c r="H471" s="5">
        <f t="shared" si="51"/>
        <v>0</v>
      </c>
      <c r="I471" s="8" t="b">
        <f t="shared" si="52"/>
        <v>1</v>
      </c>
    </row>
    <row r="472" spans="1:9">
      <c r="A472" s="5">
        <v>103</v>
      </c>
      <c r="B472" s="6"/>
      <c r="C472" s="7"/>
      <c r="D472" s="9"/>
      <c r="E472" s="5"/>
      <c r="F472" s="5"/>
      <c r="G472" s="6"/>
      <c r="H472" s="5">
        <f t="shared" si="51"/>
        <v>0</v>
      </c>
      <c r="I472" s="8" t="b">
        <f t="shared" si="52"/>
        <v>1</v>
      </c>
    </row>
    <row r="473" spans="1:9">
      <c r="A473" s="5">
        <v>103</v>
      </c>
      <c r="B473" s="6"/>
      <c r="C473" s="7"/>
      <c r="D473" s="9"/>
      <c r="E473" s="5"/>
      <c r="F473" s="5"/>
      <c r="G473" s="6"/>
      <c r="H473" s="5">
        <f t="shared" si="51"/>
        <v>0</v>
      </c>
      <c r="I473" s="8" t="b">
        <f t="shared" si="52"/>
        <v>1</v>
      </c>
    </row>
    <row r="474" spans="1:9">
      <c r="A474" s="5">
        <v>103</v>
      </c>
      <c r="B474" s="6"/>
      <c r="C474" s="7"/>
      <c r="D474" s="9"/>
      <c r="E474" s="5"/>
      <c r="F474" s="5"/>
      <c r="G474" s="6"/>
      <c r="H474" s="5">
        <f t="shared" si="51"/>
        <v>0</v>
      </c>
      <c r="I474" s="8" t="b">
        <f t="shared" si="52"/>
        <v>1</v>
      </c>
    </row>
  </sheetData>
  <mergeCells count="27">
    <mergeCell ref="A119:I119"/>
    <mergeCell ref="A120:I120"/>
    <mergeCell ref="A122:I122"/>
    <mergeCell ref="A52:I52"/>
    <mergeCell ref="A1:I1"/>
    <mergeCell ref="A2:I2"/>
    <mergeCell ref="A4:I4"/>
    <mergeCell ref="A49:I49"/>
    <mergeCell ref="A50:I50"/>
    <mergeCell ref="A378:I378"/>
    <mergeCell ref="A379:I379"/>
    <mergeCell ref="A381:I381"/>
    <mergeCell ref="A167:I167"/>
    <mergeCell ref="A168:I168"/>
    <mergeCell ref="A170:I170"/>
    <mergeCell ref="A278:I278"/>
    <mergeCell ref="A275:I275"/>
    <mergeCell ref="A276:I276"/>
    <mergeCell ref="A223:I223"/>
    <mergeCell ref="A224:I224"/>
    <mergeCell ref="A226:I226"/>
    <mergeCell ref="A424:I424"/>
    <mergeCell ref="A425:I425"/>
    <mergeCell ref="A427:I427"/>
    <mergeCell ref="A410:I410"/>
    <mergeCell ref="A411:I411"/>
    <mergeCell ref="A413:I413"/>
  </mergeCells>
  <conditionalFormatting sqref="I1:I273 I275:I1048576">
    <cfRule type="containsText" dxfId="100" priority="6" operator="containsText" text="VERDADEIRO">
      <formula>NOT(ISERROR(SEARCH("VERDADEIRO",I1)))</formula>
    </cfRule>
  </conditionalFormatting>
  <conditionalFormatting sqref="I275:I1048576 I1:I273">
    <cfRule type="containsText" dxfId="99" priority="5" operator="containsText" text="FALSO">
      <formula>NOT(ISERROR(SEARCH("FALSO",I1)))</formula>
    </cfRule>
  </conditionalFormatting>
  <conditionalFormatting sqref="I282:I375">
    <cfRule type="containsText" dxfId="98" priority="8" operator="containsText" text="VERDADEIRO">
      <formula>NOT(ISERROR(SEARCH("VERDADEIRO",I282)))</formula>
    </cfRule>
  </conditionalFormatting>
  <conditionalFormatting sqref="I385:I408 I417:I423 I431:I474">
    <cfRule type="containsText" dxfId="97" priority="3" operator="containsText" text="FALSO">
      <formula>NOT(ISERROR(SEARCH("FALSO",I385)))</formula>
    </cfRule>
    <cfRule type="containsText" dxfId="96" priority="4" operator="containsText" text="VERDADEIRO">
      <formula>NOT(ISERROR(SEARCH("VERDADEIRO",I385)))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0B7C-9AD0-4475-B7FA-36BF307FD926}">
  <sheetPr codeName="Planilha4"/>
  <dimension ref="A1:K489"/>
  <sheetViews>
    <sheetView topLeftCell="A442" workbookViewId="0">
      <selection activeCell="B466" sqref="B466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8.7109375" customWidth="1"/>
    <col min="11" max="11" width="13.28515625" customWidth="1"/>
  </cols>
  <sheetData>
    <row r="1" spans="1:11" ht="26.25">
      <c r="A1" s="144" t="s">
        <v>55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104</v>
      </c>
      <c r="B8" s="6">
        <v>43753</v>
      </c>
      <c r="C8" s="7">
        <v>1</v>
      </c>
      <c r="D8" s="9">
        <v>5.8</v>
      </c>
      <c r="E8" s="5">
        <v>109.2</v>
      </c>
      <c r="F8" s="5">
        <v>121</v>
      </c>
      <c r="G8" s="6">
        <v>43753</v>
      </c>
      <c r="H8" s="5" t="s">
        <v>56</v>
      </c>
      <c r="I8" s="5" t="s">
        <v>57</v>
      </c>
      <c r="J8" s="5">
        <f t="shared" ref="J8:J21" si="0">F8-E8</f>
        <v>11.799999999999997</v>
      </c>
      <c r="K8" s="8" t="b">
        <f t="shared" ref="K8:K21" si="1">F8=E9</f>
        <v>1</v>
      </c>
    </row>
    <row r="9" spans="1:11">
      <c r="A9" s="5">
        <v>104</v>
      </c>
      <c r="B9" s="6">
        <v>43754</v>
      </c>
      <c r="C9" s="7">
        <v>1</v>
      </c>
      <c r="D9" s="9">
        <v>5.8</v>
      </c>
      <c r="E9" s="5">
        <v>121</v>
      </c>
      <c r="F9" s="5">
        <v>132.69999999999999</v>
      </c>
      <c r="G9" s="6">
        <v>43754</v>
      </c>
      <c r="H9" s="5" t="s">
        <v>56</v>
      </c>
      <c r="I9" s="5" t="s">
        <v>57</v>
      </c>
      <c r="J9" s="5">
        <f t="shared" si="0"/>
        <v>11.699999999999989</v>
      </c>
      <c r="K9" s="8" t="b">
        <f t="shared" si="1"/>
        <v>1</v>
      </c>
    </row>
    <row r="10" spans="1:11">
      <c r="A10" s="5">
        <v>104</v>
      </c>
      <c r="B10" s="6">
        <v>43755</v>
      </c>
      <c r="C10" s="7">
        <v>1</v>
      </c>
      <c r="D10" s="9">
        <v>5.8</v>
      </c>
      <c r="E10" s="5">
        <v>132.69999999999999</v>
      </c>
      <c r="F10" s="5">
        <v>145.1</v>
      </c>
      <c r="G10" s="6">
        <v>43755</v>
      </c>
      <c r="H10" s="5" t="s">
        <v>56</v>
      </c>
      <c r="I10" s="5" t="s">
        <v>57</v>
      </c>
      <c r="J10" s="5">
        <f t="shared" si="0"/>
        <v>12.400000000000006</v>
      </c>
      <c r="K10" s="8" t="b">
        <f t="shared" si="1"/>
        <v>1</v>
      </c>
    </row>
    <row r="11" spans="1:11">
      <c r="A11" s="5">
        <v>104</v>
      </c>
      <c r="B11" s="6">
        <v>43756</v>
      </c>
      <c r="C11" s="7">
        <v>1</v>
      </c>
      <c r="D11" s="9">
        <v>5.8</v>
      </c>
      <c r="E11" s="5">
        <v>145.1</v>
      </c>
      <c r="F11" s="5">
        <v>156.9</v>
      </c>
      <c r="G11" s="6">
        <v>43756</v>
      </c>
      <c r="H11" s="5" t="s">
        <v>56</v>
      </c>
      <c r="I11" s="5" t="s">
        <v>57</v>
      </c>
      <c r="J11" s="5">
        <f t="shared" si="0"/>
        <v>11.800000000000011</v>
      </c>
      <c r="K11" s="8" t="b">
        <f t="shared" si="1"/>
        <v>1</v>
      </c>
    </row>
    <row r="12" spans="1:11">
      <c r="A12" s="5">
        <v>104</v>
      </c>
      <c r="B12" s="6">
        <v>43757</v>
      </c>
      <c r="C12" s="7">
        <v>1</v>
      </c>
      <c r="D12" s="9">
        <v>5.8</v>
      </c>
      <c r="E12" s="5">
        <v>156.9</v>
      </c>
      <c r="F12" s="5">
        <v>167.8</v>
      </c>
      <c r="G12" s="6">
        <v>43757</v>
      </c>
      <c r="H12" s="5" t="s">
        <v>56</v>
      </c>
      <c r="I12" s="5" t="s">
        <v>57</v>
      </c>
      <c r="J12" s="5">
        <f t="shared" si="0"/>
        <v>10.900000000000006</v>
      </c>
      <c r="K12" s="8" t="b">
        <f t="shared" si="1"/>
        <v>1</v>
      </c>
    </row>
    <row r="13" spans="1:11">
      <c r="A13" s="5">
        <v>104</v>
      </c>
      <c r="B13" s="6">
        <v>43758</v>
      </c>
      <c r="C13" s="7">
        <v>1</v>
      </c>
      <c r="D13" s="9">
        <v>5.8</v>
      </c>
      <c r="E13" s="5">
        <v>167.8</v>
      </c>
      <c r="F13" s="5">
        <v>179.6</v>
      </c>
      <c r="G13" s="6">
        <v>43758</v>
      </c>
      <c r="H13" s="5" t="s">
        <v>56</v>
      </c>
      <c r="I13" s="5" t="s">
        <v>57</v>
      </c>
      <c r="J13" s="5">
        <f t="shared" si="0"/>
        <v>11.799999999999983</v>
      </c>
      <c r="K13" s="8" t="b">
        <f t="shared" si="1"/>
        <v>1</v>
      </c>
    </row>
    <row r="14" spans="1:11">
      <c r="A14" s="5">
        <v>104</v>
      </c>
      <c r="B14" s="6">
        <v>43759</v>
      </c>
      <c r="C14" s="7">
        <v>1</v>
      </c>
      <c r="D14" s="9">
        <v>5.8</v>
      </c>
      <c r="E14" s="5">
        <v>179.6</v>
      </c>
      <c r="F14" s="5">
        <v>192.2</v>
      </c>
      <c r="G14" s="6">
        <v>43759</v>
      </c>
      <c r="H14" s="5" t="s">
        <v>56</v>
      </c>
      <c r="I14" s="5" t="s">
        <v>57</v>
      </c>
      <c r="J14" s="5">
        <f t="shared" si="0"/>
        <v>12.599999999999994</v>
      </c>
      <c r="K14" s="8" t="b">
        <f t="shared" si="1"/>
        <v>1</v>
      </c>
    </row>
    <row r="15" spans="1:11">
      <c r="A15" s="5">
        <v>104</v>
      </c>
      <c r="B15" s="6">
        <v>43760</v>
      </c>
      <c r="C15" s="7">
        <v>1</v>
      </c>
      <c r="D15" s="9">
        <v>5.8</v>
      </c>
      <c r="E15" s="5">
        <v>192.2</v>
      </c>
      <c r="F15" s="5">
        <v>205.3</v>
      </c>
      <c r="G15" s="6">
        <v>43760</v>
      </c>
      <c r="H15" s="5" t="s">
        <v>56</v>
      </c>
      <c r="I15" s="5" t="s">
        <v>57</v>
      </c>
      <c r="J15" s="5">
        <f t="shared" si="0"/>
        <v>13.100000000000023</v>
      </c>
      <c r="K15" s="8" t="b">
        <f t="shared" si="1"/>
        <v>1</v>
      </c>
    </row>
    <row r="16" spans="1:11">
      <c r="A16" s="5">
        <v>104</v>
      </c>
      <c r="B16" s="6">
        <v>43761</v>
      </c>
      <c r="C16" s="7">
        <v>1</v>
      </c>
      <c r="D16" s="9">
        <v>5.8</v>
      </c>
      <c r="E16" s="5">
        <v>205.3</v>
      </c>
      <c r="F16" s="5">
        <v>216.9</v>
      </c>
      <c r="G16" s="6">
        <v>43761</v>
      </c>
      <c r="H16" s="5" t="s">
        <v>56</v>
      </c>
      <c r="I16" s="5" t="s">
        <v>57</v>
      </c>
      <c r="J16" s="5">
        <f t="shared" si="0"/>
        <v>11.599999999999994</v>
      </c>
      <c r="K16" s="8" t="b">
        <f t="shared" si="1"/>
        <v>1</v>
      </c>
    </row>
    <row r="17" spans="1:11">
      <c r="A17" s="5">
        <v>104</v>
      </c>
      <c r="B17" s="6">
        <v>43765</v>
      </c>
      <c r="C17" s="7">
        <v>0.8</v>
      </c>
      <c r="D17" s="5">
        <v>7.25</v>
      </c>
      <c r="E17" s="5">
        <v>216.9</v>
      </c>
      <c r="F17" s="5">
        <v>232</v>
      </c>
      <c r="G17" s="6">
        <v>43765</v>
      </c>
      <c r="H17" s="5" t="s">
        <v>56</v>
      </c>
      <c r="I17" s="5" t="s">
        <v>57</v>
      </c>
      <c r="J17" s="5">
        <f t="shared" si="0"/>
        <v>15.099999999999994</v>
      </c>
      <c r="K17" s="8" t="b">
        <f t="shared" si="1"/>
        <v>1</v>
      </c>
    </row>
    <row r="18" spans="1:11">
      <c r="A18" s="5">
        <v>104</v>
      </c>
      <c r="B18" s="6">
        <v>43767</v>
      </c>
      <c r="C18" s="7">
        <v>0.8</v>
      </c>
      <c r="D18" s="5">
        <v>7.25</v>
      </c>
      <c r="E18" s="5">
        <v>232</v>
      </c>
      <c r="F18" s="5">
        <v>246.5</v>
      </c>
      <c r="G18" s="6">
        <v>43767</v>
      </c>
      <c r="H18" s="5" t="s">
        <v>56</v>
      </c>
      <c r="I18" s="5" t="s">
        <v>57</v>
      </c>
      <c r="J18" s="5">
        <f t="shared" si="0"/>
        <v>14.5</v>
      </c>
      <c r="K18" s="8" t="b">
        <f t="shared" si="1"/>
        <v>1</v>
      </c>
    </row>
    <row r="19" spans="1:11">
      <c r="A19" s="5">
        <v>104</v>
      </c>
      <c r="B19" s="6">
        <v>43769</v>
      </c>
      <c r="C19" s="7">
        <v>0.8</v>
      </c>
      <c r="D19" s="5">
        <v>7.25</v>
      </c>
      <c r="E19" s="5">
        <v>246.5</v>
      </c>
      <c r="F19" s="5">
        <v>261</v>
      </c>
      <c r="G19" s="6">
        <v>43769</v>
      </c>
      <c r="H19" s="5" t="s">
        <v>58</v>
      </c>
      <c r="I19" s="5" t="s">
        <v>57</v>
      </c>
      <c r="J19" s="5">
        <f t="shared" si="0"/>
        <v>14.5</v>
      </c>
      <c r="K19" s="8" t="b">
        <f t="shared" si="1"/>
        <v>1</v>
      </c>
    </row>
    <row r="20" spans="1:11">
      <c r="A20" s="5">
        <v>104</v>
      </c>
      <c r="B20" s="6">
        <v>43771</v>
      </c>
      <c r="C20" s="7">
        <v>0.8</v>
      </c>
      <c r="D20" s="5">
        <v>7.25</v>
      </c>
      <c r="E20" s="5">
        <v>261</v>
      </c>
      <c r="F20" s="5">
        <v>276</v>
      </c>
      <c r="G20" s="6">
        <v>43771</v>
      </c>
      <c r="H20" s="5" t="s">
        <v>58</v>
      </c>
      <c r="I20" s="5" t="s">
        <v>57</v>
      </c>
      <c r="J20" s="5">
        <f t="shared" si="0"/>
        <v>15</v>
      </c>
      <c r="K20" s="8" t="b">
        <f t="shared" si="1"/>
        <v>1</v>
      </c>
    </row>
    <row r="21" spans="1:11">
      <c r="A21" s="5">
        <v>104</v>
      </c>
      <c r="B21" s="6">
        <v>43773</v>
      </c>
      <c r="C21" s="7">
        <v>0.8</v>
      </c>
      <c r="D21" s="5">
        <v>7.25</v>
      </c>
      <c r="E21" s="5">
        <v>276</v>
      </c>
      <c r="F21" s="5">
        <v>289.89999999999998</v>
      </c>
      <c r="G21" s="6">
        <v>43773</v>
      </c>
      <c r="H21" s="5" t="s">
        <v>58</v>
      </c>
      <c r="I21" s="5" t="s">
        <v>57</v>
      </c>
      <c r="J21" s="5">
        <f t="shared" si="0"/>
        <v>13.899999999999977</v>
      </c>
      <c r="K21" s="8" t="b">
        <f t="shared" si="1"/>
        <v>1</v>
      </c>
    </row>
    <row r="22" spans="1:11">
      <c r="A22" s="5">
        <v>104</v>
      </c>
      <c r="B22" s="6">
        <v>43775</v>
      </c>
      <c r="C22" s="7">
        <v>0.65</v>
      </c>
      <c r="D22" s="5">
        <v>6.23</v>
      </c>
      <c r="E22" s="5">
        <v>289.89999999999998</v>
      </c>
      <c r="F22" s="5">
        <v>308.5</v>
      </c>
      <c r="G22" s="6">
        <v>43775</v>
      </c>
      <c r="H22" s="5" t="s">
        <v>59</v>
      </c>
      <c r="I22" s="5" t="s">
        <v>57</v>
      </c>
      <c r="J22" s="5">
        <f t="shared" ref="J22:J27" si="2">F22-E22</f>
        <v>18.600000000000023</v>
      </c>
      <c r="K22" s="8" t="b">
        <f t="shared" ref="K22:K27" si="3">F22=E23</f>
        <v>1</v>
      </c>
    </row>
    <row r="23" spans="1:11">
      <c r="A23" s="5">
        <v>104</v>
      </c>
      <c r="B23" s="6">
        <v>43777</v>
      </c>
      <c r="C23" s="7">
        <v>0.65</v>
      </c>
      <c r="D23" s="5">
        <v>6.23</v>
      </c>
      <c r="E23" s="5">
        <v>308.5</v>
      </c>
      <c r="F23" s="5">
        <v>327.3</v>
      </c>
      <c r="G23" s="6">
        <v>43777</v>
      </c>
      <c r="H23" s="5" t="s">
        <v>59</v>
      </c>
      <c r="I23" s="5" t="s">
        <v>57</v>
      </c>
      <c r="J23" s="5">
        <f t="shared" si="2"/>
        <v>18.800000000000011</v>
      </c>
      <c r="K23" s="8" t="b">
        <f t="shared" si="3"/>
        <v>1</v>
      </c>
    </row>
    <row r="24" spans="1:11">
      <c r="A24" s="5">
        <v>104</v>
      </c>
      <c r="B24" s="6">
        <v>43778</v>
      </c>
      <c r="C24" s="7">
        <v>1</v>
      </c>
      <c r="D24" s="9">
        <v>5.8</v>
      </c>
      <c r="E24" s="5">
        <v>327.3</v>
      </c>
      <c r="F24" s="5">
        <v>340.1</v>
      </c>
      <c r="G24" s="6">
        <v>43778</v>
      </c>
      <c r="H24" s="5" t="s">
        <v>60</v>
      </c>
      <c r="I24" s="5" t="s">
        <v>57</v>
      </c>
      <c r="J24" s="5">
        <f t="shared" si="2"/>
        <v>12.800000000000011</v>
      </c>
      <c r="K24" s="8" t="b">
        <f t="shared" si="3"/>
        <v>1</v>
      </c>
    </row>
    <row r="25" spans="1:11">
      <c r="A25" s="5">
        <v>104</v>
      </c>
      <c r="B25" s="6">
        <v>43779</v>
      </c>
      <c r="C25" s="7">
        <v>0.65</v>
      </c>
      <c r="D25" s="5">
        <v>6.23</v>
      </c>
      <c r="E25" s="5">
        <v>340.1</v>
      </c>
      <c r="F25" s="5">
        <v>358</v>
      </c>
      <c r="G25" s="6">
        <v>43779</v>
      </c>
      <c r="H25" s="5" t="s">
        <v>58</v>
      </c>
      <c r="I25" s="5" t="s">
        <v>57</v>
      </c>
      <c r="J25" s="5">
        <f t="shared" si="2"/>
        <v>17.899999999999977</v>
      </c>
      <c r="K25" s="8" t="b">
        <f t="shared" si="3"/>
        <v>1</v>
      </c>
    </row>
    <row r="26" spans="1:11">
      <c r="A26" s="5">
        <v>104</v>
      </c>
      <c r="B26" s="6">
        <v>43782</v>
      </c>
      <c r="C26" s="7">
        <v>0.65</v>
      </c>
      <c r="D26" s="5">
        <v>6.23</v>
      </c>
      <c r="E26" s="5">
        <v>358</v>
      </c>
      <c r="F26" s="5">
        <v>376</v>
      </c>
      <c r="G26" s="6">
        <v>43782</v>
      </c>
      <c r="H26" s="5" t="s">
        <v>58</v>
      </c>
      <c r="I26" s="5" t="s">
        <v>57</v>
      </c>
      <c r="J26" s="5">
        <f t="shared" si="2"/>
        <v>18</v>
      </c>
      <c r="K26" s="8" t="b">
        <f t="shared" si="3"/>
        <v>1</v>
      </c>
    </row>
    <row r="27" spans="1:11">
      <c r="A27" s="5">
        <v>104</v>
      </c>
      <c r="B27" s="6">
        <v>43784</v>
      </c>
      <c r="C27" s="7">
        <v>0.65</v>
      </c>
      <c r="D27" s="5">
        <v>6.23</v>
      </c>
      <c r="E27" s="5">
        <v>376</v>
      </c>
      <c r="F27" s="5">
        <v>393</v>
      </c>
      <c r="G27" s="6">
        <v>43784</v>
      </c>
      <c r="H27" s="5" t="s">
        <v>61</v>
      </c>
      <c r="I27" s="5" t="s">
        <v>57</v>
      </c>
      <c r="J27" s="5">
        <f t="shared" si="2"/>
        <v>17</v>
      </c>
      <c r="K27" s="8" t="b">
        <f t="shared" si="3"/>
        <v>1</v>
      </c>
    </row>
    <row r="28" spans="1:11">
      <c r="A28" s="5">
        <v>104</v>
      </c>
      <c r="B28" s="6">
        <v>43785</v>
      </c>
      <c r="C28" s="7">
        <v>0.65</v>
      </c>
      <c r="D28" s="5">
        <v>6.23</v>
      </c>
      <c r="E28" s="5">
        <v>393</v>
      </c>
      <c r="F28" s="5">
        <v>407.3</v>
      </c>
      <c r="G28" s="6">
        <v>43785</v>
      </c>
      <c r="H28" s="5" t="s">
        <v>61</v>
      </c>
      <c r="I28" s="5" t="s">
        <v>57</v>
      </c>
      <c r="J28" s="5">
        <f t="shared" ref="J28:J40" si="4">F28-E28</f>
        <v>14.300000000000011</v>
      </c>
      <c r="K28" s="8" t="b">
        <f t="shared" ref="K28:K40" si="5">F28=E29</f>
        <v>1</v>
      </c>
    </row>
    <row r="29" spans="1:11">
      <c r="A29" s="5">
        <v>104</v>
      </c>
      <c r="B29" s="6">
        <v>43791</v>
      </c>
      <c r="C29" s="7">
        <v>0.8</v>
      </c>
      <c r="D29" s="5">
        <v>7.25</v>
      </c>
      <c r="E29" s="5">
        <v>407.3</v>
      </c>
      <c r="F29" s="5">
        <v>422.2</v>
      </c>
      <c r="G29" s="6">
        <v>43791</v>
      </c>
      <c r="H29" s="5" t="s">
        <v>61</v>
      </c>
      <c r="I29" s="5" t="s">
        <v>57</v>
      </c>
      <c r="J29" s="5">
        <f t="shared" si="4"/>
        <v>14.899999999999977</v>
      </c>
      <c r="K29" s="8" t="b">
        <f t="shared" si="5"/>
        <v>1</v>
      </c>
    </row>
    <row r="30" spans="1:11">
      <c r="A30" s="5">
        <v>104</v>
      </c>
      <c r="B30" s="6">
        <v>43793</v>
      </c>
      <c r="C30" s="7">
        <v>0.8</v>
      </c>
      <c r="D30" s="5">
        <v>7.25</v>
      </c>
      <c r="E30" s="5">
        <v>422.2</v>
      </c>
      <c r="F30" s="5">
        <v>437.9</v>
      </c>
      <c r="G30" s="6">
        <v>43793</v>
      </c>
      <c r="H30" s="5" t="s">
        <v>61</v>
      </c>
      <c r="I30" s="5" t="s">
        <v>57</v>
      </c>
      <c r="J30" s="5">
        <f t="shared" si="4"/>
        <v>15.699999999999989</v>
      </c>
      <c r="K30" s="8" t="b">
        <f t="shared" si="5"/>
        <v>1</v>
      </c>
    </row>
    <row r="31" spans="1:11">
      <c r="A31" s="5">
        <v>104</v>
      </c>
      <c r="B31" s="6">
        <v>43795</v>
      </c>
      <c r="C31" s="7">
        <v>0.8</v>
      </c>
      <c r="D31" s="5">
        <v>7.25</v>
      </c>
      <c r="E31" s="5">
        <v>437.9</v>
      </c>
      <c r="F31" s="5">
        <v>450.6</v>
      </c>
      <c r="G31" s="6">
        <v>43795</v>
      </c>
      <c r="H31" s="5"/>
      <c r="I31" s="5"/>
      <c r="J31" s="5">
        <f t="shared" si="4"/>
        <v>12.700000000000045</v>
      </c>
      <c r="K31" s="8" t="b">
        <f t="shared" si="5"/>
        <v>1</v>
      </c>
    </row>
    <row r="32" spans="1:11">
      <c r="A32" s="5">
        <v>104</v>
      </c>
      <c r="B32" s="6">
        <v>43810</v>
      </c>
      <c r="C32" s="7">
        <v>0.7</v>
      </c>
      <c r="D32" s="5">
        <v>8.2899999999999991</v>
      </c>
      <c r="E32" s="5">
        <v>450.6</v>
      </c>
      <c r="F32" s="5">
        <v>468.6</v>
      </c>
      <c r="G32" s="6">
        <v>43810</v>
      </c>
      <c r="H32" s="5" t="s">
        <v>62</v>
      </c>
      <c r="I32" s="5" t="s">
        <v>57</v>
      </c>
      <c r="J32" s="5">
        <f t="shared" si="4"/>
        <v>18</v>
      </c>
      <c r="K32" s="8" t="b">
        <f t="shared" si="5"/>
        <v>1</v>
      </c>
    </row>
    <row r="33" spans="1:11">
      <c r="A33" s="5">
        <v>104</v>
      </c>
      <c r="B33" s="6">
        <v>43811</v>
      </c>
      <c r="C33" s="7">
        <v>1</v>
      </c>
      <c r="D33" s="9">
        <v>5.8</v>
      </c>
      <c r="E33" s="5">
        <v>468.6</v>
      </c>
      <c r="F33" s="5">
        <v>480.1</v>
      </c>
      <c r="G33" s="6">
        <v>43811</v>
      </c>
      <c r="H33" s="5" t="s">
        <v>62</v>
      </c>
      <c r="I33" s="5" t="s">
        <v>57</v>
      </c>
      <c r="J33" s="5">
        <f t="shared" si="4"/>
        <v>11.5</v>
      </c>
      <c r="K33" s="8" t="b">
        <f t="shared" si="5"/>
        <v>1</v>
      </c>
    </row>
    <row r="34" spans="1:11">
      <c r="A34" s="5">
        <v>104</v>
      </c>
      <c r="B34" s="6">
        <v>43812</v>
      </c>
      <c r="C34" s="7">
        <v>0.7</v>
      </c>
      <c r="D34" s="5">
        <v>8.2899999999999991</v>
      </c>
      <c r="E34" s="5">
        <v>480.1</v>
      </c>
      <c r="F34" s="5">
        <v>500.4</v>
      </c>
      <c r="G34" s="6">
        <v>43812</v>
      </c>
      <c r="H34" s="5"/>
      <c r="I34" s="5"/>
      <c r="J34" s="5">
        <f t="shared" si="4"/>
        <v>20.299999999999955</v>
      </c>
      <c r="K34" s="8" t="b">
        <f t="shared" si="5"/>
        <v>1</v>
      </c>
    </row>
    <row r="35" spans="1:11">
      <c r="A35" s="5">
        <v>104</v>
      </c>
      <c r="B35" s="6">
        <v>43814</v>
      </c>
      <c r="C35" s="7">
        <v>0.7</v>
      </c>
      <c r="D35" s="5">
        <v>8.2899999999999991</v>
      </c>
      <c r="E35" s="5">
        <v>500.4</v>
      </c>
      <c r="F35" s="5">
        <v>517</v>
      </c>
      <c r="G35" s="6">
        <v>43814</v>
      </c>
      <c r="H35" s="5"/>
      <c r="I35" s="5"/>
      <c r="J35" s="5">
        <f t="shared" si="4"/>
        <v>16.600000000000023</v>
      </c>
      <c r="K35" s="8" t="b">
        <f t="shared" si="5"/>
        <v>1</v>
      </c>
    </row>
    <row r="36" spans="1:11">
      <c r="A36" s="5">
        <v>104</v>
      </c>
      <c r="B36" s="6">
        <v>43817</v>
      </c>
      <c r="C36" s="7">
        <v>0.7</v>
      </c>
      <c r="D36" s="5">
        <v>8.2899999999999991</v>
      </c>
      <c r="E36" s="5">
        <v>517</v>
      </c>
      <c r="F36" s="5">
        <v>533.9</v>
      </c>
      <c r="G36" s="6">
        <v>43817</v>
      </c>
      <c r="H36" s="5"/>
      <c r="I36" s="5"/>
      <c r="J36" s="5">
        <f t="shared" si="4"/>
        <v>16.899999999999977</v>
      </c>
      <c r="K36" s="8" t="b">
        <f t="shared" si="5"/>
        <v>1</v>
      </c>
    </row>
    <row r="37" spans="1:11">
      <c r="A37" s="5">
        <v>104</v>
      </c>
      <c r="B37" s="6">
        <v>43819</v>
      </c>
      <c r="C37" s="7">
        <v>1</v>
      </c>
      <c r="D37" s="9">
        <v>5.8</v>
      </c>
      <c r="E37" s="5">
        <v>533.9</v>
      </c>
      <c r="F37" s="5">
        <v>546.20000000000005</v>
      </c>
      <c r="G37" s="6">
        <v>43819</v>
      </c>
      <c r="H37" s="5"/>
      <c r="I37" s="5"/>
      <c r="J37" s="5">
        <f t="shared" si="4"/>
        <v>12.300000000000068</v>
      </c>
      <c r="K37" s="8" t="b">
        <f t="shared" si="5"/>
        <v>1</v>
      </c>
    </row>
    <row r="38" spans="1:11">
      <c r="A38" s="5">
        <v>104</v>
      </c>
      <c r="B38" s="6">
        <v>43821</v>
      </c>
      <c r="C38" s="7">
        <v>0.7</v>
      </c>
      <c r="D38" s="5">
        <v>8.2899999999999991</v>
      </c>
      <c r="E38" s="5">
        <v>546.20000000000005</v>
      </c>
      <c r="F38" s="5">
        <v>563</v>
      </c>
      <c r="G38" s="6">
        <v>43821</v>
      </c>
      <c r="H38" s="5"/>
      <c r="I38" s="5"/>
      <c r="J38" s="5">
        <f t="shared" si="4"/>
        <v>16.799999999999955</v>
      </c>
      <c r="K38" s="8" t="b">
        <f t="shared" si="5"/>
        <v>1</v>
      </c>
    </row>
    <row r="39" spans="1:11">
      <c r="A39" s="5">
        <v>104</v>
      </c>
      <c r="B39" s="6">
        <v>43825</v>
      </c>
      <c r="C39" s="7">
        <v>0.8</v>
      </c>
      <c r="D39" s="5">
        <v>7.25</v>
      </c>
      <c r="E39" s="5">
        <v>563</v>
      </c>
      <c r="F39" s="5">
        <v>578</v>
      </c>
      <c r="G39" s="6">
        <v>43825</v>
      </c>
      <c r="H39" s="5"/>
      <c r="I39" s="5"/>
      <c r="J39" s="5">
        <f t="shared" si="4"/>
        <v>15</v>
      </c>
      <c r="K39" s="8" t="b">
        <f t="shared" si="5"/>
        <v>1</v>
      </c>
    </row>
    <row r="40" spans="1:11">
      <c r="A40" s="5">
        <v>104</v>
      </c>
      <c r="B40" s="6">
        <v>43827</v>
      </c>
      <c r="C40" s="7">
        <v>0.8</v>
      </c>
      <c r="D40" s="5">
        <v>7.25</v>
      </c>
      <c r="E40" s="5">
        <v>578</v>
      </c>
      <c r="F40" s="5">
        <v>600.6</v>
      </c>
      <c r="G40" s="6">
        <v>43827</v>
      </c>
      <c r="H40" s="5"/>
      <c r="I40" s="5"/>
      <c r="J40" s="5">
        <f t="shared" si="4"/>
        <v>22.600000000000023</v>
      </c>
      <c r="K40" s="8" t="b">
        <f t="shared" si="5"/>
        <v>1</v>
      </c>
    </row>
    <row r="41" spans="1:11">
      <c r="A41" s="5">
        <v>104</v>
      </c>
      <c r="B41" s="6">
        <v>43830</v>
      </c>
      <c r="C41" s="7">
        <v>0.8</v>
      </c>
      <c r="D41" s="5">
        <v>7.25</v>
      </c>
      <c r="E41" s="5">
        <v>600.6</v>
      </c>
      <c r="F41" s="5">
        <v>623.6</v>
      </c>
      <c r="G41" s="6">
        <v>43830</v>
      </c>
      <c r="H41" s="5"/>
      <c r="I41" s="5"/>
      <c r="J41" s="5">
        <f t="shared" ref="J41:J47" si="6">F41-E41</f>
        <v>23</v>
      </c>
      <c r="K41" s="8" t="b">
        <f t="shared" ref="K41:K47" si="7">F41=E42</f>
        <v>0</v>
      </c>
    </row>
    <row r="42" spans="1:11">
      <c r="A42" s="5"/>
      <c r="B42" s="6"/>
      <c r="C42" s="7"/>
      <c r="D42" s="5"/>
      <c r="E42" s="5"/>
      <c r="F42" s="5"/>
      <c r="G42" s="6"/>
      <c r="H42" s="5"/>
      <c r="I42" s="5"/>
      <c r="J42" s="5">
        <f t="shared" si="6"/>
        <v>0</v>
      </c>
      <c r="K42" s="8" t="b">
        <f t="shared" si="7"/>
        <v>1</v>
      </c>
    </row>
    <row r="43" spans="1:11">
      <c r="A43" s="5"/>
      <c r="B43" s="6"/>
      <c r="C43" s="7"/>
      <c r="D43" s="5"/>
      <c r="E43" s="5"/>
      <c r="F43" s="5"/>
      <c r="G43" s="6"/>
      <c r="H43" s="5"/>
      <c r="I43" s="5"/>
      <c r="J43" s="5">
        <f t="shared" si="6"/>
        <v>0</v>
      </c>
      <c r="K43" s="8" t="b">
        <f t="shared" si="7"/>
        <v>1</v>
      </c>
    </row>
    <row r="44" spans="1:11">
      <c r="A44" s="5"/>
      <c r="B44" s="6"/>
      <c r="C44" s="7"/>
      <c r="D44" s="5"/>
      <c r="E44" s="5"/>
      <c r="F44" s="5"/>
      <c r="G44" s="6"/>
      <c r="H44" s="5"/>
      <c r="I44" s="5"/>
      <c r="J44" s="5">
        <f t="shared" si="6"/>
        <v>0</v>
      </c>
      <c r="K44" s="8" t="b">
        <f t="shared" si="7"/>
        <v>1</v>
      </c>
    </row>
    <row r="45" spans="1:11">
      <c r="A45" s="5"/>
      <c r="B45" s="6"/>
      <c r="C45" s="7"/>
      <c r="D45" s="5"/>
      <c r="E45" s="5"/>
      <c r="F45" s="5"/>
      <c r="G45" s="6"/>
      <c r="H45" s="5"/>
      <c r="I45" s="5"/>
      <c r="J45" s="5">
        <f t="shared" si="6"/>
        <v>0</v>
      </c>
      <c r="K45" s="8" t="b">
        <f t="shared" si="7"/>
        <v>1</v>
      </c>
    </row>
    <row r="46" spans="1:11">
      <c r="A46" s="5"/>
      <c r="B46" s="6"/>
      <c r="C46" s="7"/>
      <c r="D46" s="5"/>
      <c r="E46" s="5"/>
      <c r="F46" s="5"/>
      <c r="G46" s="6"/>
      <c r="H46" s="5"/>
      <c r="I46" s="5"/>
      <c r="J46" s="5">
        <f t="shared" si="6"/>
        <v>0</v>
      </c>
      <c r="K46" s="8" t="b">
        <f t="shared" si="7"/>
        <v>1</v>
      </c>
    </row>
    <row r="47" spans="1:11">
      <c r="A47" s="5"/>
      <c r="B47" s="6"/>
      <c r="C47" s="7"/>
      <c r="D47" s="5"/>
      <c r="E47" s="5"/>
      <c r="F47" s="5"/>
      <c r="G47" s="6"/>
      <c r="H47" s="5"/>
      <c r="I47" s="5"/>
      <c r="J47" s="5">
        <f t="shared" si="6"/>
        <v>0</v>
      </c>
      <c r="K47" s="8" t="b">
        <f t="shared" si="7"/>
        <v>1</v>
      </c>
    </row>
    <row r="49" spans="1:11" ht="26.25">
      <c r="A49" s="144" t="s">
        <v>55</v>
      </c>
      <c r="B49" s="166"/>
      <c r="C49" s="166"/>
      <c r="D49" s="166"/>
      <c r="E49" s="166"/>
      <c r="F49" s="166"/>
      <c r="G49" s="166"/>
      <c r="H49" s="166"/>
      <c r="I49" s="166"/>
      <c r="J49" s="166"/>
      <c r="K49" s="167"/>
    </row>
    <row r="50" spans="1:11" ht="26.25">
      <c r="A50" s="144" t="s">
        <v>51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7"/>
    </row>
    <row r="51" spans="1:11" ht="15.75" thickBot="1"/>
    <row r="52" spans="1:11" ht="15.75" thickBot="1">
      <c r="A52" s="132" t="s">
        <v>2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4"/>
    </row>
    <row r="54" spans="1:11" ht="19.5" thickBot="1">
      <c r="A54" s="1" t="s">
        <v>3</v>
      </c>
      <c r="B54" s="1"/>
      <c r="C54" s="1"/>
      <c r="D54" s="1"/>
      <c r="E54" s="1"/>
      <c r="F54" s="1"/>
      <c r="G54" s="1"/>
      <c r="H54" s="1"/>
      <c r="I54" s="1"/>
    </row>
    <row r="55" spans="1:11" ht="30.75" thickBot="1">
      <c r="A55" s="2" t="s">
        <v>4</v>
      </c>
      <c r="B55" s="3" t="s">
        <v>5</v>
      </c>
      <c r="C55" s="3" t="s">
        <v>6</v>
      </c>
      <c r="D55" s="3" t="s">
        <v>7</v>
      </c>
      <c r="E55" s="3" t="s">
        <v>8</v>
      </c>
      <c r="F55" s="3" t="s">
        <v>9</v>
      </c>
      <c r="G55" s="3" t="s">
        <v>10</v>
      </c>
      <c r="H55" s="3" t="s">
        <v>21</v>
      </c>
      <c r="I55" s="4" t="s">
        <v>22</v>
      </c>
      <c r="J55" s="4" t="s">
        <v>11</v>
      </c>
      <c r="K55" s="4" t="s">
        <v>12</v>
      </c>
    </row>
    <row r="56" spans="1:11">
      <c r="A56" s="5">
        <v>104</v>
      </c>
      <c r="B56" s="6">
        <v>43877</v>
      </c>
      <c r="C56" s="7">
        <v>0.4</v>
      </c>
      <c r="D56" s="9">
        <v>14.5</v>
      </c>
      <c r="E56" s="5">
        <v>6011.8</v>
      </c>
      <c r="F56" s="5">
        <v>6041.6</v>
      </c>
      <c r="G56" s="6">
        <v>43878</v>
      </c>
      <c r="H56" s="5"/>
      <c r="I56" s="5"/>
      <c r="J56" s="5">
        <f>F56-E56</f>
        <v>29.800000000000182</v>
      </c>
      <c r="K56" s="8" t="b">
        <f>F56=E57</f>
        <v>1</v>
      </c>
    </row>
    <row r="57" spans="1:11">
      <c r="A57" s="5">
        <v>104</v>
      </c>
      <c r="B57" s="6">
        <v>43878</v>
      </c>
      <c r="C57" s="7">
        <v>0.4</v>
      </c>
      <c r="D57" s="9">
        <v>14.5</v>
      </c>
      <c r="E57" s="5">
        <v>6041.6</v>
      </c>
      <c r="F57" s="5">
        <v>6072.8</v>
      </c>
      <c r="G57" s="6">
        <v>43879</v>
      </c>
      <c r="H57" s="5"/>
      <c r="I57" s="5"/>
      <c r="J57" s="5">
        <f>F57-E57</f>
        <v>31.199999999999818</v>
      </c>
      <c r="K57" s="8" t="b">
        <f>F57=E58</f>
        <v>1</v>
      </c>
    </row>
    <row r="58" spans="1:11">
      <c r="A58" s="5">
        <v>104</v>
      </c>
      <c r="B58" s="6">
        <v>43879</v>
      </c>
      <c r="C58" s="7">
        <v>0.4</v>
      </c>
      <c r="D58" s="9">
        <v>14.5</v>
      </c>
      <c r="E58" s="5">
        <v>6072.8</v>
      </c>
      <c r="F58" s="5">
        <v>6100.4</v>
      </c>
      <c r="G58" s="6">
        <v>43880</v>
      </c>
      <c r="H58" s="5"/>
      <c r="I58" s="5"/>
      <c r="J58" s="5">
        <f>F58-E58</f>
        <v>27.599999999999454</v>
      </c>
      <c r="K58" s="8" t="b">
        <f>F58=E59</f>
        <v>1</v>
      </c>
    </row>
    <row r="59" spans="1:11">
      <c r="A59" s="5">
        <v>104</v>
      </c>
      <c r="B59" s="6">
        <v>43881</v>
      </c>
      <c r="C59" s="7">
        <v>1</v>
      </c>
      <c r="D59" s="9">
        <v>5.8</v>
      </c>
      <c r="E59" s="5">
        <v>6100.4</v>
      </c>
      <c r="F59" s="5">
        <v>6111.7</v>
      </c>
      <c r="G59" s="6">
        <v>43881</v>
      </c>
      <c r="H59" s="5"/>
      <c r="I59" s="5"/>
      <c r="J59" s="5">
        <f>F59-E59</f>
        <v>11.300000000000182</v>
      </c>
      <c r="K59" s="8" t="b">
        <f>F59=E60</f>
        <v>1</v>
      </c>
    </row>
    <row r="60" spans="1:11">
      <c r="A60" s="5">
        <v>104</v>
      </c>
      <c r="B60" s="6">
        <v>43882</v>
      </c>
      <c r="C60" s="7">
        <v>1</v>
      </c>
      <c r="D60" s="9">
        <v>5.8</v>
      </c>
      <c r="E60" s="5">
        <v>6111.7</v>
      </c>
      <c r="F60" s="5">
        <v>6116.6</v>
      </c>
      <c r="G60" s="6">
        <v>43882</v>
      </c>
      <c r="H60" s="5"/>
      <c r="I60" s="5"/>
      <c r="J60" s="5">
        <f>F60-E60</f>
        <v>4.9000000000005457</v>
      </c>
      <c r="K60" s="8" t="b">
        <f>F60=E61</f>
        <v>1</v>
      </c>
    </row>
    <row r="61" spans="1:11">
      <c r="A61" s="5">
        <v>104</v>
      </c>
      <c r="B61" s="6">
        <v>43886</v>
      </c>
      <c r="C61" s="7">
        <v>1</v>
      </c>
      <c r="D61" s="9">
        <v>5.8</v>
      </c>
      <c r="E61" s="5">
        <v>6116.6</v>
      </c>
      <c r="F61" s="5">
        <v>6128.8</v>
      </c>
      <c r="G61" s="6">
        <v>43886</v>
      </c>
      <c r="H61" s="5"/>
      <c r="I61" s="5"/>
      <c r="J61" s="5">
        <f t="shared" ref="J61:J66" si="8">F61-E61</f>
        <v>12.199999999999818</v>
      </c>
      <c r="K61" s="8" t="b">
        <f t="shared" ref="K61:K66" si="9">F61=E62</f>
        <v>1</v>
      </c>
    </row>
    <row r="62" spans="1:11">
      <c r="A62" s="5">
        <v>104</v>
      </c>
      <c r="B62" s="6">
        <v>43888</v>
      </c>
      <c r="C62" s="7">
        <v>1</v>
      </c>
      <c r="D62" s="9">
        <v>5.8</v>
      </c>
      <c r="E62" s="5">
        <v>6128.8</v>
      </c>
      <c r="F62" s="5">
        <v>6141.4</v>
      </c>
      <c r="G62" s="6">
        <v>43888</v>
      </c>
      <c r="H62" s="5"/>
      <c r="I62" s="5"/>
      <c r="J62" s="5">
        <f t="shared" si="8"/>
        <v>12.599999999999454</v>
      </c>
      <c r="K62" s="8" t="b">
        <f t="shared" si="9"/>
        <v>1</v>
      </c>
    </row>
    <row r="63" spans="1:11">
      <c r="A63" s="5">
        <v>104</v>
      </c>
      <c r="B63" s="6">
        <v>43893</v>
      </c>
      <c r="C63" s="7">
        <v>1</v>
      </c>
      <c r="D63" s="9">
        <v>5.8</v>
      </c>
      <c r="E63" s="5">
        <v>6141.4</v>
      </c>
      <c r="F63" s="5">
        <v>6153.3</v>
      </c>
      <c r="G63" s="6">
        <v>43893</v>
      </c>
      <c r="H63" s="5"/>
      <c r="I63" s="5"/>
      <c r="J63" s="5">
        <f t="shared" si="8"/>
        <v>11.900000000000546</v>
      </c>
      <c r="K63" s="8" t="b">
        <f t="shared" si="9"/>
        <v>1</v>
      </c>
    </row>
    <row r="64" spans="1:11">
      <c r="A64" s="5">
        <v>104</v>
      </c>
      <c r="B64" s="6">
        <v>43909</v>
      </c>
      <c r="C64" s="7">
        <v>0.8</v>
      </c>
      <c r="D64" s="9">
        <v>7.25</v>
      </c>
      <c r="E64" s="5">
        <v>6153.3</v>
      </c>
      <c r="F64" s="5">
        <v>6168.9</v>
      </c>
      <c r="G64" s="6">
        <v>43909</v>
      </c>
      <c r="H64" s="5"/>
      <c r="I64" s="5"/>
      <c r="J64" s="5">
        <f t="shared" si="8"/>
        <v>15.599999999999454</v>
      </c>
      <c r="K64" s="8" t="b">
        <f t="shared" si="9"/>
        <v>1</v>
      </c>
    </row>
    <row r="65" spans="1:11">
      <c r="A65" s="5">
        <v>104</v>
      </c>
      <c r="B65" s="6">
        <v>43910</v>
      </c>
      <c r="C65" s="7">
        <v>1</v>
      </c>
      <c r="D65" s="9">
        <v>5.8</v>
      </c>
      <c r="E65" s="5">
        <v>6168.9</v>
      </c>
      <c r="F65" s="5">
        <v>6182.3</v>
      </c>
      <c r="G65" s="6">
        <v>43910</v>
      </c>
      <c r="H65" s="5"/>
      <c r="I65" s="5"/>
      <c r="J65" s="5">
        <f t="shared" si="8"/>
        <v>13.400000000000546</v>
      </c>
      <c r="K65" s="8" t="b">
        <f t="shared" si="9"/>
        <v>1</v>
      </c>
    </row>
    <row r="66" spans="1:11">
      <c r="A66" s="5">
        <v>104</v>
      </c>
      <c r="B66" s="6">
        <v>43913</v>
      </c>
      <c r="C66" s="7">
        <v>0.8</v>
      </c>
      <c r="D66" s="9">
        <v>7.25</v>
      </c>
      <c r="E66" s="5">
        <v>6182.3</v>
      </c>
      <c r="F66" s="5">
        <v>6197.1</v>
      </c>
      <c r="G66" s="6">
        <v>43913</v>
      </c>
      <c r="H66" s="5"/>
      <c r="I66" s="5"/>
      <c r="J66" s="5">
        <f t="shared" si="8"/>
        <v>14.800000000000182</v>
      </c>
      <c r="K66" s="8" t="b">
        <f t="shared" si="9"/>
        <v>1</v>
      </c>
    </row>
    <row r="67" spans="1:11">
      <c r="A67" s="5">
        <v>104</v>
      </c>
      <c r="B67" s="6">
        <v>43922</v>
      </c>
      <c r="C67" s="7">
        <v>0.8</v>
      </c>
      <c r="D67" s="9">
        <v>7.25</v>
      </c>
      <c r="E67" s="5">
        <v>6197.1</v>
      </c>
      <c r="F67" s="5">
        <v>6212.3</v>
      </c>
      <c r="G67" s="6">
        <v>43922</v>
      </c>
      <c r="H67" s="5"/>
      <c r="I67" s="5"/>
      <c r="J67" s="5">
        <f t="shared" ref="J67:J72" si="10">F67-E67</f>
        <v>15.199999999999818</v>
      </c>
      <c r="K67" s="8" t="b">
        <f t="shared" ref="K67:K72" si="11">F67=E68</f>
        <v>1</v>
      </c>
    </row>
    <row r="68" spans="1:11">
      <c r="A68" s="5">
        <v>104</v>
      </c>
      <c r="B68" s="6">
        <v>43924</v>
      </c>
      <c r="C68" s="7">
        <v>0.8</v>
      </c>
      <c r="D68" s="9">
        <v>7.25</v>
      </c>
      <c r="E68" s="5">
        <v>6212.3</v>
      </c>
      <c r="F68" s="5">
        <v>6225.4</v>
      </c>
      <c r="G68" s="6">
        <v>43924</v>
      </c>
      <c r="H68" s="5"/>
      <c r="I68" s="5"/>
      <c r="J68" s="5">
        <f t="shared" si="10"/>
        <v>13.099999999999454</v>
      </c>
      <c r="K68" s="8" t="b">
        <f t="shared" si="11"/>
        <v>1</v>
      </c>
    </row>
    <row r="69" spans="1:11">
      <c r="A69" s="5">
        <v>104</v>
      </c>
      <c r="B69" s="6">
        <v>43925</v>
      </c>
      <c r="C69" s="7">
        <v>1</v>
      </c>
      <c r="D69" s="9">
        <v>5.8</v>
      </c>
      <c r="E69" s="5">
        <v>6225.4</v>
      </c>
      <c r="F69" s="5">
        <v>6237.4</v>
      </c>
      <c r="G69" s="6">
        <v>43925</v>
      </c>
      <c r="H69" s="5"/>
      <c r="I69" s="5"/>
      <c r="J69" s="5">
        <f t="shared" si="10"/>
        <v>12</v>
      </c>
      <c r="K69" s="8" t="b">
        <f t="shared" si="11"/>
        <v>1</v>
      </c>
    </row>
    <row r="70" spans="1:11">
      <c r="A70" s="5">
        <v>104</v>
      </c>
      <c r="B70" s="6">
        <v>43926</v>
      </c>
      <c r="C70" s="7">
        <v>0.8</v>
      </c>
      <c r="D70" s="9">
        <v>7.25</v>
      </c>
      <c r="E70" s="5">
        <v>6237.4</v>
      </c>
      <c r="F70" s="5">
        <v>6253.5</v>
      </c>
      <c r="G70" s="6">
        <v>43926</v>
      </c>
      <c r="H70" s="5"/>
      <c r="I70" s="5"/>
      <c r="J70" s="5">
        <f t="shared" si="10"/>
        <v>16.100000000000364</v>
      </c>
      <c r="K70" s="8" t="b">
        <f t="shared" si="11"/>
        <v>1</v>
      </c>
    </row>
    <row r="71" spans="1:11">
      <c r="A71" s="5">
        <v>104</v>
      </c>
      <c r="B71" s="6">
        <v>43928</v>
      </c>
      <c r="C71" s="7">
        <v>0.8</v>
      </c>
      <c r="D71" s="9">
        <v>7.25</v>
      </c>
      <c r="E71" s="5">
        <v>6253.5</v>
      </c>
      <c r="F71" s="5">
        <v>6268.5</v>
      </c>
      <c r="G71" s="6">
        <v>43928</v>
      </c>
      <c r="H71" s="5"/>
      <c r="I71" s="5"/>
      <c r="J71" s="5">
        <f t="shared" si="10"/>
        <v>15</v>
      </c>
      <c r="K71" s="8" t="b">
        <f t="shared" si="11"/>
        <v>1</v>
      </c>
    </row>
    <row r="72" spans="1:11">
      <c r="A72" s="5">
        <v>104</v>
      </c>
      <c r="B72" s="6">
        <v>43932</v>
      </c>
      <c r="C72" s="7">
        <v>0.8</v>
      </c>
      <c r="D72" s="9">
        <v>7.25</v>
      </c>
      <c r="E72" s="5">
        <v>6268.5</v>
      </c>
      <c r="F72" s="5">
        <v>6283.6</v>
      </c>
      <c r="G72" s="6">
        <v>43932</v>
      </c>
      <c r="H72" s="5"/>
      <c r="I72" s="5"/>
      <c r="J72" s="5">
        <f t="shared" si="10"/>
        <v>15.100000000000364</v>
      </c>
      <c r="K72" s="8" t="b">
        <f t="shared" si="11"/>
        <v>0</v>
      </c>
    </row>
    <row r="73" spans="1:11">
      <c r="A73" s="5">
        <v>104</v>
      </c>
      <c r="B73" s="6">
        <v>43948</v>
      </c>
      <c r="C73" s="7">
        <v>0.8</v>
      </c>
      <c r="D73" s="9">
        <v>7.25</v>
      </c>
      <c r="E73" s="5">
        <v>6312.6</v>
      </c>
      <c r="F73" s="5">
        <v>6326.9</v>
      </c>
      <c r="G73" s="6">
        <v>43948</v>
      </c>
      <c r="H73" s="5"/>
      <c r="I73" s="5"/>
      <c r="J73" s="5">
        <f t="shared" ref="J73:J97" si="12">F73-E73</f>
        <v>14.299999999999272</v>
      </c>
      <c r="K73" s="8" t="b">
        <f t="shared" ref="K73:K96" si="13">F73=E74</f>
        <v>1</v>
      </c>
    </row>
    <row r="74" spans="1:11">
      <c r="A74" s="5">
        <v>104</v>
      </c>
      <c r="B74" s="6">
        <v>43956</v>
      </c>
      <c r="C74" s="7">
        <v>0.8</v>
      </c>
      <c r="D74" s="9">
        <v>7.25</v>
      </c>
      <c r="E74" s="5">
        <v>6326.9</v>
      </c>
      <c r="F74" s="5">
        <v>6362.6</v>
      </c>
      <c r="G74" s="6">
        <v>43956</v>
      </c>
      <c r="H74" s="5"/>
      <c r="I74" s="5"/>
      <c r="J74" s="5">
        <f t="shared" si="12"/>
        <v>35.700000000000728</v>
      </c>
      <c r="K74" s="8" t="b">
        <f t="shared" si="13"/>
        <v>1</v>
      </c>
    </row>
    <row r="75" spans="1:11">
      <c r="A75" s="5">
        <v>104</v>
      </c>
      <c r="B75" s="6">
        <v>43957</v>
      </c>
      <c r="C75" s="7">
        <v>1</v>
      </c>
      <c r="D75" s="9">
        <v>5.8</v>
      </c>
      <c r="E75" s="5">
        <v>6362.6</v>
      </c>
      <c r="F75" s="5">
        <v>6369</v>
      </c>
      <c r="G75" s="6">
        <v>43957</v>
      </c>
      <c r="H75" s="5"/>
      <c r="I75" s="5"/>
      <c r="J75" s="5">
        <f t="shared" si="12"/>
        <v>6.3999999999996362</v>
      </c>
      <c r="K75" s="8" t="b">
        <f t="shared" si="13"/>
        <v>1</v>
      </c>
    </row>
    <row r="76" spans="1:11">
      <c r="A76" s="5">
        <v>104</v>
      </c>
      <c r="B76" s="6">
        <v>43964</v>
      </c>
      <c r="C76" s="7">
        <v>1</v>
      </c>
      <c r="D76" s="9">
        <v>5.8</v>
      </c>
      <c r="E76" s="5">
        <v>6369</v>
      </c>
      <c r="F76" s="5">
        <v>6381</v>
      </c>
      <c r="G76" s="6">
        <v>43964</v>
      </c>
      <c r="H76" s="5"/>
      <c r="I76" s="5"/>
      <c r="J76" s="5">
        <f t="shared" si="12"/>
        <v>12</v>
      </c>
      <c r="K76" s="8" t="b">
        <f t="shared" si="13"/>
        <v>1</v>
      </c>
    </row>
    <row r="77" spans="1:11">
      <c r="A77" s="5">
        <v>104</v>
      </c>
      <c r="B77" s="6">
        <v>43976</v>
      </c>
      <c r="C77" s="7">
        <v>0.7</v>
      </c>
      <c r="D77" s="9">
        <v>8.2899999999999991</v>
      </c>
      <c r="E77" s="5">
        <v>6381</v>
      </c>
      <c r="F77" s="5">
        <v>6411.4</v>
      </c>
      <c r="G77" s="6">
        <v>43976</v>
      </c>
      <c r="H77" s="5"/>
      <c r="I77" s="5"/>
      <c r="J77" s="5">
        <f t="shared" si="12"/>
        <v>30.399999999999636</v>
      </c>
      <c r="K77" s="8" t="b">
        <f t="shared" si="13"/>
        <v>1</v>
      </c>
    </row>
    <row r="78" spans="1:11">
      <c r="A78" s="5">
        <v>104</v>
      </c>
      <c r="B78" s="6">
        <v>43981</v>
      </c>
      <c r="C78" s="7">
        <v>0.8</v>
      </c>
      <c r="D78" s="9">
        <v>7.25</v>
      </c>
      <c r="E78" s="5">
        <v>6411.4</v>
      </c>
      <c r="F78" s="5">
        <v>6428.1</v>
      </c>
      <c r="G78" s="6">
        <v>43981</v>
      </c>
      <c r="H78" s="5"/>
      <c r="I78" s="5"/>
      <c r="J78" s="5">
        <f t="shared" si="12"/>
        <v>16.700000000000728</v>
      </c>
      <c r="K78" s="8" t="b">
        <f t="shared" si="13"/>
        <v>0</v>
      </c>
    </row>
    <row r="79" spans="1:11">
      <c r="A79" s="5">
        <v>104</v>
      </c>
      <c r="B79" s="6">
        <v>43990</v>
      </c>
      <c r="C79" s="7">
        <v>0.7</v>
      </c>
      <c r="D79" s="9">
        <v>8.2899999999999991</v>
      </c>
      <c r="E79" s="5">
        <v>6443</v>
      </c>
      <c r="F79" s="5">
        <v>6461</v>
      </c>
      <c r="G79" s="6">
        <v>43990</v>
      </c>
      <c r="H79" s="5"/>
      <c r="I79" s="5"/>
      <c r="J79" s="5">
        <f t="shared" si="12"/>
        <v>18</v>
      </c>
      <c r="K79" s="8" t="b">
        <f t="shared" si="13"/>
        <v>1</v>
      </c>
    </row>
    <row r="80" spans="1:11">
      <c r="A80" s="5">
        <v>104</v>
      </c>
      <c r="B80" s="6">
        <v>43994</v>
      </c>
      <c r="C80" s="7">
        <v>0.7</v>
      </c>
      <c r="D80" s="9">
        <v>8.2899999999999991</v>
      </c>
      <c r="E80" s="5">
        <v>6461</v>
      </c>
      <c r="F80" s="5">
        <v>6478</v>
      </c>
      <c r="G80" s="6">
        <v>43994</v>
      </c>
      <c r="H80" s="5"/>
      <c r="I80" s="5"/>
      <c r="J80" s="5">
        <f t="shared" si="12"/>
        <v>17</v>
      </c>
      <c r="K80" s="8" t="b">
        <f t="shared" si="13"/>
        <v>1</v>
      </c>
    </row>
    <row r="81" spans="1:11">
      <c r="A81" s="5">
        <v>104</v>
      </c>
      <c r="B81" s="6">
        <v>43999</v>
      </c>
      <c r="C81" s="7">
        <v>0.7</v>
      </c>
      <c r="D81" s="9">
        <v>8.2899999999999991</v>
      </c>
      <c r="E81" s="5">
        <v>6478</v>
      </c>
      <c r="F81" s="5">
        <v>6496</v>
      </c>
      <c r="G81" s="6">
        <v>43999</v>
      </c>
      <c r="H81" s="5"/>
      <c r="I81" s="5"/>
      <c r="J81" s="5">
        <f t="shared" si="12"/>
        <v>18</v>
      </c>
      <c r="K81" s="8" t="b">
        <f t="shared" si="13"/>
        <v>1</v>
      </c>
    </row>
    <row r="82" spans="1:11">
      <c r="A82" s="5">
        <v>114</v>
      </c>
      <c r="B82" s="6">
        <v>44005</v>
      </c>
      <c r="C82" s="7">
        <v>0.7</v>
      </c>
      <c r="D82" s="9">
        <v>8.2899999999999991</v>
      </c>
      <c r="E82" s="5">
        <v>6496</v>
      </c>
      <c r="F82" s="5">
        <v>6513</v>
      </c>
      <c r="G82" s="6">
        <v>44005</v>
      </c>
      <c r="H82" s="5"/>
      <c r="I82" s="5"/>
      <c r="J82" s="5">
        <f t="shared" si="12"/>
        <v>17</v>
      </c>
      <c r="K82" s="8" t="b">
        <f t="shared" si="13"/>
        <v>1</v>
      </c>
    </row>
    <row r="83" spans="1:11">
      <c r="A83" s="5">
        <v>104</v>
      </c>
      <c r="B83" s="6">
        <v>44010</v>
      </c>
      <c r="C83" s="7">
        <v>0.7</v>
      </c>
      <c r="D83" s="9">
        <v>8.2899999999999991</v>
      </c>
      <c r="E83" s="5">
        <v>6513</v>
      </c>
      <c r="F83" s="5">
        <v>6530</v>
      </c>
      <c r="G83" s="6">
        <v>44010</v>
      </c>
      <c r="H83" s="5"/>
      <c r="I83" s="5"/>
      <c r="J83" s="5">
        <f t="shared" si="12"/>
        <v>17</v>
      </c>
      <c r="K83" s="8" t="b">
        <f t="shared" si="13"/>
        <v>1</v>
      </c>
    </row>
    <row r="84" spans="1:11">
      <c r="A84" s="5">
        <v>104</v>
      </c>
      <c r="B84" s="6">
        <v>44015</v>
      </c>
      <c r="C84" s="7">
        <v>0.7</v>
      </c>
      <c r="D84" s="9">
        <v>8.2899999999999991</v>
      </c>
      <c r="E84" s="5">
        <v>6530</v>
      </c>
      <c r="F84" s="5">
        <v>6547</v>
      </c>
      <c r="G84" s="6">
        <v>44015</v>
      </c>
      <c r="H84" s="5"/>
      <c r="I84" s="5"/>
      <c r="J84" s="5">
        <f t="shared" si="12"/>
        <v>17</v>
      </c>
      <c r="K84" s="8" t="b">
        <f t="shared" si="13"/>
        <v>1</v>
      </c>
    </row>
    <row r="85" spans="1:11">
      <c r="A85" s="5">
        <v>104</v>
      </c>
      <c r="B85" s="6">
        <v>44020</v>
      </c>
      <c r="C85" s="7">
        <v>0.4</v>
      </c>
      <c r="D85" s="9">
        <v>14.5</v>
      </c>
      <c r="E85" s="5">
        <v>6547</v>
      </c>
      <c r="F85" s="5">
        <v>6562</v>
      </c>
      <c r="G85" s="6">
        <v>44020</v>
      </c>
      <c r="H85" s="5"/>
      <c r="I85" s="5"/>
      <c r="J85" s="5">
        <f t="shared" si="12"/>
        <v>15</v>
      </c>
      <c r="K85" s="8" t="b">
        <f t="shared" si="13"/>
        <v>1</v>
      </c>
    </row>
    <row r="86" spans="1:11">
      <c r="A86" s="5">
        <v>104</v>
      </c>
      <c r="B86" s="6">
        <v>44021</v>
      </c>
      <c r="C86" s="7">
        <v>0.4</v>
      </c>
      <c r="D86" s="9">
        <v>14.5</v>
      </c>
      <c r="E86" s="5">
        <v>6562</v>
      </c>
      <c r="F86" s="5">
        <v>6576</v>
      </c>
      <c r="G86" s="6">
        <v>44021</v>
      </c>
      <c r="H86" s="5"/>
      <c r="I86" s="5"/>
      <c r="J86" s="5">
        <f t="shared" si="12"/>
        <v>14</v>
      </c>
      <c r="K86" s="8" t="b">
        <f t="shared" si="13"/>
        <v>1</v>
      </c>
    </row>
    <row r="87" spans="1:11">
      <c r="A87" s="5">
        <v>104</v>
      </c>
      <c r="B87" s="6">
        <v>44027</v>
      </c>
      <c r="C87" s="7">
        <v>0.4</v>
      </c>
      <c r="D87" s="9">
        <v>14.5</v>
      </c>
      <c r="E87" s="5">
        <v>6576</v>
      </c>
      <c r="F87" s="5">
        <v>6590</v>
      </c>
      <c r="G87" s="6">
        <v>44027</v>
      </c>
      <c r="H87" s="5"/>
      <c r="I87" s="5"/>
      <c r="J87" s="5">
        <f t="shared" si="12"/>
        <v>14</v>
      </c>
      <c r="K87" s="8" t="b">
        <f t="shared" si="13"/>
        <v>1</v>
      </c>
    </row>
    <row r="88" spans="1:11">
      <c r="A88" s="5">
        <v>104</v>
      </c>
      <c r="B88" s="6">
        <v>44028</v>
      </c>
      <c r="C88" s="7">
        <v>0.4</v>
      </c>
      <c r="D88" s="9">
        <v>14.5</v>
      </c>
      <c r="E88" s="5">
        <v>6590</v>
      </c>
      <c r="F88" s="5">
        <v>6605</v>
      </c>
      <c r="G88" s="6">
        <v>44028</v>
      </c>
      <c r="H88" s="5"/>
      <c r="I88" s="5"/>
      <c r="J88" s="5">
        <f t="shared" si="12"/>
        <v>15</v>
      </c>
      <c r="K88" s="8" t="b">
        <f t="shared" si="13"/>
        <v>1</v>
      </c>
    </row>
    <row r="89" spans="1:11">
      <c r="A89" s="5">
        <v>104</v>
      </c>
      <c r="B89" s="6">
        <v>44034</v>
      </c>
      <c r="C89" s="7">
        <v>0.4</v>
      </c>
      <c r="D89" s="9">
        <v>14.5</v>
      </c>
      <c r="E89" s="5">
        <v>6605</v>
      </c>
      <c r="F89" s="5">
        <v>6620</v>
      </c>
      <c r="G89" s="6">
        <v>44034</v>
      </c>
      <c r="H89" s="5"/>
      <c r="I89" s="5"/>
      <c r="J89" s="5">
        <f t="shared" si="12"/>
        <v>15</v>
      </c>
      <c r="K89" s="8" t="b">
        <f t="shared" si="13"/>
        <v>1</v>
      </c>
    </row>
    <row r="90" spans="1:11">
      <c r="A90" s="5">
        <v>104</v>
      </c>
      <c r="B90" s="6">
        <v>44035</v>
      </c>
      <c r="C90" s="7">
        <v>0.4</v>
      </c>
      <c r="D90" s="9">
        <v>14.5</v>
      </c>
      <c r="E90" s="5">
        <v>6620</v>
      </c>
      <c r="F90" s="5">
        <v>6635</v>
      </c>
      <c r="G90" s="6">
        <v>44035</v>
      </c>
      <c r="H90" s="5"/>
      <c r="I90" s="5"/>
      <c r="J90" s="5">
        <f t="shared" si="12"/>
        <v>15</v>
      </c>
      <c r="K90" s="8" t="b">
        <f t="shared" si="13"/>
        <v>1</v>
      </c>
    </row>
    <row r="91" spans="1:11">
      <c r="A91" s="5">
        <v>104</v>
      </c>
      <c r="B91" s="6">
        <v>44041</v>
      </c>
      <c r="C91" s="7">
        <v>0.4</v>
      </c>
      <c r="D91" s="9">
        <v>14.5</v>
      </c>
      <c r="E91" s="5">
        <v>6635</v>
      </c>
      <c r="F91" s="5">
        <v>6651</v>
      </c>
      <c r="G91" s="6">
        <v>44041</v>
      </c>
      <c r="H91" s="5"/>
      <c r="I91" s="5"/>
      <c r="J91" s="5">
        <f t="shared" si="12"/>
        <v>16</v>
      </c>
      <c r="K91" s="8" t="b">
        <f t="shared" si="13"/>
        <v>1</v>
      </c>
    </row>
    <row r="92" spans="1:11">
      <c r="A92" s="5">
        <v>104</v>
      </c>
      <c r="B92" s="6">
        <v>44042</v>
      </c>
      <c r="C92" s="7">
        <v>0.4</v>
      </c>
      <c r="D92" s="9">
        <v>14.5</v>
      </c>
      <c r="E92" s="5">
        <v>6651</v>
      </c>
      <c r="F92" s="5">
        <v>6668</v>
      </c>
      <c r="G92" s="6">
        <v>44042</v>
      </c>
      <c r="H92" s="5"/>
      <c r="I92" s="5"/>
      <c r="J92" s="5">
        <f t="shared" si="12"/>
        <v>17</v>
      </c>
      <c r="K92" s="8" t="b">
        <f t="shared" si="13"/>
        <v>1</v>
      </c>
    </row>
    <row r="93" spans="1:11">
      <c r="A93" s="5">
        <v>104</v>
      </c>
      <c r="B93" s="6">
        <v>44048</v>
      </c>
      <c r="C93" s="7">
        <v>0.4</v>
      </c>
      <c r="D93" s="9">
        <v>14.5</v>
      </c>
      <c r="E93" s="5">
        <v>6668</v>
      </c>
      <c r="F93" s="5">
        <v>6681</v>
      </c>
      <c r="G93" s="6">
        <v>44048</v>
      </c>
      <c r="H93" s="5"/>
      <c r="I93" s="5"/>
      <c r="J93" s="5">
        <f t="shared" si="12"/>
        <v>13</v>
      </c>
      <c r="K93" s="8" t="b">
        <f t="shared" si="13"/>
        <v>1</v>
      </c>
    </row>
    <row r="94" spans="1:11">
      <c r="A94" s="5">
        <v>104</v>
      </c>
      <c r="B94" s="6">
        <v>44049</v>
      </c>
      <c r="C94" s="7">
        <v>0.4</v>
      </c>
      <c r="D94" s="9">
        <v>14.5</v>
      </c>
      <c r="E94" s="5">
        <v>6681</v>
      </c>
      <c r="F94" s="5">
        <v>6696</v>
      </c>
      <c r="G94" s="6">
        <v>44049</v>
      </c>
      <c r="H94" s="5"/>
      <c r="I94" s="5"/>
      <c r="J94" s="5">
        <f t="shared" si="12"/>
        <v>15</v>
      </c>
      <c r="K94" s="8" t="b">
        <f t="shared" si="13"/>
        <v>1</v>
      </c>
    </row>
    <row r="95" spans="1:11">
      <c r="A95" s="5">
        <v>104</v>
      </c>
      <c r="B95" s="6">
        <v>44099</v>
      </c>
      <c r="C95" s="7">
        <v>0.4</v>
      </c>
      <c r="D95" s="9">
        <v>14.5</v>
      </c>
      <c r="E95" s="5">
        <v>6696</v>
      </c>
      <c r="F95" s="5">
        <v>6722</v>
      </c>
      <c r="G95" s="6">
        <v>44099</v>
      </c>
      <c r="H95" s="5"/>
      <c r="I95" s="5"/>
      <c r="J95" s="5">
        <f t="shared" si="12"/>
        <v>26</v>
      </c>
      <c r="K95" s="8" t="b">
        <f t="shared" si="13"/>
        <v>1</v>
      </c>
    </row>
    <row r="96" spans="1:11">
      <c r="A96" s="5">
        <v>104</v>
      </c>
      <c r="B96" s="6">
        <v>44100</v>
      </c>
      <c r="C96" s="7">
        <v>0.4</v>
      </c>
      <c r="D96" s="9">
        <v>14.5</v>
      </c>
      <c r="E96" s="5">
        <v>6722</v>
      </c>
      <c r="F96" s="5">
        <v>6744</v>
      </c>
      <c r="G96" s="6">
        <v>44100</v>
      </c>
      <c r="H96" s="5"/>
      <c r="I96" s="5"/>
      <c r="J96" s="5">
        <f t="shared" si="12"/>
        <v>22</v>
      </c>
      <c r="K96" s="8" t="b">
        <f t="shared" si="13"/>
        <v>0</v>
      </c>
    </row>
    <row r="97" spans="1:11">
      <c r="A97" s="5">
        <v>104</v>
      </c>
      <c r="B97" s="6">
        <v>44104</v>
      </c>
      <c r="C97" s="7">
        <v>0.4</v>
      </c>
      <c r="D97" s="9">
        <v>14.5</v>
      </c>
      <c r="E97" s="5">
        <v>6758</v>
      </c>
      <c r="F97" s="5">
        <v>6773</v>
      </c>
      <c r="G97" s="6">
        <v>44104</v>
      </c>
      <c r="H97" s="5"/>
      <c r="I97" s="5"/>
      <c r="J97" s="5">
        <f t="shared" si="12"/>
        <v>15</v>
      </c>
      <c r="K97" s="8" t="b">
        <f>F97=E98</f>
        <v>0</v>
      </c>
    </row>
    <row r="98" spans="1:11">
      <c r="A98" s="5"/>
      <c r="B98" s="6"/>
      <c r="C98" s="7"/>
      <c r="D98" s="9"/>
      <c r="E98" s="5"/>
      <c r="F98" s="5"/>
      <c r="G98" s="6"/>
      <c r="H98" s="5"/>
      <c r="I98" s="5"/>
      <c r="J98" s="5">
        <f>F98-E98</f>
        <v>0</v>
      </c>
      <c r="K98" s="8" t="b">
        <f>F98=E99</f>
        <v>1</v>
      </c>
    </row>
    <row r="99" spans="1:11">
      <c r="A99" s="5"/>
      <c r="B99" s="6"/>
      <c r="C99" s="7"/>
      <c r="D99" s="9"/>
      <c r="E99" s="5"/>
      <c r="F99" s="5"/>
      <c r="G99" s="6"/>
      <c r="H99" s="5"/>
      <c r="I99" s="5"/>
      <c r="J99" s="5">
        <f>F99-E99</f>
        <v>0</v>
      </c>
      <c r="K99" s="8" t="b">
        <f>F99=E100</f>
        <v>1</v>
      </c>
    </row>
    <row r="100" spans="1:11">
      <c r="A100" s="5"/>
      <c r="B100" s="6"/>
      <c r="C100" s="7"/>
      <c r="D100" s="9"/>
      <c r="E100" s="5"/>
      <c r="F100" s="5"/>
      <c r="G100" s="6"/>
      <c r="H100" s="5"/>
      <c r="I100" s="5"/>
      <c r="J100" s="5">
        <f>F100-E100</f>
        <v>0</v>
      </c>
      <c r="K100" s="8" t="b">
        <f>F100=E101</f>
        <v>1</v>
      </c>
    </row>
    <row r="101" spans="1:11">
      <c r="A101" s="5"/>
      <c r="B101" s="6"/>
      <c r="C101" s="7"/>
      <c r="D101" s="9"/>
      <c r="E101" s="5"/>
      <c r="F101" s="5"/>
      <c r="G101" s="6"/>
      <c r="H101" s="5"/>
      <c r="I101" s="5"/>
      <c r="J101" s="5">
        <f>F101-E101</f>
        <v>0</v>
      </c>
      <c r="K101" s="8" t="e">
        <f>F101=#REF!</f>
        <v>#REF!</v>
      </c>
    </row>
    <row r="103" spans="1:11" ht="26.25">
      <c r="A103" s="138" t="s">
        <v>55</v>
      </c>
      <c r="B103" s="159"/>
      <c r="C103" s="159"/>
      <c r="D103" s="159"/>
      <c r="E103" s="159"/>
      <c r="F103" s="159"/>
      <c r="G103" s="159"/>
      <c r="H103" s="159"/>
      <c r="I103" s="159"/>
      <c r="J103" s="159"/>
      <c r="K103" s="160"/>
    </row>
    <row r="104" spans="1:11" ht="26.25">
      <c r="A104" s="138" t="s">
        <v>13</v>
      </c>
      <c r="B104" s="159"/>
      <c r="C104" s="159"/>
      <c r="D104" s="159"/>
      <c r="E104" s="159"/>
      <c r="F104" s="159"/>
      <c r="G104" s="159"/>
      <c r="H104" s="159"/>
      <c r="I104" s="159"/>
      <c r="J104" s="159"/>
      <c r="K104" s="160"/>
    </row>
    <row r="105" spans="1:11" ht="15.75" thickBot="1"/>
    <row r="106" spans="1:11" ht="15.75" thickBot="1">
      <c r="A106" s="132" t="s">
        <v>2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4"/>
    </row>
    <row r="108" spans="1:11" ht="19.5" thickBot="1">
      <c r="A108" s="1" t="s">
        <v>3</v>
      </c>
      <c r="B108" s="1"/>
      <c r="C108" s="1"/>
      <c r="D108" s="1"/>
      <c r="E108" s="1"/>
      <c r="F108" s="1"/>
      <c r="G108" s="1"/>
      <c r="H108" s="1"/>
      <c r="I108" s="1"/>
    </row>
    <row r="109" spans="1:11" ht="30.75" thickBot="1">
      <c r="A109" s="2" t="s">
        <v>4</v>
      </c>
      <c r="B109" s="3" t="s">
        <v>5</v>
      </c>
      <c r="C109" s="3" t="s">
        <v>6</v>
      </c>
      <c r="D109" s="3" t="s">
        <v>7</v>
      </c>
      <c r="E109" s="3" t="s">
        <v>8</v>
      </c>
      <c r="F109" s="3" t="s">
        <v>9</v>
      </c>
      <c r="G109" s="3" t="s">
        <v>10</v>
      </c>
      <c r="H109" s="3" t="s">
        <v>21</v>
      </c>
      <c r="I109" s="4" t="s">
        <v>22</v>
      </c>
      <c r="J109" s="4" t="s">
        <v>11</v>
      </c>
      <c r="K109" s="4" t="s">
        <v>12</v>
      </c>
    </row>
    <row r="110" spans="1:11">
      <c r="A110" s="5">
        <v>104</v>
      </c>
      <c r="B110" s="6">
        <v>44099</v>
      </c>
      <c r="C110" s="7">
        <v>0.4</v>
      </c>
      <c r="D110" s="9">
        <v>14.5</v>
      </c>
      <c r="E110" s="5">
        <v>6696</v>
      </c>
      <c r="F110" s="5">
        <v>6722</v>
      </c>
      <c r="G110" s="6">
        <v>44099</v>
      </c>
      <c r="H110" s="5"/>
      <c r="I110" s="5"/>
      <c r="J110" s="5">
        <f>F110-E110</f>
        <v>26</v>
      </c>
      <c r="K110" s="8" t="b">
        <f>F113=E114</f>
        <v>1</v>
      </c>
    </row>
    <row r="111" spans="1:11">
      <c r="A111" s="5">
        <v>104</v>
      </c>
      <c r="B111" s="6">
        <v>44100</v>
      </c>
      <c r="C111" s="7">
        <v>0.4</v>
      </c>
      <c r="D111" s="9">
        <v>14.5</v>
      </c>
      <c r="E111" s="5">
        <v>6722</v>
      </c>
      <c r="F111" s="5">
        <v>6744</v>
      </c>
      <c r="G111" s="6">
        <v>44100</v>
      </c>
      <c r="H111" s="5"/>
      <c r="I111" s="5"/>
      <c r="J111" s="5">
        <f t="shared" ref="J111:J129" si="14">F111-E111</f>
        <v>22</v>
      </c>
      <c r="K111" s="8" t="b">
        <f t="shared" ref="K111:K136" si="15">F114=E115</f>
        <v>1</v>
      </c>
    </row>
    <row r="112" spans="1:11">
      <c r="A112" s="5">
        <v>104</v>
      </c>
      <c r="B112" s="6">
        <v>44104</v>
      </c>
      <c r="C112" s="7">
        <v>0.4</v>
      </c>
      <c r="D112" s="9">
        <v>14.5</v>
      </c>
      <c r="E112" s="5">
        <v>6758</v>
      </c>
      <c r="F112" s="5">
        <v>6773</v>
      </c>
      <c r="G112" s="6">
        <v>44104</v>
      </c>
      <c r="H112" s="5"/>
      <c r="I112" s="5"/>
      <c r="J112" s="5">
        <f t="shared" si="14"/>
        <v>15</v>
      </c>
      <c r="K112" s="8" t="b">
        <f t="shared" si="15"/>
        <v>1</v>
      </c>
    </row>
    <row r="113" spans="1:11">
      <c r="A113" s="5">
        <v>104</v>
      </c>
      <c r="B113" s="6">
        <v>44108</v>
      </c>
      <c r="C113" s="7">
        <v>0.4</v>
      </c>
      <c r="D113" s="9">
        <v>14.5</v>
      </c>
      <c r="E113" s="5">
        <v>6773</v>
      </c>
      <c r="F113" s="5">
        <v>6788</v>
      </c>
      <c r="G113" s="6">
        <v>44108</v>
      </c>
      <c r="H113" s="5"/>
      <c r="I113" s="5"/>
      <c r="J113" s="5">
        <f t="shared" si="14"/>
        <v>15</v>
      </c>
      <c r="K113" s="8" t="b">
        <f t="shared" si="15"/>
        <v>1</v>
      </c>
    </row>
    <row r="114" spans="1:11">
      <c r="A114" s="5">
        <v>104</v>
      </c>
      <c r="B114" s="6">
        <v>44111</v>
      </c>
      <c r="C114" s="7">
        <v>0.4</v>
      </c>
      <c r="D114" s="9">
        <v>14.5</v>
      </c>
      <c r="E114" s="5">
        <v>6788</v>
      </c>
      <c r="F114" s="5">
        <v>6805</v>
      </c>
      <c r="G114" s="6">
        <v>44111</v>
      </c>
      <c r="H114" s="5"/>
      <c r="I114" s="5"/>
      <c r="J114" s="5">
        <f t="shared" si="14"/>
        <v>17</v>
      </c>
      <c r="K114" s="8" t="b">
        <f t="shared" si="15"/>
        <v>1</v>
      </c>
    </row>
    <row r="115" spans="1:11">
      <c r="A115" s="5">
        <v>104</v>
      </c>
      <c r="B115" s="6">
        <v>44115</v>
      </c>
      <c r="C115" s="7">
        <v>0.4</v>
      </c>
      <c r="D115" s="9">
        <v>14.5</v>
      </c>
      <c r="E115" s="5">
        <v>6805</v>
      </c>
      <c r="F115" s="5">
        <v>6816</v>
      </c>
      <c r="G115" s="6">
        <v>44115</v>
      </c>
      <c r="H115" s="5"/>
      <c r="I115" s="5"/>
      <c r="J115" s="5">
        <f t="shared" si="14"/>
        <v>11</v>
      </c>
      <c r="K115" s="8" t="b">
        <f t="shared" si="15"/>
        <v>1</v>
      </c>
    </row>
    <row r="116" spans="1:11">
      <c r="A116" s="5">
        <v>104</v>
      </c>
      <c r="B116" s="6">
        <v>44116</v>
      </c>
      <c r="C116" s="7">
        <v>1</v>
      </c>
      <c r="D116" s="9">
        <v>5.8</v>
      </c>
      <c r="E116" s="5">
        <v>6816</v>
      </c>
      <c r="F116" s="5">
        <v>6830</v>
      </c>
      <c r="G116" s="6">
        <v>44116</v>
      </c>
      <c r="H116" s="5"/>
      <c r="I116" s="5"/>
      <c r="J116" s="5">
        <f t="shared" si="14"/>
        <v>14</v>
      </c>
      <c r="K116" s="8" t="b">
        <f t="shared" si="15"/>
        <v>1</v>
      </c>
    </row>
    <row r="117" spans="1:11">
      <c r="A117" s="5">
        <v>104</v>
      </c>
      <c r="B117" s="6">
        <v>44119</v>
      </c>
      <c r="C117" s="7">
        <v>1</v>
      </c>
      <c r="D117" s="9">
        <v>5.8</v>
      </c>
      <c r="E117" s="5">
        <v>6830</v>
      </c>
      <c r="F117" s="5">
        <v>6845</v>
      </c>
      <c r="G117" s="6">
        <v>44119</v>
      </c>
      <c r="H117" s="5"/>
      <c r="I117" s="5"/>
      <c r="J117" s="5">
        <f t="shared" si="14"/>
        <v>15</v>
      </c>
      <c r="K117" s="8" t="b">
        <f t="shared" si="15"/>
        <v>1</v>
      </c>
    </row>
    <row r="118" spans="1:11">
      <c r="A118" s="5">
        <v>104</v>
      </c>
      <c r="B118" s="6">
        <v>44120</v>
      </c>
      <c r="C118" s="7">
        <v>1</v>
      </c>
      <c r="D118" s="9">
        <v>5.8</v>
      </c>
      <c r="E118" s="5">
        <v>6845</v>
      </c>
      <c r="F118" s="5">
        <v>6857</v>
      </c>
      <c r="G118" s="6">
        <v>44120</v>
      </c>
      <c r="H118" s="5"/>
      <c r="I118" s="5"/>
      <c r="J118" s="5">
        <f t="shared" si="14"/>
        <v>12</v>
      </c>
      <c r="K118" s="8" t="b">
        <f t="shared" si="15"/>
        <v>1</v>
      </c>
    </row>
    <row r="119" spans="1:11">
      <c r="A119" s="5">
        <v>104</v>
      </c>
      <c r="B119" s="6">
        <v>44121</v>
      </c>
      <c r="C119" s="7">
        <v>1</v>
      </c>
      <c r="D119" s="9">
        <v>5.8</v>
      </c>
      <c r="E119" s="5">
        <v>6857</v>
      </c>
      <c r="F119" s="5">
        <v>6869</v>
      </c>
      <c r="G119" s="6">
        <v>44121</v>
      </c>
      <c r="H119" s="5"/>
      <c r="I119" s="5"/>
      <c r="J119" s="5">
        <f t="shared" si="14"/>
        <v>12</v>
      </c>
      <c r="K119" s="8" t="b">
        <f t="shared" si="15"/>
        <v>1</v>
      </c>
    </row>
    <row r="120" spans="1:11">
      <c r="A120" s="5">
        <v>104</v>
      </c>
      <c r="B120" s="6">
        <v>44122</v>
      </c>
      <c r="C120" s="7">
        <v>1</v>
      </c>
      <c r="D120" s="9">
        <v>5.8</v>
      </c>
      <c r="E120" s="5">
        <v>6869</v>
      </c>
      <c r="F120" s="5">
        <v>6881</v>
      </c>
      <c r="G120" s="6">
        <v>44122</v>
      </c>
      <c r="H120" s="5"/>
      <c r="I120" s="5"/>
      <c r="J120" s="5">
        <f t="shared" si="14"/>
        <v>12</v>
      </c>
      <c r="K120" s="8" t="b">
        <f t="shared" si="15"/>
        <v>1</v>
      </c>
    </row>
    <row r="121" spans="1:11">
      <c r="A121" s="5">
        <v>104</v>
      </c>
      <c r="B121" s="6">
        <v>44123</v>
      </c>
      <c r="C121" s="7">
        <v>1</v>
      </c>
      <c r="D121" s="9">
        <v>5.8</v>
      </c>
      <c r="E121" s="5">
        <v>6881</v>
      </c>
      <c r="F121" s="5">
        <v>6894</v>
      </c>
      <c r="G121" s="6">
        <v>44123</v>
      </c>
      <c r="H121" s="5"/>
      <c r="I121" s="5"/>
      <c r="J121" s="5">
        <f t="shared" si="14"/>
        <v>13</v>
      </c>
      <c r="K121" s="8" t="b">
        <f t="shared" si="15"/>
        <v>1</v>
      </c>
    </row>
    <row r="122" spans="1:11">
      <c r="A122" s="5">
        <v>104</v>
      </c>
      <c r="B122" s="6">
        <v>44124</v>
      </c>
      <c r="C122" s="7">
        <v>1</v>
      </c>
      <c r="D122" s="9">
        <v>5.8</v>
      </c>
      <c r="E122" s="5">
        <v>6894</v>
      </c>
      <c r="F122" s="5">
        <v>6906</v>
      </c>
      <c r="G122" s="6">
        <v>44124</v>
      </c>
      <c r="H122" s="5"/>
      <c r="I122" s="5"/>
      <c r="J122" s="5">
        <f t="shared" si="14"/>
        <v>12</v>
      </c>
      <c r="K122" s="8" t="b">
        <f t="shared" si="15"/>
        <v>1</v>
      </c>
    </row>
    <row r="123" spans="1:11">
      <c r="A123" s="5">
        <v>104</v>
      </c>
      <c r="B123" s="6">
        <v>44125</v>
      </c>
      <c r="C123" s="7">
        <v>1</v>
      </c>
      <c r="D123" s="9">
        <v>5.8</v>
      </c>
      <c r="E123" s="5">
        <v>6906</v>
      </c>
      <c r="F123" s="5">
        <v>6918</v>
      </c>
      <c r="G123" s="6">
        <v>44125</v>
      </c>
      <c r="H123" s="5"/>
      <c r="I123" s="5"/>
      <c r="J123" s="5">
        <f t="shared" si="14"/>
        <v>12</v>
      </c>
      <c r="K123" s="8" t="b">
        <f t="shared" si="15"/>
        <v>1</v>
      </c>
    </row>
    <row r="124" spans="1:11">
      <c r="A124" s="5">
        <v>104</v>
      </c>
      <c r="B124" s="6">
        <v>44126</v>
      </c>
      <c r="C124" s="7">
        <v>1</v>
      </c>
      <c r="D124" s="9">
        <v>5.8</v>
      </c>
      <c r="E124" s="5">
        <v>6918</v>
      </c>
      <c r="F124" s="5">
        <v>6931</v>
      </c>
      <c r="G124" s="6">
        <v>44126</v>
      </c>
      <c r="H124" s="5"/>
      <c r="I124" s="5"/>
      <c r="J124" s="5">
        <f t="shared" si="14"/>
        <v>13</v>
      </c>
      <c r="K124" s="8" t="b">
        <f t="shared" si="15"/>
        <v>1</v>
      </c>
    </row>
    <row r="125" spans="1:11">
      <c r="A125" s="5">
        <v>104</v>
      </c>
      <c r="B125" s="6">
        <v>44128</v>
      </c>
      <c r="C125" s="7">
        <v>1</v>
      </c>
      <c r="D125" s="9">
        <v>5.8</v>
      </c>
      <c r="E125" s="5">
        <v>6931</v>
      </c>
      <c r="F125" s="5">
        <v>6942</v>
      </c>
      <c r="G125" s="6">
        <v>44128</v>
      </c>
      <c r="H125" s="5"/>
      <c r="I125" s="5"/>
      <c r="J125" s="5">
        <f>F125-E125</f>
        <v>11</v>
      </c>
      <c r="K125" s="8" t="b">
        <f t="shared" si="15"/>
        <v>0</v>
      </c>
    </row>
    <row r="126" spans="1:11">
      <c r="A126" s="5">
        <v>104</v>
      </c>
      <c r="B126" s="6">
        <v>44130</v>
      </c>
      <c r="C126" s="7">
        <v>1</v>
      </c>
      <c r="D126" s="9">
        <v>5.8</v>
      </c>
      <c r="E126" s="5">
        <v>6942</v>
      </c>
      <c r="F126" s="5">
        <v>6953</v>
      </c>
      <c r="G126" s="6">
        <v>44130</v>
      </c>
      <c r="H126" s="5"/>
      <c r="I126" s="5"/>
      <c r="J126" s="5">
        <f t="shared" si="14"/>
        <v>11</v>
      </c>
      <c r="K126" s="8" t="b">
        <f t="shared" si="15"/>
        <v>1</v>
      </c>
    </row>
    <row r="127" spans="1:11">
      <c r="A127" s="5">
        <v>104</v>
      </c>
      <c r="B127" s="6">
        <v>44132</v>
      </c>
      <c r="C127" s="7">
        <v>1</v>
      </c>
      <c r="D127" s="9">
        <v>5.8</v>
      </c>
      <c r="E127" s="5">
        <v>6953</v>
      </c>
      <c r="F127" s="5">
        <v>6959</v>
      </c>
      <c r="G127" s="6">
        <v>44132</v>
      </c>
      <c r="H127" s="5"/>
      <c r="I127" s="5"/>
      <c r="J127" s="5">
        <f t="shared" si="14"/>
        <v>6</v>
      </c>
      <c r="K127" s="8" t="b">
        <f t="shared" si="15"/>
        <v>1</v>
      </c>
    </row>
    <row r="128" spans="1:11">
      <c r="A128" s="5">
        <v>104</v>
      </c>
      <c r="B128" s="6">
        <v>44140</v>
      </c>
      <c r="C128" s="7">
        <v>1</v>
      </c>
      <c r="D128" s="9">
        <v>5.8</v>
      </c>
      <c r="E128" s="5">
        <v>6959</v>
      </c>
      <c r="F128" s="5">
        <v>6971.8</v>
      </c>
      <c r="G128" s="6">
        <v>44140</v>
      </c>
      <c r="H128" s="5"/>
      <c r="I128" s="5"/>
      <c r="J128" s="5">
        <f t="shared" si="14"/>
        <v>12.800000000000182</v>
      </c>
      <c r="K128" s="8" t="b">
        <f t="shared" si="15"/>
        <v>0</v>
      </c>
    </row>
    <row r="129" spans="1:11">
      <c r="A129" s="5">
        <v>104</v>
      </c>
      <c r="B129" s="6">
        <v>44161</v>
      </c>
      <c r="C129" s="7">
        <v>1</v>
      </c>
      <c r="D129" s="9">
        <v>5.8</v>
      </c>
      <c r="E129" s="5">
        <v>43</v>
      </c>
      <c r="F129" s="5">
        <v>56</v>
      </c>
      <c r="G129" s="6">
        <v>44161</v>
      </c>
      <c r="H129" s="5"/>
      <c r="I129" s="5"/>
      <c r="J129" s="5">
        <f t="shared" si="14"/>
        <v>13</v>
      </c>
      <c r="K129" s="8" t="b">
        <f t="shared" si="15"/>
        <v>0</v>
      </c>
    </row>
    <row r="130" spans="1:11">
      <c r="A130" s="5">
        <v>104</v>
      </c>
      <c r="B130" s="6">
        <v>44163</v>
      </c>
      <c r="C130" s="7">
        <v>1</v>
      </c>
      <c r="D130" s="9">
        <v>5.8</v>
      </c>
      <c r="E130" s="5">
        <v>56</v>
      </c>
      <c r="F130" s="5">
        <v>67</v>
      </c>
      <c r="G130" s="6">
        <v>44163</v>
      </c>
      <c r="H130" s="5"/>
      <c r="I130" s="5"/>
      <c r="J130" s="5">
        <f t="shared" ref="J130:J136" si="16">F130-E130</f>
        <v>11</v>
      </c>
      <c r="K130" s="8" t="b">
        <f t="shared" si="15"/>
        <v>0</v>
      </c>
    </row>
    <row r="131" spans="1:11">
      <c r="A131" s="5">
        <v>104</v>
      </c>
      <c r="B131" s="6">
        <v>44164</v>
      </c>
      <c r="C131" s="7">
        <v>0.8</v>
      </c>
      <c r="D131" s="9">
        <v>7.25</v>
      </c>
      <c r="E131" s="5">
        <v>67</v>
      </c>
      <c r="F131" s="5">
        <v>82</v>
      </c>
      <c r="G131" s="6">
        <v>44164</v>
      </c>
      <c r="H131" s="5"/>
      <c r="I131" s="5"/>
      <c r="J131" s="5">
        <f t="shared" si="16"/>
        <v>15</v>
      </c>
      <c r="K131" s="8" t="b">
        <f t="shared" si="15"/>
        <v>0</v>
      </c>
    </row>
    <row r="132" spans="1:11">
      <c r="A132" s="5">
        <v>104</v>
      </c>
      <c r="B132" s="6">
        <v>44165</v>
      </c>
      <c r="C132" s="7">
        <v>0.8</v>
      </c>
      <c r="D132" s="9">
        <v>7.25</v>
      </c>
      <c r="E132" s="5">
        <v>87</v>
      </c>
      <c r="F132" s="5">
        <v>112</v>
      </c>
      <c r="G132" s="6">
        <v>44165</v>
      </c>
      <c r="H132" s="5"/>
      <c r="I132" s="5"/>
      <c r="J132" s="5">
        <f t="shared" si="16"/>
        <v>25</v>
      </c>
      <c r="K132" s="8" t="b">
        <f t="shared" si="15"/>
        <v>0</v>
      </c>
    </row>
    <row r="133" spans="1:11">
      <c r="A133" s="5">
        <v>104</v>
      </c>
      <c r="B133" s="6">
        <v>44166</v>
      </c>
      <c r="C133" s="7">
        <v>0.4</v>
      </c>
      <c r="D133" s="9">
        <v>14.5</v>
      </c>
      <c r="E133" s="5">
        <v>12</v>
      </c>
      <c r="F133" s="5">
        <v>142.19999999999999</v>
      </c>
      <c r="G133" s="6">
        <v>44166</v>
      </c>
      <c r="H133" s="5"/>
      <c r="I133" s="5"/>
      <c r="J133" s="5">
        <f t="shared" si="16"/>
        <v>130.19999999999999</v>
      </c>
      <c r="K133" s="8" t="b">
        <f t="shared" si="15"/>
        <v>0</v>
      </c>
    </row>
    <row r="134" spans="1:11">
      <c r="A134" s="5">
        <v>104</v>
      </c>
      <c r="B134" s="6">
        <v>44197</v>
      </c>
      <c r="C134" s="7">
        <v>0.6</v>
      </c>
      <c r="D134" s="9">
        <v>9.67</v>
      </c>
      <c r="E134" s="5">
        <v>296</v>
      </c>
      <c r="F134" s="5">
        <v>315</v>
      </c>
      <c r="G134" s="6"/>
      <c r="H134" s="5"/>
      <c r="I134" s="5"/>
      <c r="J134" s="5">
        <f t="shared" si="16"/>
        <v>19</v>
      </c>
      <c r="K134" s="8" t="b">
        <f t="shared" si="15"/>
        <v>0</v>
      </c>
    </row>
    <row r="135" spans="1:11">
      <c r="A135" s="5">
        <v>104</v>
      </c>
      <c r="B135" s="6">
        <v>44226</v>
      </c>
      <c r="C135" s="7">
        <v>0.6</v>
      </c>
      <c r="D135" s="9">
        <v>9.67</v>
      </c>
      <c r="E135" s="5">
        <v>296</v>
      </c>
      <c r="F135" s="5">
        <v>316</v>
      </c>
      <c r="G135" s="6"/>
      <c r="H135" s="5"/>
      <c r="I135" s="5"/>
      <c r="J135" s="5">
        <f t="shared" si="16"/>
        <v>20</v>
      </c>
      <c r="K135" s="8" t="b">
        <f t="shared" si="15"/>
        <v>1</v>
      </c>
    </row>
    <row r="136" spans="1:11">
      <c r="A136" s="5">
        <v>104</v>
      </c>
      <c r="B136" s="6">
        <v>44203</v>
      </c>
      <c r="C136" s="7">
        <v>0.6</v>
      </c>
      <c r="D136" s="9">
        <v>9.67</v>
      </c>
      <c r="E136" s="5">
        <v>0</v>
      </c>
      <c r="F136" s="5">
        <v>20.100000000000001</v>
      </c>
      <c r="G136" s="6"/>
      <c r="H136" s="5"/>
      <c r="I136" s="5"/>
      <c r="J136" s="5">
        <f t="shared" si="16"/>
        <v>20.100000000000001</v>
      </c>
      <c r="K136" s="8" t="b">
        <f t="shared" si="15"/>
        <v>0</v>
      </c>
    </row>
    <row r="137" spans="1:11">
      <c r="A137" s="5">
        <v>104</v>
      </c>
      <c r="B137" s="6">
        <v>44227</v>
      </c>
      <c r="C137" s="7">
        <v>0.6</v>
      </c>
      <c r="D137" s="9">
        <v>9.67</v>
      </c>
      <c r="E137" s="5">
        <v>22</v>
      </c>
      <c r="F137" s="5">
        <v>42</v>
      </c>
      <c r="G137" s="6"/>
      <c r="H137" s="5"/>
      <c r="I137" s="5"/>
      <c r="J137" s="5">
        <f>F137-E137</f>
        <v>20</v>
      </c>
      <c r="K137" s="8" t="b">
        <f>F140=E141</f>
        <v>1</v>
      </c>
    </row>
    <row r="138" spans="1:11">
      <c r="A138" s="5">
        <v>104</v>
      </c>
      <c r="B138" s="6">
        <v>44230</v>
      </c>
      <c r="C138" s="7">
        <v>0.8</v>
      </c>
      <c r="D138" s="9">
        <v>7.25</v>
      </c>
      <c r="E138" s="5">
        <v>42.3</v>
      </c>
      <c r="F138" s="5">
        <v>57.5</v>
      </c>
      <c r="G138" s="6"/>
      <c r="H138" s="5"/>
      <c r="I138" s="5"/>
      <c r="J138" s="5">
        <f>F138-E138</f>
        <v>15.200000000000003</v>
      </c>
      <c r="K138" s="8" t="b">
        <f>F141=E142</f>
        <v>1</v>
      </c>
    </row>
    <row r="139" spans="1:11">
      <c r="A139" s="5">
        <v>104</v>
      </c>
      <c r="B139" s="6">
        <v>44231</v>
      </c>
      <c r="C139" s="7">
        <v>1</v>
      </c>
      <c r="D139" s="9">
        <v>5.8</v>
      </c>
      <c r="E139" s="5">
        <v>57.5</v>
      </c>
      <c r="F139" s="5">
        <v>67.400000000000006</v>
      </c>
      <c r="G139" s="6"/>
      <c r="H139" s="5"/>
      <c r="I139" s="5"/>
      <c r="J139" s="5">
        <f>F139-E139</f>
        <v>9.9000000000000057</v>
      </c>
      <c r="K139" s="8" t="b">
        <f>F142=E143</f>
        <v>1</v>
      </c>
    </row>
    <row r="140" spans="1:11">
      <c r="A140" s="5">
        <v>104</v>
      </c>
      <c r="B140" s="6">
        <v>44261</v>
      </c>
      <c r="C140" s="7">
        <v>1</v>
      </c>
      <c r="D140" s="9">
        <v>5.8</v>
      </c>
      <c r="E140" s="5"/>
      <c r="F140" s="5"/>
      <c r="G140" s="6"/>
      <c r="H140" s="5"/>
      <c r="I140" s="5"/>
      <c r="J140" s="5">
        <f>F140-E140</f>
        <v>0</v>
      </c>
      <c r="K140" s="8" t="b">
        <f>F143=E144</f>
        <v>1</v>
      </c>
    </row>
    <row r="141" spans="1:11">
      <c r="A141" s="5">
        <v>104</v>
      </c>
      <c r="B141" s="6"/>
      <c r="C141" s="7"/>
      <c r="D141" s="9"/>
      <c r="E141" s="5"/>
      <c r="F141" s="5"/>
      <c r="G141" s="6"/>
      <c r="H141" s="5"/>
      <c r="I141" s="5"/>
      <c r="J141" s="5">
        <f t="shared" ref="J141:J147" si="17">F141-E141</f>
        <v>0</v>
      </c>
      <c r="K141" s="8" t="b">
        <f t="shared" ref="K141:K147" si="18">F144=E145</f>
        <v>1</v>
      </c>
    </row>
    <row r="142" spans="1:11">
      <c r="A142" s="5">
        <v>104</v>
      </c>
      <c r="B142" s="6"/>
      <c r="C142" s="7"/>
      <c r="D142" s="9"/>
      <c r="E142" s="5"/>
      <c r="F142" s="5"/>
      <c r="G142" s="6"/>
      <c r="H142" s="5"/>
      <c r="I142" s="5"/>
      <c r="J142" s="5">
        <f t="shared" si="17"/>
        <v>0</v>
      </c>
      <c r="K142" s="8" t="b">
        <f t="shared" si="18"/>
        <v>1</v>
      </c>
    </row>
    <row r="143" spans="1:11">
      <c r="A143" s="5">
        <v>104</v>
      </c>
      <c r="B143" s="6"/>
      <c r="C143" s="7"/>
      <c r="D143" s="9"/>
      <c r="E143" s="5"/>
      <c r="F143" s="5"/>
      <c r="G143" s="6"/>
      <c r="H143" s="5"/>
      <c r="I143" s="5"/>
      <c r="J143" s="5">
        <f t="shared" si="17"/>
        <v>0</v>
      </c>
      <c r="K143" s="8" t="b">
        <f t="shared" si="18"/>
        <v>1</v>
      </c>
    </row>
    <row r="144" spans="1:11">
      <c r="A144" s="5">
        <v>104</v>
      </c>
      <c r="B144" s="6"/>
      <c r="C144" s="7"/>
      <c r="D144" s="9"/>
      <c r="E144" s="5"/>
      <c r="F144" s="5"/>
      <c r="G144" s="6"/>
      <c r="H144" s="5"/>
      <c r="I144" s="5"/>
      <c r="J144" s="5">
        <f t="shared" si="17"/>
        <v>0</v>
      </c>
      <c r="K144" s="8" t="b">
        <f t="shared" si="18"/>
        <v>1</v>
      </c>
    </row>
    <row r="145" spans="1:11">
      <c r="A145" s="5">
        <v>104</v>
      </c>
      <c r="B145" s="6"/>
      <c r="C145" s="7"/>
      <c r="D145" s="9"/>
      <c r="E145" s="5"/>
      <c r="F145" s="5"/>
      <c r="G145" s="6"/>
      <c r="H145" s="5"/>
      <c r="I145" s="5"/>
      <c r="J145" s="5">
        <f t="shared" si="17"/>
        <v>0</v>
      </c>
      <c r="K145" s="8" t="b">
        <f t="shared" si="18"/>
        <v>1</v>
      </c>
    </row>
    <row r="146" spans="1:11">
      <c r="A146" s="5">
        <v>104</v>
      </c>
      <c r="B146" s="6"/>
      <c r="C146" s="7"/>
      <c r="D146" s="9"/>
      <c r="E146" s="5"/>
      <c r="F146" s="5"/>
      <c r="G146" s="6"/>
      <c r="H146" s="5"/>
      <c r="I146" s="5"/>
      <c r="J146" s="5">
        <f t="shared" si="17"/>
        <v>0</v>
      </c>
      <c r="K146" s="8" t="b">
        <f t="shared" si="18"/>
        <v>1</v>
      </c>
    </row>
    <row r="147" spans="1:11">
      <c r="A147" s="5">
        <v>104</v>
      </c>
      <c r="B147" s="6"/>
      <c r="C147" s="7"/>
      <c r="D147" s="9"/>
      <c r="E147" s="5"/>
      <c r="F147" s="5"/>
      <c r="G147" s="6"/>
      <c r="H147" s="5"/>
      <c r="I147" s="5"/>
      <c r="J147" s="5">
        <f t="shared" si="17"/>
        <v>0</v>
      </c>
      <c r="K147" s="8" t="b">
        <f t="shared" si="18"/>
        <v>1</v>
      </c>
    </row>
    <row r="150" spans="1:11" ht="26.25">
      <c r="A150" s="150" t="s">
        <v>55</v>
      </c>
      <c r="B150" s="174"/>
      <c r="C150" s="174"/>
      <c r="D150" s="174"/>
      <c r="E150" s="174"/>
      <c r="F150" s="174"/>
      <c r="G150" s="174"/>
      <c r="H150" s="174"/>
      <c r="I150" s="174"/>
      <c r="J150" s="174"/>
      <c r="K150" s="175"/>
    </row>
    <row r="151" spans="1:11" ht="26.25">
      <c r="A151" s="150" t="s">
        <v>14</v>
      </c>
      <c r="B151" s="174"/>
      <c r="C151" s="174"/>
      <c r="D151" s="174"/>
      <c r="E151" s="174"/>
      <c r="F151" s="174"/>
      <c r="G151" s="174"/>
      <c r="H151" s="174"/>
      <c r="I151" s="174"/>
      <c r="J151" s="174"/>
      <c r="K151" s="175"/>
    </row>
    <row r="152" spans="1:11" ht="15.75" thickBot="1"/>
    <row r="153" spans="1:11" ht="15.75" thickBot="1">
      <c r="A153" s="132" t="s">
        <v>2</v>
      </c>
      <c r="B153" s="133"/>
      <c r="C153" s="133"/>
      <c r="D153" s="133"/>
      <c r="E153" s="133"/>
      <c r="F153" s="133"/>
      <c r="G153" s="133"/>
      <c r="H153" s="133"/>
      <c r="I153" s="133"/>
      <c r="J153" s="133"/>
      <c r="K153" s="134"/>
    </row>
    <row r="155" spans="1:11" ht="19.5" thickBot="1">
      <c r="A155" s="1" t="s">
        <v>3</v>
      </c>
      <c r="B155" s="1"/>
      <c r="C155" s="1"/>
      <c r="D155" s="1"/>
      <c r="E155" s="1"/>
      <c r="F155" s="1"/>
      <c r="G155" s="1"/>
      <c r="H155" s="1"/>
      <c r="I155" s="1"/>
    </row>
    <row r="156" spans="1:11" ht="30.75" thickBot="1">
      <c r="A156" s="2" t="s">
        <v>4</v>
      </c>
      <c r="B156" s="3" t="s">
        <v>5</v>
      </c>
      <c r="C156" s="3" t="s">
        <v>6</v>
      </c>
      <c r="D156" s="3" t="s">
        <v>7</v>
      </c>
      <c r="E156" s="3" t="s">
        <v>8</v>
      </c>
      <c r="F156" s="3" t="s">
        <v>9</v>
      </c>
      <c r="G156" s="3" t="s">
        <v>10</v>
      </c>
      <c r="H156" s="3" t="s">
        <v>21</v>
      </c>
      <c r="I156" s="4" t="s">
        <v>22</v>
      </c>
      <c r="J156" s="4" t="s">
        <v>11</v>
      </c>
      <c r="K156" s="4" t="s">
        <v>12</v>
      </c>
    </row>
    <row r="157" spans="1:11">
      <c r="A157" s="5">
        <v>104</v>
      </c>
      <c r="B157" s="6">
        <v>44233</v>
      </c>
      <c r="C157" s="7">
        <v>1</v>
      </c>
      <c r="D157" s="9">
        <v>5.8</v>
      </c>
      <c r="E157" s="5">
        <v>82.9</v>
      </c>
      <c r="F157" s="5">
        <v>97.2</v>
      </c>
      <c r="G157" s="6">
        <v>44233</v>
      </c>
      <c r="H157" s="5"/>
      <c r="I157" s="5"/>
      <c r="J157" s="5">
        <f>F157-E157</f>
        <v>14.299999999999997</v>
      </c>
      <c r="K157" s="8" t="b">
        <f>F160=E161</f>
        <v>0</v>
      </c>
    </row>
    <row r="158" spans="1:11">
      <c r="A158" s="5">
        <v>104</v>
      </c>
      <c r="B158" s="6">
        <v>44241</v>
      </c>
      <c r="C158" s="7">
        <v>1</v>
      </c>
      <c r="D158" s="9">
        <v>5.8</v>
      </c>
      <c r="E158" s="5">
        <v>97.2</v>
      </c>
      <c r="F158" s="5">
        <v>109.6</v>
      </c>
      <c r="G158" s="6">
        <v>44241</v>
      </c>
      <c r="H158" s="5"/>
      <c r="I158" s="5"/>
      <c r="J158" s="5">
        <f>F158-E158</f>
        <v>12.399999999999991</v>
      </c>
      <c r="K158" s="8" t="b">
        <f>F161=E162</f>
        <v>1</v>
      </c>
    </row>
    <row r="159" spans="1:11">
      <c r="A159" s="5">
        <v>104</v>
      </c>
      <c r="B159" s="6">
        <v>44253</v>
      </c>
      <c r="C159" s="7">
        <v>1</v>
      </c>
      <c r="D159" s="9">
        <v>5.8</v>
      </c>
      <c r="E159" s="5">
        <v>109.6</v>
      </c>
      <c r="F159" s="5">
        <v>121.6</v>
      </c>
      <c r="G159" s="6">
        <v>44253</v>
      </c>
      <c r="H159" s="5"/>
      <c r="I159" s="5"/>
      <c r="J159" s="5">
        <f>F159-E159</f>
        <v>12</v>
      </c>
      <c r="K159" s="8" t="b">
        <f>F162=E163</f>
        <v>1</v>
      </c>
    </row>
    <row r="160" spans="1:11">
      <c r="A160" s="5">
        <v>104</v>
      </c>
      <c r="B160" s="6">
        <v>44259</v>
      </c>
      <c r="C160" s="7">
        <v>1</v>
      </c>
      <c r="D160" s="9">
        <v>5.8</v>
      </c>
      <c r="E160" s="5">
        <v>121.3</v>
      </c>
      <c r="F160" s="5">
        <v>133.4</v>
      </c>
      <c r="G160" s="6">
        <v>44259</v>
      </c>
      <c r="H160" s="5"/>
      <c r="I160" s="5"/>
      <c r="J160" s="5">
        <f>F160-E160</f>
        <v>12.100000000000009</v>
      </c>
      <c r="K160" s="8" t="b">
        <f>F163=E164</f>
        <v>1</v>
      </c>
    </row>
    <row r="161" spans="1:11">
      <c r="A161" s="5">
        <v>104</v>
      </c>
      <c r="B161" s="6">
        <v>44260</v>
      </c>
      <c r="C161" s="7">
        <v>1</v>
      </c>
      <c r="D161" s="9">
        <v>5.8</v>
      </c>
      <c r="E161" s="5">
        <v>133.6</v>
      </c>
      <c r="F161" s="5">
        <v>140.19999999999999</v>
      </c>
      <c r="G161" s="6">
        <v>44260</v>
      </c>
      <c r="H161" s="5"/>
      <c r="I161" s="5"/>
      <c r="J161" s="5">
        <f t="shared" ref="J161:J173" si="19">F161-E161</f>
        <v>6.5999999999999943</v>
      </c>
      <c r="K161" s="8" t="b">
        <f t="shared" ref="K161:K173" si="20">F164=E165</f>
        <v>1</v>
      </c>
    </row>
    <row r="162" spans="1:11">
      <c r="A162" s="5">
        <v>104</v>
      </c>
      <c r="B162" s="6">
        <v>44261</v>
      </c>
      <c r="C162" s="7">
        <v>1</v>
      </c>
      <c r="D162" s="9">
        <v>5.8</v>
      </c>
      <c r="E162" s="5">
        <v>140.19999999999999</v>
      </c>
      <c r="F162" s="5">
        <v>152.4</v>
      </c>
      <c r="G162" s="6">
        <v>44261</v>
      </c>
      <c r="H162" s="5"/>
      <c r="I162" s="5"/>
      <c r="J162" s="5">
        <f t="shared" si="19"/>
        <v>12.200000000000017</v>
      </c>
      <c r="K162" s="8" t="b">
        <f t="shared" si="20"/>
        <v>0</v>
      </c>
    </row>
    <row r="163" spans="1:11">
      <c r="A163" s="5">
        <v>104</v>
      </c>
      <c r="B163" s="6">
        <v>44271</v>
      </c>
      <c r="C163" s="7">
        <v>0.7</v>
      </c>
      <c r="D163" s="9">
        <v>8.2899999999999991</v>
      </c>
      <c r="E163" s="5">
        <v>152.4</v>
      </c>
      <c r="F163" s="5">
        <v>169</v>
      </c>
      <c r="G163" s="6">
        <v>44271</v>
      </c>
      <c r="H163" s="5"/>
      <c r="I163" s="5"/>
      <c r="J163" s="5">
        <f t="shared" si="19"/>
        <v>16.599999999999994</v>
      </c>
      <c r="K163" s="8" t="b">
        <f t="shared" si="20"/>
        <v>1</v>
      </c>
    </row>
    <row r="164" spans="1:11">
      <c r="A164" s="5">
        <v>104</v>
      </c>
      <c r="B164" s="6">
        <v>44245</v>
      </c>
      <c r="C164" s="7">
        <v>0.7</v>
      </c>
      <c r="D164" s="9">
        <v>8.2899999999999991</v>
      </c>
      <c r="E164" s="5">
        <v>169</v>
      </c>
      <c r="F164" s="5">
        <v>186</v>
      </c>
      <c r="G164" s="6">
        <v>44273</v>
      </c>
      <c r="H164" s="5"/>
      <c r="I164" s="5"/>
      <c r="J164" s="5">
        <f t="shared" si="19"/>
        <v>17</v>
      </c>
      <c r="K164" s="8" t="b">
        <f t="shared" si="20"/>
        <v>1</v>
      </c>
    </row>
    <row r="165" spans="1:11">
      <c r="A165" s="5">
        <v>104</v>
      </c>
      <c r="B165" s="6">
        <v>44277</v>
      </c>
      <c r="C165" s="7">
        <v>0.7</v>
      </c>
      <c r="D165" s="9">
        <v>8.2899999999999991</v>
      </c>
      <c r="E165" s="5">
        <v>186</v>
      </c>
      <c r="F165" s="5">
        <v>204</v>
      </c>
      <c r="G165" s="6">
        <v>44277</v>
      </c>
      <c r="H165" s="5"/>
      <c r="I165" s="5"/>
      <c r="J165" s="5">
        <f t="shared" si="19"/>
        <v>18</v>
      </c>
      <c r="K165" s="8" t="b">
        <f t="shared" si="20"/>
        <v>0</v>
      </c>
    </row>
    <row r="166" spans="1:11">
      <c r="A166" s="5">
        <v>104</v>
      </c>
      <c r="B166" s="6">
        <v>44279</v>
      </c>
      <c r="C166" s="7">
        <v>0.7</v>
      </c>
      <c r="D166" s="9">
        <v>8.2899999999999991</v>
      </c>
      <c r="E166" s="5">
        <v>250</v>
      </c>
      <c r="F166" s="5">
        <v>221.6</v>
      </c>
      <c r="G166" s="6">
        <v>44279</v>
      </c>
      <c r="H166" s="5"/>
      <c r="I166" s="5"/>
      <c r="J166" s="5">
        <f t="shared" si="19"/>
        <v>-28.400000000000006</v>
      </c>
      <c r="K166" s="8" t="b">
        <f t="shared" si="20"/>
        <v>1</v>
      </c>
    </row>
    <row r="167" spans="1:11">
      <c r="A167" s="5">
        <v>104</v>
      </c>
      <c r="B167" s="6">
        <v>44282</v>
      </c>
      <c r="C167" s="7">
        <v>0.7</v>
      </c>
      <c r="D167" s="9">
        <v>8.2899999999999991</v>
      </c>
      <c r="E167" s="5">
        <v>221.6</v>
      </c>
      <c r="F167" s="5">
        <v>237.7</v>
      </c>
      <c r="G167" s="6">
        <v>44281</v>
      </c>
      <c r="H167" s="5"/>
      <c r="I167" s="5"/>
      <c r="J167" s="5">
        <f t="shared" si="19"/>
        <v>16.099999999999994</v>
      </c>
      <c r="K167" s="8" t="b">
        <f t="shared" si="20"/>
        <v>1</v>
      </c>
    </row>
    <row r="168" spans="1:11">
      <c r="A168" s="5">
        <v>104</v>
      </c>
      <c r="B168" s="6">
        <v>44284</v>
      </c>
      <c r="C168" s="7">
        <v>1</v>
      </c>
      <c r="D168" s="9">
        <v>5.8</v>
      </c>
      <c r="E168" s="5">
        <v>237.7</v>
      </c>
      <c r="F168" s="5">
        <v>247.6</v>
      </c>
      <c r="G168" s="6">
        <v>44284</v>
      </c>
      <c r="H168" s="5"/>
      <c r="I168" s="5"/>
      <c r="J168" s="5">
        <f t="shared" si="19"/>
        <v>9.9000000000000057</v>
      </c>
      <c r="K168" s="8" t="b">
        <f t="shared" si="20"/>
        <v>1</v>
      </c>
    </row>
    <row r="169" spans="1:11">
      <c r="A169" s="5">
        <v>104</v>
      </c>
      <c r="B169" s="6">
        <v>44286</v>
      </c>
      <c r="C169" s="7">
        <v>0.7</v>
      </c>
      <c r="D169" s="9">
        <v>8.2899999999999991</v>
      </c>
      <c r="E169" s="5">
        <v>247.7</v>
      </c>
      <c r="F169" s="5">
        <v>265.2</v>
      </c>
      <c r="G169" s="6">
        <v>44286</v>
      </c>
      <c r="H169" s="5"/>
      <c r="I169" s="5"/>
      <c r="J169" s="5">
        <f t="shared" si="19"/>
        <v>17.5</v>
      </c>
      <c r="K169" s="8" t="b">
        <f t="shared" si="20"/>
        <v>0</v>
      </c>
    </row>
    <row r="170" spans="1:11">
      <c r="A170" s="5">
        <v>104</v>
      </c>
      <c r="B170" s="6">
        <v>44289</v>
      </c>
      <c r="C170" s="7">
        <v>0.7</v>
      </c>
      <c r="D170" s="9">
        <v>8.2899999999999991</v>
      </c>
      <c r="E170" s="5">
        <v>265.2</v>
      </c>
      <c r="F170" s="5">
        <v>282.10000000000002</v>
      </c>
      <c r="G170" s="6">
        <v>44289</v>
      </c>
      <c r="H170" s="5"/>
      <c r="I170" s="5"/>
      <c r="J170" s="5">
        <f t="shared" si="19"/>
        <v>16.900000000000034</v>
      </c>
      <c r="K170" s="8" t="b">
        <f t="shared" si="20"/>
        <v>0</v>
      </c>
    </row>
    <row r="171" spans="1:11">
      <c r="A171" s="5">
        <v>104</v>
      </c>
      <c r="B171" s="6">
        <v>44292</v>
      </c>
      <c r="C171" s="7">
        <v>0.7</v>
      </c>
      <c r="D171" s="9">
        <v>8.2899999999999991</v>
      </c>
      <c r="E171" s="5">
        <v>282.10000000000002</v>
      </c>
      <c r="F171" s="5">
        <v>299.5</v>
      </c>
      <c r="G171" s="6">
        <v>44292</v>
      </c>
      <c r="H171" s="5"/>
      <c r="I171" s="5"/>
      <c r="J171" s="5">
        <f t="shared" si="19"/>
        <v>17.399999999999977</v>
      </c>
      <c r="K171" s="8" t="b">
        <f t="shared" si="20"/>
        <v>1</v>
      </c>
    </row>
    <row r="172" spans="1:11">
      <c r="A172" s="5">
        <v>104</v>
      </c>
      <c r="B172" s="6">
        <v>44295</v>
      </c>
      <c r="C172" s="7">
        <v>0.7</v>
      </c>
      <c r="D172" s="9">
        <v>8.2899999999999991</v>
      </c>
      <c r="E172" s="5">
        <v>299.5</v>
      </c>
      <c r="F172" s="5">
        <v>313</v>
      </c>
      <c r="G172" s="6">
        <v>44295</v>
      </c>
      <c r="H172" s="5"/>
      <c r="I172" s="5"/>
      <c r="J172" s="5">
        <f t="shared" si="19"/>
        <v>13.5</v>
      </c>
      <c r="K172" s="8" t="b">
        <f t="shared" si="20"/>
        <v>0</v>
      </c>
    </row>
    <row r="173" spans="1:11">
      <c r="A173" s="5">
        <v>104</v>
      </c>
      <c r="B173" s="6">
        <v>44298</v>
      </c>
      <c r="C173" s="7">
        <v>0.7</v>
      </c>
      <c r="D173" s="9">
        <v>8.2899999999999991</v>
      </c>
      <c r="E173" s="5">
        <v>317</v>
      </c>
      <c r="F173" s="5">
        <v>335.2</v>
      </c>
      <c r="G173" s="6">
        <v>44298</v>
      </c>
      <c r="H173" s="5"/>
      <c r="I173" s="5"/>
      <c r="J173" s="5">
        <f t="shared" si="19"/>
        <v>18.199999999999989</v>
      </c>
      <c r="K173" s="8" t="b">
        <f t="shared" si="20"/>
        <v>0</v>
      </c>
    </row>
    <row r="174" spans="1:11">
      <c r="A174" s="5">
        <v>104</v>
      </c>
      <c r="B174" s="6">
        <v>44301</v>
      </c>
      <c r="C174" s="7">
        <v>1</v>
      </c>
      <c r="D174" s="9">
        <v>5.8</v>
      </c>
      <c r="E174" s="5">
        <v>335</v>
      </c>
      <c r="F174" s="5">
        <v>347.2</v>
      </c>
      <c r="G174" s="6">
        <v>44301</v>
      </c>
      <c r="H174" s="5"/>
      <c r="I174" s="5"/>
      <c r="J174" s="5">
        <f t="shared" ref="J174:J179" si="21">F174-E174</f>
        <v>12.199999999999989</v>
      </c>
      <c r="K174" s="8" t="b">
        <f t="shared" ref="K174:K179" si="22">F177=E178</f>
        <v>1</v>
      </c>
    </row>
    <row r="175" spans="1:11">
      <c r="A175" s="5">
        <v>104</v>
      </c>
      <c r="B175" s="6">
        <v>44304</v>
      </c>
      <c r="C175" s="7">
        <v>0.7</v>
      </c>
      <c r="D175" s="9">
        <v>8.2899999999999991</v>
      </c>
      <c r="E175" s="5">
        <v>347.2</v>
      </c>
      <c r="F175" s="5">
        <v>364.2</v>
      </c>
      <c r="G175" s="6">
        <v>44304</v>
      </c>
      <c r="H175" s="5"/>
      <c r="I175" s="5"/>
      <c r="J175" s="5">
        <f t="shared" si="21"/>
        <v>17</v>
      </c>
      <c r="K175" s="8" t="b">
        <f t="shared" si="22"/>
        <v>1</v>
      </c>
    </row>
    <row r="176" spans="1:11">
      <c r="A176" s="5">
        <v>104</v>
      </c>
      <c r="B176" s="6">
        <v>44311</v>
      </c>
      <c r="C176" s="7">
        <v>0.7</v>
      </c>
      <c r="D176" s="9">
        <v>8.2899999999999991</v>
      </c>
      <c r="E176" s="5">
        <v>347.2</v>
      </c>
      <c r="F176" s="5">
        <v>364</v>
      </c>
      <c r="G176" s="6">
        <v>44311</v>
      </c>
      <c r="H176" s="5"/>
      <c r="I176" s="5"/>
      <c r="J176" s="5">
        <f t="shared" si="21"/>
        <v>16.800000000000011</v>
      </c>
      <c r="K176" s="8" t="b">
        <f t="shared" si="22"/>
        <v>1</v>
      </c>
    </row>
    <row r="177" spans="1:11">
      <c r="A177" s="5">
        <v>104</v>
      </c>
      <c r="B177" s="6">
        <v>44289</v>
      </c>
      <c r="C177" s="7">
        <v>0.7</v>
      </c>
      <c r="D177" s="9">
        <v>8.2899999999999991</v>
      </c>
      <c r="E177" s="5">
        <v>0</v>
      </c>
      <c r="F177" s="5">
        <v>18.2</v>
      </c>
      <c r="G177" s="6">
        <v>44319</v>
      </c>
      <c r="H177" s="5"/>
      <c r="I177" s="5"/>
      <c r="J177" s="5">
        <f t="shared" si="21"/>
        <v>18.2</v>
      </c>
      <c r="K177" s="8" t="b">
        <f t="shared" si="22"/>
        <v>1</v>
      </c>
    </row>
    <row r="178" spans="1:11">
      <c r="A178" s="5">
        <v>104</v>
      </c>
      <c r="B178" s="6">
        <v>44322</v>
      </c>
      <c r="C178" s="7">
        <v>0.7</v>
      </c>
      <c r="D178" s="9">
        <v>8.2899999999999991</v>
      </c>
      <c r="E178" s="5">
        <v>18.2</v>
      </c>
      <c r="F178" s="5">
        <v>34.9</v>
      </c>
      <c r="G178" s="6">
        <v>44322</v>
      </c>
      <c r="H178" s="5"/>
      <c r="I178" s="5"/>
      <c r="J178" s="5">
        <f t="shared" si="21"/>
        <v>16.7</v>
      </c>
      <c r="K178" s="8" t="b">
        <f t="shared" si="22"/>
        <v>1</v>
      </c>
    </row>
    <row r="179" spans="1:11">
      <c r="A179" s="5">
        <v>104</v>
      </c>
      <c r="B179" s="6">
        <v>44325</v>
      </c>
      <c r="C179" s="7">
        <v>0.7</v>
      </c>
      <c r="D179" s="9">
        <v>8.2899999999999991</v>
      </c>
      <c r="E179" s="5">
        <v>34.9</v>
      </c>
      <c r="F179" s="5">
        <v>52.1</v>
      </c>
      <c r="G179" s="6">
        <v>44325</v>
      </c>
      <c r="H179" s="5"/>
      <c r="I179" s="5"/>
      <c r="J179" s="5">
        <f t="shared" si="21"/>
        <v>17.200000000000003</v>
      </c>
      <c r="K179" s="8" t="b">
        <f t="shared" si="22"/>
        <v>1</v>
      </c>
    </row>
    <row r="180" spans="1:11">
      <c r="A180" s="5">
        <v>104</v>
      </c>
      <c r="B180" s="6">
        <v>44329</v>
      </c>
      <c r="C180" s="7">
        <v>0.7</v>
      </c>
      <c r="D180" s="9">
        <v>8.2899999999999991</v>
      </c>
      <c r="E180" s="5">
        <v>52.1</v>
      </c>
      <c r="F180" s="5">
        <v>68.599999999999994</v>
      </c>
      <c r="G180" s="6">
        <v>44329</v>
      </c>
      <c r="H180" s="5"/>
      <c r="I180" s="5"/>
      <c r="J180" s="5">
        <f t="shared" ref="J180:J188" si="23">F180-E180</f>
        <v>16.499999999999993</v>
      </c>
      <c r="K180" s="8" t="b">
        <f t="shared" ref="K180:K188" si="24">F183=E184</f>
        <v>1</v>
      </c>
    </row>
    <row r="181" spans="1:11">
      <c r="A181" s="5">
        <v>104</v>
      </c>
      <c r="B181" s="6">
        <v>44334</v>
      </c>
      <c r="C181" s="7">
        <v>0.5</v>
      </c>
      <c r="D181" s="9">
        <v>11.6</v>
      </c>
      <c r="E181" s="5">
        <v>68.599999999999994</v>
      </c>
      <c r="F181" s="5">
        <v>84.6</v>
      </c>
      <c r="G181" s="6">
        <v>44334</v>
      </c>
      <c r="H181" s="5"/>
      <c r="I181" s="5"/>
      <c r="J181" s="5">
        <f t="shared" si="23"/>
        <v>16</v>
      </c>
      <c r="K181" s="8" t="b">
        <f t="shared" si="24"/>
        <v>0</v>
      </c>
    </row>
    <row r="182" spans="1:11">
      <c r="A182" s="5">
        <v>104</v>
      </c>
      <c r="B182" s="6">
        <v>44335</v>
      </c>
      <c r="C182" s="7">
        <v>0.5</v>
      </c>
      <c r="D182" s="9">
        <v>11.6</v>
      </c>
      <c r="E182" s="5">
        <v>84.6</v>
      </c>
      <c r="F182" s="5">
        <v>93</v>
      </c>
      <c r="G182" s="6">
        <v>44335</v>
      </c>
      <c r="H182" s="5"/>
      <c r="I182" s="5"/>
      <c r="J182" s="5">
        <f t="shared" si="23"/>
        <v>8.4000000000000057</v>
      </c>
      <c r="K182" s="8" t="b">
        <f t="shared" si="24"/>
        <v>1</v>
      </c>
    </row>
    <row r="183" spans="1:11">
      <c r="A183" s="5">
        <v>104</v>
      </c>
      <c r="B183" s="6">
        <v>44341</v>
      </c>
      <c r="C183" s="7">
        <v>0.5</v>
      </c>
      <c r="D183" s="9">
        <v>11.6</v>
      </c>
      <c r="E183" s="5">
        <v>93</v>
      </c>
      <c r="F183" s="5">
        <v>104.4</v>
      </c>
      <c r="G183" s="6">
        <v>44341</v>
      </c>
      <c r="H183" s="5"/>
      <c r="I183" s="5"/>
      <c r="J183" s="5">
        <f t="shared" si="23"/>
        <v>11.400000000000006</v>
      </c>
      <c r="K183" s="8" t="b">
        <f t="shared" si="24"/>
        <v>1</v>
      </c>
    </row>
    <row r="184" spans="1:11">
      <c r="A184" s="5">
        <v>104</v>
      </c>
      <c r="B184" s="6">
        <v>44342</v>
      </c>
      <c r="C184" s="7">
        <v>0.5</v>
      </c>
      <c r="D184" s="9">
        <v>11.6</v>
      </c>
      <c r="E184" s="5">
        <v>104.4</v>
      </c>
      <c r="F184" s="5">
        <v>117</v>
      </c>
      <c r="G184" s="6">
        <v>44342</v>
      </c>
      <c r="H184" s="5"/>
      <c r="I184" s="5"/>
      <c r="J184" s="5">
        <f t="shared" si="23"/>
        <v>12.599999999999994</v>
      </c>
      <c r="K184" s="8" t="b">
        <f t="shared" si="24"/>
        <v>1</v>
      </c>
    </row>
    <row r="185" spans="1:11">
      <c r="A185" s="5">
        <v>104</v>
      </c>
      <c r="B185" s="6">
        <v>44346</v>
      </c>
      <c r="C185" s="7">
        <v>0.5</v>
      </c>
      <c r="D185" s="9">
        <v>11.6</v>
      </c>
      <c r="E185" s="5">
        <v>117.3</v>
      </c>
      <c r="F185" s="5">
        <v>128.4</v>
      </c>
      <c r="G185" s="6">
        <v>44346</v>
      </c>
      <c r="H185" s="5"/>
      <c r="I185" s="5"/>
      <c r="J185" s="5">
        <f t="shared" si="23"/>
        <v>11.100000000000009</v>
      </c>
      <c r="K185" s="8" t="b">
        <f t="shared" si="24"/>
        <v>0</v>
      </c>
    </row>
    <row r="186" spans="1:11">
      <c r="A186" s="5">
        <v>104</v>
      </c>
      <c r="B186" s="6">
        <v>44347</v>
      </c>
      <c r="C186" s="7">
        <v>0.5</v>
      </c>
      <c r="D186" s="9">
        <v>11.6</v>
      </c>
      <c r="E186" s="5">
        <v>128.4</v>
      </c>
      <c r="F186" s="5">
        <v>142.1</v>
      </c>
      <c r="G186" s="6">
        <v>44347</v>
      </c>
      <c r="H186" s="5"/>
      <c r="I186" s="5"/>
      <c r="J186" s="5">
        <f t="shared" si="23"/>
        <v>13.699999999999989</v>
      </c>
      <c r="K186" s="8" t="b">
        <f t="shared" si="24"/>
        <v>1</v>
      </c>
    </row>
    <row r="187" spans="1:11">
      <c r="A187" s="5">
        <v>104</v>
      </c>
      <c r="B187" s="6">
        <v>44351</v>
      </c>
      <c r="C187" s="7">
        <v>0.5</v>
      </c>
      <c r="D187" s="9">
        <v>11.6</v>
      </c>
      <c r="E187" s="5">
        <v>142.1</v>
      </c>
      <c r="F187" s="5">
        <v>153.69999999999999</v>
      </c>
      <c r="G187" s="6">
        <v>44351</v>
      </c>
      <c r="H187" s="5"/>
      <c r="I187" s="5"/>
      <c r="J187" s="5">
        <f t="shared" si="23"/>
        <v>11.599999999999994</v>
      </c>
      <c r="K187" s="8" t="b">
        <f t="shared" si="24"/>
        <v>0</v>
      </c>
    </row>
    <row r="188" spans="1:11">
      <c r="A188" s="5">
        <v>104</v>
      </c>
      <c r="B188" s="6">
        <v>44352</v>
      </c>
      <c r="C188" s="7">
        <v>0.5</v>
      </c>
      <c r="D188" s="9">
        <v>11.6</v>
      </c>
      <c r="E188" s="5">
        <v>153.69999999999999</v>
      </c>
      <c r="F188" s="5">
        <v>164.9</v>
      </c>
      <c r="G188" s="6">
        <v>44352</v>
      </c>
      <c r="H188" s="5"/>
      <c r="I188" s="5"/>
      <c r="J188" s="5">
        <f t="shared" si="23"/>
        <v>11.200000000000017</v>
      </c>
      <c r="K188" s="8" t="b">
        <f t="shared" si="24"/>
        <v>1</v>
      </c>
    </row>
    <row r="189" spans="1:11">
      <c r="A189" s="5">
        <v>104</v>
      </c>
      <c r="B189" s="6">
        <v>44356</v>
      </c>
      <c r="C189" s="7">
        <v>0.5</v>
      </c>
      <c r="D189" s="9">
        <v>11.6</v>
      </c>
      <c r="E189" s="5">
        <v>3.6</v>
      </c>
      <c r="F189" s="5">
        <v>15</v>
      </c>
      <c r="G189" s="6">
        <v>44356</v>
      </c>
      <c r="H189" s="5"/>
      <c r="I189" s="5"/>
      <c r="J189" s="5">
        <f t="shared" ref="J189:J195" si="25">F189-E189</f>
        <v>11.4</v>
      </c>
      <c r="K189" s="8" t="b">
        <f t="shared" ref="K189:K195" si="26">F192=E193</f>
        <v>1</v>
      </c>
    </row>
    <row r="190" spans="1:11">
      <c r="A190" s="5">
        <v>104</v>
      </c>
      <c r="B190" s="6">
        <v>44357</v>
      </c>
      <c r="C190" s="7">
        <v>0.5</v>
      </c>
      <c r="D190" s="9">
        <v>11.6</v>
      </c>
      <c r="E190" s="5">
        <v>15</v>
      </c>
      <c r="F190" s="5">
        <v>27.1</v>
      </c>
      <c r="G190" s="6">
        <v>44357</v>
      </c>
      <c r="H190" s="5"/>
      <c r="I190" s="5"/>
      <c r="J190" s="5">
        <f t="shared" si="25"/>
        <v>12.100000000000001</v>
      </c>
      <c r="K190" s="8" t="b">
        <f t="shared" si="26"/>
        <v>1</v>
      </c>
    </row>
    <row r="191" spans="1:11">
      <c r="A191" s="5">
        <v>104</v>
      </c>
      <c r="B191" s="6">
        <v>44365</v>
      </c>
      <c r="C191" s="7">
        <v>0.5</v>
      </c>
      <c r="D191" s="9">
        <v>11.6</v>
      </c>
      <c r="E191" s="5">
        <v>0.2</v>
      </c>
      <c r="F191" s="5">
        <v>12</v>
      </c>
      <c r="G191" s="6">
        <v>44365</v>
      </c>
      <c r="H191" s="5"/>
      <c r="I191" s="5"/>
      <c r="J191" s="5">
        <f t="shared" si="25"/>
        <v>11.8</v>
      </c>
      <c r="K191" s="8" t="b">
        <f t="shared" si="26"/>
        <v>1</v>
      </c>
    </row>
    <row r="192" spans="1:11">
      <c r="A192" s="5">
        <v>104</v>
      </c>
      <c r="B192" s="6">
        <v>44366</v>
      </c>
      <c r="C192" s="7">
        <v>0.5</v>
      </c>
      <c r="D192" s="9">
        <v>11.6</v>
      </c>
      <c r="E192" s="5">
        <v>12</v>
      </c>
      <c r="F192" s="5">
        <v>24</v>
      </c>
      <c r="G192" s="6">
        <v>44366</v>
      </c>
      <c r="H192" s="5"/>
      <c r="I192" s="5"/>
      <c r="J192" s="5">
        <f t="shared" si="25"/>
        <v>12</v>
      </c>
      <c r="K192" s="8" t="b">
        <f t="shared" si="26"/>
        <v>1</v>
      </c>
    </row>
    <row r="193" spans="1:11">
      <c r="A193" s="5">
        <v>104</v>
      </c>
      <c r="B193" s="6">
        <v>44369</v>
      </c>
      <c r="C193" s="7">
        <v>0.5</v>
      </c>
      <c r="D193" s="9">
        <v>11.6</v>
      </c>
      <c r="E193" s="5">
        <v>24</v>
      </c>
      <c r="F193" s="5">
        <v>36.299999999999997</v>
      </c>
      <c r="G193" s="6">
        <v>44369</v>
      </c>
      <c r="H193" s="5"/>
      <c r="I193" s="5"/>
      <c r="J193" s="5">
        <f t="shared" si="25"/>
        <v>12.299999999999997</v>
      </c>
      <c r="K193" s="8" t="b">
        <f t="shared" si="26"/>
        <v>1</v>
      </c>
    </row>
    <row r="194" spans="1:11">
      <c r="A194" s="5">
        <v>104</v>
      </c>
      <c r="B194" s="6">
        <v>44370</v>
      </c>
      <c r="C194" s="7">
        <v>0.5</v>
      </c>
      <c r="D194" s="9">
        <v>11.6</v>
      </c>
      <c r="E194" s="5">
        <v>36.299999999999997</v>
      </c>
      <c r="F194" s="5">
        <v>48.4</v>
      </c>
      <c r="G194" s="6">
        <v>44370</v>
      </c>
      <c r="H194" s="5"/>
      <c r="I194" s="5"/>
      <c r="J194" s="5">
        <f t="shared" si="25"/>
        <v>12.100000000000001</v>
      </c>
      <c r="K194" s="8" t="b">
        <f t="shared" si="26"/>
        <v>1</v>
      </c>
    </row>
    <row r="195" spans="1:11">
      <c r="A195" s="5">
        <v>104</v>
      </c>
      <c r="B195" s="6">
        <v>44374</v>
      </c>
      <c r="C195" s="7">
        <v>0.5</v>
      </c>
      <c r="D195" s="9">
        <v>11.6</v>
      </c>
      <c r="E195" s="5">
        <v>48.4</v>
      </c>
      <c r="F195" s="5">
        <v>60.1</v>
      </c>
      <c r="G195" s="6">
        <v>44374</v>
      </c>
      <c r="H195" s="5"/>
      <c r="I195" s="5"/>
      <c r="J195" s="5">
        <f t="shared" si="25"/>
        <v>11.700000000000003</v>
      </c>
      <c r="K195" s="8" t="b">
        <f t="shared" si="26"/>
        <v>1</v>
      </c>
    </row>
    <row r="196" spans="1:11">
      <c r="A196" s="5">
        <v>104</v>
      </c>
      <c r="B196" s="6">
        <v>44375</v>
      </c>
      <c r="C196" s="7">
        <v>0.5</v>
      </c>
      <c r="D196" s="9">
        <v>11.6</v>
      </c>
      <c r="E196" s="5">
        <v>60.1</v>
      </c>
      <c r="F196" s="5">
        <v>72</v>
      </c>
      <c r="G196" s="6">
        <v>44375</v>
      </c>
      <c r="H196" s="5"/>
      <c r="I196" s="5"/>
      <c r="J196" s="5">
        <f t="shared" ref="J196:J208" si="27">F196-E196</f>
        <v>11.899999999999999</v>
      </c>
      <c r="K196" s="8" t="b">
        <f t="shared" ref="K196:K208" si="28">F199=E200</f>
        <v>1</v>
      </c>
    </row>
    <row r="197" spans="1:11">
      <c r="A197" s="5">
        <v>104</v>
      </c>
      <c r="B197" s="6">
        <v>44379</v>
      </c>
      <c r="C197" s="7">
        <v>0.5</v>
      </c>
      <c r="D197" s="9">
        <v>11.6</v>
      </c>
      <c r="E197" s="5">
        <v>72</v>
      </c>
      <c r="F197" s="5">
        <v>83.6</v>
      </c>
      <c r="G197" s="6">
        <v>44379</v>
      </c>
      <c r="H197" s="5"/>
      <c r="I197" s="5"/>
      <c r="J197" s="5">
        <f t="shared" si="27"/>
        <v>11.599999999999994</v>
      </c>
      <c r="K197" s="8" t="b">
        <f t="shared" si="28"/>
        <v>1</v>
      </c>
    </row>
    <row r="198" spans="1:11">
      <c r="A198" s="5">
        <v>104</v>
      </c>
      <c r="B198" s="6">
        <v>44380</v>
      </c>
      <c r="C198" s="7">
        <v>0.5</v>
      </c>
      <c r="D198" s="9">
        <v>11.6</v>
      </c>
      <c r="E198" s="5">
        <v>83.6</v>
      </c>
      <c r="F198" s="5">
        <v>96.4</v>
      </c>
      <c r="G198" s="6">
        <v>44380</v>
      </c>
      <c r="H198" s="5"/>
      <c r="I198" s="5"/>
      <c r="J198" s="5">
        <f t="shared" si="27"/>
        <v>12.800000000000011</v>
      </c>
      <c r="K198" s="8" t="b">
        <f t="shared" si="28"/>
        <v>1</v>
      </c>
    </row>
    <row r="199" spans="1:11">
      <c r="A199" s="5">
        <v>104</v>
      </c>
      <c r="B199" s="6">
        <v>44384</v>
      </c>
      <c r="C199" s="7">
        <v>0.5</v>
      </c>
      <c r="D199" s="9">
        <v>11.6</v>
      </c>
      <c r="E199" s="5">
        <v>96.4</v>
      </c>
      <c r="F199" s="5">
        <v>108.5</v>
      </c>
      <c r="G199" s="6">
        <v>44384</v>
      </c>
      <c r="H199" s="5"/>
      <c r="I199" s="5"/>
      <c r="J199" s="5">
        <f t="shared" si="27"/>
        <v>12.099999999999994</v>
      </c>
      <c r="K199" s="8" t="b">
        <f t="shared" si="28"/>
        <v>1</v>
      </c>
    </row>
    <row r="200" spans="1:11">
      <c r="A200" s="5">
        <v>104</v>
      </c>
      <c r="B200" s="6">
        <v>44385</v>
      </c>
      <c r="C200" s="7">
        <v>0.5</v>
      </c>
      <c r="D200" s="9">
        <v>11.6</v>
      </c>
      <c r="E200" s="5">
        <v>108.5</v>
      </c>
      <c r="F200" s="5">
        <v>120.2</v>
      </c>
      <c r="G200" s="6">
        <v>44385</v>
      </c>
      <c r="H200" s="5"/>
      <c r="I200" s="5"/>
      <c r="J200" s="5">
        <f t="shared" si="27"/>
        <v>11.700000000000003</v>
      </c>
      <c r="K200" s="8" t="b">
        <f t="shared" si="28"/>
        <v>1</v>
      </c>
    </row>
    <row r="201" spans="1:11">
      <c r="A201" s="5">
        <v>104</v>
      </c>
      <c r="B201" s="6">
        <v>44387</v>
      </c>
      <c r="C201" s="7">
        <v>0.5</v>
      </c>
      <c r="D201" s="9">
        <v>11.6</v>
      </c>
      <c r="E201" s="5">
        <v>120.2</v>
      </c>
      <c r="F201" s="5">
        <v>132.19999999999999</v>
      </c>
      <c r="G201" s="6">
        <v>44387</v>
      </c>
      <c r="H201" s="5"/>
      <c r="I201" s="5"/>
      <c r="J201" s="5">
        <f t="shared" si="27"/>
        <v>11.999999999999986</v>
      </c>
      <c r="K201" s="8" t="b">
        <f t="shared" si="28"/>
        <v>1</v>
      </c>
    </row>
    <row r="202" spans="1:11">
      <c r="A202" s="5">
        <v>104</v>
      </c>
      <c r="B202" s="6">
        <v>44388</v>
      </c>
      <c r="C202" s="7">
        <v>0.5</v>
      </c>
      <c r="D202" s="9">
        <v>11.6</v>
      </c>
      <c r="E202" s="5">
        <v>132.19999999999999</v>
      </c>
      <c r="F202" s="5">
        <v>144.19999999999999</v>
      </c>
      <c r="G202" s="6">
        <v>44388</v>
      </c>
      <c r="H202" s="5"/>
      <c r="I202" s="5"/>
      <c r="J202" s="5">
        <f t="shared" si="27"/>
        <v>12</v>
      </c>
      <c r="K202" s="8" t="b">
        <f t="shared" si="28"/>
        <v>0</v>
      </c>
    </row>
    <row r="203" spans="1:11">
      <c r="A203" s="5">
        <v>104</v>
      </c>
      <c r="B203" s="6">
        <v>44391</v>
      </c>
      <c r="C203" s="7">
        <v>0.5</v>
      </c>
      <c r="D203" s="9">
        <v>11.6</v>
      </c>
      <c r="E203" s="5">
        <v>144.19999999999999</v>
      </c>
      <c r="F203" s="5">
        <v>155.6</v>
      </c>
      <c r="G203" s="6">
        <v>44391</v>
      </c>
      <c r="H203" s="5"/>
      <c r="I203" s="5"/>
      <c r="J203" s="5">
        <f t="shared" si="27"/>
        <v>11.400000000000006</v>
      </c>
      <c r="K203" s="8" t="b">
        <f t="shared" si="28"/>
        <v>0</v>
      </c>
    </row>
    <row r="204" spans="1:11">
      <c r="A204" s="5">
        <v>104</v>
      </c>
      <c r="B204" s="6">
        <v>44392</v>
      </c>
      <c r="C204" s="7">
        <v>0.5</v>
      </c>
      <c r="D204" s="9">
        <v>11.6</v>
      </c>
      <c r="E204" s="5">
        <v>155.6</v>
      </c>
      <c r="F204" s="5">
        <v>167.8</v>
      </c>
      <c r="G204" s="6">
        <v>44392</v>
      </c>
      <c r="H204" s="5"/>
      <c r="I204" s="5"/>
      <c r="J204" s="5">
        <f t="shared" si="27"/>
        <v>12.200000000000017</v>
      </c>
      <c r="K204" s="8" t="b">
        <f t="shared" si="28"/>
        <v>1</v>
      </c>
    </row>
    <row r="205" spans="1:11">
      <c r="A205" s="5">
        <v>104</v>
      </c>
      <c r="B205" s="6">
        <v>44396</v>
      </c>
      <c r="C205" s="7">
        <v>0.5</v>
      </c>
      <c r="D205" s="9">
        <v>11.6</v>
      </c>
      <c r="E205" s="5">
        <v>167.8</v>
      </c>
      <c r="F205" s="5">
        <v>178.8</v>
      </c>
      <c r="G205" s="6">
        <v>44396</v>
      </c>
      <c r="H205" s="5"/>
      <c r="I205" s="5"/>
      <c r="J205" s="5">
        <f t="shared" si="27"/>
        <v>11</v>
      </c>
      <c r="K205" s="8" t="b">
        <f t="shared" si="28"/>
        <v>1</v>
      </c>
    </row>
    <row r="206" spans="1:11">
      <c r="A206" s="5">
        <v>104</v>
      </c>
      <c r="B206" s="6">
        <v>44397</v>
      </c>
      <c r="C206" s="7">
        <v>0.5</v>
      </c>
      <c r="D206" s="9">
        <v>11.6</v>
      </c>
      <c r="E206" s="5">
        <v>178.4</v>
      </c>
      <c r="F206" s="5">
        <v>194.4</v>
      </c>
      <c r="G206" s="6">
        <v>44397</v>
      </c>
      <c r="H206" s="5"/>
      <c r="I206" s="5"/>
      <c r="J206" s="5">
        <f t="shared" si="27"/>
        <v>16</v>
      </c>
      <c r="K206" s="8" t="b">
        <f t="shared" si="28"/>
        <v>1</v>
      </c>
    </row>
    <row r="207" spans="1:11">
      <c r="A207" s="5">
        <v>104</v>
      </c>
      <c r="B207" s="6"/>
      <c r="C207" s="7"/>
      <c r="D207" s="9"/>
      <c r="E207" s="5"/>
      <c r="F207" s="5"/>
      <c r="G207" s="6"/>
      <c r="H207" s="5"/>
      <c r="I207" s="5"/>
      <c r="J207" s="5">
        <f t="shared" si="27"/>
        <v>0</v>
      </c>
      <c r="K207" s="8" t="b">
        <f t="shared" si="28"/>
        <v>1</v>
      </c>
    </row>
    <row r="208" spans="1:11">
      <c r="A208" s="5">
        <v>104</v>
      </c>
      <c r="B208" s="6"/>
      <c r="C208" s="7"/>
      <c r="D208" s="9"/>
      <c r="E208" s="5"/>
      <c r="F208" s="5"/>
      <c r="G208" s="6"/>
      <c r="H208" s="5"/>
      <c r="I208" s="5"/>
      <c r="J208" s="5">
        <f t="shared" si="27"/>
        <v>0</v>
      </c>
      <c r="K208" s="8" t="b">
        <f t="shared" si="28"/>
        <v>1</v>
      </c>
    </row>
    <row r="210" spans="1:11" ht="26.25">
      <c r="A210" s="156" t="s">
        <v>55</v>
      </c>
      <c r="B210" s="179"/>
      <c r="C210" s="179"/>
      <c r="D210" s="179"/>
      <c r="E210" s="179"/>
      <c r="F210" s="179"/>
      <c r="G210" s="179"/>
      <c r="H210" s="179"/>
      <c r="I210" s="179"/>
      <c r="J210" s="179"/>
      <c r="K210" s="180"/>
    </row>
    <row r="211" spans="1:11" ht="26.25">
      <c r="A211" s="156" t="s">
        <v>15</v>
      </c>
      <c r="B211" s="179"/>
      <c r="C211" s="179"/>
      <c r="D211" s="179"/>
      <c r="E211" s="179"/>
      <c r="F211" s="179"/>
      <c r="G211" s="179"/>
      <c r="H211" s="179"/>
      <c r="I211" s="179"/>
      <c r="J211" s="179"/>
      <c r="K211" s="180"/>
    </row>
    <row r="212" spans="1:11" ht="15.75" thickBot="1"/>
    <row r="213" spans="1:11" ht="15.75" thickBot="1">
      <c r="A213" s="132" t="s">
        <v>2</v>
      </c>
      <c r="B213" s="133"/>
      <c r="C213" s="133"/>
      <c r="D213" s="133"/>
      <c r="E213" s="133"/>
      <c r="F213" s="133"/>
      <c r="G213" s="133"/>
      <c r="H213" s="133"/>
      <c r="I213" s="133"/>
      <c r="J213" s="133"/>
      <c r="K213" s="134"/>
    </row>
    <row r="215" spans="1:11" ht="19.5" thickBot="1">
      <c r="A215" s="1" t="s">
        <v>3</v>
      </c>
      <c r="B215" s="1"/>
      <c r="C215" s="1"/>
      <c r="D215" s="1"/>
      <c r="E215" s="1"/>
      <c r="F215" s="1"/>
      <c r="G215" s="1"/>
      <c r="H215" s="1"/>
      <c r="I215" s="1"/>
    </row>
    <row r="216" spans="1:11" ht="30.75" thickBot="1">
      <c r="A216" s="2" t="s">
        <v>4</v>
      </c>
      <c r="B216" s="3" t="s">
        <v>5</v>
      </c>
      <c r="C216" s="3" t="s">
        <v>6</v>
      </c>
      <c r="D216" s="3" t="s">
        <v>7</v>
      </c>
      <c r="E216" s="3" t="s">
        <v>8</v>
      </c>
      <c r="F216" s="3" t="s">
        <v>9</v>
      </c>
      <c r="G216" s="3" t="s">
        <v>10</v>
      </c>
      <c r="H216" s="3" t="s">
        <v>21</v>
      </c>
      <c r="I216" s="4" t="s">
        <v>22</v>
      </c>
      <c r="J216" s="4" t="s">
        <v>11</v>
      </c>
      <c r="K216" s="4" t="s">
        <v>12</v>
      </c>
    </row>
    <row r="217" spans="1:11">
      <c r="A217" s="5">
        <v>104</v>
      </c>
      <c r="B217" s="6">
        <v>44531</v>
      </c>
      <c r="C217" s="7">
        <v>1</v>
      </c>
      <c r="D217" s="9">
        <v>5.8</v>
      </c>
      <c r="E217" s="5">
        <v>0</v>
      </c>
      <c r="F217" s="5">
        <v>14.2</v>
      </c>
      <c r="G217" s="6">
        <v>44531</v>
      </c>
      <c r="H217" s="5"/>
      <c r="I217" s="5"/>
      <c r="J217" s="5">
        <f t="shared" ref="J217:J222" si="29">F217-E217</f>
        <v>14.2</v>
      </c>
      <c r="K217" s="8" t="b">
        <f>E217=F206</f>
        <v>0</v>
      </c>
    </row>
    <row r="218" spans="1:11">
      <c r="A218" s="5">
        <v>104</v>
      </c>
      <c r="B218" s="6">
        <v>44581</v>
      </c>
      <c r="C218" s="7">
        <v>0.7</v>
      </c>
      <c r="D218" s="9">
        <v>8.2899999999999991</v>
      </c>
      <c r="E218" s="5">
        <v>240.2</v>
      </c>
      <c r="F218" s="5">
        <v>258.7</v>
      </c>
      <c r="G218" s="6">
        <v>44581</v>
      </c>
      <c r="H218" s="5"/>
      <c r="I218" s="5"/>
      <c r="J218" s="5">
        <f t="shared" si="29"/>
        <v>18.5</v>
      </c>
      <c r="K218" s="8" t="b">
        <f>E218=F217</f>
        <v>0</v>
      </c>
    </row>
    <row r="219" spans="1:11">
      <c r="A219" s="5">
        <v>104</v>
      </c>
      <c r="B219" s="6">
        <v>44590</v>
      </c>
      <c r="C219" s="7">
        <v>0.7</v>
      </c>
      <c r="D219" s="9">
        <v>8.2899999999999991</v>
      </c>
      <c r="E219" s="5">
        <v>258.7</v>
      </c>
      <c r="F219" s="5">
        <v>276.89999999999998</v>
      </c>
      <c r="G219" s="6">
        <v>44590</v>
      </c>
      <c r="H219" s="5"/>
      <c r="I219" s="5"/>
      <c r="J219" s="5">
        <f t="shared" si="29"/>
        <v>18.199999999999989</v>
      </c>
      <c r="K219" s="8" t="b">
        <f t="shared" ref="K219:K229" si="30">E219=F218</f>
        <v>1</v>
      </c>
    </row>
    <row r="220" spans="1:11">
      <c r="A220" s="5">
        <v>104</v>
      </c>
      <c r="B220" s="6">
        <v>44593</v>
      </c>
      <c r="C220" s="7">
        <v>0.7</v>
      </c>
      <c r="D220" s="9">
        <v>8.2899999999999991</v>
      </c>
      <c r="E220" s="5">
        <v>276.89999999999998</v>
      </c>
      <c r="F220" s="5">
        <v>295.10000000000002</v>
      </c>
      <c r="G220" s="6">
        <v>44593</v>
      </c>
      <c r="H220" s="5"/>
      <c r="I220" s="5"/>
      <c r="J220" s="5">
        <f t="shared" si="29"/>
        <v>18.200000000000045</v>
      </c>
      <c r="K220" s="8" t="b">
        <f t="shared" si="30"/>
        <v>1</v>
      </c>
    </row>
    <row r="221" spans="1:11">
      <c r="A221" s="5">
        <v>104</v>
      </c>
      <c r="B221" s="6">
        <v>44596</v>
      </c>
      <c r="C221" s="7">
        <v>0.7</v>
      </c>
      <c r="D221" s="9">
        <v>8.2899999999999991</v>
      </c>
      <c r="E221" s="5">
        <v>295.10000000000002</v>
      </c>
      <c r="F221" s="5">
        <v>313.3</v>
      </c>
      <c r="G221" s="6">
        <v>44596</v>
      </c>
      <c r="H221" s="5"/>
      <c r="I221" s="5"/>
      <c r="J221" s="5">
        <f t="shared" si="29"/>
        <v>18.199999999999989</v>
      </c>
      <c r="K221" s="8" t="b">
        <f t="shared" si="30"/>
        <v>1</v>
      </c>
    </row>
    <row r="222" spans="1:11">
      <c r="A222" s="25">
        <v>104</v>
      </c>
      <c r="B222" s="26">
        <v>44602</v>
      </c>
      <c r="C222" s="27">
        <v>1</v>
      </c>
      <c r="D222" s="34">
        <v>5.8</v>
      </c>
      <c r="E222" s="25">
        <v>6.5</v>
      </c>
      <c r="F222" s="25">
        <v>18.7</v>
      </c>
      <c r="G222" s="26">
        <v>44602</v>
      </c>
      <c r="H222" s="25"/>
      <c r="I222" s="25"/>
      <c r="J222" s="25">
        <f t="shared" si="29"/>
        <v>12.2</v>
      </c>
      <c r="K222" s="25" t="b">
        <f t="shared" si="30"/>
        <v>0</v>
      </c>
    </row>
    <row r="223" spans="1:11">
      <c r="A223" s="5">
        <v>104</v>
      </c>
      <c r="B223" s="6">
        <v>44617</v>
      </c>
      <c r="C223" s="7">
        <v>0.8</v>
      </c>
      <c r="D223" s="9">
        <v>7.25</v>
      </c>
      <c r="E223" s="5">
        <v>18.7</v>
      </c>
      <c r="F223" s="5">
        <v>35</v>
      </c>
      <c r="G223" s="6">
        <v>44617</v>
      </c>
      <c r="H223" s="5"/>
      <c r="I223" s="5"/>
      <c r="J223" s="5">
        <f t="shared" ref="J223:J229" si="31">F223-E223</f>
        <v>16.3</v>
      </c>
      <c r="K223" s="8" t="b">
        <f t="shared" si="30"/>
        <v>1</v>
      </c>
    </row>
    <row r="224" spans="1:11">
      <c r="A224" s="5">
        <v>104</v>
      </c>
      <c r="B224" s="6">
        <v>44620</v>
      </c>
      <c r="C224" s="7">
        <v>0.8</v>
      </c>
      <c r="D224" s="9">
        <v>7.25</v>
      </c>
      <c r="E224" s="5">
        <v>35</v>
      </c>
      <c r="F224" s="5">
        <v>50</v>
      </c>
      <c r="G224" s="6">
        <v>44620</v>
      </c>
      <c r="H224" s="5"/>
      <c r="I224" s="5"/>
      <c r="J224" s="5">
        <f t="shared" si="31"/>
        <v>15</v>
      </c>
      <c r="K224" s="8" t="b">
        <f t="shared" si="30"/>
        <v>1</v>
      </c>
    </row>
    <row r="225" spans="1:11">
      <c r="A225" s="5">
        <v>104</v>
      </c>
      <c r="B225" s="6">
        <v>44623</v>
      </c>
      <c r="C225" s="7">
        <v>0.8</v>
      </c>
      <c r="D225" s="9">
        <v>7.25</v>
      </c>
      <c r="E225" s="5">
        <v>50</v>
      </c>
      <c r="F225" s="5">
        <v>64.599999999999994</v>
      </c>
      <c r="G225" s="6">
        <v>44623</v>
      </c>
      <c r="H225" s="5"/>
      <c r="I225" s="5"/>
      <c r="J225" s="5">
        <f t="shared" si="31"/>
        <v>14.599999999999994</v>
      </c>
      <c r="K225" s="8" t="b">
        <f t="shared" si="30"/>
        <v>1</v>
      </c>
    </row>
    <row r="226" spans="1:11">
      <c r="A226" s="5">
        <v>104</v>
      </c>
      <c r="B226" s="6">
        <v>44624</v>
      </c>
      <c r="C226" s="7">
        <v>0.8</v>
      </c>
      <c r="D226" s="9">
        <v>7.25</v>
      </c>
      <c r="E226" s="5">
        <v>64.599999999999994</v>
      </c>
      <c r="F226" s="5">
        <v>78.2</v>
      </c>
      <c r="G226" s="6">
        <v>44624</v>
      </c>
      <c r="H226" s="5"/>
      <c r="I226" s="5"/>
      <c r="J226" s="5">
        <f t="shared" si="31"/>
        <v>13.600000000000009</v>
      </c>
      <c r="K226" s="8" t="b">
        <f t="shared" si="30"/>
        <v>1</v>
      </c>
    </row>
    <row r="227" spans="1:11">
      <c r="A227" s="5">
        <v>104</v>
      </c>
      <c r="B227" s="6">
        <v>44626</v>
      </c>
      <c r="C227" s="7">
        <v>0.8</v>
      </c>
      <c r="D227" s="9">
        <v>7.25</v>
      </c>
      <c r="E227" s="5">
        <v>78.2</v>
      </c>
      <c r="F227" s="5">
        <v>91.1</v>
      </c>
      <c r="G227" s="6">
        <v>44626</v>
      </c>
      <c r="H227" s="5"/>
      <c r="I227" s="5"/>
      <c r="J227" s="5">
        <f t="shared" si="31"/>
        <v>12.899999999999991</v>
      </c>
      <c r="K227" s="8" t="b">
        <f t="shared" si="30"/>
        <v>1</v>
      </c>
    </row>
    <row r="228" spans="1:11">
      <c r="A228" s="5">
        <v>104</v>
      </c>
      <c r="B228" s="6">
        <v>44629</v>
      </c>
      <c r="C228" s="7">
        <v>0.8</v>
      </c>
      <c r="D228" s="9">
        <v>7.25</v>
      </c>
      <c r="E228" s="5">
        <v>91.1</v>
      </c>
      <c r="F228" s="5">
        <v>106.5</v>
      </c>
      <c r="G228" s="6">
        <v>44629</v>
      </c>
      <c r="H228" s="5"/>
      <c r="I228" s="5"/>
      <c r="J228" s="5">
        <f t="shared" si="31"/>
        <v>15.400000000000006</v>
      </c>
      <c r="K228" s="8" t="b">
        <f t="shared" si="30"/>
        <v>1</v>
      </c>
    </row>
    <row r="229" spans="1:11">
      <c r="A229" s="25">
        <v>104</v>
      </c>
      <c r="B229" s="26">
        <v>44636</v>
      </c>
      <c r="C229" s="27">
        <v>1</v>
      </c>
      <c r="D229" s="34">
        <v>5.8</v>
      </c>
      <c r="E229" s="25">
        <v>136</v>
      </c>
      <c r="F229" s="25">
        <v>147.9</v>
      </c>
      <c r="G229" s="26">
        <v>44636</v>
      </c>
      <c r="H229" s="25"/>
      <c r="I229" s="25"/>
      <c r="J229" s="25">
        <f t="shared" si="31"/>
        <v>11.900000000000006</v>
      </c>
      <c r="K229" s="28" t="b">
        <f t="shared" si="30"/>
        <v>0</v>
      </c>
    </row>
    <row r="230" spans="1:11">
      <c r="A230" s="5">
        <v>104</v>
      </c>
      <c r="B230" s="6">
        <v>44640</v>
      </c>
      <c r="C230" s="7">
        <v>0.7</v>
      </c>
      <c r="D230" s="9">
        <v>8.2899999999999991</v>
      </c>
      <c r="E230" s="5">
        <v>147.9</v>
      </c>
      <c r="F230" s="5">
        <v>164.6</v>
      </c>
      <c r="G230" s="6">
        <v>44640</v>
      </c>
      <c r="H230" s="5"/>
      <c r="I230" s="5"/>
      <c r="J230" s="5">
        <f t="shared" ref="J230:J239" si="32">F230-E230</f>
        <v>16.699999999999989</v>
      </c>
      <c r="K230" s="8" t="b">
        <f t="shared" ref="K230:K238" si="33">E230=F229</f>
        <v>1</v>
      </c>
    </row>
    <row r="231" spans="1:11">
      <c r="A231" s="5">
        <v>104</v>
      </c>
      <c r="B231" s="6">
        <v>44643</v>
      </c>
      <c r="C231" s="7">
        <v>0.7</v>
      </c>
      <c r="D231" s="9">
        <v>8.2899999999999991</v>
      </c>
      <c r="E231" s="5">
        <v>164.6</v>
      </c>
      <c r="F231" s="5">
        <v>181.8</v>
      </c>
      <c r="G231" s="6">
        <v>44643</v>
      </c>
      <c r="H231" s="5"/>
      <c r="I231" s="5"/>
      <c r="J231" s="5">
        <f t="shared" si="32"/>
        <v>17.200000000000017</v>
      </c>
      <c r="K231" s="8" t="b">
        <f t="shared" si="33"/>
        <v>1</v>
      </c>
    </row>
    <row r="232" spans="1:11">
      <c r="A232" s="5">
        <v>104</v>
      </c>
      <c r="B232" s="6">
        <v>44646</v>
      </c>
      <c r="C232" s="7">
        <v>0.7</v>
      </c>
      <c r="D232" s="9">
        <v>8.2899999999999991</v>
      </c>
      <c r="E232" s="5">
        <v>181.8</v>
      </c>
      <c r="F232" s="5">
        <v>199</v>
      </c>
      <c r="G232" s="6">
        <v>44646</v>
      </c>
      <c r="H232" s="5"/>
      <c r="I232" s="5"/>
      <c r="J232" s="5">
        <f t="shared" si="32"/>
        <v>17.199999999999989</v>
      </c>
      <c r="K232" s="8" t="b">
        <f t="shared" si="33"/>
        <v>1</v>
      </c>
    </row>
    <row r="233" spans="1:11">
      <c r="A233" s="5">
        <v>104</v>
      </c>
      <c r="B233" s="6">
        <v>44649</v>
      </c>
      <c r="C233" s="7">
        <v>0.7</v>
      </c>
      <c r="D233" s="9">
        <v>8.2899999999999991</v>
      </c>
      <c r="E233" s="5">
        <v>199</v>
      </c>
      <c r="F233" s="5">
        <v>216.1</v>
      </c>
      <c r="G233" s="6">
        <v>44649</v>
      </c>
      <c r="H233" s="5"/>
      <c r="I233" s="5"/>
      <c r="J233" s="5">
        <f t="shared" si="32"/>
        <v>17.099999999999994</v>
      </c>
      <c r="K233" s="8" t="b">
        <f t="shared" si="33"/>
        <v>1</v>
      </c>
    </row>
    <row r="234" spans="1:11">
      <c r="A234" s="39">
        <v>104</v>
      </c>
      <c r="B234" s="40"/>
      <c r="C234" s="41"/>
      <c r="D234" s="48"/>
      <c r="E234" s="39"/>
      <c r="F234" s="39"/>
      <c r="G234" s="40"/>
      <c r="H234" s="39"/>
      <c r="I234" s="39"/>
      <c r="J234" s="39">
        <f t="shared" si="32"/>
        <v>0</v>
      </c>
      <c r="K234" s="8" t="b">
        <f t="shared" si="33"/>
        <v>0</v>
      </c>
    </row>
    <row r="235" spans="1:11">
      <c r="A235" s="39">
        <v>104</v>
      </c>
      <c r="B235" s="40"/>
      <c r="C235" s="41"/>
      <c r="D235" s="48"/>
      <c r="E235" s="39"/>
      <c r="F235" s="39"/>
      <c r="G235" s="40"/>
      <c r="H235" s="39"/>
      <c r="I235" s="39"/>
      <c r="J235" s="39">
        <f t="shared" si="32"/>
        <v>0</v>
      </c>
      <c r="K235" s="8" t="b">
        <f>E235=F234</f>
        <v>1</v>
      </c>
    </row>
    <row r="236" spans="1:11">
      <c r="A236" s="39">
        <v>104</v>
      </c>
      <c r="B236" s="40"/>
      <c r="C236" s="41"/>
      <c r="D236" s="48"/>
      <c r="E236" s="39"/>
      <c r="F236" s="39"/>
      <c r="G236" s="40"/>
      <c r="H236" s="39"/>
      <c r="I236" s="39"/>
      <c r="J236" s="39">
        <f t="shared" si="32"/>
        <v>0</v>
      </c>
      <c r="K236" s="8" t="b">
        <f t="shared" si="33"/>
        <v>1</v>
      </c>
    </row>
    <row r="237" spans="1:11">
      <c r="A237" s="39">
        <v>104</v>
      </c>
      <c r="B237" s="40"/>
      <c r="C237" s="41"/>
      <c r="D237" s="48"/>
      <c r="E237" s="39"/>
      <c r="F237" s="39"/>
      <c r="G237" s="40"/>
      <c r="H237" s="39"/>
      <c r="I237" s="39"/>
      <c r="J237" s="39">
        <f t="shared" si="32"/>
        <v>0</v>
      </c>
      <c r="K237" s="8" t="b">
        <f t="shared" si="33"/>
        <v>1</v>
      </c>
    </row>
    <row r="238" spans="1:11">
      <c r="A238" s="5">
        <v>104</v>
      </c>
      <c r="B238" s="6">
        <v>44674</v>
      </c>
      <c r="C238" s="7">
        <v>0.55000000000000004</v>
      </c>
      <c r="D238" s="9">
        <v>10.55</v>
      </c>
      <c r="E238" s="5">
        <v>359.7</v>
      </c>
      <c r="F238" s="5">
        <v>369.3</v>
      </c>
      <c r="G238" s="6">
        <v>44674</v>
      </c>
      <c r="H238" s="5"/>
      <c r="I238" s="5"/>
      <c r="J238" s="5">
        <f t="shared" si="32"/>
        <v>9.6000000000000227</v>
      </c>
      <c r="K238" s="8" t="b">
        <f t="shared" si="33"/>
        <v>0</v>
      </c>
    </row>
    <row r="239" spans="1:11">
      <c r="A239" s="5">
        <v>104</v>
      </c>
      <c r="B239" s="6">
        <v>44675</v>
      </c>
      <c r="C239" s="7">
        <v>0.55000000000000004</v>
      </c>
      <c r="D239" s="9">
        <v>10.55</v>
      </c>
      <c r="E239" s="5">
        <v>369.3</v>
      </c>
      <c r="F239" s="5">
        <v>379.3</v>
      </c>
      <c r="G239" s="6">
        <v>44675</v>
      </c>
      <c r="H239" s="5"/>
      <c r="I239" s="5"/>
      <c r="J239" s="5">
        <f t="shared" si="32"/>
        <v>10</v>
      </c>
      <c r="K239" s="8" t="b">
        <f>E239=F238</f>
        <v>1</v>
      </c>
    </row>
    <row r="240" spans="1:11">
      <c r="A240" s="5">
        <v>104</v>
      </c>
      <c r="B240" s="6">
        <v>44682</v>
      </c>
      <c r="C240" s="7">
        <v>0.55000000000000004</v>
      </c>
      <c r="D240" s="9">
        <v>10.55</v>
      </c>
      <c r="E240" s="5">
        <v>379.3</v>
      </c>
      <c r="F240" s="5">
        <v>399.4</v>
      </c>
      <c r="G240" s="6">
        <v>44682</v>
      </c>
      <c r="H240" s="5"/>
      <c r="I240" s="5"/>
      <c r="J240" s="5">
        <f t="shared" ref="J240:J255" si="34">F240-E240</f>
        <v>20.099999999999966</v>
      </c>
      <c r="K240" s="8" t="b">
        <f t="shared" ref="K240:K255" si="35">E240=F239</f>
        <v>1</v>
      </c>
    </row>
    <row r="241" spans="1:11">
      <c r="A241" s="5">
        <v>104</v>
      </c>
      <c r="B241" s="6">
        <v>44683</v>
      </c>
      <c r="C241" s="7">
        <v>0.55000000000000004</v>
      </c>
      <c r="D241" s="9">
        <v>10.55</v>
      </c>
      <c r="E241" s="5">
        <v>399.4</v>
      </c>
      <c r="F241" s="5">
        <v>409</v>
      </c>
      <c r="G241" s="6">
        <v>44683</v>
      </c>
      <c r="H241" s="5"/>
      <c r="I241" s="5"/>
      <c r="J241" s="5">
        <f t="shared" si="34"/>
        <v>9.6000000000000227</v>
      </c>
      <c r="K241" s="8" t="b">
        <f t="shared" si="35"/>
        <v>1</v>
      </c>
    </row>
    <row r="242" spans="1:11">
      <c r="A242" s="5">
        <v>104</v>
      </c>
      <c r="B242" s="6">
        <v>44684</v>
      </c>
      <c r="C242" s="7">
        <v>0.55000000000000004</v>
      </c>
      <c r="D242" s="9">
        <v>10.55</v>
      </c>
      <c r="E242" s="5">
        <v>409</v>
      </c>
      <c r="F242" s="5">
        <v>420.7</v>
      </c>
      <c r="G242" s="6">
        <v>44684</v>
      </c>
      <c r="H242" s="5"/>
      <c r="I242" s="5"/>
      <c r="J242" s="5">
        <f t="shared" si="34"/>
        <v>11.699999999999989</v>
      </c>
      <c r="K242" s="8" t="b">
        <f t="shared" si="35"/>
        <v>1</v>
      </c>
    </row>
    <row r="243" spans="1:11">
      <c r="A243" s="5">
        <v>104</v>
      </c>
      <c r="B243" s="6">
        <v>44686</v>
      </c>
      <c r="C243" s="7">
        <v>0.55000000000000004</v>
      </c>
      <c r="D243" s="9">
        <v>10.55</v>
      </c>
      <c r="E243" s="5">
        <v>420.7</v>
      </c>
      <c r="F243" s="5">
        <v>429.8</v>
      </c>
      <c r="G243" s="6">
        <v>44686</v>
      </c>
      <c r="H243" s="5"/>
      <c r="I243" s="5"/>
      <c r="J243" s="5">
        <f t="shared" si="34"/>
        <v>9.1000000000000227</v>
      </c>
      <c r="K243" s="8" t="b">
        <f t="shared" si="35"/>
        <v>1</v>
      </c>
    </row>
    <row r="244" spans="1:11">
      <c r="A244" s="5">
        <v>104</v>
      </c>
      <c r="B244" s="6">
        <v>44687</v>
      </c>
      <c r="C244" s="7">
        <v>0.55000000000000004</v>
      </c>
      <c r="D244" s="9">
        <v>10.55</v>
      </c>
      <c r="E244" s="5">
        <v>429.8</v>
      </c>
      <c r="F244" s="5">
        <v>440.8</v>
      </c>
      <c r="G244" s="6">
        <v>44687</v>
      </c>
      <c r="H244" s="5"/>
      <c r="I244" s="5"/>
      <c r="J244" s="5">
        <f t="shared" si="34"/>
        <v>11</v>
      </c>
      <c r="K244" s="8" t="b">
        <f t="shared" si="35"/>
        <v>1</v>
      </c>
    </row>
    <row r="245" spans="1:11">
      <c r="A245" s="5">
        <v>104</v>
      </c>
      <c r="B245" s="6">
        <v>44690</v>
      </c>
      <c r="C245" s="7">
        <v>0.55000000000000004</v>
      </c>
      <c r="D245" s="9">
        <v>10.55</v>
      </c>
      <c r="E245" s="5">
        <v>440.8</v>
      </c>
      <c r="F245" s="5">
        <v>450.6</v>
      </c>
      <c r="G245" s="6">
        <v>44690</v>
      </c>
      <c r="H245" s="5"/>
      <c r="I245" s="5"/>
      <c r="J245" s="5">
        <f t="shared" si="34"/>
        <v>9.8000000000000114</v>
      </c>
      <c r="K245" s="8" t="b">
        <f t="shared" si="35"/>
        <v>1</v>
      </c>
    </row>
    <row r="246" spans="1:11">
      <c r="A246" s="5">
        <v>104</v>
      </c>
      <c r="B246" s="6">
        <v>44691</v>
      </c>
      <c r="C246" s="7">
        <v>0.55000000000000004</v>
      </c>
      <c r="D246" s="9">
        <v>10.55</v>
      </c>
      <c r="E246" s="5">
        <v>450.6</v>
      </c>
      <c r="F246" s="5">
        <v>461.6</v>
      </c>
      <c r="G246" s="6">
        <v>44691</v>
      </c>
      <c r="H246" s="5"/>
      <c r="I246" s="5"/>
      <c r="J246" s="5">
        <f t="shared" si="34"/>
        <v>11</v>
      </c>
      <c r="K246" s="8" t="b">
        <f t="shared" si="35"/>
        <v>1</v>
      </c>
    </row>
    <row r="247" spans="1:11">
      <c r="A247" s="5">
        <v>104</v>
      </c>
      <c r="B247" s="6">
        <v>44693</v>
      </c>
      <c r="C247" s="7">
        <v>0.5</v>
      </c>
      <c r="D247" s="9">
        <v>11.6</v>
      </c>
      <c r="E247" s="5">
        <v>461.6</v>
      </c>
      <c r="F247" s="5">
        <v>472.3</v>
      </c>
      <c r="G247" s="6">
        <v>44693</v>
      </c>
      <c r="H247" s="5"/>
      <c r="I247" s="5"/>
      <c r="J247" s="5">
        <f t="shared" si="34"/>
        <v>10.699999999999989</v>
      </c>
      <c r="K247" s="8" t="b">
        <f t="shared" si="35"/>
        <v>1</v>
      </c>
    </row>
    <row r="248" spans="1:11">
      <c r="A248" s="5">
        <v>104</v>
      </c>
      <c r="B248" s="6">
        <v>44694</v>
      </c>
      <c r="C248" s="7">
        <v>0.5</v>
      </c>
      <c r="D248" s="9">
        <v>11.6</v>
      </c>
      <c r="E248" s="5">
        <v>472.3</v>
      </c>
      <c r="F248" s="5">
        <v>487.7</v>
      </c>
      <c r="G248" s="6">
        <v>44694</v>
      </c>
      <c r="H248" s="5"/>
      <c r="I248" s="5"/>
      <c r="J248" s="5">
        <f t="shared" si="34"/>
        <v>15.399999999999977</v>
      </c>
      <c r="K248" s="8" t="b">
        <f t="shared" si="35"/>
        <v>1</v>
      </c>
    </row>
    <row r="249" spans="1:11">
      <c r="A249" s="5">
        <v>104</v>
      </c>
      <c r="B249" s="6">
        <v>44696</v>
      </c>
      <c r="C249" s="7">
        <v>0.7</v>
      </c>
      <c r="D249" s="9">
        <v>8.2899999999999991</v>
      </c>
      <c r="E249" s="5">
        <v>0.1</v>
      </c>
      <c r="F249" s="5">
        <v>16.3</v>
      </c>
      <c r="G249" s="6">
        <v>44696</v>
      </c>
      <c r="H249" s="5"/>
      <c r="I249" s="5"/>
      <c r="J249" s="5">
        <f t="shared" si="34"/>
        <v>16.2</v>
      </c>
      <c r="K249" s="8" t="b">
        <f t="shared" si="35"/>
        <v>0</v>
      </c>
    </row>
    <row r="250" spans="1:11">
      <c r="A250" s="5">
        <v>104</v>
      </c>
      <c r="B250" s="6">
        <v>44698</v>
      </c>
      <c r="C250" s="7">
        <v>0.7</v>
      </c>
      <c r="D250" s="9">
        <v>8.2899999999999991</v>
      </c>
      <c r="E250" s="5">
        <v>16.3</v>
      </c>
      <c r="F250" s="5">
        <v>32.799999999999997</v>
      </c>
      <c r="G250" s="6">
        <v>44698</v>
      </c>
      <c r="H250" s="5"/>
      <c r="I250" s="5"/>
      <c r="J250" s="5">
        <f t="shared" si="34"/>
        <v>16.499999999999996</v>
      </c>
      <c r="K250" s="8" t="b">
        <f t="shared" si="35"/>
        <v>1</v>
      </c>
    </row>
    <row r="251" spans="1:11">
      <c r="A251" s="5">
        <v>104</v>
      </c>
      <c r="B251" s="6">
        <v>44700</v>
      </c>
      <c r="C251" s="7">
        <v>0.7</v>
      </c>
      <c r="D251" s="9">
        <v>8.2899999999999991</v>
      </c>
      <c r="E251" s="5">
        <v>32.799999999999997</v>
      </c>
      <c r="F251" s="5">
        <v>43.2</v>
      </c>
      <c r="G251" s="6">
        <v>44700</v>
      </c>
      <c r="H251" s="5"/>
      <c r="I251" s="5"/>
      <c r="J251" s="5">
        <f t="shared" si="34"/>
        <v>10.400000000000006</v>
      </c>
      <c r="K251" s="8" t="b">
        <f t="shared" si="35"/>
        <v>1</v>
      </c>
    </row>
    <row r="252" spans="1:11">
      <c r="A252" s="5">
        <v>104</v>
      </c>
      <c r="B252" s="6">
        <v>44703</v>
      </c>
      <c r="C252" s="7">
        <v>0.7</v>
      </c>
      <c r="D252" s="9">
        <v>8.2899999999999991</v>
      </c>
      <c r="E252" s="5">
        <v>43.2</v>
      </c>
      <c r="F252" s="5">
        <v>59.8</v>
      </c>
      <c r="G252" s="6">
        <v>44703</v>
      </c>
      <c r="H252" s="5"/>
      <c r="I252" s="5"/>
      <c r="J252" s="5">
        <f t="shared" si="34"/>
        <v>16.599999999999994</v>
      </c>
      <c r="K252" s="8" t="b">
        <f t="shared" si="35"/>
        <v>1</v>
      </c>
    </row>
    <row r="253" spans="1:11">
      <c r="A253" s="5">
        <v>104</v>
      </c>
      <c r="B253" s="6">
        <v>44706</v>
      </c>
      <c r="C253" s="7">
        <v>0.7</v>
      </c>
      <c r="D253" s="9">
        <v>8.2899999999999991</v>
      </c>
      <c r="E253" s="5">
        <v>59.8</v>
      </c>
      <c r="F253" s="5">
        <v>76.099999999999994</v>
      </c>
      <c r="G253" s="6">
        <v>44706</v>
      </c>
      <c r="H253" s="5"/>
      <c r="I253" s="5"/>
      <c r="J253" s="5">
        <f t="shared" si="34"/>
        <v>16.299999999999997</v>
      </c>
      <c r="K253" s="8" t="b">
        <f t="shared" si="35"/>
        <v>1</v>
      </c>
    </row>
    <row r="254" spans="1:11">
      <c r="A254" s="5">
        <v>104</v>
      </c>
      <c r="B254" s="6">
        <v>44708</v>
      </c>
      <c r="C254" s="7">
        <v>0.7</v>
      </c>
      <c r="D254" s="9">
        <v>8.2899999999999991</v>
      </c>
      <c r="E254" s="5">
        <v>76.099999999999994</v>
      </c>
      <c r="F254" s="5">
        <v>92.4</v>
      </c>
      <c r="G254" s="6">
        <v>44708</v>
      </c>
      <c r="H254" s="5"/>
      <c r="I254" s="5"/>
      <c r="J254" s="5">
        <f t="shared" si="34"/>
        <v>16.300000000000011</v>
      </c>
      <c r="K254" s="8" t="b">
        <f t="shared" si="35"/>
        <v>1</v>
      </c>
    </row>
    <row r="255" spans="1:11">
      <c r="A255" s="5">
        <v>104</v>
      </c>
      <c r="B255" s="6">
        <v>44710</v>
      </c>
      <c r="C255" s="7">
        <v>0.7</v>
      </c>
      <c r="D255" s="9">
        <v>8.2899999999999991</v>
      </c>
      <c r="E255" s="5">
        <v>92.4</v>
      </c>
      <c r="F255" s="5">
        <v>108.7</v>
      </c>
      <c r="G255" s="6">
        <v>44710</v>
      </c>
      <c r="H255" s="5"/>
      <c r="I255" s="5"/>
      <c r="J255" s="5">
        <f t="shared" si="34"/>
        <v>16.299999999999997</v>
      </c>
      <c r="K255" s="8" t="b">
        <f t="shared" si="35"/>
        <v>1</v>
      </c>
    </row>
    <row r="256" spans="1:11">
      <c r="A256" s="5">
        <v>104</v>
      </c>
      <c r="B256" s="6"/>
      <c r="C256" s="7"/>
      <c r="D256" s="9"/>
      <c r="E256" s="5"/>
      <c r="F256" s="5"/>
      <c r="G256" s="6"/>
      <c r="H256" s="5"/>
      <c r="I256" s="5"/>
      <c r="J256" s="5">
        <f>F256-E256</f>
        <v>0</v>
      </c>
      <c r="K256" s="8" t="b">
        <f>E256=F255</f>
        <v>0</v>
      </c>
    </row>
    <row r="257" spans="1:11">
      <c r="A257" s="5">
        <v>104</v>
      </c>
      <c r="B257" s="6"/>
      <c r="C257" s="7"/>
      <c r="D257" s="9"/>
      <c r="E257" s="5"/>
      <c r="F257" s="5"/>
      <c r="G257" s="6"/>
      <c r="H257" s="5"/>
      <c r="I257" s="5"/>
      <c r="J257" s="5">
        <f>F257-E257</f>
        <v>0</v>
      </c>
      <c r="K257" s="8" t="b">
        <f>E257=F256</f>
        <v>1</v>
      </c>
    </row>
    <row r="258" spans="1:11">
      <c r="A258" s="15"/>
      <c r="B258" s="12"/>
      <c r="C258" s="13"/>
      <c r="D258" s="14"/>
      <c r="E258" s="15"/>
      <c r="F258" s="15"/>
      <c r="G258" s="12"/>
      <c r="H258" s="15"/>
      <c r="I258" s="15"/>
      <c r="J258" s="15"/>
      <c r="K258" s="15"/>
    </row>
    <row r="260" spans="1:11" ht="26.25">
      <c r="A260" s="138" t="s">
        <v>55</v>
      </c>
      <c r="B260" s="159"/>
      <c r="C260" s="159"/>
      <c r="D260" s="159"/>
      <c r="E260" s="159"/>
      <c r="F260" s="159"/>
      <c r="G260" s="159"/>
      <c r="H260" s="159"/>
      <c r="I260" s="159"/>
      <c r="J260" s="159"/>
      <c r="K260" s="160"/>
    </row>
    <row r="261" spans="1:11" ht="26.25">
      <c r="A261" s="138" t="s">
        <v>16</v>
      </c>
      <c r="B261" s="159"/>
      <c r="C261" s="159"/>
      <c r="D261" s="159"/>
      <c r="E261" s="159"/>
      <c r="F261" s="159"/>
      <c r="G261" s="159"/>
      <c r="H261" s="159"/>
      <c r="I261" s="159"/>
      <c r="J261" s="159"/>
      <c r="K261" s="160"/>
    </row>
    <row r="262" spans="1:11" ht="15.75" thickBot="1"/>
    <row r="263" spans="1:11" ht="15.75" thickBot="1">
      <c r="A263" s="132" t="s">
        <v>2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4"/>
    </row>
    <row r="265" spans="1:11" ht="19.5" thickBot="1">
      <c r="A265" s="1" t="s">
        <v>3</v>
      </c>
      <c r="B265" s="1"/>
      <c r="C265" s="1"/>
      <c r="D265" s="1"/>
      <c r="E265" s="1"/>
      <c r="F265" s="1"/>
      <c r="G265" s="1"/>
      <c r="H265" s="1"/>
      <c r="I265" s="1"/>
    </row>
    <row r="266" spans="1:11" ht="30.75" thickBot="1">
      <c r="A266" s="2" t="s">
        <v>4</v>
      </c>
      <c r="B266" s="3" t="s">
        <v>5</v>
      </c>
      <c r="C266" s="3" t="s">
        <v>6</v>
      </c>
      <c r="D266" s="3" t="s">
        <v>7</v>
      </c>
      <c r="E266" s="3" t="s">
        <v>8</v>
      </c>
      <c r="F266" s="3" t="s">
        <v>9</v>
      </c>
      <c r="G266" s="3" t="s">
        <v>10</v>
      </c>
      <c r="H266" s="3" t="s">
        <v>21</v>
      </c>
      <c r="I266" s="4" t="s">
        <v>22</v>
      </c>
      <c r="J266" s="4" t="s">
        <v>11</v>
      </c>
      <c r="K266" s="4" t="s">
        <v>12</v>
      </c>
    </row>
    <row r="267" spans="1:11">
      <c r="A267" s="5">
        <v>104</v>
      </c>
      <c r="B267" s="6">
        <v>44743</v>
      </c>
      <c r="C267" s="7">
        <v>0.5</v>
      </c>
      <c r="D267" s="9">
        <v>11.6</v>
      </c>
      <c r="E267" s="5">
        <v>108.6</v>
      </c>
      <c r="F267" s="5">
        <v>131.6</v>
      </c>
      <c r="G267" s="6">
        <v>44743</v>
      </c>
      <c r="H267" s="5"/>
      <c r="I267" s="5"/>
      <c r="J267" s="5">
        <f>F267-E267</f>
        <v>23</v>
      </c>
      <c r="K267" s="8" t="b">
        <f>E267=F255</f>
        <v>0</v>
      </c>
    </row>
    <row r="268" spans="1:11">
      <c r="A268" s="5">
        <v>104</v>
      </c>
      <c r="B268" s="6">
        <v>44745</v>
      </c>
      <c r="C268" s="7">
        <v>0.6</v>
      </c>
      <c r="D268" s="9">
        <v>9.67</v>
      </c>
      <c r="E268" s="5">
        <v>131.6</v>
      </c>
      <c r="F268" s="5">
        <v>150.6</v>
      </c>
      <c r="G268" s="6">
        <v>44745</v>
      </c>
      <c r="H268" s="5"/>
      <c r="I268" s="5"/>
      <c r="J268" s="5">
        <f t="shared" ref="J268:J280" si="36">F268-E268</f>
        <v>19</v>
      </c>
      <c r="K268" s="8" t="b">
        <f>E268=F267</f>
        <v>1</v>
      </c>
    </row>
    <row r="269" spans="1:11">
      <c r="A269" s="5">
        <v>104</v>
      </c>
      <c r="B269" s="6">
        <v>44748</v>
      </c>
      <c r="C269" s="7">
        <v>1</v>
      </c>
      <c r="D269" s="9">
        <v>5.8</v>
      </c>
      <c r="E269" s="5">
        <v>150.6</v>
      </c>
      <c r="F269" s="5">
        <v>156.80000000000001</v>
      </c>
      <c r="G269" s="6">
        <v>44748</v>
      </c>
      <c r="H269" s="5"/>
      <c r="I269" s="5"/>
      <c r="J269" s="5">
        <f t="shared" si="36"/>
        <v>6.2000000000000171</v>
      </c>
      <c r="K269" s="8" t="b">
        <f>E269=F268</f>
        <v>1</v>
      </c>
    </row>
    <row r="270" spans="1:11">
      <c r="A270" s="5">
        <v>104</v>
      </c>
      <c r="B270" s="6">
        <v>44750</v>
      </c>
      <c r="C270" s="7">
        <v>0.5</v>
      </c>
      <c r="D270" s="9">
        <v>11.6</v>
      </c>
      <c r="E270" s="5">
        <v>156.80000000000001</v>
      </c>
      <c r="F270" s="5">
        <v>168.8</v>
      </c>
      <c r="G270" s="6">
        <v>44750</v>
      </c>
      <c r="H270" s="5"/>
      <c r="I270" s="5"/>
      <c r="J270" s="5">
        <f t="shared" si="36"/>
        <v>12</v>
      </c>
      <c r="K270" s="8" t="b">
        <f t="shared" ref="K270:K280" si="37">E270=F269</f>
        <v>1</v>
      </c>
    </row>
    <row r="271" spans="1:11">
      <c r="A271" s="5">
        <v>104</v>
      </c>
      <c r="B271" s="6">
        <v>44751</v>
      </c>
      <c r="C271" s="7">
        <v>0.5</v>
      </c>
      <c r="D271" s="9">
        <v>11.6</v>
      </c>
      <c r="E271" s="5">
        <v>168.8</v>
      </c>
      <c r="F271" s="5">
        <v>180</v>
      </c>
      <c r="G271" s="6">
        <v>44751</v>
      </c>
      <c r="H271" s="5"/>
      <c r="I271" s="5"/>
      <c r="J271" s="5">
        <f t="shared" si="36"/>
        <v>11.199999999999989</v>
      </c>
      <c r="K271" s="8" t="b">
        <f t="shared" si="37"/>
        <v>1</v>
      </c>
    </row>
    <row r="272" spans="1:11">
      <c r="A272" s="5">
        <v>104</v>
      </c>
      <c r="B272" s="6">
        <v>44751</v>
      </c>
      <c r="C272" s="7">
        <v>1</v>
      </c>
      <c r="D272" s="9">
        <v>5.8</v>
      </c>
      <c r="E272" s="5">
        <v>180</v>
      </c>
      <c r="F272" s="5">
        <v>186.8</v>
      </c>
      <c r="G272" s="6">
        <v>44751</v>
      </c>
      <c r="H272" s="5"/>
      <c r="I272" s="5"/>
      <c r="J272" s="5">
        <f t="shared" si="36"/>
        <v>6.8000000000000114</v>
      </c>
      <c r="K272" s="8" t="b">
        <f t="shared" si="37"/>
        <v>1</v>
      </c>
    </row>
    <row r="273" spans="1:11">
      <c r="A273" s="5">
        <v>104</v>
      </c>
      <c r="B273" s="6">
        <v>44752</v>
      </c>
      <c r="C273" s="7">
        <v>1</v>
      </c>
      <c r="D273" s="9">
        <v>5.8</v>
      </c>
      <c r="E273" s="5">
        <v>186.8</v>
      </c>
      <c r="F273" s="5">
        <v>190.3</v>
      </c>
      <c r="G273" s="6">
        <v>44752</v>
      </c>
      <c r="H273" s="5"/>
      <c r="I273" s="5"/>
      <c r="J273" s="5">
        <f t="shared" si="36"/>
        <v>3.5</v>
      </c>
      <c r="K273" s="8" t="b">
        <f t="shared" si="37"/>
        <v>1</v>
      </c>
    </row>
    <row r="274" spans="1:11">
      <c r="A274" s="5">
        <v>104</v>
      </c>
      <c r="B274" s="6">
        <v>44753</v>
      </c>
      <c r="C274" s="7">
        <v>1</v>
      </c>
      <c r="D274" s="9">
        <v>5.8</v>
      </c>
      <c r="E274" s="5">
        <v>190.3</v>
      </c>
      <c r="F274" s="5">
        <v>202</v>
      </c>
      <c r="G274" s="6">
        <v>44753</v>
      </c>
      <c r="H274" s="5"/>
      <c r="I274" s="5"/>
      <c r="J274" s="5">
        <f t="shared" si="36"/>
        <v>11.699999999999989</v>
      </c>
      <c r="K274" s="8" t="b">
        <f t="shared" si="37"/>
        <v>1</v>
      </c>
    </row>
    <row r="275" spans="1:11">
      <c r="A275" s="5">
        <v>104</v>
      </c>
      <c r="B275" s="6">
        <v>44754</v>
      </c>
      <c r="C275" s="7">
        <v>1</v>
      </c>
      <c r="D275" s="9">
        <v>5.8</v>
      </c>
      <c r="E275" s="5">
        <v>202</v>
      </c>
      <c r="F275" s="5">
        <v>214.3</v>
      </c>
      <c r="G275" s="6">
        <v>44754</v>
      </c>
      <c r="H275" s="5"/>
      <c r="I275" s="5"/>
      <c r="J275" s="5">
        <f t="shared" si="36"/>
        <v>12.300000000000011</v>
      </c>
      <c r="K275" s="8" t="b">
        <f t="shared" si="37"/>
        <v>1</v>
      </c>
    </row>
    <row r="276" spans="1:11">
      <c r="A276" s="5">
        <v>104</v>
      </c>
      <c r="B276" s="6">
        <v>44755</v>
      </c>
      <c r="C276" s="7">
        <v>1</v>
      </c>
      <c r="D276" s="9">
        <v>5.8</v>
      </c>
      <c r="E276" s="5">
        <v>214.3</v>
      </c>
      <c r="F276" s="5">
        <v>225.9</v>
      </c>
      <c r="G276" s="6">
        <v>44755</v>
      </c>
      <c r="H276" s="5"/>
      <c r="I276" s="5"/>
      <c r="J276" s="5">
        <f t="shared" si="36"/>
        <v>11.599999999999994</v>
      </c>
      <c r="K276" s="8" t="b">
        <f t="shared" si="37"/>
        <v>1</v>
      </c>
    </row>
    <row r="277" spans="1:11">
      <c r="A277" s="5">
        <v>104</v>
      </c>
      <c r="B277" s="6">
        <v>44756</v>
      </c>
      <c r="C277" s="7">
        <v>1</v>
      </c>
      <c r="D277" s="9">
        <v>5.8</v>
      </c>
      <c r="E277" s="5">
        <v>225.9</v>
      </c>
      <c r="F277" s="5">
        <v>237.5</v>
      </c>
      <c r="G277" s="6">
        <v>44756</v>
      </c>
      <c r="H277" s="5"/>
      <c r="I277" s="5"/>
      <c r="J277" s="5">
        <f t="shared" si="36"/>
        <v>11.599999999999994</v>
      </c>
      <c r="K277" s="8" t="b">
        <f t="shared" si="37"/>
        <v>1</v>
      </c>
    </row>
    <row r="278" spans="1:11">
      <c r="A278" s="5">
        <v>104</v>
      </c>
      <c r="B278" s="6">
        <v>44757</v>
      </c>
      <c r="C278" s="7">
        <v>1</v>
      </c>
      <c r="D278" s="9">
        <v>5.8</v>
      </c>
      <c r="E278" s="5">
        <v>237.5</v>
      </c>
      <c r="F278" s="5">
        <v>248.9</v>
      </c>
      <c r="G278" s="6">
        <v>44757</v>
      </c>
      <c r="H278" s="5"/>
      <c r="I278" s="5"/>
      <c r="J278" s="5">
        <f t="shared" si="36"/>
        <v>11.400000000000006</v>
      </c>
      <c r="K278" s="8" t="b">
        <f t="shared" si="37"/>
        <v>1</v>
      </c>
    </row>
    <row r="279" spans="1:11">
      <c r="A279" s="5">
        <v>104</v>
      </c>
      <c r="B279" s="6">
        <v>44758</v>
      </c>
      <c r="C279" s="7">
        <v>1</v>
      </c>
      <c r="D279" s="9">
        <v>5.8</v>
      </c>
      <c r="E279" s="5">
        <v>248.9</v>
      </c>
      <c r="F279" s="5">
        <v>259.89999999999998</v>
      </c>
      <c r="G279" s="6">
        <v>44758</v>
      </c>
      <c r="H279" s="5"/>
      <c r="I279" s="5"/>
      <c r="J279" s="5">
        <f t="shared" si="36"/>
        <v>10.999999999999972</v>
      </c>
      <c r="K279" s="8" t="b">
        <f t="shared" si="37"/>
        <v>1</v>
      </c>
    </row>
    <row r="280" spans="1:11">
      <c r="A280" s="5">
        <v>104</v>
      </c>
      <c r="B280" s="6">
        <v>44759</v>
      </c>
      <c r="C280" s="7">
        <v>1</v>
      </c>
      <c r="D280" s="9">
        <v>5.8</v>
      </c>
      <c r="E280" s="5">
        <v>259.89999999999998</v>
      </c>
      <c r="F280" s="5">
        <v>272.89999999999998</v>
      </c>
      <c r="G280" s="6">
        <v>44759</v>
      </c>
      <c r="H280" s="5"/>
      <c r="I280" s="5"/>
      <c r="J280" s="5">
        <f t="shared" si="36"/>
        <v>13</v>
      </c>
      <c r="K280" s="8" t="b">
        <f t="shared" si="37"/>
        <v>1</v>
      </c>
    </row>
    <row r="281" spans="1:11">
      <c r="A281" s="5">
        <v>104</v>
      </c>
      <c r="B281" s="6">
        <v>44760</v>
      </c>
      <c r="C281" s="7">
        <v>1</v>
      </c>
      <c r="D281" s="9">
        <v>5.8</v>
      </c>
      <c r="E281" s="5">
        <v>272.89999999999998</v>
      </c>
      <c r="F281" s="5">
        <v>294.7</v>
      </c>
      <c r="G281" s="6">
        <v>44760</v>
      </c>
      <c r="H281" s="5"/>
      <c r="I281" s="5"/>
      <c r="J281" s="5">
        <f>F281-E281</f>
        <v>21.800000000000011</v>
      </c>
      <c r="K281" s="8" t="b">
        <f t="shared" ref="K281:K344" si="38">E281=F280</f>
        <v>1</v>
      </c>
    </row>
    <row r="282" spans="1:11">
      <c r="A282" s="5">
        <v>104</v>
      </c>
      <c r="B282" s="6">
        <v>44761</v>
      </c>
      <c r="C282" s="7">
        <v>1</v>
      </c>
      <c r="D282" s="9">
        <v>5.8</v>
      </c>
      <c r="E282" s="5">
        <v>294.7</v>
      </c>
      <c r="F282" s="5">
        <v>306.7</v>
      </c>
      <c r="G282" s="6">
        <v>44761</v>
      </c>
      <c r="H282" s="5"/>
      <c r="I282" s="5"/>
      <c r="J282" s="5">
        <f>F282-E282</f>
        <v>12</v>
      </c>
      <c r="K282" s="8" t="b">
        <f t="shared" si="38"/>
        <v>1</v>
      </c>
    </row>
    <row r="283" spans="1:11">
      <c r="A283" s="5">
        <v>104</v>
      </c>
      <c r="B283" s="6">
        <v>44763</v>
      </c>
      <c r="C283" s="7">
        <v>1</v>
      </c>
      <c r="D283" s="9">
        <v>5.8</v>
      </c>
      <c r="E283" s="5">
        <v>306.7</v>
      </c>
      <c r="F283" s="5">
        <v>318.2</v>
      </c>
      <c r="G283" s="6">
        <v>44763</v>
      </c>
      <c r="H283" s="5"/>
      <c r="I283" s="5"/>
      <c r="J283" s="5">
        <f>F283-E283</f>
        <v>11.5</v>
      </c>
      <c r="K283" s="8" t="b">
        <f t="shared" si="38"/>
        <v>1</v>
      </c>
    </row>
    <row r="284" spans="1:11">
      <c r="A284" s="5">
        <v>104</v>
      </c>
      <c r="B284" s="6">
        <v>44765</v>
      </c>
      <c r="C284" s="7">
        <v>1</v>
      </c>
      <c r="D284" s="9">
        <v>5.8</v>
      </c>
      <c r="E284" s="5">
        <v>318.2</v>
      </c>
      <c r="F284" s="5">
        <v>330.4</v>
      </c>
      <c r="G284" s="6">
        <v>44765</v>
      </c>
      <c r="H284" s="5"/>
      <c r="I284" s="5"/>
      <c r="J284" s="5">
        <f>F284-E284</f>
        <v>12.199999999999989</v>
      </c>
      <c r="K284" s="8" t="b">
        <f t="shared" si="38"/>
        <v>1</v>
      </c>
    </row>
    <row r="285" spans="1:11">
      <c r="A285" s="5">
        <v>104</v>
      </c>
      <c r="B285" s="6">
        <v>44771</v>
      </c>
      <c r="C285" s="7">
        <v>1</v>
      </c>
      <c r="D285" s="9">
        <v>5.8</v>
      </c>
      <c r="E285" s="5">
        <v>341.9</v>
      </c>
      <c r="F285" s="5">
        <v>353.4</v>
      </c>
      <c r="G285" s="6">
        <v>44771</v>
      </c>
      <c r="H285" s="5"/>
      <c r="I285" s="5"/>
      <c r="J285" s="5">
        <f t="shared" ref="J285:J315" si="39">F285-E285</f>
        <v>11.5</v>
      </c>
      <c r="K285" s="8" t="b">
        <f>E285=F284</f>
        <v>0</v>
      </c>
    </row>
    <row r="286" spans="1:11">
      <c r="A286" s="5">
        <v>104</v>
      </c>
      <c r="B286" s="6">
        <v>44773</v>
      </c>
      <c r="C286" s="7">
        <v>0.7</v>
      </c>
      <c r="D286" s="9">
        <v>8.2899999999999991</v>
      </c>
      <c r="E286" s="5">
        <v>353.4</v>
      </c>
      <c r="F286" s="5">
        <v>377.5</v>
      </c>
      <c r="G286" s="6">
        <v>44773</v>
      </c>
      <c r="H286" s="5"/>
      <c r="I286" s="5"/>
      <c r="J286" s="5">
        <f t="shared" si="39"/>
        <v>24.100000000000023</v>
      </c>
      <c r="K286" s="8" t="b">
        <f t="shared" si="38"/>
        <v>1</v>
      </c>
    </row>
    <row r="287" spans="1:11">
      <c r="A287" s="5">
        <v>104</v>
      </c>
      <c r="B287" s="6">
        <v>44775</v>
      </c>
      <c r="C287" s="7">
        <v>1</v>
      </c>
      <c r="D287" s="9">
        <v>5.8</v>
      </c>
      <c r="E287" s="5">
        <v>377.5</v>
      </c>
      <c r="F287" s="5">
        <v>381.4</v>
      </c>
      <c r="G287" s="6">
        <v>44775</v>
      </c>
      <c r="H287" s="5"/>
      <c r="I287" s="5"/>
      <c r="J287" s="5">
        <f t="shared" si="39"/>
        <v>3.8999999999999773</v>
      </c>
      <c r="K287" s="8" t="b">
        <f t="shared" si="38"/>
        <v>1</v>
      </c>
    </row>
    <row r="288" spans="1:11">
      <c r="A288" s="5">
        <v>104</v>
      </c>
      <c r="B288" s="6">
        <v>44779</v>
      </c>
      <c r="C288" s="7">
        <v>0.7</v>
      </c>
      <c r="D288" s="9">
        <v>8.2899999999999991</v>
      </c>
      <c r="E288" s="5">
        <v>381.4</v>
      </c>
      <c r="F288" s="5">
        <v>400.7</v>
      </c>
      <c r="G288" s="6">
        <v>44779</v>
      </c>
      <c r="H288" s="5"/>
      <c r="I288" s="5"/>
      <c r="J288" s="5">
        <f t="shared" si="39"/>
        <v>19.300000000000011</v>
      </c>
      <c r="K288" s="8" t="b">
        <f t="shared" si="38"/>
        <v>1</v>
      </c>
    </row>
    <row r="289" spans="1:11">
      <c r="A289" s="5">
        <v>104</v>
      </c>
      <c r="B289" s="6">
        <v>44781</v>
      </c>
      <c r="C289" s="7">
        <v>0.8</v>
      </c>
      <c r="D289" s="9">
        <v>7.34</v>
      </c>
      <c r="E289" s="5">
        <v>400.7</v>
      </c>
      <c r="F289" s="5">
        <v>412.8</v>
      </c>
      <c r="G289" s="6">
        <v>44781</v>
      </c>
      <c r="H289" s="5"/>
      <c r="I289" s="5"/>
      <c r="J289" s="5">
        <f t="shared" si="39"/>
        <v>12.100000000000023</v>
      </c>
      <c r="K289" s="8" t="b">
        <f t="shared" si="38"/>
        <v>1</v>
      </c>
    </row>
    <row r="290" spans="1:11">
      <c r="A290" s="5">
        <v>104</v>
      </c>
      <c r="B290" s="6">
        <v>44783</v>
      </c>
      <c r="C290" s="7">
        <v>0.8</v>
      </c>
      <c r="D290" s="9">
        <v>7.34</v>
      </c>
      <c r="E290" s="5">
        <v>412.8</v>
      </c>
      <c r="F290" s="5">
        <v>426.5</v>
      </c>
      <c r="G290" s="6">
        <v>44783</v>
      </c>
      <c r="H290" s="5"/>
      <c r="I290" s="5"/>
      <c r="J290" s="5">
        <f t="shared" si="39"/>
        <v>13.699999999999989</v>
      </c>
      <c r="K290" s="8" t="b">
        <f t="shared" si="38"/>
        <v>1</v>
      </c>
    </row>
    <row r="291" spans="1:11">
      <c r="A291" s="5">
        <v>104</v>
      </c>
      <c r="B291" s="6">
        <v>44785</v>
      </c>
      <c r="C291" s="7">
        <v>0.7</v>
      </c>
      <c r="D291" s="9">
        <v>8.2899999999999991</v>
      </c>
      <c r="E291" s="5">
        <v>426.5</v>
      </c>
      <c r="F291" s="5">
        <v>443.3</v>
      </c>
      <c r="G291" s="6">
        <v>44785</v>
      </c>
      <c r="H291" s="5"/>
      <c r="I291" s="5"/>
      <c r="J291" s="5">
        <f t="shared" si="39"/>
        <v>16.800000000000011</v>
      </c>
      <c r="K291" s="8" t="b">
        <f t="shared" si="38"/>
        <v>1</v>
      </c>
    </row>
    <row r="292" spans="1:11">
      <c r="A292" s="5">
        <v>104</v>
      </c>
      <c r="B292" s="6">
        <v>44788</v>
      </c>
      <c r="C292" s="7">
        <v>1</v>
      </c>
      <c r="D292" s="9">
        <v>5.8</v>
      </c>
      <c r="E292" s="5">
        <v>457.4</v>
      </c>
      <c r="F292" s="5">
        <v>469.6</v>
      </c>
      <c r="G292" s="6">
        <v>44788</v>
      </c>
      <c r="H292" s="5"/>
      <c r="I292" s="5"/>
      <c r="J292" s="5">
        <f t="shared" si="39"/>
        <v>12.200000000000045</v>
      </c>
      <c r="K292" s="8" t="b">
        <f t="shared" si="38"/>
        <v>0</v>
      </c>
    </row>
    <row r="293" spans="1:11">
      <c r="A293" s="5">
        <v>104</v>
      </c>
      <c r="B293" s="6">
        <v>44789</v>
      </c>
      <c r="C293" s="7">
        <v>0.8</v>
      </c>
      <c r="D293" s="9">
        <v>7.34</v>
      </c>
      <c r="E293" s="5">
        <v>469.6</v>
      </c>
      <c r="F293" s="5">
        <v>484</v>
      </c>
      <c r="G293" s="6">
        <v>44789</v>
      </c>
      <c r="H293" s="5"/>
      <c r="I293" s="5"/>
      <c r="J293" s="5">
        <f t="shared" si="39"/>
        <v>14.399999999999977</v>
      </c>
      <c r="K293" s="8" t="b">
        <f t="shared" si="38"/>
        <v>1</v>
      </c>
    </row>
    <row r="294" spans="1:11">
      <c r="A294" s="5">
        <v>104</v>
      </c>
      <c r="B294" s="6">
        <v>44791</v>
      </c>
      <c r="C294" s="7">
        <v>0.8</v>
      </c>
      <c r="D294" s="9">
        <v>7.3239999999999998</v>
      </c>
      <c r="E294" s="5">
        <v>484</v>
      </c>
      <c r="F294" s="5">
        <v>498.3</v>
      </c>
      <c r="G294" s="6">
        <v>44791</v>
      </c>
      <c r="H294" s="5"/>
      <c r="I294" s="5"/>
      <c r="J294" s="5">
        <f t="shared" si="39"/>
        <v>14.300000000000011</v>
      </c>
      <c r="K294" s="8" t="b">
        <f t="shared" si="38"/>
        <v>1</v>
      </c>
    </row>
    <row r="295" spans="1:11">
      <c r="A295" s="5">
        <v>104</v>
      </c>
      <c r="B295" s="6">
        <v>44793</v>
      </c>
      <c r="C295" s="7">
        <v>0.6</v>
      </c>
      <c r="D295" s="9">
        <v>9.67</v>
      </c>
      <c r="E295" s="5">
        <v>498.3</v>
      </c>
      <c r="F295" s="5">
        <v>514.6</v>
      </c>
      <c r="G295" s="6">
        <v>44793</v>
      </c>
      <c r="H295" s="5"/>
      <c r="I295" s="5"/>
      <c r="J295" s="5">
        <f t="shared" si="39"/>
        <v>16.300000000000011</v>
      </c>
      <c r="K295" s="8" t="b">
        <f t="shared" si="38"/>
        <v>1</v>
      </c>
    </row>
    <row r="296" spans="1:11">
      <c r="A296" s="5">
        <v>104</v>
      </c>
      <c r="B296" s="6">
        <v>44795</v>
      </c>
      <c r="C296" s="7">
        <v>0.6</v>
      </c>
      <c r="D296" s="9">
        <v>9.67</v>
      </c>
      <c r="E296" s="5">
        <v>514.6</v>
      </c>
      <c r="F296" s="5">
        <v>536.4</v>
      </c>
      <c r="G296" s="6">
        <v>44795</v>
      </c>
      <c r="H296" s="5"/>
      <c r="I296" s="5"/>
      <c r="J296" s="5">
        <f t="shared" si="39"/>
        <v>21.799999999999955</v>
      </c>
      <c r="K296" s="8" t="b">
        <f t="shared" si="38"/>
        <v>1</v>
      </c>
    </row>
    <row r="297" spans="1:11">
      <c r="A297" s="5">
        <v>104</v>
      </c>
      <c r="B297" s="6">
        <v>44797</v>
      </c>
      <c r="C297" s="7">
        <v>0.6</v>
      </c>
      <c r="D297" s="9">
        <v>9.67</v>
      </c>
      <c r="E297" s="5">
        <v>536.4</v>
      </c>
      <c r="F297" s="5">
        <v>558.20000000000005</v>
      </c>
      <c r="G297" s="6">
        <v>44797</v>
      </c>
      <c r="H297" s="5"/>
      <c r="I297" s="5"/>
      <c r="J297" s="5">
        <f t="shared" si="39"/>
        <v>21.800000000000068</v>
      </c>
      <c r="K297" s="8" t="b">
        <f t="shared" si="38"/>
        <v>1</v>
      </c>
    </row>
    <row r="298" spans="1:11">
      <c r="A298" s="5">
        <v>104</v>
      </c>
      <c r="B298" s="6">
        <v>44799</v>
      </c>
      <c r="C298" s="7">
        <v>0.6</v>
      </c>
      <c r="D298" s="9">
        <v>9.67</v>
      </c>
      <c r="E298" s="5">
        <v>558.20000000000005</v>
      </c>
      <c r="F298" s="5">
        <v>574.79999999999995</v>
      </c>
      <c r="G298" s="6">
        <v>44799</v>
      </c>
      <c r="H298" s="5"/>
      <c r="I298" s="5"/>
      <c r="J298" s="5">
        <f t="shared" si="39"/>
        <v>16.599999999999909</v>
      </c>
      <c r="K298" s="8" t="b">
        <f t="shared" si="38"/>
        <v>1</v>
      </c>
    </row>
    <row r="299" spans="1:11">
      <c r="A299" s="5">
        <v>104</v>
      </c>
      <c r="B299" s="6">
        <v>44801</v>
      </c>
      <c r="C299" s="7">
        <v>0.6</v>
      </c>
      <c r="D299" s="9">
        <v>9.67</v>
      </c>
      <c r="E299" s="5">
        <v>574.79999999999995</v>
      </c>
      <c r="F299" s="5">
        <v>591.4</v>
      </c>
      <c r="G299" s="6">
        <v>44801</v>
      </c>
      <c r="H299" s="5"/>
      <c r="I299" s="5"/>
      <c r="J299" s="5">
        <f t="shared" si="39"/>
        <v>16.600000000000023</v>
      </c>
      <c r="K299" s="8" t="b">
        <f t="shared" si="38"/>
        <v>1</v>
      </c>
    </row>
    <row r="300" spans="1:11">
      <c r="A300" s="5">
        <v>104</v>
      </c>
      <c r="B300" s="6">
        <v>44803</v>
      </c>
      <c r="C300" s="7">
        <v>0.7</v>
      </c>
      <c r="D300" s="9">
        <v>8.2899999999999991</v>
      </c>
      <c r="E300" s="5">
        <v>591.4</v>
      </c>
      <c r="F300" s="5">
        <v>608.4</v>
      </c>
      <c r="G300" s="6">
        <v>44803</v>
      </c>
      <c r="H300" s="5"/>
      <c r="I300" s="5"/>
      <c r="J300" s="5">
        <f t="shared" si="39"/>
        <v>17</v>
      </c>
      <c r="K300" s="8" t="b">
        <f t="shared" si="38"/>
        <v>1</v>
      </c>
    </row>
    <row r="301" spans="1:11">
      <c r="A301" s="5">
        <v>104</v>
      </c>
      <c r="B301" s="6">
        <v>44806</v>
      </c>
      <c r="C301" s="7">
        <v>0.6</v>
      </c>
      <c r="D301" s="9">
        <v>9.67</v>
      </c>
      <c r="E301" s="5">
        <v>608.4</v>
      </c>
      <c r="F301" s="5">
        <v>629.4</v>
      </c>
      <c r="G301" s="6">
        <v>44806</v>
      </c>
      <c r="H301" s="5"/>
      <c r="I301" s="5"/>
      <c r="J301" s="5">
        <f t="shared" si="39"/>
        <v>21</v>
      </c>
      <c r="K301" s="8" t="b">
        <f t="shared" si="38"/>
        <v>1</v>
      </c>
    </row>
    <row r="302" spans="1:11">
      <c r="A302" s="5">
        <v>104</v>
      </c>
      <c r="B302" s="6">
        <v>44808</v>
      </c>
      <c r="C302" s="7">
        <v>0.6</v>
      </c>
      <c r="D302" s="9">
        <v>9.67</v>
      </c>
      <c r="E302" s="5">
        <v>629.4</v>
      </c>
      <c r="F302" s="5">
        <v>648.1</v>
      </c>
      <c r="G302" s="6">
        <v>44808</v>
      </c>
      <c r="H302" s="5"/>
      <c r="I302" s="5"/>
      <c r="J302" s="5">
        <f t="shared" si="39"/>
        <v>18.700000000000045</v>
      </c>
      <c r="K302" s="8" t="b">
        <f t="shared" si="38"/>
        <v>1</v>
      </c>
    </row>
    <row r="303" spans="1:11">
      <c r="A303" s="5">
        <v>104</v>
      </c>
      <c r="B303" s="6">
        <v>44809</v>
      </c>
      <c r="C303" s="7">
        <v>0.55000000000000004</v>
      </c>
      <c r="D303" s="9">
        <v>10.55</v>
      </c>
      <c r="E303" s="5">
        <v>648.1</v>
      </c>
      <c r="F303" s="5">
        <v>659.7</v>
      </c>
      <c r="G303" s="6">
        <v>44809</v>
      </c>
      <c r="H303" s="5"/>
      <c r="I303" s="5"/>
      <c r="J303" s="5">
        <f t="shared" si="39"/>
        <v>11.600000000000023</v>
      </c>
      <c r="K303" s="8" t="b">
        <f t="shared" si="38"/>
        <v>1</v>
      </c>
    </row>
    <row r="304" spans="1:11">
      <c r="A304" s="5">
        <v>104</v>
      </c>
      <c r="B304" s="6">
        <v>44810</v>
      </c>
      <c r="C304" s="7">
        <v>0.55000000000000004</v>
      </c>
      <c r="D304" s="9">
        <v>10.55</v>
      </c>
      <c r="E304" s="5">
        <v>659.7</v>
      </c>
      <c r="F304" s="5">
        <v>670.7</v>
      </c>
      <c r="G304" s="6">
        <v>44810</v>
      </c>
      <c r="H304" s="5"/>
      <c r="I304" s="5"/>
      <c r="J304" s="5">
        <f t="shared" si="39"/>
        <v>11</v>
      </c>
      <c r="K304" s="8" t="b">
        <f t="shared" si="38"/>
        <v>1</v>
      </c>
    </row>
    <row r="305" spans="1:11">
      <c r="A305" s="5">
        <v>104</v>
      </c>
      <c r="B305" s="6">
        <v>44811</v>
      </c>
      <c r="C305" s="7">
        <v>0.55000000000000004</v>
      </c>
      <c r="D305" s="9">
        <v>10.55</v>
      </c>
      <c r="E305" s="5">
        <v>670.7</v>
      </c>
      <c r="F305" s="5">
        <v>681.7</v>
      </c>
      <c r="G305" s="6">
        <v>44811</v>
      </c>
      <c r="H305" s="5"/>
      <c r="I305" s="5"/>
      <c r="J305" s="5">
        <f t="shared" si="39"/>
        <v>11</v>
      </c>
      <c r="K305" s="8" t="b">
        <f t="shared" si="38"/>
        <v>1</v>
      </c>
    </row>
    <row r="306" spans="1:11">
      <c r="A306" s="5">
        <v>104</v>
      </c>
      <c r="B306" s="6">
        <v>44812</v>
      </c>
      <c r="C306" s="7">
        <v>0.55000000000000004</v>
      </c>
      <c r="D306" s="9">
        <v>10.55</v>
      </c>
      <c r="E306" s="5">
        <v>681.7</v>
      </c>
      <c r="F306" s="5">
        <v>692</v>
      </c>
      <c r="G306" s="6">
        <v>44812</v>
      </c>
      <c r="H306" s="5"/>
      <c r="I306" s="5"/>
      <c r="J306" s="5">
        <f t="shared" si="39"/>
        <v>10.299999999999955</v>
      </c>
      <c r="K306" s="8" t="b">
        <f t="shared" si="38"/>
        <v>1</v>
      </c>
    </row>
    <row r="307" spans="1:11">
      <c r="A307" s="5">
        <v>104</v>
      </c>
      <c r="B307" s="6">
        <v>44813</v>
      </c>
      <c r="C307" s="7">
        <v>0.55000000000000004</v>
      </c>
      <c r="D307" s="9">
        <v>10.55</v>
      </c>
      <c r="E307" s="5">
        <v>692</v>
      </c>
      <c r="F307" s="5">
        <v>710.4</v>
      </c>
      <c r="G307" s="6">
        <v>44813</v>
      </c>
      <c r="H307" s="5"/>
      <c r="I307" s="5"/>
      <c r="J307" s="5">
        <f t="shared" si="39"/>
        <v>18.399999999999977</v>
      </c>
      <c r="K307" s="8" t="b">
        <f t="shared" si="38"/>
        <v>1</v>
      </c>
    </row>
    <row r="308" spans="1:11">
      <c r="A308" s="5">
        <v>104</v>
      </c>
      <c r="B308" s="6">
        <v>44814</v>
      </c>
      <c r="C308" s="7">
        <v>0.55000000000000004</v>
      </c>
      <c r="D308" s="9">
        <v>10.55</v>
      </c>
      <c r="E308" s="5">
        <v>710.4</v>
      </c>
      <c r="F308" s="5">
        <v>721.6</v>
      </c>
      <c r="G308" s="6">
        <v>44814</v>
      </c>
      <c r="H308" s="5"/>
      <c r="I308" s="5"/>
      <c r="J308" s="5">
        <f t="shared" si="39"/>
        <v>11.200000000000045</v>
      </c>
      <c r="K308" s="8" t="b">
        <f t="shared" si="38"/>
        <v>1</v>
      </c>
    </row>
    <row r="309" spans="1:11">
      <c r="A309" s="5">
        <v>104</v>
      </c>
      <c r="B309" s="6">
        <v>44815</v>
      </c>
      <c r="C309" s="7">
        <v>0.5</v>
      </c>
      <c r="D309" s="9">
        <v>11.6</v>
      </c>
      <c r="E309" s="5">
        <v>721.6</v>
      </c>
      <c r="F309" s="5">
        <v>738.7</v>
      </c>
      <c r="G309" s="6">
        <v>44815</v>
      </c>
      <c r="H309" s="5"/>
      <c r="I309" s="5"/>
      <c r="J309" s="5">
        <f t="shared" si="39"/>
        <v>17.100000000000023</v>
      </c>
      <c r="K309" s="8" t="b">
        <f t="shared" si="38"/>
        <v>1</v>
      </c>
    </row>
    <row r="310" spans="1:11">
      <c r="A310" s="5">
        <v>104</v>
      </c>
      <c r="B310" s="6">
        <v>44816</v>
      </c>
      <c r="C310" s="7">
        <v>0.5</v>
      </c>
      <c r="D310" s="9">
        <v>11.6</v>
      </c>
      <c r="E310" s="5">
        <v>738.7</v>
      </c>
      <c r="F310" s="5">
        <v>745.9</v>
      </c>
      <c r="G310" s="6">
        <v>44816</v>
      </c>
      <c r="H310" s="5"/>
      <c r="I310" s="5"/>
      <c r="J310" s="5">
        <f t="shared" si="39"/>
        <v>7.1999999999999318</v>
      </c>
      <c r="K310" s="8" t="b">
        <f t="shared" si="38"/>
        <v>1</v>
      </c>
    </row>
    <row r="311" spans="1:11">
      <c r="A311" s="5">
        <v>104</v>
      </c>
      <c r="B311" s="6">
        <v>44817</v>
      </c>
      <c r="C311" s="7">
        <v>0.5</v>
      </c>
      <c r="D311" s="9">
        <v>11.6</v>
      </c>
      <c r="E311" s="5">
        <v>745.9</v>
      </c>
      <c r="F311" s="5">
        <v>758.7</v>
      </c>
      <c r="G311" s="6">
        <v>44817</v>
      </c>
      <c r="H311" s="5"/>
      <c r="I311" s="5"/>
      <c r="J311" s="5">
        <f t="shared" si="39"/>
        <v>12.800000000000068</v>
      </c>
      <c r="K311" s="8" t="b">
        <f t="shared" si="38"/>
        <v>1</v>
      </c>
    </row>
    <row r="312" spans="1:11">
      <c r="A312" s="5">
        <v>104</v>
      </c>
      <c r="B312" s="6">
        <v>44818</v>
      </c>
      <c r="C312" s="7">
        <v>0.5</v>
      </c>
      <c r="D312" s="9">
        <v>11.6</v>
      </c>
      <c r="E312" s="5">
        <v>758.7</v>
      </c>
      <c r="F312" s="5">
        <v>769.8</v>
      </c>
      <c r="G312" s="6">
        <v>44818</v>
      </c>
      <c r="H312" s="5"/>
      <c r="I312" s="5"/>
      <c r="J312" s="5">
        <f t="shared" si="39"/>
        <v>11.099999999999909</v>
      </c>
      <c r="K312" s="8" t="b">
        <f t="shared" si="38"/>
        <v>1</v>
      </c>
    </row>
    <row r="313" spans="1:11">
      <c r="A313" s="5">
        <v>104</v>
      </c>
      <c r="B313" s="6">
        <v>44819</v>
      </c>
      <c r="C313" s="7">
        <v>0.5</v>
      </c>
      <c r="D313" s="9">
        <v>11.6</v>
      </c>
      <c r="E313" s="5">
        <v>769.8</v>
      </c>
      <c r="F313" s="5">
        <v>781.7</v>
      </c>
      <c r="G313" s="6">
        <v>44819</v>
      </c>
      <c r="H313" s="5"/>
      <c r="I313" s="5"/>
      <c r="J313" s="5">
        <f t="shared" si="39"/>
        <v>11.900000000000091</v>
      </c>
      <c r="K313" s="8" t="b">
        <f t="shared" si="38"/>
        <v>1</v>
      </c>
    </row>
    <row r="314" spans="1:11">
      <c r="A314" s="5">
        <v>104</v>
      </c>
      <c r="B314" s="6">
        <v>44820</v>
      </c>
      <c r="C314" s="7">
        <v>0.5</v>
      </c>
      <c r="D314" s="9">
        <v>11.6</v>
      </c>
      <c r="E314" s="5">
        <v>781.7</v>
      </c>
      <c r="F314" s="5">
        <v>793.4</v>
      </c>
      <c r="G314" s="6">
        <v>44820</v>
      </c>
      <c r="H314" s="5"/>
      <c r="I314" s="5"/>
      <c r="J314" s="5">
        <f t="shared" si="39"/>
        <v>11.699999999999932</v>
      </c>
      <c r="K314" s="8" t="b">
        <f t="shared" si="38"/>
        <v>1</v>
      </c>
    </row>
    <row r="315" spans="1:11">
      <c r="A315" s="5">
        <v>104</v>
      </c>
      <c r="B315" s="6">
        <v>44821</v>
      </c>
      <c r="C315" s="7">
        <v>0.4</v>
      </c>
      <c r="D315" s="9">
        <v>14.5</v>
      </c>
      <c r="E315" s="5">
        <v>793.4</v>
      </c>
      <c r="F315" s="5">
        <v>807.9</v>
      </c>
      <c r="G315" s="6">
        <v>44821</v>
      </c>
      <c r="H315" s="5"/>
      <c r="I315" s="5"/>
      <c r="J315" s="5">
        <f t="shared" si="39"/>
        <v>14.5</v>
      </c>
      <c r="K315" s="8" t="b">
        <f t="shared" si="38"/>
        <v>1</v>
      </c>
    </row>
    <row r="316" spans="1:11">
      <c r="A316" s="5">
        <v>104</v>
      </c>
      <c r="B316" s="6">
        <v>44822</v>
      </c>
      <c r="C316" s="7">
        <v>0.4</v>
      </c>
      <c r="D316" s="9">
        <v>14.5</v>
      </c>
      <c r="E316" s="5">
        <v>807.9</v>
      </c>
      <c r="F316" s="5">
        <v>821.1</v>
      </c>
      <c r="G316" s="6">
        <v>44822</v>
      </c>
      <c r="H316" s="5"/>
      <c r="I316" s="5"/>
      <c r="J316" s="5">
        <f>F316-E316</f>
        <v>13.200000000000045</v>
      </c>
      <c r="K316" s="8" t="b">
        <f t="shared" si="38"/>
        <v>1</v>
      </c>
    </row>
    <row r="317" spans="1:11">
      <c r="A317" s="5">
        <v>104</v>
      </c>
      <c r="B317" s="6">
        <v>44823</v>
      </c>
      <c r="C317" s="7">
        <v>0.4</v>
      </c>
      <c r="D317" s="9">
        <v>14.5</v>
      </c>
      <c r="E317" s="5">
        <v>821.1</v>
      </c>
      <c r="F317" s="5">
        <v>834.3</v>
      </c>
      <c r="G317" s="6">
        <v>44823</v>
      </c>
      <c r="H317" s="5"/>
      <c r="I317" s="5"/>
      <c r="J317" s="5">
        <f>F317-E317</f>
        <v>13.199999999999932</v>
      </c>
      <c r="K317" s="8" t="b">
        <f t="shared" si="38"/>
        <v>1</v>
      </c>
    </row>
    <row r="318" spans="1:11">
      <c r="A318" s="5">
        <v>104</v>
      </c>
      <c r="B318" s="6">
        <v>44824</v>
      </c>
      <c r="C318" s="7">
        <v>0.4</v>
      </c>
      <c r="D318" s="9">
        <v>14.5</v>
      </c>
      <c r="E318" s="5">
        <v>834.3</v>
      </c>
      <c r="F318" s="5">
        <v>847.5</v>
      </c>
      <c r="G318" s="6">
        <v>44824</v>
      </c>
      <c r="H318" s="5"/>
      <c r="I318" s="5"/>
      <c r="J318" s="5">
        <f t="shared" ref="J318:J334" si="40">F318-E318</f>
        <v>13.200000000000045</v>
      </c>
      <c r="K318" s="8" t="b">
        <f t="shared" si="38"/>
        <v>1</v>
      </c>
    </row>
    <row r="319" spans="1:11">
      <c r="A319" s="5">
        <v>104</v>
      </c>
      <c r="B319" s="6">
        <v>44825</v>
      </c>
      <c r="C319" s="7">
        <v>0.4</v>
      </c>
      <c r="D319" s="9">
        <v>14.5</v>
      </c>
      <c r="E319" s="5">
        <v>847.5</v>
      </c>
      <c r="F319" s="5">
        <v>860.7</v>
      </c>
      <c r="G319" s="6">
        <v>44825</v>
      </c>
      <c r="H319" s="5"/>
      <c r="I319" s="5"/>
      <c r="J319" s="5">
        <f t="shared" si="40"/>
        <v>13.200000000000045</v>
      </c>
      <c r="K319" s="8" t="b">
        <f t="shared" si="38"/>
        <v>1</v>
      </c>
    </row>
    <row r="320" spans="1:11">
      <c r="A320" s="5">
        <v>104</v>
      </c>
      <c r="B320" s="6">
        <v>44826</v>
      </c>
      <c r="C320" s="7">
        <v>0.4</v>
      </c>
      <c r="D320" s="9">
        <v>14.5</v>
      </c>
      <c r="E320" s="5">
        <v>860.7</v>
      </c>
      <c r="F320" s="5">
        <v>874.4</v>
      </c>
      <c r="G320" s="6">
        <v>44826</v>
      </c>
      <c r="H320" s="5"/>
      <c r="I320" s="5"/>
      <c r="J320" s="5">
        <f t="shared" si="40"/>
        <v>13.699999999999932</v>
      </c>
      <c r="K320" s="8" t="b">
        <f t="shared" si="38"/>
        <v>1</v>
      </c>
    </row>
    <row r="321" spans="1:11">
      <c r="A321" s="5">
        <v>104</v>
      </c>
      <c r="B321" s="6">
        <v>44828</v>
      </c>
      <c r="C321" s="7">
        <v>0.4</v>
      </c>
      <c r="D321" s="9">
        <v>14.5</v>
      </c>
      <c r="E321" s="5">
        <v>874.4</v>
      </c>
      <c r="F321" s="5">
        <v>888.8</v>
      </c>
      <c r="G321" s="6">
        <v>44828</v>
      </c>
      <c r="H321" s="5"/>
      <c r="I321" s="5"/>
      <c r="J321" s="5">
        <f t="shared" si="40"/>
        <v>14.399999999999977</v>
      </c>
      <c r="K321" s="8" t="b">
        <f t="shared" si="38"/>
        <v>1</v>
      </c>
    </row>
    <row r="322" spans="1:11">
      <c r="A322" s="5">
        <v>104</v>
      </c>
      <c r="B322" s="6">
        <v>44829</v>
      </c>
      <c r="C322" s="7">
        <v>0.4</v>
      </c>
      <c r="D322" s="9">
        <v>14.5</v>
      </c>
      <c r="E322" s="5">
        <v>888.8</v>
      </c>
      <c r="F322" s="5">
        <v>903.8</v>
      </c>
      <c r="G322" s="6">
        <v>44829</v>
      </c>
      <c r="H322" s="5"/>
      <c r="I322" s="5"/>
      <c r="J322" s="5">
        <f t="shared" si="40"/>
        <v>15</v>
      </c>
      <c r="K322" s="8" t="b">
        <f t="shared" si="38"/>
        <v>1</v>
      </c>
    </row>
    <row r="323" spans="1:11">
      <c r="A323" s="5">
        <v>104</v>
      </c>
      <c r="B323" s="6">
        <v>44830</v>
      </c>
      <c r="C323" s="7">
        <v>0.4</v>
      </c>
      <c r="D323" s="9">
        <v>14.5</v>
      </c>
      <c r="E323" s="5">
        <v>904.8</v>
      </c>
      <c r="F323" s="5">
        <v>917.8</v>
      </c>
      <c r="G323" s="6">
        <v>44830</v>
      </c>
      <c r="H323" s="5"/>
      <c r="I323" s="5"/>
      <c r="J323" s="5">
        <f t="shared" si="40"/>
        <v>13</v>
      </c>
      <c r="K323" s="8" t="b">
        <f t="shared" si="38"/>
        <v>0</v>
      </c>
    </row>
    <row r="324" spans="1:11">
      <c r="A324" s="5">
        <v>104</v>
      </c>
      <c r="B324" s="6">
        <v>44831</v>
      </c>
      <c r="C324" s="7">
        <v>0.4</v>
      </c>
      <c r="D324" s="9">
        <v>14.5</v>
      </c>
      <c r="E324" s="5">
        <v>917.8</v>
      </c>
      <c r="F324" s="5">
        <v>932.3</v>
      </c>
      <c r="G324" s="6">
        <v>44831</v>
      </c>
      <c r="H324" s="5"/>
      <c r="I324" s="5"/>
      <c r="J324" s="5">
        <f t="shared" si="40"/>
        <v>14.5</v>
      </c>
      <c r="K324" s="8" t="b">
        <f t="shared" si="38"/>
        <v>1</v>
      </c>
    </row>
    <row r="325" spans="1:11">
      <c r="A325" s="5">
        <v>104</v>
      </c>
      <c r="B325" s="6">
        <v>44832</v>
      </c>
      <c r="C325" s="7">
        <v>0.4</v>
      </c>
      <c r="D325" s="9">
        <v>14.5</v>
      </c>
      <c r="E325" s="5">
        <v>932.3</v>
      </c>
      <c r="F325" s="5">
        <v>949.8</v>
      </c>
      <c r="G325" s="6">
        <v>44832</v>
      </c>
      <c r="H325" s="5"/>
      <c r="I325" s="5"/>
      <c r="J325" s="5">
        <f t="shared" si="40"/>
        <v>17.5</v>
      </c>
      <c r="K325" s="8" t="b">
        <f t="shared" si="38"/>
        <v>1</v>
      </c>
    </row>
    <row r="326" spans="1:11">
      <c r="A326" s="5">
        <v>104</v>
      </c>
      <c r="B326" s="6">
        <v>44833</v>
      </c>
      <c r="C326" s="7">
        <v>0.4</v>
      </c>
      <c r="D326" s="9">
        <v>14.5</v>
      </c>
      <c r="E326" s="5">
        <v>949.8</v>
      </c>
      <c r="F326" s="5">
        <v>964.3</v>
      </c>
      <c r="G326" s="6">
        <v>44833</v>
      </c>
      <c r="H326" s="5"/>
      <c r="I326" s="5"/>
      <c r="J326" s="5">
        <f t="shared" si="40"/>
        <v>14.5</v>
      </c>
      <c r="K326" s="8" t="b">
        <f t="shared" si="38"/>
        <v>1</v>
      </c>
    </row>
    <row r="327" spans="1:11">
      <c r="A327" s="5">
        <v>104</v>
      </c>
      <c r="B327" s="6">
        <v>44834</v>
      </c>
      <c r="C327" s="7">
        <v>0.4</v>
      </c>
      <c r="D327" s="9">
        <v>14.5</v>
      </c>
      <c r="E327" s="5">
        <v>964.3</v>
      </c>
      <c r="F327" s="5">
        <v>978.4</v>
      </c>
      <c r="G327" s="6">
        <v>44834</v>
      </c>
      <c r="H327" s="5"/>
      <c r="I327" s="5"/>
      <c r="J327" s="5">
        <f t="shared" si="40"/>
        <v>14.100000000000023</v>
      </c>
      <c r="K327" s="8" t="b">
        <f t="shared" si="38"/>
        <v>1</v>
      </c>
    </row>
    <row r="328" spans="1:11">
      <c r="A328" s="5">
        <v>104</v>
      </c>
      <c r="B328" s="6">
        <v>44835</v>
      </c>
      <c r="C328" s="7">
        <v>0.4</v>
      </c>
      <c r="D328" s="9">
        <v>14.5</v>
      </c>
      <c r="E328" s="5">
        <v>978.4</v>
      </c>
      <c r="F328" s="5">
        <v>998.2</v>
      </c>
      <c r="G328" s="6">
        <v>44835</v>
      </c>
      <c r="H328" s="5"/>
      <c r="I328" s="5"/>
      <c r="J328" s="5">
        <f t="shared" si="40"/>
        <v>19.800000000000068</v>
      </c>
      <c r="K328" s="8" t="b">
        <f t="shared" si="38"/>
        <v>1</v>
      </c>
    </row>
    <row r="329" spans="1:11">
      <c r="A329" s="5">
        <v>104</v>
      </c>
      <c r="B329" s="6">
        <v>44836</v>
      </c>
      <c r="C329" s="7">
        <v>0.4</v>
      </c>
      <c r="D329" s="9">
        <v>14.5</v>
      </c>
      <c r="E329" s="5">
        <v>998.2</v>
      </c>
      <c r="F329" s="5">
        <v>1014</v>
      </c>
      <c r="G329" s="6">
        <v>44836</v>
      </c>
      <c r="H329" s="5"/>
      <c r="I329" s="5"/>
      <c r="J329" s="5">
        <f t="shared" si="40"/>
        <v>15.799999999999955</v>
      </c>
      <c r="K329" s="8" t="b">
        <f t="shared" si="38"/>
        <v>1</v>
      </c>
    </row>
    <row r="330" spans="1:11">
      <c r="A330" s="5">
        <v>104</v>
      </c>
      <c r="B330" s="6">
        <v>44837</v>
      </c>
      <c r="C330" s="7">
        <v>0.4</v>
      </c>
      <c r="D330" s="9">
        <v>14.5</v>
      </c>
      <c r="E330" s="5">
        <v>1014</v>
      </c>
      <c r="F330" s="5">
        <v>1027.5</v>
      </c>
      <c r="G330" s="6">
        <v>44837</v>
      </c>
      <c r="H330" s="5"/>
      <c r="I330" s="5"/>
      <c r="J330" s="5">
        <f t="shared" si="40"/>
        <v>13.5</v>
      </c>
      <c r="K330" s="8" t="b">
        <f t="shared" si="38"/>
        <v>1</v>
      </c>
    </row>
    <row r="331" spans="1:11">
      <c r="A331" s="5">
        <v>104</v>
      </c>
      <c r="B331" s="6">
        <v>44838</v>
      </c>
      <c r="C331" s="7">
        <v>0.4</v>
      </c>
      <c r="D331" s="9">
        <v>14.5</v>
      </c>
      <c r="E331" s="5">
        <v>1027.5</v>
      </c>
      <c r="F331" s="5">
        <v>1042</v>
      </c>
      <c r="G331" s="6">
        <v>44838</v>
      </c>
      <c r="H331" s="5"/>
      <c r="I331" s="5"/>
      <c r="J331" s="5">
        <f t="shared" si="40"/>
        <v>14.5</v>
      </c>
      <c r="K331" s="8" t="b">
        <f t="shared" si="38"/>
        <v>1</v>
      </c>
    </row>
    <row r="332" spans="1:11">
      <c r="A332" s="5">
        <v>104</v>
      </c>
      <c r="B332" s="6">
        <v>44839</v>
      </c>
      <c r="C332" s="7">
        <v>1</v>
      </c>
      <c r="D332" s="9">
        <v>5.8</v>
      </c>
      <c r="E332" s="5">
        <v>1042</v>
      </c>
      <c r="F332" s="5">
        <v>1056.5</v>
      </c>
      <c r="G332" s="6">
        <v>44839</v>
      </c>
      <c r="H332" s="5"/>
      <c r="I332" s="5"/>
      <c r="J332" s="5">
        <f t="shared" si="40"/>
        <v>14.5</v>
      </c>
      <c r="K332" s="8" t="b">
        <f t="shared" si="38"/>
        <v>1</v>
      </c>
    </row>
    <row r="333" spans="1:11">
      <c r="A333" s="5">
        <v>104</v>
      </c>
      <c r="B333" s="6">
        <v>44840</v>
      </c>
      <c r="C333" s="7">
        <v>0.4</v>
      </c>
      <c r="D333" s="9">
        <v>14.5</v>
      </c>
      <c r="E333" s="5">
        <v>1056.5</v>
      </c>
      <c r="F333" s="5">
        <v>1072.5</v>
      </c>
      <c r="G333" s="6">
        <v>44840</v>
      </c>
      <c r="H333" s="5"/>
      <c r="I333" s="5"/>
      <c r="J333" s="5">
        <f t="shared" si="40"/>
        <v>16</v>
      </c>
      <c r="K333" s="8" t="b">
        <f t="shared" si="38"/>
        <v>1</v>
      </c>
    </row>
    <row r="334" spans="1:11">
      <c r="A334" s="5">
        <v>104</v>
      </c>
      <c r="B334" s="6">
        <v>44841</v>
      </c>
      <c r="C334" s="7">
        <v>0.4</v>
      </c>
      <c r="D334" s="9">
        <v>14.5</v>
      </c>
      <c r="E334" s="5">
        <v>1072.5</v>
      </c>
      <c r="F334" s="5">
        <v>1087.4000000000001</v>
      </c>
      <c r="G334" s="6">
        <v>44841</v>
      </c>
      <c r="H334" s="5"/>
      <c r="I334" s="5"/>
      <c r="J334" s="5">
        <f t="shared" si="40"/>
        <v>14.900000000000091</v>
      </c>
      <c r="K334" s="8" t="b">
        <f t="shared" si="38"/>
        <v>1</v>
      </c>
    </row>
    <row r="335" spans="1:11">
      <c r="A335" s="5">
        <v>104</v>
      </c>
      <c r="B335" s="6">
        <v>44842</v>
      </c>
      <c r="C335" s="7">
        <v>0.4</v>
      </c>
      <c r="D335" s="9">
        <v>14.5</v>
      </c>
      <c r="E335" s="5">
        <v>1087.4000000000001</v>
      </c>
      <c r="F335" s="5">
        <v>1102.4000000000001</v>
      </c>
      <c r="G335" s="6">
        <v>44842</v>
      </c>
      <c r="H335" s="5"/>
      <c r="I335" s="5"/>
      <c r="J335" s="5">
        <f t="shared" ref="J335:J343" si="41">F335-E335</f>
        <v>15</v>
      </c>
      <c r="K335" s="8" t="b">
        <f t="shared" si="38"/>
        <v>1</v>
      </c>
    </row>
    <row r="336" spans="1:11">
      <c r="A336" s="5">
        <v>104</v>
      </c>
      <c r="B336" s="6">
        <v>44843</v>
      </c>
      <c r="C336" s="7">
        <v>0.4</v>
      </c>
      <c r="D336" s="9">
        <v>14.5</v>
      </c>
      <c r="E336" s="5">
        <v>1102.4000000000001</v>
      </c>
      <c r="F336" s="5">
        <v>1016.9</v>
      </c>
      <c r="G336" s="6">
        <v>44843</v>
      </c>
      <c r="H336" s="5"/>
      <c r="I336" s="5"/>
      <c r="J336" s="5">
        <f t="shared" si="41"/>
        <v>-85.500000000000114</v>
      </c>
      <c r="K336" s="8" t="b">
        <f t="shared" si="38"/>
        <v>1</v>
      </c>
    </row>
    <row r="337" spans="1:11">
      <c r="A337" s="5">
        <v>104</v>
      </c>
      <c r="B337" s="6">
        <v>44844</v>
      </c>
      <c r="C337" s="7">
        <v>0.4</v>
      </c>
      <c r="D337" s="9">
        <v>14.5</v>
      </c>
      <c r="E337" s="5">
        <v>1016.9</v>
      </c>
      <c r="F337" s="5">
        <v>1025.4000000000001</v>
      </c>
      <c r="G337" s="6">
        <v>44844</v>
      </c>
      <c r="H337" s="5"/>
      <c r="I337" s="5"/>
      <c r="J337" s="5">
        <f t="shared" si="41"/>
        <v>8.5000000000001137</v>
      </c>
      <c r="K337" s="8" t="b">
        <f t="shared" si="38"/>
        <v>1</v>
      </c>
    </row>
    <row r="338" spans="1:11">
      <c r="A338" s="5">
        <v>104</v>
      </c>
      <c r="B338" s="6">
        <v>44845</v>
      </c>
      <c r="C338" s="7">
        <v>0.4</v>
      </c>
      <c r="D338" s="9">
        <v>14.5</v>
      </c>
      <c r="E338" s="5">
        <v>1025.4000000000001</v>
      </c>
      <c r="F338" s="5">
        <v>1040.4000000000001</v>
      </c>
      <c r="G338" s="6">
        <v>44845</v>
      </c>
      <c r="H338" s="5"/>
      <c r="I338" s="5"/>
      <c r="J338" s="5">
        <f t="shared" si="41"/>
        <v>15</v>
      </c>
      <c r="K338" s="8" t="b">
        <f t="shared" si="38"/>
        <v>1</v>
      </c>
    </row>
    <row r="339" spans="1:11">
      <c r="A339" s="5">
        <v>104</v>
      </c>
      <c r="B339" s="6">
        <v>44846</v>
      </c>
      <c r="C339" s="7">
        <v>0.4</v>
      </c>
      <c r="D339" s="9">
        <v>14.5</v>
      </c>
      <c r="E339" s="5">
        <v>1040.4000000000001</v>
      </c>
      <c r="F339" s="5">
        <v>1055.2</v>
      </c>
      <c r="G339" s="6">
        <v>44846</v>
      </c>
      <c r="H339" s="5"/>
      <c r="I339" s="5"/>
      <c r="J339" s="5">
        <f t="shared" si="41"/>
        <v>14.799999999999955</v>
      </c>
      <c r="K339" s="8" t="b">
        <f t="shared" si="38"/>
        <v>1</v>
      </c>
    </row>
    <row r="340" spans="1:11">
      <c r="A340" s="5">
        <v>104</v>
      </c>
      <c r="B340" s="6">
        <v>44848</v>
      </c>
      <c r="C340" s="7">
        <v>0.4</v>
      </c>
      <c r="D340" s="9">
        <v>14.5</v>
      </c>
      <c r="E340" s="5">
        <v>1055.2</v>
      </c>
      <c r="F340" s="5">
        <v>1070.3</v>
      </c>
      <c r="G340" s="6">
        <v>44848</v>
      </c>
      <c r="H340" s="5"/>
      <c r="I340" s="5"/>
      <c r="J340" s="5">
        <f t="shared" si="41"/>
        <v>15.099999999999909</v>
      </c>
      <c r="K340" s="8" t="b">
        <f t="shared" si="38"/>
        <v>1</v>
      </c>
    </row>
    <row r="341" spans="1:11">
      <c r="A341" s="5">
        <v>104</v>
      </c>
      <c r="B341" s="6">
        <v>44849</v>
      </c>
      <c r="C341" s="7">
        <v>0.4</v>
      </c>
      <c r="D341" s="9">
        <v>14.5</v>
      </c>
      <c r="E341" s="5">
        <v>1070.3</v>
      </c>
      <c r="F341" s="5">
        <v>1084.8</v>
      </c>
      <c r="G341" s="6">
        <v>44849</v>
      </c>
      <c r="H341" s="5"/>
      <c r="I341" s="5"/>
      <c r="J341" s="5">
        <f t="shared" si="41"/>
        <v>14.5</v>
      </c>
      <c r="K341" s="8" t="b">
        <f t="shared" si="38"/>
        <v>1</v>
      </c>
    </row>
    <row r="342" spans="1:11">
      <c r="A342" s="5">
        <v>104</v>
      </c>
      <c r="B342" s="6">
        <v>44850</v>
      </c>
      <c r="C342" s="7">
        <v>0.4</v>
      </c>
      <c r="D342" s="9">
        <v>14.5</v>
      </c>
      <c r="E342" s="5">
        <v>1084.8</v>
      </c>
      <c r="F342" s="5">
        <v>1100</v>
      </c>
      <c r="G342" s="6">
        <v>44850</v>
      </c>
      <c r="H342" s="5"/>
      <c r="I342" s="5"/>
      <c r="J342" s="5">
        <f t="shared" si="41"/>
        <v>15.200000000000045</v>
      </c>
      <c r="K342" s="8" t="b">
        <f t="shared" si="38"/>
        <v>1</v>
      </c>
    </row>
    <row r="343" spans="1:11">
      <c r="A343" s="5">
        <v>104</v>
      </c>
      <c r="B343" s="6">
        <v>44853</v>
      </c>
      <c r="C343" s="7">
        <v>0.4</v>
      </c>
      <c r="D343" s="9">
        <v>14.5</v>
      </c>
      <c r="E343" s="5">
        <v>144</v>
      </c>
      <c r="F343" s="5">
        <v>159.80000000000001</v>
      </c>
      <c r="G343" s="6">
        <v>44853</v>
      </c>
      <c r="H343" s="5"/>
      <c r="I343" s="5"/>
      <c r="J343" s="5">
        <f t="shared" si="41"/>
        <v>15.800000000000011</v>
      </c>
      <c r="K343" s="8" t="b">
        <f t="shared" si="38"/>
        <v>0</v>
      </c>
    </row>
    <row r="344" spans="1:11">
      <c r="A344" s="5">
        <v>104</v>
      </c>
      <c r="B344" s="6">
        <v>44854</v>
      </c>
      <c r="C344" s="7">
        <v>0.4</v>
      </c>
      <c r="D344" s="9">
        <v>14.5</v>
      </c>
      <c r="E344" s="5">
        <v>159.80000000000001</v>
      </c>
      <c r="F344" s="5">
        <v>174.8</v>
      </c>
      <c r="G344" s="6">
        <v>44854</v>
      </c>
      <c r="H344" s="5"/>
      <c r="I344" s="5"/>
      <c r="J344" s="5">
        <f t="shared" ref="J344:J356" si="42">F344-E344</f>
        <v>15</v>
      </c>
      <c r="K344" s="8" t="b">
        <f t="shared" si="38"/>
        <v>1</v>
      </c>
    </row>
    <row r="345" spans="1:11">
      <c r="A345" s="5">
        <v>104</v>
      </c>
      <c r="B345" s="6">
        <v>44856</v>
      </c>
      <c r="C345" s="7">
        <v>0.4</v>
      </c>
      <c r="D345" s="9">
        <v>14.5</v>
      </c>
      <c r="E345" s="5">
        <v>174.8</v>
      </c>
      <c r="F345" s="5">
        <v>188.2</v>
      </c>
      <c r="G345" s="6">
        <v>44856</v>
      </c>
      <c r="H345" s="5"/>
      <c r="I345" s="5"/>
      <c r="J345" s="5">
        <f t="shared" si="42"/>
        <v>13.399999999999977</v>
      </c>
      <c r="K345" s="8" t="b">
        <f t="shared" ref="K345:K356" si="43">E345=F344</f>
        <v>1</v>
      </c>
    </row>
    <row r="346" spans="1:11">
      <c r="A346" s="5">
        <v>104</v>
      </c>
      <c r="B346" s="6">
        <v>44857</v>
      </c>
      <c r="C346" s="7">
        <v>0.4</v>
      </c>
      <c r="D346" s="9">
        <v>14.5</v>
      </c>
      <c r="E346" s="5">
        <v>188.2</v>
      </c>
      <c r="F346" s="5">
        <v>203.2</v>
      </c>
      <c r="G346" s="6">
        <v>44857</v>
      </c>
      <c r="H346" s="5"/>
      <c r="I346" s="5"/>
      <c r="J346" s="5">
        <f t="shared" si="42"/>
        <v>15</v>
      </c>
      <c r="K346" s="8" t="b">
        <f t="shared" si="43"/>
        <v>1</v>
      </c>
    </row>
    <row r="347" spans="1:11">
      <c r="A347" s="5">
        <v>104</v>
      </c>
      <c r="B347" s="6">
        <v>44862</v>
      </c>
      <c r="C347" s="7">
        <v>0.4</v>
      </c>
      <c r="D347" s="9">
        <v>14.5</v>
      </c>
      <c r="E347" s="5">
        <v>203.6</v>
      </c>
      <c r="F347" s="5">
        <v>218.2</v>
      </c>
      <c r="G347" s="6">
        <v>44862</v>
      </c>
      <c r="H347" s="5"/>
      <c r="I347" s="5"/>
      <c r="J347" s="5">
        <f t="shared" si="42"/>
        <v>14.599999999999994</v>
      </c>
      <c r="K347" s="8" t="b">
        <f t="shared" si="43"/>
        <v>0</v>
      </c>
    </row>
    <row r="348" spans="1:11">
      <c r="A348" s="5">
        <v>104</v>
      </c>
      <c r="B348" s="6">
        <v>44863</v>
      </c>
      <c r="C348" s="7">
        <v>0.4</v>
      </c>
      <c r="D348" s="9">
        <v>14.5</v>
      </c>
      <c r="E348" s="5">
        <v>218.2</v>
      </c>
      <c r="F348" s="5">
        <v>233.2</v>
      </c>
      <c r="G348" s="6">
        <v>44863</v>
      </c>
      <c r="H348" s="5"/>
      <c r="I348" s="5"/>
      <c r="J348" s="5">
        <f t="shared" si="42"/>
        <v>15</v>
      </c>
      <c r="K348" s="8" t="b">
        <f t="shared" si="43"/>
        <v>1</v>
      </c>
    </row>
    <row r="349" spans="1:11">
      <c r="A349" s="5">
        <v>104</v>
      </c>
      <c r="B349" s="6">
        <v>44865</v>
      </c>
      <c r="C349" s="7">
        <v>0.4</v>
      </c>
      <c r="D349" s="9">
        <v>14.5</v>
      </c>
      <c r="E349" s="5">
        <v>233.2</v>
      </c>
      <c r="F349" s="5">
        <v>240.7</v>
      </c>
      <c r="G349" s="6">
        <v>44865</v>
      </c>
      <c r="H349" s="5"/>
      <c r="I349" s="5"/>
      <c r="J349" s="5">
        <f t="shared" si="42"/>
        <v>7.5</v>
      </c>
      <c r="K349" s="8" t="b">
        <f t="shared" si="43"/>
        <v>1</v>
      </c>
    </row>
    <row r="350" spans="1:11">
      <c r="A350" s="5">
        <v>104</v>
      </c>
      <c r="B350" s="6">
        <v>44872</v>
      </c>
      <c r="C350" s="7">
        <v>0.7</v>
      </c>
      <c r="D350" s="9">
        <v>8.2899999999999991</v>
      </c>
      <c r="E350" s="5">
        <v>240.7</v>
      </c>
      <c r="F350" s="5">
        <v>257.2</v>
      </c>
      <c r="G350" s="6">
        <v>44872</v>
      </c>
      <c r="H350" s="5"/>
      <c r="I350" s="5"/>
      <c r="J350" s="5">
        <f t="shared" si="42"/>
        <v>16.5</v>
      </c>
      <c r="K350" s="8" t="b">
        <f t="shared" si="43"/>
        <v>1</v>
      </c>
    </row>
    <row r="351" spans="1:11">
      <c r="A351" s="5">
        <v>104</v>
      </c>
      <c r="B351" s="6">
        <v>44903</v>
      </c>
      <c r="C351" s="7">
        <v>0.4</v>
      </c>
      <c r="D351" s="9">
        <v>14.5</v>
      </c>
      <c r="E351" s="5">
        <v>257.2</v>
      </c>
      <c r="F351" s="5">
        <v>270.39999999999998</v>
      </c>
      <c r="G351" s="6">
        <v>44873</v>
      </c>
      <c r="H351" s="5"/>
      <c r="I351" s="5"/>
      <c r="J351" s="5">
        <f t="shared" si="42"/>
        <v>13.199999999999989</v>
      </c>
      <c r="K351" s="8" t="b">
        <f t="shared" si="43"/>
        <v>1</v>
      </c>
    </row>
    <row r="352" spans="1:11">
      <c r="A352" s="5">
        <v>104</v>
      </c>
      <c r="B352" s="6">
        <v>44874</v>
      </c>
      <c r="C352" s="7">
        <v>0.5</v>
      </c>
      <c r="D352" s="9">
        <v>11.6</v>
      </c>
      <c r="E352" s="5">
        <v>270.39999999999998</v>
      </c>
      <c r="F352" s="5">
        <v>282.8</v>
      </c>
      <c r="G352" s="6">
        <v>44874</v>
      </c>
      <c r="H352" s="5"/>
      <c r="I352" s="5"/>
      <c r="J352" s="5">
        <f t="shared" si="42"/>
        <v>12.400000000000034</v>
      </c>
      <c r="K352" s="8" t="b">
        <f t="shared" si="43"/>
        <v>1</v>
      </c>
    </row>
    <row r="353" spans="1:11">
      <c r="A353" s="5">
        <v>104</v>
      </c>
      <c r="B353" s="6">
        <v>44875</v>
      </c>
      <c r="C353" s="7">
        <v>0.5</v>
      </c>
      <c r="D353" s="9">
        <v>11.6</v>
      </c>
      <c r="E353" s="5">
        <v>282.8</v>
      </c>
      <c r="F353" s="5">
        <v>293.5</v>
      </c>
      <c r="G353" s="6">
        <v>44875</v>
      </c>
      <c r="H353" s="5"/>
      <c r="I353" s="5"/>
      <c r="J353" s="5">
        <f t="shared" si="42"/>
        <v>10.699999999999989</v>
      </c>
      <c r="K353" s="8" t="b">
        <f t="shared" si="43"/>
        <v>1</v>
      </c>
    </row>
    <row r="354" spans="1:11">
      <c r="A354" s="5">
        <v>104</v>
      </c>
      <c r="B354" s="6">
        <v>44876</v>
      </c>
      <c r="C354" s="7">
        <v>0.5</v>
      </c>
      <c r="D354" s="9">
        <v>11.6</v>
      </c>
      <c r="E354" s="5">
        <v>293.5</v>
      </c>
      <c r="F354" s="5">
        <v>305.7</v>
      </c>
      <c r="G354" s="6">
        <v>44876</v>
      </c>
      <c r="H354" s="5"/>
      <c r="I354" s="5"/>
      <c r="J354" s="5">
        <f t="shared" si="42"/>
        <v>12.199999999999989</v>
      </c>
      <c r="K354" s="8" t="b">
        <f t="shared" si="43"/>
        <v>1</v>
      </c>
    </row>
    <row r="355" spans="1:11">
      <c r="A355" s="5">
        <v>104</v>
      </c>
      <c r="B355" s="6"/>
      <c r="C355" s="7"/>
      <c r="D355" s="9"/>
      <c r="E355" s="5"/>
      <c r="F355" s="5"/>
      <c r="G355" s="6"/>
      <c r="H355" s="5"/>
      <c r="I355" s="5"/>
      <c r="J355" s="5">
        <f t="shared" si="42"/>
        <v>0</v>
      </c>
      <c r="K355" s="8" t="b">
        <f t="shared" si="43"/>
        <v>0</v>
      </c>
    </row>
    <row r="356" spans="1:11">
      <c r="A356" s="5">
        <v>104</v>
      </c>
      <c r="B356" s="6"/>
      <c r="C356" s="7"/>
      <c r="D356" s="9"/>
      <c r="E356" s="5"/>
      <c r="F356" s="5"/>
      <c r="G356" s="6"/>
      <c r="H356" s="5"/>
      <c r="I356" s="5"/>
      <c r="J356" s="5">
        <f t="shared" si="42"/>
        <v>0</v>
      </c>
      <c r="K356" s="8" t="b">
        <f t="shared" si="43"/>
        <v>1</v>
      </c>
    </row>
    <row r="359" spans="1:11" ht="26.25">
      <c r="A359" s="171" t="s">
        <v>55</v>
      </c>
      <c r="B359" s="172"/>
      <c r="C359" s="172"/>
      <c r="D359" s="172"/>
      <c r="E359" s="172"/>
      <c r="F359" s="172"/>
      <c r="G359" s="172"/>
      <c r="H359" s="172"/>
      <c r="I359" s="172"/>
      <c r="J359" s="172"/>
      <c r="K359" s="173"/>
    </row>
    <row r="360" spans="1:11" ht="26.25">
      <c r="A360" s="171" t="s">
        <v>17</v>
      </c>
      <c r="B360" s="172"/>
      <c r="C360" s="172"/>
      <c r="D360" s="172"/>
      <c r="E360" s="172"/>
      <c r="F360" s="172"/>
      <c r="G360" s="172"/>
      <c r="H360" s="172"/>
      <c r="I360" s="172"/>
      <c r="J360" s="172"/>
      <c r="K360" s="173"/>
    </row>
    <row r="361" spans="1:11" ht="15.75" thickBot="1"/>
    <row r="362" spans="1:11" ht="15.75" thickBot="1">
      <c r="A362" s="132" t="s">
        <v>2</v>
      </c>
      <c r="B362" s="133"/>
      <c r="C362" s="133"/>
      <c r="D362" s="133"/>
      <c r="E362" s="133"/>
      <c r="F362" s="133"/>
      <c r="G362" s="133"/>
      <c r="H362" s="133"/>
      <c r="I362" s="133"/>
      <c r="J362" s="133"/>
      <c r="K362" s="134"/>
    </row>
    <row r="364" spans="1:11" ht="19.5" thickBot="1">
      <c r="A364" s="1" t="s">
        <v>3</v>
      </c>
      <c r="B364" s="1"/>
      <c r="C364" s="1"/>
      <c r="D364" s="1"/>
      <c r="E364" s="1"/>
      <c r="F364" s="1"/>
      <c r="G364" s="1"/>
      <c r="H364" s="1"/>
      <c r="I364" s="1"/>
    </row>
    <row r="365" spans="1:11" ht="30.75" thickBot="1">
      <c r="A365" s="2" t="s">
        <v>4</v>
      </c>
      <c r="B365" s="3" t="s">
        <v>5</v>
      </c>
      <c r="C365" s="3" t="s">
        <v>6</v>
      </c>
      <c r="D365" s="3" t="s">
        <v>7</v>
      </c>
      <c r="E365" s="3" t="s">
        <v>8</v>
      </c>
      <c r="F365" s="3" t="s">
        <v>9</v>
      </c>
      <c r="G365" s="3" t="s">
        <v>10</v>
      </c>
      <c r="H365" s="3" t="s">
        <v>21</v>
      </c>
      <c r="I365" s="4" t="s">
        <v>22</v>
      </c>
      <c r="J365" s="4" t="s">
        <v>11</v>
      </c>
      <c r="K365" s="4" t="s">
        <v>12</v>
      </c>
    </row>
    <row r="366" spans="1:11">
      <c r="A366" s="5">
        <v>104</v>
      </c>
      <c r="B366" s="6">
        <v>44890</v>
      </c>
      <c r="C366" s="7">
        <v>1</v>
      </c>
      <c r="D366" s="9">
        <v>5.8</v>
      </c>
      <c r="E366" s="5">
        <v>305.7</v>
      </c>
      <c r="F366" s="5">
        <v>316.2</v>
      </c>
      <c r="G366" s="6">
        <v>44586</v>
      </c>
      <c r="H366" s="5"/>
      <c r="I366" s="5"/>
      <c r="J366" s="5">
        <f t="shared" ref="J366:J371" si="44">F366-E366</f>
        <v>10.5</v>
      </c>
      <c r="K366" s="8" t="b">
        <f>E366=F354</f>
        <v>1</v>
      </c>
    </row>
    <row r="367" spans="1:11">
      <c r="A367" s="25">
        <v>104</v>
      </c>
      <c r="B367" s="26">
        <v>44923</v>
      </c>
      <c r="C367" s="27">
        <v>1</v>
      </c>
      <c r="D367" s="34">
        <v>5.8</v>
      </c>
      <c r="E367" s="25">
        <v>0</v>
      </c>
      <c r="F367" s="25">
        <v>12</v>
      </c>
      <c r="G367" s="26">
        <v>44923</v>
      </c>
      <c r="H367" s="25"/>
      <c r="I367" s="25"/>
      <c r="J367" s="25">
        <f t="shared" si="44"/>
        <v>12</v>
      </c>
      <c r="K367" s="8" t="b">
        <f>E367=F366</f>
        <v>0</v>
      </c>
    </row>
    <row r="368" spans="1:11">
      <c r="A368" s="5">
        <v>104</v>
      </c>
      <c r="B368" s="6">
        <v>44950</v>
      </c>
      <c r="C368" s="7">
        <v>1</v>
      </c>
      <c r="D368" s="9">
        <v>5.8</v>
      </c>
      <c r="E368" s="5">
        <v>12</v>
      </c>
      <c r="F368" s="5">
        <v>23.9</v>
      </c>
      <c r="G368" s="6">
        <v>44950</v>
      </c>
      <c r="H368" s="5"/>
      <c r="I368" s="5"/>
      <c r="J368" s="5">
        <f t="shared" si="44"/>
        <v>11.899999999999999</v>
      </c>
      <c r="K368" s="8" t="b">
        <f>E368=F367</f>
        <v>1</v>
      </c>
    </row>
    <row r="369" spans="1:11">
      <c r="A369" s="5">
        <v>104</v>
      </c>
      <c r="B369" s="6">
        <v>44958</v>
      </c>
      <c r="C369" s="7">
        <v>0.7</v>
      </c>
      <c r="D369" s="9">
        <v>8.2899999999999991</v>
      </c>
      <c r="E369" s="5">
        <v>23.9</v>
      </c>
      <c r="F369" s="5">
        <v>40</v>
      </c>
      <c r="G369" s="6">
        <v>44958</v>
      </c>
      <c r="H369" s="5"/>
      <c r="I369" s="5"/>
      <c r="J369" s="5">
        <f t="shared" si="44"/>
        <v>16.100000000000001</v>
      </c>
      <c r="K369" s="8" t="b">
        <f>E369=F368</f>
        <v>1</v>
      </c>
    </row>
    <row r="370" spans="1:11">
      <c r="A370" s="5">
        <v>104</v>
      </c>
      <c r="B370" s="6">
        <v>44961</v>
      </c>
      <c r="C370" s="7">
        <v>0.7</v>
      </c>
      <c r="D370" s="9">
        <v>8.2899999999999991</v>
      </c>
      <c r="E370" s="5">
        <v>40</v>
      </c>
      <c r="F370" s="5">
        <v>56.3</v>
      </c>
      <c r="G370" s="6">
        <v>44961</v>
      </c>
      <c r="H370" s="5"/>
      <c r="I370" s="5"/>
      <c r="J370" s="5">
        <f t="shared" si="44"/>
        <v>16.299999999999997</v>
      </c>
      <c r="K370" s="8" t="b">
        <f>E370=F369</f>
        <v>1</v>
      </c>
    </row>
    <row r="371" spans="1:11">
      <c r="A371" s="5">
        <v>104</v>
      </c>
      <c r="B371" s="6">
        <v>44965</v>
      </c>
      <c r="C371" s="7">
        <v>0.7</v>
      </c>
      <c r="D371" s="9">
        <v>8.2899999999999991</v>
      </c>
      <c r="E371" s="5">
        <v>56.3</v>
      </c>
      <c r="F371" s="5">
        <v>72.5</v>
      </c>
      <c r="G371" s="6">
        <v>44965</v>
      </c>
      <c r="H371" s="5"/>
      <c r="I371" s="5"/>
      <c r="J371" s="5">
        <f t="shared" si="44"/>
        <v>16.200000000000003</v>
      </c>
      <c r="K371" s="8" t="b">
        <f>E371=F370</f>
        <v>1</v>
      </c>
    </row>
    <row r="372" spans="1:11">
      <c r="A372" s="5">
        <v>104</v>
      </c>
      <c r="B372" s="6">
        <v>44967</v>
      </c>
      <c r="C372" s="7">
        <v>0.7</v>
      </c>
      <c r="D372" s="9">
        <v>8.2899999999999991</v>
      </c>
      <c r="E372" s="5">
        <v>72.5</v>
      </c>
      <c r="F372" s="5">
        <v>89.5</v>
      </c>
      <c r="G372" s="6">
        <v>44967</v>
      </c>
      <c r="H372" s="5"/>
      <c r="I372" s="5"/>
      <c r="J372" s="5">
        <f t="shared" ref="J372:J379" si="45">F372-E372</f>
        <v>17</v>
      </c>
      <c r="K372" s="8" t="b">
        <f t="shared" ref="K372:K379" si="46">E372=F371</f>
        <v>1</v>
      </c>
    </row>
    <row r="373" spans="1:11">
      <c r="A373" s="5">
        <v>104</v>
      </c>
      <c r="B373" s="6">
        <v>44971</v>
      </c>
      <c r="C373" s="7">
        <v>0.7</v>
      </c>
      <c r="D373" s="9">
        <v>8.2899999999999991</v>
      </c>
      <c r="E373" s="5">
        <v>89.5</v>
      </c>
      <c r="F373" s="5">
        <v>105.2</v>
      </c>
      <c r="G373" s="6">
        <v>44971</v>
      </c>
      <c r="H373" s="5"/>
      <c r="I373" s="5"/>
      <c r="J373" s="5">
        <f t="shared" si="45"/>
        <v>15.700000000000003</v>
      </c>
      <c r="K373" s="8" t="b">
        <f t="shared" si="46"/>
        <v>1</v>
      </c>
    </row>
    <row r="374" spans="1:11">
      <c r="A374" s="5">
        <v>104</v>
      </c>
      <c r="B374" s="6">
        <v>44974</v>
      </c>
      <c r="C374" s="7">
        <v>0.7</v>
      </c>
      <c r="D374" s="9">
        <v>8.2899999999999991</v>
      </c>
      <c r="E374" s="5">
        <v>105.2</v>
      </c>
      <c r="F374" s="5">
        <v>121.8</v>
      </c>
      <c r="G374" s="6">
        <v>44974</v>
      </c>
      <c r="H374" s="5"/>
      <c r="I374" s="5"/>
      <c r="J374" s="5">
        <f t="shared" si="45"/>
        <v>16.599999999999994</v>
      </c>
      <c r="K374" s="8" t="b">
        <f t="shared" si="46"/>
        <v>1</v>
      </c>
    </row>
    <row r="375" spans="1:11">
      <c r="A375" s="5">
        <v>104</v>
      </c>
      <c r="B375" s="6">
        <v>44977</v>
      </c>
      <c r="C375" s="7">
        <v>0.7</v>
      </c>
      <c r="D375" s="9">
        <v>8.2899999999999991</v>
      </c>
      <c r="E375" s="5">
        <v>121.8</v>
      </c>
      <c r="F375" s="5">
        <v>138.1</v>
      </c>
      <c r="G375" s="6">
        <v>44977</v>
      </c>
      <c r="H375" s="5"/>
      <c r="I375" s="5"/>
      <c r="J375" s="5">
        <f t="shared" si="45"/>
        <v>16.299999999999997</v>
      </c>
      <c r="K375" s="8" t="b">
        <f t="shared" si="46"/>
        <v>1</v>
      </c>
    </row>
    <row r="376" spans="1:11">
      <c r="A376" s="5">
        <v>104</v>
      </c>
      <c r="B376" s="6">
        <v>44980</v>
      </c>
      <c r="C376" s="7">
        <v>0.7</v>
      </c>
      <c r="D376" s="9">
        <v>8.2899999999999991</v>
      </c>
      <c r="E376" s="5">
        <v>138.1</v>
      </c>
      <c r="F376" s="5">
        <v>155.1</v>
      </c>
      <c r="G376" s="6">
        <v>44980</v>
      </c>
      <c r="H376" s="5"/>
      <c r="I376" s="5"/>
      <c r="J376" s="5">
        <f t="shared" si="45"/>
        <v>17</v>
      </c>
      <c r="K376" s="8" t="b">
        <f t="shared" si="46"/>
        <v>1</v>
      </c>
    </row>
    <row r="377" spans="1:11">
      <c r="A377" s="5">
        <v>104</v>
      </c>
      <c r="B377" s="6">
        <v>44985</v>
      </c>
      <c r="C377" s="7">
        <v>0.6</v>
      </c>
      <c r="D377" s="9">
        <v>9.67</v>
      </c>
      <c r="E377" s="5">
        <v>155.1</v>
      </c>
      <c r="F377" s="5">
        <v>175.2</v>
      </c>
      <c r="G377" s="6">
        <v>44985</v>
      </c>
      <c r="H377" s="5"/>
      <c r="I377" s="5"/>
      <c r="J377" s="5">
        <f t="shared" si="45"/>
        <v>20.099999999999994</v>
      </c>
      <c r="K377" s="8" t="b">
        <f t="shared" si="46"/>
        <v>1</v>
      </c>
    </row>
    <row r="378" spans="1:11">
      <c r="A378" s="5">
        <v>104</v>
      </c>
      <c r="B378" s="6">
        <v>44989</v>
      </c>
      <c r="C378" s="7">
        <v>0.6</v>
      </c>
      <c r="D378" s="9">
        <v>9.67</v>
      </c>
      <c r="E378" s="5">
        <v>175.2</v>
      </c>
      <c r="F378" s="5">
        <v>194.5</v>
      </c>
      <c r="G378" s="6">
        <v>44989</v>
      </c>
      <c r="H378" s="5"/>
      <c r="I378" s="5"/>
      <c r="J378" s="5">
        <f t="shared" si="45"/>
        <v>19.300000000000011</v>
      </c>
      <c r="K378" s="8" t="b">
        <f t="shared" si="46"/>
        <v>1</v>
      </c>
    </row>
    <row r="379" spans="1:11">
      <c r="A379" s="5">
        <v>104</v>
      </c>
      <c r="B379" s="6">
        <v>44994</v>
      </c>
      <c r="C379" s="7">
        <v>0.6</v>
      </c>
      <c r="D379" s="9">
        <v>9.67</v>
      </c>
      <c r="E379" s="5">
        <v>194.5</v>
      </c>
      <c r="F379" s="5">
        <v>213.4</v>
      </c>
      <c r="G379" s="6">
        <v>44994</v>
      </c>
      <c r="H379" s="5"/>
      <c r="I379" s="5"/>
      <c r="J379" s="5">
        <f t="shared" si="45"/>
        <v>18.900000000000006</v>
      </c>
      <c r="K379" s="8" t="b">
        <f t="shared" si="46"/>
        <v>1</v>
      </c>
    </row>
    <row r="380" spans="1:11">
      <c r="A380" s="5">
        <v>104</v>
      </c>
      <c r="B380" s="6">
        <v>44997</v>
      </c>
      <c r="C380" s="7">
        <v>0.6</v>
      </c>
      <c r="D380" s="9">
        <v>9.67</v>
      </c>
      <c r="E380" s="5">
        <v>213.4</v>
      </c>
      <c r="F380" s="5">
        <v>232.5</v>
      </c>
      <c r="G380" s="6">
        <v>44997</v>
      </c>
      <c r="H380" s="5"/>
      <c r="I380" s="5"/>
      <c r="J380" s="5">
        <f t="shared" ref="J380:J392" si="47">F380-E380</f>
        <v>19.099999999999994</v>
      </c>
      <c r="K380" s="8" t="b">
        <f t="shared" ref="K380:K392" si="48">E380=F379</f>
        <v>1</v>
      </c>
    </row>
    <row r="381" spans="1:11">
      <c r="A381" s="5">
        <v>104</v>
      </c>
      <c r="B381" s="6">
        <v>44999</v>
      </c>
      <c r="C381" s="7">
        <v>0.6</v>
      </c>
      <c r="D381" s="9">
        <v>9.67</v>
      </c>
      <c r="E381" s="5">
        <v>232.5</v>
      </c>
      <c r="F381" s="5">
        <v>251.5</v>
      </c>
      <c r="G381" s="6">
        <v>44999</v>
      </c>
      <c r="H381" s="5"/>
      <c r="I381" s="5"/>
      <c r="J381" s="5">
        <f t="shared" si="47"/>
        <v>19</v>
      </c>
      <c r="K381" s="8" t="b">
        <f t="shared" si="48"/>
        <v>1</v>
      </c>
    </row>
    <row r="382" spans="1:11">
      <c r="A382" s="5">
        <v>104</v>
      </c>
      <c r="B382" s="6">
        <v>45003</v>
      </c>
      <c r="C382" s="7">
        <v>0.6</v>
      </c>
      <c r="D382" s="9">
        <v>9.67</v>
      </c>
      <c r="E382" s="5">
        <v>251.5</v>
      </c>
      <c r="F382" s="5">
        <v>270.89999999999998</v>
      </c>
      <c r="G382" s="6">
        <v>45003</v>
      </c>
      <c r="H382" s="5"/>
      <c r="I382" s="5"/>
      <c r="J382" s="5">
        <f t="shared" si="47"/>
        <v>19.399999999999977</v>
      </c>
      <c r="K382" s="8" t="b">
        <f t="shared" si="48"/>
        <v>1</v>
      </c>
    </row>
    <row r="383" spans="1:11">
      <c r="A383" s="5">
        <v>104</v>
      </c>
      <c r="B383" s="6">
        <v>45007</v>
      </c>
      <c r="C383" s="7">
        <v>0.6</v>
      </c>
      <c r="D383" s="9">
        <v>9.67</v>
      </c>
      <c r="E383" s="5">
        <v>270.89999999999998</v>
      </c>
      <c r="F383" s="5">
        <v>288.8</v>
      </c>
      <c r="G383" s="6">
        <v>45007</v>
      </c>
      <c r="H383" s="5"/>
      <c r="I383" s="5"/>
      <c r="J383" s="5">
        <f t="shared" si="47"/>
        <v>17.900000000000034</v>
      </c>
      <c r="K383" s="8" t="b">
        <f t="shared" si="48"/>
        <v>1</v>
      </c>
    </row>
    <row r="384" spans="1:11">
      <c r="A384" s="5">
        <v>104</v>
      </c>
      <c r="B384" s="6">
        <v>45010</v>
      </c>
      <c r="C384" s="7">
        <v>0.6</v>
      </c>
      <c r="D384" s="9">
        <v>9.67</v>
      </c>
      <c r="E384" s="5">
        <v>288.8</v>
      </c>
      <c r="F384" s="5">
        <v>308.89999999999998</v>
      </c>
      <c r="G384" s="6">
        <v>45010</v>
      </c>
      <c r="H384" s="5"/>
      <c r="I384" s="5"/>
      <c r="J384" s="5">
        <f t="shared" si="47"/>
        <v>20.099999999999966</v>
      </c>
      <c r="K384" s="8" t="b">
        <f t="shared" si="48"/>
        <v>1</v>
      </c>
    </row>
    <row r="385" spans="1:11">
      <c r="A385" s="5">
        <v>104</v>
      </c>
      <c r="B385" s="6">
        <v>45013</v>
      </c>
      <c r="C385" s="7">
        <v>0.6</v>
      </c>
      <c r="D385" s="9">
        <v>9.67</v>
      </c>
      <c r="E385" s="5">
        <v>308.89999999999998</v>
      </c>
      <c r="F385" s="5">
        <v>328</v>
      </c>
      <c r="G385" s="6">
        <v>45013</v>
      </c>
      <c r="H385" s="5"/>
      <c r="I385" s="5"/>
      <c r="J385" s="5">
        <f t="shared" si="47"/>
        <v>19.100000000000023</v>
      </c>
      <c r="K385" s="8" t="b">
        <f t="shared" si="48"/>
        <v>1</v>
      </c>
    </row>
    <row r="386" spans="1:11">
      <c r="A386" s="5">
        <v>104</v>
      </c>
      <c r="B386" s="6">
        <v>45016</v>
      </c>
      <c r="C386" s="7">
        <v>0.6</v>
      </c>
      <c r="D386" s="9">
        <v>9.67</v>
      </c>
      <c r="E386" s="5">
        <v>328</v>
      </c>
      <c r="F386" s="5">
        <v>347.2</v>
      </c>
      <c r="G386" s="6">
        <v>45016</v>
      </c>
      <c r="H386" s="5"/>
      <c r="I386" s="5"/>
      <c r="J386" s="5">
        <f t="shared" si="47"/>
        <v>19.199999999999989</v>
      </c>
      <c r="K386" s="8" t="b">
        <f t="shared" si="48"/>
        <v>1</v>
      </c>
    </row>
    <row r="387" spans="1:11">
      <c r="A387" s="5">
        <v>104</v>
      </c>
      <c r="B387" s="6">
        <v>45021</v>
      </c>
      <c r="C387" s="7">
        <v>0.7</v>
      </c>
      <c r="D387" s="9">
        <v>8.2899999999999991</v>
      </c>
      <c r="E387" s="5">
        <v>347.2</v>
      </c>
      <c r="F387" s="5">
        <v>363</v>
      </c>
      <c r="G387" s="6">
        <v>45021</v>
      </c>
      <c r="H387" s="5"/>
      <c r="I387" s="5"/>
      <c r="J387" s="5">
        <f t="shared" si="47"/>
        <v>15.800000000000011</v>
      </c>
      <c r="K387" s="8" t="b">
        <f t="shared" si="48"/>
        <v>1</v>
      </c>
    </row>
    <row r="388" spans="1:11">
      <c r="A388" s="5">
        <v>104</v>
      </c>
      <c r="B388" s="6">
        <v>45024</v>
      </c>
      <c r="C388" s="7">
        <v>0.6</v>
      </c>
      <c r="D388" s="9">
        <v>9.67</v>
      </c>
      <c r="E388" s="5">
        <v>363</v>
      </c>
      <c r="F388" s="5">
        <v>382.8</v>
      </c>
      <c r="G388" s="6">
        <v>45024</v>
      </c>
      <c r="H388" s="5"/>
      <c r="I388" s="5"/>
      <c r="J388" s="5">
        <f t="shared" si="47"/>
        <v>19.800000000000011</v>
      </c>
      <c r="K388" s="8" t="b">
        <f t="shared" si="48"/>
        <v>1</v>
      </c>
    </row>
    <row r="389" spans="1:11">
      <c r="A389" s="5">
        <v>104</v>
      </c>
      <c r="B389" s="6">
        <v>45029</v>
      </c>
      <c r="C389" s="7">
        <v>0.6</v>
      </c>
      <c r="D389" s="9">
        <v>9.67</v>
      </c>
      <c r="E389" s="5">
        <v>382.8</v>
      </c>
      <c r="F389" s="5">
        <v>402.3</v>
      </c>
      <c r="G389" s="6">
        <v>45029</v>
      </c>
      <c r="H389" s="5"/>
      <c r="I389" s="5"/>
      <c r="J389" s="5">
        <f t="shared" si="47"/>
        <v>19.5</v>
      </c>
      <c r="K389" s="8" t="b">
        <f t="shared" si="48"/>
        <v>1</v>
      </c>
    </row>
    <row r="390" spans="1:11">
      <c r="A390" s="5">
        <v>104</v>
      </c>
      <c r="B390" s="6">
        <v>45038</v>
      </c>
      <c r="C390" s="7">
        <v>0.6</v>
      </c>
      <c r="D390" s="9">
        <v>9.67</v>
      </c>
      <c r="E390" s="5">
        <v>402.3</v>
      </c>
      <c r="F390" s="5">
        <v>421.9</v>
      </c>
      <c r="G390" s="6">
        <v>45038</v>
      </c>
      <c r="H390" s="5"/>
      <c r="I390" s="5"/>
      <c r="J390" s="5">
        <f t="shared" si="47"/>
        <v>19.599999999999966</v>
      </c>
      <c r="K390" s="8" t="b">
        <f t="shared" si="48"/>
        <v>1</v>
      </c>
    </row>
    <row r="391" spans="1:11">
      <c r="A391" s="5">
        <v>104</v>
      </c>
      <c r="B391" s="6">
        <v>45043</v>
      </c>
      <c r="C391" s="7">
        <v>0.6</v>
      </c>
      <c r="D391" s="9">
        <v>9.67</v>
      </c>
      <c r="E391" s="5">
        <v>421.9</v>
      </c>
      <c r="F391" s="5">
        <v>442.2</v>
      </c>
      <c r="G391" s="6">
        <v>45043</v>
      </c>
      <c r="H391" s="5"/>
      <c r="I391" s="5"/>
      <c r="J391" s="5">
        <f t="shared" si="47"/>
        <v>20.300000000000011</v>
      </c>
      <c r="K391" s="8" t="b">
        <f t="shared" si="48"/>
        <v>1</v>
      </c>
    </row>
    <row r="392" spans="1:11">
      <c r="A392" s="5">
        <v>104</v>
      </c>
      <c r="B392" s="6"/>
      <c r="C392" s="7"/>
      <c r="D392" s="9"/>
      <c r="E392" s="5"/>
      <c r="F392" s="5"/>
      <c r="G392" s="6"/>
      <c r="H392" s="5"/>
      <c r="I392" s="5"/>
      <c r="J392" s="5">
        <f t="shared" si="47"/>
        <v>0</v>
      </c>
      <c r="K392" s="8" t="b">
        <f t="shared" si="48"/>
        <v>0</v>
      </c>
    </row>
    <row r="393" spans="1:11">
      <c r="A393" s="5">
        <v>104</v>
      </c>
      <c r="B393" s="6"/>
      <c r="C393" s="7"/>
      <c r="D393" s="9"/>
      <c r="E393" s="5"/>
      <c r="F393" s="5"/>
      <c r="G393" s="6"/>
      <c r="H393" s="5"/>
      <c r="I393" s="5"/>
      <c r="J393" s="5">
        <f t="shared" ref="J393" si="49">F393-E393</f>
        <v>0</v>
      </c>
      <c r="K393" s="8" t="b">
        <f t="shared" ref="K393" si="50">E393=F392</f>
        <v>1</v>
      </c>
    </row>
    <row r="395" spans="1:11" ht="26.25">
      <c r="A395" s="171" t="s">
        <v>55</v>
      </c>
      <c r="B395" s="172"/>
      <c r="C395" s="172"/>
      <c r="D395" s="172"/>
      <c r="E395" s="172"/>
      <c r="F395" s="172"/>
      <c r="G395" s="172"/>
      <c r="H395" s="172"/>
      <c r="I395" s="172"/>
      <c r="J395" s="172"/>
      <c r="K395" s="173"/>
    </row>
    <row r="396" spans="1:11" ht="26.25">
      <c r="A396" s="171" t="s">
        <v>18</v>
      </c>
      <c r="B396" s="172"/>
      <c r="C396" s="172"/>
      <c r="D396" s="172"/>
      <c r="E396" s="172"/>
      <c r="F396" s="172"/>
      <c r="G396" s="172"/>
      <c r="H396" s="172"/>
      <c r="I396" s="172"/>
      <c r="J396" s="172"/>
      <c r="K396" s="173"/>
    </row>
    <row r="397" spans="1:11" ht="15.75" thickBot="1"/>
    <row r="398" spans="1:11" ht="15.75" thickBot="1">
      <c r="A398" s="132" t="s">
        <v>2</v>
      </c>
      <c r="B398" s="133"/>
      <c r="C398" s="133"/>
      <c r="D398" s="133"/>
      <c r="E398" s="133"/>
      <c r="F398" s="133"/>
      <c r="G398" s="133"/>
      <c r="H398" s="133"/>
      <c r="I398" s="133"/>
      <c r="J398" s="133"/>
      <c r="K398" s="134"/>
    </row>
    <row r="400" spans="1:11" ht="19.5" thickBot="1">
      <c r="A400" s="1" t="s">
        <v>3</v>
      </c>
      <c r="B400" s="1"/>
      <c r="C400" s="1"/>
      <c r="D400" s="1"/>
      <c r="E400" s="1"/>
      <c r="F400" s="1"/>
      <c r="G400" s="1"/>
      <c r="H400" s="1"/>
      <c r="I400" s="1"/>
    </row>
    <row r="401" spans="1:11" ht="30.75" thickBot="1">
      <c r="A401" s="2" t="s">
        <v>4</v>
      </c>
      <c r="B401" s="3" t="s">
        <v>5</v>
      </c>
      <c r="C401" s="3" t="s">
        <v>6</v>
      </c>
      <c r="D401" s="3" t="s">
        <v>7</v>
      </c>
      <c r="E401" s="3" t="s">
        <v>8</v>
      </c>
      <c r="F401" s="3" t="s">
        <v>9</v>
      </c>
      <c r="G401" s="3" t="s">
        <v>10</v>
      </c>
      <c r="H401" s="3" t="s">
        <v>21</v>
      </c>
      <c r="I401" s="4" t="s">
        <v>22</v>
      </c>
      <c r="J401" s="4" t="s">
        <v>11</v>
      </c>
      <c r="K401" s="4" t="s">
        <v>12</v>
      </c>
    </row>
    <row r="402" spans="1:11">
      <c r="A402" s="5">
        <v>104</v>
      </c>
      <c r="B402" s="6">
        <v>45087</v>
      </c>
      <c r="C402" s="7">
        <v>0.4</v>
      </c>
      <c r="D402" s="9">
        <v>14.5</v>
      </c>
      <c r="E402" s="5">
        <v>0.1</v>
      </c>
      <c r="F402" s="5">
        <v>26.2</v>
      </c>
      <c r="G402" s="6">
        <v>45087</v>
      </c>
      <c r="H402" s="5"/>
      <c r="I402" s="5"/>
      <c r="J402" s="5">
        <f t="shared" ref="J402:J405" si="51">F402-E402</f>
        <v>26.099999999999998</v>
      </c>
      <c r="K402" s="8" t="b">
        <f>E402=F391</f>
        <v>0</v>
      </c>
    </row>
    <row r="403" spans="1:11">
      <c r="A403" s="5">
        <v>104</v>
      </c>
      <c r="B403" s="6">
        <v>45108</v>
      </c>
      <c r="C403" s="7">
        <v>0.4</v>
      </c>
      <c r="D403" s="9">
        <v>14.5</v>
      </c>
      <c r="E403" s="5">
        <v>26.2</v>
      </c>
      <c r="F403" s="5">
        <v>70.400000000000006</v>
      </c>
      <c r="G403" s="6">
        <v>45108</v>
      </c>
      <c r="H403" s="5"/>
      <c r="I403" s="5"/>
      <c r="J403" s="5">
        <f t="shared" si="51"/>
        <v>44.2</v>
      </c>
      <c r="K403" s="8" t="b">
        <f>E403=F402</f>
        <v>1</v>
      </c>
    </row>
    <row r="404" spans="1:11">
      <c r="A404" s="5">
        <v>104</v>
      </c>
      <c r="B404" s="6">
        <v>45109</v>
      </c>
      <c r="C404" s="7">
        <v>0.4</v>
      </c>
      <c r="D404" s="9">
        <v>14.5</v>
      </c>
      <c r="E404" s="5">
        <v>70.400000000000006</v>
      </c>
      <c r="F404" s="5">
        <v>85.6</v>
      </c>
      <c r="G404" s="6">
        <v>45109</v>
      </c>
      <c r="H404" s="5"/>
      <c r="I404" s="5"/>
      <c r="J404" s="5">
        <f t="shared" si="51"/>
        <v>15.199999999999989</v>
      </c>
      <c r="K404" s="8" t="b">
        <f t="shared" ref="K404:K405" si="52">E404=F403</f>
        <v>1</v>
      </c>
    </row>
    <row r="405" spans="1:11">
      <c r="A405" s="5">
        <v>104</v>
      </c>
      <c r="B405" s="6">
        <v>45212</v>
      </c>
      <c r="C405" s="7">
        <v>0.7</v>
      </c>
      <c r="D405" s="9">
        <v>8.2899999999999991</v>
      </c>
      <c r="E405" s="5">
        <v>86</v>
      </c>
      <c r="F405" s="5">
        <v>102.7</v>
      </c>
      <c r="G405" s="6">
        <v>45212</v>
      </c>
      <c r="H405" s="5"/>
      <c r="I405" s="5"/>
      <c r="J405" s="5">
        <f t="shared" si="51"/>
        <v>16.700000000000003</v>
      </c>
      <c r="K405" s="8" t="b">
        <f t="shared" si="52"/>
        <v>0</v>
      </c>
    </row>
    <row r="406" spans="1:11">
      <c r="A406" s="5">
        <v>104</v>
      </c>
      <c r="B406" s="6">
        <v>45231</v>
      </c>
      <c r="C406" s="7">
        <v>0.55000000000000004</v>
      </c>
      <c r="D406" s="9">
        <v>9.3800000000000008</v>
      </c>
      <c r="E406" s="5">
        <v>102.7</v>
      </c>
      <c r="F406" s="5">
        <v>108.2</v>
      </c>
      <c r="G406" s="6">
        <v>45231</v>
      </c>
      <c r="H406" s="5"/>
      <c r="I406" s="5"/>
      <c r="J406" s="5">
        <f t="shared" ref="J406:J422" si="53">F406-E406</f>
        <v>5.5</v>
      </c>
      <c r="K406" s="8" t="b">
        <f t="shared" ref="K406:K422" si="54">E406=F405</f>
        <v>1</v>
      </c>
    </row>
    <row r="407" spans="1:11">
      <c r="A407" s="5">
        <v>104</v>
      </c>
      <c r="B407" s="6"/>
      <c r="C407" s="7"/>
      <c r="D407" s="9"/>
      <c r="E407" s="5"/>
      <c r="F407" s="5"/>
      <c r="G407" s="6"/>
      <c r="H407" s="5"/>
      <c r="I407" s="5"/>
      <c r="J407" s="5">
        <f t="shared" si="53"/>
        <v>0</v>
      </c>
      <c r="K407" s="8" t="b">
        <f t="shared" si="54"/>
        <v>0</v>
      </c>
    </row>
    <row r="408" spans="1:11">
      <c r="A408" s="5">
        <v>104</v>
      </c>
      <c r="B408" s="6"/>
      <c r="C408" s="7"/>
      <c r="D408" s="9"/>
      <c r="E408" s="5"/>
      <c r="F408" s="5"/>
      <c r="G408" s="6"/>
      <c r="H408" s="5"/>
      <c r="I408" s="5"/>
      <c r="J408" s="5">
        <f t="shared" si="53"/>
        <v>0</v>
      </c>
      <c r="K408" s="8" t="b">
        <f t="shared" si="54"/>
        <v>1</v>
      </c>
    </row>
    <row r="409" spans="1:11" ht="26.25">
      <c r="A409" s="171" t="s">
        <v>55</v>
      </c>
      <c r="B409" s="172"/>
      <c r="C409" s="172"/>
      <c r="D409" s="172"/>
      <c r="E409" s="172"/>
      <c r="F409" s="172"/>
      <c r="G409" s="172"/>
      <c r="H409" s="172"/>
      <c r="I409" s="172"/>
      <c r="J409" s="172"/>
      <c r="K409" s="173"/>
    </row>
    <row r="410" spans="1:11" ht="26.25">
      <c r="A410" s="171" t="s">
        <v>19</v>
      </c>
      <c r="B410" s="172"/>
      <c r="C410" s="172"/>
      <c r="D410" s="172"/>
      <c r="E410" s="172"/>
      <c r="F410" s="172"/>
      <c r="G410" s="172"/>
      <c r="H410" s="172"/>
      <c r="I410" s="172"/>
      <c r="J410" s="172"/>
      <c r="K410" s="173"/>
    </row>
    <row r="411" spans="1:11" ht="15.75" thickBot="1"/>
    <row r="412" spans="1:11" ht="15.75" thickBot="1">
      <c r="A412" s="132" t="s">
        <v>2</v>
      </c>
      <c r="B412" s="133"/>
      <c r="C412" s="133"/>
      <c r="D412" s="133"/>
      <c r="E412" s="133"/>
      <c r="F412" s="133"/>
      <c r="G412" s="133"/>
      <c r="H412" s="133"/>
      <c r="I412" s="133"/>
      <c r="J412" s="133"/>
      <c r="K412" s="134"/>
    </row>
    <row r="414" spans="1:11" ht="19.5" thickBot="1">
      <c r="A414" s="1" t="s">
        <v>3</v>
      </c>
      <c r="B414" s="1"/>
      <c r="C414" s="1"/>
      <c r="D414" s="1"/>
      <c r="E414" s="1"/>
      <c r="F414" s="1"/>
      <c r="G414" s="1"/>
      <c r="H414" s="1"/>
      <c r="I414" s="1"/>
    </row>
    <row r="415" spans="1:11" ht="30.75" thickBot="1">
      <c r="A415" s="2" t="s">
        <v>4</v>
      </c>
      <c r="B415" s="3" t="s">
        <v>5</v>
      </c>
      <c r="C415" s="3" t="s">
        <v>6</v>
      </c>
      <c r="D415" s="3" t="s">
        <v>7</v>
      </c>
      <c r="E415" s="3" t="s">
        <v>8</v>
      </c>
      <c r="F415" s="3" t="s">
        <v>9</v>
      </c>
      <c r="G415" s="3" t="s">
        <v>10</v>
      </c>
      <c r="H415" s="3" t="s">
        <v>21</v>
      </c>
      <c r="I415" s="4" t="s">
        <v>22</v>
      </c>
      <c r="J415" s="4" t="s">
        <v>11</v>
      </c>
      <c r="K415" s="4" t="s">
        <v>12</v>
      </c>
    </row>
    <row r="416" spans="1:11">
      <c r="A416" s="5">
        <v>104</v>
      </c>
      <c r="B416" s="6">
        <v>45272</v>
      </c>
      <c r="C416" s="7">
        <v>0.5</v>
      </c>
      <c r="D416" s="9">
        <v>11.6</v>
      </c>
      <c r="E416" s="5">
        <v>108.7</v>
      </c>
      <c r="F416" s="5">
        <v>131.5</v>
      </c>
      <c r="G416" s="6">
        <v>45272</v>
      </c>
      <c r="H416" s="5"/>
      <c r="I416" s="5"/>
      <c r="J416" s="5">
        <f t="shared" si="53"/>
        <v>22.799999999999997</v>
      </c>
      <c r="K416" s="8" t="b">
        <f t="shared" si="54"/>
        <v>0</v>
      </c>
    </row>
    <row r="417" spans="1:11">
      <c r="A417" s="5">
        <v>104</v>
      </c>
      <c r="B417" s="6">
        <v>45273</v>
      </c>
      <c r="C417" s="7">
        <v>0.6</v>
      </c>
      <c r="D417" s="9">
        <v>9.67</v>
      </c>
      <c r="E417" s="5">
        <v>131.5</v>
      </c>
      <c r="F417" s="5">
        <v>150.69999999999999</v>
      </c>
      <c r="G417" s="6">
        <v>45273</v>
      </c>
      <c r="H417" s="5"/>
      <c r="I417" s="5"/>
      <c r="J417" s="5">
        <f t="shared" si="53"/>
        <v>19.199999999999989</v>
      </c>
      <c r="K417" s="8" t="b">
        <f t="shared" si="54"/>
        <v>1</v>
      </c>
    </row>
    <row r="418" spans="1:11">
      <c r="A418" s="5">
        <v>104</v>
      </c>
      <c r="B418" s="6">
        <v>45274</v>
      </c>
      <c r="C418" s="7">
        <v>0.6</v>
      </c>
      <c r="D418" s="9">
        <v>9.67</v>
      </c>
      <c r="E418" s="5">
        <v>150.69999999999999</v>
      </c>
      <c r="F418" s="5">
        <v>170.4</v>
      </c>
      <c r="G418" s="6">
        <v>45274</v>
      </c>
      <c r="H418" s="5"/>
      <c r="I418" s="5"/>
      <c r="J418" s="5">
        <f t="shared" si="53"/>
        <v>19.700000000000017</v>
      </c>
      <c r="K418" s="8" t="b">
        <f t="shared" si="54"/>
        <v>1</v>
      </c>
    </row>
    <row r="419" spans="1:11">
      <c r="A419" s="5">
        <v>104</v>
      </c>
      <c r="B419" s="6">
        <v>45275</v>
      </c>
      <c r="C419" s="7">
        <v>0.8</v>
      </c>
      <c r="D419" s="9">
        <v>7.32</v>
      </c>
      <c r="E419" s="5">
        <v>170.4</v>
      </c>
      <c r="F419" s="5">
        <v>185.8</v>
      </c>
      <c r="G419" s="6">
        <v>45275</v>
      </c>
      <c r="H419" s="5"/>
      <c r="I419" s="5"/>
      <c r="J419" s="5">
        <f t="shared" si="53"/>
        <v>15.400000000000006</v>
      </c>
      <c r="K419" s="8" t="b">
        <f t="shared" si="54"/>
        <v>1</v>
      </c>
    </row>
    <row r="420" spans="1:11">
      <c r="A420" s="5">
        <v>104</v>
      </c>
      <c r="B420" s="6">
        <v>45277</v>
      </c>
      <c r="C420" s="7">
        <v>0.7</v>
      </c>
      <c r="D420" s="9">
        <v>8.2899999999999991</v>
      </c>
      <c r="E420" s="5">
        <v>185.8</v>
      </c>
      <c r="F420" s="5">
        <v>202</v>
      </c>
      <c r="G420" s="6">
        <v>45277</v>
      </c>
      <c r="H420" s="5"/>
      <c r="I420" s="5"/>
      <c r="J420" s="5">
        <f t="shared" si="53"/>
        <v>16.199999999999989</v>
      </c>
      <c r="K420" s="8" t="b">
        <f t="shared" si="54"/>
        <v>1</v>
      </c>
    </row>
    <row r="421" spans="1:11">
      <c r="A421" s="5">
        <v>104</v>
      </c>
      <c r="B421" s="6">
        <v>45279</v>
      </c>
      <c r="C421" s="7">
        <v>1</v>
      </c>
      <c r="D421" s="9">
        <v>5.8</v>
      </c>
      <c r="E421" s="5">
        <v>202</v>
      </c>
      <c r="F421" s="5">
        <v>213.7</v>
      </c>
      <c r="G421" s="6">
        <v>45279</v>
      </c>
      <c r="H421" s="5"/>
      <c r="I421" s="5"/>
      <c r="J421" s="5">
        <f t="shared" si="53"/>
        <v>11.699999999999989</v>
      </c>
      <c r="K421" s="8" t="b">
        <f t="shared" si="54"/>
        <v>1</v>
      </c>
    </row>
    <row r="422" spans="1:11">
      <c r="A422" s="108">
        <v>104</v>
      </c>
      <c r="B422" s="102">
        <v>45280</v>
      </c>
      <c r="C422" s="103">
        <v>1</v>
      </c>
      <c r="D422" s="107">
        <v>5.8</v>
      </c>
      <c r="E422" s="101">
        <v>213.7</v>
      </c>
      <c r="F422" s="101">
        <v>221.9</v>
      </c>
      <c r="G422" s="102">
        <v>45280</v>
      </c>
      <c r="H422" s="101"/>
      <c r="I422" s="101"/>
      <c r="J422" s="101">
        <f t="shared" si="53"/>
        <v>8.2000000000000171</v>
      </c>
      <c r="K422" s="8" t="b">
        <f t="shared" si="54"/>
        <v>1</v>
      </c>
    </row>
    <row r="423" spans="1:11">
      <c r="A423" s="5">
        <v>104</v>
      </c>
      <c r="B423" s="6">
        <v>45282</v>
      </c>
      <c r="C423" s="7">
        <v>1</v>
      </c>
      <c r="D423" s="9">
        <v>5.8</v>
      </c>
      <c r="E423" s="5">
        <v>221.9</v>
      </c>
      <c r="F423" s="5">
        <v>233</v>
      </c>
      <c r="G423" s="6">
        <v>45282</v>
      </c>
      <c r="H423" s="5"/>
      <c r="I423" s="5"/>
      <c r="J423" s="5">
        <f t="shared" ref="J423:J446" si="55">F423-E423</f>
        <v>11.099999999999994</v>
      </c>
      <c r="K423" s="8" t="b">
        <f t="shared" ref="K423:K446" si="56">E423=F422</f>
        <v>1</v>
      </c>
    </row>
    <row r="424" spans="1:11">
      <c r="A424" s="5">
        <v>104</v>
      </c>
      <c r="B424" s="6">
        <v>45283</v>
      </c>
      <c r="C424" s="7">
        <v>1</v>
      </c>
      <c r="D424" s="9">
        <v>5.8</v>
      </c>
      <c r="E424" s="5">
        <v>233</v>
      </c>
      <c r="F424" s="5">
        <v>245.1</v>
      </c>
      <c r="G424" s="6">
        <v>45283</v>
      </c>
      <c r="H424" s="5"/>
      <c r="I424" s="5"/>
      <c r="J424" s="5">
        <f t="shared" si="55"/>
        <v>12.099999999999994</v>
      </c>
      <c r="K424" s="8" t="b">
        <f t="shared" si="56"/>
        <v>1</v>
      </c>
    </row>
    <row r="425" spans="1:11">
      <c r="A425" s="5">
        <v>104</v>
      </c>
      <c r="B425" s="6">
        <v>45284</v>
      </c>
      <c r="C425" s="7">
        <v>1</v>
      </c>
      <c r="D425" s="9">
        <v>5.8</v>
      </c>
      <c r="E425" s="5">
        <v>245.1</v>
      </c>
      <c r="F425" s="5">
        <v>256.60000000000002</v>
      </c>
      <c r="G425" s="6">
        <v>45284</v>
      </c>
      <c r="H425" s="5"/>
      <c r="I425" s="5"/>
      <c r="J425" s="5">
        <f t="shared" si="55"/>
        <v>11.500000000000028</v>
      </c>
      <c r="K425" s="8" t="b">
        <f t="shared" si="56"/>
        <v>1</v>
      </c>
    </row>
    <row r="426" spans="1:11">
      <c r="A426" s="5">
        <v>104</v>
      </c>
      <c r="B426" s="6">
        <v>45286</v>
      </c>
      <c r="C426" s="7">
        <v>1</v>
      </c>
      <c r="D426" s="9">
        <v>5.8</v>
      </c>
      <c r="E426" s="5">
        <v>256.60000000000002</v>
      </c>
      <c r="F426" s="5">
        <v>268.2</v>
      </c>
      <c r="G426" s="6">
        <v>45286</v>
      </c>
      <c r="H426" s="5"/>
      <c r="I426" s="5"/>
      <c r="J426" s="5">
        <f t="shared" si="55"/>
        <v>11.599999999999966</v>
      </c>
      <c r="K426" s="8" t="b">
        <f t="shared" si="56"/>
        <v>1</v>
      </c>
    </row>
    <row r="427" spans="1:11">
      <c r="A427" s="5">
        <v>104</v>
      </c>
      <c r="B427" s="6">
        <v>45287</v>
      </c>
      <c r="C427" s="7">
        <v>1</v>
      </c>
      <c r="D427" s="9">
        <v>5.8</v>
      </c>
      <c r="E427" s="5">
        <v>268.2</v>
      </c>
      <c r="F427" s="5">
        <v>279.7</v>
      </c>
      <c r="G427" s="6">
        <v>45287</v>
      </c>
      <c r="H427" s="5"/>
      <c r="I427" s="5"/>
      <c r="J427" s="5">
        <f t="shared" si="55"/>
        <v>11.5</v>
      </c>
      <c r="K427" s="8" t="b">
        <f t="shared" si="56"/>
        <v>1</v>
      </c>
    </row>
    <row r="428" spans="1:11">
      <c r="A428" s="5">
        <v>104</v>
      </c>
      <c r="B428" s="6">
        <v>45288</v>
      </c>
      <c r="C428" s="7">
        <v>1</v>
      </c>
      <c r="D428" s="9">
        <v>5.8</v>
      </c>
      <c r="E428" s="5">
        <v>279.7</v>
      </c>
      <c r="F428" s="5">
        <v>291.2</v>
      </c>
      <c r="G428" s="6">
        <v>45288</v>
      </c>
      <c r="H428" s="5"/>
      <c r="I428" s="5"/>
      <c r="J428" s="5">
        <f t="shared" si="55"/>
        <v>11.5</v>
      </c>
      <c r="K428" s="8" t="b">
        <f t="shared" si="56"/>
        <v>1</v>
      </c>
    </row>
    <row r="429" spans="1:11">
      <c r="A429" s="5">
        <v>104</v>
      </c>
      <c r="B429" s="6">
        <v>45289</v>
      </c>
      <c r="C429" s="7">
        <v>1</v>
      </c>
      <c r="D429" s="9">
        <v>5.8</v>
      </c>
      <c r="E429" s="5">
        <v>291.2</v>
      </c>
      <c r="F429" s="5">
        <v>302.7</v>
      </c>
      <c r="G429" s="6">
        <v>45289</v>
      </c>
      <c r="H429" s="5"/>
      <c r="I429" s="5"/>
      <c r="J429" s="5">
        <f t="shared" si="55"/>
        <v>11.5</v>
      </c>
      <c r="K429" s="8" t="b">
        <f t="shared" si="56"/>
        <v>1</v>
      </c>
    </row>
    <row r="430" spans="1:11">
      <c r="A430" s="5">
        <v>104</v>
      </c>
      <c r="B430" s="6">
        <v>45293</v>
      </c>
      <c r="C430" s="7">
        <v>0.7</v>
      </c>
      <c r="D430" s="9">
        <v>8.2899999999999991</v>
      </c>
      <c r="E430" s="5">
        <v>302.7</v>
      </c>
      <c r="F430" s="5">
        <v>319</v>
      </c>
      <c r="G430" s="6">
        <v>45293</v>
      </c>
      <c r="H430" s="5"/>
      <c r="I430" s="5"/>
      <c r="J430" s="5">
        <f t="shared" si="55"/>
        <v>16.300000000000011</v>
      </c>
      <c r="K430" s="8" t="b">
        <f t="shared" si="56"/>
        <v>1</v>
      </c>
    </row>
    <row r="431" spans="1:11">
      <c r="A431" s="5">
        <v>104</v>
      </c>
      <c r="B431" s="6">
        <v>45301</v>
      </c>
      <c r="C431" s="7">
        <v>1</v>
      </c>
      <c r="D431" s="9">
        <v>5.8</v>
      </c>
      <c r="E431" s="5">
        <v>319</v>
      </c>
      <c r="F431" s="5">
        <v>330.9</v>
      </c>
      <c r="G431" s="6">
        <v>45301</v>
      </c>
      <c r="H431" s="5"/>
      <c r="I431" s="5"/>
      <c r="J431" s="5">
        <f t="shared" si="55"/>
        <v>11.899999999999977</v>
      </c>
      <c r="K431" s="8" t="b">
        <f t="shared" si="56"/>
        <v>1</v>
      </c>
    </row>
    <row r="432" spans="1:11">
      <c r="A432" s="5">
        <v>104</v>
      </c>
      <c r="B432" s="6">
        <v>45302</v>
      </c>
      <c r="C432" s="7">
        <v>1</v>
      </c>
      <c r="D432" s="9">
        <v>5.8</v>
      </c>
      <c r="E432" s="5">
        <v>330.9</v>
      </c>
      <c r="F432" s="5">
        <v>342.6</v>
      </c>
      <c r="G432" s="6">
        <v>45302</v>
      </c>
      <c r="H432" s="5"/>
      <c r="I432" s="5"/>
      <c r="J432" s="5">
        <f t="shared" si="55"/>
        <v>11.700000000000045</v>
      </c>
      <c r="K432" s="8" t="b">
        <f t="shared" si="56"/>
        <v>1</v>
      </c>
    </row>
    <row r="433" spans="1:11">
      <c r="A433" s="5">
        <v>104</v>
      </c>
      <c r="B433" s="6">
        <v>45308</v>
      </c>
      <c r="C433" s="7">
        <v>1</v>
      </c>
      <c r="D433" s="9">
        <v>5.8</v>
      </c>
      <c r="E433" s="5">
        <v>342.6</v>
      </c>
      <c r="F433" s="5">
        <v>354.7</v>
      </c>
      <c r="G433" s="6">
        <v>45308</v>
      </c>
      <c r="H433" s="5"/>
      <c r="I433" s="5"/>
      <c r="J433" s="5">
        <f t="shared" si="55"/>
        <v>12.099999999999966</v>
      </c>
      <c r="K433" s="8" t="b">
        <f t="shared" si="56"/>
        <v>1</v>
      </c>
    </row>
    <row r="434" spans="1:11">
      <c r="A434" s="5">
        <v>104</v>
      </c>
      <c r="B434" s="6">
        <v>45309</v>
      </c>
      <c r="C434" s="7">
        <v>0.65</v>
      </c>
      <c r="D434" s="9">
        <v>6.23</v>
      </c>
      <c r="E434" s="5">
        <v>354.7</v>
      </c>
      <c r="F434" s="5">
        <v>372.2</v>
      </c>
      <c r="G434" s="6">
        <v>45309</v>
      </c>
      <c r="H434" s="5"/>
      <c r="I434" s="5"/>
      <c r="J434" s="5">
        <f t="shared" si="55"/>
        <v>17.5</v>
      </c>
      <c r="K434" s="8" t="b">
        <f t="shared" si="56"/>
        <v>1</v>
      </c>
    </row>
    <row r="435" spans="1:11">
      <c r="A435" s="5">
        <v>104</v>
      </c>
      <c r="B435" s="6">
        <v>45317</v>
      </c>
      <c r="C435" s="7">
        <v>1</v>
      </c>
      <c r="D435" s="9">
        <v>5.8</v>
      </c>
      <c r="E435" s="5">
        <v>372.2</v>
      </c>
      <c r="F435" s="5">
        <v>383.7</v>
      </c>
      <c r="G435" s="6">
        <v>45317</v>
      </c>
      <c r="H435" s="5"/>
      <c r="I435" s="5"/>
      <c r="J435" s="5">
        <f t="shared" si="55"/>
        <v>11.5</v>
      </c>
      <c r="K435" s="8" t="b">
        <f t="shared" si="56"/>
        <v>1</v>
      </c>
    </row>
    <row r="436" spans="1:11">
      <c r="A436" s="5">
        <v>104</v>
      </c>
      <c r="B436" s="6">
        <v>45329</v>
      </c>
      <c r="C436" s="7">
        <v>0.6</v>
      </c>
      <c r="D436" s="9">
        <v>9.67</v>
      </c>
      <c r="E436" s="5">
        <v>383.7</v>
      </c>
      <c r="F436" s="5">
        <v>402.7</v>
      </c>
      <c r="G436" s="6">
        <v>45329</v>
      </c>
      <c r="H436" s="5"/>
      <c r="I436" s="5"/>
      <c r="J436" s="5">
        <f t="shared" si="55"/>
        <v>19</v>
      </c>
      <c r="K436" s="8" t="b">
        <f t="shared" si="56"/>
        <v>1</v>
      </c>
    </row>
    <row r="437" spans="1:11">
      <c r="A437" s="5">
        <v>104</v>
      </c>
      <c r="B437" s="6">
        <v>45336</v>
      </c>
      <c r="C437" s="7">
        <v>0.7</v>
      </c>
      <c r="D437" s="9">
        <v>8.2899999999999991</v>
      </c>
      <c r="E437" s="5">
        <v>402.7</v>
      </c>
      <c r="F437" s="5">
        <v>419.7</v>
      </c>
      <c r="G437" s="6">
        <v>45336</v>
      </c>
      <c r="H437" s="5"/>
      <c r="I437" s="5"/>
      <c r="J437" s="5">
        <f t="shared" si="55"/>
        <v>17</v>
      </c>
      <c r="K437" s="8" t="b">
        <f t="shared" si="56"/>
        <v>1</v>
      </c>
    </row>
    <row r="438" spans="1:11">
      <c r="A438" s="5">
        <v>104</v>
      </c>
      <c r="B438" s="6">
        <v>45338</v>
      </c>
      <c r="C438" s="7">
        <v>1</v>
      </c>
      <c r="D438" s="9">
        <v>5.8</v>
      </c>
      <c r="E438" s="5">
        <v>419.7</v>
      </c>
      <c r="F438" s="5">
        <v>423.1</v>
      </c>
      <c r="G438" s="6">
        <v>45338</v>
      </c>
      <c r="H438" s="5"/>
      <c r="I438" s="5"/>
      <c r="J438" s="5">
        <f t="shared" si="55"/>
        <v>3.4000000000000341</v>
      </c>
      <c r="K438" s="8" t="b">
        <f t="shared" si="56"/>
        <v>1</v>
      </c>
    </row>
    <row r="439" spans="1:11">
      <c r="A439" s="5">
        <v>104</v>
      </c>
      <c r="B439" s="6">
        <v>45348</v>
      </c>
      <c r="C439" s="7">
        <v>1</v>
      </c>
      <c r="D439" s="9">
        <v>5.8</v>
      </c>
      <c r="E439" s="5">
        <v>423.1</v>
      </c>
      <c r="F439" s="5">
        <v>434.4</v>
      </c>
      <c r="G439" s="6">
        <v>45348</v>
      </c>
      <c r="H439" s="5"/>
      <c r="I439" s="5"/>
      <c r="J439" s="5">
        <f t="shared" si="55"/>
        <v>11.299999999999955</v>
      </c>
      <c r="K439" s="8" t="b">
        <f t="shared" si="56"/>
        <v>1</v>
      </c>
    </row>
    <row r="440" spans="1:11">
      <c r="A440" s="5">
        <v>104</v>
      </c>
      <c r="B440" s="6">
        <v>45350</v>
      </c>
      <c r="C440" s="7">
        <v>0.7</v>
      </c>
      <c r="D440" s="9">
        <v>8.2899999999999991</v>
      </c>
      <c r="E440" s="5">
        <v>434.4</v>
      </c>
      <c r="F440" s="5">
        <v>450.8</v>
      </c>
      <c r="G440" s="6">
        <v>45350</v>
      </c>
      <c r="H440" s="5"/>
      <c r="I440" s="5"/>
      <c r="J440" s="5">
        <f t="shared" si="55"/>
        <v>16.400000000000034</v>
      </c>
      <c r="K440" s="8" t="b">
        <f t="shared" si="56"/>
        <v>1</v>
      </c>
    </row>
    <row r="441" spans="1:11">
      <c r="A441" s="5">
        <v>104</v>
      </c>
      <c r="B441" s="6">
        <v>45354</v>
      </c>
      <c r="C441" s="7">
        <v>0.6</v>
      </c>
      <c r="D441" s="9">
        <v>9.67</v>
      </c>
      <c r="E441" s="5">
        <v>450.8</v>
      </c>
      <c r="F441" s="5">
        <v>463.1</v>
      </c>
      <c r="G441" s="6">
        <v>45354</v>
      </c>
      <c r="H441" s="5"/>
      <c r="I441" s="5"/>
      <c r="J441" s="5">
        <f t="shared" si="55"/>
        <v>12.300000000000011</v>
      </c>
      <c r="K441" s="8" t="b">
        <f t="shared" si="56"/>
        <v>1</v>
      </c>
    </row>
    <row r="442" spans="1:11">
      <c r="A442" s="5">
        <v>104</v>
      </c>
      <c r="B442" s="6">
        <v>45357</v>
      </c>
      <c r="C442" s="7">
        <v>1</v>
      </c>
      <c r="D442" s="9">
        <v>5.8</v>
      </c>
      <c r="E442" s="5">
        <v>463.6</v>
      </c>
      <c r="F442" s="5">
        <v>478.8</v>
      </c>
      <c r="G442" s="6">
        <v>45357</v>
      </c>
      <c r="H442" s="5"/>
      <c r="I442" s="5"/>
      <c r="J442" s="5">
        <f t="shared" si="55"/>
        <v>15.199999999999989</v>
      </c>
      <c r="K442" s="8" t="b">
        <f t="shared" si="56"/>
        <v>0</v>
      </c>
    </row>
    <row r="443" spans="1:11">
      <c r="A443" s="5">
        <v>104</v>
      </c>
      <c r="B443" s="6">
        <v>45361</v>
      </c>
      <c r="C443" s="7">
        <v>0.7</v>
      </c>
      <c r="D443" s="9">
        <v>8.2899999999999991</v>
      </c>
      <c r="E443" s="5">
        <v>478.8</v>
      </c>
      <c r="F443" s="5">
        <v>495.1</v>
      </c>
      <c r="G443" s="6">
        <v>45361</v>
      </c>
      <c r="H443" s="5"/>
      <c r="I443" s="5"/>
      <c r="J443" s="5">
        <f t="shared" si="55"/>
        <v>16.300000000000011</v>
      </c>
      <c r="K443" s="8" t="b">
        <f t="shared" si="56"/>
        <v>1</v>
      </c>
    </row>
    <row r="444" spans="1:11">
      <c r="A444" s="5">
        <v>104</v>
      </c>
      <c r="B444" s="6">
        <v>45364</v>
      </c>
      <c r="C444" s="7">
        <v>0.9</v>
      </c>
      <c r="D444" s="9">
        <v>6.44</v>
      </c>
      <c r="E444" s="5">
        <v>495.1</v>
      </c>
      <c r="F444" s="5">
        <v>508.1</v>
      </c>
      <c r="G444" s="6">
        <v>45364</v>
      </c>
      <c r="H444" s="5"/>
      <c r="I444" s="5"/>
      <c r="J444" s="5">
        <f t="shared" si="55"/>
        <v>13</v>
      </c>
      <c r="K444" s="8" t="b">
        <f t="shared" si="56"/>
        <v>1</v>
      </c>
    </row>
    <row r="445" spans="1:11">
      <c r="A445" s="5">
        <v>104</v>
      </c>
      <c r="B445" s="6">
        <v>45366</v>
      </c>
      <c r="C445" s="7">
        <v>0.7</v>
      </c>
      <c r="D445" s="9">
        <v>8.2899999999999991</v>
      </c>
      <c r="E445" s="5">
        <v>508.1</v>
      </c>
      <c r="F445" s="5">
        <v>524.29999999999995</v>
      </c>
      <c r="G445" s="6">
        <v>45366</v>
      </c>
      <c r="H445" s="5"/>
      <c r="I445" s="5"/>
      <c r="J445" s="5">
        <f t="shared" si="55"/>
        <v>16.199999999999932</v>
      </c>
      <c r="K445" s="8" t="b">
        <f t="shared" si="56"/>
        <v>1</v>
      </c>
    </row>
    <row r="446" spans="1:11">
      <c r="A446" s="5">
        <v>104</v>
      </c>
      <c r="B446" s="6">
        <v>45370</v>
      </c>
      <c r="C446" s="7">
        <v>1</v>
      </c>
      <c r="D446" s="9">
        <v>5.8</v>
      </c>
      <c r="E446" s="5">
        <v>524.29999999999995</v>
      </c>
      <c r="F446" s="5">
        <v>536.6</v>
      </c>
      <c r="G446" s="6">
        <v>45370</v>
      </c>
      <c r="H446" s="5"/>
      <c r="I446" s="5"/>
      <c r="J446" s="5">
        <f t="shared" si="55"/>
        <v>12.300000000000068</v>
      </c>
      <c r="K446" s="8" t="b">
        <f t="shared" si="56"/>
        <v>1</v>
      </c>
    </row>
    <row r="447" spans="1:11">
      <c r="A447" s="5">
        <v>104</v>
      </c>
      <c r="B447" s="6">
        <v>45379</v>
      </c>
      <c r="C447" s="7">
        <v>1</v>
      </c>
      <c r="D447" s="9">
        <v>5.8</v>
      </c>
      <c r="E447" s="5">
        <v>536.6</v>
      </c>
      <c r="F447" s="5">
        <v>548.29999999999995</v>
      </c>
      <c r="G447" s="6">
        <v>45379</v>
      </c>
      <c r="H447" s="5"/>
      <c r="I447" s="5"/>
      <c r="J447" s="5">
        <f t="shared" ref="J447:J468" si="57">F447-E447</f>
        <v>11.699999999999932</v>
      </c>
      <c r="K447" s="8" t="b">
        <f t="shared" ref="K447:K468" si="58">E447=F446</f>
        <v>1</v>
      </c>
    </row>
    <row r="448" spans="1:11">
      <c r="A448" s="5">
        <v>104</v>
      </c>
      <c r="B448" s="6">
        <v>45381</v>
      </c>
      <c r="C448" s="7">
        <v>0.7</v>
      </c>
      <c r="D448" s="9">
        <v>8.2899999999999991</v>
      </c>
      <c r="E448" s="5">
        <v>548.29999999999995</v>
      </c>
      <c r="F448" s="5">
        <v>564.4</v>
      </c>
      <c r="G448" s="6">
        <v>45381</v>
      </c>
      <c r="H448" s="5"/>
      <c r="I448" s="5"/>
      <c r="J448" s="5">
        <f t="shared" si="57"/>
        <v>16.100000000000023</v>
      </c>
      <c r="K448" s="8" t="b">
        <f t="shared" si="58"/>
        <v>1</v>
      </c>
    </row>
    <row r="449" spans="1:11">
      <c r="A449" s="5">
        <v>104</v>
      </c>
      <c r="B449" s="6">
        <v>45384</v>
      </c>
      <c r="C449" s="7">
        <v>1</v>
      </c>
      <c r="D449" s="9">
        <v>5.8</v>
      </c>
      <c r="E449" s="5">
        <v>564.4</v>
      </c>
      <c r="F449" s="5">
        <v>567.9</v>
      </c>
      <c r="G449" s="6">
        <v>45384</v>
      </c>
      <c r="H449" s="5"/>
      <c r="I449" s="5"/>
      <c r="J449" s="5">
        <f t="shared" si="57"/>
        <v>3.5</v>
      </c>
      <c r="K449" s="8" t="b">
        <f t="shared" si="58"/>
        <v>1</v>
      </c>
    </row>
    <row r="450" spans="1:11">
      <c r="A450" s="5">
        <v>104</v>
      </c>
      <c r="B450" s="6">
        <v>45393</v>
      </c>
      <c r="C450" s="7">
        <v>0.7</v>
      </c>
      <c r="D450" s="9">
        <v>8.2899999999999991</v>
      </c>
      <c r="E450" s="5">
        <v>567.9</v>
      </c>
      <c r="F450" s="5">
        <v>574</v>
      </c>
      <c r="G450" s="6">
        <v>45393</v>
      </c>
      <c r="H450" s="5"/>
      <c r="I450" s="5"/>
      <c r="J450" s="5">
        <f t="shared" si="57"/>
        <v>6.1000000000000227</v>
      </c>
      <c r="K450" s="8" t="b">
        <f t="shared" si="58"/>
        <v>1</v>
      </c>
    </row>
    <row r="451" spans="1:11">
      <c r="A451" s="5">
        <v>104</v>
      </c>
      <c r="B451" s="6">
        <v>45400</v>
      </c>
      <c r="C451" s="7">
        <v>0.7</v>
      </c>
      <c r="D451" s="9">
        <v>8.2899999999999991</v>
      </c>
      <c r="E451" s="5">
        <v>587.4</v>
      </c>
      <c r="F451" s="5">
        <v>603.9</v>
      </c>
      <c r="G451" s="6">
        <v>45400</v>
      </c>
      <c r="H451" s="5"/>
      <c r="I451" s="5"/>
      <c r="J451" s="5">
        <f t="shared" si="57"/>
        <v>16.5</v>
      </c>
      <c r="K451" s="8" t="b">
        <f t="shared" si="58"/>
        <v>0</v>
      </c>
    </row>
    <row r="452" spans="1:11">
      <c r="A452" s="5">
        <v>104</v>
      </c>
      <c r="B452" s="6">
        <v>45403</v>
      </c>
      <c r="C452" s="7">
        <v>0.7</v>
      </c>
      <c r="D452" s="9">
        <v>8.2899999999999991</v>
      </c>
      <c r="E452" s="5">
        <v>603.9</v>
      </c>
      <c r="F452" s="5">
        <v>620.20000000000005</v>
      </c>
      <c r="G452" s="6">
        <v>45403</v>
      </c>
      <c r="H452" s="5"/>
      <c r="I452" s="5"/>
      <c r="J452" s="5">
        <f t="shared" si="57"/>
        <v>16.300000000000068</v>
      </c>
      <c r="K452" s="8" t="b">
        <f t="shared" si="58"/>
        <v>1</v>
      </c>
    </row>
    <row r="453" spans="1:11">
      <c r="A453" s="5">
        <v>104</v>
      </c>
      <c r="B453" s="6">
        <v>45406</v>
      </c>
      <c r="C453" s="7">
        <v>0.7</v>
      </c>
      <c r="D453" s="9">
        <v>8.2899999999999991</v>
      </c>
      <c r="E453" s="5">
        <v>620.20000000000005</v>
      </c>
      <c r="F453" s="5">
        <v>636.4</v>
      </c>
      <c r="G453" s="6">
        <v>45406</v>
      </c>
      <c r="H453" s="5"/>
      <c r="I453" s="5"/>
      <c r="J453" s="5">
        <f t="shared" si="57"/>
        <v>16.199999999999932</v>
      </c>
      <c r="K453" s="8" t="b">
        <f t="shared" si="58"/>
        <v>1</v>
      </c>
    </row>
    <row r="454" spans="1:11">
      <c r="A454" s="5">
        <v>104</v>
      </c>
      <c r="B454" s="6">
        <v>45420</v>
      </c>
      <c r="C454" s="7">
        <v>0.6</v>
      </c>
      <c r="D454" s="9">
        <v>9.67</v>
      </c>
      <c r="E454" s="5">
        <v>636.4</v>
      </c>
      <c r="F454" s="5">
        <v>654.9</v>
      </c>
      <c r="G454" s="6">
        <v>45420</v>
      </c>
      <c r="H454" s="5"/>
      <c r="I454" s="5"/>
      <c r="J454" s="5">
        <f t="shared" si="57"/>
        <v>18.5</v>
      </c>
      <c r="K454" s="8" t="b">
        <f t="shared" si="58"/>
        <v>1</v>
      </c>
    </row>
    <row r="455" spans="1:11">
      <c r="A455" s="5">
        <v>104</v>
      </c>
      <c r="B455" s="6">
        <v>45547</v>
      </c>
      <c r="C455" s="7">
        <v>0.55000000000000004</v>
      </c>
      <c r="D455" s="9">
        <v>9</v>
      </c>
      <c r="E455" s="5">
        <v>654.9</v>
      </c>
      <c r="F455" s="5">
        <v>663.2</v>
      </c>
      <c r="G455" s="6">
        <v>45547</v>
      </c>
      <c r="H455" s="5"/>
      <c r="I455" s="5"/>
      <c r="J455" s="5">
        <f t="shared" si="57"/>
        <v>8.3000000000000682</v>
      </c>
      <c r="K455" s="8" t="b">
        <f t="shared" si="58"/>
        <v>1</v>
      </c>
    </row>
    <row r="456" spans="1:11">
      <c r="A456" s="5">
        <v>104</v>
      </c>
      <c r="B456" s="6"/>
      <c r="C456" s="7"/>
      <c r="D456" s="9"/>
      <c r="E456" s="5"/>
      <c r="F456" s="5"/>
      <c r="G456" s="6"/>
      <c r="H456" s="5"/>
      <c r="I456" s="5"/>
      <c r="J456" s="5">
        <f t="shared" si="57"/>
        <v>0</v>
      </c>
      <c r="K456" s="8" t="b">
        <f t="shared" si="58"/>
        <v>0</v>
      </c>
    </row>
    <row r="457" spans="1:11" ht="26.25">
      <c r="A457" s="171" t="s">
        <v>55</v>
      </c>
      <c r="B457" s="172"/>
      <c r="C457" s="172"/>
      <c r="D457" s="172"/>
      <c r="E457" s="172"/>
      <c r="F457" s="172"/>
      <c r="G457" s="172"/>
      <c r="H457" s="172"/>
      <c r="I457" s="172"/>
      <c r="J457" s="172"/>
      <c r="K457" s="173"/>
    </row>
    <row r="458" spans="1:11" ht="26.25">
      <c r="A458" s="171" t="s">
        <v>48</v>
      </c>
      <c r="B458" s="172"/>
      <c r="C458" s="172"/>
      <c r="D458" s="172"/>
      <c r="E458" s="172"/>
      <c r="F458" s="172"/>
      <c r="G458" s="172"/>
      <c r="H458" s="172"/>
      <c r="I458" s="172"/>
      <c r="J458" s="172"/>
      <c r="K458" s="173"/>
    </row>
    <row r="459" spans="1:11" ht="15.75" thickBot="1"/>
    <row r="460" spans="1:11" ht="15.75" thickBot="1">
      <c r="A460" s="132" t="s">
        <v>2</v>
      </c>
      <c r="B460" s="133"/>
      <c r="C460" s="133"/>
      <c r="D460" s="133"/>
      <c r="E460" s="133"/>
      <c r="F460" s="133"/>
      <c r="G460" s="133"/>
      <c r="H460" s="133"/>
      <c r="I460" s="133"/>
      <c r="J460" s="133"/>
      <c r="K460" s="134"/>
    </row>
    <row r="462" spans="1:11" ht="19.5" thickBot="1">
      <c r="A462" s="1" t="s">
        <v>3</v>
      </c>
      <c r="B462" s="1"/>
      <c r="C462" s="1"/>
      <c r="D462" s="1"/>
      <c r="E462" s="1"/>
      <c r="F462" s="1"/>
      <c r="G462" s="1"/>
      <c r="H462" s="1"/>
      <c r="I462" s="1"/>
    </row>
    <row r="463" spans="1:11" ht="30.75" thickBot="1">
      <c r="A463" s="2" t="s">
        <v>4</v>
      </c>
      <c r="B463" s="3" t="s">
        <v>5</v>
      </c>
      <c r="C463" s="3" t="s">
        <v>6</v>
      </c>
      <c r="D463" s="3" t="s">
        <v>7</v>
      </c>
      <c r="E463" s="3" t="s">
        <v>8</v>
      </c>
      <c r="F463" s="3" t="s">
        <v>9</v>
      </c>
      <c r="G463" s="3" t="s">
        <v>10</v>
      </c>
      <c r="H463" s="3" t="s">
        <v>21</v>
      </c>
      <c r="I463" s="4" t="s">
        <v>22</v>
      </c>
      <c r="J463" s="4" t="s">
        <v>11</v>
      </c>
      <c r="K463" s="4" t="s">
        <v>12</v>
      </c>
    </row>
    <row r="464" spans="1:11">
      <c r="A464" s="5">
        <v>104</v>
      </c>
      <c r="B464" s="6">
        <v>45564</v>
      </c>
      <c r="C464" s="7">
        <v>1</v>
      </c>
      <c r="D464" s="9">
        <v>4.95</v>
      </c>
      <c r="E464" s="5">
        <v>663.2</v>
      </c>
      <c r="F464" s="5">
        <v>674.7</v>
      </c>
      <c r="G464" s="6">
        <v>45564</v>
      </c>
      <c r="H464" s="5"/>
      <c r="I464" s="5"/>
      <c r="J464" s="5">
        <f t="shared" ref="J464" si="59">F464-E464</f>
        <v>11.5</v>
      </c>
      <c r="K464" s="8" t="b">
        <f t="shared" ref="K464" si="60">E464=F463</f>
        <v>0</v>
      </c>
    </row>
    <row r="465" spans="1:11">
      <c r="A465" s="5">
        <v>104</v>
      </c>
      <c r="B465" s="6">
        <v>45565</v>
      </c>
      <c r="C465" s="7">
        <v>1</v>
      </c>
      <c r="D465" s="9">
        <v>4.95</v>
      </c>
      <c r="E465" s="5">
        <v>674.7</v>
      </c>
      <c r="F465" s="5">
        <v>686.1</v>
      </c>
      <c r="G465" s="6" t="s">
        <v>63</v>
      </c>
      <c r="H465" s="5"/>
      <c r="I465" s="5"/>
      <c r="J465" s="5">
        <f t="shared" si="57"/>
        <v>11.399999999999977</v>
      </c>
      <c r="K465" s="8" t="b">
        <f t="shared" si="58"/>
        <v>1</v>
      </c>
    </row>
    <row r="466" spans="1:11">
      <c r="A466" s="5">
        <v>104</v>
      </c>
      <c r="B466" s="6"/>
      <c r="C466" s="7"/>
      <c r="D466" s="9"/>
      <c r="E466" s="5"/>
      <c r="F466" s="5"/>
      <c r="G466" s="6"/>
      <c r="H466" s="5"/>
      <c r="I466" s="5"/>
      <c r="J466" s="5">
        <f t="shared" si="57"/>
        <v>0</v>
      </c>
      <c r="K466" s="8" t="b">
        <f t="shared" si="58"/>
        <v>0</v>
      </c>
    </row>
    <row r="467" spans="1:11">
      <c r="A467" s="5">
        <v>104</v>
      </c>
      <c r="B467" s="6"/>
      <c r="C467" s="7"/>
      <c r="D467" s="9"/>
      <c r="E467" s="5"/>
      <c r="F467" s="5"/>
      <c r="G467" s="6"/>
      <c r="H467" s="5"/>
      <c r="I467" s="5"/>
      <c r="J467" s="5">
        <f t="shared" si="57"/>
        <v>0</v>
      </c>
      <c r="K467" s="8" t="b">
        <f t="shared" si="58"/>
        <v>1</v>
      </c>
    </row>
    <row r="468" spans="1:11">
      <c r="A468" s="5">
        <v>104</v>
      </c>
      <c r="B468" s="6"/>
      <c r="C468" s="7"/>
      <c r="D468" s="9"/>
      <c r="E468" s="5"/>
      <c r="F468" s="5"/>
      <c r="G468" s="6"/>
      <c r="H468" s="5"/>
      <c r="I468" s="5"/>
      <c r="J468" s="5">
        <f t="shared" si="57"/>
        <v>0</v>
      </c>
      <c r="K468" s="8" t="b">
        <f t="shared" si="58"/>
        <v>1</v>
      </c>
    </row>
    <row r="469" spans="1:11">
      <c r="A469" s="5">
        <v>104</v>
      </c>
      <c r="B469" s="6"/>
      <c r="C469" s="7"/>
      <c r="D469" s="9"/>
      <c r="E469" s="5"/>
      <c r="F469" s="5"/>
      <c r="G469" s="6"/>
      <c r="H469" s="5"/>
      <c r="I469" s="5"/>
      <c r="J469" s="5">
        <f t="shared" ref="J469:J489" si="61">F469-E469</f>
        <v>0</v>
      </c>
      <c r="K469" s="8" t="b">
        <f t="shared" ref="K469:K489" si="62">E469=F468</f>
        <v>1</v>
      </c>
    </row>
    <row r="470" spans="1:11">
      <c r="A470" s="5">
        <v>104</v>
      </c>
      <c r="B470" s="6"/>
      <c r="C470" s="7"/>
      <c r="D470" s="9"/>
      <c r="E470" s="5"/>
      <c r="F470" s="5"/>
      <c r="G470" s="6"/>
      <c r="H470" s="5"/>
      <c r="I470" s="5"/>
      <c r="J470" s="5">
        <f t="shared" si="61"/>
        <v>0</v>
      </c>
      <c r="K470" s="8" t="b">
        <f t="shared" si="62"/>
        <v>1</v>
      </c>
    </row>
    <row r="471" spans="1:11">
      <c r="A471" s="5">
        <v>104</v>
      </c>
      <c r="B471" s="6"/>
      <c r="C471" s="7"/>
      <c r="D471" s="9"/>
      <c r="E471" s="5"/>
      <c r="F471" s="5"/>
      <c r="G471" s="6"/>
      <c r="H471" s="5"/>
      <c r="I471" s="5"/>
      <c r="J471" s="5">
        <f t="shared" si="61"/>
        <v>0</v>
      </c>
      <c r="K471" s="8" t="b">
        <f t="shared" si="62"/>
        <v>1</v>
      </c>
    </row>
    <row r="472" spans="1:11">
      <c r="A472" s="5">
        <v>104</v>
      </c>
      <c r="B472" s="6"/>
      <c r="C472" s="7"/>
      <c r="D472" s="9"/>
      <c r="E472" s="5"/>
      <c r="F472" s="5"/>
      <c r="G472" s="6"/>
      <c r="H472" s="5"/>
      <c r="I472" s="5"/>
      <c r="J472" s="5">
        <f t="shared" si="61"/>
        <v>0</v>
      </c>
      <c r="K472" s="8" t="b">
        <f t="shared" si="62"/>
        <v>1</v>
      </c>
    </row>
    <row r="473" spans="1:11">
      <c r="A473" s="5">
        <v>104</v>
      </c>
      <c r="B473" s="6"/>
      <c r="C473" s="7"/>
      <c r="D473" s="9"/>
      <c r="E473" s="5"/>
      <c r="F473" s="5"/>
      <c r="G473" s="6"/>
      <c r="H473" s="5"/>
      <c r="I473" s="5"/>
      <c r="J473" s="5">
        <f t="shared" si="61"/>
        <v>0</v>
      </c>
      <c r="K473" s="8" t="b">
        <f t="shared" si="62"/>
        <v>1</v>
      </c>
    </row>
    <row r="474" spans="1:11">
      <c r="A474" s="5">
        <v>104</v>
      </c>
      <c r="B474" s="6"/>
      <c r="C474" s="7"/>
      <c r="D474" s="9"/>
      <c r="E474" s="5"/>
      <c r="F474" s="5"/>
      <c r="G474" s="6"/>
      <c r="H474" s="5"/>
      <c r="I474" s="5"/>
      <c r="J474" s="5">
        <f t="shared" si="61"/>
        <v>0</v>
      </c>
      <c r="K474" s="8" t="b">
        <f t="shared" si="62"/>
        <v>1</v>
      </c>
    </row>
    <row r="475" spans="1:11">
      <c r="A475" s="5">
        <v>104</v>
      </c>
      <c r="B475" s="6"/>
      <c r="C475" s="7"/>
      <c r="D475" s="9"/>
      <c r="E475" s="5"/>
      <c r="F475" s="5"/>
      <c r="G475" s="6"/>
      <c r="H475" s="5"/>
      <c r="I475" s="5"/>
      <c r="J475" s="5">
        <f t="shared" si="61"/>
        <v>0</v>
      </c>
      <c r="K475" s="8" t="b">
        <f t="shared" si="62"/>
        <v>1</v>
      </c>
    </row>
    <row r="476" spans="1:11">
      <c r="A476" s="5">
        <v>104</v>
      </c>
      <c r="B476" s="6"/>
      <c r="C476" s="7"/>
      <c r="D476" s="9"/>
      <c r="E476" s="5"/>
      <c r="F476" s="5"/>
      <c r="G476" s="6"/>
      <c r="H476" s="5"/>
      <c r="I476" s="5"/>
      <c r="J476" s="5">
        <f t="shared" si="61"/>
        <v>0</v>
      </c>
      <c r="K476" s="8" t="b">
        <f t="shared" si="62"/>
        <v>1</v>
      </c>
    </row>
    <row r="477" spans="1:11">
      <c r="A477" s="5">
        <v>104</v>
      </c>
      <c r="B477" s="6"/>
      <c r="C477" s="7"/>
      <c r="D477" s="9"/>
      <c r="E477" s="5"/>
      <c r="F477" s="5"/>
      <c r="G477" s="6"/>
      <c r="H477" s="5"/>
      <c r="I477" s="5"/>
      <c r="J477" s="5">
        <f t="shared" si="61"/>
        <v>0</v>
      </c>
      <c r="K477" s="8" t="b">
        <f t="shared" si="62"/>
        <v>1</v>
      </c>
    </row>
    <row r="478" spans="1:11">
      <c r="A478" s="5">
        <v>104</v>
      </c>
      <c r="B478" s="6"/>
      <c r="C478" s="7"/>
      <c r="D478" s="9"/>
      <c r="E478" s="5"/>
      <c r="F478" s="5"/>
      <c r="G478" s="6"/>
      <c r="H478" s="5"/>
      <c r="I478" s="5"/>
      <c r="J478" s="5">
        <f t="shared" si="61"/>
        <v>0</v>
      </c>
      <c r="K478" s="8" t="b">
        <f t="shared" si="62"/>
        <v>1</v>
      </c>
    </row>
    <row r="479" spans="1:11">
      <c r="A479" s="5">
        <v>104</v>
      </c>
      <c r="B479" s="6"/>
      <c r="C479" s="7"/>
      <c r="D479" s="9"/>
      <c r="E479" s="5"/>
      <c r="F479" s="5"/>
      <c r="G479" s="6"/>
      <c r="H479" s="5"/>
      <c r="I479" s="5"/>
      <c r="J479" s="5">
        <f t="shared" si="61"/>
        <v>0</v>
      </c>
      <c r="K479" s="8" t="b">
        <f t="shared" si="62"/>
        <v>1</v>
      </c>
    </row>
    <row r="480" spans="1:11">
      <c r="A480" s="5">
        <v>104</v>
      </c>
      <c r="B480" s="6"/>
      <c r="C480" s="7"/>
      <c r="D480" s="9"/>
      <c r="E480" s="5"/>
      <c r="F480" s="5"/>
      <c r="G480" s="6"/>
      <c r="H480" s="5"/>
      <c r="I480" s="5"/>
      <c r="J480" s="5">
        <f t="shared" si="61"/>
        <v>0</v>
      </c>
      <c r="K480" s="8" t="b">
        <f t="shared" si="62"/>
        <v>1</v>
      </c>
    </row>
    <row r="481" spans="1:11">
      <c r="A481" s="5">
        <v>104</v>
      </c>
      <c r="B481" s="6"/>
      <c r="C481" s="7"/>
      <c r="D481" s="9"/>
      <c r="E481" s="5"/>
      <c r="F481" s="5"/>
      <c r="G481" s="6"/>
      <c r="H481" s="5"/>
      <c r="I481" s="5"/>
      <c r="J481" s="5">
        <f t="shared" si="61"/>
        <v>0</v>
      </c>
      <c r="K481" s="8" t="b">
        <f t="shared" si="62"/>
        <v>1</v>
      </c>
    </row>
    <row r="482" spans="1:11">
      <c r="A482" s="5">
        <v>104</v>
      </c>
      <c r="B482" s="6"/>
      <c r="C482" s="7"/>
      <c r="D482" s="9"/>
      <c r="E482" s="5"/>
      <c r="F482" s="5"/>
      <c r="G482" s="6"/>
      <c r="H482" s="5"/>
      <c r="I482" s="5"/>
      <c r="J482" s="5">
        <f t="shared" si="61"/>
        <v>0</v>
      </c>
      <c r="K482" s="8" t="b">
        <f t="shared" si="62"/>
        <v>1</v>
      </c>
    </row>
    <row r="483" spans="1:11">
      <c r="A483" s="5">
        <v>104</v>
      </c>
      <c r="B483" s="6"/>
      <c r="C483" s="7"/>
      <c r="D483" s="9"/>
      <c r="E483" s="5"/>
      <c r="F483" s="5"/>
      <c r="G483" s="6"/>
      <c r="H483" s="5"/>
      <c r="I483" s="5"/>
      <c r="J483" s="5">
        <f t="shared" si="61"/>
        <v>0</v>
      </c>
      <c r="K483" s="8" t="b">
        <f t="shared" si="62"/>
        <v>1</v>
      </c>
    </row>
    <row r="484" spans="1:11">
      <c r="A484" s="5">
        <v>104</v>
      </c>
      <c r="B484" s="6"/>
      <c r="C484" s="7"/>
      <c r="D484" s="9"/>
      <c r="E484" s="5"/>
      <c r="F484" s="5"/>
      <c r="G484" s="6"/>
      <c r="H484" s="5"/>
      <c r="I484" s="5"/>
      <c r="J484" s="5">
        <f t="shared" si="61"/>
        <v>0</v>
      </c>
      <c r="K484" s="8" t="b">
        <f t="shared" si="62"/>
        <v>1</v>
      </c>
    </row>
    <row r="485" spans="1:11">
      <c r="A485" s="5">
        <v>104</v>
      </c>
      <c r="B485" s="6"/>
      <c r="C485" s="7"/>
      <c r="D485" s="9"/>
      <c r="E485" s="5"/>
      <c r="F485" s="5"/>
      <c r="G485" s="6"/>
      <c r="H485" s="5"/>
      <c r="I485" s="5"/>
      <c r="J485" s="5">
        <f t="shared" si="61"/>
        <v>0</v>
      </c>
      <c r="K485" s="8" t="b">
        <f t="shared" si="62"/>
        <v>1</v>
      </c>
    </row>
    <row r="486" spans="1:11">
      <c r="A486" s="5">
        <v>104</v>
      </c>
      <c r="B486" s="6"/>
      <c r="C486" s="7"/>
      <c r="D486" s="9"/>
      <c r="E486" s="5"/>
      <c r="F486" s="5"/>
      <c r="G486" s="6"/>
      <c r="H486" s="5"/>
      <c r="I486" s="5"/>
      <c r="J486" s="5">
        <f t="shared" si="61"/>
        <v>0</v>
      </c>
      <c r="K486" s="8" t="b">
        <f t="shared" si="62"/>
        <v>1</v>
      </c>
    </row>
    <row r="487" spans="1:11">
      <c r="A487" s="5">
        <v>104</v>
      </c>
      <c r="B487" s="6"/>
      <c r="C487" s="7"/>
      <c r="D487" s="9"/>
      <c r="E487" s="5"/>
      <c r="F487" s="5"/>
      <c r="G487" s="6"/>
      <c r="H487" s="5"/>
      <c r="I487" s="5"/>
      <c r="J487" s="5">
        <f t="shared" si="61"/>
        <v>0</v>
      </c>
      <c r="K487" s="8" t="b">
        <f t="shared" si="62"/>
        <v>1</v>
      </c>
    </row>
    <row r="488" spans="1:11">
      <c r="A488" s="5">
        <v>104</v>
      </c>
      <c r="B488" s="6"/>
      <c r="C488" s="7"/>
      <c r="D488" s="9"/>
      <c r="E488" s="5"/>
      <c r="F488" s="5"/>
      <c r="G488" s="6"/>
      <c r="H488" s="5"/>
      <c r="I488" s="5"/>
      <c r="J488" s="5">
        <f t="shared" si="61"/>
        <v>0</v>
      </c>
      <c r="K488" s="8" t="b">
        <f t="shared" si="62"/>
        <v>1</v>
      </c>
    </row>
    <row r="489" spans="1:11">
      <c r="A489" s="5">
        <v>104</v>
      </c>
      <c r="B489" s="6"/>
      <c r="C489" s="7"/>
      <c r="D489" s="9"/>
      <c r="E489" s="5"/>
      <c r="F489" s="5"/>
      <c r="G489" s="6"/>
      <c r="H489" s="5"/>
      <c r="I489" s="5"/>
      <c r="J489" s="5">
        <f t="shared" si="61"/>
        <v>0</v>
      </c>
      <c r="K489" s="8" t="b">
        <f t="shared" si="62"/>
        <v>1</v>
      </c>
    </row>
  </sheetData>
  <mergeCells count="30">
    <mergeCell ref="A52:K52"/>
    <mergeCell ref="A103:K103"/>
    <mergeCell ref="A104:K104"/>
    <mergeCell ref="A106:K106"/>
    <mergeCell ref="A210:K210"/>
    <mergeCell ref="A1:K1"/>
    <mergeCell ref="A2:K2"/>
    <mergeCell ref="A4:K4"/>
    <mergeCell ref="A49:K49"/>
    <mergeCell ref="A50:K50"/>
    <mergeCell ref="A359:K359"/>
    <mergeCell ref="A360:K360"/>
    <mergeCell ref="A362:K362"/>
    <mergeCell ref="A213:K213"/>
    <mergeCell ref="A150:K150"/>
    <mergeCell ref="A151:K151"/>
    <mergeCell ref="A153:K153"/>
    <mergeCell ref="A211:K211"/>
    <mergeCell ref="A260:K260"/>
    <mergeCell ref="A261:K261"/>
    <mergeCell ref="A263:K263"/>
    <mergeCell ref="A457:K457"/>
    <mergeCell ref="A458:K458"/>
    <mergeCell ref="A460:K460"/>
    <mergeCell ref="A395:K395"/>
    <mergeCell ref="A396:K396"/>
    <mergeCell ref="A398:K398"/>
    <mergeCell ref="A409:K409"/>
    <mergeCell ref="A410:K410"/>
    <mergeCell ref="A412:K412"/>
  </mergeCells>
  <conditionalFormatting sqref="K1:K1048576">
    <cfRule type="containsText" dxfId="95" priority="1" operator="containsText" text="FALSO">
      <formula>NOT(ISERROR(SEARCH("FALSO",K1)))</formula>
    </cfRule>
    <cfRule type="containsText" dxfId="94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B8E9-5EAD-4275-B5A0-ED6099FBEA11}">
  <sheetPr codeName="Planilha5"/>
  <dimension ref="A1:XFC551"/>
  <sheetViews>
    <sheetView topLeftCell="A497" workbookViewId="0">
      <selection activeCell="G520" sqref="G520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10.5703125" customWidth="1"/>
    <col min="11" max="11" width="13.42578125" customWidth="1"/>
  </cols>
  <sheetData>
    <row r="1" spans="1:11" ht="26.25">
      <c r="A1" s="144" t="s">
        <v>64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105</v>
      </c>
      <c r="B8" s="6">
        <v>43753</v>
      </c>
      <c r="C8" s="7">
        <v>0.9</v>
      </c>
      <c r="D8" s="5">
        <v>6.44</v>
      </c>
      <c r="E8" s="5">
        <v>204</v>
      </c>
      <c r="F8" s="5">
        <v>217</v>
      </c>
      <c r="G8" s="6">
        <v>43753</v>
      </c>
      <c r="H8" s="5" t="s">
        <v>56</v>
      </c>
      <c r="I8" s="5" t="s">
        <v>57</v>
      </c>
      <c r="J8" s="5">
        <f t="shared" ref="J8:J45" si="0">F8-E8</f>
        <v>13</v>
      </c>
      <c r="K8" s="8" t="b">
        <f t="shared" ref="K8:K38" si="1">F8=E9</f>
        <v>1</v>
      </c>
    </row>
    <row r="9" spans="1:11">
      <c r="A9" s="5">
        <v>105</v>
      </c>
      <c r="B9" s="6">
        <v>43755</v>
      </c>
      <c r="C9" s="7">
        <v>0.9</v>
      </c>
      <c r="D9" s="5">
        <v>6.44</v>
      </c>
      <c r="E9" s="5">
        <v>217</v>
      </c>
      <c r="F9" s="5">
        <v>232.5</v>
      </c>
      <c r="G9" s="6">
        <v>43755</v>
      </c>
      <c r="H9" s="5" t="s">
        <v>56</v>
      </c>
      <c r="I9" s="5" t="s">
        <v>57</v>
      </c>
      <c r="J9" s="5">
        <f t="shared" si="0"/>
        <v>15.5</v>
      </c>
      <c r="K9" s="8" t="b">
        <f t="shared" si="1"/>
        <v>1</v>
      </c>
    </row>
    <row r="10" spans="1:11">
      <c r="A10" s="5">
        <v>105</v>
      </c>
      <c r="B10" s="6">
        <v>43756</v>
      </c>
      <c r="C10" s="7">
        <v>0.4</v>
      </c>
      <c r="D10" s="5">
        <v>14.5</v>
      </c>
      <c r="E10" s="5">
        <v>232.5</v>
      </c>
      <c r="F10" s="5">
        <v>247.6</v>
      </c>
      <c r="G10" s="6">
        <v>43756</v>
      </c>
      <c r="H10" s="5" t="s">
        <v>56</v>
      </c>
      <c r="I10" s="5" t="s">
        <v>57</v>
      </c>
      <c r="J10" s="5">
        <f t="shared" si="0"/>
        <v>15.099999999999994</v>
      </c>
      <c r="K10" s="8" t="b">
        <f t="shared" si="1"/>
        <v>1</v>
      </c>
    </row>
    <row r="11" spans="1:11">
      <c r="A11" s="5">
        <v>105</v>
      </c>
      <c r="B11" s="6">
        <v>43757</v>
      </c>
      <c r="C11" s="7">
        <v>1</v>
      </c>
      <c r="D11" s="9">
        <v>5.8</v>
      </c>
      <c r="E11" s="5">
        <v>247.6</v>
      </c>
      <c r="F11" s="5">
        <v>259.2</v>
      </c>
      <c r="G11" s="6">
        <v>43757</v>
      </c>
      <c r="H11" s="5" t="s">
        <v>56</v>
      </c>
      <c r="I11" s="5" t="s">
        <v>57</v>
      </c>
      <c r="J11" s="5">
        <f t="shared" si="0"/>
        <v>11.599999999999994</v>
      </c>
      <c r="K11" s="8" t="b">
        <f t="shared" si="1"/>
        <v>1</v>
      </c>
    </row>
    <row r="12" spans="1:11">
      <c r="A12" s="5">
        <v>105</v>
      </c>
      <c r="B12" s="6">
        <v>43758</v>
      </c>
      <c r="C12" s="7">
        <v>1</v>
      </c>
      <c r="D12" s="9">
        <v>5.8</v>
      </c>
      <c r="E12" s="5">
        <v>259.2</v>
      </c>
      <c r="F12" s="5">
        <v>271.5</v>
      </c>
      <c r="G12" s="6">
        <v>43758</v>
      </c>
      <c r="H12" s="5" t="s">
        <v>56</v>
      </c>
      <c r="I12" s="5" t="s">
        <v>57</v>
      </c>
      <c r="J12" s="5">
        <f t="shared" si="0"/>
        <v>12.300000000000011</v>
      </c>
      <c r="K12" s="8" t="b">
        <f t="shared" si="1"/>
        <v>1</v>
      </c>
    </row>
    <row r="13" spans="1:11">
      <c r="A13" s="5">
        <v>105</v>
      </c>
      <c r="B13" s="6">
        <v>43759</v>
      </c>
      <c r="C13" s="7">
        <v>1</v>
      </c>
      <c r="D13" s="9">
        <v>5.8</v>
      </c>
      <c r="E13" s="5">
        <v>271.5</v>
      </c>
      <c r="F13" s="5">
        <v>282.7</v>
      </c>
      <c r="G13" s="6">
        <v>43759</v>
      </c>
      <c r="H13" s="5" t="s">
        <v>58</v>
      </c>
      <c r="I13" s="5" t="s">
        <v>57</v>
      </c>
      <c r="J13" s="5">
        <f t="shared" si="0"/>
        <v>11.199999999999989</v>
      </c>
      <c r="K13" s="8" t="b">
        <f t="shared" si="1"/>
        <v>1</v>
      </c>
    </row>
    <row r="14" spans="1:11">
      <c r="A14" s="5">
        <v>105</v>
      </c>
      <c r="B14" s="6">
        <v>43760</v>
      </c>
      <c r="C14" s="7">
        <v>1</v>
      </c>
      <c r="D14" s="9">
        <v>5.8</v>
      </c>
      <c r="E14" s="5">
        <v>282.7</v>
      </c>
      <c r="F14" s="5">
        <v>294.7</v>
      </c>
      <c r="G14" s="6">
        <v>43760</v>
      </c>
      <c r="H14" s="5" t="s">
        <v>56</v>
      </c>
      <c r="I14" s="5" t="s">
        <v>57</v>
      </c>
      <c r="J14" s="5">
        <f t="shared" si="0"/>
        <v>12</v>
      </c>
      <c r="K14" s="8" t="b">
        <f t="shared" si="1"/>
        <v>1</v>
      </c>
    </row>
    <row r="15" spans="1:11">
      <c r="A15" s="5">
        <v>105</v>
      </c>
      <c r="B15" s="6">
        <v>43766</v>
      </c>
      <c r="C15" s="7">
        <v>0.8</v>
      </c>
      <c r="D15" s="9">
        <v>7.25</v>
      </c>
      <c r="E15" s="5">
        <v>294.7</v>
      </c>
      <c r="F15" s="5">
        <v>309.10000000000002</v>
      </c>
      <c r="G15" s="6">
        <v>43766</v>
      </c>
      <c r="H15" s="5" t="s">
        <v>58</v>
      </c>
      <c r="I15" s="5" t="s">
        <v>57</v>
      </c>
      <c r="J15" s="5">
        <f t="shared" si="0"/>
        <v>14.400000000000034</v>
      </c>
      <c r="K15" s="8" t="b">
        <f t="shared" si="1"/>
        <v>1</v>
      </c>
    </row>
    <row r="16" spans="1:11">
      <c r="A16" s="5">
        <v>105</v>
      </c>
      <c r="B16" s="6">
        <v>43768</v>
      </c>
      <c r="C16" s="7">
        <v>0.8</v>
      </c>
      <c r="D16" s="9">
        <v>7.25</v>
      </c>
      <c r="E16" s="5">
        <v>309.10000000000002</v>
      </c>
      <c r="F16" s="5">
        <v>323.8</v>
      </c>
      <c r="G16" s="6">
        <v>43768</v>
      </c>
      <c r="H16" s="5" t="s">
        <v>59</v>
      </c>
      <c r="I16" s="5" t="s">
        <v>57</v>
      </c>
      <c r="J16" s="5">
        <f t="shared" si="0"/>
        <v>14.699999999999989</v>
      </c>
      <c r="K16" s="8" t="b">
        <f t="shared" si="1"/>
        <v>1</v>
      </c>
    </row>
    <row r="17" spans="1:11">
      <c r="A17" s="5">
        <v>105</v>
      </c>
      <c r="B17" s="6">
        <v>43770</v>
      </c>
      <c r="C17" s="7">
        <v>0.8</v>
      </c>
      <c r="D17" s="9">
        <v>7.25</v>
      </c>
      <c r="E17" s="5">
        <v>323.8</v>
      </c>
      <c r="F17" s="5">
        <v>338.8</v>
      </c>
      <c r="G17" s="6">
        <v>43770</v>
      </c>
      <c r="H17" s="5" t="s">
        <v>59</v>
      </c>
      <c r="I17" s="5" t="s">
        <v>57</v>
      </c>
      <c r="J17" s="5">
        <f t="shared" si="0"/>
        <v>15</v>
      </c>
      <c r="K17" s="8" t="b">
        <f t="shared" si="1"/>
        <v>1</v>
      </c>
    </row>
    <row r="18" spans="1:11">
      <c r="A18" s="5">
        <v>105</v>
      </c>
      <c r="B18" s="6">
        <v>43774</v>
      </c>
      <c r="C18" s="7">
        <v>0.8</v>
      </c>
      <c r="D18" s="9">
        <v>7.25</v>
      </c>
      <c r="E18" s="5">
        <v>338.8</v>
      </c>
      <c r="F18" s="5">
        <v>353.2</v>
      </c>
      <c r="G18" s="6">
        <v>43774</v>
      </c>
      <c r="H18" s="5" t="s">
        <v>60</v>
      </c>
      <c r="I18" s="5" t="s">
        <v>57</v>
      </c>
      <c r="J18" s="5">
        <f t="shared" si="0"/>
        <v>14.399999999999977</v>
      </c>
      <c r="K18" s="8" t="b">
        <f t="shared" si="1"/>
        <v>1</v>
      </c>
    </row>
    <row r="19" spans="1:11">
      <c r="A19" s="5">
        <v>105</v>
      </c>
      <c r="B19" s="6">
        <v>43776</v>
      </c>
      <c r="C19" s="7">
        <v>0.65</v>
      </c>
      <c r="D19" s="5">
        <v>9.67</v>
      </c>
      <c r="E19" s="5">
        <v>353.2</v>
      </c>
      <c r="F19" s="5">
        <v>368.1</v>
      </c>
      <c r="G19" s="6">
        <v>43776</v>
      </c>
      <c r="H19" s="5" t="s">
        <v>60</v>
      </c>
      <c r="I19" s="5" t="s">
        <v>57</v>
      </c>
      <c r="J19" s="5">
        <f t="shared" si="0"/>
        <v>14.900000000000034</v>
      </c>
      <c r="K19" s="8" t="b">
        <f t="shared" si="1"/>
        <v>1</v>
      </c>
    </row>
    <row r="20" spans="1:11">
      <c r="A20" s="5">
        <v>105</v>
      </c>
      <c r="B20" s="6">
        <v>43778</v>
      </c>
      <c r="C20" s="7">
        <v>0.65</v>
      </c>
      <c r="D20" s="5">
        <v>9.67</v>
      </c>
      <c r="E20" s="5">
        <v>368.1</v>
      </c>
      <c r="F20" s="5">
        <v>385.8</v>
      </c>
      <c r="G20" s="6">
        <v>43778</v>
      </c>
      <c r="H20" s="5" t="s">
        <v>60</v>
      </c>
      <c r="I20" s="5" t="s">
        <v>57</v>
      </c>
      <c r="J20" s="5">
        <f t="shared" si="0"/>
        <v>17.699999999999989</v>
      </c>
      <c r="K20" s="8" t="b">
        <f t="shared" si="1"/>
        <v>1</v>
      </c>
    </row>
    <row r="21" spans="1:11">
      <c r="A21" s="5">
        <v>105</v>
      </c>
      <c r="B21" s="6">
        <v>43781</v>
      </c>
      <c r="C21" s="7">
        <v>0.65</v>
      </c>
      <c r="D21" s="5">
        <v>9.67</v>
      </c>
      <c r="E21" s="5">
        <v>385.8</v>
      </c>
      <c r="F21" s="5">
        <v>403.5</v>
      </c>
      <c r="G21" s="6">
        <v>43781</v>
      </c>
      <c r="H21" s="5" t="s">
        <v>60</v>
      </c>
      <c r="I21" s="5" t="s">
        <v>57</v>
      </c>
      <c r="J21" s="5">
        <f t="shared" si="0"/>
        <v>17.699999999999989</v>
      </c>
      <c r="K21" s="8" t="b">
        <f t="shared" si="1"/>
        <v>1</v>
      </c>
    </row>
    <row r="22" spans="1:11">
      <c r="A22" s="5">
        <v>105</v>
      </c>
      <c r="B22" s="6">
        <v>43784</v>
      </c>
      <c r="C22" s="7">
        <v>0.65</v>
      </c>
      <c r="D22" s="5">
        <v>9.67</v>
      </c>
      <c r="E22" s="5">
        <v>403.5</v>
      </c>
      <c r="F22" s="5">
        <v>421.3</v>
      </c>
      <c r="G22" s="6">
        <v>43784</v>
      </c>
      <c r="H22" s="5" t="s">
        <v>61</v>
      </c>
      <c r="I22" s="5" t="s">
        <v>57</v>
      </c>
      <c r="J22" s="5">
        <f t="shared" si="0"/>
        <v>17.800000000000011</v>
      </c>
      <c r="K22" s="8" t="b">
        <f t="shared" si="1"/>
        <v>1</v>
      </c>
    </row>
    <row r="23" spans="1:11">
      <c r="A23" s="5">
        <v>105</v>
      </c>
      <c r="B23" s="6">
        <v>43785</v>
      </c>
      <c r="C23" s="7">
        <v>0.65</v>
      </c>
      <c r="D23" s="5">
        <v>9.67</v>
      </c>
      <c r="E23" s="5">
        <v>421.3</v>
      </c>
      <c r="F23" s="5">
        <v>439.5</v>
      </c>
      <c r="G23" s="6">
        <v>43785</v>
      </c>
      <c r="H23" s="5" t="s">
        <v>61</v>
      </c>
      <c r="I23" s="5" t="s">
        <v>57</v>
      </c>
      <c r="J23" s="5">
        <f t="shared" si="0"/>
        <v>18.199999999999989</v>
      </c>
      <c r="K23" s="8" t="b">
        <f t="shared" si="1"/>
        <v>1</v>
      </c>
    </row>
    <row r="24" spans="1:11">
      <c r="A24" s="5">
        <v>105</v>
      </c>
      <c r="B24" s="6">
        <v>43790</v>
      </c>
      <c r="C24" s="7">
        <v>1</v>
      </c>
      <c r="D24" s="5">
        <v>5.8</v>
      </c>
      <c r="E24" s="5">
        <v>439.5</v>
      </c>
      <c r="F24" s="5">
        <v>451.6</v>
      </c>
      <c r="G24" s="6">
        <v>43790</v>
      </c>
      <c r="H24" s="5" t="s">
        <v>61</v>
      </c>
      <c r="I24" s="5" t="s">
        <v>57</v>
      </c>
      <c r="J24" s="5">
        <f t="shared" si="0"/>
        <v>12.100000000000023</v>
      </c>
      <c r="K24" s="8" t="b">
        <f t="shared" si="1"/>
        <v>1</v>
      </c>
    </row>
    <row r="25" spans="1:11">
      <c r="A25" s="5">
        <v>105</v>
      </c>
      <c r="B25" s="6">
        <v>43791</v>
      </c>
      <c r="C25" s="7">
        <v>0.8</v>
      </c>
      <c r="D25" s="9">
        <v>7.25</v>
      </c>
      <c r="E25" s="5">
        <v>451.6</v>
      </c>
      <c r="F25" s="5">
        <v>468.5</v>
      </c>
      <c r="G25" s="6">
        <v>43791</v>
      </c>
      <c r="H25" s="5" t="s">
        <v>61</v>
      </c>
      <c r="I25" s="5" t="s">
        <v>57</v>
      </c>
      <c r="J25" s="5">
        <f t="shared" si="0"/>
        <v>16.899999999999977</v>
      </c>
      <c r="K25" s="8" t="b">
        <f t="shared" si="1"/>
        <v>1</v>
      </c>
    </row>
    <row r="26" spans="1:11">
      <c r="A26" s="5">
        <v>105</v>
      </c>
      <c r="B26" s="6">
        <v>43793</v>
      </c>
      <c r="C26" s="7">
        <v>0.8</v>
      </c>
      <c r="D26" s="9">
        <v>7.25</v>
      </c>
      <c r="E26" s="5">
        <v>468.5</v>
      </c>
      <c r="F26" s="5">
        <v>481.3</v>
      </c>
      <c r="G26" s="6">
        <v>43793</v>
      </c>
      <c r="H26" s="5" t="s">
        <v>61</v>
      </c>
      <c r="I26" s="5" t="s">
        <v>57</v>
      </c>
      <c r="J26" s="5">
        <f t="shared" si="0"/>
        <v>12.800000000000011</v>
      </c>
      <c r="K26" s="8" t="b">
        <f t="shared" si="1"/>
        <v>1</v>
      </c>
    </row>
    <row r="27" spans="1:11">
      <c r="A27" s="5">
        <v>105</v>
      </c>
      <c r="B27" s="6">
        <v>43798</v>
      </c>
      <c r="C27" s="7">
        <v>0.8</v>
      </c>
      <c r="D27" s="9">
        <v>7.25</v>
      </c>
      <c r="E27" s="5">
        <v>481.3</v>
      </c>
      <c r="F27" s="5">
        <v>490</v>
      </c>
      <c r="G27" s="6">
        <v>43798</v>
      </c>
      <c r="H27" s="5" t="s">
        <v>59</v>
      </c>
      <c r="I27" s="5" t="s">
        <v>57</v>
      </c>
      <c r="J27" s="5">
        <f t="shared" si="0"/>
        <v>8.6999999999999886</v>
      </c>
      <c r="K27" s="8" t="b">
        <f t="shared" si="1"/>
        <v>1</v>
      </c>
    </row>
    <row r="28" spans="1:11">
      <c r="A28" s="5">
        <v>105</v>
      </c>
      <c r="B28" s="6">
        <v>43805</v>
      </c>
      <c r="C28" s="7">
        <v>0.7</v>
      </c>
      <c r="D28" s="5">
        <v>8.2899999999999991</v>
      </c>
      <c r="E28" s="5">
        <v>490</v>
      </c>
      <c r="F28" s="5">
        <v>509.2</v>
      </c>
      <c r="G28" s="6">
        <v>43805</v>
      </c>
      <c r="H28" s="5" t="s">
        <v>59</v>
      </c>
      <c r="I28" s="5" t="s">
        <v>57</v>
      </c>
      <c r="J28" s="5">
        <f t="shared" si="0"/>
        <v>19.199999999999989</v>
      </c>
      <c r="K28" s="8" t="b">
        <f t="shared" si="1"/>
        <v>1</v>
      </c>
    </row>
    <row r="29" spans="1:11">
      <c r="A29" s="5">
        <v>105</v>
      </c>
      <c r="B29" s="6">
        <v>43806</v>
      </c>
      <c r="C29" s="7">
        <v>1</v>
      </c>
      <c r="D29" s="9">
        <v>5.8</v>
      </c>
      <c r="E29" s="5">
        <v>509.2</v>
      </c>
      <c r="F29" s="5">
        <v>521.6</v>
      </c>
      <c r="G29" s="6">
        <v>43806</v>
      </c>
      <c r="H29" s="5" t="s">
        <v>59</v>
      </c>
      <c r="I29" s="5" t="s">
        <v>57</v>
      </c>
      <c r="J29" s="5">
        <f t="shared" si="0"/>
        <v>12.400000000000034</v>
      </c>
      <c r="K29" s="8" t="b">
        <f t="shared" si="1"/>
        <v>1</v>
      </c>
    </row>
    <row r="30" spans="1:11">
      <c r="A30" s="5">
        <v>105</v>
      </c>
      <c r="B30" s="6">
        <v>43809</v>
      </c>
      <c r="C30" s="7">
        <v>0.7</v>
      </c>
      <c r="D30" s="5">
        <v>8.2899999999999991</v>
      </c>
      <c r="E30" s="5">
        <v>521.6</v>
      </c>
      <c r="F30" s="5">
        <v>538.4</v>
      </c>
      <c r="G30" s="6">
        <v>43809</v>
      </c>
      <c r="H30" s="5" t="s">
        <v>62</v>
      </c>
      <c r="I30" s="5" t="s">
        <v>57</v>
      </c>
      <c r="J30" s="5">
        <f t="shared" si="0"/>
        <v>16.799999999999955</v>
      </c>
      <c r="K30" s="8" t="b">
        <f t="shared" si="1"/>
        <v>1</v>
      </c>
    </row>
    <row r="31" spans="1:11">
      <c r="A31" s="5">
        <v>105</v>
      </c>
      <c r="B31" s="6">
        <v>43811</v>
      </c>
      <c r="C31" s="7">
        <v>0.7</v>
      </c>
      <c r="D31" s="5">
        <v>8.2899999999999991</v>
      </c>
      <c r="E31" s="5">
        <v>538.4</v>
      </c>
      <c r="F31" s="5">
        <v>555.4</v>
      </c>
      <c r="G31" s="6">
        <v>43811</v>
      </c>
      <c r="H31" s="5" t="s">
        <v>62</v>
      </c>
      <c r="I31" s="5" t="s">
        <v>57</v>
      </c>
      <c r="J31" s="5">
        <f t="shared" si="0"/>
        <v>17</v>
      </c>
      <c r="K31" s="8" t="b">
        <f t="shared" si="1"/>
        <v>1</v>
      </c>
    </row>
    <row r="32" spans="1:11">
      <c r="A32" s="5">
        <v>105</v>
      </c>
      <c r="B32" s="6">
        <v>43813</v>
      </c>
      <c r="C32" s="7">
        <v>0.7</v>
      </c>
      <c r="D32" s="5">
        <v>8.2899999999999991</v>
      </c>
      <c r="E32" s="5">
        <v>555.4</v>
      </c>
      <c r="F32" s="5">
        <v>575.29999999999995</v>
      </c>
      <c r="G32" s="6">
        <v>43813</v>
      </c>
      <c r="H32" s="5" t="s">
        <v>62</v>
      </c>
      <c r="I32" s="5" t="s">
        <v>65</v>
      </c>
      <c r="J32" s="5">
        <f t="shared" si="0"/>
        <v>19.899999999999977</v>
      </c>
      <c r="K32" s="8" t="b">
        <f t="shared" si="1"/>
        <v>1</v>
      </c>
    </row>
    <row r="33" spans="1:11">
      <c r="A33" s="5">
        <v>105</v>
      </c>
      <c r="B33" s="6">
        <v>43815</v>
      </c>
      <c r="C33" s="7">
        <v>0.7</v>
      </c>
      <c r="D33" s="5">
        <v>8.2899999999999991</v>
      </c>
      <c r="E33" s="5">
        <v>575.29999999999995</v>
      </c>
      <c r="F33" s="5">
        <v>592.6</v>
      </c>
      <c r="G33" s="6">
        <v>43815</v>
      </c>
      <c r="H33" s="5" t="s">
        <v>62</v>
      </c>
      <c r="I33" s="5" t="s">
        <v>65</v>
      </c>
      <c r="J33" s="5">
        <f t="shared" si="0"/>
        <v>17.300000000000068</v>
      </c>
      <c r="K33" s="8" t="b">
        <f t="shared" si="1"/>
        <v>1</v>
      </c>
    </row>
    <row r="34" spans="1:11">
      <c r="A34" s="5">
        <v>105</v>
      </c>
      <c r="B34" s="6">
        <v>43818</v>
      </c>
      <c r="C34" s="7">
        <v>0.7</v>
      </c>
      <c r="D34" s="5">
        <v>8.2899999999999991</v>
      </c>
      <c r="E34" s="5">
        <v>592.6</v>
      </c>
      <c r="F34" s="5">
        <v>608.29999999999995</v>
      </c>
      <c r="G34" s="6">
        <v>43818</v>
      </c>
      <c r="H34" s="5" t="s">
        <v>62</v>
      </c>
      <c r="I34" s="5" t="s">
        <v>65</v>
      </c>
      <c r="J34" s="5">
        <f t="shared" si="0"/>
        <v>15.699999999999932</v>
      </c>
      <c r="K34" s="8" t="b">
        <f t="shared" si="1"/>
        <v>1</v>
      </c>
    </row>
    <row r="35" spans="1:11">
      <c r="A35" s="5">
        <v>105</v>
      </c>
      <c r="B35" s="6">
        <v>43819</v>
      </c>
      <c r="C35" s="7">
        <v>0.7</v>
      </c>
      <c r="D35" s="5">
        <v>8.2899999999999991</v>
      </c>
      <c r="E35" s="5">
        <v>608.29999999999995</v>
      </c>
      <c r="F35" s="5">
        <v>623.9</v>
      </c>
      <c r="G35" s="6">
        <v>43819</v>
      </c>
      <c r="H35" s="5" t="s">
        <v>62</v>
      </c>
      <c r="I35" s="5" t="s">
        <v>65</v>
      </c>
      <c r="J35" s="5">
        <f t="shared" si="0"/>
        <v>15.600000000000023</v>
      </c>
      <c r="K35" s="8" t="b">
        <f t="shared" si="1"/>
        <v>1</v>
      </c>
    </row>
    <row r="36" spans="1:11">
      <c r="A36" s="5">
        <v>105</v>
      </c>
      <c r="B36" s="6">
        <v>43820</v>
      </c>
      <c r="C36" s="7">
        <v>0.7</v>
      </c>
      <c r="D36" s="5">
        <v>8.2899999999999991</v>
      </c>
      <c r="E36" s="5">
        <v>623.9</v>
      </c>
      <c r="F36" s="5">
        <v>640</v>
      </c>
      <c r="G36" s="6">
        <v>43820</v>
      </c>
      <c r="H36" s="5" t="s">
        <v>62</v>
      </c>
      <c r="I36" s="5" t="s">
        <v>65</v>
      </c>
      <c r="J36" s="5">
        <f t="shared" si="0"/>
        <v>16.100000000000023</v>
      </c>
      <c r="K36" s="8" t="b">
        <f t="shared" si="1"/>
        <v>0</v>
      </c>
    </row>
    <row r="37" spans="1:11">
      <c r="A37" s="5">
        <v>105</v>
      </c>
      <c r="B37" s="6">
        <v>43821</v>
      </c>
      <c r="C37" s="7">
        <v>0.7</v>
      </c>
      <c r="D37" s="5">
        <v>8.2899999999999991</v>
      </c>
      <c r="E37" s="5">
        <v>623</v>
      </c>
      <c r="F37" s="5">
        <v>640</v>
      </c>
      <c r="G37" s="6">
        <v>43821</v>
      </c>
      <c r="H37" s="5" t="s">
        <v>62</v>
      </c>
      <c r="I37" s="5" t="s">
        <v>65</v>
      </c>
      <c r="J37" s="5">
        <f t="shared" si="0"/>
        <v>17</v>
      </c>
      <c r="K37" s="8" t="b">
        <f t="shared" si="1"/>
        <v>1</v>
      </c>
    </row>
    <row r="38" spans="1:11">
      <c r="A38" s="5">
        <v>105</v>
      </c>
      <c r="B38" s="6">
        <v>43822</v>
      </c>
      <c r="C38" s="7">
        <v>0.7</v>
      </c>
      <c r="D38" s="5">
        <v>8.2899999999999991</v>
      </c>
      <c r="E38" s="5">
        <v>640</v>
      </c>
      <c r="F38" s="5">
        <v>655</v>
      </c>
      <c r="G38" s="6">
        <v>43822</v>
      </c>
      <c r="H38" s="5" t="s">
        <v>62</v>
      </c>
      <c r="I38" s="5" t="s">
        <v>65</v>
      </c>
      <c r="J38" s="5">
        <f t="shared" si="0"/>
        <v>15</v>
      </c>
      <c r="K38" s="8" t="b">
        <f t="shared" si="1"/>
        <v>1</v>
      </c>
    </row>
    <row r="39" spans="1:11">
      <c r="A39" s="5">
        <v>105</v>
      </c>
      <c r="B39" s="6">
        <v>43824</v>
      </c>
      <c r="C39" s="7">
        <v>0.7</v>
      </c>
      <c r="D39" s="5">
        <v>8.2899999999999991</v>
      </c>
      <c r="E39" s="5">
        <v>655</v>
      </c>
      <c r="F39" s="5">
        <v>672</v>
      </c>
      <c r="G39" s="6">
        <v>43824</v>
      </c>
      <c r="H39" s="5" t="s">
        <v>62</v>
      </c>
      <c r="I39" s="5" t="s">
        <v>65</v>
      </c>
      <c r="J39" s="5">
        <f t="shared" si="0"/>
        <v>17</v>
      </c>
      <c r="K39" s="8" t="b">
        <f t="shared" ref="K39:K57" si="2">F39=E40</f>
        <v>1</v>
      </c>
    </row>
    <row r="40" spans="1:11">
      <c r="A40" s="5">
        <v>105</v>
      </c>
      <c r="B40" s="6">
        <v>43826</v>
      </c>
      <c r="C40" s="7">
        <v>0.7</v>
      </c>
      <c r="D40" s="5">
        <v>8.2899999999999991</v>
      </c>
      <c r="E40" s="5">
        <v>672</v>
      </c>
      <c r="F40" s="5">
        <v>689</v>
      </c>
      <c r="G40" s="6">
        <v>43826</v>
      </c>
      <c r="H40" s="5" t="s">
        <v>62</v>
      </c>
      <c r="I40" s="5" t="s">
        <v>65</v>
      </c>
      <c r="J40" s="5">
        <f t="shared" si="0"/>
        <v>17</v>
      </c>
      <c r="K40" s="8" t="b">
        <f t="shared" si="2"/>
        <v>1</v>
      </c>
    </row>
    <row r="41" spans="1:11">
      <c r="A41" s="5">
        <v>105</v>
      </c>
      <c r="B41" s="6">
        <v>43828</v>
      </c>
      <c r="C41" s="7">
        <v>0.7</v>
      </c>
      <c r="D41" s="5">
        <v>8.2899999999999991</v>
      </c>
      <c r="E41" s="5">
        <v>689</v>
      </c>
      <c r="F41" s="5">
        <v>706.2</v>
      </c>
      <c r="G41" s="6">
        <v>43828</v>
      </c>
      <c r="H41" s="5"/>
      <c r="I41" s="5"/>
      <c r="J41" s="5">
        <f t="shared" si="0"/>
        <v>17.200000000000045</v>
      </c>
      <c r="K41" s="8" t="b">
        <f t="shared" si="2"/>
        <v>1</v>
      </c>
    </row>
    <row r="42" spans="1:11">
      <c r="A42" s="5">
        <v>105</v>
      </c>
      <c r="B42" s="6">
        <v>43478</v>
      </c>
      <c r="C42" s="7">
        <v>1</v>
      </c>
      <c r="D42" s="5">
        <v>5.8</v>
      </c>
      <c r="E42" s="5">
        <v>706.2</v>
      </c>
      <c r="F42" s="5">
        <v>726</v>
      </c>
      <c r="G42" s="6">
        <v>43478</v>
      </c>
      <c r="H42" s="5"/>
      <c r="I42" s="5"/>
      <c r="J42" s="5">
        <f t="shared" si="0"/>
        <v>19.799999999999955</v>
      </c>
      <c r="K42" s="8" t="b">
        <f t="shared" si="2"/>
        <v>0</v>
      </c>
    </row>
    <row r="43" spans="1:11">
      <c r="A43" s="5">
        <v>105</v>
      </c>
      <c r="B43" s="6">
        <v>43479</v>
      </c>
      <c r="C43" s="7">
        <v>1</v>
      </c>
      <c r="D43" s="5">
        <v>5.8</v>
      </c>
      <c r="E43" s="5">
        <v>1.9</v>
      </c>
      <c r="F43" s="5">
        <v>16.5</v>
      </c>
      <c r="G43" s="6">
        <v>43479</v>
      </c>
      <c r="H43" s="5"/>
      <c r="I43" s="5"/>
      <c r="J43" s="5">
        <f t="shared" si="0"/>
        <v>14.6</v>
      </c>
      <c r="K43" s="8" t="b">
        <f t="shared" si="2"/>
        <v>1</v>
      </c>
    </row>
    <row r="44" spans="1:11">
      <c r="A44" s="5">
        <v>105</v>
      </c>
      <c r="B44" s="6">
        <v>43847</v>
      </c>
      <c r="C44" s="7">
        <v>0.7</v>
      </c>
      <c r="D44" s="5">
        <v>8.2899999999999991</v>
      </c>
      <c r="E44" s="5">
        <v>16.5</v>
      </c>
      <c r="F44" s="5">
        <v>33.799999999999997</v>
      </c>
      <c r="G44" s="6">
        <v>43846</v>
      </c>
      <c r="H44" s="5"/>
      <c r="I44" s="5"/>
      <c r="J44" s="5">
        <f t="shared" si="0"/>
        <v>17.299999999999997</v>
      </c>
      <c r="K44" s="8" t="b">
        <f t="shared" si="2"/>
        <v>1</v>
      </c>
    </row>
    <row r="45" spans="1:11">
      <c r="A45" s="5">
        <v>105</v>
      </c>
      <c r="B45" s="6">
        <v>43848</v>
      </c>
      <c r="C45" s="7">
        <v>0.7</v>
      </c>
      <c r="D45" s="5">
        <v>8.2899999999999991</v>
      </c>
      <c r="E45" s="5">
        <v>33.799999999999997</v>
      </c>
      <c r="F45" s="5">
        <v>56</v>
      </c>
      <c r="G45" s="6">
        <v>43848</v>
      </c>
      <c r="H45" s="5"/>
      <c r="I45" s="5"/>
      <c r="J45" s="5">
        <f t="shared" si="0"/>
        <v>22.200000000000003</v>
      </c>
      <c r="K45" s="8" t="b">
        <f>F45=E48</f>
        <v>0</v>
      </c>
    </row>
    <row r="46" spans="1:11">
      <c r="A46" s="5"/>
      <c r="B46" s="6"/>
      <c r="C46" s="7"/>
      <c r="D46" s="5"/>
      <c r="E46" s="5"/>
      <c r="F46" s="5"/>
      <c r="G46" s="6"/>
      <c r="H46" s="5"/>
      <c r="I46" s="5"/>
      <c r="J46" s="5"/>
      <c r="K46" s="8"/>
    </row>
    <row r="47" spans="1:11" ht="26.25">
      <c r="A47" s="144" t="s">
        <v>64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7"/>
    </row>
    <row r="48" spans="1:11" ht="26.25">
      <c r="A48" s="144" t="s">
        <v>51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7"/>
    </row>
    <row r="49" spans="1:11" ht="15.75" thickBot="1"/>
    <row r="50" spans="1:11" ht="15.75" thickBot="1">
      <c r="A50" s="132" t="s">
        <v>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4"/>
    </row>
    <row r="52" spans="1:11" ht="19.5" thickBot="1">
      <c r="A52" s="1" t="s">
        <v>3</v>
      </c>
      <c r="B52" s="1"/>
      <c r="C52" s="1"/>
      <c r="D52" s="1"/>
      <c r="E52" s="1"/>
      <c r="F52" s="1"/>
      <c r="G52" s="1"/>
      <c r="H52" s="1"/>
      <c r="I52" s="1"/>
    </row>
    <row r="53" spans="1:11" ht="30.75" thickBot="1">
      <c r="A53" s="2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9</v>
      </c>
      <c r="G53" s="3" t="s">
        <v>10</v>
      </c>
      <c r="H53" s="3" t="s">
        <v>21</v>
      </c>
      <c r="I53" s="4" t="s">
        <v>22</v>
      </c>
      <c r="J53" s="4" t="s">
        <v>11</v>
      </c>
      <c r="K53" s="4" t="s">
        <v>12</v>
      </c>
    </row>
    <row r="54" spans="1:11">
      <c r="A54" s="5">
        <v>105</v>
      </c>
      <c r="B54" s="6">
        <v>43910</v>
      </c>
      <c r="C54" s="7">
        <v>0.8</v>
      </c>
      <c r="D54" s="5">
        <v>7.25</v>
      </c>
      <c r="E54" s="5">
        <v>245</v>
      </c>
      <c r="F54" s="5">
        <v>260.10000000000002</v>
      </c>
      <c r="G54" s="6">
        <v>43910</v>
      </c>
      <c r="H54" s="5"/>
      <c r="I54" s="5"/>
      <c r="J54" s="5">
        <f t="shared" ref="J54:J61" si="3">F54-E54</f>
        <v>15.100000000000023</v>
      </c>
      <c r="K54" s="8" t="b">
        <f t="shared" si="2"/>
        <v>1</v>
      </c>
    </row>
    <row r="55" spans="1:11">
      <c r="A55" s="5">
        <v>105</v>
      </c>
      <c r="B55" s="6">
        <v>43913</v>
      </c>
      <c r="C55" s="7">
        <v>0.8</v>
      </c>
      <c r="D55" s="5">
        <v>7.25</v>
      </c>
      <c r="E55" s="5">
        <v>260.10000000000002</v>
      </c>
      <c r="F55" s="5">
        <v>268.8</v>
      </c>
      <c r="G55" s="6">
        <v>43913</v>
      </c>
      <c r="H55" s="5"/>
      <c r="I55" s="5"/>
      <c r="J55" s="5">
        <f t="shared" si="3"/>
        <v>8.6999999999999886</v>
      </c>
      <c r="K55" s="8" t="b">
        <f t="shared" si="2"/>
        <v>1</v>
      </c>
    </row>
    <row r="56" spans="1:11">
      <c r="A56" s="5">
        <v>105</v>
      </c>
      <c r="B56" s="6">
        <v>43921</v>
      </c>
      <c r="C56" s="7">
        <v>0.8</v>
      </c>
      <c r="D56" s="5">
        <v>7.25</v>
      </c>
      <c r="E56" s="5">
        <v>268.8</v>
      </c>
      <c r="F56" s="5">
        <v>283.3</v>
      </c>
      <c r="G56" s="6">
        <v>43921</v>
      </c>
      <c r="H56" s="5"/>
      <c r="I56" s="5"/>
      <c r="J56" s="5">
        <f t="shared" si="3"/>
        <v>14.5</v>
      </c>
      <c r="K56" s="8" t="b">
        <f t="shared" si="2"/>
        <v>1</v>
      </c>
    </row>
    <row r="57" spans="1:11">
      <c r="A57" s="5">
        <v>105</v>
      </c>
      <c r="B57" s="6">
        <v>43923</v>
      </c>
      <c r="C57" s="7">
        <v>1</v>
      </c>
      <c r="D57" s="5">
        <v>5.8</v>
      </c>
      <c r="E57" s="5">
        <v>283.3</v>
      </c>
      <c r="F57" s="5">
        <v>289.39999999999998</v>
      </c>
      <c r="G57" s="6">
        <v>43923</v>
      </c>
      <c r="H57" s="5"/>
      <c r="I57" s="5"/>
      <c r="J57" s="5">
        <f t="shared" si="3"/>
        <v>6.0999999999999659</v>
      </c>
      <c r="K57" s="8" t="b">
        <f t="shared" si="2"/>
        <v>1</v>
      </c>
    </row>
    <row r="58" spans="1:11">
      <c r="A58" s="5">
        <v>105</v>
      </c>
      <c r="B58" s="6">
        <v>43924</v>
      </c>
      <c r="C58" s="7">
        <v>1</v>
      </c>
      <c r="D58" s="5">
        <v>5.8</v>
      </c>
      <c r="E58" s="5">
        <v>289.39999999999998</v>
      </c>
      <c r="F58" s="5">
        <v>300</v>
      </c>
      <c r="G58" s="6">
        <v>43924</v>
      </c>
      <c r="H58" s="5"/>
      <c r="I58" s="5"/>
      <c r="J58" s="5">
        <f t="shared" si="3"/>
        <v>10.600000000000023</v>
      </c>
      <c r="K58" s="8" t="b">
        <f>F58=E59</f>
        <v>1</v>
      </c>
    </row>
    <row r="59" spans="1:11">
      <c r="A59" s="5">
        <v>105</v>
      </c>
      <c r="B59" s="6">
        <v>43925</v>
      </c>
      <c r="C59" s="7">
        <v>0.8</v>
      </c>
      <c r="D59" s="5">
        <v>7.25</v>
      </c>
      <c r="E59" s="5">
        <v>300</v>
      </c>
      <c r="F59" s="5">
        <v>315</v>
      </c>
      <c r="G59" s="6">
        <v>43925</v>
      </c>
      <c r="H59" s="5"/>
      <c r="I59" s="5"/>
      <c r="J59" s="5">
        <f t="shared" si="3"/>
        <v>15</v>
      </c>
      <c r="K59" s="8" t="b">
        <f>F59=E60</f>
        <v>0</v>
      </c>
    </row>
    <row r="60" spans="1:11">
      <c r="A60" s="5">
        <v>105</v>
      </c>
      <c r="B60" s="6">
        <v>43931</v>
      </c>
      <c r="C60" s="7">
        <v>0.8</v>
      </c>
      <c r="D60" s="5">
        <v>7.25</v>
      </c>
      <c r="E60" s="5">
        <v>30</v>
      </c>
      <c r="F60" s="5">
        <v>44</v>
      </c>
      <c r="G60" s="6">
        <v>43931</v>
      </c>
      <c r="H60" s="5"/>
      <c r="I60" s="5"/>
      <c r="J60" s="5">
        <f t="shared" si="3"/>
        <v>14</v>
      </c>
      <c r="K60" s="8" t="b">
        <f>F60=E61</f>
        <v>1</v>
      </c>
    </row>
    <row r="61" spans="1:11">
      <c r="A61" s="5">
        <v>105</v>
      </c>
      <c r="B61" s="6">
        <v>43935</v>
      </c>
      <c r="C61" s="7">
        <v>0.8</v>
      </c>
      <c r="D61" s="5">
        <v>7.25</v>
      </c>
      <c r="E61" s="5">
        <v>44</v>
      </c>
      <c r="F61" s="5">
        <v>58</v>
      </c>
      <c r="G61" s="6">
        <v>43935</v>
      </c>
      <c r="H61" s="5"/>
      <c r="I61" s="5"/>
      <c r="J61" s="5">
        <f t="shared" si="3"/>
        <v>14</v>
      </c>
      <c r="K61" s="8" t="b">
        <f>F61=E62</f>
        <v>1</v>
      </c>
    </row>
    <row r="62" spans="1:11">
      <c r="A62" s="5">
        <v>105</v>
      </c>
      <c r="B62" s="6">
        <v>43942</v>
      </c>
      <c r="C62" s="7">
        <v>0.8</v>
      </c>
      <c r="D62" s="5">
        <v>7.25</v>
      </c>
      <c r="E62" s="5">
        <v>58</v>
      </c>
      <c r="F62" s="5">
        <v>73</v>
      </c>
      <c r="G62" s="6">
        <v>43942</v>
      </c>
      <c r="H62" s="5"/>
      <c r="I62" s="5"/>
      <c r="J62" s="5">
        <f t="shared" ref="J62:J69" si="4">F62-E62</f>
        <v>15</v>
      </c>
      <c r="K62" s="8" t="b">
        <f t="shared" ref="K62:K69" si="5">F62=E63</f>
        <v>1</v>
      </c>
    </row>
    <row r="63" spans="1:11">
      <c r="A63" s="5">
        <v>105</v>
      </c>
      <c r="B63" s="6">
        <v>43947</v>
      </c>
      <c r="C63" s="7">
        <v>0.8</v>
      </c>
      <c r="D63" s="5">
        <v>7.25</v>
      </c>
      <c r="E63" s="5">
        <v>73</v>
      </c>
      <c r="F63" s="5">
        <v>93</v>
      </c>
      <c r="G63" s="6">
        <v>43947</v>
      </c>
      <c r="H63" s="5"/>
      <c r="I63" s="5"/>
      <c r="J63" s="5">
        <f t="shared" si="4"/>
        <v>20</v>
      </c>
      <c r="K63" s="8" t="b">
        <f t="shared" si="5"/>
        <v>1</v>
      </c>
    </row>
    <row r="64" spans="1:11">
      <c r="A64" s="5">
        <v>105</v>
      </c>
      <c r="B64" s="6">
        <v>43949</v>
      </c>
      <c r="C64" s="7">
        <v>0.8</v>
      </c>
      <c r="D64" s="5">
        <v>7.25</v>
      </c>
      <c r="E64" s="5">
        <v>93</v>
      </c>
      <c r="F64" s="5">
        <v>107</v>
      </c>
      <c r="G64" s="6">
        <v>43949</v>
      </c>
      <c r="H64" s="5"/>
      <c r="I64" s="5"/>
      <c r="J64" s="5">
        <f t="shared" si="4"/>
        <v>14</v>
      </c>
      <c r="K64" s="8" t="b">
        <f t="shared" si="5"/>
        <v>1</v>
      </c>
    </row>
    <row r="65" spans="1:11">
      <c r="A65" s="5">
        <v>105</v>
      </c>
      <c r="B65" s="6">
        <v>0</v>
      </c>
      <c r="C65" s="7">
        <v>0.8</v>
      </c>
      <c r="D65" s="5">
        <v>7.25</v>
      </c>
      <c r="E65" s="5">
        <v>107</v>
      </c>
      <c r="F65" s="5">
        <v>124</v>
      </c>
      <c r="G65" s="6">
        <v>43955</v>
      </c>
      <c r="H65" s="5"/>
      <c r="I65" s="5"/>
      <c r="J65" s="5">
        <f t="shared" si="4"/>
        <v>17</v>
      </c>
      <c r="K65" s="8" t="b">
        <f t="shared" si="5"/>
        <v>0</v>
      </c>
    </row>
    <row r="66" spans="1:11">
      <c r="A66" s="5">
        <v>105</v>
      </c>
      <c r="B66" s="6">
        <v>43962</v>
      </c>
      <c r="C66" s="7">
        <v>1</v>
      </c>
      <c r="D66" s="5">
        <v>5.8</v>
      </c>
      <c r="E66" s="5">
        <v>12.2</v>
      </c>
      <c r="F66" s="5">
        <v>19</v>
      </c>
      <c r="G66" s="6">
        <v>43962</v>
      </c>
      <c r="H66" s="5"/>
      <c r="I66" s="5"/>
      <c r="J66" s="5">
        <f t="shared" si="4"/>
        <v>6.8000000000000007</v>
      </c>
      <c r="K66" s="8" t="b">
        <f t="shared" si="5"/>
        <v>1</v>
      </c>
    </row>
    <row r="67" spans="1:11">
      <c r="A67" s="5">
        <v>105</v>
      </c>
      <c r="B67" s="6">
        <v>43963</v>
      </c>
      <c r="C67" s="7">
        <v>1</v>
      </c>
      <c r="D67" s="5">
        <v>5.8</v>
      </c>
      <c r="E67" s="5">
        <v>19</v>
      </c>
      <c r="F67" s="5">
        <v>24</v>
      </c>
      <c r="G67" s="6">
        <v>43963</v>
      </c>
      <c r="H67" s="5"/>
      <c r="I67" s="5"/>
      <c r="J67" s="5">
        <f t="shared" si="4"/>
        <v>5</v>
      </c>
      <c r="K67" s="8" t="b">
        <f t="shared" si="5"/>
        <v>1</v>
      </c>
    </row>
    <row r="68" spans="1:11">
      <c r="A68" s="5">
        <v>105</v>
      </c>
      <c r="B68" s="6">
        <v>43972</v>
      </c>
      <c r="C68" s="7">
        <v>0.7</v>
      </c>
      <c r="D68" s="5">
        <v>8.2799999999999994</v>
      </c>
      <c r="E68" s="5">
        <v>24</v>
      </c>
      <c r="F68" s="5">
        <v>46.8</v>
      </c>
      <c r="G68" s="6">
        <v>43972</v>
      </c>
      <c r="H68" s="5"/>
      <c r="I68" s="5"/>
      <c r="J68" s="5">
        <f t="shared" si="4"/>
        <v>22.799999999999997</v>
      </c>
      <c r="K68" s="8" t="b">
        <f t="shared" si="5"/>
        <v>1</v>
      </c>
    </row>
    <row r="69" spans="1:11">
      <c r="A69" s="5">
        <v>105</v>
      </c>
      <c r="B69" s="6">
        <v>43974</v>
      </c>
      <c r="C69" s="7">
        <v>0.8</v>
      </c>
      <c r="D69" s="5">
        <v>7.25</v>
      </c>
      <c r="E69" s="5">
        <v>46.8</v>
      </c>
      <c r="F69" s="5">
        <v>56.7</v>
      </c>
      <c r="G69" s="6">
        <v>43974</v>
      </c>
      <c r="H69" s="5"/>
      <c r="I69" s="5"/>
      <c r="J69" s="5">
        <f t="shared" si="4"/>
        <v>9.9000000000000057</v>
      </c>
      <c r="K69" s="8" t="b">
        <f t="shared" si="5"/>
        <v>1</v>
      </c>
    </row>
    <row r="70" spans="1:11">
      <c r="A70" s="5">
        <v>105</v>
      </c>
      <c r="B70" s="6">
        <v>43981</v>
      </c>
      <c r="C70" s="7">
        <v>0.7</v>
      </c>
      <c r="D70" s="5">
        <v>8.2799999999999994</v>
      </c>
      <c r="E70" s="5">
        <v>56.7</v>
      </c>
      <c r="F70" s="5">
        <v>72.2</v>
      </c>
      <c r="G70" s="6">
        <v>43981</v>
      </c>
      <c r="H70" s="5"/>
      <c r="I70" s="5"/>
      <c r="J70" s="5">
        <f>F70-E70</f>
        <v>15.5</v>
      </c>
      <c r="K70" s="8" t="b">
        <f>F70=E71</f>
        <v>1</v>
      </c>
    </row>
    <row r="71" spans="1:11">
      <c r="A71" s="5">
        <v>105</v>
      </c>
      <c r="B71" s="6">
        <v>43986</v>
      </c>
      <c r="C71" s="7">
        <v>0.7</v>
      </c>
      <c r="D71" s="5">
        <v>8.2799999999999994</v>
      </c>
      <c r="E71" s="5">
        <v>72.2</v>
      </c>
      <c r="F71" s="5">
        <v>88.5</v>
      </c>
      <c r="G71" s="6">
        <v>43986</v>
      </c>
      <c r="H71" s="5"/>
      <c r="I71" s="5"/>
      <c r="J71" s="5">
        <f>F71-E71</f>
        <v>16.299999999999997</v>
      </c>
      <c r="K71" s="8" t="b">
        <f>F71=E72</f>
        <v>1</v>
      </c>
    </row>
    <row r="72" spans="1:11">
      <c r="A72" s="5">
        <v>105</v>
      </c>
      <c r="B72" s="6">
        <v>43990</v>
      </c>
      <c r="C72" s="7">
        <v>0.7</v>
      </c>
      <c r="D72" s="5">
        <v>8.2799999999999994</v>
      </c>
      <c r="E72" s="5">
        <v>88.5</v>
      </c>
      <c r="F72" s="5">
        <v>105</v>
      </c>
      <c r="G72" s="6">
        <v>43990</v>
      </c>
      <c r="H72" s="5"/>
      <c r="I72" s="5"/>
      <c r="J72" s="5">
        <f>F72-E72</f>
        <v>16.5</v>
      </c>
      <c r="K72" s="8" t="b">
        <f>F72=E73</f>
        <v>0</v>
      </c>
    </row>
    <row r="73" spans="1:11">
      <c r="A73" s="5">
        <v>105</v>
      </c>
      <c r="B73" s="6">
        <v>43994</v>
      </c>
      <c r="C73" s="7">
        <v>0.7</v>
      </c>
      <c r="D73" s="5">
        <v>8.2799999999999994</v>
      </c>
      <c r="E73" s="5">
        <v>0</v>
      </c>
      <c r="F73" s="5">
        <v>16</v>
      </c>
      <c r="G73" s="6">
        <v>43994</v>
      </c>
      <c r="H73" s="5"/>
      <c r="I73" s="5"/>
      <c r="J73" s="5">
        <f>F73-E73</f>
        <v>16</v>
      </c>
      <c r="K73" s="8" t="b">
        <f>F73=E74</f>
        <v>1</v>
      </c>
    </row>
    <row r="74" spans="1:11">
      <c r="A74" s="5">
        <v>105</v>
      </c>
      <c r="B74" s="6">
        <v>44000</v>
      </c>
      <c r="C74" s="7">
        <v>0.7</v>
      </c>
      <c r="D74" s="5">
        <v>8.2799999999999994</v>
      </c>
      <c r="E74" s="5">
        <v>16</v>
      </c>
      <c r="F74" s="5">
        <v>33.6</v>
      </c>
      <c r="G74" s="6">
        <v>44000</v>
      </c>
      <c r="H74" s="5"/>
      <c r="I74" s="5"/>
      <c r="J74" s="5">
        <f>F74-E74</f>
        <v>17.600000000000001</v>
      </c>
      <c r="K74" s="8" t="b">
        <f>F74=E75</f>
        <v>1</v>
      </c>
    </row>
    <row r="75" spans="1:11">
      <c r="A75" s="5">
        <v>105</v>
      </c>
      <c r="B75" s="6">
        <v>44006</v>
      </c>
      <c r="C75" s="7">
        <v>0.7</v>
      </c>
      <c r="D75" s="5">
        <v>8.2799999999999994</v>
      </c>
      <c r="E75" s="5">
        <v>33.6</v>
      </c>
      <c r="F75" s="5">
        <v>50.1</v>
      </c>
      <c r="G75" s="6">
        <v>44006</v>
      </c>
      <c r="H75" s="5"/>
      <c r="I75" s="5"/>
      <c r="J75" s="5">
        <f t="shared" ref="J75:J81" si="6">F75-E75</f>
        <v>16.5</v>
      </c>
      <c r="K75" s="8" t="b">
        <f t="shared" ref="K75:K81" si="7">F75=E76</f>
        <v>0</v>
      </c>
    </row>
    <row r="76" spans="1:11">
      <c r="A76" s="5">
        <v>105</v>
      </c>
      <c r="B76" s="6">
        <v>44011</v>
      </c>
      <c r="C76" s="7">
        <v>0.7</v>
      </c>
      <c r="D76" s="5">
        <v>8.2799999999999994</v>
      </c>
      <c r="E76" s="5">
        <v>0</v>
      </c>
      <c r="F76" s="5">
        <v>10.3</v>
      </c>
      <c r="G76" s="6">
        <v>44011</v>
      </c>
      <c r="H76" s="5"/>
      <c r="I76" s="5"/>
      <c r="J76" s="5">
        <f t="shared" si="6"/>
        <v>10.3</v>
      </c>
      <c r="K76" s="8" t="b">
        <f t="shared" si="7"/>
        <v>1</v>
      </c>
    </row>
    <row r="77" spans="1:11">
      <c r="A77" s="5">
        <v>105</v>
      </c>
      <c r="B77" s="6">
        <v>44019</v>
      </c>
      <c r="C77" s="7">
        <v>0.7</v>
      </c>
      <c r="D77" s="5">
        <v>8.2799999999999994</v>
      </c>
      <c r="E77" s="5">
        <v>10.3</v>
      </c>
      <c r="F77" s="5">
        <v>20</v>
      </c>
      <c r="G77" s="6">
        <v>44019</v>
      </c>
      <c r="H77" s="5"/>
      <c r="I77" s="5"/>
      <c r="J77" s="5">
        <f t="shared" si="6"/>
        <v>9.6999999999999993</v>
      </c>
      <c r="K77" s="8" t="b">
        <f t="shared" si="7"/>
        <v>1</v>
      </c>
    </row>
    <row r="78" spans="1:11">
      <c r="A78" s="5">
        <v>105</v>
      </c>
      <c r="B78" s="6">
        <v>44025</v>
      </c>
      <c r="C78" s="7">
        <v>0.4</v>
      </c>
      <c r="D78" s="5">
        <v>14.5</v>
      </c>
      <c r="E78" s="5">
        <v>20</v>
      </c>
      <c r="F78" s="5">
        <v>49</v>
      </c>
      <c r="G78" s="6">
        <v>44025</v>
      </c>
      <c r="H78" s="5"/>
      <c r="I78" s="5"/>
      <c r="J78" s="5">
        <f t="shared" si="6"/>
        <v>29</v>
      </c>
      <c r="K78" s="8" t="b">
        <f t="shared" si="7"/>
        <v>1</v>
      </c>
    </row>
    <row r="79" spans="1:11">
      <c r="A79" s="5">
        <v>105</v>
      </c>
      <c r="B79" s="6">
        <v>44031</v>
      </c>
      <c r="C79" s="7">
        <v>0.4</v>
      </c>
      <c r="D79" s="5">
        <v>14.5</v>
      </c>
      <c r="E79" s="5">
        <v>49</v>
      </c>
      <c r="F79" s="5">
        <v>65.8</v>
      </c>
      <c r="G79" s="6">
        <v>44031</v>
      </c>
      <c r="H79" s="5"/>
      <c r="I79" s="5"/>
      <c r="J79" s="5">
        <f t="shared" si="6"/>
        <v>16.799999999999997</v>
      </c>
      <c r="K79" s="8" t="b">
        <f t="shared" si="7"/>
        <v>1</v>
      </c>
    </row>
    <row r="80" spans="1:11">
      <c r="A80" s="5" t="s">
        <v>66</v>
      </c>
      <c r="B80" s="6">
        <v>44032</v>
      </c>
      <c r="C80" s="7">
        <v>0.4</v>
      </c>
      <c r="D80" s="5">
        <v>14.5</v>
      </c>
      <c r="E80" s="5">
        <v>65.8</v>
      </c>
      <c r="F80" s="5">
        <v>78</v>
      </c>
      <c r="G80" s="6">
        <v>44032</v>
      </c>
      <c r="H80" s="5"/>
      <c r="I80" s="5"/>
      <c r="J80" s="5">
        <f t="shared" si="6"/>
        <v>12.200000000000003</v>
      </c>
      <c r="K80" s="8" t="b">
        <f t="shared" si="7"/>
        <v>1</v>
      </c>
    </row>
    <row r="81" spans="1:11">
      <c r="A81" s="5" t="s">
        <v>66</v>
      </c>
      <c r="B81" s="6">
        <v>44038</v>
      </c>
      <c r="C81" s="7">
        <v>0.4</v>
      </c>
      <c r="D81" s="5">
        <v>14.5</v>
      </c>
      <c r="E81" s="5">
        <v>78</v>
      </c>
      <c r="F81" s="5">
        <v>93</v>
      </c>
      <c r="G81" s="6">
        <v>44038</v>
      </c>
      <c r="H81" s="5"/>
      <c r="I81" s="5"/>
      <c r="J81" s="5">
        <f t="shared" si="6"/>
        <v>15</v>
      </c>
      <c r="K81" s="8" t="b">
        <f t="shared" si="7"/>
        <v>1</v>
      </c>
    </row>
    <row r="82" spans="1:11">
      <c r="A82" s="5" t="s">
        <v>66</v>
      </c>
      <c r="B82" s="6">
        <v>44039</v>
      </c>
      <c r="C82" s="7">
        <v>0.4</v>
      </c>
      <c r="D82" s="5">
        <v>14.5</v>
      </c>
      <c r="E82" s="5">
        <v>93</v>
      </c>
      <c r="F82" s="5">
        <v>107</v>
      </c>
      <c r="G82" s="6">
        <v>44039</v>
      </c>
      <c r="H82" s="5"/>
      <c r="I82" s="5"/>
      <c r="J82" s="5">
        <f>F82-E82</f>
        <v>14</v>
      </c>
      <c r="K82" s="8" t="b">
        <f>F82=E83</f>
        <v>1</v>
      </c>
    </row>
    <row r="83" spans="1:11">
      <c r="A83" s="5" t="s">
        <v>67</v>
      </c>
      <c r="B83" s="6">
        <v>44045</v>
      </c>
      <c r="C83" s="7">
        <v>0.4</v>
      </c>
      <c r="D83" s="5">
        <v>14.5</v>
      </c>
      <c r="E83" s="5">
        <v>107</v>
      </c>
      <c r="F83" s="5">
        <v>122</v>
      </c>
      <c r="G83" s="6">
        <v>44045</v>
      </c>
      <c r="H83" s="5"/>
      <c r="I83" s="5"/>
      <c r="J83" s="5">
        <f>F83-E83</f>
        <v>15</v>
      </c>
      <c r="K83" s="8" t="b">
        <f>F83=E84</f>
        <v>1</v>
      </c>
    </row>
    <row r="84" spans="1:11">
      <c r="A84" s="5" t="s">
        <v>66</v>
      </c>
      <c r="B84" s="6">
        <v>44046</v>
      </c>
      <c r="C84" s="7">
        <v>0.4</v>
      </c>
      <c r="D84" s="5">
        <v>14.5</v>
      </c>
      <c r="E84" s="5">
        <v>122</v>
      </c>
      <c r="F84" s="5">
        <v>136</v>
      </c>
      <c r="G84" s="6">
        <v>44046</v>
      </c>
      <c r="H84" s="5"/>
      <c r="I84" s="5"/>
      <c r="J84" s="5">
        <f>F84-E84</f>
        <v>14</v>
      </c>
      <c r="K84" s="8" t="b">
        <f>F84=E85</f>
        <v>1</v>
      </c>
    </row>
    <row r="85" spans="1:11">
      <c r="A85" s="5" t="s">
        <v>67</v>
      </c>
      <c r="B85" s="6">
        <v>44050</v>
      </c>
      <c r="C85" s="7">
        <v>0.4</v>
      </c>
      <c r="D85" s="5">
        <v>14.5</v>
      </c>
      <c r="E85" s="5">
        <v>136</v>
      </c>
      <c r="F85" s="5">
        <v>151</v>
      </c>
      <c r="G85" s="6">
        <v>44050</v>
      </c>
      <c r="H85" s="5"/>
      <c r="I85" s="5"/>
      <c r="J85" s="5">
        <f>F85-E85</f>
        <v>15</v>
      </c>
      <c r="K85" s="8" t="b">
        <f>F85=E86</f>
        <v>1</v>
      </c>
    </row>
    <row r="86" spans="1:11">
      <c r="A86" s="5" t="s">
        <v>67</v>
      </c>
      <c r="B86" s="6">
        <v>44055</v>
      </c>
      <c r="C86" s="7">
        <v>0.4</v>
      </c>
      <c r="D86" s="5">
        <v>14.5</v>
      </c>
      <c r="E86" s="5">
        <v>151</v>
      </c>
      <c r="F86" s="5">
        <v>179</v>
      </c>
      <c r="G86" s="6">
        <v>44055</v>
      </c>
      <c r="H86" s="5"/>
      <c r="I86" s="5"/>
      <c r="J86" s="5">
        <f t="shared" ref="J86:J91" si="8">F86-E86</f>
        <v>28</v>
      </c>
      <c r="K86" s="8" t="b">
        <f t="shared" ref="K86:K91" si="9">F86=E87</f>
        <v>1</v>
      </c>
    </row>
    <row r="87" spans="1:11">
      <c r="A87" s="5" t="s">
        <v>67</v>
      </c>
      <c r="B87" s="6">
        <v>44056</v>
      </c>
      <c r="C87" s="7">
        <v>0.4</v>
      </c>
      <c r="D87" s="5">
        <v>14.5</v>
      </c>
      <c r="E87" s="5">
        <v>179</v>
      </c>
      <c r="F87" s="5">
        <v>194</v>
      </c>
      <c r="G87" s="6">
        <v>44056</v>
      </c>
      <c r="H87" s="5"/>
      <c r="I87" s="5"/>
      <c r="J87" s="5">
        <f t="shared" si="8"/>
        <v>15</v>
      </c>
      <c r="K87" s="8" t="b">
        <f t="shared" si="9"/>
        <v>0</v>
      </c>
    </row>
    <row r="88" spans="1:11">
      <c r="A88" s="5"/>
      <c r="B88" s="6"/>
      <c r="C88" s="7"/>
      <c r="D88" s="5"/>
      <c r="E88" s="5"/>
      <c r="F88" s="5"/>
      <c r="G88" s="6"/>
      <c r="H88" s="5"/>
      <c r="I88" s="5"/>
      <c r="J88" s="5">
        <f t="shared" si="8"/>
        <v>0</v>
      </c>
      <c r="K88" s="8" t="b">
        <f t="shared" si="9"/>
        <v>1</v>
      </c>
    </row>
    <row r="89" spans="1:11">
      <c r="A89" s="5"/>
      <c r="B89" s="6"/>
      <c r="C89" s="7"/>
      <c r="D89" s="5"/>
      <c r="E89" s="5"/>
      <c r="F89" s="5"/>
      <c r="G89" s="6"/>
      <c r="H89" s="5"/>
      <c r="I89" s="5"/>
      <c r="J89" s="5">
        <f t="shared" si="8"/>
        <v>0</v>
      </c>
      <c r="K89" s="8" t="b">
        <f t="shared" si="9"/>
        <v>1</v>
      </c>
    </row>
    <row r="90" spans="1:11">
      <c r="A90" s="5"/>
      <c r="B90" s="6"/>
      <c r="C90" s="7"/>
      <c r="D90" s="5"/>
      <c r="E90" s="5"/>
      <c r="F90" s="5"/>
      <c r="G90" s="6"/>
      <c r="H90" s="5"/>
      <c r="I90" s="5"/>
      <c r="J90" s="5">
        <f t="shared" si="8"/>
        <v>0</v>
      </c>
      <c r="K90" s="8" t="b">
        <f t="shared" si="9"/>
        <v>1</v>
      </c>
    </row>
    <row r="91" spans="1:11">
      <c r="A91" s="5"/>
      <c r="B91" s="6"/>
      <c r="C91" s="7"/>
      <c r="D91" s="5"/>
      <c r="E91" s="5"/>
      <c r="F91" s="5"/>
      <c r="G91" s="6"/>
      <c r="H91" s="5"/>
      <c r="I91" s="5"/>
      <c r="J91" s="5">
        <f t="shared" si="8"/>
        <v>0</v>
      </c>
      <c r="K91" s="8" t="b">
        <f t="shared" si="9"/>
        <v>1</v>
      </c>
    </row>
    <row r="93" spans="1:11" ht="26.25">
      <c r="A93" s="138" t="s">
        <v>64</v>
      </c>
      <c r="B93" s="159"/>
      <c r="C93" s="159"/>
      <c r="D93" s="159"/>
      <c r="E93" s="159"/>
      <c r="F93" s="159"/>
      <c r="G93" s="159"/>
      <c r="H93" s="159"/>
      <c r="I93" s="159"/>
      <c r="J93" s="159"/>
      <c r="K93" s="160"/>
    </row>
    <row r="94" spans="1:11" ht="26.25">
      <c r="A94" s="138" t="s">
        <v>13</v>
      </c>
      <c r="B94" s="159"/>
      <c r="C94" s="159"/>
      <c r="D94" s="159"/>
      <c r="E94" s="159"/>
      <c r="F94" s="159"/>
      <c r="G94" s="159"/>
      <c r="H94" s="159"/>
      <c r="I94" s="159"/>
      <c r="J94" s="159"/>
      <c r="K94" s="160"/>
    </row>
    <row r="95" spans="1:11" ht="15.75" thickBot="1"/>
    <row r="96" spans="1:11" ht="15.75" thickBot="1">
      <c r="A96" s="132" t="s">
        <v>2</v>
      </c>
      <c r="B96" s="133"/>
      <c r="C96" s="133"/>
      <c r="D96" s="133"/>
      <c r="E96" s="133"/>
      <c r="F96" s="133"/>
      <c r="G96" s="133"/>
      <c r="H96" s="133"/>
      <c r="I96" s="133"/>
      <c r="J96" s="133"/>
      <c r="K96" s="134"/>
    </row>
    <row r="98" spans="1:1023 1025:2047 2049:3071 3073:4095 4097:5119 5121:6143 6145:7167 7169:8191 8193:9215 9217:10239 10241:11263 11265:12287 12289:13311 13313:14335 14337:15359 15361:16383" ht="19.5" thickBot="1">
      <c r="A98" s="1" t="s">
        <v>3</v>
      </c>
      <c r="B98" s="1"/>
      <c r="C98" s="1"/>
      <c r="D98" s="1"/>
      <c r="E98" s="1"/>
      <c r="F98" s="1"/>
      <c r="G98" s="1"/>
      <c r="H98" s="1"/>
      <c r="I98" s="1"/>
    </row>
    <row r="99" spans="1:1023 1025:2047 2049:3071 3073:4095 4097:5119 5121:6143 6145:7167 7169:8191 8193:9215 9217:10239 10241:11263 11265:12287 12289:13311 13313:14335 14337:15359 15361:16383" ht="30.75" thickBot="1">
      <c r="A99" s="2" t="s">
        <v>4</v>
      </c>
      <c r="B99" s="3" t="s">
        <v>5</v>
      </c>
      <c r="C99" s="3" t="s">
        <v>6</v>
      </c>
      <c r="D99" s="3" t="s">
        <v>7</v>
      </c>
      <c r="E99" s="3" t="s">
        <v>8</v>
      </c>
      <c r="F99" s="3" t="s">
        <v>9</v>
      </c>
      <c r="G99" s="3" t="s">
        <v>10</v>
      </c>
      <c r="H99" s="3" t="s">
        <v>21</v>
      </c>
      <c r="I99" s="4" t="s">
        <v>22</v>
      </c>
      <c r="J99" s="4" t="s">
        <v>11</v>
      </c>
      <c r="K99" s="4" t="s">
        <v>12</v>
      </c>
    </row>
    <row r="100" spans="1:1023 1025:2047 2049:3071 3073:4095 4097:5119 5121:6143 6145:7167 7169:8191 8193:9215 9217:10239 10241:11263 11265:12287 12289:13311 13313:14335 14337:15359 15361:16383" s="5" customFormat="1">
      <c r="A100" s="5" t="s">
        <v>67</v>
      </c>
      <c r="B100" s="6">
        <v>44102</v>
      </c>
      <c r="C100" s="7">
        <v>0.4</v>
      </c>
      <c r="D100" s="5">
        <v>14.5</v>
      </c>
      <c r="E100" s="5">
        <v>226</v>
      </c>
      <c r="F100" s="5">
        <v>250</v>
      </c>
      <c r="G100" s="6">
        <v>44102</v>
      </c>
      <c r="J100" s="5">
        <f>F100-E100</f>
        <v>24</v>
      </c>
      <c r="K100" s="8" t="b">
        <f>F100=E101</f>
        <v>1</v>
      </c>
      <c r="L100"/>
      <c r="M100"/>
      <c r="N100"/>
      <c r="O100"/>
      <c r="P100"/>
      <c r="Q100" s="5" t="s">
        <v>67</v>
      </c>
      <c r="R100" s="6">
        <v>44102</v>
      </c>
      <c r="S100" s="7">
        <v>0.4</v>
      </c>
      <c r="T100" s="5">
        <v>14.5</v>
      </c>
      <c r="U100" s="5">
        <v>226</v>
      </c>
      <c r="V100" s="5">
        <v>250</v>
      </c>
      <c r="W100" s="6">
        <v>44102</v>
      </c>
      <c r="Y100" s="5" t="s">
        <v>67</v>
      </c>
      <c r="Z100" s="6">
        <v>44102</v>
      </c>
      <c r="AA100" s="7">
        <v>0.4</v>
      </c>
      <c r="AB100" s="5">
        <v>14.5</v>
      </c>
      <c r="AC100" s="5">
        <v>226</v>
      </c>
      <c r="AD100" s="5">
        <v>250</v>
      </c>
      <c r="AE100" s="6">
        <v>44102</v>
      </c>
      <c r="AG100" s="5" t="s">
        <v>67</v>
      </c>
      <c r="AH100" s="6">
        <v>44102</v>
      </c>
      <c r="AI100" s="7">
        <v>0.4</v>
      </c>
      <c r="AJ100" s="5">
        <v>14.5</v>
      </c>
      <c r="AK100" s="5">
        <v>226</v>
      </c>
      <c r="AL100" s="5">
        <v>250</v>
      </c>
      <c r="AM100" s="6">
        <v>44102</v>
      </c>
      <c r="AO100" s="5" t="s">
        <v>67</v>
      </c>
      <c r="AP100" s="6">
        <v>44102</v>
      </c>
      <c r="AQ100" s="7">
        <v>0.4</v>
      </c>
      <c r="AR100" s="5">
        <v>14.5</v>
      </c>
      <c r="AS100" s="5">
        <v>226</v>
      </c>
      <c r="AT100" s="5">
        <v>250</v>
      </c>
      <c r="AU100" s="6">
        <v>44102</v>
      </c>
      <c r="AW100" s="5" t="s">
        <v>67</v>
      </c>
      <c r="AX100" s="6">
        <v>44102</v>
      </c>
      <c r="AY100" s="7">
        <v>0.4</v>
      </c>
      <c r="AZ100" s="5">
        <v>14.5</v>
      </c>
      <c r="BA100" s="5">
        <v>226</v>
      </c>
      <c r="BB100" s="5">
        <v>250</v>
      </c>
      <c r="BC100" s="6">
        <v>44102</v>
      </c>
      <c r="BE100" s="5" t="s">
        <v>67</v>
      </c>
      <c r="BF100" s="6">
        <v>44102</v>
      </c>
      <c r="BG100" s="7">
        <v>0.4</v>
      </c>
      <c r="BH100" s="5">
        <v>14.5</v>
      </c>
      <c r="BI100" s="5">
        <v>226</v>
      </c>
      <c r="BJ100" s="5">
        <v>250</v>
      </c>
      <c r="BK100" s="6">
        <v>44102</v>
      </c>
      <c r="BM100" s="5" t="s">
        <v>67</v>
      </c>
      <c r="BN100" s="6">
        <v>44102</v>
      </c>
      <c r="BO100" s="7">
        <v>0.4</v>
      </c>
      <c r="BP100" s="5">
        <v>14.5</v>
      </c>
      <c r="BQ100" s="5">
        <v>226</v>
      </c>
      <c r="BR100" s="5">
        <v>250</v>
      </c>
      <c r="BS100" s="6">
        <v>44102</v>
      </c>
      <c r="BU100" s="5" t="s">
        <v>67</v>
      </c>
      <c r="BV100" s="6">
        <v>44102</v>
      </c>
      <c r="BW100" s="7">
        <v>0.4</v>
      </c>
      <c r="BX100" s="5">
        <v>14.5</v>
      </c>
      <c r="BY100" s="5">
        <v>226</v>
      </c>
      <c r="BZ100" s="5">
        <v>250</v>
      </c>
      <c r="CA100" s="6">
        <v>44102</v>
      </c>
      <c r="CC100" s="5" t="s">
        <v>67</v>
      </c>
      <c r="CD100" s="6">
        <v>44102</v>
      </c>
      <c r="CE100" s="7">
        <v>0.4</v>
      </c>
      <c r="CF100" s="5">
        <v>14.5</v>
      </c>
      <c r="CG100" s="5">
        <v>226</v>
      </c>
      <c r="CH100" s="5">
        <v>250</v>
      </c>
      <c r="CI100" s="6">
        <v>44102</v>
      </c>
      <c r="CK100" s="5" t="s">
        <v>67</v>
      </c>
      <c r="CL100" s="6">
        <v>44102</v>
      </c>
      <c r="CM100" s="7">
        <v>0.4</v>
      </c>
      <c r="CN100" s="5">
        <v>14.5</v>
      </c>
      <c r="CO100" s="5">
        <v>226</v>
      </c>
      <c r="CP100" s="5">
        <v>250</v>
      </c>
      <c r="CQ100" s="6">
        <v>44102</v>
      </c>
      <c r="CS100" s="5" t="s">
        <v>67</v>
      </c>
      <c r="CT100" s="6">
        <v>44102</v>
      </c>
      <c r="CU100" s="7">
        <v>0.4</v>
      </c>
      <c r="CV100" s="5">
        <v>14.5</v>
      </c>
      <c r="CW100" s="5">
        <v>226</v>
      </c>
      <c r="CX100" s="5">
        <v>250</v>
      </c>
      <c r="CY100" s="6">
        <v>44102</v>
      </c>
      <c r="DA100" s="5" t="s">
        <v>67</v>
      </c>
      <c r="DB100" s="6">
        <v>44102</v>
      </c>
      <c r="DC100" s="7">
        <v>0.4</v>
      </c>
      <c r="DD100" s="5">
        <v>14.5</v>
      </c>
      <c r="DE100" s="5">
        <v>226</v>
      </c>
      <c r="DF100" s="5">
        <v>250</v>
      </c>
      <c r="DG100" s="6">
        <v>44102</v>
      </c>
      <c r="DI100" s="5" t="s">
        <v>67</v>
      </c>
      <c r="DJ100" s="6">
        <v>44102</v>
      </c>
      <c r="DK100" s="7">
        <v>0.4</v>
      </c>
      <c r="DL100" s="5">
        <v>14.5</v>
      </c>
      <c r="DM100" s="5">
        <v>226</v>
      </c>
      <c r="DN100" s="5">
        <v>250</v>
      </c>
      <c r="DO100" s="6">
        <v>44102</v>
      </c>
      <c r="DQ100" s="5" t="s">
        <v>67</v>
      </c>
      <c r="DR100" s="6">
        <v>44102</v>
      </c>
      <c r="DS100" s="7">
        <v>0.4</v>
      </c>
      <c r="DT100" s="5">
        <v>14.5</v>
      </c>
      <c r="DU100" s="5">
        <v>226</v>
      </c>
      <c r="DV100" s="5">
        <v>250</v>
      </c>
      <c r="DW100" s="6">
        <v>44102</v>
      </c>
      <c r="DY100" s="5" t="s">
        <v>67</v>
      </c>
      <c r="DZ100" s="6">
        <v>44102</v>
      </c>
      <c r="EA100" s="7">
        <v>0.4</v>
      </c>
      <c r="EB100" s="5">
        <v>14.5</v>
      </c>
      <c r="EC100" s="5">
        <v>226</v>
      </c>
      <c r="ED100" s="5">
        <v>250</v>
      </c>
      <c r="EE100" s="6">
        <v>44102</v>
      </c>
      <c r="EG100" s="5" t="s">
        <v>67</v>
      </c>
      <c r="EH100" s="6">
        <v>44102</v>
      </c>
      <c r="EI100" s="7">
        <v>0.4</v>
      </c>
      <c r="EJ100" s="5">
        <v>14.5</v>
      </c>
      <c r="EK100" s="5">
        <v>226</v>
      </c>
      <c r="EL100" s="5">
        <v>250</v>
      </c>
      <c r="EM100" s="6">
        <v>44102</v>
      </c>
      <c r="EO100" s="5" t="s">
        <v>67</v>
      </c>
      <c r="EP100" s="6">
        <v>44102</v>
      </c>
      <c r="EQ100" s="7">
        <v>0.4</v>
      </c>
      <c r="ER100" s="5">
        <v>14.5</v>
      </c>
      <c r="ES100" s="5">
        <v>226</v>
      </c>
      <c r="ET100" s="5">
        <v>250</v>
      </c>
      <c r="EU100" s="6">
        <v>44102</v>
      </c>
      <c r="EW100" s="5" t="s">
        <v>67</v>
      </c>
      <c r="EX100" s="6">
        <v>44102</v>
      </c>
      <c r="EY100" s="7">
        <v>0.4</v>
      </c>
      <c r="EZ100" s="5">
        <v>14.5</v>
      </c>
      <c r="FA100" s="5">
        <v>226</v>
      </c>
      <c r="FB100" s="5">
        <v>250</v>
      </c>
      <c r="FC100" s="6">
        <v>44102</v>
      </c>
      <c r="FE100" s="5" t="s">
        <v>67</v>
      </c>
      <c r="FF100" s="6">
        <v>44102</v>
      </c>
      <c r="FG100" s="7">
        <v>0.4</v>
      </c>
      <c r="FH100" s="5">
        <v>14.5</v>
      </c>
      <c r="FI100" s="5">
        <v>226</v>
      </c>
      <c r="FJ100" s="5">
        <v>250</v>
      </c>
      <c r="FK100" s="6">
        <v>44102</v>
      </c>
      <c r="FM100" s="5" t="s">
        <v>67</v>
      </c>
      <c r="FN100" s="6">
        <v>44102</v>
      </c>
      <c r="FO100" s="7">
        <v>0.4</v>
      </c>
      <c r="FP100" s="5">
        <v>14.5</v>
      </c>
      <c r="FQ100" s="5">
        <v>226</v>
      </c>
      <c r="FR100" s="5">
        <v>250</v>
      </c>
      <c r="FS100" s="6">
        <v>44102</v>
      </c>
      <c r="FU100" s="5" t="s">
        <v>67</v>
      </c>
      <c r="FV100" s="6">
        <v>44102</v>
      </c>
      <c r="FW100" s="7">
        <v>0.4</v>
      </c>
      <c r="FX100" s="5">
        <v>14.5</v>
      </c>
      <c r="FY100" s="5">
        <v>226</v>
      </c>
      <c r="FZ100" s="5">
        <v>250</v>
      </c>
      <c r="GA100" s="6">
        <v>44102</v>
      </c>
      <c r="GC100" s="5" t="s">
        <v>67</v>
      </c>
      <c r="GD100" s="6">
        <v>44102</v>
      </c>
      <c r="GE100" s="7">
        <v>0.4</v>
      </c>
      <c r="GF100" s="5">
        <v>14.5</v>
      </c>
      <c r="GG100" s="5">
        <v>226</v>
      </c>
      <c r="GH100" s="5">
        <v>250</v>
      </c>
      <c r="GI100" s="6">
        <v>44102</v>
      </c>
      <c r="GK100" s="5" t="s">
        <v>67</v>
      </c>
      <c r="GL100" s="6">
        <v>44102</v>
      </c>
      <c r="GM100" s="7">
        <v>0.4</v>
      </c>
      <c r="GN100" s="5">
        <v>14.5</v>
      </c>
      <c r="GO100" s="5">
        <v>226</v>
      </c>
      <c r="GP100" s="5">
        <v>250</v>
      </c>
      <c r="GQ100" s="6">
        <v>44102</v>
      </c>
      <c r="GS100" s="5" t="s">
        <v>67</v>
      </c>
      <c r="GT100" s="6">
        <v>44102</v>
      </c>
      <c r="GU100" s="7">
        <v>0.4</v>
      </c>
      <c r="GV100" s="5">
        <v>14.5</v>
      </c>
      <c r="GW100" s="5">
        <v>226</v>
      </c>
      <c r="GX100" s="5">
        <v>250</v>
      </c>
      <c r="GY100" s="6">
        <v>44102</v>
      </c>
      <c r="HA100" s="5" t="s">
        <v>67</v>
      </c>
      <c r="HB100" s="6">
        <v>44102</v>
      </c>
      <c r="HC100" s="7">
        <v>0.4</v>
      </c>
      <c r="HD100" s="5">
        <v>14.5</v>
      </c>
      <c r="HE100" s="5">
        <v>226</v>
      </c>
      <c r="HF100" s="5">
        <v>250</v>
      </c>
      <c r="HG100" s="6">
        <v>44102</v>
      </c>
      <c r="HI100" s="5" t="s">
        <v>67</v>
      </c>
      <c r="HJ100" s="6">
        <v>44102</v>
      </c>
      <c r="HK100" s="7">
        <v>0.4</v>
      </c>
      <c r="HL100" s="5">
        <v>14.5</v>
      </c>
      <c r="HM100" s="5">
        <v>226</v>
      </c>
      <c r="HN100" s="5">
        <v>250</v>
      </c>
      <c r="HO100" s="6">
        <v>44102</v>
      </c>
      <c r="HQ100" s="5" t="s">
        <v>67</v>
      </c>
      <c r="HR100" s="6">
        <v>44102</v>
      </c>
      <c r="HS100" s="7">
        <v>0.4</v>
      </c>
      <c r="HT100" s="5">
        <v>14.5</v>
      </c>
      <c r="HU100" s="5">
        <v>226</v>
      </c>
      <c r="HV100" s="5">
        <v>250</v>
      </c>
      <c r="HW100" s="6">
        <v>44102</v>
      </c>
      <c r="HY100" s="5" t="s">
        <v>67</v>
      </c>
      <c r="HZ100" s="6">
        <v>44102</v>
      </c>
      <c r="IA100" s="7">
        <v>0.4</v>
      </c>
      <c r="IB100" s="5">
        <v>14.5</v>
      </c>
      <c r="IC100" s="5">
        <v>226</v>
      </c>
      <c r="ID100" s="5">
        <v>250</v>
      </c>
      <c r="IE100" s="6">
        <v>44102</v>
      </c>
      <c r="IG100" s="5" t="s">
        <v>67</v>
      </c>
      <c r="IH100" s="6">
        <v>44102</v>
      </c>
      <c r="II100" s="7">
        <v>0.4</v>
      </c>
      <c r="IJ100" s="5">
        <v>14.5</v>
      </c>
      <c r="IK100" s="5">
        <v>226</v>
      </c>
      <c r="IL100" s="5">
        <v>250</v>
      </c>
      <c r="IM100" s="6">
        <v>44102</v>
      </c>
      <c r="IO100" s="5" t="s">
        <v>67</v>
      </c>
      <c r="IP100" s="6">
        <v>44102</v>
      </c>
      <c r="IQ100" s="7">
        <v>0.4</v>
      </c>
      <c r="IR100" s="5">
        <v>14.5</v>
      </c>
      <c r="IS100" s="5">
        <v>226</v>
      </c>
      <c r="IT100" s="5">
        <v>250</v>
      </c>
      <c r="IU100" s="6">
        <v>44102</v>
      </c>
      <c r="IW100" s="5" t="s">
        <v>67</v>
      </c>
      <c r="IX100" s="6">
        <v>44102</v>
      </c>
      <c r="IY100" s="7">
        <v>0.4</v>
      </c>
      <c r="IZ100" s="5">
        <v>14.5</v>
      </c>
      <c r="JA100" s="5">
        <v>226</v>
      </c>
      <c r="JB100" s="5">
        <v>250</v>
      </c>
      <c r="JC100" s="6">
        <v>44102</v>
      </c>
      <c r="JE100" s="5" t="s">
        <v>67</v>
      </c>
      <c r="JF100" s="6">
        <v>44102</v>
      </c>
      <c r="JG100" s="7">
        <v>0.4</v>
      </c>
      <c r="JH100" s="5">
        <v>14.5</v>
      </c>
      <c r="JI100" s="5">
        <v>226</v>
      </c>
      <c r="JJ100" s="5">
        <v>250</v>
      </c>
      <c r="JK100" s="6">
        <v>44102</v>
      </c>
      <c r="JM100" s="5" t="s">
        <v>67</v>
      </c>
      <c r="JN100" s="6">
        <v>44102</v>
      </c>
      <c r="JO100" s="7">
        <v>0.4</v>
      </c>
      <c r="JP100" s="5">
        <v>14.5</v>
      </c>
      <c r="JQ100" s="5">
        <v>226</v>
      </c>
      <c r="JR100" s="5">
        <v>250</v>
      </c>
      <c r="JS100" s="6">
        <v>44102</v>
      </c>
      <c r="JU100" s="5" t="s">
        <v>67</v>
      </c>
      <c r="JV100" s="6">
        <v>44102</v>
      </c>
      <c r="JW100" s="7">
        <v>0.4</v>
      </c>
      <c r="JX100" s="5">
        <v>14.5</v>
      </c>
      <c r="JY100" s="5">
        <v>226</v>
      </c>
      <c r="JZ100" s="5">
        <v>250</v>
      </c>
      <c r="KA100" s="6">
        <v>44102</v>
      </c>
      <c r="KC100" s="5" t="s">
        <v>67</v>
      </c>
      <c r="KD100" s="6">
        <v>44102</v>
      </c>
      <c r="KE100" s="7">
        <v>0.4</v>
      </c>
      <c r="KF100" s="5">
        <v>14.5</v>
      </c>
      <c r="KG100" s="5">
        <v>226</v>
      </c>
      <c r="KH100" s="5">
        <v>250</v>
      </c>
      <c r="KI100" s="6">
        <v>44102</v>
      </c>
      <c r="KK100" s="5" t="s">
        <v>67</v>
      </c>
      <c r="KL100" s="6">
        <v>44102</v>
      </c>
      <c r="KM100" s="7">
        <v>0.4</v>
      </c>
      <c r="KN100" s="5">
        <v>14.5</v>
      </c>
      <c r="KO100" s="5">
        <v>226</v>
      </c>
      <c r="KP100" s="5">
        <v>250</v>
      </c>
      <c r="KQ100" s="6">
        <v>44102</v>
      </c>
      <c r="KS100" s="5" t="s">
        <v>67</v>
      </c>
      <c r="KT100" s="6">
        <v>44102</v>
      </c>
      <c r="KU100" s="7">
        <v>0.4</v>
      </c>
      <c r="KV100" s="5">
        <v>14.5</v>
      </c>
      <c r="KW100" s="5">
        <v>226</v>
      </c>
      <c r="KX100" s="5">
        <v>250</v>
      </c>
      <c r="KY100" s="6">
        <v>44102</v>
      </c>
      <c r="LA100" s="5" t="s">
        <v>67</v>
      </c>
      <c r="LB100" s="6">
        <v>44102</v>
      </c>
      <c r="LC100" s="7">
        <v>0.4</v>
      </c>
      <c r="LD100" s="5">
        <v>14.5</v>
      </c>
      <c r="LE100" s="5">
        <v>226</v>
      </c>
      <c r="LF100" s="5">
        <v>250</v>
      </c>
      <c r="LG100" s="6">
        <v>44102</v>
      </c>
      <c r="LI100" s="5" t="s">
        <v>67</v>
      </c>
      <c r="LJ100" s="6">
        <v>44102</v>
      </c>
      <c r="LK100" s="7">
        <v>0.4</v>
      </c>
      <c r="LL100" s="5">
        <v>14.5</v>
      </c>
      <c r="LM100" s="5">
        <v>226</v>
      </c>
      <c r="LN100" s="5">
        <v>250</v>
      </c>
      <c r="LO100" s="6">
        <v>44102</v>
      </c>
      <c r="LQ100" s="5" t="s">
        <v>67</v>
      </c>
      <c r="LR100" s="6">
        <v>44102</v>
      </c>
      <c r="LS100" s="7">
        <v>0.4</v>
      </c>
      <c r="LT100" s="5">
        <v>14.5</v>
      </c>
      <c r="LU100" s="5">
        <v>226</v>
      </c>
      <c r="LV100" s="5">
        <v>250</v>
      </c>
      <c r="LW100" s="6">
        <v>44102</v>
      </c>
      <c r="LY100" s="5" t="s">
        <v>67</v>
      </c>
      <c r="LZ100" s="6">
        <v>44102</v>
      </c>
      <c r="MA100" s="7">
        <v>0.4</v>
      </c>
      <c r="MB100" s="5">
        <v>14.5</v>
      </c>
      <c r="MC100" s="5">
        <v>226</v>
      </c>
      <c r="MD100" s="5">
        <v>250</v>
      </c>
      <c r="ME100" s="6">
        <v>44102</v>
      </c>
      <c r="MG100" s="5" t="s">
        <v>67</v>
      </c>
      <c r="MH100" s="6">
        <v>44102</v>
      </c>
      <c r="MI100" s="7">
        <v>0.4</v>
      </c>
      <c r="MJ100" s="5">
        <v>14.5</v>
      </c>
      <c r="MK100" s="5">
        <v>226</v>
      </c>
      <c r="ML100" s="5">
        <v>250</v>
      </c>
      <c r="MM100" s="6">
        <v>44102</v>
      </c>
      <c r="MO100" s="5" t="s">
        <v>67</v>
      </c>
      <c r="MP100" s="6">
        <v>44102</v>
      </c>
      <c r="MQ100" s="7">
        <v>0.4</v>
      </c>
      <c r="MR100" s="5">
        <v>14.5</v>
      </c>
      <c r="MS100" s="5">
        <v>226</v>
      </c>
      <c r="MT100" s="5">
        <v>250</v>
      </c>
      <c r="MU100" s="6">
        <v>44102</v>
      </c>
      <c r="MW100" s="5" t="s">
        <v>67</v>
      </c>
      <c r="MX100" s="6">
        <v>44102</v>
      </c>
      <c r="MY100" s="7">
        <v>0.4</v>
      </c>
      <c r="MZ100" s="5">
        <v>14.5</v>
      </c>
      <c r="NA100" s="5">
        <v>226</v>
      </c>
      <c r="NB100" s="5">
        <v>250</v>
      </c>
      <c r="NC100" s="6">
        <v>44102</v>
      </c>
      <c r="NE100" s="5" t="s">
        <v>67</v>
      </c>
      <c r="NF100" s="6">
        <v>44102</v>
      </c>
      <c r="NG100" s="7">
        <v>0.4</v>
      </c>
      <c r="NH100" s="5">
        <v>14.5</v>
      </c>
      <c r="NI100" s="5">
        <v>226</v>
      </c>
      <c r="NJ100" s="5">
        <v>250</v>
      </c>
      <c r="NK100" s="6">
        <v>44102</v>
      </c>
      <c r="NM100" s="5" t="s">
        <v>67</v>
      </c>
      <c r="NN100" s="6">
        <v>44102</v>
      </c>
      <c r="NO100" s="7">
        <v>0.4</v>
      </c>
      <c r="NP100" s="5">
        <v>14.5</v>
      </c>
      <c r="NQ100" s="5">
        <v>226</v>
      </c>
      <c r="NR100" s="5">
        <v>250</v>
      </c>
      <c r="NS100" s="6">
        <v>44102</v>
      </c>
      <c r="NU100" s="5" t="s">
        <v>67</v>
      </c>
      <c r="NV100" s="6">
        <v>44102</v>
      </c>
      <c r="NW100" s="7">
        <v>0.4</v>
      </c>
      <c r="NX100" s="5">
        <v>14.5</v>
      </c>
      <c r="NY100" s="5">
        <v>226</v>
      </c>
      <c r="NZ100" s="5">
        <v>250</v>
      </c>
      <c r="OA100" s="6">
        <v>44102</v>
      </c>
      <c r="OC100" s="5" t="s">
        <v>67</v>
      </c>
      <c r="OD100" s="6">
        <v>44102</v>
      </c>
      <c r="OE100" s="7">
        <v>0.4</v>
      </c>
      <c r="OF100" s="5">
        <v>14.5</v>
      </c>
      <c r="OG100" s="5">
        <v>226</v>
      </c>
      <c r="OH100" s="5">
        <v>250</v>
      </c>
      <c r="OI100" s="6">
        <v>44102</v>
      </c>
      <c r="OK100" s="5" t="s">
        <v>67</v>
      </c>
      <c r="OL100" s="6">
        <v>44102</v>
      </c>
      <c r="OM100" s="7">
        <v>0.4</v>
      </c>
      <c r="ON100" s="5">
        <v>14.5</v>
      </c>
      <c r="OO100" s="5">
        <v>226</v>
      </c>
      <c r="OP100" s="5">
        <v>250</v>
      </c>
      <c r="OQ100" s="6">
        <v>44102</v>
      </c>
      <c r="OS100" s="5" t="s">
        <v>67</v>
      </c>
      <c r="OT100" s="6">
        <v>44102</v>
      </c>
      <c r="OU100" s="7">
        <v>0.4</v>
      </c>
      <c r="OV100" s="5">
        <v>14.5</v>
      </c>
      <c r="OW100" s="5">
        <v>226</v>
      </c>
      <c r="OX100" s="5">
        <v>250</v>
      </c>
      <c r="OY100" s="6">
        <v>44102</v>
      </c>
      <c r="PA100" s="5" t="s">
        <v>67</v>
      </c>
      <c r="PB100" s="6">
        <v>44102</v>
      </c>
      <c r="PC100" s="7">
        <v>0.4</v>
      </c>
      <c r="PD100" s="5">
        <v>14.5</v>
      </c>
      <c r="PE100" s="5">
        <v>226</v>
      </c>
      <c r="PF100" s="5">
        <v>250</v>
      </c>
      <c r="PG100" s="6">
        <v>44102</v>
      </c>
      <c r="PI100" s="5" t="s">
        <v>67</v>
      </c>
      <c r="PJ100" s="6">
        <v>44102</v>
      </c>
      <c r="PK100" s="7">
        <v>0.4</v>
      </c>
      <c r="PL100" s="5">
        <v>14.5</v>
      </c>
      <c r="PM100" s="5">
        <v>226</v>
      </c>
      <c r="PN100" s="5">
        <v>250</v>
      </c>
      <c r="PO100" s="6">
        <v>44102</v>
      </c>
      <c r="PQ100" s="5" t="s">
        <v>67</v>
      </c>
      <c r="PR100" s="6">
        <v>44102</v>
      </c>
      <c r="PS100" s="7">
        <v>0.4</v>
      </c>
      <c r="PT100" s="5">
        <v>14.5</v>
      </c>
      <c r="PU100" s="5">
        <v>226</v>
      </c>
      <c r="PV100" s="5">
        <v>250</v>
      </c>
      <c r="PW100" s="6">
        <v>44102</v>
      </c>
      <c r="PY100" s="5" t="s">
        <v>67</v>
      </c>
      <c r="PZ100" s="6">
        <v>44102</v>
      </c>
      <c r="QA100" s="7">
        <v>0.4</v>
      </c>
      <c r="QB100" s="5">
        <v>14.5</v>
      </c>
      <c r="QC100" s="5">
        <v>226</v>
      </c>
      <c r="QD100" s="5">
        <v>250</v>
      </c>
      <c r="QE100" s="6">
        <v>44102</v>
      </c>
      <c r="QG100" s="5" t="s">
        <v>67</v>
      </c>
      <c r="QH100" s="6">
        <v>44102</v>
      </c>
      <c r="QI100" s="7">
        <v>0.4</v>
      </c>
      <c r="QJ100" s="5">
        <v>14.5</v>
      </c>
      <c r="QK100" s="5">
        <v>226</v>
      </c>
      <c r="QL100" s="5">
        <v>250</v>
      </c>
      <c r="QM100" s="6">
        <v>44102</v>
      </c>
      <c r="QO100" s="5" t="s">
        <v>67</v>
      </c>
      <c r="QP100" s="6">
        <v>44102</v>
      </c>
      <c r="QQ100" s="7">
        <v>0.4</v>
      </c>
      <c r="QR100" s="5">
        <v>14.5</v>
      </c>
      <c r="QS100" s="5">
        <v>226</v>
      </c>
      <c r="QT100" s="5">
        <v>250</v>
      </c>
      <c r="QU100" s="6">
        <v>44102</v>
      </c>
      <c r="QW100" s="5" t="s">
        <v>67</v>
      </c>
      <c r="QX100" s="6">
        <v>44102</v>
      </c>
      <c r="QY100" s="7">
        <v>0.4</v>
      </c>
      <c r="QZ100" s="5">
        <v>14.5</v>
      </c>
      <c r="RA100" s="5">
        <v>226</v>
      </c>
      <c r="RB100" s="5">
        <v>250</v>
      </c>
      <c r="RC100" s="6">
        <v>44102</v>
      </c>
      <c r="RE100" s="5" t="s">
        <v>67</v>
      </c>
      <c r="RF100" s="6">
        <v>44102</v>
      </c>
      <c r="RG100" s="7">
        <v>0.4</v>
      </c>
      <c r="RH100" s="5">
        <v>14.5</v>
      </c>
      <c r="RI100" s="5">
        <v>226</v>
      </c>
      <c r="RJ100" s="5">
        <v>250</v>
      </c>
      <c r="RK100" s="6">
        <v>44102</v>
      </c>
      <c r="RM100" s="5" t="s">
        <v>67</v>
      </c>
      <c r="RN100" s="6">
        <v>44102</v>
      </c>
      <c r="RO100" s="7">
        <v>0.4</v>
      </c>
      <c r="RP100" s="5">
        <v>14.5</v>
      </c>
      <c r="RQ100" s="5">
        <v>226</v>
      </c>
      <c r="RR100" s="5">
        <v>250</v>
      </c>
      <c r="RS100" s="6">
        <v>44102</v>
      </c>
      <c r="RU100" s="5" t="s">
        <v>67</v>
      </c>
      <c r="RV100" s="6">
        <v>44102</v>
      </c>
      <c r="RW100" s="7">
        <v>0.4</v>
      </c>
      <c r="RX100" s="5">
        <v>14.5</v>
      </c>
      <c r="RY100" s="5">
        <v>226</v>
      </c>
      <c r="RZ100" s="5">
        <v>250</v>
      </c>
      <c r="SA100" s="6">
        <v>44102</v>
      </c>
      <c r="SC100" s="5" t="s">
        <v>67</v>
      </c>
      <c r="SD100" s="6">
        <v>44102</v>
      </c>
      <c r="SE100" s="7">
        <v>0.4</v>
      </c>
      <c r="SF100" s="5">
        <v>14.5</v>
      </c>
      <c r="SG100" s="5">
        <v>226</v>
      </c>
      <c r="SH100" s="5">
        <v>250</v>
      </c>
      <c r="SI100" s="6">
        <v>44102</v>
      </c>
      <c r="SK100" s="5" t="s">
        <v>67</v>
      </c>
      <c r="SL100" s="6">
        <v>44102</v>
      </c>
      <c r="SM100" s="7">
        <v>0.4</v>
      </c>
      <c r="SN100" s="5">
        <v>14.5</v>
      </c>
      <c r="SO100" s="5">
        <v>226</v>
      </c>
      <c r="SP100" s="5">
        <v>250</v>
      </c>
      <c r="SQ100" s="6">
        <v>44102</v>
      </c>
      <c r="SS100" s="5" t="s">
        <v>67</v>
      </c>
      <c r="ST100" s="6">
        <v>44102</v>
      </c>
      <c r="SU100" s="7">
        <v>0.4</v>
      </c>
      <c r="SV100" s="5">
        <v>14.5</v>
      </c>
      <c r="SW100" s="5">
        <v>226</v>
      </c>
      <c r="SX100" s="5">
        <v>250</v>
      </c>
      <c r="SY100" s="6">
        <v>44102</v>
      </c>
      <c r="TA100" s="5" t="s">
        <v>67</v>
      </c>
      <c r="TB100" s="6">
        <v>44102</v>
      </c>
      <c r="TC100" s="7">
        <v>0.4</v>
      </c>
      <c r="TD100" s="5">
        <v>14.5</v>
      </c>
      <c r="TE100" s="5">
        <v>226</v>
      </c>
      <c r="TF100" s="5">
        <v>250</v>
      </c>
      <c r="TG100" s="6">
        <v>44102</v>
      </c>
      <c r="TI100" s="5" t="s">
        <v>67</v>
      </c>
      <c r="TJ100" s="6">
        <v>44102</v>
      </c>
      <c r="TK100" s="7">
        <v>0.4</v>
      </c>
      <c r="TL100" s="5">
        <v>14.5</v>
      </c>
      <c r="TM100" s="5">
        <v>226</v>
      </c>
      <c r="TN100" s="5">
        <v>250</v>
      </c>
      <c r="TO100" s="6">
        <v>44102</v>
      </c>
      <c r="TQ100" s="5" t="s">
        <v>67</v>
      </c>
      <c r="TR100" s="6">
        <v>44102</v>
      </c>
      <c r="TS100" s="7">
        <v>0.4</v>
      </c>
      <c r="TT100" s="5">
        <v>14.5</v>
      </c>
      <c r="TU100" s="5">
        <v>226</v>
      </c>
      <c r="TV100" s="5">
        <v>250</v>
      </c>
      <c r="TW100" s="6">
        <v>44102</v>
      </c>
      <c r="TY100" s="5" t="s">
        <v>67</v>
      </c>
      <c r="TZ100" s="6">
        <v>44102</v>
      </c>
      <c r="UA100" s="7">
        <v>0.4</v>
      </c>
      <c r="UB100" s="5">
        <v>14.5</v>
      </c>
      <c r="UC100" s="5">
        <v>226</v>
      </c>
      <c r="UD100" s="5">
        <v>250</v>
      </c>
      <c r="UE100" s="6">
        <v>44102</v>
      </c>
      <c r="UG100" s="5" t="s">
        <v>67</v>
      </c>
      <c r="UH100" s="6">
        <v>44102</v>
      </c>
      <c r="UI100" s="7">
        <v>0.4</v>
      </c>
      <c r="UJ100" s="5">
        <v>14.5</v>
      </c>
      <c r="UK100" s="5">
        <v>226</v>
      </c>
      <c r="UL100" s="5">
        <v>250</v>
      </c>
      <c r="UM100" s="6">
        <v>44102</v>
      </c>
      <c r="UO100" s="5" t="s">
        <v>67</v>
      </c>
      <c r="UP100" s="6">
        <v>44102</v>
      </c>
      <c r="UQ100" s="7">
        <v>0.4</v>
      </c>
      <c r="UR100" s="5">
        <v>14.5</v>
      </c>
      <c r="US100" s="5">
        <v>226</v>
      </c>
      <c r="UT100" s="5">
        <v>250</v>
      </c>
      <c r="UU100" s="6">
        <v>44102</v>
      </c>
      <c r="UW100" s="5" t="s">
        <v>67</v>
      </c>
      <c r="UX100" s="6">
        <v>44102</v>
      </c>
      <c r="UY100" s="7">
        <v>0.4</v>
      </c>
      <c r="UZ100" s="5">
        <v>14.5</v>
      </c>
      <c r="VA100" s="5">
        <v>226</v>
      </c>
      <c r="VB100" s="5">
        <v>250</v>
      </c>
      <c r="VC100" s="6">
        <v>44102</v>
      </c>
      <c r="VE100" s="5" t="s">
        <v>67</v>
      </c>
      <c r="VF100" s="6">
        <v>44102</v>
      </c>
      <c r="VG100" s="7">
        <v>0.4</v>
      </c>
      <c r="VH100" s="5">
        <v>14.5</v>
      </c>
      <c r="VI100" s="5">
        <v>226</v>
      </c>
      <c r="VJ100" s="5">
        <v>250</v>
      </c>
      <c r="VK100" s="6">
        <v>44102</v>
      </c>
      <c r="VM100" s="5" t="s">
        <v>67</v>
      </c>
      <c r="VN100" s="6">
        <v>44102</v>
      </c>
      <c r="VO100" s="7">
        <v>0.4</v>
      </c>
      <c r="VP100" s="5">
        <v>14.5</v>
      </c>
      <c r="VQ100" s="5">
        <v>226</v>
      </c>
      <c r="VR100" s="5">
        <v>250</v>
      </c>
      <c r="VS100" s="6">
        <v>44102</v>
      </c>
      <c r="VU100" s="5" t="s">
        <v>67</v>
      </c>
      <c r="VV100" s="6">
        <v>44102</v>
      </c>
      <c r="VW100" s="7">
        <v>0.4</v>
      </c>
      <c r="VX100" s="5">
        <v>14.5</v>
      </c>
      <c r="VY100" s="5">
        <v>226</v>
      </c>
      <c r="VZ100" s="5">
        <v>250</v>
      </c>
      <c r="WA100" s="6">
        <v>44102</v>
      </c>
      <c r="WC100" s="5" t="s">
        <v>67</v>
      </c>
      <c r="WD100" s="6">
        <v>44102</v>
      </c>
      <c r="WE100" s="7">
        <v>0.4</v>
      </c>
      <c r="WF100" s="5">
        <v>14.5</v>
      </c>
      <c r="WG100" s="5">
        <v>226</v>
      </c>
      <c r="WH100" s="5">
        <v>250</v>
      </c>
      <c r="WI100" s="6">
        <v>44102</v>
      </c>
      <c r="WK100" s="5" t="s">
        <v>67</v>
      </c>
      <c r="WL100" s="6">
        <v>44102</v>
      </c>
      <c r="WM100" s="7">
        <v>0.4</v>
      </c>
      <c r="WN100" s="5">
        <v>14.5</v>
      </c>
      <c r="WO100" s="5">
        <v>226</v>
      </c>
      <c r="WP100" s="5">
        <v>250</v>
      </c>
      <c r="WQ100" s="6">
        <v>44102</v>
      </c>
      <c r="WS100" s="5" t="s">
        <v>67</v>
      </c>
      <c r="WT100" s="6">
        <v>44102</v>
      </c>
      <c r="WU100" s="7">
        <v>0.4</v>
      </c>
      <c r="WV100" s="5">
        <v>14.5</v>
      </c>
      <c r="WW100" s="5">
        <v>226</v>
      </c>
      <c r="WX100" s="5">
        <v>250</v>
      </c>
      <c r="WY100" s="6">
        <v>44102</v>
      </c>
      <c r="XA100" s="5" t="s">
        <v>67</v>
      </c>
      <c r="XB100" s="6">
        <v>44102</v>
      </c>
      <c r="XC100" s="7">
        <v>0.4</v>
      </c>
      <c r="XD100" s="5">
        <v>14.5</v>
      </c>
      <c r="XE100" s="5">
        <v>226</v>
      </c>
      <c r="XF100" s="5">
        <v>250</v>
      </c>
      <c r="XG100" s="6">
        <v>44102</v>
      </c>
      <c r="XI100" s="5" t="s">
        <v>67</v>
      </c>
      <c r="XJ100" s="6">
        <v>44102</v>
      </c>
      <c r="XK100" s="7">
        <v>0.4</v>
      </c>
      <c r="XL100" s="5">
        <v>14.5</v>
      </c>
      <c r="XM100" s="5">
        <v>226</v>
      </c>
      <c r="XN100" s="5">
        <v>250</v>
      </c>
      <c r="XO100" s="6">
        <v>44102</v>
      </c>
      <c r="XQ100" s="5" t="s">
        <v>67</v>
      </c>
      <c r="XR100" s="6">
        <v>44102</v>
      </c>
      <c r="XS100" s="7">
        <v>0.4</v>
      </c>
      <c r="XT100" s="5">
        <v>14.5</v>
      </c>
      <c r="XU100" s="5">
        <v>226</v>
      </c>
      <c r="XV100" s="5">
        <v>250</v>
      </c>
      <c r="XW100" s="6">
        <v>44102</v>
      </c>
      <c r="XY100" s="5" t="s">
        <v>67</v>
      </c>
      <c r="XZ100" s="6">
        <v>44102</v>
      </c>
      <c r="YA100" s="7">
        <v>0.4</v>
      </c>
      <c r="YB100" s="5">
        <v>14.5</v>
      </c>
      <c r="YC100" s="5">
        <v>226</v>
      </c>
      <c r="YD100" s="5">
        <v>250</v>
      </c>
      <c r="YE100" s="6">
        <v>44102</v>
      </c>
      <c r="YG100" s="5" t="s">
        <v>67</v>
      </c>
      <c r="YH100" s="6">
        <v>44102</v>
      </c>
      <c r="YI100" s="7">
        <v>0.4</v>
      </c>
      <c r="YJ100" s="5">
        <v>14.5</v>
      </c>
      <c r="YK100" s="5">
        <v>226</v>
      </c>
      <c r="YL100" s="5">
        <v>250</v>
      </c>
      <c r="YM100" s="6">
        <v>44102</v>
      </c>
      <c r="YO100" s="5" t="s">
        <v>67</v>
      </c>
      <c r="YP100" s="6">
        <v>44102</v>
      </c>
      <c r="YQ100" s="7">
        <v>0.4</v>
      </c>
      <c r="YR100" s="5">
        <v>14.5</v>
      </c>
      <c r="YS100" s="5">
        <v>226</v>
      </c>
      <c r="YT100" s="5">
        <v>250</v>
      </c>
      <c r="YU100" s="6">
        <v>44102</v>
      </c>
      <c r="YW100" s="5" t="s">
        <v>67</v>
      </c>
      <c r="YX100" s="6">
        <v>44102</v>
      </c>
      <c r="YY100" s="7">
        <v>0.4</v>
      </c>
      <c r="YZ100" s="5">
        <v>14.5</v>
      </c>
      <c r="ZA100" s="5">
        <v>226</v>
      </c>
      <c r="ZB100" s="5">
        <v>250</v>
      </c>
      <c r="ZC100" s="6">
        <v>44102</v>
      </c>
      <c r="ZE100" s="5" t="s">
        <v>67</v>
      </c>
      <c r="ZF100" s="6">
        <v>44102</v>
      </c>
      <c r="ZG100" s="7">
        <v>0.4</v>
      </c>
      <c r="ZH100" s="5">
        <v>14.5</v>
      </c>
      <c r="ZI100" s="5">
        <v>226</v>
      </c>
      <c r="ZJ100" s="5">
        <v>250</v>
      </c>
      <c r="ZK100" s="6">
        <v>44102</v>
      </c>
      <c r="ZM100" s="5" t="s">
        <v>67</v>
      </c>
      <c r="ZN100" s="6">
        <v>44102</v>
      </c>
      <c r="ZO100" s="7">
        <v>0.4</v>
      </c>
      <c r="ZP100" s="5">
        <v>14.5</v>
      </c>
      <c r="ZQ100" s="5">
        <v>226</v>
      </c>
      <c r="ZR100" s="5">
        <v>250</v>
      </c>
      <c r="ZS100" s="6">
        <v>44102</v>
      </c>
      <c r="ZU100" s="5" t="s">
        <v>67</v>
      </c>
      <c r="ZV100" s="6">
        <v>44102</v>
      </c>
      <c r="ZW100" s="7">
        <v>0.4</v>
      </c>
      <c r="ZX100" s="5">
        <v>14.5</v>
      </c>
      <c r="ZY100" s="5">
        <v>226</v>
      </c>
      <c r="ZZ100" s="5">
        <v>250</v>
      </c>
      <c r="AAA100" s="6">
        <v>44102</v>
      </c>
      <c r="AAC100" s="5" t="s">
        <v>67</v>
      </c>
      <c r="AAD100" s="6">
        <v>44102</v>
      </c>
      <c r="AAE100" s="7">
        <v>0.4</v>
      </c>
      <c r="AAF100" s="5">
        <v>14.5</v>
      </c>
      <c r="AAG100" s="5">
        <v>226</v>
      </c>
      <c r="AAH100" s="5">
        <v>250</v>
      </c>
      <c r="AAI100" s="6">
        <v>44102</v>
      </c>
      <c r="AAK100" s="5" t="s">
        <v>67</v>
      </c>
      <c r="AAL100" s="6">
        <v>44102</v>
      </c>
      <c r="AAM100" s="7">
        <v>0.4</v>
      </c>
      <c r="AAN100" s="5">
        <v>14.5</v>
      </c>
      <c r="AAO100" s="5">
        <v>226</v>
      </c>
      <c r="AAP100" s="5">
        <v>250</v>
      </c>
      <c r="AAQ100" s="6">
        <v>44102</v>
      </c>
      <c r="AAS100" s="5" t="s">
        <v>67</v>
      </c>
      <c r="AAT100" s="6">
        <v>44102</v>
      </c>
      <c r="AAU100" s="7">
        <v>0.4</v>
      </c>
      <c r="AAV100" s="5">
        <v>14.5</v>
      </c>
      <c r="AAW100" s="5">
        <v>226</v>
      </c>
      <c r="AAX100" s="5">
        <v>250</v>
      </c>
      <c r="AAY100" s="6">
        <v>44102</v>
      </c>
      <c r="ABA100" s="5" t="s">
        <v>67</v>
      </c>
      <c r="ABB100" s="6">
        <v>44102</v>
      </c>
      <c r="ABC100" s="7">
        <v>0.4</v>
      </c>
      <c r="ABD100" s="5">
        <v>14.5</v>
      </c>
      <c r="ABE100" s="5">
        <v>226</v>
      </c>
      <c r="ABF100" s="5">
        <v>250</v>
      </c>
      <c r="ABG100" s="6">
        <v>44102</v>
      </c>
      <c r="ABI100" s="5" t="s">
        <v>67</v>
      </c>
      <c r="ABJ100" s="6">
        <v>44102</v>
      </c>
      <c r="ABK100" s="7">
        <v>0.4</v>
      </c>
      <c r="ABL100" s="5">
        <v>14.5</v>
      </c>
      <c r="ABM100" s="5">
        <v>226</v>
      </c>
      <c r="ABN100" s="5">
        <v>250</v>
      </c>
      <c r="ABO100" s="6">
        <v>44102</v>
      </c>
      <c r="ABQ100" s="5" t="s">
        <v>67</v>
      </c>
      <c r="ABR100" s="6">
        <v>44102</v>
      </c>
      <c r="ABS100" s="7">
        <v>0.4</v>
      </c>
      <c r="ABT100" s="5">
        <v>14.5</v>
      </c>
      <c r="ABU100" s="5">
        <v>226</v>
      </c>
      <c r="ABV100" s="5">
        <v>250</v>
      </c>
      <c r="ABW100" s="6">
        <v>44102</v>
      </c>
      <c r="ABY100" s="5" t="s">
        <v>67</v>
      </c>
      <c r="ABZ100" s="6">
        <v>44102</v>
      </c>
      <c r="ACA100" s="7">
        <v>0.4</v>
      </c>
      <c r="ACB100" s="5">
        <v>14.5</v>
      </c>
      <c r="ACC100" s="5">
        <v>226</v>
      </c>
      <c r="ACD100" s="5">
        <v>250</v>
      </c>
      <c r="ACE100" s="6">
        <v>44102</v>
      </c>
      <c r="ACG100" s="5" t="s">
        <v>67</v>
      </c>
      <c r="ACH100" s="6">
        <v>44102</v>
      </c>
      <c r="ACI100" s="7">
        <v>0.4</v>
      </c>
      <c r="ACJ100" s="5">
        <v>14.5</v>
      </c>
      <c r="ACK100" s="5">
        <v>226</v>
      </c>
      <c r="ACL100" s="5">
        <v>250</v>
      </c>
      <c r="ACM100" s="6">
        <v>44102</v>
      </c>
      <c r="ACO100" s="5" t="s">
        <v>67</v>
      </c>
      <c r="ACP100" s="6">
        <v>44102</v>
      </c>
      <c r="ACQ100" s="7">
        <v>0.4</v>
      </c>
      <c r="ACR100" s="5">
        <v>14.5</v>
      </c>
      <c r="ACS100" s="5">
        <v>226</v>
      </c>
      <c r="ACT100" s="5">
        <v>250</v>
      </c>
      <c r="ACU100" s="6">
        <v>44102</v>
      </c>
      <c r="ACW100" s="5" t="s">
        <v>67</v>
      </c>
      <c r="ACX100" s="6">
        <v>44102</v>
      </c>
      <c r="ACY100" s="7">
        <v>0.4</v>
      </c>
      <c r="ACZ100" s="5">
        <v>14.5</v>
      </c>
      <c r="ADA100" s="5">
        <v>226</v>
      </c>
      <c r="ADB100" s="5">
        <v>250</v>
      </c>
      <c r="ADC100" s="6">
        <v>44102</v>
      </c>
      <c r="ADE100" s="5" t="s">
        <v>67</v>
      </c>
      <c r="ADF100" s="6">
        <v>44102</v>
      </c>
      <c r="ADG100" s="7">
        <v>0.4</v>
      </c>
      <c r="ADH100" s="5">
        <v>14.5</v>
      </c>
      <c r="ADI100" s="5">
        <v>226</v>
      </c>
      <c r="ADJ100" s="5">
        <v>250</v>
      </c>
      <c r="ADK100" s="6">
        <v>44102</v>
      </c>
      <c r="ADM100" s="5" t="s">
        <v>67</v>
      </c>
      <c r="ADN100" s="6">
        <v>44102</v>
      </c>
      <c r="ADO100" s="7">
        <v>0.4</v>
      </c>
      <c r="ADP100" s="5">
        <v>14.5</v>
      </c>
      <c r="ADQ100" s="5">
        <v>226</v>
      </c>
      <c r="ADR100" s="5">
        <v>250</v>
      </c>
      <c r="ADS100" s="6">
        <v>44102</v>
      </c>
      <c r="ADU100" s="5" t="s">
        <v>67</v>
      </c>
      <c r="ADV100" s="6">
        <v>44102</v>
      </c>
      <c r="ADW100" s="7">
        <v>0.4</v>
      </c>
      <c r="ADX100" s="5">
        <v>14.5</v>
      </c>
      <c r="ADY100" s="5">
        <v>226</v>
      </c>
      <c r="ADZ100" s="5">
        <v>250</v>
      </c>
      <c r="AEA100" s="6">
        <v>44102</v>
      </c>
      <c r="AEC100" s="5" t="s">
        <v>67</v>
      </c>
      <c r="AED100" s="6">
        <v>44102</v>
      </c>
      <c r="AEE100" s="7">
        <v>0.4</v>
      </c>
      <c r="AEF100" s="5">
        <v>14.5</v>
      </c>
      <c r="AEG100" s="5">
        <v>226</v>
      </c>
      <c r="AEH100" s="5">
        <v>250</v>
      </c>
      <c r="AEI100" s="6">
        <v>44102</v>
      </c>
      <c r="AEK100" s="5" t="s">
        <v>67</v>
      </c>
      <c r="AEL100" s="6">
        <v>44102</v>
      </c>
      <c r="AEM100" s="7">
        <v>0.4</v>
      </c>
      <c r="AEN100" s="5">
        <v>14.5</v>
      </c>
      <c r="AEO100" s="5">
        <v>226</v>
      </c>
      <c r="AEP100" s="5">
        <v>250</v>
      </c>
      <c r="AEQ100" s="6">
        <v>44102</v>
      </c>
      <c r="AES100" s="5" t="s">
        <v>67</v>
      </c>
      <c r="AET100" s="6">
        <v>44102</v>
      </c>
      <c r="AEU100" s="7">
        <v>0.4</v>
      </c>
      <c r="AEV100" s="5">
        <v>14.5</v>
      </c>
      <c r="AEW100" s="5">
        <v>226</v>
      </c>
      <c r="AEX100" s="5">
        <v>250</v>
      </c>
      <c r="AEY100" s="6">
        <v>44102</v>
      </c>
      <c r="AFA100" s="5" t="s">
        <v>67</v>
      </c>
      <c r="AFB100" s="6">
        <v>44102</v>
      </c>
      <c r="AFC100" s="7">
        <v>0.4</v>
      </c>
      <c r="AFD100" s="5">
        <v>14.5</v>
      </c>
      <c r="AFE100" s="5">
        <v>226</v>
      </c>
      <c r="AFF100" s="5">
        <v>250</v>
      </c>
      <c r="AFG100" s="6">
        <v>44102</v>
      </c>
      <c r="AFI100" s="5" t="s">
        <v>67</v>
      </c>
      <c r="AFJ100" s="6">
        <v>44102</v>
      </c>
      <c r="AFK100" s="7">
        <v>0.4</v>
      </c>
      <c r="AFL100" s="5">
        <v>14.5</v>
      </c>
      <c r="AFM100" s="5">
        <v>226</v>
      </c>
      <c r="AFN100" s="5">
        <v>250</v>
      </c>
      <c r="AFO100" s="6">
        <v>44102</v>
      </c>
      <c r="AFQ100" s="5" t="s">
        <v>67</v>
      </c>
      <c r="AFR100" s="6">
        <v>44102</v>
      </c>
      <c r="AFS100" s="7">
        <v>0.4</v>
      </c>
      <c r="AFT100" s="5">
        <v>14.5</v>
      </c>
      <c r="AFU100" s="5">
        <v>226</v>
      </c>
      <c r="AFV100" s="5">
        <v>250</v>
      </c>
      <c r="AFW100" s="6">
        <v>44102</v>
      </c>
      <c r="AFY100" s="5" t="s">
        <v>67</v>
      </c>
      <c r="AFZ100" s="6">
        <v>44102</v>
      </c>
      <c r="AGA100" s="7">
        <v>0.4</v>
      </c>
      <c r="AGB100" s="5">
        <v>14.5</v>
      </c>
      <c r="AGC100" s="5">
        <v>226</v>
      </c>
      <c r="AGD100" s="5">
        <v>250</v>
      </c>
      <c r="AGE100" s="6">
        <v>44102</v>
      </c>
      <c r="AGG100" s="5" t="s">
        <v>67</v>
      </c>
      <c r="AGH100" s="6">
        <v>44102</v>
      </c>
      <c r="AGI100" s="7">
        <v>0.4</v>
      </c>
      <c r="AGJ100" s="5">
        <v>14.5</v>
      </c>
      <c r="AGK100" s="5">
        <v>226</v>
      </c>
      <c r="AGL100" s="5">
        <v>250</v>
      </c>
      <c r="AGM100" s="6">
        <v>44102</v>
      </c>
      <c r="AGO100" s="5" t="s">
        <v>67</v>
      </c>
      <c r="AGP100" s="6">
        <v>44102</v>
      </c>
      <c r="AGQ100" s="7">
        <v>0.4</v>
      </c>
      <c r="AGR100" s="5">
        <v>14.5</v>
      </c>
      <c r="AGS100" s="5">
        <v>226</v>
      </c>
      <c r="AGT100" s="5">
        <v>250</v>
      </c>
      <c r="AGU100" s="6">
        <v>44102</v>
      </c>
      <c r="AGW100" s="5" t="s">
        <v>67</v>
      </c>
      <c r="AGX100" s="6">
        <v>44102</v>
      </c>
      <c r="AGY100" s="7">
        <v>0.4</v>
      </c>
      <c r="AGZ100" s="5">
        <v>14.5</v>
      </c>
      <c r="AHA100" s="5">
        <v>226</v>
      </c>
      <c r="AHB100" s="5">
        <v>250</v>
      </c>
      <c r="AHC100" s="6">
        <v>44102</v>
      </c>
      <c r="AHE100" s="5" t="s">
        <v>67</v>
      </c>
      <c r="AHF100" s="6">
        <v>44102</v>
      </c>
      <c r="AHG100" s="7">
        <v>0.4</v>
      </c>
      <c r="AHH100" s="5">
        <v>14.5</v>
      </c>
      <c r="AHI100" s="5">
        <v>226</v>
      </c>
      <c r="AHJ100" s="5">
        <v>250</v>
      </c>
      <c r="AHK100" s="6">
        <v>44102</v>
      </c>
      <c r="AHM100" s="5" t="s">
        <v>67</v>
      </c>
      <c r="AHN100" s="6">
        <v>44102</v>
      </c>
      <c r="AHO100" s="7">
        <v>0.4</v>
      </c>
      <c r="AHP100" s="5">
        <v>14.5</v>
      </c>
      <c r="AHQ100" s="5">
        <v>226</v>
      </c>
      <c r="AHR100" s="5">
        <v>250</v>
      </c>
      <c r="AHS100" s="6">
        <v>44102</v>
      </c>
      <c r="AHU100" s="5" t="s">
        <v>67</v>
      </c>
      <c r="AHV100" s="6">
        <v>44102</v>
      </c>
      <c r="AHW100" s="7">
        <v>0.4</v>
      </c>
      <c r="AHX100" s="5">
        <v>14.5</v>
      </c>
      <c r="AHY100" s="5">
        <v>226</v>
      </c>
      <c r="AHZ100" s="5">
        <v>250</v>
      </c>
      <c r="AIA100" s="6">
        <v>44102</v>
      </c>
      <c r="AIC100" s="5" t="s">
        <v>67</v>
      </c>
      <c r="AID100" s="6">
        <v>44102</v>
      </c>
      <c r="AIE100" s="7">
        <v>0.4</v>
      </c>
      <c r="AIF100" s="5">
        <v>14.5</v>
      </c>
      <c r="AIG100" s="5">
        <v>226</v>
      </c>
      <c r="AIH100" s="5">
        <v>250</v>
      </c>
      <c r="AII100" s="6">
        <v>44102</v>
      </c>
      <c r="AIK100" s="5" t="s">
        <v>67</v>
      </c>
      <c r="AIL100" s="6">
        <v>44102</v>
      </c>
      <c r="AIM100" s="7">
        <v>0.4</v>
      </c>
      <c r="AIN100" s="5">
        <v>14.5</v>
      </c>
      <c r="AIO100" s="5">
        <v>226</v>
      </c>
      <c r="AIP100" s="5">
        <v>250</v>
      </c>
      <c r="AIQ100" s="6">
        <v>44102</v>
      </c>
      <c r="AIS100" s="5" t="s">
        <v>67</v>
      </c>
      <c r="AIT100" s="6">
        <v>44102</v>
      </c>
      <c r="AIU100" s="7">
        <v>0.4</v>
      </c>
      <c r="AIV100" s="5">
        <v>14.5</v>
      </c>
      <c r="AIW100" s="5">
        <v>226</v>
      </c>
      <c r="AIX100" s="5">
        <v>250</v>
      </c>
      <c r="AIY100" s="6">
        <v>44102</v>
      </c>
      <c r="AJA100" s="5" t="s">
        <v>67</v>
      </c>
      <c r="AJB100" s="6">
        <v>44102</v>
      </c>
      <c r="AJC100" s="7">
        <v>0.4</v>
      </c>
      <c r="AJD100" s="5">
        <v>14.5</v>
      </c>
      <c r="AJE100" s="5">
        <v>226</v>
      </c>
      <c r="AJF100" s="5">
        <v>250</v>
      </c>
      <c r="AJG100" s="6">
        <v>44102</v>
      </c>
      <c r="AJI100" s="5" t="s">
        <v>67</v>
      </c>
      <c r="AJJ100" s="6">
        <v>44102</v>
      </c>
      <c r="AJK100" s="7">
        <v>0.4</v>
      </c>
      <c r="AJL100" s="5">
        <v>14.5</v>
      </c>
      <c r="AJM100" s="5">
        <v>226</v>
      </c>
      <c r="AJN100" s="5">
        <v>250</v>
      </c>
      <c r="AJO100" s="6">
        <v>44102</v>
      </c>
      <c r="AJQ100" s="5" t="s">
        <v>67</v>
      </c>
      <c r="AJR100" s="6">
        <v>44102</v>
      </c>
      <c r="AJS100" s="7">
        <v>0.4</v>
      </c>
      <c r="AJT100" s="5">
        <v>14.5</v>
      </c>
      <c r="AJU100" s="5">
        <v>226</v>
      </c>
      <c r="AJV100" s="5">
        <v>250</v>
      </c>
      <c r="AJW100" s="6">
        <v>44102</v>
      </c>
      <c r="AJY100" s="5" t="s">
        <v>67</v>
      </c>
      <c r="AJZ100" s="6">
        <v>44102</v>
      </c>
      <c r="AKA100" s="7">
        <v>0.4</v>
      </c>
      <c r="AKB100" s="5">
        <v>14.5</v>
      </c>
      <c r="AKC100" s="5">
        <v>226</v>
      </c>
      <c r="AKD100" s="5">
        <v>250</v>
      </c>
      <c r="AKE100" s="6">
        <v>44102</v>
      </c>
      <c r="AKG100" s="5" t="s">
        <v>67</v>
      </c>
      <c r="AKH100" s="6">
        <v>44102</v>
      </c>
      <c r="AKI100" s="7">
        <v>0.4</v>
      </c>
      <c r="AKJ100" s="5">
        <v>14.5</v>
      </c>
      <c r="AKK100" s="5">
        <v>226</v>
      </c>
      <c r="AKL100" s="5">
        <v>250</v>
      </c>
      <c r="AKM100" s="6">
        <v>44102</v>
      </c>
      <c r="AKO100" s="5" t="s">
        <v>67</v>
      </c>
      <c r="AKP100" s="6">
        <v>44102</v>
      </c>
      <c r="AKQ100" s="7">
        <v>0.4</v>
      </c>
      <c r="AKR100" s="5">
        <v>14.5</v>
      </c>
      <c r="AKS100" s="5">
        <v>226</v>
      </c>
      <c r="AKT100" s="5">
        <v>250</v>
      </c>
      <c r="AKU100" s="6">
        <v>44102</v>
      </c>
      <c r="AKW100" s="5" t="s">
        <v>67</v>
      </c>
      <c r="AKX100" s="6">
        <v>44102</v>
      </c>
      <c r="AKY100" s="7">
        <v>0.4</v>
      </c>
      <c r="AKZ100" s="5">
        <v>14.5</v>
      </c>
      <c r="ALA100" s="5">
        <v>226</v>
      </c>
      <c r="ALB100" s="5">
        <v>250</v>
      </c>
      <c r="ALC100" s="6">
        <v>44102</v>
      </c>
      <c r="ALE100" s="5" t="s">
        <v>67</v>
      </c>
      <c r="ALF100" s="6">
        <v>44102</v>
      </c>
      <c r="ALG100" s="7">
        <v>0.4</v>
      </c>
      <c r="ALH100" s="5">
        <v>14.5</v>
      </c>
      <c r="ALI100" s="5">
        <v>226</v>
      </c>
      <c r="ALJ100" s="5">
        <v>250</v>
      </c>
      <c r="ALK100" s="6">
        <v>44102</v>
      </c>
      <c r="ALM100" s="5" t="s">
        <v>67</v>
      </c>
      <c r="ALN100" s="6">
        <v>44102</v>
      </c>
      <c r="ALO100" s="7">
        <v>0.4</v>
      </c>
      <c r="ALP100" s="5">
        <v>14.5</v>
      </c>
      <c r="ALQ100" s="5">
        <v>226</v>
      </c>
      <c r="ALR100" s="5">
        <v>250</v>
      </c>
      <c r="ALS100" s="6">
        <v>44102</v>
      </c>
      <c r="ALU100" s="5" t="s">
        <v>67</v>
      </c>
      <c r="ALV100" s="6">
        <v>44102</v>
      </c>
      <c r="ALW100" s="7">
        <v>0.4</v>
      </c>
      <c r="ALX100" s="5">
        <v>14.5</v>
      </c>
      <c r="ALY100" s="5">
        <v>226</v>
      </c>
      <c r="ALZ100" s="5">
        <v>250</v>
      </c>
      <c r="AMA100" s="6">
        <v>44102</v>
      </c>
      <c r="AMC100" s="5" t="s">
        <v>67</v>
      </c>
      <c r="AMD100" s="6">
        <v>44102</v>
      </c>
      <c r="AME100" s="7">
        <v>0.4</v>
      </c>
      <c r="AMF100" s="5">
        <v>14.5</v>
      </c>
      <c r="AMG100" s="5">
        <v>226</v>
      </c>
      <c r="AMH100" s="5">
        <v>250</v>
      </c>
      <c r="AMI100" s="6">
        <v>44102</v>
      </c>
      <c r="AMK100" s="5" t="s">
        <v>67</v>
      </c>
      <c r="AML100" s="6">
        <v>44102</v>
      </c>
      <c r="AMM100" s="7">
        <v>0.4</v>
      </c>
      <c r="AMN100" s="5">
        <v>14.5</v>
      </c>
      <c r="AMO100" s="5">
        <v>226</v>
      </c>
      <c r="AMP100" s="5">
        <v>250</v>
      </c>
      <c r="AMQ100" s="6">
        <v>44102</v>
      </c>
      <c r="AMS100" s="5" t="s">
        <v>67</v>
      </c>
      <c r="AMT100" s="6">
        <v>44102</v>
      </c>
      <c r="AMU100" s="7">
        <v>0.4</v>
      </c>
      <c r="AMV100" s="5">
        <v>14.5</v>
      </c>
      <c r="AMW100" s="5">
        <v>226</v>
      </c>
      <c r="AMX100" s="5">
        <v>250</v>
      </c>
      <c r="AMY100" s="6">
        <v>44102</v>
      </c>
      <c r="ANA100" s="5" t="s">
        <v>67</v>
      </c>
      <c r="ANB100" s="6">
        <v>44102</v>
      </c>
      <c r="ANC100" s="7">
        <v>0.4</v>
      </c>
      <c r="AND100" s="5">
        <v>14.5</v>
      </c>
      <c r="ANE100" s="5">
        <v>226</v>
      </c>
      <c r="ANF100" s="5">
        <v>250</v>
      </c>
      <c r="ANG100" s="6">
        <v>44102</v>
      </c>
      <c r="ANI100" s="5" t="s">
        <v>67</v>
      </c>
      <c r="ANJ100" s="6">
        <v>44102</v>
      </c>
      <c r="ANK100" s="7">
        <v>0.4</v>
      </c>
      <c r="ANL100" s="5">
        <v>14.5</v>
      </c>
      <c r="ANM100" s="5">
        <v>226</v>
      </c>
      <c r="ANN100" s="5">
        <v>250</v>
      </c>
      <c r="ANO100" s="6">
        <v>44102</v>
      </c>
      <c r="ANQ100" s="5" t="s">
        <v>67</v>
      </c>
      <c r="ANR100" s="6">
        <v>44102</v>
      </c>
      <c r="ANS100" s="7">
        <v>0.4</v>
      </c>
      <c r="ANT100" s="5">
        <v>14.5</v>
      </c>
      <c r="ANU100" s="5">
        <v>226</v>
      </c>
      <c r="ANV100" s="5">
        <v>250</v>
      </c>
      <c r="ANW100" s="6">
        <v>44102</v>
      </c>
      <c r="ANY100" s="5" t="s">
        <v>67</v>
      </c>
      <c r="ANZ100" s="6">
        <v>44102</v>
      </c>
      <c r="AOA100" s="7">
        <v>0.4</v>
      </c>
      <c r="AOB100" s="5">
        <v>14.5</v>
      </c>
      <c r="AOC100" s="5">
        <v>226</v>
      </c>
      <c r="AOD100" s="5">
        <v>250</v>
      </c>
      <c r="AOE100" s="6">
        <v>44102</v>
      </c>
      <c r="AOG100" s="5" t="s">
        <v>67</v>
      </c>
      <c r="AOH100" s="6">
        <v>44102</v>
      </c>
      <c r="AOI100" s="7">
        <v>0.4</v>
      </c>
      <c r="AOJ100" s="5">
        <v>14.5</v>
      </c>
      <c r="AOK100" s="5">
        <v>226</v>
      </c>
      <c r="AOL100" s="5">
        <v>250</v>
      </c>
      <c r="AOM100" s="6">
        <v>44102</v>
      </c>
      <c r="AOO100" s="5" t="s">
        <v>67</v>
      </c>
      <c r="AOP100" s="6">
        <v>44102</v>
      </c>
      <c r="AOQ100" s="7">
        <v>0.4</v>
      </c>
      <c r="AOR100" s="5">
        <v>14.5</v>
      </c>
      <c r="AOS100" s="5">
        <v>226</v>
      </c>
      <c r="AOT100" s="5">
        <v>250</v>
      </c>
      <c r="AOU100" s="6">
        <v>44102</v>
      </c>
      <c r="AOW100" s="5" t="s">
        <v>67</v>
      </c>
      <c r="AOX100" s="6">
        <v>44102</v>
      </c>
      <c r="AOY100" s="7">
        <v>0.4</v>
      </c>
      <c r="AOZ100" s="5">
        <v>14.5</v>
      </c>
      <c r="APA100" s="5">
        <v>226</v>
      </c>
      <c r="APB100" s="5">
        <v>250</v>
      </c>
      <c r="APC100" s="6">
        <v>44102</v>
      </c>
      <c r="APE100" s="5" t="s">
        <v>67</v>
      </c>
      <c r="APF100" s="6">
        <v>44102</v>
      </c>
      <c r="APG100" s="7">
        <v>0.4</v>
      </c>
      <c r="APH100" s="5">
        <v>14.5</v>
      </c>
      <c r="API100" s="5">
        <v>226</v>
      </c>
      <c r="APJ100" s="5">
        <v>250</v>
      </c>
      <c r="APK100" s="6">
        <v>44102</v>
      </c>
      <c r="APM100" s="5" t="s">
        <v>67</v>
      </c>
      <c r="APN100" s="6">
        <v>44102</v>
      </c>
      <c r="APO100" s="7">
        <v>0.4</v>
      </c>
      <c r="APP100" s="5">
        <v>14.5</v>
      </c>
      <c r="APQ100" s="5">
        <v>226</v>
      </c>
      <c r="APR100" s="5">
        <v>250</v>
      </c>
      <c r="APS100" s="6">
        <v>44102</v>
      </c>
      <c r="APU100" s="5" t="s">
        <v>67</v>
      </c>
      <c r="APV100" s="6">
        <v>44102</v>
      </c>
      <c r="APW100" s="7">
        <v>0.4</v>
      </c>
      <c r="APX100" s="5">
        <v>14.5</v>
      </c>
      <c r="APY100" s="5">
        <v>226</v>
      </c>
      <c r="APZ100" s="5">
        <v>250</v>
      </c>
      <c r="AQA100" s="6">
        <v>44102</v>
      </c>
      <c r="AQC100" s="5" t="s">
        <v>67</v>
      </c>
      <c r="AQD100" s="6">
        <v>44102</v>
      </c>
      <c r="AQE100" s="7">
        <v>0.4</v>
      </c>
      <c r="AQF100" s="5">
        <v>14.5</v>
      </c>
      <c r="AQG100" s="5">
        <v>226</v>
      </c>
      <c r="AQH100" s="5">
        <v>250</v>
      </c>
      <c r="AQI100" s="6">
        <v>44102</v>
      </c>
      <c r="AQK100" s="5" t="s">
        <v>67</v>
      </c>
      <c r="AQL100" s="6">
        <v>44102</v>
      </c>
      <c r="AQM100" s="7">
        <v>0.4</v>
      </c>
      <c r="AQN100" s="5">
        <v>14.5</v>
      </c>
      <c r="AQO100" s="5">
        <v>226</v>
      </c>
      <c r="AQP100" s="5">
        <v>250</v>
      </c>
      <c r="AQQ100" s="6">
        <v>44102</v>
      </c>
      <c r="AQS100" s="5" t="s">
        <v>67</v>
      </c>
      <c r="AQT100" s="6">
        <v>44102</v>
      </c>
      <c r="AQU100" s="7">
        <v>0.4</v>
      </c>
      <c r="AQV100" s="5">
        <v>14.5</v>
      </c>
      <c r="AQW100" s="5">
        <v>226</v>
      </c>
      <c r="AQX100" s="5">
        <v>250</v>
      </c>
      <c r="AQY100" s="6">
        <v>44102</v>
      </c>
      <c r="ARA100" s="5" t="s">
        <v>67</v>
      </c>
      <c r="ARB100" s="6">
        <v>44102</v>
      </c>
      <c r="ARC100" s="7">
        <v>0.4</v>
      </c>
      <c r="ARD100" s="5">
        <v>14.5</v>
      </c>
      <c r="ARE100" s="5">
        <v>226</v>
      </c>
      <c r="ARF100" s="5">
        <v>250</v>
      </c>
      <c r="ARG100" s="6">
        <v>44102</v>
      </c>
      <c r="ARI100" s="5" t="s">
        <v>67</v>
      </c>
      <c r="ARJ100" s="6">
        <v>44102</v>
      </c>
      <c r="ARK100" s="7">
        <v>0.4</v>
      </c>
      <c r="ARL100" s="5">
        <v>14.5</v>
      </c>
      <c r="ARM100" s="5">
        <v>226</v>
      </c>
      <c r="ARN100" s="5">
        <v>250</v>
      </c>
      <c r="ARO100" s="6">
        <v>44102</v>
      </c>
      <c r="ARQ100" s="5" t="s">
        <v>67</v>
      </c>
      <c r="ARR100" s="6">
        <v>44102</v>
      </c>
      <c r="ARS100" s="7">
        <v>0.4</v>
      </c>
      <c r="ART100" s="5">
        <v>14.5</v>
      </c>
      <c r="ARU100" s="5">
        <v>226</v>
      </c>
      <c r="ARV100" s="5">
        <v>250</v>
      </c>
      <c r="ARW100" s="6">
        <v>44102</v>
      </c>
      <c r="ARY100" s="5" t="s">
        <v>67</v>
      </c>
      <c r="ARZ100" s="6">
        <v>44102</v>
      </c>
      <c r="ASA100" s="7">
        <v>0.4</v>
      </c>
      <c r="ASB100" s="5">
        <v>14.5</v>
      </c>
      <c r="ASC100" s="5">
        <v>226</v>
      </c>
      <c r="ASD100" s="5">
        <v>250</v>
      </c>
      <c r="ASE100" s="6">
        <v>44102</v>
      </c>
      <c r="ASG100" s="5" t="s">
        <v>67</v>
      </c>
      <c r="ASH100" s="6">
        <v>44102</v>
      </c>
      <c r="ASI100" s="7">
        <v>0.4</v>
      </c>
      <c r="ASJ100" s="5">
        <v>14.5</v>
      </c>
      <c r="ASK100" s="5">
        <v>226</v>
      </c>
      <c r="ASL100" s="5">
        <v>250</v>
      </c>
      <c r="ASM100" s="6">
        <v>44102</v>
      </c>
      <c r="ASO100" s="5" t="s">
        <v>67</v>
      </c>
      <c r="ASP100" s="6">
        <v>44102</v>
      </c>
      <c r="ASQ100" s="7">
        <v>0.4</v>
      </c>
      <c r="ASR100" s="5">
        <v>14.5</v>
      </c>
      <c r="ASS100" s="5">
        <v>226</v>
      </c>
      <c r="AST100" s="5">
        <v>250</v>
      </c>
      <c r="ASU100" s="6">
        <v>44102</v>
      </c>
      <c r="ASW100" s="5" t="s">
        <v>67</v>
      </c>
      <c r="ASX100" s="6">
        <v>44102</v>
      </c>
      <c r="ASY100" s="7">
        <v>0.4</v>
      </c>
      <c r="ASZ100" s="5">
        <v>14.5</v>
      </c>
      <c r="ATA100" s="5">
        <v>226</v>
      </c>
      <c r="ATB100" s="5">
        <v>250</v>
      </c>
      <c r="ATC100" s="6">
        <v>44102</v>
      </c>
      <c r="ATE100" s="5" t="s">
        <v>67</v>
      </c>
      <c r="ATF100" s="6">
        <v>44102</v>
      </c>
      <c r="ATG100" s="7">
        <v>0.4</v>
      </c>
      <c r="ATH100" s="5">
        <v>14.5</v>
      </c>
      <c r="ATI100" s="5">
        <v>226</v>
      </c>
      <c r="ATJ100" s="5">
        <v>250</v>
      </c>
      <c r="ATK100" s="6">
        <v>44102</v>
      </c>
      <c r="ATM100" s="5" t="s">
        <v>67</v>
      </c>
      <c r="ATN100" s="6">
        <v>44102</v>
      </c>
      <c r="ATO100" s="7">
        <v>0.4</v>
      </c>
      <c r="ATP100" s="5">
        <v>14.5</v>
      </c>
      <c r="ATQ100" s="5">
        <v>226</v>
      </c>
      <c r="ATR100" s="5">
        <v>250</v>
      </c>
      <c r="ATS100" s="6">
        <v>44102</v>
      </c>
      <c r="ATU100" s="5" t="s">
        <v>67</v>
      </c>
      <c r="ATV100" s="6">
        <v>44102</v>
      </c>
      <c r="ATW100" s="7">
        <v>0.4</v>
      </c>
      <c r="ATX100" s="5">
        <v>14.5</v>
      </c>
      <c r="ATY100" s="5">
        <v>226</v>
      </c>
      <c r="ATZ100" s="5">
        <v>250</v>
      </c>
      <c r="AUA100" s="6">
        <v>44102</v>
      </c>
      <c r="AUC100" s="5" t="s">
        <v>67</v>
      </c>
      <c r="AUD100" s="6">
        <v>44102</v>
      </c>
      <c r="AUE100" s="7">
        <v>0.4</v>
      </c>
      <c r="AUF100" s="5">
        <v>14.5</v>
      </c>
      <c r="AUG100" s="5">
        <v>226</v>
      </c>
      <c r="AUH100" s="5">
        <v>250</v>
      </c>
      <c r="AUI100" s="6">
        <v>44102</v>
      </c>
      <c r="AUK100" s="5" t="s">
        <v>67</v>
      </c>
      <c r="AUL100" s="6">
        <v>44102</v>
      </c>
      <c r="AUM100" s="7">
        <v>0.4</v>
      </c>
      <c r="AUN100" s="5">
        <v>14.5</v>
      </c>
      <c r="AUO100" s="5">
        <v>226</v>
      </c>
      <c r="AUP100" s="5">
        <v>250</v>
      </c>
      <c r="AUQ100" s="6">
        <v>44102</v>
      </c>
      <c r="AUS100" s="5" t="s">
        <v>67</v>
      </c>
      <c r="AUT100" s="6">
        <v>44102</v>
      </c>
      <c r="AUU100" s="7">
        <v>0.4</v>
      </c>
      <c r="AUV100" s="5">
        <v>14.5</v>
      </c>
      <c r="AUW100" s="5">
        <v>226</v>
      </c>
      <c r="AUX100" s="5">
        <v>250</v>
      </c>
      <c r="AUY100" s="6">
        <v>44102</v>
      </c>
      <c r="AVA100" s="5" t="s">
        <v>67</v>
      </c>
      <c r="AVB100" s="6">
        <v>44102</v>
      </c>
      <c r="AVC100" s="7">
        <v>0.4</v>
      </c>
      <c r="AVD100" s="5">
        <v>14.5</v>
      </c>
      <c r="AVE100" s="5">
        <v>226</v>
      </c>
      <c r="AVF100" s="5">
        <v>250</v>
      </c>
      <c r="AVG100" s="6">
        <v>44102</v>
      </c>
      <c r="AVI100" s="5" t="s">
        <v>67</v>
      </c>
      <c r="AVJ100" s="6">
        <v>44102</v>
      </c>
      <c r="AVK100" s="7">
        <v>0.4</v>
      </c>
      <c r="AVL100" s="5">
        <v>14.5</v>
      </c>
      <c r="AVM100" s="5">
        <v>226</v>
      </c>
      <c r="AVN100" s="5">
        <v>250</v>
      </c>
      <c r="AVO100" s="6">
        <v>44102</v>
      </c>
      <c r="AVQ100" s="5" t="s">
        <v>67</v>
      </c>
      <c r="AVR100" s="6">
        <v>44102</v>
      </c>
      <c r="AVS100" s="7">
        <v>0.4</v>
      </c>
      <c r="AVT100" s="5">
        <v>14.5</v>
      </c>
      <c r="AVU100" s="5">
        <v>226</v>
      </c>
      <c r="AVV100" s="5">
        <v>250</v>
      </c>
      <c r="AVW100" s="6">
        <v>44102</v>
      </c>
      <c r="AVY100" s="5" t="s">
        <v>67</v>
      </c>
      <c r="AVZ100" s="6">
        <v>44102</v>
      </c>
      <c r="AWA100" s="7">
        <v>0.4</v>
      </c>
      <c r="AWB100" s="5">
        <v>14.5</v>
      </c>
      <c r="AWC100" s="5">
        <v>226</v>
      </c>
      <c r="AWD100" s="5">
        <v>250</v>
      </c>
      <c r="AWE100" s="6">
        <v>44102</v>
      </c>
      <c r="AWG100" s="5" t="s">
        <v>67</v>
      </c>
      <c r="AWH100" s="6">
        <v>44102</v>
      </c>
      <c r="AWI100" s="7">
        <v>0.4</v>
      </c>
      <c r="AWJ100" s="5">
        <v>14.5</v>
      </c>
      <c r="AWK100" s="5">
        <v>226</v>
      </c>
      <c r="AWL100" s="5">
        <v>250</v>
      </c>
      <c r="AWM100" s="6">
        <v>44102</v>
      </c>
      <c r="AWO100" s="5" t="s">
        <v>67</v>
      </c>
      <c r="AWP100" s="6">
        <v>44102</v>
      </c>
      <c r="AWQ100" s="7">
        <v>0.4</v>
      </c>
      <c r="AWR100" s="5">
        <v>14.5</v>
      </c>
      <c r="AWS100" s="5">
        <v>226</v>
      </c>
      <c r="AWT100" s="5">
        <v>250</v>
      </c>
      <c r="AWU100" s="6">
        <v>44102</v>
      </c>
      <c r="AWW100" s="5" t="s">
        <v>67</v>
      </c>
      <c r="AWX100" s="6">
        <v>44102</v>
      </c>
      <c r="AWY100" s="7">
        <v>0.4</v>
      </c>
      <c r="AWZ100" s="5">
        <v>14.5</v>
      </c>
      <c r="AXA100" s="5">
        <v>226</v>
      </c>
      <c r="AXB100" s="5">
        <v>250</v>
      </c>
      <c r="AXC100" s="6">
        <v>44102</v>
      </c>
      <c r="AXE100" s="5" t="s">
        <v>67</v>
      </c>
      <c r="AXF100" s="6">
        <v>44102</v>
      </c>
      <c r="AXG100" s="7">
        <v>0.4</v>
      </c>
      <c r="AXH100" s="5">
        <v>14.5</v>
      </c>
      <c r="AXI100" s="5">
        <v>226</v>
      </c>
      <c r="AXJ100" s="5">
        <v>250</v>
      </c>
      <c r="AXK100" s="6">
        <v>44102</v>
      </c>
      <c r="AXM100" s="5" t="s">
        <v>67</v>
      </c>
      <c r="AXN100" s="6">
        <v>44102</v>
      </c>
      <c r="AXO100" s="7">
        <v>0.4</v>
      </c>
      <c r="AXP100" s="5">
        <v>14.5</v>
      </c>
      <c r="AXQ100" s="5">
        <v>226</v>
      </c>
      <c r="AXR100" s="5">
        <v>250</v>
      </c>
      <c r="AXS100" s="6">
        <v>44102</v>
      </c>
      <c r="AXU100" s="5" t="s">
        <v>67</v>
      </c>
      <c r="AXV100" s="6">
        <v>44102</v>
      </c>
      <c r="AXW100" s="7">
        <v>0.4</v>
      </c>
      <c r="AXX100" s="5">
        <v>14.5</v>
      </c>
      <c r="AXY100" s="5">
        <v>226</v>
      </c>
      <c r="AXZ100" s="5">
        <v>250</v>
      </c>
      <c r="AYA100" s="6">
        <v>44102</v>
      </c>
      <c r="AYC100" s="5" t="s">
        <v>67</v>
      </c>
      <c r="AYD100" s="6">
        <v>44102</v>
      </c>
      <c r="AYE100" s="7">
        <v>0.4</v>
      </c>
      <c r="AYF100" s="5">
        <v>14.5</v>
      </c>
      <c r="AYG100" s="5">
        <v>226</v>
      </c>
      <c r="AYH100" s="5">
        <v>250</v>
      </c>
      <c r="AYI100" s="6">
        <v>44102</v>
      </c>
      <c r="AYK100" s="5" t="s">
        <v>67</v>
      </c>
      <c r="AYL100" s="6">
        <v>44102</v>
      </c>
      <c r="AYM100" s="7">
        <v>0.4</v>
      </c>
      <c r="AYN100" s="5">
        <v>14.5</v>
      </c>
      <c r="AYO100" s="5">
        <v>226</v>
      </c>
      <c r="AYP100" s="5">
        <v>250</v>
      </c>
      <c r="AYQ100" s="6">
        <v>44102</v>
      </c>
      <c r="AYS100" s="5" t="s">
        <v>67</v>
      </c>
      <c r="AYT100" s="6">
        <v>44102</v>
      </c>
      <c r="AYU100" s="7">
        <v>0.4</v>
      </c>
      <c r="AYV100" s="5">
        <v>14.5</v>
      </c>
      <c r="AYW100" s="5">
        <v>226</v>
      </c>
      <c r="AYX100" s="5">
        <v>250</v>
      </c>
      <c r="AYY100" s="6">
        <v>44102</v>
      </c>
      <c r="AZA100" s="5" t="s">
        <v>67</v>
      </c>
      <c r="AZB100" s="6">
        <v>44102</v>
      </c>
      <c r="AZC100" s="7">
        <v>0.4</v>
      </c>
      <c r="AZD100" s="5">
        <v>14.5</v>
      </c>
      <c r="AZE100" s="5">
        <v>226</v>
      </c>
      <c r="AZF100" s="5">
        <v>250</v>
      </c>
      <c r="AZG100" s="6">
        <v>44102</v>
      </c>
      <c r="AZI100" s="5" t="s">
        <v>67</v>
      </c>
      <c r="AZJ100" s="6">
        <v>44102</v>
      </c>
      <c r="AZK100" s="7">
        <v>0.4</v>
      </c>
      <c r="AZL100" s="5">
        <v>14.5</v>
      </c>
      <c r="AZM100" s="5">
        <v>226</v>
      </c>
      <c r="AZN100" s="5">
        <v>250</v>
      </c>
      <c r="AZO100" s="6">
        <v>44102</v>
      </c>
      <c r="AZQ100" s="5" t="s">
        <v>67</v>
      </c>
      <c r="AZR100" s="6">
        <v>44102</v>
      </c>
      <c r="AZS100" s="7">
        <v>0.4</v>
      </c>
      <c r="AZT100" s="5">
        <v>14.5</v>
      </c>
      <c r="AZU100" s="5">
        <v>226</v>
      </c>
      <c r="AZV100" s="5">
        <v>250</v>
      </c>
      <c r="AZW100" s="6">
        <v>44102</v>
      </c>
      <c r="AZY100" s="5" t="s">
        <v>67</v>
      </c>
      <c r="AZZ100" s="6">
        <v>44102</v>
      </c>
      <c r="BAA100" s="7">
        <v>0.4</v>
      </c>
      <c r="BAB100" s="5">
        <v>14.5</v>
      </c>
      <c r="BAC100" s="5">
        <v>226</v>
      </c>
      <c r="BAD100" s="5">
        <v>250</v>
      </c>
      <c r="BAE100" s="6">
        <v>44102</v>
      </c>
      <c r="BAG100" s="5" t="s">
        <v>67</v>
      </c>
      <c r="BAH100" s="6">
        <v>44102</v>
      </c>
      <c r="BAI100" s="7">
        <v>0.4</v>
      </c>
      <c r="BAJ100" s="5">
        <v>14.5</v>
      </c>
      <c r="BAK100" s="5">
        <v>226</v>
      </c>
      <c r="BAL100" s="5">
        <v>250</v>
      </c>
      <c r="BAM100" s="6">
        <v>44102</v>
      </c>
      <c r="BAO100" s="5" t="s">
        <v>67</v>
      </c>
      <c r="BAP100" s="6">
        <v>44102</v>
      </c>
      <c r="BAQ100" s="7">
        <v>0.4</v>
      </c>
      <c r="BAR100" s="5">
        <v>14.5</v>
      </c>
      <c r="BAS100" s="5">
        <v>226</v>
      </c>
      <c r="BAT100" s="5">
        <v>250</v>
      </c>
      <c r="BAU100" s="6">
        <v>44102</v>
      </c>
      <c r="BAW100" s="5" t="s">
        <v>67</v>
      </c>
      <c r="BAX100" s="6">
        <v>44102</v>
      </c>
      <c r="BAY100" s="7">
        <v>0.4</v>
      </c>
      <c r="BAZ100" s="5">
        <v>14.5</v>
      </c>
      <c r="BBA100" s="5">
        <v>226</v>
      </c>
      <c r="BBB100" s="5">
        <v>250</v>
      </c>
      <c r="BBC100" s="6">
        <v>44102</v>
      </c>
      <c r="BBE100" s="5" t="s">
        <v>67</v>
      </c>
      <c r="BBF100" s="6">
        <v>44102</v>
      </c>
      <c r="BBG100" s="7">
        <v>0.4</v>
      </c>
      <c r="BBH100" s="5">
        <v>14.5</v>
      </c>
      <c r="BBI100" s="5">
        <v>226</v>
      </c>
      <c r="BBJ100" s="5">
        <v>250</v>
      </c>
      <c r="BBK100" s="6">
        <v>44102</v>
      </c>
      <c r="BBM100" s="5" t="s">
        <v>67</v>
      </c>
      <c r="BBN100" s="6">
        <v>44102</v>
      </c>
      <c r="BBO100" s="7">
        <v>0.4</v>
      </c>
      <c r="BBP100" s="5">
        <v>14.5</v>
      </c>
      <c r="BBQ100" s="5">
        <v>226</v>
      </c>
      <c r="BBR100" s="5">
        <v>250</v>
      </c>
      <c r="BBS100" s="6">
        <v>44102</v>
      </c>
      <c r="BBU100" s="5" t="s">
        <v>67</v>
      </c>
      <c r="BBV100" s="6">
        <v>44102</v>
      </c>
      <c r="BBW100" s="7">
        <v>0.4</v>
      </c>
      <c r="BBX100" s="5">
        <v>14.5</v>
      </c>
      <c r="BBY100" s="5">
        <v>226</v>
      </c>
      <c r="BBZ100" s="5">
        <v>250</v>
      </c>
      <c r="BCA100" s="6">
        <v>44102</v>
      </c>
      <c r="BCC100" s="5" t="s">
        <v>67</v>
      </c>
      <c r="BCD100" s="6">
        <v>44102</v>
      </c>
      <c r="BCE100" s="7">
        <v>0.4</v>
      </c>
      <c r="BCF100" s="5">
        <v>14.5</v>
      </c>
      <c r="BCG100" s="5">
        <v>226</v>
      </c>
      <c r="BCH100" s="5">
        <v>250</v>
      </c>
      <c r="BCI100" s="6">
        <v>44102</v>
      </c>
      <c r="BCK100" s="5" t="s">
        <v>67</v>
      </c>
      <c r="BCL100" s="6">
        <v>44102</v>
      </c>
      <c r="BCM100" s="7">
        <v>0.4</v>
      </c>
      <c r="BCN100" s="5">
        <v>14.5</v>
      </c>
      <c r="BCO100" s="5">
        <v>226</v>
      </c>
      <c r="BCP100" s="5">
        <v>250</v>
      </c>
      <c r="BCQ100" s="6">
        <v>44102</v>
      </c>
      <c r="BCS100" s="5" t="s">
        <v>67</v>
      </c>
      <c r="BCT100" s="6">
        <v>44102</v>
      </c>
      <c r="BCU100" s="7">
        <v>0.4</v>
      </c>
      <c r="BCV100" s="5">
        <v>14.5</v>
      </c>
      <c r="BCW100" s="5">
        <v>226</v>
      </c>
      <c r="BCX100" s="5">
        <v>250</v>
      </c>
      <c r="BCY100" s="6">
        <v>44102</v>
      </c>
      <c r="BDA100" s="5" t="s">
        <v>67</v>
      </c>
      <c r="BDB100" s="6">
        <v>44102</v>
      </c>
      <c r="BDC100" s="7">
        <v>0.4</v>
      </c>
      <c r="BDD100" s="5">
        <v>14.5</v>
      </c>
      <c r="BDE100" s="5">
        <v>226</v>
      </c>
      <c r="BDF100" s="5">
        <v>250</v>
      </c>
      <c r="BDG100" s="6">
        <v>44102</v>
      </c>
      <c r="BDI100" s="5" t="s">
        <v>67</v>
      </c>
      <c r="BDJ100" s="6">
        <v>44102</v>
      </c>
      <c r="BDK100" s="7">
        <v>0.4</v>
      </c>
      <c r="BDL100" s="5">
        <v>14.5</v>
      </c>
      <c r="BDM100" s="5">
        <v>226</v>
      </c>
      <c r="BDN100" s="5">
        <v>250</v>
      </c>
      <c r="BDO100" s="6">
        <v>44102</v>
      </c>
      <c r="BDQ100" s="5" t="s">
        <v>67</v>
      </c>
      <c r="BDR100" s="6">
        <v>44102</v>
      </c>
      <c r="BDS100" s="7">
        <v>0.4</v>
      </c>
      <c r="BDT100" s="5">
        <v>14.5</v>
      </c>
      <c r="BDU100" s="5">
        <v>226</v>
      </c>
      <c r="BDV100" s="5">
        <v>250</v>
      </c>
      <c r="BDW100" s="6">
        <v>44102</v>
      </c>
      <c r="BDY100" s="5" t="s">
        <v>67</v>
      </c>
      <c r="BDZ100" s="6">
        <v>44102</v>
      </c>
      <c r="BEA100" s="7">
        <v>0.4</v>
      </c>
      <c r="BEB100" s="5">
        <v>14.5</v>
      </c>
      <c r="BEC100" s="5">
        <v>226</v>
      </c>
      <c r="BED100" s="5">
        <v>250</v>
      </c>
      <c r="BEE100" s="6">
        <v>44102</v>
      </c>
      <c r="BEG100" s="5" t="s">
        <v>67</v>
      </c>
      <c r="BEH100" s="6">
        <v>44102</v>
      </c>
      <c r="BEI100" s="7">
        <v>0.4</v>
      </c>
      <c r="BEJ100" s="5">
        <v>14.5</v>
      </c>
      <c r="BEK100" s="5">
        <v>226</v>
      </c>
      <c r="BEL100" s="5">
        <v>250</v>
      </c>
      <c r="BEM100" s="6">
        <v>44102</v>
      </c>
      <c r="BEO100" s="5" t="s">
        <v>67</v>
      </c>
      <c r="BEP100" s="6">
        <v>44102</v>
      </c>
      <c r="BEQ100" s="7">
        <v>0.4</v>
      </c>
      <c r="BER100" s="5">
        <v>14.5</v>
      </c>
      <c r="BES100" s="5">
        <v>226</v>
      </c>
      <c r="BET100" s="5">
        <v>250</v>
      </c>
      <c r="BEU100" s="6">
        <v>44102</v>
      </c>
      <c r="BEW100" s="5" t="s">
        <v>67</v>
      </c>
      <c r="BEX100" s="6">
        <v>44102</v>
      </c>
      <c r="BEY100" s="7">
        <v>0.4</v>
      </c>
      <c r="BEZ100" s="5">
        <v>14.5</v>
      </c>
      <c r="BFA100" s="5">
        <v>226</v>
      </c>
      <c r="BFB100" s="5">
        <v>250</v>
      </c>
      <c r="BFC100" s="6">
        <v>44102</v>
      </c>
      <c r="BFE100" s="5" t="s">
        <v>67</v>
      </c>
      <c r="BFF100" s="6">
        <v>44102</v>
      </c>
      <c r="BFG100" s="7">
        <v>0.4</v>
      </c>
      <c r="BFH100" s="5">
        <v>14.5</v>
      </c>
      <c r="BFI100" s="5">
        <v>226</v>
      </c>
      <c r="BFJ100" s="5">
        <v>250</v>
      </c>
      <c r="BFK100" s="6">
        <v>44102</v>
      </c>
      <c r="BFM100" s="5" t="s">
        <v>67</v>
      </c>
      <c r="BFN100" s="6">
        <v>44102</v>
      </c>
      <c r="BFO100" s="7">
        <v>0.4</v>
      </c>
      <c r="BFP100" s="5">
        <v>14.5</v>
      </c>
      <c r="BFQ100" s="5">
        <v>226</v>
      </c>
      <c r="BFR100" s="5">
        <v>250</v>
      </c>
      <c r="BFS100" s="6">
        <v>44102</v>
      </c>
      <c r="BFU100" s="5" t="s">
        <v>67</v>
      </c>
      <c r="BFV100" s="6">
        <v>44102</v>
      </c>
      <c r="BFW100" s="7">
        <v>0.4</v>
      </c>
      <c r="BFX100" s="5">
        <v>14.5</v>
      </c>
      <c r="BFY100" s="5">
        <v>226</v>
      </c>
      <c r="BFZ100" s="5">
        <v>250</v>
      </c>
      <c r="BGA100" s="6">
        <v>44102</v>
      </c>
      <c r="BGC100" s="5" t="s">
        <v>67</v>
      </c>
      <c r="BGD100" s="6">
        <v>44102</v>
      </c>
      <c r="BGE100" s="7">
        <v>0.4</v>
      </c>
      <c r="BGF100" s="5">
        <v>14.5</v>
      </c>
      <c r="BGG100" s="5">
        <v>226</v>
      </c>
      <c r="BGH100" s="5">
        <v>250</v>
      </c>
      <c r="BGI100" s="6">
        <v>44102</v>
      </c>
      <c r="BGK100" s="5" t="s">
        <v>67</v>
      </c>
      <c r="BGL100" s="6">
        <v>44102</v>
      </c>
      <c r="BGM100" s="7">
        <v>0.4</v>
      </c>
      <c r="BGN100" s="5">
        <v>14.5</v>
      </c>
      <c r="BGO100" s="5">
        <v>226</v>
      </c>
      <c r="BGP100" s="5">
        <v>250</v>
      </c>
      <c r="BGQ100" s="6">
        <v>44102</v>
      </c>
      <c r="BGS100" s="5" t="s">
        <v>67</v>
      </c>
      <c r="BGT100" s="6">
        <v>44102</v>
      </c>
      <c r="BGU100" s="7">
        <v>0.4</v>
      </c>
      <c r="BGV100" s="5">
        <v>14.5</v>
      </c>
      <c r="BGW100" s="5">
        <v>226</v>
      </c>
      <c r="BGX100" s="5">
        <v>250</v>
      </c>
      <c r="BGY100" s="6">
        <v>44102</v>
      </c>
      <c r="BHA100" s="5" t="s">
        <v>67</v>
      </c>
      <c r="BHB100" s="6">
        <v>44102</v>
      </c>
      <c r="BHC100" s="7">
        <v>0.4</v>
      </c>
      <c r="BHD100" s="5">
        <v>14.5</v>
      </c>
      <c r="BHE100" s="5">
        <v>226</v>
      </c>
      <c r="BHF100" s="5">
        <v>250</v>
      </c>
      <c r="BHG100" s="6">
        <v>44102</v>
      </c>
      <c r="BHI100" s="5" t="s">
        <v>67</v>
      </c>
      <c r="BHJ100" s="6">
        <v>44102</v>
      </c>
      <c r="BHK100" s="7">
        <v>0.4</v>
      </c>
      <c r="BHL100" s="5">
        <v>14.5</v>
      </c>
      <c r="BHM100" s="5">
        <v>226</v>
      </c>
      <c r="BHN100" s="5">
        <v>250</v>
      </c>
      <c r="BHO100" s="6">
        <v>44102</v>
      </c>
      <c r="BHQ100" s="5" t="s">
        <v>67</v>
      </c>
      <c r="BHR100" s="6">
        <v>44102</v>
      </c>
      <c r="BHS100" s="7">
        <v>0.4</v>
      </c>
      <c r="BHT100" s="5">
        <v>14.5</v>
      </c>
      <c r="BHU100" s="5">
        <v>226</v>
      </c>
      <c r="BHV100" s="5">
        <v>250</v>
      </c>
      <c r="BHW100" s="6">
        <v>44102</v>
      </c>
      <c r="BHY100" s="5" t="s">
        <v>67</v>
      </c>
      <c r="BHZ100" s="6">
        <v>44102</v>
      </c>
      <c r="BIA100" s="7">
        <v>0.4</v>
      </c>
      <c r="BIB100" s="5">
        <v>14.5</v>
      </c>
      <c r="BIC100" s="5">
        <v>226</v>
      </c>
      <c r="BID100" s="5">
        <v>250</v>
      </c>
      <c r="BIE100" s="6">
        <v>44102</v>
      </c>
      <c r="BIG100" s="5" t="s">
        <v>67</v>
      </c>
      <c r="BIH100" s="6">
        <v>44102</v>
      </c>
      <c r="BII100" s="7">
        <v>0.4</v>
      </c>
      <c r="BIJ100" s="5">
        <v>14.5</v>
      </c>
      <c r="BIK100" s="5">
        <v>226</v>
      </c>
      <c r="BIL100" s="5">
        <v>250</v>
      </c>
      <c r="BIM100" s="6">
        <v>44102</v>
      </c>
      <c r="BIO100" s="5" t="s">
        <v>67</v>
      </c>
      <c r="BIP100" s="6">
        <v>44102</v>
      </c>
      <c r="BIQ100" s="7">
        <v>0.4</v>
      </c>
      <c r="BIR100" s="5">
        <v>14.5</v>
      </c>
      <c r="BIS100" s="5">
        <v>226</v>
      </c>
      <c r="BIT100" s="5">
        <v>250</v>
      </c>
      <c r="BIU100" s="6">
        <v>44102</v>
      </c>
      <c r="BIW100" s="5" t="s">
        <v>67</v>
      </c>
      <c r="BIX100" s="6">
        <v>44102</v>
      </c>
      <c r="BIY100" s="7">
        <v>0.4</v>
      </c>
      <c r="BIZ100" s="5">
        <v>14.5</v>
      </c>
      <c r="BJA100" s="5">
        <v>226</v>
      </c>
      <c r="BJB100" s="5">
        <v>250</v>
      </c>
      <c r="BJC100" s="6">
        <v>44102</v>
      </c>
      <c r="BJE100" s="5" t="s">
        <v>67</v>
      </c>
      <c r="BJF100" s="6">
        <v>44102</v>
      </c>
      <c r="BJG100" s="7">
        <v>0.4</v>
      </c>
      <c r="BJH100" s="5">
        <v>14.5</v>
      </c>
      <c r="BJI100" s="5">
        <v>226</v>
      </c>
      <c r="BJJ100" s="5">
        <v>250</v>
      </c>
      <c r="BJK100" s="6">
        <v>44102</v>
      </c>
      <c r="BJM100" s="5" t="s">
        <v>67</v>
      </c>
      <c r="BJN100" s="6">
        <v>44102</v>
      </c>
      <c r="BJO100" s="7">
        <v>0.4</v>
      </c>
      <c r="BJP100" s="5">
        <v>14.5</v>
      </c>
      <c r="BJQ100" s="5">
        <v>226</v>
      </c>
      <c r="BJR100" s="5">
        <v>250</v>
      </c>
      <c r="BJS100" s="6">
        <v>44102</v>
      </c>
      <c r="BJU100" s="5" t="s">
        <v>67</v>
      </c>
      <c r="BJV100" s="6">
        <v>44102</v>
      </c>
      <c r="BJW100" s="7">
        <v>0.4</v>
      </c>
      <c r="BJX100" s="5">
        <v>14.5</v>
      </c>
      <c r="BJY100" s="5">
        <v>226</v>
      </c>
      <c r="BJZ100" s="5">
        <v>250</v>
      </c>
      <c r="BKA100" s="6">
        <v>44102</v>
      </c>
      <c r="BKC100" s="5" t="s">
        <v>67</v>
      </c>
      <c r="BKD100" s="6">
        <v>44102</v>
      </c>
      <c r="BKE100" s="7">
        <v>0.4</v>
      </c>
      <c r="BKF100" s="5">
        <v>14.5</v>
      </c>
      <c r="BKG100" s="5">
        <v>226</v>
      </c>
      <c r="BKH100" s="5">
        <v>250</v>
      </c>
      <c r="BKI100" s="6">
        <v>44102</v>
      </c>
      <c r="BKK100" s="5" t="s">
        <v>67</v>
      </c>
      <c r="BKL100" s="6">
        <v>44102</v>
      </c>
      <c r="BKM100" s="7">
        <v>0.4</v>
      </c>
      <c r="BKN100" s="5">
        <v>14.5</v>
      </c>
      <c r="BKO100" s="5">
        <v>226</v>
      </c>
      <c r="BKP100" s="5">
        <v>250</v>
      </c>
      <c r="BKQ100" s="6">
        <v>44102</v>
      </c>
      <c r="BKS100" s="5" t="s">
        <v>67</v>
      </c>
      <c r="BKT100" s="6">
        <v>44102</v>
      </c>
      <c r="BKU100" s="7">
        <v>0.4</v>
      </c>
      <c r="BKV100" s="5">
        <v>14.5</v>
      </c>
      <c r="BKW100" s="5">
        <v>226</v>
      </c>
      <c r="BKX100" s="5">
        <v>250</v>
      </c>
      <c r="BKY100" s="6">
        <v>44102</v>
      </c>
      <c r="BLA100" s="5" t="s">
        <v>67</v>
      </c>
      <c r="BLB100" s="6">
        <v>44102</v>
      </c>
      <c r="BLC100" s="7">
        <v>0.4</v>
      </c>
      <c r="BLD100" s="5">
        <v>14.5</v>
      </c>
      <c r="BLE100" s="5">
        <v>226</v>
      </c>
      <c r="BLF100" s="5">
        <v>250</v>
      </c>
      <c r="BLG100" s="6">
        <v>44102</v>
      </c>
      <c r="BLI100" s="5" t="s">
        <v>67</v>
      </c>
      <c r="BLJ100" s="6">
        <v>44102</v>
      </c>
      <c r="BLK100" s="7">
        <v>0.4</v>
      </c>
      <c r="BLL100" s="5">
        <v>14.5</v>
      </c>
      <c r="BLM100" s="5">
        <v>226</v>
      </c>
      <c r="BLN100" s="5">
        <v>250</v>
      </c>
      <c r="BLO100" s="6">
        <v>44102</v>
      </c>
      <c r="BLQ100" s="5" t="s">
        <v>67</v>
      </c>
      <c r="BLR100" s="6">
        <v>44102</v>
      </c>
      <c r="BLS100" s="7">
        <v>0.4</v>
      </c>
      <c r="BLT100" s="5">
        <v>14.5</v>
      </c>
      <c r="BLU100" s="5">
        <v>226</v>
      </c>
      <c r="BLV100" s="5">
        <v>250</v>
      </c>
      <c r="BLW100" s="6">
        <v>44102</v>
      </c>
      <c r="BLY100" s="5" t="s">
        <v>67</v>
      </c>
      <c r="BLZ100" s="6">
        <v>44102</v>
      </c>
      <c r="BMA100" s="7">
        <v>0.4</v>
      </c>
      <c r="BMB100" s="5">
        <v>14.5</v>
      </c>
      <c r="BMC100" s="5">
        <v>226</v>
      </c>
      <c r="BMD100" s="5">
        <v>250</v>
      </c>
      <c r="BME100" s="6">
        <v>44102</v>
      </c>
      <c r="BMG100" s="5" t="s">
        <v>67</v>
      </c>
      <c r="BMH100" s="6">
        <v>44102</v>
      </c>
      <c r="BMI100" s="7">
        <v>0.4</v>
      </c>
      <c r="BMJ100" s="5">
        <v>14.5</v>
      </c>
      <c r="BMK100" s="5">
        <v>226</v>
      </c>
      <c r="BML100" s="5">
        <v>250</v>
      </c>
      <c r="BMM100" s="6">
        <v>44102</v>
      </c>
      <c r="BMO100" s="5" t="s">
        <v>67</v>
      </c>
      <c r="BMP100" s="6">
        <v>44102</v>
      </c>
      <c r="BMQ100" s="7">
        <v>0.4</v>
      </c>
      <c r="BMR100" s="5">
        <v>14.5</v>
      </c>
      <c r="BMS100" s="5">
        <v>226</v>
      </c>
      <c r="BMT100" s="5">
        <v>250</v>
      </c>
      <c r="BMU100" s="6">
        <v>44102</v>
      </c>
      <c r="BMW100" s="5" t="s">
        <v>67</v>
      </c>
      <c r="BMX100" s="6">
        <v>44102</v>
      </c>
      <c r="BMY100" s="7">
        <v>0.4</v>
      </c>
      <c r="BMZ100" s="5">
        <v>14.5</v>
      </c>
      <c r="BNA100" s="5">
        <v>226</v>
      </c>
      <c r="BNB100" s="5">
        <v>250</v>
      </c>
      <c r="BNC100" s="6">
        <v>44102</v>
      </c>
      <c r="BNE100" s="5" t="s">
        <v>67</v>
      </c>
      <c r="BNF100" s="6">
        <v>44102</v>
      </c>
      <c r="BNG100" s="7">
        <v>0.4</v>
      </c>
      <c r="BNH100" s="5">
        <v>14.5</v>
      </c>
      <c r="BNI100" s="5">
        <v>226</v>
      </c>
      <c r="BNJ100" s="5">
        <v>250</v>
      </c>
      <c r="BNK100" s="6">
        <v>44102</v>
      </c>
      <c r="BNM100" s="5" t="s">
        <v>67</v>
      </c>
      <c r="BNN100" s="6">
        <v>44102</v>
      </c>
      <c r="BNO100" s="7">
        <v>0.4</v>
      </c>
      <c r="BNP100" s="5">
        <v>14.5</v>
      </c>
      <c r="BNQ100" s="5">
        <v>226</v>
      </c>
      <c r="BNR100" s="5">
        <v>250</v>
      </c>
      <c r="BNS100" s="6">
        <v>44102</v>
      </c>
      <c r="BNU100" s="5" t="s">
        <v>67</v>
      </c>
      <c r="BNV100" s="6">
        <v>44102</v>
      </c>
      <c r="BNW100" s="7">
        <v>0.4</v>
      </c>
      <c r="BNX100" s="5">
        <v>14.5</v>
      </c>
      <c r="BNY100" s="5">
        <v>226</v>
      </c>
      <c r="BNZ100" s="5">
        <v>250</v>
      </c>
      <c r="BOA100" s="6">
        <v>44102</v>
      </c>
      <c r="BOC100" s="5" t="s">
        <v>67</v>
      </c>
      <c r="BOD100" s="6">
        <v>44102</v>
      </c>
      <c r="BOE100" s="7">
        <v>0.4</v>
      </c>
      <c r="BOF100" s="5">
        <v>14.5</v>
      </c>
      <c r="BOG100" s="5">
        <v>226</v>
      </c>
      <c r="BOH100" s="5">
        <v>250</v>
      </c>
      <c r="BOI100" s="6">
        <v>44102</v>
      </c>
      <c r="BOK100" s="5" t="s">
        <v>67</v>
      </c>
      <c r="BOL100" s="6">
        <v>44102</v>
      </c>
      <c r="BOM100" s="7">
        <v>0.4</v>
      </c>
      <c r="BON100" s="5">
        <v>14.5</v>
      </c>
      <c r="BOO100" s="5">
        <v>226</v>
      </c>
      <c r="BOP100" s="5">
        <v>250</v>
      </c>
      <c r="BOQ100" s="6">
        <v>44102</v>
      </c>
      <c r="BOS100" s="5" t="s">
        <v>67</v>
      </c>
      <c r="BOT100" s="6">
        <v>44102</v>
      </c>
      <c r="BOU100" s="7">
        <v>0.4</v>
      </c>
      <c r="BOV100" s="5">
        <v>14.5</v>
      </c>
      <c r="BOW100" s="5">
        <v>226</v>
      </c>
      <c r="BOX100" s="5">
        <v>250</v>
      </c>
      <c r="BOY100" s="6">
        <v>44102</v>
      </c>
      <c r="BPA100" s="5" t="s">
        <v>67</v>
      </c>
      <c r="BPB100" s="6">
        <v>44102</v>
      </c>
      <c r="BPC100" s="7">
        <v>0.4</v>
      </c>
      <c r="BPD100" s="5">
        <v>14.5</v>
      </c>
      <c r="BPE100" s="5">
        <v>226</v>
      </c>
      <c r="BPF100" s="5">
        <v>250</v>
      </c>
      <c r="BPG100" s="6">
        <v>44102</v>
      </c>
      <c r="BPI100" s="5" t="s">
        <v>67</v>
      </c>
      <c r="BPJ100" s="6">
        <v>44102</v>
      </c>
      <c r="BPK100" s="7">
        <v>0.4</v>
      </c>
      <c r="BPL100" s="5">
        <v>14.5</v>
      </c>
      <c r="BPM100" s="5">
        <v>226</v>
      </c>
      <c r="BPN100" s="5">
        <v>250</v>
      </c>
      <c r="BPO100" s="6">
        <v>44102</v>
      </c>
      <c r="BPQ100" s="5" t="s">
        <v>67</v>
      </c>
      <c r="BPR100" s="6">
        <v>44102</v>
      </c>
      <c r="BPS100" s="7">
        <v>0.4</v>
      </c>
      <c r="BPT100" s="5">
        <v>14.5</v>
      </c>
      <c r="BPU100" s="5">
        <v>226</v>
      </c>
      <c r="BPV100" s="5">
        <v>250</v>
      </c>
      <c r="BPW100" s="6">
        <v>44102</v>
      </c>
      <c r="BPY100" s="5" t="s">
        <v>67</v>
      </c>
      <c r="BPZ100" s="6">
        <v>44102</v>
      </c>
      <c r="BQA100" s="7">
        <v>0.4</v>
      </c>
      <c r="BQB100" s="5">
        <v>14.5</v>
      </c>
      <c r="BQC100" s="5">
        <v>226</v>
      </c>
      <c r="BQD100" s="5">
        <v>250</v>
      </c>
      <c r="BQE100" s="6">
        <v>44102</v>
      </c>
      <c r="BQG100" s="5" t="s">
        <v>67</v>
      </c>
      <c r="BQH100" s="6">
        <v>44102</v>
      </c>
      <c r="BQI100" s="7">
        <v>0.4</v>
      </c>
      <c r="BQJ100" s="5">
        <v>14.5</v>
      </c>
      <c r="BQK100" s="5">
        <v>226</v>
      </c>
      <c r="BQL100" s="5">
        <v>250</v>
      </c>
      <c r="BQM100" s="6">
        <v>44102</v>
      </c>
      <c r="BQO100" s="5" t="s">
        <v>67</v>
      </c>
      <c r="BQP100" s="6">
        <v>44102</v>
      </c>
      <c r="BQQ100" s="7">
        <v>0.4</v>
      </c>
      <c r="BQR100" s="5">
        <v>14.5</v>
      </c>
      <c r="BQS100" s="5">
        <v>226</v>
      </c>
      <c r="BQT100" s="5">
        <v>250</v>
      </c>
      <c r="BQU100" s="6">
        <v>44102</v>
      </c>
      <c r="BQW100" s="5" t="s">
        <v>67</v>
      </c>
      <c r="BQX100" s="6">
        <v>44102</v>
      </c>
      <c r="BQY100" s="7">
        <v>0.4</v>
      </c>
      <c r="BQZ100" s="5">
        <v>14.5</v>
      </c>
      <c r="BRA100" s="5">
        <v>226</v>
      </c>
      <c r="BRB100" s="5">
        <v>250</v>
      </c>
      <c r="BRC100" s="6">
        <v>44102</v>
      </c>
      <c r="BRE100" s="5" t="s">
        <v>67</v>
      </c>
      <c r="BRF100" s="6">
        <v>44102</v>
      </c>
      <c r="BRG100" s="7">
        <v>0.4</v>
      </c>
      <c r="BRH100" s="5">
        <v>14.5</v>
      </c>
      <c r="BRI100" s="5">
        <v>226</v>
      </c>
      <c r="BRJ100" s="5">
        <v>250</v>
      </c>
      <c r="BRK100" s="6">
        <v>44102</v>
      </c>
      <c r="BRM100" s="5" t="s">
        <v>67</v>
      </c>
      <c r="BRN100" s="6">
        <v>44102</v>
      </c>
      <c r="BRO100" s="7">
        <v>0.4</v>
      </c>
      <c r="BRP100" s="5">
        <v>14.5</v>
      </c>
      <c r="BRQ100" s="5">
        <v>226</v>
      </c>
      <c r="BRR100" s="5">
        <v>250</v>
      </c>
      <c r="BRS100" s="6">
        <v>44102</v>
      </c>
      <c r="BRU100" s="5" t="s">
        <v>67</v>
      </c>
      <c r="BRV100" s="6">
        <v>44102</v>
      </c>
      <c r="BRW100" s="7">
        <v>0.4</v>
      </c>
      <c r="BRX100" s="5">
        <v>14.5</v>
      </c>
      <c r="BRY100" s="5">
        <v>226</v>
      </c>
      <c r="BRZ100" s="5">
        <v>250</v>
      </c>
      <c r="BSA100" s="6">
        <v>44102</v>
      </c>
      <c r="BSC100" s="5" t="s">
        <v>67</v>
      </c>
      <c r="BSD100" s="6">
        <v>44102</v>
      </c>
      <c r="BSE100" s="7">
        <v>0.4</v>
      </c>
      <c r="BSF100" s="5">
        <v>14.5</v>
      </c>
      <c r="BSG100" s="5">
        <v>226</v>
      </c>
      <c r="BSH100" s="5">
        <v>250</v>
      </c>
      <c r="BSI100" s="6">
        <v>44102</v>
      </c>
      <c r="BSK100" s="5" t="s">
        <v>67</v>
      </c>
      <c r="BSL100" s="6">
        <v>44102</v>
      </c>
      <c r="BSM100" s="7">
        <v>0.4</v>
      </c>
      <c r="BSN100" s="5">
        <v>14.5</v>
      </c>
      <c r="BSO100" s="5">
        <v>226</v>
      </c>
      <c r="BSP100" s="5">
        <v>250</v>
      </c>
      <c r="BSQ100" s="6">
        <v>44102</v>
      </c>
      <c r="BSS100" s="5" t="s">
        <v>67</v>
      </c>
      <c r="BST100" s="6">
        <v>44102</v>
      </c>
      <c r="BSU100" s="7">
        <v>0.4</v>
      </c>
      <c r="BSV100" s="5">
        <v>14.5</v>
      </c>
      <c r="BSW100" s="5">
        <v>226</v>
      </c>
      <c r="BSX100" s="5">
        <v>250</v>
      </c>
      <c r="BSY100" s="6">
        <v>44102</v>
      </c>
      <c r="BTA100" s="5" t="s">
        <v>67</v>
      </c>
      <c r="BTB100" s="6">
        <v>44102</v>
      </c>
      <c r="BTC100" s="7">
        <v>0.4</v>
      </c>
      <c r="BTD100" s="5">
        <v>14.5</v>
      </c>
      <c r="BTE100" s="5">
        <v>226</v>
      </c>
      <c r="BTF100" s="5">
        <v>250</v>
      </c>
      <c r="BTG100" s="6">
        <v>44102</v>
      </c>
      <c r="BTI100" s="5" t="s">
        <v>67</v>
      </c>
      <c r="BTJ100" s="6">
        <v>44102</v>
      </c>
      <c r="BTK100" s="7">
        <v>0.4</v>
      </c>
      <c r="BTL100" s="5">
        <v>14.5</v>
      </c>
      <c r="BTM100" s="5">
        <v>226</v>
      </c>
      <c r="BTN100" s="5">
        <v>250</v>
      </c>
      <c r="BTO100" s="6">
        <v>44102</v>
      </c>
      <c r="BTQ100" s="5" t="s">
        <v>67</v>
      </c>
      <c r="BTR100" s="6">
        <v>44102</v>
      </c>
      <c r="BTS100" s="7">
        <v>0.4</v>
      </c>
      <c r="BTT100" s="5">
        <v>14.5</v>
      </c>
      <c r="BTU100" s="5">
        <v>226</v>
      </c>
      <c r="BTV100" s="5">
        <v>250</v>
      </c>
      <c r="BTW100" s="6">
        <v>44102</v>
      </c>
      <c r="BTY100" s="5" t="s">
        <v>67</v>
      </c>
      <c r="BTZ100" s="6">
        <v>44102</v>
      </c>
      <c r="BUA100" s="7">
        <v>0.4</v>
      </c>
      <c r="BUB100" s="5">
        <v>14.5</v>
      </c>
      <c r="BUC100" s="5">
        <v>226</v>
      </c>
      <c r="BUD100" s="5">
        <v>250</v>
      </c>
      <c r="BUE100" s="6">
        <v>44102</v>
      </c>
      <c r="BUG100" s="5" t="s">
        <v>67</v>
      </c>
      <c r="BUH100" s="6">
        <v>44102</v>
      </c>
      <c r="BUI100" s="7">
        <v>0.4</v>
      </c>
      <c r="BUJ100" s="5">
        <v>14.5</v>
      </c>
      <c r="BUK100" s="5">
        <v>226</v>
      </c>
      <c r="BUL100" s="5">
        <v>250</v>
      </c>
      <c r="BUM100" s="6">
        <v>44102</v>
      </c>
      <c r="BUO100" s="5" t="s">
        <v>67</v>
      </c>
      <c r="BUP100" s="6">
        <v>44102</v>
      </c>
      <c r="BUQ100" s="7">
        <v>0.4</v>
      </c>
      <c r="BUR100" s="5">
        <v>14.5</v>
      </c>
      <c r="BUS100" s="5">
        <v>226</v>
      </c>
      <c r="BUT100" s="5">
        <v>250</v>
      </c>
      <c r="BUU100" s="6">
        <v>44102</v>
      </c>
      <c r="BUW100" s="5" t="s">
        <v>67</v>
      </c>
      <c r="BUX100" s="6">
        <v>44102</v>
      </c>
      <c r="BUY100" s="7">
        <v>0.4</v>
      </c>
      <c r="BUZ100" s="5">
        <v>14.5</v>
      </c>
      <c r="BVA100" s="5">
        <v>226</v>
      </c>
      <c r="BVB100" s="5">
        <v>250</v>
      </c>
      <c r="BVC100" s="6">
        <v>44102</v>
      </c>
      <c r="BVE100" s="5" t="s">
        <v>67</v>
      </c>
      <c r="BVF100" s="6">
        <v>44102</v>
      </c>
      <c r="BVG100" s="7">
        <v>0.4</v>
      </c>
      <c r="BVH100" s="5">
        <v>14.5</v>
      </c>
      <c r="BVI100" s="5">
        <v>226</v>
      </c>
      <c r="BVJ100" s="5">
        <v>250</v>
      </c>
      <c r="BVK100" s="6">
        <v>44102</v>
      </c>
      <c r="BVM100" s="5" t="s">
        <v>67</v>
      </c>
      <c r="BVN100" s="6">
        <v>44102</v>
      </c>
      <c r="BVO100" s="7">
        <v>0.4</v>
      </c>
      <c r="BVP100" s="5">
        <v>14.5</v>
      </c>
      <c r="BVQ100" s="5">
        <v>226</v>
      </c>
      <c r="BVR100" s="5">
        <v>250</v>
      </c>
      <c r="BVS100" s="6">
        <v>44102</v>
      </c>
      <c r="BVU100" s="5" t="s">
        <v>67</v>
      </c>
      <c r="BVV100" s="6">
        <v>44102</v>
      </c>
      <c r="BVW100" s="7">
        <v>0.4</v>
      </c>
      <c r="BVX100" s="5">
        <v>14.5</v>
      </c>
      <c r="BVY100" s="5">
        <v>226</v>
      </c>
      <c r="BVZ100" s="5">
        <v>250</v>
      </c>
      <c r="BWA100" s="6">
        <v>44102</v>
      </c>
      <c r="BWC100" s="5" t="s">
        <v>67</v>
      </c>
      <c r="BWD100" s="6">
        <v>44102</v>
      </c>
      <c r="BWE100" s="7">
        <v>0.4</v>
      </c>
      <c r="BWF100" s="5">
        <v>14.5</v>
      </c>
      <c r="BWG100" s="5">
        <v>226</v>
      </c>
      <c r="BWH100" s="5">
        <v>250</v>
      </c>
      <c r="BWI100" s="6">
        <v>44102</v>
      </c>
      <c r="BWK100" s="5" t="s">
        <v>67</v>
      </c>
      <c r="BWL100" s="6">
        <v>44102</v>
      </c>
      <c r="BWM100" s="7">
        <v>0.4</v>
      </c>
      <c r="BWN100" s="5">
        <v>14.5</v>
      </c>
      <c r="BWO100" s="5">
        <v>226</v>
      </c>
      <c r="BWP100" s="5">
        <v>250</v>
      </c>
      <c r="BWQ100" s="6">
        <v>44102</v>
      </c>
      <c r="BWS100" s="5" t="s">
        <v>67</v>
      </c>
      <c r="BWT100" s="6">
        <v>44102</v>
      </c>
      <c r="BWU100" s="7">
        <v>0.4</v>
      </c>
      <c r="BWV100" s="5">
        <v>14.5</v>
      </c>
      <c r="BWW100" s="5">
        <v>226</v>
      </c>
      <c r="BWX100" s="5">
        <v>250</v>
      </c>
      <c r="BWY100" s="6">
        <v>44102</v>
      </c>
      <c r="BXA100" s="5" t="s">
        <v>67</v>
      </c>
      <c r="BXB100" s="6">
        <v>44102</v>
      </c>
      <c r="BXC100" s="7">
        <v>0.4</v>
      </c>
      <c r="BXD100" s="5">
        <v>14.5</v>
      </c>
      <c r="BXE100" s="5">
        <v>226</v>
      </c>
      <c r="BXF100" s="5">
        <v>250</v>
      </c>
      <c r="BXG100" s="6">
        <v>44102</v>
      </c>
      <c r="BXI100" s="5" t="s">
        <v>67</v>
      </c>
      <c r="BXJ100" s="6">
        <v>44102</v>
      </c>
      <c r="BXK100" s="7">
        <v>0.4</v>
      </c>
      <c r="BXL100" s="5">
        <v>14.5</v>
      </c>
      <c r="BXM100" s="5">
        <v>226</v>
      </c>
      <c r="BXN100" s="5">
        <v>250</v>
      </c>
      <c r="BXO100" s="6">
        <v>44102</v>
      </c>
      <c r="BXQ100" s="5" t="s">
        <v>67</v>
      </c>
      <c r="BXR100" s="6">
        <v>44102</v>
      </c>
      <c r="BXS100" s="7">
        <v>0.4</v>
      </c>
      <c r="BXT100" s="5">
        <v>14.5</v>
      </c>
      <c r="BXU100" s="5">
        <v>226</v>
      </c>
      <c r="BXV100" s="5">
        <v>250</v>
      </c>
      <c r="BXW100" s="6">
        <v>44102</v>
      </c>
      <c r="BXY100" s="5" t="s">
        <v>67</v>
      </c>
      <c r="BXZ100" s="6">
        <v>44102</v>
      </c>
      <c r="BYA100" s="7">
        <v>0.4</v>
      </c>
      <c r="BYB100" s="5">
        <v>14.5</v>
      </c>
      <c r="BYC100" s="5">
        <v>226</v>
      </c>
      <c r="BYD100" s="5">
        <v>250</v>
      </c>
      <c r="BYE100" s="6">
        <v>44102</v>
      </c>
      <c r="BYG100" s="5" t="s">
        <v>67</v>
      </c>
      <c r="BYH100" s="6">
        <v>44102</v>
      </c>
      <c r="BYI100" s="7">
        <v>0.4</v>
      </c>
      <c r="BYJ100" s="5">
        <v>14.5</v>
      </c>
      <c r="BYK100" s="5">
        <v>226</v>
      </c>
      <c r="BYL100" s="5">
        <v>250</v>
      </c>
      <c r="BYM100" s="6">
        <v>44102</v>
      </c>
      <c r="BYO100" s="5" t="s">
        <v>67</v>
      </c>
      <c r="BYP100" s="6">
        <v>44102</v>
      </c>
      <c r="BYQ100" s="7">
        <v>0.4</v>
      </c>
      <c r="BYR100" s="5">
        <v>14.5</v>
      </c>
      <c r="BYS100" s="5">
        <v>226</v>
      </c>
      <c r="BYT100" s="5">
        <v>250</v>
      </c>
      <c r="BYU100" s="6">
        <v>44102</v>
      </c>
      <c r="BYW100" s="5" t="s">
        <v>67</v>
      </c>
      <c r="BYX100" s="6">
        <v>44102</v>
      </c>
      <c r="BYY100" s="7">
        <v>0.4</v>
      </c>
      <c r="BYZ100" s="5">
        <v>14.5</v>
      </c>
      <c r="BZA100" s="5">
        <v>226</v>
      </c>
      <c r="BZB100" s="5">
        <v>250</v>
      </c>
      <c r="BZC100" s="6">
        <v>44102</v>
      </c>
      <c r="BZE100" s="5" t="s">
        <v>67</v>
      </c>
      <c r="BZF100" s="6">
        <v>44102</v>
      </c>
      <c r="BZG100" s="7">
        <v>0.4</v>
      </c>
      <c r="BZH100" s="5">
        <v>14.5</v>
      </c>
      <c r="BZI100" s="5">
        <v>226</v>
      </c>
      <c r="BZJ100" s="5">
        <v>250</v>
      </c>
      <c r="BZK100" s="6">
        <v>44102</v>
      </c>
      <c r="BZM100" s="5" t="s">
        <v>67</v>
      </c>
      <c r="BZN100" s="6">
        <v>44102</v>
      </c>
      <c r="BZO100" s="7">
        <v>0.4</v>
      </c>
      <c r="BZP100" s="5">
        <v>14.5</v>
      </c>
      <c r="BZQ100" s="5">
        <v>226</v>
      </c>
      <c r="BZR100" s="5">
        <v>250</v>
      </c>
      <c r="BZS100" s="6">
        <v>44102</v>
      </c>
      <c r="BZU100" s="5" t="s">
        <v>67</v>
      </c>
      <c r="BZV100" s="6">
        <v>44102</v>
      </c>
      <c r="BZW100" s="7">
        <v>0.4</v>
      </c>
      <c r="BZX100" s="5">
        <v>14.5</v>
      </c>
      <c r="BZY100" s="5">
        <v>226</v>
      </c>
      <c r="BZZ100" s="5">
        <v>250</v>
      </c>
      <c r="CAA100" s="6">
        <v>44102</v>
      </c>
      <c r="CAC100" s="5" t="s">
        <v>67</v>
      </c>
      <c r="CAD100" s="6">
        <v>44102</v>
      </c>
      <c r="CAE100" s="7">
        <v>0.4</v>
      </c>
      <c r="CAF100" s="5">
        <v>14.5</v>
      </c>
      <c r="CAG100" s="5">
        <v>226</v>
      </c>
      <c r="CAH100" s="5">
        <v>250</v>
      </c>
      <c r="CAI100" s="6">
        <v>44102</v>
      </c>
      <c r="CAK100" s="5" t="s">
        <v>67</v>
      </c>
      <c r="CAL100" s="6">
        <v>44102</v>
      </c>
      <c r="CAM100" s="7">
        <v>0.4</v>
      </c>
      <c r="CAN100" s="5">
        <v>14.5</v>
      </c>
      <c r="CAO100" s="5">
        <v>226</v>
      </c>
      <c r="CAP100" s="5">
        <v>250</v>
      </c>
      <c r="CAQ100" s="6">
        <v>44102</v>
      </c>
      <c r="CAS100" s="5" t="s">
        <v>67</v>
      </c>
      <c r="CAT100" s="6">
        <v>44102</v>
      </c>
      <c r="CAU100" s="7">
        <v>0.4</v>
      </c>
      <c r="CAV100" s="5">
        <v>14.5</v>
      </c>
      <c r="CAW100" s="5">
        <v>226</v>
      </c>
      <c r="CAX100" s="5">
        <v>250</v>
      </c>
      <c r="CAY100" s="6">
        <v>44102</v>
      </c>
      <c r="CBA100" s="5" t="s">
        <v>67</v>
      </c>
      <c r="CBB100" s="6">
        <v>44102</v>
      </c>
      <c r="CBC100" s="7">
        <v>0.4</v>
      </c>
      <c r="CBD100" s="5">
        <v>14.5</v>
      </c>
      <c r="CBE100" s="5">
        <v>226</v>
      </c>
      <c r="CBF100" s="5">
        <v>250</v>
      </c>
      <c r="CBG100" s="6">
        <v>44102</v>
      </c>
      <c r="CBI100" s="5" t="s">
        <v>67</v>
      </c>
      <c r="CBJ100" s="6">
        <v>44102</v>
      </c>
      <c r="CBK100" s="7">
        <v>0.4</v>
      </c>
      <c r="CBL100" s="5">
        <v>14.5</v>
      </c>
      <c r="CBM100" s="5">
        <v>226</v>
      </c>
      <c r="CBN100" s="5">
        <v>250</v>
      </c>
      <c r="CBO100" s="6">
        <v>44102</v>
      </c>
      <c r="CBQ100" s="5" t="s">
        <v>67</v>
      </c>
      <c r="CBR100" s="6">
        <v>44102</v>
      </c>
      <c r="CBS100" s="7">
        <v>0.4</v>
      </c>
      <c r="CBT100" s="5">
        <v>14.5</v>
      </c>
      <c r="CBU100" s="5">
        <v>226</v>
      </c>
      <c r="CBV100" s="5">
        <v>250</v>
      </c>
      <c r="CBW100" s="6">
        <v>44102</v>
      </c>
      <c r="CBY100" s="5" t="s">
        <v>67</v>
      </c>
      <c r="CBZ100" s="6">
        <v>44102</v>
      </c>
      <c r="CCA100" s="7">
        <v>0.4</v>
      </c>
      <c r="CCB100" s="5">
        <v>14.5</v>
      </c>
      <c r="CCC100" s="5">
        <v>226</v>
      </c>
      <c r="CCD100" s="5">
        <v>250</v>
      </c>
      <c r="CCE100" s="6">
        <v>44102</v>
      </c>
      <c r="CCG100" s="5" t="s">
        <v>67</v>
      </c>
      <c r="CCH100" s="6">
        <v>44102</v>
      </c>
      <c r="CCI100" s="7">
        <v>0.4</v>
      </c>
      <c r="CCJ100" s="5">
        <v>14.5</v>
      </c>
      <c r="CCK100" s="5">
        <v>226</v>
      </c>
      <c r="CCL100" s="5">
        <v>250</v>
      </c>
      <c r="CCM100" s="6">
        <v>44102</v>
      </c>
      <c r="CCO100" s="5" t="s">
        <v>67</v>
      </c>
      <c r="CCP100" s="6">
        <v>44102</v>
      </c>
      <c r="CCQ100" s="7">
        <v>0.4</v>
      </c>
      <c r="CCR100" s="5">
        <v>14.5</v>
      </c>
      <c r="CCS100" s="5">
        <v>226</v>
      </c>
      <c r="CCT100" s="5">
        <v>250</v>
      </c>
      <c r="CCU100" s="6">
        <v>44102</v>
      </c>
      <c r="CCW100" s="5" t="s">
        <v>67</v>
      </c>
      <c r="CCX100" s="6">
        <v>44102</v>
      </c>
      <c r="CCY100" s="7">
        <v>0.4</v>
      </c>
      <c r="CCZ100" s="5">
        <v>14.5</v>
      </c>
      <c r="CDA100" s="5">
        <v>226</v>
      </c>
      <c r="CDB100" s="5">
        <v>250</v>
      </c>
      <c r="CDC100" s="6">
        <v>44102</v>
      </c>
      <c r="CDE100" s="5" t="s">
        <v>67</v>
      </c>
      <c r="CDF100" s="6">
        <v>44102</v>
      </c>
      <c r="CDG100" s="7">
        <v>0.4</v>
      </c>
      <c r="CDH100" s="5">
        <v>14.5</v>
      </c>
      <c r="CDI100" s="5">
        <v>226</v>
      </c>
      <c r="CDJ100" s="5">
        <v>250</v>
      </c>
      <c r="CDK100" s="6">
        <v>44102</v>
      </c>
      <c r="CDM100" s="5" t="s">
        <v>67</v>
      </c>
      <c r="CDN100" s="6">
        <v>44102</v>
      </c>
      <c r="CDO100" s="7">
        <v>0.4</v>
      </c>
      <c r="CDP100" s="5">
        <v>14.5</v>
      </c>
      <c r="CDQ100" s="5">
        <v>226</v>
      </c>
      <c r="CDR100" s="5">
        <v>250</v>
      </c>
      <c r="CDS100" s="6">
        <v>44102</v>
      </c>
      <c r="CDU100" s="5" t="s">
        <v>67</v>
      </c>
      <c r="CDV100" s="6">
        <v>44102</v>
      </c>
      <c r="CDW100" s="7">
        <v>0.4</v>
      </c>
      <c r="CDX100" s="5">
        <v>14.5</v>
      </c>
      <c r="CDY100" s="5">
        <v>226</v>
      </c>
      <c r="CDZ100" s="5">
        <v>250</v>
      </c>
      <c r="CEA100" s="6">
        <v>44102</v>
      </c>
      <c r="CEC100" s="5" t="s">
        <v>67</v>
      </c>
      <c r="CED100" s="6">
        <v>44102</v>
      </c>
      <c r="CEE100" s="7">
        <v>0.4</v>
      </c>
      <c r="CEF100" s="5">
        <v>14.5</v>
      </c>
      <c r="CEG100" s="5">
        <v>226</v>
      </c>
      <c r="CEH100" s="5">
        <v>250</v>
      </c>
      <c r="CEI100" s="6">
        <v>44102</v>
      </c>
      <c r="CEK100" s="5" t="s">
        <v>67</v>
      </c>
      <c r="CEL100" s="6">
        <v>44102</v>
      </c>
      <c r="CEM100" s="7">
        <v>0.4</v>
      </c>
      <c r="CEN100" s="5">
        <v>14.5</v>
      </c>
      <c r="CEO100" s="5">
        <v>226</v>
      </c>
      <c r="CEP100" s="5">
        <v>250</v>
      </c>
      <c r="CEQ100" s="6">
        <v>44102</v>
      </c>
      <c r="CES100" s="5" t="s">
        <v>67</v>
      </c>
      <c r="CET100" s="6">
        <v>44102</v>
      </c>
      <c r="CEU100" s="7">
        <v>0.4</v>
      </c>
      <c r="CEV100" s="5">
        <v>14.5</v>
      </c>
      <c r="CEW100" s="5">
        <v>226</v>
      </c>
      <c r="CEX100" s="5">
        <v>250</v>
      </c>
      <c r="CEY100" s="6">
        <v>44102</v>
      </c>
      <c r="CFA100" s="5" t="s">
        <v>67</v>
      </c>
      <c r="CFB100" s="6">
        <v>44102</v>
      </c>
      <c r="CFC100" s="7">
        <v>0.4</v>
      </c>
      <c r="CFD100" s="5">
        <v>14.5</v>
      </c>
      <c r="CFE100" s="5">
        <v>226</v>
      </c>
      <c r="CFF100" s="5">
        <v>250</v>
      </c>
      <c r="CFG100" s="6">
        <v>44102</v>
      </c>
      <c r="CFI100" s="5" t="s">
        <v>67</v>
      </c>
      <c r="CFJ100" s="6">
        <v>44102</v>
      </c>
      <c r="CFK100" s="7">
        <v>0.4</v>
      </c>
      <c r="CFL100" s="5">
        <v>14.5</v>
      </c>
      <c r="CFM100" s="5">
        <v>226</v>
      </c>
      <c r="CFN100" s="5">
        <v>250</v>
      </c>
      <c r="CFO100" s="6">
        <v>44102</v>
      </c>
      <c r="CFQ100" s="5" t="s">
        <v>67</v>
      </c>
      <c r="CFR100" s="6">
        <v>44102</v>
      </c>
      <c r="CFS100" s="7">
        <v>0.4</v>
      </c>
      <c r="CFT100" s="5">
        <v>14.5</v>
      </c>
      <c r="CFU100" s="5">
        <v>226</v>
      </c>
      <c r="CFV100" s="5">
        <v>250</v>
      </c>
      <c r="CFW100" s="6">
        <v>44102</v>
      </c>
      <c r="CFY100" s="5" t="s">
        <v>67</v>
      </c>
      <c r="CFZ100" s="6">
        <v>44102</v>
      </c>
      <c r="CGA100" s="7">
        <v>0.4</v>
      </c>
      <c r="CGB100" s="5">
        <v>14.5</v>
      </c>
      <c r="CGC100" s="5">
        <v>226</v>
      </c>
      <c r="CGD100" s="5">
        <v>250</v>
      </c>
      <c r="CGE100" s="6">
        <v>44102</v>
      </c>
      <c r="CGG100" s="5" t="s">
        <v>67</v>
      </c>
      <c r="CGH100" s="6">
        <v>44102</v>
      </c>
      <c r="CGI100" s="7">
        <v>0.4</v>
      </c>
      <c r="CGJ100" s="5">
        <v>14.5</v>
      </c>
      <c r="CGK100" s="5">
        <v>226</v>
      </c>
      <c r="CGL100" s="5">
        <v>250</v>
      </c>
      <c r="CGM100" s="6">
        <v>44102</v>
      </c>
      <c r="CGO100" s="5" t="s">
        <v>67</v>
      </c>
      <c r="CGP100" s="6">
        <v>44102</v>
      </c>
      <c r="CGQ100" s="7">
        <v>0.4</v>
      </c>
      <c r="CGR100" s="5">
        <v>14.5</v>
      </c>
      <c r="CGS100" s="5">
        <v>226</v>
      </c>
      <c r="CGT100" s="5">
        <v>250</v>
      </c>
      <c r="CGU100" s="6">
        <v>44102</v>
      </c>
      <c r="CGW100" s="5" t="s">
        <v>67</v>
      </c>
      <c r="CGX100" s="6">
        <v>44102</v>
      </c>
      <c r="CGY100" s="7">
        <v>0.4</v>
      </c>
      <c r="CGZ100" s="5">
        <v>14.5</v>
      </c>
      <c r="CHA100" s="5">
        <v>226</v>
      </c>
      <c r="CHB100" s="5">
        <v>250</v>
      </c>
      <c r="CHC100" s="6">
        <v>44102</v>
      </c>
      <c r="CHE100" s="5" t="s">
        <v>67</v>
      </c>
      <c r="CHF100" s="6">
        <v>44102</v>
      </c>
      <c r="CHG100" s="7">
        <v>0.4</v>
      </c>
      <c r="CHH100" s="5">
        <v>14.5</v>
      </c>
      <c r="CHI100" s="5">
        <v>226</v>
      </c>
      <c r="CHJ100" s="5">
        <v>250</v>
      </c>
      <c r="CHK100" s="6">
        <v>44102</v>
      </c>
      <c r="CHM100" s="5" t="s">
        <v>67</v>
      </c>
      <c r="CHN100" s="6">
        <v>44102</v>
      </c>
      <c r="CHO100" s="7">
        <v>0.4</v>
      </c>
      <c r="CHP100" s="5">
        <v>14.5</v>
      </c>
      <c r="CHQ100" s="5">
        <v>226</v>
      </c>
      <c r="CHR100" s="5">
        <v>250</v>
      </c>
      <c r="CHS100" s="6">
        <v>44102</v>
      </c>
      <c r="CHU100" s="5" t="s">
        <v>67</v>
      </c>
      <c r="CHV100" s="6">
        <v>44102</v>
      </c>
      <c r="CHW100" s="7">
        <v>0.4</v>
      </c>
      <c r="CHX100" s="5">
        <v>14.5</v>
      </c>
      <c r="CHY100" s="5">
        <v>226</v>
      </c>
      <c r="CHZ100" s="5">
        <v>250</v>
      </c>
      <c r="CIA100" s="6">
        <v>44102</v>
      </c>
      <c r="CIC100" s="5" t="s">
        <v>67</v>
      </c>
      <c r="CID100" s="6">
        <v>44102</v>
      </c>
      <c r="CIE100" s="7">
        <v>0.4</v>
      </c>
      <c r="CIF100" s="5">
        <v>14.5</v>
      </c>
      <c r="CIG100" s="5">
        <v>226</v>
      </c>
      <c r="CIH100" s="5">
        <v>250</v>
      </c>
      <c r="CII100" s="6">
        <v>44102</v>
      </c>
      <c r="CIK100" s="5" t="s">
        <v>67</v>
      </c>
      <c r="CIL100" s="6">
        <v>44102</v>
      </c>
      <c r="CIM100" s="7">
        <v>0.4</v>
      </c>
      <c r="CIN100" s="5">
        <v>14.5</v>
      </c>
      <c r="CIO100" s="5">
        <v>226</v>
      </c>
      <c r="CIP100" s="5">
        <v>250</v>
      </c>
      <c r="CIQ100" s="6">
        <v>44102</v>
      </c>
      <c r="CIS100" s="5" t="s">
        <v>67</v>
      </c>
      <c r="CIT100" s="6">
        <v>44102</v>
      </c>
      <c r="CIU100" s="7">
        <v>0.4</v>
      </c>
      <c r="CIV100" s="5">
        <v>14.5</v>
      </c>
      <c r="CIW100" s="5">
        <v>226</v>
      </c>
      <c r="CIX100" s="5">
        <v>250</v>
      </c>
      <c r="CIY100" s="6">
        <v>44102</v>
      </c>
      <c r="CJA100" s="5" t="s">
        <v>67</v>
      </c>
      <c r="CJB100" s="6">
        <v>44102</v>
      </c>
      <c r="CJC100" s="7">
        <v>0.4</v>
      </c>
      <c r="CJD100" s="5">
        <v>14.5</v>
      </c>
      <c r="CJE100" s="5">
        <v>226</v>
      </c>
      <c r="CJF100" s="5">
        <v>250</v>
      </c>
      <c r="CJG100" s="6">
        <v>44102</v>
      </c>
      <c r="CJI100" s="5" t="s">
        <v>67</v>
      </c>
      <c r="CJJ100" s="6">
        <v>44102</v>
      </c>
      <c r="CJK100" s="7">
        <v>0.4</v>
      </c>
      <c r="CJL100" s="5">
        <v>14.5</v>
      </c>
      <c r="CJM100" s="5">
        <v>226</v>
      </c>
      <c r="CJN100" s="5">
        <v>250</v>
      </c>
      <c r="CJO100" s="6">
        <v>44102</v>
      </c>
      <c r="CJQ100" s="5" t="s">
        <v>67</v>
      </c>
      <c r="CJR100" s="6">
        <v>44102</v>
      </c>
      <c r="CJS100" s="7">
        <v>0.4</v>
      </c>
      <c r="CJT100" s="5">
        <v>14.5</v>
      </c>
      <c r="CJU100" s="5">
        <v>226</v>
      </c>
      <c r="CJV100" s="5">
        <v>250</v>
      </c>
      <c r="CJW100" s="6">
        <v>44102</v>
      </c>
      <c r="CJY100" s="5" t="s">
        <v>67</v>
      </c>
      <c r="CJZ100" s="6">
        <v>44102</v>
      </c>
      <c r="CKA100" s="7">
        <v>0.4</v>
      </c>
      <c r="CKB100" s="5">
        <v>14.5</v>
      </c>
      <c r="CKC100" s="5">
        <v>226</v>
      </c>
      <c r="CKD100" s="5">
        <v>250</v>
      </c>
      <c r="CKE100" s="6">
        <v>44102</v>
      </c>
      <c r="CKG100" s="5" t="s">
        <v>67</v>
      </c>
      <c r="CKH100" s="6">
        <v>44102</v>
      </c>
      <c r="CKI100" s="7">
        <v>0.4</v>
      </c>
      <c r="CKJ100" s="5">
        <v>14.5</v>
      </c>
      <c r="CKK100" s="5">
        <v>226</v>
      </c>
      <c r="CKL100" s="5">
        <v>250</v>
      </c>
      <c r="CKM100" s="6">
        <v>44102</v>
      </c>
      <c r="CKO100" s="5" t="s">
        <v>67</v>
      </c>
      <c r="CKP100" s="6">
        <v>44102</v>
      </c>
      <c r="CKQ100" s="7">
        <v>0.4</v>
      </c>
      <c r="CKR100" s="5">
        <v>14.5</v>
      </c>
      <c r="CKS100" s="5">
        <v>226</v>
      </c>
      <c r="CKT100" s="5">
        <v>250</v>
      </c>
      <c r="CKU100" s="6">
        <v>44102</v>
      </c>
      <c r="CKW100" s="5" t="s">
        <v>67</v>
      </c>
      <c r="CKX100" s="6">
        <v>44102</v>
      </c>
      <c r="CKY100" s="7">
        <v>0.4</v>
      </c>
      <c r="CKZ100" s="5">
        <v>14.5</v>
      </c>
      <c r="CLA100" s="5">
        <v>226</v>
      </c>
      <c r="CLB100" s="5">
        <v>250</v>
      </c>
      <c r="CLC100" s="6">
        <v>44102</v>
      </c>
      <c r="CLE100" s="5" t="s">
        <v>67</v>
      </c>
      <c r="CLF100" s="6">
        <v>44102</v>
      </c>
      <c r="CLG100" s="7">
        <v>0.4</v>
      </c>
      <c r="CLH100" s="5">
        <v>14.5</v>
      </c>
      <c r="CLI100" s="5">
        <v>226</v>
      </c>
      <c r="CLJ100" s="5">
        <v>250</v>
      </c>
      <c r="CLK100" s="6">
        <v>44102</v>
      </c>
      <c r="CLM100" s="5" t="s">
        <v>67</v>
      </c>
      <c r="CLN100" s="6">
        <v>44102</v>
      </c>
      <c r="CLO100" s="7">
        <v>0.4</v>
      </c>
      <c r="CLP100" s="5">
        <v>14.5</v>
      </c>
      <c r="CLQ100" s="5">
        <v>226</v>
      </c>
      <c r="CLR100" s="5">
        <v>250</v>
      </c>
      <c r="CLS100" s="6">
        <v>44102</v>
      </c>
      <c r="CLU100" s="5" t="s">
        <v>67</v>
      </c>
      <c r="CLV100" s="6">
        <v>44102</v>
      </c>
      <c r="CLW100" s="7">
        <v>0.4</v>
      </c>
      <c r="CLX100" s="5">
        <v>14.5</v>
      </c>
      <c r="CLY100" s="5">
        <v>226</v>
      </c>
      <c r="CLZ100" s="5">
        <v>250</v>
      </c>
      <c r="CMA100" s="6">
        <v>44102</v>
      </c>
      <c r="CMC100" s="5" t="s">
        <v>67</v>
      </c>
      <c r="CMD100" s="6">
        <v>44102</v>
      </c>
      <c r="CME100" s="7">
        <v>0.4</v>
      </c>
      <c r="CMF100" s="5">
        <v>14.5</v>
      </c>
      <c r="CMG100" s="5">
        <v>226</v>
      </c>
      <c r="CMH100" s="5">
        <v>250</v>
      </c>
      <c r="CMI100" s="6">
        <v>44102</v>
      </c>
      <c r="CMK100" s="5" t="s">
        <v>67</v>
      </c>
      <c r="CML100" s="6">
        <v>44102</v>
      </c>
      <c r="CMM100" s="7">
        <v>0.4</v>
      </c>
      <c r="CMN100" s="5">
        <v>14.5</v>
      </c>
      <c r="CMO100" s="5">
        <v>226</v>
      </c>
      <c r="CMP100" s="5">
        <v>250</v>
      </c>
      <c r="CMQ100" s="6">
        <v>44102</v>
      </c>
      <c r="CMS100" s="5" t="s">
        <v>67</v>
      </c>
      <c r="CMT100" s="6">
        <v>44102</v>
      </c>
      <c r="CMU100" s="7">
        <v>0.4</v>
      </c>
      <c r="CMV100" s="5">
        <v>14.5</v>
      </c>
      <c r="CMW100" s="5">
        <v>226</v>
      </c>
      <c r="CMX100" s="5">
        <v>250</v>
      </c>
      <c r="CMY100" s="6">
        <v>44102</v>
      </c>
      <c r="CNA100" s="5" t="s">
        <v>67</v>
      </c>
      <c r="CNB100" s="6">
        <v>44102</v>
      </c>
      <c r="CNC100" s="7">
        <v>0.4</v>
      </c>
      <c r="CND100" s="5">
        <v>14.5</v>
      </c>
      <c r="CNE100" s="5">
        <v>226</v>
      </c>
      <c r="CNF100" s="5">
        <v>250</v>
      </c>
      <c r="CNG100" s="6">
        <v>44102</v>
      </c>
      <c r="CNI100" s="5" t="s">
        <v>67</v>
      </c>
      <c r="CNJ100" s="6">
        <v>44102</v>
      </c>
      <c r="CNK100" s="7">
        <v>0.4</v>
      </c>
      <c r="CNL100" s="5">
        <v>14.5</v>
      </c>
      <c r="CNM100" s="5">
        <v>226</v>
      </c>
      <c r="CNN100" s="5">
        <v>250</v>
      </c>
      <c r="CNO100" s="6">
        <v>44102</v>
      </c>
      <c r="CNQ100" s="5" t="s">
        <v>67</v>
      </c>
      <c r="CNR100" s="6">
        <v>44102</v>
      </c>
      <c r="CNS100" s="7">
        <v>0.4</v>
      </c>
      <c r="CNT100" s="5">
        <v>14.5</v>
      </c>
      <c r="CNU100" s="5">
        <v>226</v>
      </c>
      <c r="CNV100" s="5">
        <v>250</v>
      </c>
      <c r="CNW100" s="6">
        <v>44102</v>
      </c>
      <c r="CNY100" s="5" t="s">
        <v>67</v>
      </c>
      <c r="CNZ100" s="6">
        <v>44102</v>
      </c>
      <c r="COA100" s="7">
        <v>0.4</v>
      </c>
      <c r="COB100" s="5">
        <v>14.5</v>
      </c>
      <c r="COC100" s="5">
        <v>226</v>
      </c>
      <c r="COD100" s="5">
        <v>250</v>
      </c>
      <c r="COE100" s="6">
        <v>44102</v>
      </c>
      <c r="COG100" s="5" t="s">
        <v>67</v>
      </c>
      <c r="COH100" s="6">
        <v>44102</v>
      </c>
      <c r="COI100" s="7">
        <v>0.4</v>
      </c>
      <c r="COJ100" s="5">
        <v>14.5</v>
      </c>
      <c r="COK100" s="5">
        <v>226</v>
      </c>
      <c r="COL100" s="5">
        <v>250</v>
      </c>
      <c r="COM100" s="6">
        <v>44102</v>
      </c>
      <c r="COO100" s="5" t="s">
        <v>67</v>
      </c>
      <c r="COP100" s="6">
        <v>44102</v>
      </c>
      <c r="COQ100" s="7">
        <v>0.4</v>
      </c>
      <c r="COR100" s="5">
        <v>14.5</v>
      </c>
      <c r="COS100" s="5">
        <v>226</v>
      </c>
      <c r="COT100" s="5">
        <v>250</v>
      </c>
      <c r="COU100" s="6">
        <v>44102</v>
      </c>
      <c r="COW100" s="5" t="s">
        <v>67</v>
      </c>
      <c r="COX100" s="6">
        <v>44102</v>
      </c>
      <c r="COY100" s="7">
        <v>0.4</v>
      </c>
      <c r="COZ100" s="5">
        <v>14.5</v>
      </c>
      <c r="CPA100" s="5">
        <v>226</v>
      </c>
      <c r="CPB100" s="5">
        <v>250</v>
      </c>
      <c r="CPC100" s="6">
        <v>44102</v>
      </c>
      <c r="CPE100" s="5" t="s">
        <v>67</v>
      </c>
      <c r="CPF100" s="6">
        <v>44102</v>
      </c>
      <c r="CPG100" s="7">
        <v>0.4</v>
      </c>
      <c r="CPH100" s="5">
        <v>14.5</v>
      </c>
      <c r="CPI100" s="5">
        <v>226</v>
      </c>
      <c r="CPJ100" s="5">
        <v>250</v>
      </c>
      <c r="CPK100" s="6">
        <v>44102</v>
      </c>
      <c r="CPM100" s="5" t="s">
        <v>67</v>
      </c>
      <c r="CPN100" s="6">
        <v>44102</v>
      </c>
      <c r="CPO100" s="7">
        <v>0.4</v>
      </c>
      <c r="CPP100" s="5">
        <v>14.5</v>
      </c>
      <c r="CPQ100" s="5">
        <v>226</v>
      </c>
      <c r="CPR100" s="5">
        <v>250</v>
      </c>
      <c r="CPS100" s="6">
        <v>44102</v>
      </c>
      <c r="CPU100" s="5" t="s">
        <v>67</v>
      </c>
      <c r="CPV100" s="6">
        <v>44102</v>
      </c>
      <c r="CPW100" s="7">
        <v>0.4</v>
      </c>
      <c r="CPX100" s="5">
        <v>14.5</v>
      </c>
      <c r="CPY100" s="5">
        <v>226</v>
      </c>
      <c r="CPZ100" s="5">
        <v>250</v>
      </c>
      <c r="CQA100" s="6">
        <v>44102</v>
      </c>
      <c r="CQC100" s="5" t="s">
        <v>67</v>
      </c>
      <c r="CQD100" s="6">
        <v>44102</v>
      </c>
      <c r="CQE100" s="7">
        <v>0.4</v>
      </c>
      <c r="CQF100" s="5">
        <v>14.5</v>
      </c>
      <c r="CQG100" s="5">
        <v>226</v>
      </c>
      <c r="CQH100" s="5">
        <v>250</v>
      </c>
      <c r="CQI100" s="6">
        <v>44102</v>
      </c>
      <c r="CQK100" s="5" t="s">
        <v>67</v>
      </c>
      <c r="CQL100" s="6">
        <v>44102</v>
      </c>
      <c r="CQM100" s="7">
        <v>0.4</v>
      </c>
      <c r="CQN100" s="5">
        <v>14.5</v>
      </c>
      <c r="CQO100" s="5">
        <v>226</v>
      </c>
      <c r="CQP100" s="5">
        <v>250</v>
      </c>
      <c r="CQQ100" s="6">
        <v>44102</v>
      </c>
      <c r="CQS100" s="5" t="s">
        <v>67</v>
      </c>
      <c r="CQT100" s="6">
        <v>44102</v>
      </c>
      <c r="CQU100" s="7">
        <v>0.4</v>
      </c>
      <c r="CQV100" s="5">
        <v>14.5</v>
      </c>
      <c r="CQW100" s="5">
        <v>226</v>
      </c>
      <c r="CQX100" s="5">
        <v>250</v>
      </c>
      <c r="CQY100" s="6">
        <v>44102</v>
      </c>
      <c r="CRA100" s="5" t="s">
        <v>67</v>
      </c>
      <c r="CRB100" s="6">
        <v>44102</v>
      </c>
      <c r="CRC100" s="7">
        <v>0.4</v>
      </c>
      <c r="CRD100" s="5">
        <v>14.5</v>
      </c>
      <c r="CRE100" s="5">
        <v>226</v>
      </c>
      <c r="CRF100" s="5">
        <v>250</v>
      </c>
      <c r="CRG100" s="6">
        <v>44102</v>
      </c>
      <c r="CRI100" s="5" t="s">
        <v>67</v>
      </c>
      <c r="CRJ100" s="6">
        <v>44102</v>
      </c>
      <c r="CRK100" s="7">
        <v>0.4</v>
      </c>
      <c r="CRL100" s="5">
        <v>14.5</v>
      </c>
      <c r="CRM100" s="5">
        <v>226</v>
      </c>
      <c r="CRN100" s="5">
        <v>250</v>
      </c>
      <c r="CRO100" s="6">
        <v>44102</v>
      </c>
      <c r="CRQ100" s="5" t="s">
        <v>67</v>
      </c>
      <c r="CRR100" s="6">
        <v>44102</v>
      </c>
      <c r="CRS100" s="7">
        <v>0.4</v>
      </c>
      <c r="CRT100" s="5">
        <v>14.5</v>
      </c>
      <c r="CRU100" s="5">
        <v>226</v>
      </c>
      <c r="CRV100" s="5">
        <v>250</v>
      </c>
      <c r="CRW100" s="6">
        <v>44102</v>
      </c>
      <c r="CRY100" s="5" t="s">
        <v>67</v>
      </c>
      <c r="CRZ100" s="6">
        <v>44102</v>
      </c>
      <c r="CSA100" s="7">
        <v>0.4</v>
      </c>
      <c r="CSB100" s="5">
        <v>14.5</v>
      </c>
      <c r="CSC100" s="5">
        <v>226</v>
      </c>
      <c r="CSD100" s="5">
        <v>250</v>
      </c>
      <c r="CSE100" s="6">
        <v>44102</v>
      </c>
      <c r="CSG100" s="5" t="s">
        <v>67</v>
      </c>
      <c r="CSH100" s="6">
        <v>44102</v>
      </c>
      <c r="CSI100" s="7">
        <v>0.4</v>
      </c>
      <c r="CSJ100" s="5">
        <v>14.5</v>
      </c>
      <c r="CSK100" s="5">
        <v>226</v>
      </c>
      <c r="CSL100" s="5">
        <v>250</v>
      </c>
      <c r="CSM100" s="6">
        <v>44102</v>
      </c>
      <c r="CSO100" s="5" t="s">
        <v>67</v>
      </c>
      <c r="CSP100" s="6">
        <v>44102</v>
      </c>
      <c r="CSQ100" s="7">
        <v>0.4</v>
      </c>
      <c r="CSR100" s="5">
        <v>14.5</v>
      </c>
      <c r="CSS100" s="5">
        <v>226</v>
      </c>
      <c r="CST100" s="5">
        <v>250</v>
      </c>
      <c r="CSU100" s="6">
        <v>44102</v>
      </c>
      <c r="CSW100" s="5" t="s">
        <v>67</v>
      </c>
      <c r="CSX100" s="6">
        <v>44102</v>
      </c>
      <c r="CSY100" s="7">
        <v>0.4</v>
      </c>
      <c r="CSZ100" s="5">
        <v>14.5</v>
      </c>
      <c r="CTA100" s="5">
        <v>226</v>
      </c>
      <c r="CTB100" s="5">
        <v>250</v>
      </c>
      <c r="CTC100" s="6">
        <v>44102</v>
      </c>
      <c r="CTE100" s="5" t="s">
        <v>67</v>
      </c>
      <c r="CTF100" s="6">
        <v>44102</v>
      </c>
      <c r="CTG100" s="7">
        <v>0.4</v>
      </c>
      <c r="CTH100" s="5">
        <v>14.5</v>
      </c>
      <c r="CTI100" s="5">
        <v>226</v>
      </c>
      <c r="CTJ100" s="5">
        <v>250</v>
      </c>
      <c r="CTK100" s="6">
        <v>44102</v>
      </c>
      <c r="CTM100" s="5" t="s">
        <v>67</v>
      </c>
      <c r="CTN100" s="6">
        <v>44102</v>
      </c>
      <c r="CTO100" s="7">
        <v>0.4</v>
      </c>
      <c r="CTP100" s="5">
        <v>14.5</v>
      </c>
      <c r="CTQ100" s="5">
        <v>226</v>
      </c>
      <c r="CTR100" s="5">
        <v>250</v>
      </c>
      <c r="CTS100" s="6">
        <v>44102</v>
      </c>
      <c r="CTU100" s="5" t="s">
        <v>67</v>
      </c>
      <c r="CTV100" s="6">
        <v>44102</v>
      </c>
      <c r="CTW100" s="7">
        <v>0.4</v>
      </c>
      <c r="CTX100" s="5">
        <v>14.5</v>
      </c>
      <c r="CTY100" s="5">
        <v>226</v>
      </c>
      <c r="CTZ100" s="5">
        <v>250</v>
      </c>
      <c r="CUA100" s="6">
        <v>44102</v>
      </c>
      <c r="CUC100" s="5" t="s">
        <v>67</v>
      </c>
      <c r="CUD100" s="6">
        <v>44102</v>
      </c>
      <c r="CUE100" s="7">
        <v>0.4</v>
      </c>
      <c r="CUF100" s="5">
        <v>14.5</v>
      </c>
      <c r="CUG100" s="5">
        <v>226</v>
      </c>
      <c r="CUH100" s="5">
        <v>250</v>
      </c>
      <c r="CUI100" s="6">
        <v>44102</v>
      </c>
      <c r="CUK100" s="5" t="s">
        <v>67</v>
      </c>
      <c r="CUL100" s="6">
        <v>44102</v>
      </c>
      <c r="CUM100" s="7">
        <v>0.4</v>
      </c>
      <c r="CUN100" s="5">
        <v>14.5</v>
      </c>
      <c r="CUO100" s="5">
        <v>226</v>
      </c>
      <c r="CUP100" s="5">
        <v>250</v>
      </c>
      <c r="CUQ100" s="6">
        <v>44102</v>
      </c>
      <c r="CUS100" s="5" t="s">
        <v>67</v>
      </c>
      <c r="CUT100" s="6">
        <v>44102</v>
      </c>
      <c r="CUU100" s="7">
        <v>0.4</v>
      </c>
      <c r="CUV100" s="5">
        <v>14.5</v>
      </c>
      <c r="CUW100" s="5">
        <v>226</v>
      </c>
      <c r="CUX100" s="5">
        <v>250</v>
      </c>
      <c r="CUY100" s="6">
        <v>44102</v>
      </c>
      <c r="CVA100" s="5" t="s">
        <v>67</v>
      </c>
      <c r="CVB100" s="6">
        <v>44102</v>
      </c>
      <c r="CVC100" s="7">
        <v>0.4</v>
      </c>
      <c r="CVD100" s="5">
        <v>14.5</v>
      </c>
      <c r="CVE100" s="5">
        <v>226</v>
      </c>
      <c r="CVF100" s="5">
        <v>250</v>
      </c>
      <c r="CVG100" s="6">
        <v>44102</v>
      </c>
      <c r="CVI100" s="5" t="s">
        <v>67</v>
      </c>
      <c r="CVJ100" s="6">
        <v>44102</v>
      </c>
      <c r="CVK100" s="7">
        <v>0.4</v>
      </c>
      <c r="CVL100" s="5">
        <v>14.5</v>
      </c>
      <c r="CVM100" s="5">
        <v>226</v>
      </c>
      <c r="CVN100" s="5">
        <v>250</v>
      </c>
      <c r="CVO100" s="6">
        <v>44102</v>
      </c>
      <c r="CVQ100" s="5" t="s">
        <v>67</v>
      </c>
      <c r="CVR100" s="6">
        <v>44102</v>
      </c>
      <c r="CVS100" s="7">
        <v>0.4</v>
      </c>
      <c r="CVT100" s="5">
        <v>14.5</v>
      </c>
      <c r="CVU100" s="5">
        <v>226</v>
      </c>
      <c r="CVV100" s="5">
        <v>250</v>
      </c>
      <c r="CVW100" s="6">
        <v>44102</v>
      </c>
      <c r="CVY100" s="5" t="s">
        <v>67</v>
      </c>
      <c r="CVZ100" s="6">
        <v>44102</v>
      </c>
      <c r="CWA100" s="7">
        <v>0.4</v>
      </c>
      <c r="CWB100" s="5">
        <v>14.5</v>
      </c>
      <c r="CWC100" s="5">
        <v>226</v>
      </c>
      <c r="CWD100" s="5">
        <v>250</v>
      </c>
      <c r="CWE100" s="6">
        <v>44102</v>
      </c>
      <c r="CWG100" s="5" t="s">
        <v>67</v>
      </c>
      <c r="CWH100" s="6">
        <v>44102</v>
      </c>
      <c r="CWI100" s="7">
        <v>0.4</v>
      </c>
      <c r="CWJ100" s="5">
        <v>14.5</v>
      </c>
      <c r="CWK100" s="5">
        <v>226</v>
      </c>
      <c r="CWL100" s="5">
        <v>250</v>
      </c>
      <c r="CWM100" s="6">
        <v>44102</v>
      </c>
      <c r="CWO100" s="5" t="s">
        <v>67</v>
      </c>
      <c r="CWP100" s="6">
        <v>44102</v>
      </c>
      <c r="CWQ100" s="7">
        <v>0.4</v>
      </c>
      <c r="CWR100" s="5">
        <v>14.5</v>
      </c>
      <c r="CWS100" s="5">
        <v>226</v>
      </c>
      <c r="CWT100" s="5">
        <v>250</v>
      </c>
      <c r="CWU100" s="6">
        <v>44102</v>
      </c>
      <c r="CWW100" s="5" t="s">
        <v>67</v>
      </c>
      <c r="CWX100" s="6">
        <v>44102</v>
      </c>
      <c r="CWY100" s="7">
        <v>0.4</v>
      </c>
      <c r="CWZ100" s="5">
        <v>14.5</v>
      </c>
      <c r="CXA100" s="5">
        <v>226</v>
      </c>
      <c r="CXB100" s="5">
        <v>250</v>
      </c>
      <c r="CXC100" s="6">
        <v>44102</v>
      </c>
      <c r="CXE100" s="5" t="s">
        <v>67</v>
      </c>
      <c r="CXF100" s="6">
        <v>44102</v>
      </c>
      <c r="CXG100" s="7">
        <v>0.4</v>
      </c>
      <c r="CXH100" s="5">
        <v>14.5</v>
      </c>
      <c r="CXI100" s="5">
        <v>226</v>
      </c>
      <c r="CXJ100" s="5">
        <v>250</v>
      </c>
      <c r="CXK100" s="6">
        <v>44102</v>
      </c>
      <c r="CXM100" s="5" t="s">
        <v>67</v>
      </c>
      <c r="CXN100" s="6">
        <v>44102</v>
      </c>
      <c r="CXO100" s="7">
        <v>0.4</v>
      </c>
      <c r="CXP100" s="5">
        <v>14.5</v>
      </c>
      <c r="CXQ100" s="5">
        <v>226</v>
      </c>
      <c r="CXR100" s="5">
        <v>250</v>
      </c>
      <c r="CXS100" s="6">
        <v>44102</v>
      </c>
      <c r="CXU100" s="5" t="s">
        <v>67</v>
      </c>
      <c r="CXV100" s="6">
        <v>44102</v>
      </c>
      <c r="CXW100" s="7">
        <v>0.4</v>
      </c>
      <c r="CXX100" s="5">
        <v>14.5</v>
      </c>
      <c r="CXY100" s="5">
        <v>226</v>
      </c>
      <c r="CXZ100" s="5">
        <v>250</v>
      </c>
      <c r="CYA100" s="6">
        <v>44102</v>
      </c>
      <c r="CYC100" s="5" t="s">
        <v>67</v>
      </c>
      <c r="CYD100" s="6">
        <v>44102</v>
      </c>
      <c r="CYE100" s="7">
        <v>0.4</v>
      </c>
      <c r="CYF100" s="5">
        <v>14.5</v>
      </c>
      <c r="CYG100" s="5">
        <v>226</v>
      </c>
      <c r="CYH100" s="5">
        <v>250</v>
      </c>
      <c r="CYI100" s="6">
        <v>44102</v>
      </c>
      <c r="CYK100" s="5" t="s">
        <v>67</v>
      </c>
      <c r="CYL100" s="6">
        <v>44102</v>
      </c>
      <c r="CYM100" s="7">
        <v>0.4</v>
      </c>
      <c r="CYN100" s="5">
        <v>14.5</v>
      </c>
      <c r="CYO100" s="5">
        <v>226</v>
      </c>
      <c r="CYP100" s="5">
        <v>250</v>
      </c>
      <c r="CYQ100" s="6">
        <v>44102</v>
      </c>
      <c r="CYS100" s="5" t="s">
        <v>67</v>
      </c>
      <c r="CYT100" s="6">
        <v>44102</v>
      </c>
      <c r="CYU100" s="7">
        <v>0.4</v>
      </c>
      <c r="CYV100" s="5">
        <v>14.5</v>
      </c>
      <c r="CYW100" s="5">
        <v>226</v>
      </c>
      <c r="CYX100" s="5">
        <v>250</v>
      </c>
      <c r="CYY100" s="6">
        <v>44102</v>
      </c>
      <c r="CZA100" s="5" t="s">
        <v>67</v>
      </c>
      <c r="CZB100" s="6">
        <v>44102</v>
      </c>
      <c r="CZC100" s="7">
        <v>0.4</v>
      </c>
      <c r="CZD100" s="5">
        <v>14.5</v>
      </c>
      <c r="CZE100" s="5">
        <v>226</v>
      </c>
      <c r="CZF100" s="5">
        <v>250</v>
      </c>
      <c r="CZG100" s="6">
        <v>44102</v>
      </c>
      <c r="CZI100" s="5" t="s">
        <v>67</v>
      </c>
      <c r="CZJ100" s="6">
        <v>44102</v>
      </c>
      <c r="CZK100" s="7">
        <v>0.4</v>
      </c>
      <c r="CZL100" s="5">
        <v>14.5</v>
      </c>
      <c r="CZM100" s="5">
        <v>226</v>
      </c>
      <c r="CZN100" s="5">
        <v>250</v>
      </c>
      <c r="CZO100" s="6">
        <v>44102</v>
      </c>
      <c r="CZQ100" s="5" t="s">
        <v>67</v>
      </c>
      <c r="CZR100" s="6">
        <v>44102</v>
      </c>
      <c r="CZS100" s="7">
        <v>0.4</v>
      </c>
      <c r="CZT100" s="5">
        <v>14.5</v>
      </c>
      <c r="CZU100" s="5">
        <v>226</v>
      </c>
      <c r="CZV100" s="5">
        <v>250</v>
      </c>
      <c r="CZW100" s="6">
        <v>44102</v>
      </c>
      <c r="CZY100" s="5" t="s">
        <v>67</v>
      </c>
      <c r="CZZ100" s="6">
        <v>44102</v>
      </c>
      <c r="DAA100" s="7">
        <v>0.4</v>
      </c>
      <c r="DAB100" s="5">
        <v>14.5</v>
      </c>
      <c r="DAC100" s="5">
        <v>226</v>
      </c>
      <c r="DAD100" s="5">
        <v>250</v>
      </c>
      <c r="DAE100" s="6">
        <v>44102</v>
      </c>
      <c r="DAG100" s="5" t="s">
        <v>67</v>
      </c>
      <c r="DAH100" s="6">
        <v>44102</v>
      </c>
      <c r="DAI100" s="7">
        <v>0.4</v>
      </c>
      <c r="DAJ100" s="5">
        <v>14.5</v>
      </c>
      <c r="DAK100" s="5">
        <v>226</v>
      </c>
      <c r="DAL100" s="5">
        <v>250</v>
      </c>
      <c r="DAM100" s="6">
        <v>44102</v>
      </c>
      <c r="DAO100" s="5" t="s">
        <v>67</v>
      </c>
      <c r="DAP100" s="6">
        <v>44102</v>
      </c>
      <c r="DAQ100" s="7">
        <v>0.4</v>
      </c>
      <c r="DAR100" s="5">
        <v>14.5</v>
      </c>
      <c r="DAS100" s="5">
        <v>226</v>
      </c>
      <c r="DAT100" s="5">
        <v>250</v>
      </c>
      <c r="DAU100" s="6">
        <v>44102</v>
      </c>
      <c r="DAW100" s="5" t="s">
        <v>67</v>
      </c>
      <c r="DAX100" s="6">
        <v>44102</v>
      </c>
      <c r="DAY100" s="7">
        <v>0.4</v>
      </c>
      <c r="DAZ100" s="5">
        <v>14.5</v>
      </c>
      <c r="DBA100" s="5">
        <v>226</v>
      </c>
      <c r="DBB100" s="5">
        <v>250</v>
      </c>
      <c r="DBC100" s="6">
        <v>44102</v>
      </c>
      <c r="DBE100" s="5" t="s">
        <v>67</v>
      </c>
      <c r="DBF100" s="6">
        <v>44102</v>
      </c>
      <c r="DBG100" s="7">
        <v>0.4</v>
      </c>
      <c r="DBH100" s="5">
        <v>14.5</v>
      </c>
      <c r="DBI100" s="5">
        <v>226</v>
      </c>
      <c r="DBJ100" s="5">
        <v>250</v>
      </c>
      <c r="DBK100" s="6">
        <v>44102</v>
      </c>
      <c r="DBM100" s="5" t="s">
        <v>67</v>
      </c>
      <c r="DBN100" s="6">
        <v>44102</v>
      </c>
      <c r="DBO100" s="7">
        <v>0.4</v>
      </c>
      <c r="DBP100" s="5">
        <v>14.5</v>
      </c>
      <c r="DBQ100" s="5">
        <v>226</v>
      </c>
      <c r="DBR100" s="5">
        <v>250</v>
      </c>
      <c r="DBS100" s="6">
        <v>44102</v>
      </c>
      <c r="DBU100" s="5" t="s">
        <v>67</v>
      </c>
      <c r="DBV100" s="6">
        <v>44102</v>
      </c>
      <c r="DBW100" s="7">
        <v>0.4</v>
      </c>
      <c r="DBX100" s="5">
        <v>14.5</v>
      </c>
      <c r="DBY100" s="5">
        <v>226</v>
      </c>
      <c r="DBZ100" s="5">
        <v>250</v>
      </c>
      <c r="DCA100" s="6">
        <v>44102</v>
      </c>
      <c r="DCC100" s="5" t="s">
        <v>67</v>
      </c>
      <c r="DCD100" s="6">
        <v>44102</v>
      </c>
      <c r="DCE100" s="7">
        <v>0.4</v>
      </c>
      <c r="DCF100" s="5">
        <v>14.5</v>
      </c>
      <c r="DCG100" s="5">
        <v>226</v>
      </c>
      <c r="DCH100" s="5">
        <v>250</v>
      </c>
      <c r="DCI100" s="6">
        <v>44102</v>
      </c>
      <c r="DCK100" s="5" t="s">
        <v>67</v>
      </c>
      <c r="DCL100" s="6">
        <v>44102</v>
      </c>
      <c r="DCM100" s="7">
        <v>0.4</v>
      </c>
      <c r="DCN100" s="5">
        <v>14.5</v>
      </c>
      <c r="DCO100" s="5">
        <v>226</v>
      </c>
      <c r="DCP100" s="5">
        <v>250</v>
      </c>
      <c r="DCQ100" s="6">
        <v>44102</v>
      </c>
      <c r="DCS100" s="5" t="s">
        <v>67</v>
      </c>
      <c r="DCT100" s="6">
        <v>44102</v>
      </c>
      <c r="DCU100" s="7">
        <v>0.4</v>
      </c>
      <c r="DCV100" s="5">
        <v>14.5</v>
      </c>
      <c r="DCW100" s="5">
        <v>226</v>
      </c>
      <c r="DCX100" s="5">
        <v>250</v>
      </c>
      <c r="DCY100" s="6">
        <v>44102</v>
      </c>
      <c r="DDA100" s="5" t="s">
        <v>67</v>
      </c>
      <c r="DDB100" s="6">
        <v>44102</v>
      </c>
      <c r="DDC100" s="7">
        <v>0.4</v>
      </c>
      <c r="DDD100" s="5">
        <v>14.5</v>
      </c>
      <c r="DDE100" s="5">
        <v>226</v>
      </c>
      <c r="DDF100" s="5">
        <v>250</v>
      </c>
      <c r="DDG100" s="6">
        <v>44102</v>
      </c>
      <c r="DDI100" s="5" t="s">
        <v>67</v>
      </c>
      <c r="DDJ100" s="6">
        <v>44102</v>
      </c>
      <c r="DDK100" s="7">
        <v>0.4</v>
      </c>
      <c r="DDL100" s="5">
        <v>14.5</v>
      </c>
      <c r="DDM100" s="5">
        <v>226</v>
      </c>
      <c r="DDN100" s="5">
        <v>250</v>
      </c>
      <c r="DDO100" s="6">
        <v>44102</v>
      </c>
      <c r="DDQ100" s="5" t="s">
        <v>67</v>
      </c>
      <c r="DDR100" s="6">
        <v>44102</v>
      </c>
      <c r="DDS100" s="7">
        <v>0.4</v>
      </c>
      <c r="DDT100" s="5">
        <v>14.5</v>
      </c>
      <c r="DDU100" s="5">
        <v>226</v>
      </c>
      <c r="DDV100" s="5">
        <v>250</v>
      </c>
      <c r="DDW100" s="6">
        <v>44102</v>
      </c>
      <c r="DDY100" s="5" t="s">
        <v>67</v>
      </c>
      <c r="DDZ100" s="6">
        <v>44102</v>
      </c>
      <c r="DEA100" s="7">
        <v>0.4</v>
      </c>
      <c r="DEB100" s="5">
        <v>14.5</v>
      </c>
      <c r="DEC100" s="5">
        <v>226</v>
      </c>
      <c r="DED100" s="5">
        <v>250</v>
      </c>
      <c r="DEE100" s="6">
        <v>44102</v>
      </c>
      <c r="DEG100" s="5" t="s">
        <v>67</v>
      </c>
      <c r="DEH100" s="6">
        <v>44102</v>
      </c>
      <c r="DEI100" s="7">
        <v>0.4</v>
      </c>
      <c r="DEJ100" s="5">
        <v>14.5</v>
      </c>
      <c r="DEK100" s="5">
        <v>226</v>
      </c>
      <c r="DEL100" s="5">
        <v>250</v>
      </c>
      <c r="DEM100" s="6">
        <v>44102</v>
      </c>
      <c r="DEO100" s="5" t="s">
        <v>67</v>
      </c>
      <c r="DEP100" s="6">
        <v>44102</v>
      </c>
      <c r="DEQ100" s="7">
        <v>0.4</v>
      </c>
      <c r="DER100" s="5">
        <v>14.5</v>
      </c>
      <c r="DES100" s="5">
        <v>226</v>
      </c>
      <c r="DET100" s="5">
        <v>250</v>
      </c>
      <c r="DEU100" s="6">
        <v>44102</v>
      </c>
      <c r="DEW100" s="5" t="s">
        <v>67</v>
      </c>
      <c r="DEX100" s="6">
        <v>44102</v>
      </c>
      <c r="DEY100" s="7">
        <v>0.4</v>
      </c>
      <c r="DEZ100" s="5">
        <v>14.5</v>
      </c>
      <c r="DFA100" s="5">
        <v>226</v>
      </c>
      <c r="DFB100" s="5">
        <v>250</v>
      </c>
      <c r="DFC100" s="6">
        <v>44102</v>
      </c>
      <c r="DFE100" s="5" t="s">
        <v>67</v>
      </c>
      <c r="DFF100" s="6">
        <v>44102</v>
      </c>
      <c r="DFG100" s="7">
        <v>0.4</v>
      </c>
      <c r="DFH100" s="5">
        <v>14.5</v>
      </c>
      <c r="DFI100" s="5">
        <v>226</v>
      </c>
      <c r="DFJ100" s="5">
        <v>250</v>
      </c>
      <c r="DFK100" s="6">
        <v>44102</v>
      </c>
      <c r="DFM100" s="5" t="s">
        <v>67</v>
      </c>
      <c r="DFN100" s="6">
        <v>44102</v>
      </c>
      <c r="DFO100" s="7">
        <v>0.4</v>
      </c>
      <c r="DFP100" s="5">
        <v>14.5</v>
      </c>
      <c r="DFQ100" s="5">
        <v>226</v>
      </c>
      <c r="DFR100" s="5">
        <v>250</v>
      </c>
      <c r="DFS100" s="6">
        <v>44102</v>
      </c>
      <c r="DFU100" s="5" t="s">
        <v>67</v>
      </c>
      <c r="DFV100" s="6">
        <v>44102</v>
      </c>
      <c r="DFW100" s="7">
        <v>0.4</v>
      </c>
      <c r="DFX100" s="5">
        <v>14.5</v>
      </c>
      <c r="DFY100" s="5">
        <v>226</v>
      </c>
      <c r="DFZ100" s="5">
        <v>250</v>
      </c>
      <c r="DGA100" s="6">
        <v>44102</v>
      </c>
      <c r="DGC100" s="5" t="s">
        <v>67</v>
      </c>
      <c r="DGD100" s="6">
        <v>44102</v>
      </c>
      <c r="DGE100" s="7">
        <v>0.4</v>
      </c>
      <c r="DGF100" s="5">
        <v>14.5</v>
      </c>
      <c r="DGG100" s="5">
        <v>226</v>
      </c>
      <c r="DGH100" s="5">
        <v>250</v>
      </c>
      <c r="DGI100" s="6">
        <v>44102</v>
      </c>
      <c r="DGK100" s="5" t="s">
        <v>67</v>
      </c>
      <c r="DGL100" s="6">
        <v>44102</v>
      </c>
      <c r="DGM100" s="7">
        <v>0.4</v>
      </c>
      <c r="DGN100" s="5">
        <v>14.5</v>
      </c>
      <c r="DGO100" s="5">
        <v>226</v>
      </c>
      <c r="DGP100" s="5">
        <v>250</v>
      </c>
      <c r="DGQ100" s="6">
        <v>44102</v>
      </c>
      <c r="DGS100" s="5" t="s">
        <v>67</v>
      </c>
      <c r="DGT100" s="6">
        <v>44102</v>
      </c>
      <c r="DGU100" s="7">
        <v>0.4</v>
      </c>
      <c r="DGV100" s="5">
        <v>14.5</v>
      </c>
      <c r="DGW100" s="5">
        <v>226</v>
      </c>
      <c r="DGX100" s="5">
        <v>250</v>
      </c>
      <c r="DGY100" s="6">
        <v>44102</v>
      </c>
      <c r="DHA100" s="5" t="s">
        <v>67</v>
      </c>
      <c r="DHB100" s="6">
        <v>44102</v>
      </c>
      <c r="DHC100" s="7">
        <v>0.4</v>
      </c>
      <c r="DHD100" s="5">
        <v>14.5</v>
      </c>
      <c r="DHE100" s="5">
        <v>226</v>
      </c>
      <c r="DHF100" s="5">
        <v>250</v>
      </c>
      <c r="DHG100" s="6">
        <v>44102</v>
      </c>
      <c r="DHI100" s="5" t="s">
        <v>67</v>
      </c>
      <c r="DHJ100" s="6">
        <v>44102</v>
      </c>
      <c r="DHK100" s="7">
        <v>0.4</v>
      </c>
      <c r="DHL100" s="5">
        <v>14.5</v>
      </c>
      <c r="DHM100" s="5">
        <v>226</v>
      </c>
      <c r="DHN100" s="5">
        <v>250</v>
      </c>
      <c r="DHO100" s="6">
        <v>44102</v>
      </c>
      <c r="DHQ100" s="5" t="s">
        <v>67</v>
      </c>
      <c r="DHR100" s="6">
        <v>44102</v>
      </c>
      <c r="DHS100" s="7">
        <v>0.4</v>
      </c>
      <c r="DHT100" s="5">
        <v>14.5</v>
      </c>
      <c r="DHU100" s="5">
        <v>226</v>
      </c>
      <c r="DHV100" s="5">
        <v>250</v>
      </c>
      <c r="DHW100" s="6">
        <v>44102</v>
      </c>
      <c r="DHY100" s="5" t="s">
        <v>67</v>
      </c>
      <c r="DHZ100" s="6">
        <v>44102</v>
      </c>
      <c r="DIA100" s="7">
        <v>0.4</v>
      </c>
      <c r="DIB100" s="5">
        <v>14.5</v>
      </c>
      <c r="DIC100" s="5">
        <v>226</v>
      </c>
      <c r="DID100" s="5">
        <v>250</v>
      </c>
      <c r="DIE100" s="6">
        <v>44102</v>
      </c>
      <c r="DIG100" s="5" t="s">
        <v>67</v>
      </c>
      <c r="DIH100" s="6">
        <v>44102</v>
      </c>
      <c r="DII100" s="7">
        <v>0.4</v>
      </c>
      <c r="DIJ100" s="5">
        <v>14.5</v>
      </c>
      <c r="DIK100" s="5">
        <v>226</v>
      </c>
      <c r="DIL100" s="5">
        <v>250</v>
      </c>
      <c r="DIM100" s="6">
        <v>44102</v>
      </c>
      <c r="DIO100" s="5" t="s">
        <v>67</v>
      </c>
      <c r="DIP100" s="6">
        <v>44102</v>
      </c>
      <c r="DIQ100" s="7">
        <v>0.4</v>
      </c>
      <c r="DIR100" s="5">
        <v>14.5</v>
      </c>
      <c r="DIS100" s="5">
        <v>226</v>
      </c>
      <c r="DIT100" s="5">
        <v>250</v>
      </c>
      <c r="DIU100" s="6">
        <v>44102</v>
      </c>
      <c r="DIW100" s="5" t="s">
        <v>67</v>
      </c>
      <c r="DIX100" s="6">
        <v>44102</v>
      </c>
      <c r="DIY100" s="7">
        <v>0.4</v>
      </c>
      <c r="DIZ100" s="5">
        <v>14.5</v>
      </c>
      <c r="DJA100" s="5">
        <v>226</v>
      </c>
      <c r="DJB100" s="5">
        <v>250</v>
      </c>
      <c r="DJC100" s="6">
        <v>44102</v>
      </c>
      <c r="DJE100" s="5" t="s">
        <v>67</v>
      </c>
      <c r="DJF100" s="6">
        <v>44102</v>
      </c>
      <c r="DJG100" s="7">
        <v>0.4</v>
      </c>
      <c r="DJH100" s="5">
        <v>14.5</v>
      </c>
      <c r="DJI100" s="5">
        <v>226</v>
      </c>
      <c r="DJJ100" s="5">
        <v>250</v>
      </c>
      <c r="DJK100" s="6">
        <v>44102</v>
      </c>
      <c r="DJM100" s="5" t="s">
        <v>67</v>
      </c>
      <c r="DJN100" s="6">
        <v>44102</v>
      </c>
      <c r="DJO100" s="7">
        <v>0.4</v>
      </c>
      <c r="DJP100" s="5">
        <v>14.5</v>
      </c>
      <c r="DJQ100" s="5">
        <v>226</v>
      </c>
      <c r="DJR100" s="5">
        <v>250</v>
      </c>
      <c r="DJS100" s="6">
        <v>44102</v>
      </c>
      <c r="DJU100" s="5" t="s">
        <v>67</v>
      </c>
      <c r="DJV100" s="6">
        <v>44102</v>
      </c>
      <c r="DJW100" s="7">
        <v>0.4</v>
      </c>
      <c r="DJX100" s="5">
        <v>14.5</v>
      </c>
      <c r="DJY100" s="5">
        <v>226</v>
      </c>
      <c r="DJZ100" s="5">
        <v>250</v>
      </c>
      <c r="DKA100" s="6">
        <v>44102</v>
      </c>
      <c r="DKC100" s="5" t="s">
        <v>67</v>
      </c>
      <c r="DKD100" s="6">
        <v>44102</v>
      </c>
      <c r="DKE100" s="7">
        <v>0.4</v>
      </c>
      <c r="DKF100" s="5">
        <v>14.5</v>
      </c>
      <c r="DKG100" s="5">
        <v>226</v>
      </c>
      <c r="DKH100" s="5">
        <v>250</v>
      </c>
      <c r="DKI100" s="6">
        <v>44102</v>
      </c>
      <c r="DKK100" s="5" t="s">
        <v>67</v>
      </c>
      <c r="DKL100" s="6">
        <v>44102</v>
      </c>
      <c r="DKM100" s="7">
        <v>0.4</v>
      </c>
      <c r="DKN100" s="5">
        <v>14.5</v>
      </c>
      <c r="DKO100" s="5">
        <v>226</v>
      </c>
      <c r="DKP100" s="5">
        <v>250</v>
      </c>
      <c r="DKQ100" s="6">
        <v>44102</v>
      </c>
      <c r="DKS100" s="5" t="s">
        <v>67</v>
      </c>
      <c r="DKT100" s="6">
        <v>44102</v>
      </c>
      <c r="DKU100" s="7">
        <v>0.4</v>
      </c>
      <c r="DKV100" s="5">
        <v>14.5</v>
      </c>
      <c r="DKW100" s="5">
        <v>226</v>
      </c>
      <c r="DKX100" s="5">
        <v>250</v>
      </c>
      <c r="DKY100" s="6">
        <v>44102</v>
      </c>
      <c r="DLA100" s="5" t="s">
        <v>67</v>
      </c>
      <c r="DLB100" s="6">
        <v>44102</v>
      </c>
      <c r="DLC100" s="7">
        <v>0.4</v>
      </c>
      <c r="DLD100" s="5">
        <v>14.5</v>
      </c>
      <c r="DLE100" s="5">
        <v>226</v>
      </c>
      <c r="DLF100" s="5">
        <v>250</v>
      </c>
      <c r="DLG100" s="6">
        <v>44102</v>
      </c>
      <c r="DLI100" s="5" t="s">
        <v>67</v>
      </c>
      <c r="DLJ100" s="6">
        <v>44102</v>
      </c>
      <c r="DLK100" s="7">
        <v>0.4</v>
      </c>
      <c r="DLL100" s="5">
        <v>14.5</v>
      </c>
      <c r="DLM100" s="5">
        <v>226</v>
      </c>
      <c r="DLN100" s="5">
        <v>250</v>
      </c>
      <c r="DLO100" s="6">
        <v>44102</v>
      </c>
      <c r="DLQ100" s="5" t="s">
        <v>67</v>
      </c>
      <c r="DLR100" s="6">
        <v>44102</v>
      </c>
      <c r="DLS100" s="7">
        <v>0.4</v>
      </c>
      <c r="DLT100" s="5">
        <v>14.5</v>
      </c>
      <c r="DLU100" s="5">
        <v>226</v>
      </c>
      <c r="DLV100" s="5">
        <v>250</v>
      </c>
      <c r="DLW100" s="6">
        <v>44102</v>
      </c>
      <c r="DLY100" s="5" t="s">
        <v>67</v>
      </c>
      <c r="DLZ100" s="6">
        <v>44102</v>
      </c>
      <c r="DMA100" s="7">
        <v>0.4</v>
      </c>
      <c r="DMB100" s="5">
        <v>14.5</v>
      </c>
      <c r="DMC100" s="5">
        <v>226</v>
      </c>
      <c r="DMD100" s="5">
        <v>250</v>
      </c>
      <c r="DME100" s="6">
        <v>44102</v>
      </c>
      <c r="DMG100" s="5" t="s">
        <v>67</v>
      </c>
      <c r="DMH100" s="6">
        <v>44102</v>
      </c>
      <c r="DMI100" s="7">
        <v>0.4</v>
      </c>
      <c r="DMJ100" s="5">
        <v>14.5</v>
      </c>
      <c r="DMK100" s="5">
        <v>226</v>
      </c>
      <c r="DML100" s="5">
        <v>250</v>
      </c>
      <c r="DMM100" s="6">
        <v>44102</v>
      </c>
      <c r="DMO100" s="5" t="s">
        <v>67</v>
      </c>
      <c r="DMP100" s="6">
        <v>44102</v>
      </c>
      <c r="DMQ100" s="7">
        <v>0.4</v>
      </c>
      <c r="DMR100" s="5">
        <v>14.5</v>
      </c>
      <c r="DMS100" s="5">
        <v>226</v>
      </c>
      <c r="DMT100" s="5">
        <v>250</v>
      </c>
      <c r="DMU100" s="6">
        <v>44102</v>
      </c>
      <c r="DMW100" s="5" t="s">
        <v>67</v>
      </c>
      <c r="DMX100" s="6">
        <v>44102</v>
      </c>
      <c r="DMY100" s="7">
        <v>0.4</v>
      </c>
      <c r="DMZ100" s="5">
        <v>14.5</v>
      </c>
      <c r="DNA100" s="5">
        <v>226</v>
      </c>
      <c r="DNB100" s="5">
        <v>250</v>
      </c>
      <c r="DNC100" s="6">
        <v>44102</v>
      </c>
      <c r="DNE100" s="5" t="s">
        <v>67</v>
      </c>
      <c r="DNF100" s="6">
        <v>44102</v>
      </c>
      <c r="DNG100" s="7">
        <v>0.4</v>
      </c>
      <c r="DNH100" s="5">
        <v>14.5</v>
      </c>
      <c r="DNI100" s="5">
        <v>226</v>
      </c>
      <c r="DNJ100" s="5">
        <v>250</v>
      </c>
      <c r="DNK100" s="6">
        <v>44102</v>
      </c>
      <c r="DNM100" s="5" t="s">
        <v>67</v>
      </c>
      <c r="DNN100" s="6">
        <v>44102</v>
      </c>
      <c r="DNO100" s="7">
        <v>0.4</v>
      </c>
      <c r="DNP100" s="5">
        <v>14.5</v>
      </c>
      <c r="DNQ100" s="5">
        <v>226</v>
      </c>
      <c r="DNR100" s="5">
        <v>250</v>
      </c>
      <c r="DNS100" s="6">
        <v>44102</v>
      </c>
      <c r="DNU100" s="5" t="s">
        <v>67</v>
      </c>
      <c r="DNV100" s="6">
        <v>44102</v>
      </c>
      <c r="DNW100" s="7">
        <v>0.4</v>
      </c>
      <c r="DNX100" s="5">
        <v>14.5</v>
      </c>
      <c r="DNY100" s="5">
        <v>226</v>
      </c>
      <c r="DNZ100" s="5">
        <v>250</v>
      </c>
      <c r="DOA100" s="6">
        <v>44102</v>
      </c>
      <c r="DOC100" s="5" t="s">
        <v>67</v>
      </c>
      <c r="DOD100" s="6">
        <v>44102</v>
      </c>
      <c r="DOE100" s="7">
        <v>0.4</v>
      </c>
      <c r="DOF100" s="5">
        <v>14.5</v>
      </c>
      <c r="DOG100" s="5">
        <v>226</v>
      </c>
      <c r="DOH100" s="5">
        <v>250</v>
      </c>
      <c r="DOI100" s="6">
        <v>44102</v>
      </c>
      <c r="DOK100" s="5" t="s">
        <v>67</v>
      </c>
      <c r="DOL100" s="6">
        <v>44102</v>
      </c>
      <c r="DOM100" s="7">
        <v>0.4</v>
      </c>
      <c r="DON100" s="5">
        <v>14.5</v>
      </c>
      <c r="DOO100" s="5">
        <v>226</v>
      </c>
      <c r="DOP100" s="5">
        <v>250</v>
      </c>
      <c r="DOQ100" s="6">
        <v>44102</v>
      </c>
      <c r="DOS100" s="5" t="s">
        <v>67</v>
      </c>
      <c r="DOT100" s="6">
        <v>44102</v>
      </c>
      <c r="DOU100" s="7">
        <v>0.4</v>
      </c>
      <c r="DOV100" s="5">
        <v>14.5</v>
      </c>
      <c r="DOW100" s="5">
        <v>226</v>
      </c>
      <c r="DOX100" s="5">
        <v>250</v>
      </c>
      <c r="DOY100" s="6">
        <v>44102</v>
      </c>
      <c r="DPA100" s="5" t="s">
        <v>67</v>
      </c>
      <c r="DPB100" s="6">
        <v>44102</v>
      </c>
      <c r="DPC100" s="7">
        <v>0.4</v>
      </c>
      <c r="DPD100" s="5">
        <v>14.5</v>
      </c>
      <c r="DPE100" s="5">
        <v>226</v>
      </c>
      <c r="DPF100" s="5">
        <v>250</v>
      </c>
      <c r="DPG100" s="6">
        <v>44102</v>
      </c>
      <c r="DPI100" s="5" t="s">
        <v>67</v>
      </c>
      <c r="DPJ100" s="6">
        <v>44102</v>
      </c>
      <c r="DPK100" s="7">
        <v>0.4</v>
      </c>
      <c r="DPL100" s="5">
        <v>14.5</v>
      </c>
      <c r="DPM100" s="5">
        <v>226</v>
      </c>
      <c r="DPN100" s="5">
        <v>250</v>
      </c>
      <c r="DPO100" s="6">
        <v>44102</v>
      </c>
      <c r="DPQ100" s="5" t="s">
        <v>67</v>
      </c>
      <c r="DPR100" s="6">
        <v>44102</v>
      </c>
      <c r="DPS100" s="7">
        <v>0.4</v>
      </c>
      <c r="DPT100" s="5">
        <v>14.5</v>
      </c>
      <c r="DPU100" s="5">
        <v>226</v>
      </c>
      <c r="DPV100" s="5">
        <v>250</v>
      </c>
      <c r="DPW100" s="6">
        <v>44102</v>
      </c>
      <c r="DPY100" s="5" t="s">
        <v>67</v>
      </c>
      <c r="DPZ100" s="6">
        <v>44102</v>
      </c>
      <c r="DQA100" s="7">
        <v>0.4</v>
      </c>
      <c r="DQB100" s="5">
        <v>14.5</v>
      </c>
      <c r="DQC100" s="5">
        <v>226</v>
      </c>
      <c r="DQD100" s="5">
        <v>250</v>
      </c>
      <c r="DQE100" s="6">
        <v>44102</v>
      </c>
      <c r="DQG100" s="5" t="s">
        <v>67</v>
      </c>
      <c r="DQH100" s="6">
        <v>44102</v>
      </c>
      <c r="DQI100" s="7">
        <v>0.4</v>
      </c>
      <c r="DQJ100" s="5">
        <v>14.5</v>
      </c>
      <c r="DQK100" s="5">
        <v>226</v>
      </c>
      <c r="DQL100" s="5">
        <v>250</v>
      </c>
      <c r="DQM100" s="6">
        <v>44102</v>
      </c>
      <c r="DQO100" s="5" t="s">
        <v>67</v>
      </c>
      <c r="DQP100" s="6">
        <v>44102</v>
      </c>
      <c r="DQQ100" s="7">
        <v>0.4</v>
      </c>
      <c r="DQR100" s="5">
        <v>14.5</v>
      </c>
      <c r="DQS100" s="5">
        <v>226</v>
      </c>
      <c r="DQT100" s="5">
        <v>250</v>
      </c>
      <c r="DQU100" s="6">
        <v>44102</v>
      </c>
      <c r="DQW100" s="5" t="s">
        <v>67</v>
      </c>
      <c r="DQX100" s="6">
        <v>44102</v>
      </c>
      <c r="DQY100" s="7">
        <v>0.4</v>
      </c>
      <c r="DQZ100" s="5">
        <v>14.5</v>
      </c>
      <c r="DRA100" s="5">
        <v>226</v>
      </c>
      <c r="DRB100" s="5">
        <v>250</v>
      </c>
      <c r="DRC100" s="6">
        <v>44102</v>
      </c>
      <c r="DRE100" s="5" t="s">
        <v>67</v>
      </c>
      <c r="DRF100" s="6">
        <v>44102</v>
      </c>
      <c r="DRG100" s="7">
        <v>0.4</v>
      </c>
      <c r="DRH100" s="5">
        <v>14.5</v>
      </c>
      <c r="DRI100" s="5">
        <v>226</v>
      </c>
      <c r="DRJ100" s="5">
        <v>250</v>
      </c>
      <c r="DRK100" s="6">
        <v>44102</v>
      </c>
      <c r="DRM100" s="5" t="s">
        <v>67</v>
      </c>
      <c r="DRN100" s="6">
        <v>44102</v>
      </c>
      <c r="DRO100" s="7">
        <v>0.4</v>
      </c>
      <c r="DRP100" s="5">
        <v>14.5</v>
      </c>
      <c r="DRQ100" s="5">
        <v>226</v>
      </c>
      <c r="DRR100" s="5">
        <v>250</v>
      </c>
      <c r="DRS100" s="6">
        <v>44102</v>
      </c>
      <c r="DRU100" s="5" t="s">
        <v>67</v>
      </c>
      <c r="DRV100" s="6">
        <v>44102</v>
      </c>
      <c r="DRW100" s="7">
        <v>0.4</v>
      </c>
      <c r="DRX100" s="5">
        <v>14.5</v>
      </c>
      <c r="DRY100" s="5">
        <v>226</v>
      </c>
      <c r="DRZ100" s="5">
        <v>250</v>
      </c>
      <c r="DSA100" s="6">
        <v>44102</v>
      </c>
      <c r="DSC100" s="5" t="s">
        <v>67</v>
      </c>
      <c r="DSD100" s="6">
        <v>44102</v>
      </c>
      <c r="DSE100" s="7">
        <v>0.4</v>
      </c>
      <c r="DSF100" s="5">
        <v>14.5</v>
      </c>
      <c r="DSG100" s="5">
        <v>226</v>
      </c>
      <c r="DSH100" s="5">
        <v>250</v>
      </c>
      <c r="DSI100" s="6">
        <v>44102</v>
      </c>
      <c r="DSK100" s="5" t="s">
        <v>67</v>
      </c>
      <c r="DSL100" s="6">
        <v>44102</v>
      </c>
      <c r="DSM100" s="7">
        <v>0.4</v>
      </c>
      <c r="DSN100" s="5">
        <v>14.5</v>
      </c>
      <c r="DSO100" s="5">
        <v>226</v>
      </c>
      <c r="DSP100" s="5">
        <v>250</v>
      </c>
      <c r="DSQ100" s="6">
        <v>44102</v>
      </c>
      <c r="DSS100" s="5" t="s">
        <v>67</v>
      </c>
      <c r="DST100" s="6">
        <v>44102</v>
      </c>
      <c r="DSU100" s="7">
        <v>0.4</v>
      </c>
      <c r="DSV100" s="5">
        <v>14.5</v>
      </c>
      <c r="DSW100" s="5">
        <v>226</v>
      </c>
      <c r="DSX100" s="5">
        <v>250</v>
      </c>
      <c r="DSY100" s="6">
        <v>44102</v>
      </c>
      <c r="DTA100" s="5" t="s">
        <v>67</v>
      </c>
      <c r="DTB100" s="6">
        <v>44102</v>
      </c>
      <c r="DTC100" s="7">
        <v>0.4</v>
      </c>
      <c r="DTD100" s="5">
        <v>14.5</v>
      </c>
      <c r="DTE100" s="5">
        <v>226</v>
      </c>
      <c r="DTF100" s="5">
        <v>250</v>
      </c>
      <c r="DTG100" s="6">
        <v>44102</v>
      </c>
      <c r="DTI100" s="5" t="s">
        <v>67</v>
      </c>
      <c r="DTJ100" s="6">
        <v>44102</v>
      </c>
      <c r="DTK100" s="7">
        <v>0.4</v>
      </c>
      <c r="DTL100" s="5">
        <v>14.5</v>
      </c>
      <c r="DTM100" s="5">
        <v>226</v>
      </c>
      <c r="DTN100" s="5">
        <v>250</v>
      </c>
      <c r="DTO100" s="6">
        <v>44102</v>
      </c>
      <c r="DTQ100" s="5" t="s">
        <v>67</v>
      </c>
      <c r="DTR100" s="6">
        <v>44102</v>
      </c>
      <c r="DTS100" s="7">
        <v>0.4</v>
      </c>
      <c r="DTT100" s="5">
        <v>14.5</v>
      </c>
      <c r="DTU100" s="5">
        <v>226</v>
      </c>
      <c r="DTV100" s="5">
        <v>250</v>
      </c>
      <c r="DTW100" s="6">
        <v>44102</v>
      </c>
      <c r="DTY100" s="5" t="s">
        <v>67</v>
      </c>
      <c r="DTZ100" s="6">
        <v>44102</v>
      </c>
      <c r="DUA100" s="7">
        <v>0.4</v>
      </c>
      <c r="DUB100" s="5">
        <v>14.5</v>
      </c>
      <c r="DUC100" s="5">
        <v>226</v>
      </c>
      <c r="DUD100" s="5">
        <v>250</v>
      </c>
      <c r="DUE100" s="6">
        <v>44102</v>
      </c>
      <c r="DUG100" s="5" t="s">
        <v>67</v>
      </c>
      <c r="DUH100" s="6">
        <v>44102</v>
      </c>
      <c r="DUI100" s="7">
        <v>0.4</v>
      </c>
      <c r="DUJ100" s="5">
        <v>14.5</v>
      </c>
      <c r="DUK100" s="5">
        <v>226</v>
      </c>
      <c r="DUL100" s="5">
        <v>250</v>
      </c>
      <c r="DUM100" s="6">
        <v>44102</v>
      </c>
      <c r="DUO100" s="5" t="s">
        <v>67</v>
      </c>
      <c r="DUP100" s="6">
        <v>44102</v>
      </c>
      <c r="DUQ100" s="7">
        <v>0.4</v>
      </c>
      <c r="DUR100" s="5">
        <v>14.5</v>
      </c>
      <c r="DUS100" s="5">
        <v>226</v>
      </c>
      <c r="DUT100" s="5">
        <v>250</v>
      </c>
      <c r="DUU100" s="6">
        <v>44102</v>
      </c>
      <c r="DUW100" s="5" t="s">
        <v>67</v>
      </c>
      <c r="DUX100" s="6">
        <v>44102</v>
      </c>
      <c r="DUY100" s="7">
        <v>0.4</v>
      </c>
      <c r="DUZ100" s="5">
        <v>14.5</v>
      </c>
      <c r="DVA100" s="5">
        <v>226</v>
      </c>
      <c r="DVB100" s="5">
        <v>250</v>
      </c>
      <c r="DVC100" s="6">
        <v>44102</v>
      </c>
      <c r="DVE100" s="5" t="s">
        <v>67</v>
      </c>
      <c r="DVF100" s="6">
        <v>44102</v>
      </c>
      <c r="DVG100" s="7">
        <v>0.4</v>
      </c>
      <c r="DVH100" s="5">
        <v>14.5</v>
      </c>
      <c r="DVI100" s="5">
        <v>226</v>
      </c>
      <c r="DVJ100" s="5">
        <v>250</v>
      </c>
      <c r="DVK100" s="6">
        <v>44102</v>
      </c>
      <c r="DVM100" s="5" t="s">
        <v>67</v>
      </c>
      <c r="DVN100" s="6">
        <v>44102</v>
      </c>
      <c r="DVO100" s="7">
        <v>0.4</v>
      </c>
      <c r="DVP100" s="5">
        <v>14.5</v>
      </c>
      <c r="DVQ100" s="5">
        <v>226</v>
      </c>
      <c r="DVR100" s="5">
        <v>250</v>
      </c>
      <c r="DVS100" s="6">
        <v>44102</v>
      </c>
      <c r="DVU100" s="5" t="s">
        <v>67</v>
      </c>
      <c r="DVV100" s="6">
        <v>44102</v>
      </c>
      <c r="DVW100" s="7">
        <v>0.4</v>
      </c>
      <c r="DVX100" s="5">
        <v>14.5</v>
      </c>
      <c r="DVY100" s="5">
        <v>226</v>
      </c>
      <c r="DVZ100" s="5">
        <v>250</v>
      </c>
      <c r="DWA100" s="6">
        <v>44102</v>
      </c>
      <c r="DWC100" s="5" t="s">
        <v>67</v>
      </c>
      <c r="DWD100" s="6">
        <v>44102</v>
      </c>
      <c r="DWE100" s="7">
        <v>0.4</v>
      </c>
      <c r="DWF100" s="5">
        <v>14.5</v>
      </c>
      <c r="DWG100" s="5">
        <v>226</v>
      </c>
      <c r="DWH100" s="5">
        <v>250</v>
      </c>
      <c r="DWI100" s="6">
        <v>44102</v>
      </c>
      <c r="DWK100" s="5" t="s">
        <v>67</v>
      </c>
      <c r="DWL100" s="6">
        <v>44102</v>
      </c>
      <c r="DWM100" s="7">
        <v>0.4</v>
      </c>
      <c r="DWN100" s="5">
        <v>14.5</v>
      </c>
      <c r="DWO100" s="5">
        <v>226</v>
      </c>
      <c r="DWP100" s="5">
        <v>250</v>
      </c>
      <c r="DWQ100" s="6">
        <v>44102</v>
      </c>
      <c r="DWS100" s="5" t="s">
        <v>67</v>
      </c>
      <c r="DWT100" s="6">
        <v>44102</v>
      </c>
      <c r="DWU100" s="7">
        <v>0.4</v>
      </c>
      <c r="DWV100" s="5">
        <v>14.5</v>
      </c>
      <c r="DWW100" s="5">
        <v>226</v>
      </c>
      <c r="DWX100" s="5">
        <v>250</v>
      </c>
      <c r="DWY100" s="6">
        <v>44102</v>
      </c>
      <c r="DXA100" s="5" t="s">
        <v>67</v>
      </c>
      <c r="DXB100" s="6">
        <v>44102</v>
      </c>
      <c r="DXC100" s="7">
        <v>0.4</v>
      </c>
      <c r="DXD100" s="5">
        <v>14.5</v>
      </c>
      <c r="DXE100" s="5">
        <v>226</v>
      </c>
      <c r="DXF100" s="5">
        <v>250</v>
      </c>
      <c r="DXG100" s="6">
        <v>44102</v>
      </c>
      <c r="DXI100" s="5" t="s">
        <v>67</v>
      </c>
      <c r="DXJ100" s="6">
        <v>44102</v>
      </c>
      <c r="DXK100" s="7">
        <v>0.4</v>
      </c>
      <c r="DXL100" s="5">
        <v>14.5</v>
      </c>
      <c r="DXM100" s="5">
        <v>226</v>
      </c>
      <c r="DXN100" s="5">
        <v>250</v>
      </c>
      <c r="DXO100" s="6">
        <v>44102</v>
      </c>
      <c r="DXQ100" s="5" t="s">
        <v>67</v>
      </c>
      <c r="DXR100" s="6">
        <v>44102</v>
      </c>
      <c r="DXS100" s="7">
        <v>0.4</v>
      </c>
      <c r="DXT100" s="5">
        <v>14.5</v>
      </c>
      <c r="DXU100" s="5">
        <v>226</v>
      </c>
      <c r="DXV100" s="5">
        <v>250</v>
      </c>
      <c r="DXW100" s="6">
        <v>44102</v>
      </c>
      <c r="DXY100" s="5" t="s">
        <v>67</v>
      </c>
      <c r="DXZ100" s="6">
        <v>44102</v>
      </c>
      <c r="DYA100" s="7">
        <v>0.4</v>
      </c>
      <c r="DYB100" s="5">
        <v>14.5</v>
      </c>
      <c r="DYC100" s="5">
        <v>226</v>
      </c>
      <c r="DYD100" s="5">
        <v>250</v>
      </c>
      <c r="DYE100" s="6">
        <v>44102</v>
      </c>
      <c r="DYG100" s="5" t="s">
        <v>67</v>
      </c>
      <c r="DYH100" s="6">
        <v>44102</v>
      </c>
      <c r="DYI100" s="7">
        <v>0.4</v>
      </c>
      <c r="DYJ100" s="5">
        <v>14.5</v>
      </c>
      <c r="DYK100" s="5">
        <v>226</v>
      </c>
      <c r="DYL100" s="5">
        <v>250</v>
      </c>
      <c r="DYM100" s="6">
        <v>44102</v>
      </c>
      <c r="DYO100" s="5" t="s">
        <v>67</v>
      </c>
      <c r="DYP100" s="6">
        <v>44102</v>
      </c>
      <c r="DYQ100" s="7">
        <v>0.4</v>
      </c>
      <c r="DYR100" s="5">
        <v>14.5</v>
      </c>
      <c r="DYS100" s="5">
        <v>226</v>
      </c>
      <c r="DYT100" s="5">
        <v>250</v>
      </c>
      <c r="DYU100" s="6">
        <v>44102</v>
      </c>
      <c r="DYW100" s="5" t="s">
        <v>67</v>
      </c>
      <c r="DYX100" s="6">
        <v>44102</v>
      </c>
      <c r="DYY100" s="7">
        <v>0.4</v>
      </c>
      <c r="DYZ100" s="5">
        <v>14.5</v>
      </c>
      <c r="DZA100" s="5">
        <v>226</v>
      </c>
      <c r="DZB100" s="5">
        <v>250</v>
      </c>
      <c r="DZC100" s="6">
        <v>44102</v>
      </c>
      <c r="DZE100" s="5" t="s">
        <v>67</v>
      </c>
      <c r="DZF100" s="6">
        <v>44102</v>
      </c>
      <c r="DZG100" s="7">
        <v>0.4</v>
      </c>
      <c r="DZH100" s="5">
        <v>14.5</v>
      </c>
      <c r="DZI100" s="5">
        <v>226</v>
      </c>
      <c r="DZJ100" s="5">
        <v>250</v>
      </c>
      <c r="DZK100" s="6">
        <v>44102</v>
      </c>
      <c r="DZM100" s="5" t="s">
        <v>67</v>
      </c>
      <c r="DZN100" s="6">
        <v>44102</v>
      </c>
      <c r="DZO100" s="7">
        <v>0.4</v>
      </c>
      <c r="DZP100" s="5">
        <v>14.5</v>
      </c>
      <c r="DZQ100" s="5">
        <v>226</v>
      </c>
      <c r="DZR100" s="5">
        <v>250</v>
      </c>
      <c r="DZS100" s="6">
        <v>44102</v>
      </c>
      <c r="DZU100" s="5" t="s">
        <v>67</v>
      </c>
      <c r="DZV100" s="6">
        <v>44102</v>
      </c>
      <c r="DZW100" s="7">
        <v>0.4</v>
      </c>
      <c r="DZX100" s="5">
        <v>14.5</v>
      </c>
      <c r="DZY100" s="5">
        <v>226</v>
      </c>
      <c r="DZZ100" s="5">
        <v>250</v>
      </c>
      <c r="EAA100" s="6">
        <v>44102</v>
      </c>
      <c r="EAC100" s="5" t="s">
        <v>67</v>
      </c>
      <c r="EAD100" s="6">
        <v>44102</v>
      </c>
      <c r="EAE100" s="7">
        <v>0.4</v>
      </c>
      <c r="EAF100" s="5">
        <v>14.5</v>
      </c>
      <c r="EAG100" s="5">
        <v>226</v>
      </c>
      <c r="EAH100" s="5">
        <v>250</v>
      </c>
      <c r="EAI100" s="6">
        <v>44102</v>
      </c>
      <c r="EAK100" s="5" t="s">
        <v>67</v>
      </c>
      <c r="EAL100" s="6">
        <v>44102</v>
      </c>
      <c r="EAM100" s="7">
        <v>0.4</v>
      </c>
      <c r="EAN100" s="5">
        <v>14.5</v>
      </c>
      <c r="EAO100" s="5">
        <v>226</v>
      </c>
      <c r="EAP100" s="5">
        <v>250</v>
      </c>
      <c r="EAQ100" s="6">
        <v>44102</v>
      </c>
      <c r="EAS100" s="5" t="s">
        <v>67</v>
      </c>
      <c r="EAT100" s="6">
        <v>44102</v>
      </c>
      <c r="EAU100" s="7">
        <v>0.4</v>
      </c>
      <c r="EAV100" s="5">
        <v>14.5</v>
      </c>
      <c r="EAW100" s="5">
        <v>226</v>
      </c>
      <c r="EAX100" s="5">
        <v>250</v>
      </c>
      <c r="EAY100" s="6">
        <v>44102</v>
      </c>
      <c r="EBA100" s="5" t="s">
        <v>67</v>
      </c>
      <c r="EBB100" s="6">
        <v>44102</v>
      </c>
      <c r="EBC100" s="7">
        <v>0.4</v>
      </c>
      <c r="EBD100" s="5">
        <v>14.5</v>
      </c>
      <c r="EBE100" s="5">
        <v>226</v>
      </c>
      <c r="EBF100" s="5">
        <v>250</v>
      </c>
      <c r="EBG100" s="6">
        <v>44102</v>
      </c>
      <c r="EBI100" s="5" t="s">
        <v>67</v>
      </c>
      <c r="EBJ100" s="6">
        <v>44102</v>
      </c>
      <c r="EBK100" s="7">
        <v>0.4</v>
      </c>
      <c r="EBL100" s="5">
        <v>14.5</v>
      </c>
      <c r="EBM100" s="5">
        <v>226</v>
      </c>
      <c r="EBN100" s="5">
        <v>250</v>
      </c>
      <c r="EBO100" s="6">
        <v>44102</v>
      </c>
      <c r="EBQ100" s="5" t="s">
        <v>67</v>
      </c>
      <c r="EBR100" s="6">
        <v>44102</v>
      </c>
      <c r="EBS100" s="7">
        <v>0.4</v>
      </c>
      <c r="EBT100" s="5">
        <v>14.5</v>
      </c>
      <c r="EBU100" s="5">
        <v>226</v>
      </c>
      <c r="EBV100" s="5">
        <v>250</v>
      </c>
      <c r="EBW100" s="6">
        <v>44102</v>
      </c>
      <c r="EBY100" s="5" t="s">
        <v>67</v>
      </c>
      <c r="EBZ100" s="6">
        <v>44102</v>
      </c>
      <c r="ECA100" s="7">
        <v>0.4</v>
      </c>
      <c r="ECB100" s="5">
        <v>14.5</v>
      </c>
      <c r="ECC100" s="5">
        <v>226</v>
      </c>
      <c r="ECD100" s="5">
        <v>250</v>
      </c>
      <c r="ECE100" s="6">
        <v>44102</v>
      </c>
      <c r="ECG100" s="5" t="s">
        <v>67</v>
      </c>
      <c r="ECH100" s="6">
        <v>44102</v>
      </c>
      <c r="ECI100" s="7">
        <v>0.4</v>
      </c>
      <c r="ECJ100" s="5">
        <v>14.5</v>
      </c>
      <c r="ECK100" s="5">
        <v>226</v>
      </c>
      <c r="ECL100" s="5">
        <v>250</v>
      </c>
      <c r="ECM100" s="6">
        <v>44102</v>
      </c>
      <c r="ECO100" s="5" t="s">
        <v>67</v>
      </c>
      <c r="ECP100" s="6">
        <v>44102</v>
      </c>
      <c r="ECQ100" s="7">
        <v>0.4</v>
      </c>
      <c r="ECR100" s="5">
        <v>14.5</v>
      </c>
      <c r="ECS100" s="5">
        <v>226</v>
      </c>
      <c r="ECT100" s="5">
        <v>250</v>
      </c>
      <c r="ECU100" s="6">
        <v>44102</v>
      </c>
      <c r="ECW100" s="5" t="s">
        <v>67</v>
      </c>
      <c r="ECX100" s="6">
        <v>44102</v>
      </c>
      <c r="ECY100" s="7">
        <v>0.4</v>
      </c>
      <c r="ECZ100" s="5">
        <v>14.5</v>
      </c>
      <c r="EDA100" s="5">
        <v>226</v>
      </c>
      <c r="EDB100" s="5">
        <v>250</v>
      </c>
      <c r="EDC100" s="6">
        <v>44102</v>
      </c>
      <c r="EDE100" s="5" t="s">
        <v>67</v>
      </c>
      <c r="EDF100" s="6">
        <v>44102</v>
      </c>
      <c r="EDG100" s="7">
        <v>0.4</v>
      </c>
      <c r="EDH100" s="5">
        <v>14.5</v>
      </c>
      <c r="EDI100" s="5">
        <v>226</v>
      </c>
      <c r="EDJ100" s="5">
        <v>250</v>
      </c>
      <c r="EDK100" s="6">
        <v>44102</v>
      </c>
      <c r="EDM100" s="5" t="s">
        <v>67</v>
      </c>
      <c r="EDN100" s="6">
        <v>44102</v>
      </c>
      <c r="EDO100" s="7">
        <v>0.4</v>
      </c>
      <c r="EDP100" s="5">
        <v>14.5</v>
      </c>
      <c r="EDQ100" s="5">
        <v>226</v>
      </c>
      <c r="EDR100" s="5">
        <v>250</v>
      </c>
      <c r="EDS100" s="6">
        <v>44102</v>
      </c>
      <c r="EDU100" s="5" t="s">
        <v>67</v>
      </c>
      <c r="EDV100" s="6">
        <v>44102</v>
      </c>
      <c r="EDW100" s="7">
        <v>0.4</v>
      </c>
      <c r="EDX100" s="5">
        <v>14.5</v>
      </c>
      <c r="EDY100" s="5">
        <v>226</v>
      </c>
      <c r="EDZ100" s="5">
        <v>250</v>
      </c>
      <c r="EEA100" s="6">
        <v>44102</v>
      </c>
      <c r="EEC100" s="5" t="s">
        <v>67</v>
      </c>
      <c r="EED100" s="6">
        <v>44102</v>
      </c>
      <c r="EEE100" s="7">
        <v>0.4</v>
      </c>
      <c r="EEF100" s="5">
        <v>14.5</v>
      </c>
      <c r="EEG100" s="5">
        <v>226</v>
      </c>
      <c r="EEH100" s="5">
        <v>250</v>
      </c>
      <c r="EEI100" s="6">
        <v>44102</v>
      </c>
      <c r="EEK100" s="5" t="s">
        <v>67</v>
      </c>
      <c r="EEL100" s="6">
        <v>44102</v>
      </c>
      <c r="EEM100" s="7">
        <v>0.4</v>
      </c>
      <c r="EEN100" s="5">
        <v>14.5</v>
      </c>
      <c r="EEO100" s="5">
        <v>226</v>
      </c>
      <c r="EEP100" s="5">
        <v>250</v>
      </c>
      <c r="EEQ100" s="6">
        <v>44102</v>
      </c>
      <c r="EES100" s="5" t="s">
        <v>67</v>
      </c>
      <c r="EET100" s="6">
        <v>44102</v>
      </c>
      <c r="EEU100" s="7">
        <v>0.4</v>
      </c>
      <c r="EEV100" s="5">
        <v>14.5</v>
      </c>
      <c r="EEW100" s="5">
        <v>226</v>
      </c>
      <c r="EEX100" s="5">
        <v>250</v>
      </c>
      <c r="EEY100" s="6">
        <v>44102</v>
      </c>
      <c r="EFA100" s="5" t="s">
        <v>67</v>
      </c>
      <c r="EFB100" s="6">
        <v>44102</v>
      </c>
      <c r="EFC100" s="7">
        <v>0.4</v>
      </c>
      <c r="EFD100" s="5">
        <v>14.5</v>
      </c>
      <c r="EFE100" s="5">
        <v>226</v>
      </c>
      <c r="EFF100" s="5">
        <v>250</v>
      </c>
      <c r="EFG100" s="6">
        <v>44102</v>
      </c>
      <c r="EFI100" s="5" t="s">
        <v>67</v>
      </c>
      <c r="EFJ100" s="6">
        <v>44102</v>
      </c>
      <c r="EFK100" s="7">
        <v>0.4</v>
      </c>
      <c r="EFL100" s="5">
        <v>14.5</v>
      </c>
      <c r="EFM100" s="5">
        <v>226</v>
      </c>
      <c r="EFN100" s="5">
        <v>250</v>
      </c>
      <c r="EFO100" s="6">
        <v>44102</v>
      </c>
      <c r="EFQ100" s="5" t="s">
        <v>67</v>
      </c>
      <c r="EFR100" s="6">
        <v>44102</v>
      </c>
      <c r="EFS100" s="7">
        <v>0.4</v>
      </c>
      <c r="EFT100" s="5">
        <v>14.5</v>
      </c>
      <c r="EFU100" s="5">
        <v>226</v>
      </c>
      <c r="EFV100" s="5">
        <v>250</v>
      </c>
      <c r="EFW100" s="6">
        <v>44102</v>
      </c>
      <c r="EFY100" s="5" t="s">
        <v>67</v>
      </c>
      <c r="EFZ100" s="6">
        <v>44102</v>
      </c>
      <c r="EGA100" s="7">
        <v>0.4</v>
      </c>
      <c r="EGB100" s="5">
        <v>14.5</v>
      </c>
      <c r="EGC100" s="5">
        <v>226</v>
      </c>
      <c r="EGD100" s="5">
        <v>250</v>
      </c>
      <c r="EGE100" s="6">
        <v>44102</v>
      </c>
      <c r="EGG100" s="5" t="s">
        <v>67</v>
      </c>
      <c r="EGH100" s="6">
        <v>44102</v>
      </c>
      <c r="EGI100" s="7">
        <v>0.4</v>
      </c>
      <c r="EGJ100" s="5">
        <v>14.5</v>
      </c>
      <c r="EGK100" s="5">
        <v>226</v>
      </c>
      <c r="EGL100" s="5">
        <v>250</v>
      </c>
      <c r="EGM100" s="6">
        <v>44102</v>
      </c>
      <c r="EGO100" s="5" t="s">
        <v>67</v>
      </c>
      <c r="EGP100" s="6">
        <v>44102</v>
      </c>
      <c r="EGQ100" s="7">
        <v>0.4</v>
      </c>
      <c r="EGR100" s="5">
        <v>14.5</v>
      </c>
      <c r="EGS100" s="5">
        <v>226</v>
      </c>
      <c r="EGT100" s="5">
        <v>250</v>
      </c>
      <c r="EGU100" s="6">
        <v>44102</v>
      </c>
      <c r="EGW100" s="5" t="s">
        <v>67</v>
      </c>
      <c r="EGX100" s="6">
        <v>44102</v>
      </c>
      <c r="EGY100" s="7">
        <v>0.4</v>
      </c>
      <c r="EGZ100" s="5">
        <v>14.5</v>
      </c>
      <c r="EHA100" s="5">
        <v>226</v>
      </c>
      <c r="EHB100" s="5">
        <v>250</v>
      </c>
      <c r="EHC100" s="6">
        <v>44102</v>
      </c>
      <c r="EHE100" s="5" t="s">
        <v>67</v>
      </c>
      <c r="EHF100" s="6">
        <v>44102</v>
      </c>
      <c r="EHG100" s="7">
        <v>0.4</v>
      </c>
      <c r="EHH100" s="5">
        <v>14.5</v>
      </c>
      <c r="EHI100" s="5">
        <v>226</v>
      </c>
      <c r="EHJ100" s="5">
        <v>250</v>
      </c>
      <c r="EHK100" s="6">
        <v>44102</v>
      </c>
      <c r="EHM100" s="5" t="s">
        <v>67</v>
      </c>
      <c r="EHN100" s="6">
        <v>44102</v>
      </c>
      <c r="EHO100" s="7">
        <v>0.4</v>
      </c>
      <c r="EHP100" s="5">
        <v>14.5</v>
      </c>
      <c r="EHQ100" s="5">
        <v>226</v>
      </c>
      <c r="EHR100" s="5">
        <v>250</v>
      </c>
      <c r="EHS100" s="6">
        <v>44102</v>
      </c>
      <c r="EHU100" s="5" t="s">
        <v>67</v>
      </c>
      <c r="EHV100" s="6">
        <v>44102</v>
      </c>
      <c r="EHW100" s="7">
        <v>0.4</v>
      </c>
      <c r="EHX100" s="5">
        <v>14.5</v>
      </c>
      <c r="EHY100" s="5">
        <v>226</v>
      </c>
      <c r="EHZ100" s="5">
        <v>250</v>
      </c>
      <c r="EIA100" s="6">
        <v>44102</v>
      </c>
      <c r="EIC100" s="5" t="s">
        <v>67</v>
      </c>
      <c r="EID100" s="6">
        <v>44102</v>
      </c>
      <c r="EIE100" s="7">
        <v>0.4</v>
      </c>
      <c r="EIF100" s="5">
        <v>14.5</v>
      </c>
      <c r="EIG100" s="5">
        <v>226</v>
      </c>
      <c r="EIH100" s="5">
        <v>250</v>
      </c>
      <c r="EII100" s="6">
        <v>44102</v>
      </c>
      <c r="EIK100" s="5" t="s">
        <v>67</v>
      </c>
      <c r="EIL100" s="6">
        <v>44102</v>
      </c>
      <c r="EIM100" s="7">
        <v>0.4</v>
      </c>
      <c r="EIN100" s="5">
        <v>14.5</v>
      </c>
      <c r="EIO100" s="5">
        <v>226</v>
      </c>
      <c r="EIP100" s="5">
        <v>250</v>
      </c>
      <c r="EIQ100" s="6">
        <v>44102</v>
      </c>
      <c r="EIS100" s="5" t="s">
        <v>67</v>
      </c>
      <c r="EIT100" s="6">
        <v>44102</v>
      </c>
      <c r="EIU100" s="7">
        <v>0.4</v>
      </c>
      <c r="EIV100" s="5">
        <v>14.5</v>
      </c>
      <c r="EIW100" s="5">
        <v>226</v>
      </c>
      <c r="EIX100" s="5">
        <v>250</v>
      </c>
      <c r="EIY100" s="6">
        <v>44102</v>
      </c>
      <c r="EJA100" s="5" t="s">
        <v>67</v>
      </c>
      <c r="EJB100" s="6">
        <v>44102</v>
      </c>
      <c r="EJC100" s="7">
        <v>0.4</v>
      </c>
      <c r="EJD100" s="5">
        <v>14.5</v>
      </c>
      <c r="EJE100" s="5">
        <v>226</v>
      </c>
      <c r="EJF100" s="5">
        <v>250</v>
      </c>
      <c r="EJG100" s="6">
        <v>44102</v>
      </c>
      <c r="EJI100" s="5" t="s">
        <v>67</v>
      </c>
      <c r="EJJ100" s="6">
        <v>44102</v>
      </c>
      <c r="EJK100" s="7">
        <v>0.4</v>
      </c>
      <c r="EJL100" s="5">
        <v>14.5</v>
      </c>
      <c r="EJM100" s="5">
        <v>226</v>
      </c>
      <c r="EJN100" s="5">
        <v>250</v>
      </c>
      <c r="EJO100" s="6">
        <v>44102</v>
      </c>
      <c r="EJQ100" s="5" t="s">
        <v>67</v>
      </c>
      <c r="EJR100" s="6">
        <v>44102</v>
      </c>
      <c r="EJS100" s="7">
        <v>0.4</v>
      </c>
      <c r="EJT100" s="5">
        <v>14.5</v>
      </c>
      <c r="EJU100" s="5">
        <v>226</v>
      </c>
      <c r="EJV100" s="5">
        <v>250</v>
      </c>
      <c r="EJW100" s="6">
        <v>44102</v>
      </c>
      <c r="EJY100" s="5" t="s">
        <v>67</v>
      </c>
      <c r="EJZ100" s="6">
        <v>44102</v>
      </c>
      <c r="EKA100" s="7">
        <v>0.4</v>
      </c>
      <c r="EKB100" s="5">
        <v>14.5</v>
      </c>
      <c r="EKC100" s="5">
        <v>226</v>
      </c>
      <c r="EKD100" s="5">
        <v>250</v>
      </c>
      <c r="EKE100" s="6">
        <v>44102</v>
      </c>
      <c r="EKG100" s="5" t="s">
        <v>67</v>
      </c>
      <c r="EKH100" s="6">
        <v>44102</v>
      </c>
      <c r="EKI100" s="7">
        <v>0.4</v>
      </c>
      <c r="EKJ100" s="5">
        <v>14.5</v>
      </c>
      <c r="EKK100" s="5">
        <v>226</v>
      </c>
      <c r="EKL100" s="5">
        <v>250</v>
      </c>
      <c r="EKM100" s="6">
        <v>44102</v>
      </c>
      <c r="EKO100" s="5" t="s">
        <v>67</v>
      </c>
      <c r="EKP100" s="6">
        <v>44102</v>
      </c>
      <c r="EKQ100" s="7">
        <v>0.4</v>
      </c>
      <c r="EKR100" s="5">
        <v>14.5</v>
      </c>
      <c r="EKS100" s="5">
        <v>226</v>
      </c>
      <c r="EKT100" s="5">
        <v>250</v>
      </c>
      <c r="EKU100" s="6">
        <v>44102</v>
      </c>
      <c r="EKW100" s="5" t="s">
        <v>67</v>
      </c>
      <c r="EKX100" s="6">
        <v>44102</v>
      </c>
      <c r="EKY100" s="7">
        <v>0.4</v>
      </c>
      <c r="EKZ100" s="5">
        <v>14.5</v>
      </c>
      <c r="ELA100" s="5">
        <v>226</v>
      </c>
      <c r="ELB100" s="5">
        <v>250</v>
      </c>
      <c r="ELC100" s="6">
        <v>44102</v>
      </c>
      <c r="ELE100" s="5" t="s">
        <v>67</v>
      </c>
      <c r="ELF100" s="6">
        <v>44102</v>
      </c>
      <c r="ELG100" s="7">
        <v>0.4</v>
      </c>
      <c r="ELH100" s="5">
        <v>14.5</v>
      </c>
      <c r="ELI100" s="5">
        <v>226</v>
      </c>
      <c r="ELJ100" s="5">
        <v>250</v>
      </c>
      <c r="ELK100" s="6">
        <v>44102</v>
      </c>
      <c r="ELM100" s="5" t="s">
        <v>67</v>
      </c>
      <c r="ELN100" s="6">
        <v>44102</v>
      </c>
      <c r="ELO100" s="7">
        <v>0.4</v>
      </c>
      <c r="ELP100" s="5">
        <v>14.5</v>
      </c>
      <c r="ELQ100" s="5">
        <v>226</v>
      </c>
      <c r="ELR100" s="5">
        <v>250</v>
      </c>
      <c r="ELS100" s="6">
        <v>44102</v>
      </c>
      <c r="ELU100" s="5" t="s">
        <v>67</v>
      </c>
      <c r="ELV100" s="6">
        <v>44102</v>
      </c>
      <c r="ELW100" s="7">
        <v>0.4</v>
      </c>
      <c r="ELX100" s="5">
        <v>14.5</v>
      </c>
      <c r="ELY100" s="5">
        <v>226</v>
      </c>
      <c r="ELZ100" s="5">
        <v>250</v>
      </c>
      <c r="EMA100" s="6">
        <v>44102</v>
      </c>
      <c r="EMC100" s="5" t="s">
        <v>67</v>
      </c>
      <c r="EMD100" s="6">
        <v>44102</v>
      </c>
      <c r="EME100" s="7">
        <v>0.4</v>
      </c>
      <c r="EMF100" s="5">
        <v>14.5</v>
      </c>
      <c r="EMG100" s="5">
        <v>226</v>
      </c>
      <c r="EMH100" s="5">
        <v>250</v>
      </c>
      <c r="EMI100" s="6">
        <v>44102</v>
      </c>
      <c r="EMK100" s="5" t="s">
        <v>67</v>
      </c>
      <c r="EML100" s="6">
        <v>44102</v>
      </c>
      <c r="EMM100" s="7">
        <v>0.4</v>
      </c>
      <c r="EMN100" s="5">
        <v>14.5</v>
      </c>
      <c r="EMO100" s="5">
        <v>226</v>
      </c>
      <c r="EMP100" s="5">
        <v>250</v>
      </c>
      <c r="EMQ100" s="6">
        <v>44102</v>
      </c>
      <c r="EMS100" s="5" t="s">
        <v>67</v>
      </c>
      <c r="EMT100" s="6">
        <v>44102</v>
      </c>
      <c r="EMU100" s="7">
        <v>0.4</v>
      </c>
      <c r="EMV100" s="5">
        <v>14.5</v>
      </c>
      <c r="EMW100" s="5">
        <v>226</v>
      </c>
      <c r="EMX100" s="5">
        <v>250</v>
      </c>
      <c r="EMY100" s="6">
        <v>44102</v>
      </c>
      <c r="ENA100" s="5" t="s">
        <v>67</v>
      </c>
      <c r="ENB100" s="6">
        <v>44102</v>
      </c>
      <c r="ENC100" s="7">
        <v>0.4</v>
      </c>
      <c r="END100" s="5">
        <v>14.5</v>
      </c>
      <c r="ENE100" s="5">
        <v>226</v>
      </c>
      <c r="ENF100" s="5">
        <v>250</v>
      </c>
      <c r="ENG100" s="6">
        <v>44102</v>
      </c>
      <c r="ENI100" s="5" t="s">
        <v>67</v>
      </c>
      <c r="ENJ100" s="6">
        <v>44102</v>
      </c>
      <c r="ENK100" s="7">
        <v>0.4</v>
      </c>
      <c r="ENL100" s="5">
        <v>14.5</v>
      </c>
      <c r="ENM100" s="5">
        <v>226</v>
      </c>
      <c r="ENN100" s="5">
        <v>250</v>
      </c>
      <c r="ENO100" s="6">
        <v>44102</v>
      </c>
      <c r="ENQ100" s="5" t="s">
        <v>67</v>
      </c>
      <c r="ENR100" s="6">
        <v>44102</v>
      </c>
      <c r="ENS100" s="7">
        <v>0.4</v>
      </c>
      <c r="ENT100" s="5">
        <v>14.5</v>
      </c>
      <c r="ENU100" s="5">
        <v>226</v>
      </c>
      <c r="ENV100" s="5">
        <v>250</v>
      </c>
      <c r="ENW100" s="6">
        <v>44102</v>
      </c>
      <c r="ENY100" s="5" t="s">
        <v>67</v>
      </c>
      <c r="ENZ100" s="6">
        <v>44102</v>
      </c>
      <c r="EOA100" s="7">
        <v>0.4</v>
      </c>
      <c r="EOB100" s="5">
        <v>14.5</v>
      </c>
      <c r="EOC100" s="5">
        <v>226</v>
      </c>
      <c r="EOD100" s="5">
        <v>250</v>
      </c>
      <c r="EOE100" s="6">
        <v>44102</v>
      </c>
      <c r="EOG100" s="5" t="s">
        <v>67</v>
      </c>
      <c r="EOH100" s="6">
        <v>44102</v>
      </c>
      <c r="EOI100" s="7">
        <v>0.4</v>
      </c>
      <c r="EOJ100" s="5">
        <v>14.5</v>
      </c>
      <c r="EOK100" s="5">
        <v>226</v>
      </c>
      <c r="EOL100" s="5">
        <v>250</v>
      </c>
      <c r="EOM100" s="6">
        <v>44102</v>
      </c>
      <c r="EOO100" s="5" t="s">
        <v>67</v>
      </c>
      <c r="EOP100" s="6">
        <v>44102</v>
      </c>
      <c r="EOQ100" s="7">
        <v>0.4</v>
      </c>
      <c r="EOR100" s="5">
        <v>14.5</v>
      </c>
      <c r="EOS100" s="5">
        <v>226</v>
      </c>
      <c r="EOT100" s="5">
        <v>250</v>
      </c>
      <c r="EOU100" s="6">
        <v>44102</v>
      </c>
      <c r="EOW100" s="5" t="s">
        <v>67</v>
      </c>
      <c r="EOX100" s="6">
        <v>44102</v>
      </c>
      <c r="EOY100" s="7">
        <v>0.4</v>
      </c>
      <c r="EOZ100" s="5">
        <v>14.5</v>
      </c>
      <c r="EPA100" s="5">
        <v>226</v>
      </c>
      <c r="EPB100" s="5">
        <v>250</v>
      </c>
      <c r="EPC100" s="6">
        <v>44102</v>
      </c>
      <c r="EPE100" s="5" t="s">
        <v>67</v>
      </c>
      <c r="EPF100" s="6">
        <v>44102</v>
      </c>
      <c r="EPG100" s="7">
        <v>0.4</v>
      </c>
      <c r="EPH100" s="5">
        <v>14.5</v>
      </c>
      <c r="EPI100" s="5">
        <v>226</v>
      </c>
      <c r="EPJ100" s="5">
        <v>250</v>
      </c>
      <c r="EPK100" s="6">
        <v>44102</v>
      </c>
      <c r="EPM100" s="5" t="s">
        <v>67</v>
      </c>
      <c r="EPN100" s="6">
        <v>44102</v>
      </c>
      <c r="EPO100" s="7">
        <v>0.4</v>
      </c>
      <c r="EPP100" s="5">
        <v>14.5</v>
      </c>
      <c r="EPQ100" s="5">
        <v>226</v>
      </c>
      <c r="EPR100" s="5">
        <v>250</v>
      </c>
      <c r="EPS100" s="6">
        <v>44102</v>
      </c>
      <c r="EPU100" s="5" t="s">
        <v>67</v>
      </c>
      <c r="EPV100" s="6">
        <v>44102</v>
      </c>
      <c r="EPW100" s="7">
        <v>0.4</v>
      </c>
      <c r="EPX100" s="5">
        <v>14.5</v>
      </c>
      <c r="EPY100" s="5">
        <v>226</v>
      </c>
      <c r="EPZ100" s="5">
        <v>250</v>
      </c>
      <c r="EQA100" s="6">
        <v>44102</v>
      </c>
      <c r="EQC100" s="5" t="s">
        <v>67</v>
      </c>
      <c r="EQD100" s="6">
        <v>44102</v>
      </c>
      <c r="EQE100" s="7">
        <v>0.4</v>
      </c>
      <c r="EQF100" s="5">
        <v>14.5</v>
      </c>
      <c r="EQG100" s="5">
        <v>226</v>
      </c>
      <c r="EQH100" s="5">
        <v>250</v>
      </c>
      <c r="EQI100" s="6">
        <v>44102</v>
      </c>
      <c r="EQK100" s="5" t="s">
        <v>67</v>
      </c>
      <c r="EQL100" s="6">
        <v>44102</v>
      </c>
      <c r="EQM100" s="7">
        <v>0.4</v>
      </c>
      <c r="EQN100" s="5">
        <v>14.5</v>
      </c>
      <c r="EQO100" s="5">
        <v>226</v>
      </c>
      <c r="EQP100" s="5">
        <v>250</v>
      </c>
      <c r="EQQ100" s="6">
        <v>44102</v>
      </c>
      <c r="EQS100" s="5" t="s">
        <v>67</v>
      </c>
      <c r="EQT100" s="6">
        <v>44102</v>
      </c>
      <c r="EQU100" s="7">
        <v>0.4</v>
      </c>
      <c r="EQV100" s="5">
        <v>14.5</v>
      </c>
      <c r="EQW100" s="5">
        <v>226</v>
      </c>
      <c r="EQX100" s="5">
        <v>250</v>
      </c>
      <c r="EQY100" s="6">
        <v>44102</v>
      </c>
      <c r="ERA100" s="5" t="s">
        <v>67</v>
      </c>
      <c r="ERB100" s="6">
        <v>44102</v>
      </c>
      <c r="ERC100" s="7">
        <v>0.4</v>
      </c>
      <c r="ERD100" s="5">
        <v>14.5</v>
      </c>
      <c r="ERE100" s="5">
        <v>226</v>
      </c>
      <c r="ERF100" s="5">
        <v>250</v>
      </c>
      <c r="ERG100" s="6">
        <v>44102</v>
      </c>
      <c r="ERI100" s="5" t="s">
        <v>67</v>
      </c>
      <c r="ERJ100" s="6">
        <v>44102</v>
      </c>
      <c r="ERK100" s="7">
        <v>0.4</v>
      </c>
      <c r="ERL100" s="5">
        <v>14.5</v>
      </c>
      <c r="ERM100" s="5">
        <v>226</v>
      </c>
      <c r="ERN100" s="5">
        <v>250</v>
      </c>
      <c r="ERO100" s="6">
        <v>44102</v>
      </c>
      <c r="ERQ100" s="5" t="s">
        <v>67</v>
      </c>
      <c r="ERR100" s="6">
        <v>44102</v>
      </c>
      <c r="ERS100" s="7">
        <v>0.4</v>
      </c>
      <c r="ERT100" s="5">
        <v>14.5</v>
      </c>
      <c r="ERU100" s="5">
        <v>226</v>
      </c>
      <c r="ERV100" s="5">
        <v>250</v>
      </c>
      <c r="ERW100" s="6">
        <v>44102</v>
      </c>
      <c r="ERY100" s="5" t="s">
        <v>67</v>
      </c>
      <c r="ERZ100" s="6">
        <v>44102</v>
      </c>
      <c r="ESA100" s="7">
        <v>0.4</v>
      </c>
      <c r="ESB100" s="5">
        <v>14.5</v>
      </c>
      <c r="ESC100" s="5">
        <v>226</v>
      </c>
      <c r="ESD100" s="5">
        <v>250</v>
      </c>
      <c r="ESE100" s="6">
        <v>44102</v>
      </c>
      <c r="ESG100" s="5" t="s">
        <v>67</v>
      </c>
      <c r="ESH100" s="6">
        <v>44102</v>
      </c>
      <c r="ESI100" s="7">
        <v>0.4</v>
      </c>
      <c r="ESJ100" s="5">
        <v>14.5</v>
      </c>
      <c r="ESK100" s="5">
        <v>226</v>
      </c>
      <c r="ESL100" s="5">
        <v>250</v>
      </c>
      <c r="ESM100" s="6">
        <v>44102</v>
      </c>
      <c r="ESO100" s="5" t="s">
        <v>67</v>
      </c>
      <c r="ESP100" s="6">
        <v>44102</v>
      </c>
      <c r="ESQ100" s="7">
        <v>0.4</v>
      </c>
      <c r="ESR100" s="5">
        <v>14.5</v>
      </c>
      <c r="ESS100" s="5">
        <v>226</v>
      </c>
      <c r="EST100" s="5">
        <v>250</v>
      </c>
      <c r="ESU100" s="6">
        <v>44102</v>
      </c>
      <c r="ESW100" s="5" t="s">
        <v>67</v>
      </c>
      <c r="ESX100" s="6">
        <v>44102</v>
      </c>
      <c r="ESY100" s="7">
        <v>0.4</v>
      </c>
      <c r="ESZ100" s="5">
        <v>14.5</v>
      </c>
      <c r="ETA100" s="5">
        <v>226</v>
      </c>
      <c r="ETB100" s="5">
        <v>250</v>
      </c>
      <c r="ETC100" s="6">
        <v>44102</v>
      </c>
      <c r="ETE100" s="5" t="s">
        <v>67</v>
      </c>
      <c r="ETF100" s="6">
        <v>44102</v>
      </c>
      <c r="ETG100" s="7">
        <v>0.4</v>
      </c>
      <c r="ETH100" s="5">
        <v>14.5</v>
      </c>
      <c r="ETI100" s="5">
        <v>226</v>
      </c>
      <c r="ETJ100" s="5">
        <v>250</v>
      </c>
      <c r="ETK100" s="6">
        <v>44102</v>
      </c>
      <c r="ETM100" s="5" t="s">
        <v>67</v>
      </c>
      <c r="ETN100" s="6">
        <v>44102</v>
      </c>
      <c r="ETO100" s="7">
        <v>0.4</v>
      </c>
      <c r="ETP100" s="5">
        <v>14.5</v>
      </c>
      <c r="ETQ100" s="5">
        <v>226</v>
      </c>
      <c r="ETR100" s="5">
        <v>250</v>
      </c>
      <c r="ETS100" s="6">
        <v>44102</v>
      </c>
      <c r="ETU100" s="5" t="s">
        <v>67</v>
      </c>
      <c r="ETV100" s="6">
        <v>44102</v>
      </c>
      <c r="ETW100" s="7">
        <v>0.4</v>
      </c>
      <c r="ETX100" s="5">
        <v>14.5</v>
      </c>
      <c r="ETY100" s="5">
        <v>226</v>
      </c>
      <c r="ETZ100" s="5">
        <v>250</v>
      </c>
      <c r="EUA100" s="6">
        <v>44102</v>
      </c>
      <c r="EUC100" s="5" t="s">
        <v>67</v>
      </c>
      <c r="EUD100" s="6">
        <v>44102</v>
      </c>
      <c r="EUE100" s="7">
        <v>0.4</v>
      </c>
      <c r="EUF100" s="5">
        <v>14.5</v>
      </c>
      <c r="EUG100" s="5">
        <v>226</v>
      </c>
      <c r="EUH100" s="5">
        <v>250</v>
      </c>
      <c r="EUI100" s="6">
        <v>44102</v>
      </c>
      <c r="EUK100" s="5" t="s">
        <v>67</v>
      </c>
      <c r="EUL100" s="6">
        <v>44102</v>
      </c>
      <c r="EUM100" s="7">
        <v>0.4</v>
      </c>
      <c r="EUN100" s="5">
        <v>14.5</v>
      </c>
      <c r="EUO100" s="5">
        <v>226</v>
      </c>
      <c r="EUP100" s="5">
        <v>250</v>
      </c>
      <c r="EUQ100" s="6">
        <v>44102</v>
      </c>
      <c r="EUS100" s="5" t="s">
        <v>67</v>
      </c>
      <c r="EUT100" s="6">
        <v>44102</v>
      </c>
      <c r="EUU100" s="7">
        <v>0.4</v>
      </c>
      <c r="EUV100" s="5">
        <v>14.5</v>
      </c>
      <c r="EUW100" s="5">
        <v>226</v>
      </c>
      <c r="EUX100" s="5">
        <v>250</v>
      </c>
      <c r="EUY100" s="6">
        <v>44102</v>
      </c>
      <c r="EVA100" s="5" t="s">
        <v>67</v>
      </c>
      <c r="EVB100" s="6">
        <v>44102</v>
      </c>
      <c r="EVC100" s="7">
        <v>0.4</v>
      </c>
      <c r="EVD100" s="5">
        <v>14.5</v>
      </c>
      <c r="EVE100" s="5">
        <v>226</v>
      </c>
      <c r="EVF100" s="5">
        <v>250</v>
      </c>
      <c r="EVG100" s="6">
        <v>44102</v>
      </c>
      <c r="EVI100" s="5" t="s">
        <v>67</v>
      </c>
      <c r="EVJ100" s="6">
        <v>44102</v>
      </c>
      <c r="EVK100" s="7">
        <v>0.4</v>
      </c>
      <c r="EVL100" s="5">
        <v>14.5</v>
      </c>
      <c r="EVM100" s="5">
        <v>226</v>
      </c>
      <c r="EVN100" s="5">
        <v>250</v>
      </c>
      <c r="EVO100" s="6">
        <v>44102</v>
      </c>
      <c r="EVQ100" s="5" t="s">
        <v>67</v>
      </c>
      <c r="EVR100" s="6">
        <v>44102</v>
      </c>
      <c r="EVS100" s="7">
        <v>0.4</v>
      </c>
      <c r="EVT100" s="5">
        <v>14.5</v>
      </c>
      <c r="EVU100" s="5">
        <v>226</v>
      </c>
      <c r="EVV100" s="5">
        <v>250</v>
      </c>
      <c r="EVW100" s="6">
        <v>44102</v>
      </c>
      <c r="EVY100" s="5" t="s">
        <v>67</v>
      </c>
      <c r="EVZ100" s="6">
        <v>44102</v>
      </c>
      <c r="EWA100" s="7">
        <v>0.4</v>
      </c>
      <c r="EWB100" s="5">
        <v>14.5</v>
      </c>
      <c r="EWC100" s="5">
        <v>226</v>
      </c>
      <c r="EWD100" s="5">
        <v>250</v>
      </c>
      <c r="EWE100" s="6">
        <v>44102</v>
      </c>
      <c r="EWG100" s="5" t="s">
        <v>67</v>
      </c>
      <c r="EWH100" s="6">
        <v>44102</v>
      </c>
      <c r="EWI100" s="7">
        <v>0.4</v>
      </c>
      <c r="EWJ100" s="5">
        <v>14.5</v>
      </c>
      <c r="EWK100" s="5">
        <v>226</v>
      </c>
      <c r="EWL100" s="5">
        <v>250</v>
      </c>
      <c r="EWM100" s="6">
        <v>44102</v>
      </c>
      <c r="EWO100" s="5" t="s">
        <v>67</v>
      </c>
      <c r="EWP100" s="6">
        <v>44102</v>
      </c>
      <c r="EWQ100" s="7">
        <v>0.4</v>
      </c>
      <c r="EWR100" s="5">
        <v>14.5</v>
      </c>
      <c r="EWS100" s="5">
        <v>226</v>
      </c>
      <c r="EWT100" s="5">
        <v>250</v>
      </c>
      <c r="EWU100" s="6">
        <v>44102</v>
      </c>
      <c r="EWW100" s="5" t="s">
        <v>67</v>
      </c>
      <c r="EWX100" s="6">
        <v>44102</v>
      </c>
      <c r="EWY100" s="7">
        <v>0.4</v>
      </c>
      <c r="EWZ100" s="5">
        <v>14.5</v>
      </c>
      <c r="EXA100" s="5">
        <v>226</v>
      </c>
      <c r="EXB100" s="5">
        <v>250</v>
      </c>
      <c r="EXC100" s="6">
        <v>44102</v>
      </c>
      <c r="EXE100" s="5" t="s">
        <v>67</v>
      </c>
      <c r="EXF100" s="6">
        <v>44102</v>
      </c>
      <c r="EXG100" s="7">
        <v>0.4</v>
      </c>
      <c r="EXH100" s="5">
        <v>14.5</v>
      </c>
      <c r="EXI100" s="5">
        <v>226</v>
      </c>
      <c r="EXJ100" s="5">
        <v>250</v>
      </c>
      <c r="EXK100" s="6">
        <v>44102</v>
      </c>
      <c r="EXM100" s="5" t="s">
        <v>67</v>
      </c>
      <c r="EXN100" s="6">
        <v>44102</v>
      </c>
      <c r="EXO100" s="7">
        <v>0.4</v>
      </c>
      <c r="EXP100" s="5">
        <v>14.5</v>
      </c>
      <c r="EXQ100" s="5">
        <v>226</v>
      </c>
      <c r="EXR100" s="5">
        <v>250</v>
      </c>
      <c r="EXS100" s="6">
        <v>44102</v>
      </c>
      <c r="EXU100" s="5" t="s">
        <v>67</v>
      </c>
      <c r="EXV100" s="6">
        <v>44102</v>
      </c>
      <c r="EXW100" s="7">
        <v>0.4</v>
      </c>
      <c r="EXX100" s="5">
        <v>14.5</v>
      </c>
      <c r="EXY100" s="5">
        <v>226</v>
      </c>
      <c r="EXZ100" s="5">
        <v>250</v>
      </c>
      <c r="EYA100" s="6">
        <v>44102</v>
      </c>
      <c r="EYC100" s="5" t="s">
        <v>67</v>
      </c>
      <c r="EYD100" s="6">
        <v>44102</v>
      </c>
      <c r="EYE100" s="7">
        <v>0.4</v>
      </c>
      <c r="EYF100" s="5">
        <v>14.5</v>
      </c>
      <c r="EYG100" s="5">
        <v>226</v>
      </c>
      <c r="EYH100" s="5">
        <v>250</v>
      </c>
      <c r="EYI100" s="6">
        <v>44102</v>
      </c>
      <c r="EYK100" s="5" t="s">
        <v>67</v>
      </c>
      <c r="EYL100" s="6">
        <v>44102</v>
      </c>
      <c r="EYM100" s="7">
        <v>0.4</v>
      </c>
      <c r="EYN100" s="5">
        <v>14.5</v>
      </c>
      <c r="EYO100" s="5">
        <v>226</v>
      </c>
      <c r="EYP100" s="5">
        <v>250</v>
      </c>
      <c r="EYQ100" s="6">
        <v>44102</v>
      </c>
      <c r="EYS100" s="5" t="s">
        <v>67</v>
      </c>
      <c r="EYT100" s="6">
        <v>44102</v>
      </c>
      <c r="EYU100" s="7">
        <v>0.4</v>
      </c>
      <c r="EYV100" s="5">
        <v>14.5</v>
      </c>
      <c r="EYW100" s="5">
        <v>226</v>
      </c>
      <c r="EYX100" s="5">
        <v>250</v>
      </c>
      <c r="EYY100" s="6">
        <v>44102</v>
      </c>
      <c r="EZA100" s="5" t="s">
        <v>67</v>
      </c>
      <c r="EZB100" s="6">
        <v>44102</v>
      </c>
      <c r="EZC100" s="7">
        <v>0.4</v>
      </c>
      <c r="EZD100" s="5">
        <v>14.5</v>
      </c>
      <c r="EZE100" s="5">
        <v>226</v>
      </c>
      <c r="EZF100" s="5">
        <v>250</v>
      </c>
      <c r="EZG100" s="6">
        <v>44102</v>
      </c>
      <c r="EZI100" s="5" t="s">
        <v>67</v>
      </c>
      <c r="EZJ100" s="6">
        <v>44102</v>
      </c>
      <c r="EZK100" s="7">
        <v>0.4</v>
      </c>
      <c r="EZL100" s="5">
        <v>14.5</v>
      </c>
      <c r="EZM100" s="5">
        <v>226</v>
      </c>
      <c r="EZN100" s="5">
        <v>250</v>
      </c>
      <c r="EZO100" s="6">
        <v>44102</v>
      </c>
      <c r="EZQ100" s="5" t="s">
        <v>67</v>
      </c>
      <c r="EZR100" s="6">
        <v>44102</v>
      </c>
      <c r="EZS100" s="7">
        <v>0.4</v>
      </c>
      <c r="EZT100" s="5">
        <v>14.5</v>
      </c>
      <c r="EZU100" s="5">
        <v>226</v>
      </c>
      <c r="EZV100" s="5">
        <v>250</v>
      </c>
      <c r="EZW100" s="6">
        <v>44102</v>
      </c>
      <c r="EZY100" s="5" t="s">
        <v>67</v>
      </c>
      <c r="EZZ100" s="6">
        <v>44102</v>
      </c>
      <c r="FAA100" s="7">
        <v>0.4</v>
      </c>
      <c r="FAB100" s="5">
        <v>14.5</v>
      </c>
      <c r="FAC100" s="5">
        <v>226</v>
      </c>
      <c r="FAD100" s="5">
        <v>250</v>
      </c>
      <c r="FAE100" s="6">
        <v>44102</v>
      </c>
      <c r="FAG100" s="5" t="s">
        <v>67</v>
      </c>
      <c r="FAH100" s="6">
        <v>44102</v>
      </c>
      <c r="FAI100" s="7">
        <v>0.4</v>
      </c>
      <c r="FAJ100" s="5">
        <v>14.5</v>
      </c>
      <c r="FAK100" s="5">
        <v>226</v>
      </c>
      <c r="FAL100" s="5">
        <v>250</v>
      </c>
      <c r="FAM100" s="6">
        <v>44102</v>
      </c>
      <c r="FAO100" s="5" t="s">
        <v>67</v>
      </c>
      <c r="FAP100" s="6">
        <v>44102</v>
      </c>
      <c r="FAQ100" s="7">
        <v>0.4</v>
      </c>
      <c r="FAR100" s="5">
        <v>14.5</v>
      </c>
      <c r="FAS100" s="5">
        <v>226</v>
      </c>
      <c r="FAT100" s="5">
        <v>250</v>
      </c>
      <c r="FAU100" s="6">
        <v>44102</v>
      </c>
      <c r="FAW100" s="5" t="s">
        <v>67</v>
      </c>
      <c r="FAX100" s="6">
        <v>44102</v>
      </c>
      <c r="FAY100" s="7">
        <v>0.4</v>
      </c>
      <c r="FAZ100" s="5">
        <v>14.5</v>
      </c>
      <c r="FBA100" s="5">
        <v>226</v>
      </c>
      <c r="FBB100" s="5">
        <v>250</v>
      </c>
      <c r="FBC100" s="6">
        <v>44102</v>
      </c>
      <c r="FBE100" s="5" t="s">
        <v>67</v>
      </c>
      <c r="FBF100" s="6">
        <v>44102</v>
      </c>
      <c r="FBG100" s="7">
        <v>0.4</v>
      </c>
      <c r="FBH100" s="5">
        <v>14.5</v>
      </c>
      <c r="FBI100" s="5">
        <v>226</v>
      </c>
      <c r="FBJ100" s="5">
        <v>250</v>
      </c>
      <c r="FBK100" s="6">
        <v>44102</v>
      </c>
      <c r="FBM100" s="5" t="s">
        <v>67</v>
      </c>
      <c r="FBN100" s="6">
        <v>44102</v>
      </c>
      <c r="FBO100" s="7">
        <v>0.4</v>
      </c>
      <c r="FBP100" s="5">
        <v>14.5</v>
      </c>
      <c r="FBQ100" s="5">
        <v>226</v>
      </c>
      <c r="FBR100" s="5">
        <v>250</v>
      </c>
      <c r="FBS100" s="6">
        <v>44102</v>
      </c>
      <c r="FBU100" s="5" t="s">
        <v>67</v>
      </c>
      <c r="FBV100" s="6">
        <v>44102</v>
      </c>
      <c r="FBW100" s="7">
        <v>0.4</v>
      </c>
      <c r="FBX100" s="5">
        <v>14.5</v>
      </c>
      <c r="FBY100" s="5">
        <v>226</v>
      </c>
      <c r="FBZ100" s="5">
        <v>250</v>
      </c>
      <c r="FCA100" s="6">
        <v>44102</v>
      </c>
      <c r="FCC100" s="5" t="s">
        <v>67</v>
      </c>
      <c r="FCD100" s="6">
        <v>44102</v>
      </c>
      <c r="FCE100" s="7">
        <v>0.4</v>
      </c>
      <c r="FCF100" s="5">
        <v>14.5</v>
      </c>
      <c r="FCG100" s="5">
        <v>226</v>
      </c>
      <c r="FCH100" s="5">
        <v>250</v>
      </c>
      <c r="FCI100" s="6">
        <v>44102</v>
      </c>
      <c r="FCK100" s="5" t="s">
        <v>67</v>
      </c>
      <c r="FCL100" s="6">
        <v>44102</v>
      </c>
      <c r="FCM100" s="7">
        <v>0.4</v>
      </c>
      <c r="FCN100" s="5">
        <v>14.5</v>
      </c>
      <c r="FCO100" s="5">
        <v>226</v>
      </c>
      <c r="FCP100" s="5">
        <v>250</v>
      </c>
      <c r="FCQ100" s="6">
        <v>44102</v>
      </c>
      <c r="FCS100" s="5" t="s">
        <v>67</v>
      </c>
      <c r="FCT100" s="6">
        <v>44102</v>
      </c>
      <c r="FCU100" s="7">
        <v>0.4</v>
      </c>
      <c r="FCV100" s="5">
        <v>14.5</v>
      </c>
      <c r="FCW100" s="5">
        <v>226</v>
      </c>
      <c r="FCX100" s="5">
        <v>250</v>
      </c>
      <c r="FCY100" s="6">
        <v>44102</v>
      </c>
      <c r="FDA100" s="5" t="s">
        <v>67</v>
      </c>
      <c r="FDB100" s="6">
        <v>44102</v>
      </c>
      <c r="FDC100" s="7">
        <v>0.4</v>
      </c>
      <c r="FDD100" s="5">
        <v>14.5</v>
      </c>
      <c r="FDE100" s="5">
        <v>226</v>
      </c>
      <c r="FDF100" s="5">
        <v>250</v>
      </c>
      <c r="FDG100" s="6">
        <v>44102</v>
      </c>
      <c r="FDI100" s="5" t="s">
        <v>67</v>
      </c>
      <c r="FDJ100" s="6">
        <v>44102</v>
      </c>
      <c r="FDK100" s="7">
        <v>0.4</v>
      </c>
      <c r="FDL100" s="5">
        <v>14.5</v>
      </c>
      <c r="FDM100" s="5">
        <v>226</v>
      </c>
      <c r="FDN100" s="5">
        <v>250</v>
      </c>
      <c r="FDO100" s="6">
        <v>44102</v>
      </c>
      <c r="FDQ100" s="5" t="s">
        <v>67</v>
      </c>
      <c r="FDR100" s="6">
        <v>44102</v>
      </c>
      <c r="FDS100" s="7">
        <v>0.4</v>
      </c>
      <c r="FDT100" s="5">
        <v>14.5</v>
      </c>
      <c r="FDU100" s="5">
        <v>226</v>
      </c>
      <c r="FDV100" s="5">
        <v>250</v>
      </c>
      <c r="FDW100" s="6">
        <v>44102</v>
      </c>
      <c r="FDY100" s="5" t="s">
        <v>67</v>
      </c>
      <c r="FDZ100" s="6">
        <v>44102</v>
      </c>
      <c r="FEA100" s="7">
        <v>0.4</v>
      </c>
      <c r="FEB100" s="5">
        <v>14.5</v>
      </c>
      <c r="FEC100" s="5">
        <v>226</v>
      </c>
      <c r="FED100" s="5">
        <v>250</v>
      </c>
      <c r="FEE100" s="6">
        <v>44102</v>
      </c>
      <c r="FEG100" s="5" t="s">
        <v>67</v>
      </c>
      <c r="FEH100" s="6">
        <v>44102</v>
      </c>
      <c r="FEI100" s="7">
        <v>0.4</v>
      </c>
      <c r="FEJ100" s="5">
        <v>14.5</v>
      </c>
      <c r="FEK100" s="5">
        <v>226</v>
      </c>
      <c r="FEL100" s="5">
        <v>250</v>
      </c>
      <c r="FEM100" s="6">
        <v>44102</v>
      </c>
      <c r="FEO100" s="5" t="s">
        <v>67</v>
      </c>
      <c r="FEP100" s="6">
        <v>44102</v>
      </c>
      <c r="FEQ100" s="7">
        <v>0.4</v>
      </c>
      <c r="FER100" s="5">
        <v>14.5</v>
      </c>
      <c r="FES100" s="5">
        <v>226</v>
      </c>
      <c r="FET100" s="5">
        <v>250</v>
      </c>
      <c r="FEU100" s="6">
        <v>44102</v>
      </c>
      <c r="FEW100" s="5" t="s">
        <v>67</v>
      </c>
      <c r="FEX100" s="6">
        <v>44102</v>
      </c>
      <c r="FEY100" s="7">
        <v>0.4</v>
      </c>
      <c r="FEZ100" s="5">
        <v>14.5</v>
      </c>
      <c r="FFA100" s="5">
        <v>226</v>
      </c>
      <c r="FFB100" s="5">
        <v>250</v>
      </c>
      <c r="FFC100" s="6">
        <v>44102</v>
      </c>
      <c r="FFE100" s="5" t="s">
        <v>67</v>
      </c>
      <c r="FFF100" s="6">
        <v>44102</v>
      </c>
      <c r="FFG100" s="7">
        <v>0.4</v>
      </c>
      <c r="FFH100" s="5">
        <v>14.5</v>
      </c>
      <c r="FFI100" s="5">
        <v>226</v>
      </c>
      <c r="FFJ100" s="5">
        <v>250</v>
      </c>
      <c r="FFK100" s="6">
        <v>44102</v>
      </c>
      <c r="FFM100" s="5" t="s">
        <v>67</v>
      </c>
      <c r="FFN100" s="6">
        <v>44102</v>
      </c>
      <c r="FFO100" s="7">
        <v>0.4</v>
      </c>
      <c r="FFP100" s="5">
        <v>14.5</v>
      </c>
      <c r="FFQ100" s="5">
        <v>226</v>
      </c>
      <c r="FFR100" s="5">
        <v>250</v>
      </c>
      <c r="FFS100" s="6">
        <v>44102</v>
      </c>
      <c r="FFU100" s="5" t="s">
        <v>67</v>
      </c>
      <c r="FFV100" s="6">
        <v>44102</v>
      </c>
      <c r="FFW100" s="7">
        <v>0.4</v>
      </c>
      <c r="FFX100" s="5">
        <v>14.5</v>
      </c>
      <c r="FFY100" s="5">
        <v>226</v>
      </c>
      <c r="FFZ100" s="5">
        <v>250</v>
      </c>
      <c r="FGA100" s="6">
        <v>44102</v>
      </c>
      <c r="FGC100" s="5" t="s">
        <v>67</v>
      </c>
      <c r="FGD100" s="6">
        <v>44102</v>
      </c>
      <c r="FGE100" s="7">
        <v>0.4</v>
      </c>
      <c r="FGF100" s="5">
        <v>14.5</v>
      </c>
      <c r="FGG100" s="5">
        <v>226</v>
      </c>
      <c r="FGH100" s="5">
        <v>250</v>
      </c>
      <c r="FGI100" s="6">
        <v>44102</v>
      </c>
      <c r="FGK100" s="5" t="s">
        <v>67</v>
      </c>
      <c r="FGL100" s="6">
        <v>44102</v>
      </c>
      <c r="FGM100" s="7">
        <v>0.4</v>
      </c>
      <c r="FGN100" s="5">
        <v>14.5</v>
      </c>
      <c r="FGO100" s="5">
        <v>226</v>
      </c>
      <c r="FGP100" s="5">
        <v>250</v>
      </c>
      <c r="FGQ100" s="6">
        <v>44102</v>
      </c>
      <c r="FGS100" s="5" t="s">
        <v>67</v>
      </c>
      <c r="FGT100" s="6">
        <v>44102</v>
      </c>
      <c r="FGU100" s="7">
        <v>0.4</v>
      </c>
      <c r="FGV100" s="5">
        <v>14.5</v>
      </c>
      <c r="FGW100" s="5">
        <v>226</v>
      </c>
      <c r="FGX100" s="5">
        <v>250</v>
      </c>
      <c r="FGY100" s="6">
        <v>44102</v>
      </c>
      <c r="FHA100" s="5" t="s">
        <v>67</v>
      </c>
      <c r="FHB100" s="6">
        <v>44102</v>
      </c>
      <c r="FHC100" s="7">
        <v>0.4</v>
      </c>
      <c r="FHD100" s="5">
        <v>14.5</v>
      </c>
      <c r="FHE100" s="5">
        <v>226</v>
      </c>
      <c r="FHF100" s="5">
        <v>250</v>
      </c>
      <c r="FHG100" s="6">
        <v>44102</v>
      </c>
      <c r="FHI100" s="5" t="s">
        <v>67</v>
      </c>
      <c r="FHJ100" s="6">
        <v>44102</v>
      </c>
      <c r="FHK100" s="7">
        <v>0.4</v>
      </c>
      <c r="FHL100" s="5">
        <v>14.5</v>
      </c>
      <c r="FHM100" s="5">
        <v>226</v>
      </c>
      <c r="FHN100" s="5">
        <v>250</v>
      </c>
      <c r="FHO100" s="6">
        <v>44102</v>
      </c>
      <c r="FHQ100" s="5" t="s">
        <v>67</v>
      </c>
      <c r="FHR100" s="6">
        <v>44102</v>
      </c>
      <c r="FHS100" s="7">
        <v>0.4</v>
      </c>
      <c r="FHT100" s="5">
        <v>14.5</v>
      </c>
      <c r="FHU100" s="5">
        <v>226</v>
      </c>
      <c r="FHV100" s="5">
        <v>250</v>
      </c>
      <c r="FHW100" s="6">
        <v>44102</v>
      </c>
      <c r="FHY100" s="5" t="s">
        <v>67</v>
      </c>
      <c r="FHZ100" s="6">
        <v>44102</v>
      </c>
      <c r="FIA100" s="7">
        <v>0.4</v>
      </c>
      <c r="FIB100" s="5">
        <v>14.5</v>
      </c>
      <c r="FIC100" s="5">
        <v>226</v>
      </c>
      <c r="FID100" s="5">
        <v>250</v>
      </c>
      <c r="FIE100" s="6">
        <v>44102</v>
      </c>
      <c r="FIG100" s="5" t="s">
        <v>67</v>
      </c>
      <c r="FIH100" s="6">
        <v>44102</v>
      </c>
      <c r="FII100" s="7">
        <v>0.4</v>
      </c>
      <c r="FIJ100" s="5">
        <v>14.5</v>
      </c>
      <c r="FIK100" s="5">
        <v>226</v>
      </c>
      <c r="FIL100" s="5">
        <v>250</v>
      </c>
      <c r="FIM100" s="6">
        <v>44102</v>
      </c>
      <c r="FIO100" s="5" t="s">
        <v>67</v>
      </c>
      <c r="FIP100" s="6">
        <v>44102</v>
      </c>
      <c r="FIQ100" s="7">
        <v>0.4</v>
      </c>
      <c r="FIR100" s="5">
        <v>14.5</v>
      </c>
      <c r="FIS100" s="5">
        <v>226</v>
      </c>
      <c r="FIT100" s="5">
        <v>250</v>
      </c>
      <c r="FIU100" s="6">
        <v>44102</v>
      </c>
      <c r="FIW100" s="5" t="s">
        <v>67</v>
      </c>
      <c r="FIX100" s="6">
        <v>44102</v>
      </c>
      <c r="FIY100" s="7">
        <v>0.4</v>
      </c>
      <c r="FIZ100" s="5">
        <v>14.5</v>
      </c>
      <c r="FJA100" s="5">
        <v>226</v>
      </c>
      <c r="FJB100" s="5">
        <v>250</v>
      </c>
      <c r="FJC100" s="6">
        <v>44102</v>
      </c>
      <c r="FJE100" s="5" t="s">
        <v>67</v>
      </c>
      <c r="FJF100" s="6">
        <v>44102</v>
      </c>
      <c r="FJG100" s="7">
        <v>0.4</v>
      </c>
      <c r="FJH100" s="5">
        <v>14.5</v>
      </c>
      <c r="FJI100" s="5">
        <v>226</v>
      </c>
      <c r="FJJ100" s="5">
        <v>250</v>
      </c>
      <c r="FJK100" s="6">
        <v>44102</v>
      </c>
      <c r="FJM100" s="5" t="s">
        <v>67</v>
      </c>
      <c r="FJN100" s="6">
        <v>44102</v>
      </c>
      <c r="FJO100" s="7">
        <v>0.4</v>
      </c>
      <c r="FJP100" s="5">
        <v>14.5</v>
      </c>
      <c r="FJQ100" s="5">
        <v>226</v>
      </c>
      <c r="FJR100" s="5">
        <v>250</v>
      </c>
      <c r="FJS100" s="6">
        <v>44102</v>
      </c>
      <c r="FJU100" s="5" t="s">
        <v>67</v>
      </c>
      <c r="FJV100" s="6">
        <v>44102</v>
      </c>
      <c r="FJW100" s="7">
        <v>0.4</v>
      </c>
      <c r="FJX100" s="5">
        <v>14.5</v>
      </c>
      <c r="FJY100" s="5">
        <v>226</v>
      </c>
      <c r="FJZ100" s="5">
        <v>250</v>
      </c>
      <c r="FKA100" s="6">
        <v>44102</v>
      </c>
      <c r="FKC100" s="5" t="s">
        <v>67</v>
      </c>
      <c r="FKD100" s="6">
        <v>44102</v>
      </c>
      <c r="FKE100" s="7">
        <v>0.4</v>
      </c>
      <c r="FKF100" s="5">
        <v>14.5</v>
      </c>
      <c r="FKG100" s="5">
        <v>226</v>
      </c>
      <c r="FKH100" s="5">
        <v>250</v>
      </c>
      <c r="FKI100" s="6">
        <v>44102</v>
      </c>
      <c r="FKK100" s="5" t="s">
        <v>67</v>
      </c>
      <c r="FKL100" s="6">
        <v>44102</v>
      </c>
      <c r="FKM100" s="7">
        <v>0.4</v>
      </c>
      <c r="FKN100" s="5">
        <v>14.5</v>
      </c>
      <c r="FKO100" s="5">
        <v>226</v>
      </c>
      <c r="FKP100" s="5">
        <v>250</v>
      </c>
      <c r="FKQ100" s="6">
        <v>44102</v>
      </c>
      <c r="FKS100" s="5" t="s">
        <v>67</v>
      </c>
      <c r="FKT100" s="6">
        <v>44102</v>
      </c>
      <c r="FKU100" s="7">
        <v>0.4</v>
      </c>
      <c r="FKV100" s="5">
        <v>14.5</v>
      </c>
      <c r="FKW100" s="5">
        <v>226</v>
      </c>
      <c r="FKX100" s="5">
        <v>250</v>
      </c>
      <c r="FKY100" s="6">
        <v>44102</v>
      </c>
      <c r="FLA100" s="5" t="s">
        <v>67</v>
      </c>
      <c r="FLB100" s="6">
        <v>44102</v>
      </c>
      <c r="FLC100" s="7">
        <v>0.4</v>
      </c>
      <c r="FLD100" s="5">
        <v>14.5</v>
      </c>
      <c r="FLE100" s="5">
        <v>226</v>
      </c>
      <c r="FLF100" s="5">
        <v>250</v>
      </c>
      <c r="FLG100" s="6">
        <v>44102</v>
      </c>
      <c r="FLI100" s="5" t="s">
        <v>67</v>
      </c>
      <c r="FLJ100" s="6">
        <v>44102</v>
      </c>
      <c r="FLK100" s="7">
        <v>0.4</v>
      </c>
      <c r="FLL100" s="5">
        <v>14.5</v>
      </c>
      <c r="FLM100" s="5">
        <v>226</v>
      </c>
      <c r="FLN100" s="5">
        <v>250</v>
      </c>
      <c r="FLO100" s="6">
        <v>44102</v>
      </c>
      <c r="FLQ100" s="5" t="s">
        <v>67</v>
      </c>
      <c r="FLR100" s="6">
        <v>44102</v>
      </c>
      <c r="FLS100" s="7">
        <v>0.4</v>
      </c>
      <c r="FLT100" s="5">
        <v>14.5</v>
      </c>
      <c r="FLU100" s="5">
        <v>226</v>
      </c>
      <c r="FLV100" s="5">
        <v>250</v>
      </c>
      <c r="FLW100" s="6">
        <v>44102</v>
      </c>
      <c r="FLY100" s="5" t="s">
        <v>67</v>
      </c>
      <c r="FLZ100" s="6">
        <v>44102</v>
      </c>
      <c r="FMA100" s="7">
        <v>0.4</v>
      </c>
      <c r="FMB100" s="5">
        <v>14.5</v>
      </c>
      <c r="FMC100" s="5">
        <v>226</v>
      </c>
      <c r="FMD100" s="5">
        <v>250</v>
      </c>
      <c r="FME100" s="6">
        <v>44102</v>
      </c>
      <c r="FMG100" s="5" t="s">
        <v>67</v>
      </c>
      <c r="FMH100" s="6">
        <v>44102</v>
      </c>
      <c r="FMI100" s="7">
        <v>0.4</v>
      </c>
      <c r="FMJ100" s="5">
        <v>14.5</v>
      </c>
      <c r="FMK100" s="5">
        <v>226</v>
      </c>
      <c r="FML100" s="5">
        <v>250</v>
      </c>
      <c r="FMM100" s="6">
        <v>44102</v>
      </c>
      <c r="FMO100" s="5" t="s">
        <v>67</v>
      </c>
      <c r="FMP100" s="6">
        <v>44102</v>
      </c>
      <c r="FMQ100" s="7">
        <v>0.4</v>
      </c>
      <c r="FMR100" s="5">
        <v>14.5</v>
      </c>
      <c r="FMS100" s="5">
        <v>226</v>
      </c>
      <c r="FMT100" s="5">
        <v>250</v>
      </c>
      <c r="FMU100" s="6">
        <v>44102</v>
      </c>
      <c r="FMW100" s="5" t="s">
        <v>67</v>
      </c>
      <c r="FMX100" s="6">
        <v>44102</v>
      </c>
      <c r="FMY100" s="7">
        <v>0.4</v>
      </c>
      <c r="FMZ100" s="5">
        <v>14.5</v>
      </c>
      <c r="FNA100" s="5">
        <v>226</v>
      </c>
      <c r="FNB100" s="5">
        <v>250</v>
      </c>
      <c r="FNC100" s="6">
        <v>44102</v>
      </c>
      <c r="FNE100" s="5" t="s">
        <v>67</v>
      </c>
      <c r="FNF100" s="6">
        <v>44102</v>
      </c>
      <c r="FNG100" s="7">
        <v>0.4</v>
      </c>
      <c r="FNH100" s="5">
        <v>14.5</v>
      </c>
      <c r="FNI100" s="5">
        <v>226</v>
      </c>
      <c r="FNJ100" s="5">
        <v>250</v>
      </c>
      <c r="FNK100" s="6">
        <v>44102</v>
      </c>
      <c r="FNM100" s="5" t="s">
        <v>67</v>
      </c>
      <c r="FNN100" s="6">
        <v>44102</v>
      </c>
      <c r="FNO100" s="7">
        <v>0.4</v>
      </c>
      <c r="FNP100" s="5">
        <v>14.5</v>
      </c>
      <c r="FNQ100" s="5">
        <v>226</v>
      </c>
      <c r="FNR100" s="5">
        <v>250</v>
      </c>
      <c r="FNS100" s="6">
        <v>44102</v>
      </c>
      <c r="FNU100" s="5" t="s">
        <v>67</v>
      </c>
      <c r="FNV100" s="6">
        <v>44102</v>
      </c>
      <c r="FNW100" s="7">
        <v>0.4</v>
      </c>
      <c r="FNX100" s="5">
        <v>14.5</v>
      </c>
      <c r="FNY100" s="5">
        <v>226</v>
      </c>
      <c r="FNZ100" s="5">
        <v>250</v>
      </c>
      <c r="FOA100" s="6">
        <v>44102</v>
      </c>
      <c r="FOC100" s="5" t="s">
        <v>67</v>
      </c>
      <c r="FOD100" s="6">
        <v>44102</v>
      </c>
      <c r="FOE100" s="7">
        <v>0.4</v>
      </c>
      <c r="FOF100" s="5">
        <v>14.5</v>
      </c>
      <c r="FOG100" s="5">
        <v>226</v>
      </c>
      <c r="FOH100" s="5">
        <v>250</v>
      </c>
      <c r="FOI100" s="6">
        <v>44102</v>
      </c>
      <c r="FOK100" s="5" t="s">
        <v>67</v>
      </c>
      <c r="FOL100" s="6">
        <v>44102</v>
      </c>
      <c r="FOM100" s="7">
        <v>0.4</v>
      </c>
      <c r="FON100" s="5">
        <v>14.5</v>
      </c>
      <c r="FOO100" s="5">
        <v>226</v>
      </c>
      <c r="FOP100" s="5">
        <v>250</v>
      </c>
      <c r="FOQ100" s="6">
        <v>44102</v>
      </c>
      <c r="FOS100" s="5" t="s">
        <v>67</v>
      </c>
      <c r="FOT100" s="6">
        <v>44102</v>
      </c>
      <c r="FOU100" s="7">
        <v>0.4</v>
      </c>
      <c r="FOV100" s="5">
        <v>14.5</v>
      </c>
      <c r="FOW100" s="5">
        <v>226</v>
      </c>
      <c r="FOX100" s="5">
        <v>250</v>
      </c>
      <c r="FOY100" s="6">
        <v>44102</v>
      </c>
      <c r="FPA100" s="5" t="s">
        <v>67</v>
      </c>
      <c r="FPB100" s="6">
        <v>44102</v>
      </c>
      <c r="FPC100" s="7">
        <v>0.4</v>
      </c>
      <c r="FPD100" s="5">
        <v>14.5</v>
      </c>
      <c r="FPE100" s="5">
        <v>226</v>
      </c>
      <c r="FPF100" s="5">
        <v>250</v>
      </c>
      <c r="FPG100" s="6">
        <v>44102</v>
      </c>
      <c r="FPI100" s="5" t="s">
        <v>67</v>
      </c>
      <c r="FPJ100" s="6">
        <v>44102</v>
      </c>
      <c r="FPK100" s="7">
        <v>0.4</v>
      </c>
      <c r="FPL100" s="5">
        <v>14.5</v>
      </c>
      <c r="FPM100" s="5">
        <v>226</v>
      </c>
      <c r="FPN100" s="5">
        <v>250</v>
      </c>
      <c r="FPO100" s="6">
        <v>44102</v>
      </c>
      <c r="FPQ100" s="5" t="s">
        <v>67</v>
      </c>
      <c r="FPR100" s="6">
        <v>44102</v>
      </c>
      <c r="FPS100" s="7">
        <v>0.4</v>
      </c>
      <c r="FPT100" s="5">
        <v>14.5</v>
      </c>
      <c r="FPU100" s="5">
        <v>226</v>
      </c>
      <c r="FPV100" s="5">
        <v>250</v>
      </c>
      <c r="FPW100" s="6">
        <v>44102</v>
      </c>
      <c r="FPY100" s="5" t="s">
        <v>67</v>
      </c>
      <c r="FPZ100" s="6">
        <v>44102</v>
      </c>
      <c r="FQA100" s="7">
        <v>0.4</v>
      </c>
      <c r="FQB100" s="5">
        <v>14.5</v>
      </c>
      <c r="FQC100" s="5">
        <v>226</v>
      </c>
      <c r="FQD100" s="5">
        <v>250</v>
      </c>
      <c r="FQE100" s="6">
        <v>44102</v>
      </c>
      <c r="FQG100" s="5" t="s">
        <v>67</v>
      </c>
      <c r="FQH100" s="6">
        <v>44102</v>
      </c>
      <c r="FQI100" s="7">
        <v>0.4</v>
      </c>
      <c r="FQJ100" s="5">
        <v>14.5</v>
      </c>
      <c r="FQK100" s="5">
        <v>226</v>
      </c>
      <c r="FQL100" s="5">
        <v>250</v>
      </c>
      <c r="FQM100" s="6">
        <v>44102</v>
      </c>
      <c r="FQO100" s="5" t="s">
        <v>67</v>
      </c>
      <c r="FQP100" s="6">
        <v>44102</v>
      </c>
      <c r="FQQ100" s="7">
        <v>0.4</v>
      </c>
      <c r="FQR100" s="5">
        <v>14.5</v>
      </c>
      <c r="FQS100" s="5">
        <v>226</v>
      </c>
      <c r="FQT100" s="5">
        <v>250</v>
      </c>
      <c r="FQU100" s="6">
        <v>44102</v>
      </c>
      <c r="FQW100" s="5" t="s">
        <v>67</v>
      </c>
      <c r="FQX100" s="6">
        <v>44102</v>
      </c>
      <c r="FQY100" s="7">
        <v>0.4</v>
      </c>
      <c r="FQZ100" s="5">
        <v>14.5</v>
      </c>
      <c r="FRA100" s="5">
        <v>226</v>
      </c>
      <c r="FRB100" s="5">
        <v>250</v>
      </c>
      <c r="FRC100" s="6">
        <v>44102</v>
      </c>
      <c r="FRE100" s="5" t="s">
        <v>67</v>
      </c>
      <c r="FRF100" s="6">
        <v>44102</v>
      </c>
      <c r="FRG100" s="7">
        <v>0.4</v>
      </c>
      <c r="FRH100" s="5">
        <v>14.5</v>
      </c>
      <c r="FRI100" s="5">
        <v>226</v>
      </c>
      <c r="FRJ100" s="5">
        <v>250</v>
      </c>
      <c r="FRK100" s="6">
        <v>44102</v>
      </c>
      <c r="FRM100" s="5" t="s">
        <v>67</v>
      </c>
      <c r="FRN100" s="6">
        <v>44102</v>
      </c>
      <c r="FRO100" s="7">
        <v>0.4</v>
      </c>
      <c r="FRP100" s="5">
        <v>14.5</v>
      </c>
      <c r="FRQ100" s="5">
        <v>226</v>
      </c>
      <c r="FRR100" s="5">
        <v>250</v>
      </c>
      <c r="FRS100" s="6">
        <v>44102</v>
      </c>
      <c r="FRU100" s="5" t="s">
        <v>67</v>
      </c>
      <c r="FRV100" s="6">
        <v>44102</v>
      </c>
      <c r="FRW100" s="7">
        <v>0.4</v>
      </c>
      <c r="FRX100" s="5">
        <v>14.5</v>
      </c>
      <c r="FRY100" s="5">
        <v>226</v>
      </c>
      <c r="FRZ100" s="5">
        <v>250</v>
      </c>
      <c r="FSA100" s="6">
        <v>44102</v>
      </c>
      <c r="FSC100" s="5" t="s">
        <v>67</v>
      </c>
      <c r="FSD100" s="6">
        <v>44102</v>
      </c>
      <c r="FSE100" s="7">
        <v>0.4</v>
      </c>
      <c r="FSF100" s="5">
        <v>14.5</v>
      </c>
      <c r="FSG100" s="5">
        <v>226</v>
      </c>
      <c r="FSH100" s="5">
        <v>250</v>
      </c>
      <c r="FSI100" s="6">
        <v>44102</v>
      </c>
      <c r="FSK100" s="5" t="s">
        <v>67</v>
      </c>
      <c r="FSL100" s="6">
        <v>44102</v>
      </c>
      <c r="FSM100" s="7">
        <v>0.4</v>
      </c>
      <c r="FSN100" s="5">
        <v>14.5</v>
      </c>
      <c r="FSO100" s="5">
        <v>226</v>
      </c>
      <c r="FSP100" s="5">
        <v>250</v>
      </c>
      <c r="FSQ100" s="6">
        <v>44102</v>
      </c>
      <c r="FSS100" s="5" t="s">
        <v>67</v>
      </c>
      <c r="FST100" s="6">
        <v>44102</v>
      </c>
      <c r="FSU100" s="7">
        <v>0.4</v>
      </c>
      <c r="FSV100" s="5">
        <v>14.5</v>
      </c>
      <c r="FSW100" s="5">
        <v>226</v>
      </c>
      <c r="FSX100" s="5">
        <v>250</v>
      </c>
      <c r="FSY100" s="6">
        <v>44102</v>
      </c>
      <c r="FTA100" s="5" t="s">
        <v>67</v>
      </c>
      <c r="FTB100" s="6">
        <v>44102</v>
      </c>
      <c r="FTC100" s="7">
        <v>0.4</v>
      </c>
      <c r="FTD100" s="5">
        <v>14.5</v>
      </c>
      <c r="FTE100" s="5">
        <v>226</v>
      </c>
      <c r="FTF100" s="5">
        <v>250</v>
      </c>
      <c r="FTG100" s="6">
        <v>44102</v>
      </c>
      <c r="FTI100" s="5" t="s">
        <v>67</v>
      </c>
      <c r="FTJ100" s="6">
        <v>44102</v>
      </c>
      <c r="FTK100" s="7">
        <v>0.4</v>
      </c>
      <c r="FTL100" s="5">
        <v>14.5</v>
      </c>
      <c r="FTM100" s="5">
        <v>226</v>
      </c>
      <c r="FTN100" s="5">
        <v>250</v>
      </c>
      <c r="FTO100" s="6">
        <v>44102</v>
      </c>
      <c r="FTQ100" s="5" t="s">
        <v>67</v>
      </c>
      <c r="FTR100" s="6">
        <v>44102</v>
      </c>
      <c r="FTS100" s="7">
        <v>0.4</v>
      </c>
      <c r="FTT100" s="5">
        <v>14.5</v>
      </c>
      <c r="FTU100" s="5">
        <v>226</v>
      </c>
      <c r="FTV100" s="5">
        <v>250</v>
      </c>
      <c r="FTW100" s="6">
        <v>44102</v>
      </c>
      <c r="FTY100" s="5" t="s">
        <v>67</v>
      </c>
      <c r="FTZ100" s="6">
        <v>44102</v>
      </c>
      <c r="FUA100" s="7">
        <v>0.4</v>
      </c>
      <c r="FUB100" s="5">
        <v>14.5</v>
      </c>
      <c r="FUC100" s="5">
        <v>226</v>
      </c>
      <c r="FUD100" s="5">
        <v>250</v>
      </c>
      <c r="FUE100" s="6">
        <v>44102</v>
      </c>
      <c r="FUG100" s="5" t="s">
        <v>67</v>
      </c>
      <c r="FUH100" s="6">
        <v>44102</v>
      </c>
      <c r="FUI100" s="7">
        <v>0.4</v>
      </c>
      <c r="FUJ100" s="5">
        <v>14.5</v>
      </c>
      <c r="FUK100" s="5">
        <v>226</v>
      </c>
      <c r="FUL100" s="5">
        <v>250</v>
      </c>
      <c r="FUM100" s="6">
        <v>44102</v>
      </c>
      <c r="FUO100" s="5" t="s">
        <v>67</v>
      </c>
      <c r="FUP100" s="6">
        <v>44102</v>
      </c>
      <c r="FUQ100" s="7">
        <v>0.4</v>
      </c>
      <c r="FUR100" s="5">
        <v>14.5</v>
      </c>
      <c r="FUS100" s="5">
        <v>226</v>
      </c>
      <c r="FUT100" s="5">
        <v>250</v>
      </c>
      <c r="FUU100" s="6">
        <v>44102</v>
      </c>
      <c r="FUW100" s="5" t="s">
        <v>67</v>
      </c>
      <c r="FUX100" s="6">
        <v>44102</v>
      </c>
      <c r="FUY100" s="7">
        <v>0.4</v>
      </c>
      <c r="FUZ100" s="5">
        <v>14.5</v>
      </c>
      <c r="FVA100" s="5">
        <v>226</v>
      </c>
      <c r="FVB100" s="5">
        <v>250</v>
      </c>
      <c r="FVC100" s="6">
        <v>44102</v>
      </c>
      <c r="FVE100" s="5" t="s">
        <v>67</v>
      </c>
      <c r="FVF100" s="6">
        <v>44102</v>
      </c>
      <c r="FVG100" s="7">
        <v>0.4</v>
      </c>
      <c r="FVH100" s="5">
        <v>14.5</v>
      </c>
      <c r="FVI100" s="5">
        <v>226</v>
      </c>
      <c r="FVJ100" s="5">
        <v>250</v>
      </c>
      <c r="FVK100" s="6">
        <v>44102</v>
      </c>
      <c r="FVM100" s="5" t="s">
        <v>67</v>
      </c>
      <c r="FVN100" s="6">
        <v>44102</v>
      </c>
      <c r="FVO100" s="7">
        <v>0.4</v>
      </c>
      <c r="FVP100" s="5">
        <v>14.5</v>
      </c>
      <c r="FVQ100" s="5">
        <v>226</v>
      </c>
      <c r="FVR100" s="5">
        <v>250</v>
      </c>
      <c r="FVS100" s="6">
        <v>44102</v>
      </c>
      <c r="FVU100" s="5" t="s">
        <v>67</v>
      </c>
      <c r="FVV100" s="6">
        <v>44102</v>
      </c>
      <c r="FVW100" s="7">
        <v>0.4</v>
      </c>
      <c r="FVX100" s="5">
        <v>14.5</v>
      </c>
      <c r="FVY100" s="5">
        <v>226</v>
      </c>
      <c r="FVZ100" s="5">
        <v>250</v>
      </c>
      <c r="FWA100" s="6">
        <v>44102</v>
      </c>
      <c r="FWC100" s="5" t="s">
        <v>67</v>
      </c>
      <c r="FWD100" s="6">
        <v>44102</v>
      </c>
      <c r="FWE100" s="7">
        <v>0.4</v>
      </c>
      <c r="FWF100" s="5">
        <v>14.5</v>
      </c>
      <c r="FWG100" s="5">
        <v>226</v>
      </c>
      <c r="FWH100" s="5">
        <v>250</v>
      </c>
      <c r="FWI100" s="6">
        <v>44102</v>
      </c>
      <c r="FWK100" s="5" t="s">
        <v>67</v>
      </c>
      <c r="FWL100" s="6">
        <v>44102</v>
      </c>
      <c r="FWM100" s="7">
        <v>0.4</v>
      </c>
      <c r="FWN100" s="5">
        <v>14.5</v>
      </c>
      <c r="FWO100" s="5">
        <v>226</v>
      </c>
      <c r="FWP100" s="5">
        <v>250</v>
      </c>
      <c r="FWQ100" s="6">
        <v>44102</v>
      </c>
      <c r="FWS100" s="5" t="s">
        <v>67</v>
      </c>
      <c r="FWT100" s="6">
        <v>44102</v>
      </c>
      <c r="FWU100" s="7">
        <v>0.4</v>
      </c>
      <c r="FWV100" s="5">
        <v>14.5</v>
      </c>
      <c r="FWW100" s="5">
        <v>226</v>
      </c>
      <c r="FWX100" s="5">
        <v>250</v>
      </c>
      <c r="FWY100" s="6">
        <v>44102</v>
      </c>
      <c r="FXA100" s="5" t="s">
        <v>67</v>
      </c>
      <c r="FXB100" s="6">
        <v>44102</v>
      </c>
      <c r="FXC100" s="7">
        <v>0.4</v>
      </c>
      <c r="FXD100" s="5">
        <v>14.5</v>
      </c>
      <c r="FXE100" s="5">
        <v>226</v>
      </c>
      <c r="FXF100" s="5">
        <v>250</v>
      </c>
      <c r="FXG100" s="6">
        <v>44102</v>
      </c>
      <c r="FXI100" s="5" t="s">
        <v>67</v>
      </c>
      <c r="FXJ100" s="6">
        <v>44102</v>
      </c>
      <c r="FXK100" s="7">
        <v>0.4</v>
      </c>
      <c r="FXL100" s="5">
        <v>14.5</v>
      </c>
      <c r="FXM100" s="5">
        <v>226</v>
      </c>
      <c r="FXN100" s="5">
        <v>250</v>
      </c>
      <c r="FXO100" s="6">
        <v>44102</v>
      </c>
      <c r="FXQ100" s="5" t="s">
        <v>67</v>
      </c>
      <c r="FXR100" s="6">
        <v>44102</v>
      </c>
      <c r="FXS100" s="7">
        <v>0.4</v>
      </c>
      <c r="FXT100" s="5">
        <v>14.5</v>
      </c>
      <c r="FXU100" s="5">
        <v>226</v>
      </c>
      <c r="FXV100" s="5">
        <v>250</v>
      </c>
      <c r="FXW100" s="6">
        <v>44102</v>
      </c>
      <c r="FXY100" s="5" t="s">
        <v>67</v>
      </c>
      <c r="FXZ100" s="6">
        <v>44102</v>
      </c>
      <c r="FYA100" s="7">
        <v>0.4</v>
      </c>
      <c r="FYB100" s="5">
        <v>14.5</v>
      </c>
      <c r="FYC100" s="5">
        <v>226</v>
      </c>
      <c r="FYD100" s="5">
        <v>250</v>
      </c>
      <c r="FYE100" s="6">
        <v>44102</v>
      </c>
      <c r="FYG100" s="5" t="s">
        <v>67</v>
      </c>
      <c r="FYH100" s="6">
        <v>44102</v>
      </c>
      <c r="FYI100" s="7">
        <v>0.4</v>
      </c>
      <c r="FYJ100" s="5">
        <v>14.5</v>
      </c>
      <c r="FYK100" s="5">
        <v>226</v>
      </c>
      <c r="FYL100" s="5">
        <v>250</v>
      </c>
      <c r="FYM100" s="6">
        <v>44102</v>
      </c>
      <c r="FYO100" s="5" t="s">
        <v>67</v>
      </c>
      <c r="FYP100" s="6">
        <v>44102</v>
      </c>
      <c r="FYQ100" s="7">
        <v>0.4</v>
      </c>
      <c r="FYR100" s="5">
        <v>14.5</v>
      </c>
      <c r="FYS100" s="5">
        <v>226</v>
      </c>
      <c r="FYT100" s="5">
        <v>250</v>
      </c>
      <c r="FYU100" s="6">
        <v>44102</v>
      </c>
      <c r="FYW100" s="5" t="s">
        <v>67</v>
      </c>
      <c r="FYX100" s="6">
        <v>44102</v>
      </c>
      <c r="FYY100" s="7">
        <v>0.4</v>
      </c>
      <c r="FYZ100" s="5">
        <v>14.5</v>
      </c>
      <c r="FZA100" s="5">
        <v>226</v>
      </c>
      <c r="FZB100" s="5">
        <v>250</v>
      </c>
      <c r="FZC100" s="6">
        <v>44102</v>
      </c>
      <c r="FZE100" s="5" t="s">
        <v>67</v>
      </c>
      <c r="FZF100" s="6">
        <v>44102</v>
      </c>
      <c r="FZG100" s="7">
        <v>0.4</v>
      </c>
      <c r="FZH100" s="5">
        <v>14.5</v>
      </c>
      <c r="FZI100" s="5">
        <v>226</v>
      </c>
      <c r="FZJ100" s="5">
        <v>250</v>
      </c>
      <c r="FZK100" s="6">
        <v>44102</v>
      </c>
      <c r="FZM100" s="5" t="s">
        <v>67</v>
      </c>
      <c r="FZN100" s="6">
        <v>44102</v>
      </c>
      <c r="FZO100" s="7">
        <v>0.4</v>
      </c>
      <c r="FZP100" s="5">
        <v>14.5</v>
      </c>
      <c r="FZQ100" s="5">
        <v>226</v>
      </c>
      <c r="FZR100" s="5">
        <v>250</v>
      </c>
      <c r="FZS100" s="6">
        <v>44102</v>
      </c>
      <c r="FZU100" s="5" t="s">
        <v>67</v>
      </c>
      <c r="FZV100" s="6">
        <v>44102</v>
      </c>
      <c r="FZW100" s="7">
        <v>0.4</v>
      </c>
      <c r="FZX100" s="5">
        <v>14.5</v>
      </c>
      <c r="FZY100" s="5">
        <v>226</v>
      </c>
      <c r="FZZ100" s="5">
        <v>250</v>
      </c>
      <c r="GAA100" s="6">
        <v>44102</v>
      </c>
      <c r="GAC100" s="5" t="s">
        <v>67</v>
      </c>
      <c r="GAD100" s="6">
        <v>44102</v>
      </c>
      <c r="GAE100" s="7">
        <v>0.4</v>
      </c>
      <c r="GAF100" s="5">
        <v>14.5</v>
      </c>
      <c r="GAG100" s="5">
        <v>226</v>
      </c>
      <c r="GAH100" s="5">
        <v>250</v>
      </c>
      <c r="GAI100" s="6">
        <v>44102</v>
      </c>
      <c r="GAK100" s="5" t="s">
        <v>67</v>
      </c>
      <c r="GAL100" s="6">
        <v>44102</v>
      </c>
      <c r="GAM100" s="7">
        <v>0.4</v>
      </c>
      <c r="GAN100" s="5">
        <v>14.5</v>
      </c>
      <c r="GAO100" s="5">
        <v>226</v>
      </c>
      <c r="GAP100" s="5">
        <v>250</v>
      </c>
      <c r="GAQ100" s="6">
        <v>44102</v>
      </c>
      <c r="GAS100" s="5" t="s">
        <v>67</v>
      </c>
      <c r="GAT100" s="6">
        <v>44102</v>
      </c>
      <c r="GAU100" s="7">
        <v>0.4</v>
      </c>
      <c r="GAV100" s="5">
        <v>14.5</v>
      </c>
      <c r="GAW100" s="5">
        <v>226</v>
      </c>
      <c r="GAX100" s="5">
        <v>250</v>
      </c>
      <c r="GAY100" s="6">
        <v>44102</v>
      </c>
      <c r="GBA100" s="5" t="s">
        <v>67</v>
      </c>
      <c r="GBB100" s="6">
        <v>44102</v>
      </c>
      <c r="GBC100" s="7">
        <v>0.4</v>
      </c>
      <c r="GBD100" s="5">
        <v>14.5</v>
      </c>
      <c r="GBE100" s="5">
        <v>226</v>
      </c>
      <c r="GBF100" s="5">
        <v>250</v>
      </c>
      <c r="GBG100" s="6">
        <v>44102</v>
      </c>
      <c r="GBI100" s="5" t="s">
        <v>67</v>
      </c>
      <c r="GBJ100" s="6">
        <v>44102</v>
      </c>
      <c r="GBK100" s="7">
        <v>0.4</v>
      </c>
      <c r="GBL100" s="5">
        <v>14.5</v>
      </c>
      <c r="GBM100" s="5">
        <v>226</v>
      </c>
      <c r="GBN100" s="5">
        <v>250</v>
      </c>
      <c r="GBO100" s="6">
        <v>44102</v>
      </c>
      <c r="GBQ100" s="5" t="s">
        <v>67</v>
      </c>
      <c r="GBR100" s="6">
        <v>44102</v>
      </c>
      <c r="GBS100" s="7">
        <v>0.4</v>
      </c>
      <c r="GBT100" s="5">
        <v>14.5</v>
      </c>
      <c r="GBU100" s="5">
        <v>226</v>
      </c>
      <c r="GBV100" s="5">
        <v>250</v>
      </c>
      <c r="GBW100" s="6">
        <v>44102</v>
      </c>
      <c r="GBY100" s="5" t="s">
        <v>67</v>
      </c>
      <c r="GBZ100" s="6">
        <v>44102</v>
      </c>
      <c r="GCA100" s="7">
        <v>0.4</v>
      </c>
      <c r="GCB100" s="5">
        <v>14.5</v>
      </c>
      <c r="GCC100" s="5">
        <v>226</v>
      </c>
      <c r="GCD100" s="5">
        <v>250</v>
      </c>
      <c r="GCE100" s="6">
        <v>44102</v>
      </c>
      <c r="GCG100" s="5" t="s">
        <v>67</v>
      </c>
      <c r="GCH100" s="6">
        <v>44102</v>
      </c>
      <c r="GCI100" s="7">
        <v>0.4</v>
      </c>
      <c r="GCJ100" s="5">
        <v>14.5</v>
      </c>
      <c r="GCK100" s="5">
        <v>226</v>
      </c>
      <c r="GCL100" s="5">
        <v>250</v>
      </c>
      <c r="GCM100" s="6">
        <v>44102</v>
      </c>
      <c r="GCO100" s="5" t="s">
        <v>67</v>
      </c>
      <c r="GCP100" s="6">
        <v>44102</v>
      </c>
      <c r="GCQ100" s="7">
        <v>0.4</v>
      </c>
      <c r="GCR100" s="5">
        <v>14.5</v>
      </c>
      <c r="GCS100" s="5">
        <v>226</v>
      </c>
      <c r="GCT100" s="5">
        <v>250</v>
      </c>
      <c r="GCU100" s="6">
        <v>44102</v>
      </c>
      <c r="GCW100" s="5" t="s">
        <v>67</v>
      </c>
      <c r="GCX100" s="6">
        <v>44102</v>
      </c>
      <c r="GCY100" s="7">
        <v>0.4</v>
      </c>
      <c r="GCZ100" s="5">
        <v>14.5</v>
      </c>
      <c r="GDA100" s="5">
        <v>226</v>
      </c>
      <c r="GDB100" s="5">
        <v>250</v>
      </c>
      <c r="GDC100" s="6">
        <v>44102</v>
      </c>
      <c r="GDE100" s="5" t="s">
        <v>67</v>
      </c>
      <c r="GDF100" s="6">
        <v>44102</v>
      </c>
      <c r="GDG100" s="7">
        <v>0.4</v>
      </c>
      <c r="GDH100" s="5">
        <v>14.5</v>
      </c>
      <c r="GDI100" s="5">
        <v>226</v>
      </c>
      <c r="GDJ100" s="5">
        <v>250</v>
      </c>
      <c r="GDK100" s="6">
        <v>44102</v>
      </c>
      <c r="GDM100" s="5" t="s">
        <v>67</v>
      </c>
      <c r="GDN100" s="6">
        <v>44102</v>
      </c>
      <c r="GDO100" s="7">
        <v>0.4</v>
      </c>
      <c r="GDP100" s="5">
        <v>14.5</v>
      </c>
      <c r="GDQ100" s="5">
        <v>226</v>
      </c>
      <c r="GDR100" s="5">
        <v>250</v>
      </c>
      <c r="GDS100" s="6">
        <v>44102</v>
      </c>
      <c r="GDU100" s="5" t="s">
        <v>67</v>
      </c>
      <c r="GDV100" s="6">
        <v>44102</v>
      </c>
      <c r="GDW100" s="7">
        <v>0.4</v>
      </c>
      <c r="GDX100" s="5">
        <v>14.5</v>
      </c>
      <c r="GDY100" s="5">
        <v>226</v>
      </c>
      <c r="GDZ100" s="5">
        <v>250</v>
      </c>
      <c r="GEA100" s="6">
        <v>44102</v>
      </c>
      <c r="GEC100" s="5" t="s">
        <v>67</v>
      </c>
      <c r="GED100" s="6">
        <v>44102</v>
      </c>
      <c r="GEE100" s="7">
        <v>0.4</v>
      </c>
      <c r="GEF100" s="5">
        <v>14.5</v>
      </c>
      <c r="GEG100" s="5">
        <v>226</v>
      </c>
      <c r="GEH100" s="5">
        <v>250</v>
      </c>
      <c r="GEI100" s="6">
        <v>44102</v>
      </c>
      <c r="GEK100" s="5" t="s">
        <v>67</v>
      </c>
      <c r="GEL100" s="6">
        <v>44102</v>
      </c>
      <c r="GEM100" s="7">
        <v>0.4</v>
      </c>
      <c r="GEN100" s="5">
        <v>14.5</v>
      </c>
      <c r="GEO100" s="5">
        <v>226</v>
      </c>
      <c r="GEP100" s="5">
        <v>250</v>
      </c>
      <c r="GEQ100" s="6">
        <v>44102</v>
      </c>
      <c r="GES100" s="5" t="s">
        <v>67</v>
      </c>
      <c r="GET100" s="6">
        <v>44102</v>
      </c>
      <c r="GEU100" s="7">
        <v>0.4</v>
      </c>
      <c r="GEV100" s="5">
        <v>14.5</v>
      </c>
      <c r="GEW100" s="5">
        <v>226</v>
      </c>
      <c r="GEX100" s="5">
        <v>250</v>
      </c>
      <c r="GEY100" s="6">
        <v>44102</v>
      </c>
      <c r="GFA100" s="5" t="s">
        <v>67</v>
      </c>
      <c r="GFB100" s="6">
        <v>44102</v>
      </c>
      <c r="GFC100" s="7">
        <v>0.4</v>
      </c>
      <c r="GFD100" s="5">
        <v>14.5</v>
      </c>
      <c r="GFE100" s="5">
        <v>226</v>
      </c>
      <c r="GFF100" s="5">
        <v>250</v>
      </c>
      <c r="GFG100" s="6">
        <v>44102</v>
      </c>
      <c r="GFI100" s="5" t="s">
        <v>67</v>
      </c>
      <c r="GFJ100" s="6">
        <v>44102</v>
      </c>
      <c r="GFK100" s="7">
        <v>0.4</v>
      </c>
      <c r="GFL100" s="5">
        <v>14.5</v>
      </c>
      <c r="GFM100" s="5">
        <v>226</v>
      </c>
      <c r="GFN100" s="5">
        <v>250</v>
      </c>
      <c r="GFO100" s="6">
        <v>44102</v>
      </c>
      <c r="GFQ100" s="5" t="s">
        <v>67</v>
      </c>
      <c r="GFR100" s="6">
        <v>44102</v>
      </c>
      <c r="GFS100" s="7">
        <v>0.4</v>
      </c>
      <c r="GFT100" s="5">
        <v>14.5</v>
      </c>
      <c r="GFU100" s="5">
        <v>226</v>
      </c>
      <c r="GFV100" s="5">
        <v>250</v>
      </c>
      <c r="GFW100" s="6">
        <v>44102</v>
      </c>
      <c r="GFY100" s="5" t="s">
        <v>67</v>
      </c>
      <c r="GFZ100" s="6">
        <v>44102</v>
      </c>
      <c r="GGA100" s="7">
        <v>0.4</v>
      </c>
      <c r="GGB100" s="5">
        <v>14.5</v>
      </c>
      <c r="GGC100" s="5">
        <v>226</v>
      </c>
      <c r="GGD100" s="5">
        <v>250</v>
      </c>
      <c r="GGE100" s="6">
        <v>44102</v>
      </c>
      <c r="GGG100" s="5" t="s">
        <v>67</v>
      </c>
      <c r="GGH100" s="6">
        <v>44102</v>
      </c>
      <c r="GGI100" s="7">
        <v>0.4</v>
      </c>
      <c r="GGJ100" s="5">
        <v>14.5</v>
      </c>
      <c r="GGK100" s="5">
        <v>226</v>
      </c>
      <c r="GGL100" s="5">
        <v>250</v>
      </c>
      <c r="GGM100" s="6">
        <v>44102</v>
      </c>
      <c r="GGO100" s="5" t="s">
        <v>67</v>
      </c>
      <c r="GGP100" s="6">
        <v>44102</v>
      </c>
      <c r="GGQ100" s="7">
        <v>0.4</v>
      </c>
      <c r="GGR100" s="5">
        <v>14.5</v>
      </c>
      <c r="GGS100" s="5">
        <v>226</v>
      </c>
      <c r="GGT100" s="5">
        <v>250</v>
      </c>
      <c r="GGU100" s="6">
        <v>44102</v>
      </c>
      <c r="GGW100" s="5" t="s">
        <v>67</v>
      </c>
      <c r="GGX100" s="6">
        <v>44102</v>
      </c>
      <c r="GGY100" s="7">
        <v>0.4</v>
      </c>
      <c r="GGZ100" s="5">
        <v>14.5</v>
      </c>
      <c r="GHA100" s="5">
        <v>226</v>
      </c>
      <c r="GHB100" s="5">
        <v>250</v>
      </c>
      <c r="GHC100" s="6">
        <v>44102</v>
      </c>
      <c r="GHE100" s="5" t="s">
        <v>67</v>
      </c>
      <c r="GHF100" s="6">
        <v>44102</v>
      </c>
      <c r="GHG100" s="7">
        <v>0.4</v>
      </c>
      <c r="GHH100" s="5">
        <v>14.5</v>
      </c>
      <c r="GHI100" s="5">
        <v>226</v>
      </c>
      <c r="GHJ100" s="5">
        <v>250</v>
      </c>
      <c r="GHK100" s="6">
        <v>44102</v>
      </c>
      <c r="GHM100" s="5" t="s">
        <v>67</v>
      </c>
      <c r="GHN100" s="6">
        <v>44102</v>
      </c>
      <c r="GHO100" s="7">
        <v>0.4</v>
      </c>
      <c r="GHP100" s="5">
        <v>14.5</v>
      </c>
      <c r="GHQ100" s="5">
        <v>226</v>
      </c>
      <c r="GHR100" s="5">
        <v>250</v>
      </c>
      <c r="GHS100" s="6">
        <v>44102</v>
      </c>
      <c r="GHU100" s="5" t="s">
        <v>67</v>
      </c>
      <c r="GHV100" s="6">
        <v>44102</v>
      </c>
      <c r="GHW100" s="7">
        <v>0.4</v>
      </c>
      <c r="GHX100" s="5">
        <v>14.5</v>
      </c>
      <c r="GHY100" s="5">
        <v>226</v>
      </c>
      <c r="GHZ100" s="5">
        <v>250</v>
      </c>
      <c r="GIA100" s="6">
        <v>44102</v>
      </c>
      <c r="GIC100" s="5" t="s">
        <v>67</v>
      </c>
      <c r="GID100" s="6">
        <v>44102</v>
      </c>
      <c r="GIE100" s="7">
        <v>0.4</v>
      </c>
      <c r="GIF100" s="5">
        <v>14.5</v>
      </c>
      <c r="GIG100" s="5">
        <v>226</v>
      </c>
      <c r="GIH100" s="5">
        <v>250</v>
      </c>
      <c r="GII100" s="6">
        <v>44102</v>
      </c>
      <c r="GIK100" s="5" t="s">
        <v>67</v>
      </c>
      <c r="GIL100" s="6">
        <v>44102</v>
      </c>
      <c r="GIM100" s="7">
        <v>0.4</v>
      </c>
      <c r="GIN100" s="5">
        <v>14.5</v>
      </c>
      <c r="GIO100" s="5">
        <v>226</v>
      </c>
      <c r="GIP100" s="5">
        <v>250</v>
      </c>
      <c r="GIQ100" s="6">
        <v>44102</v>
      </c>
      <c r="GIS100" s="5" t="s">
        <v>67</v>
      </c>
      <c r="GIT100" s="6">
        <v>44102</v>
      </c>
      <c r="GIU100" s="7">
        <v>0.4</v>
      </c>
      <c r="GIV100" s="5">
        <v>14.5</v>
      </c>
      <c r="GIW100" s="5">
        <v>226</v>
      </c>
      <c r="GIX100" s="5">
        <v>250</v>
      </c>
      <c r="GIY100" s="6">
        <v>44102</v>
      </c>
      <c r="GJA100" s="5" t="s">
        <v>67</v>
      </c>
      <c r="GJB100" s="6">
        <v>44102</v>
      </c>
      <c r="GJC100" s="7">
        <v>0.4</v>
      </c>
      <c r="GJD100" s="5">
        <v>14.5</v>
      </c>
      <c r="GJE100" s="5">
        <v>226</v>
      </c>
      <c r="GJF100" s="5">
        <v>250</v>
      </c>
      <c r="GJG100" s="6">
        <v>44102</v>
      </c>
      <c r="GJI100" s="5" t="s">
        <v>67</v>
      </c>
      <c r="GJJ100" s="6">
        <v>44102</v>
      </c>
      <c r="GJK100" s="7">
        <v>0.4</v>
      </c>
      <c r="GJL100" s="5">
        <v>14.5</v>
      </c>
      <c r="GJM100" s="5">
        <v>226</v>
      </c>
      <c r="GJN100" s="5">
        <v>250</v>
      </c>
      <c r="GJO100" s="6">
        <v>44102</v>
      </c>
      <c r="GJQ100" s="5" t="s">
        <v>67</v>
      </c>
      <c r="GJR100" s="6">
        <v>44102</v>
      </c>
      <c r="GJS100" s="7">
        <v>0.4</v>
      </c>
      <c r="GJT100" s="5">
        <v>14.5</v>
      </c>
      <c r="GJU100" s="5">
        <v>226</v>
      </c>
      <c r="GJV100" s="5">
        <v>250</v>
      </c>
      <c r="GJW100" s="6">
        <v>44102</v>
      </c>
      <c r="GJY100" s="5" t="s">
        <v>67</v>
      </c>
      <c r="GJZ100" s="6">
        <v>44102</v>
      </c>
      <c r="GKA100" s="7">
        <v>0.4</v>
      </c>
      <c r="GKB100" s="5">
        <v>14.5</v>
      </c>
      <c r="GKC100" s="5">
        <v>226</v>
      </c>
      <c r="GKD100" s="5">
        <v>250</v>
      </c>
      <c r="GKE100" s="6">
        <v>44102</v>
      </c>
      <c r="GKG100" s="5" t="s">
        <v>67</v>
      </c>
      <c r="GKH100" s="6">
        <v>44102</v>
      </c>
      <c r="GKI100" s="7">
        <v>0.4</v>
      </c>
      <c r="GKJ100" s="5">
        <v>14.5</v>
      </c>
      <c r="GKK100" s="5">
        <v>226</v>
      </c>
      <c r="GKL100" s="5">
        <v>250</v>
      </c>
      <c r="GKM100" s="6">
        <v>44102</v>
      </c>
      <c r="GKO100" s="5" t="s">
        <v>67</v>
      </c>
      <c r="GKP100" s="6">
        <v>44102</v>
      </c>
      <c r="GKQ100" s="7">
        <v>0.4</v>
      </c>
      <c r="GKR100" s="5">
        <v>14.5</v>
      </c>
      <c r="GKS100" s="5">
        <v>226</v>
      </c>
      <c r="GKT100" s="5">
        <v>250</v>
      </c>
      <c r="GKU100" s="6">
        <v>44102</v>
      </c>
      <c r="GKW100" s="5" t="s">
        <v>67</v>
      </c>
      <c r="GKX100" s="6">
        <v>44102</v>
      </c>
      <c r="GKY100" s="7">
        <v>0.4</v>
      </c>
      <c r="GKZ100" s="5">
        <v>14.5</v>
      </c>
      <c r="GLA100" s="5">
        <v>226</v>
      </c>
      <c r="GLB100" s="5">
        <v>250</v>
      </c>
      <c r="GLC100" s="6">
        <v>44102</v>
      </c>
      <c r="GLE100" s="5" t="s">
        <v>67</v>
      </c>
      <c r="GLF100" s="6">
        <v>44102</v>
      </c>
      <c r="GLG100" s="7">
        <v>0.4</v>
      </c>
      <c r="GLH100" s="5">
        <v>14.5</v>
      </c>
      <c r="GLI100" s="5">
        <v>226</v>
      </c>
      <c r="GLJ100" s="5">
        <v>250</v>
      </c>
      <c r="GLK100" s="6">
        <v>44102</v>
      </c>
      <c r="GLM100" s="5" t="s">
        <v>67</v>
      </c>
      <c r="GLN100" s="6">
        <v>44102</v>
      </c>
      <c r="GLO100" s="7">
        <v>0.4</v>
      </c>
      <c r="GLP100" s="5">
        <v>14.5</v>
      </c>
      <c r="GLQ100" s="5">
        <v>226</v>
      </c>
      <c r="GLR100" s="5">
        <v>250</v>
      </c>
      <c r="GLS100" s="6">
        <v>44102</v>
      </c>
      <c r="GLU100" s="5" t="s">
        <v>67</v>
      </c>
      <c r="GLV100" s="6">
        <v>44102</v>
      </c>
      <c r="GLW100" s="7">
        <v>0.4</v>
      </c>
      <c r="GLX100" s="5">
        <v>14.5</v>
      </c>
      <c r="GLY100" s="5">
        <v>226</v>
      </c>
      <c r="GLZ100" s="5">
        <v>250</v>
      </c>
      <c r="GMA100" s="6">
        <v>44102</v>
      </c>
      <c r="GMC100" s="5" t="s">
        <v>67</v>
      </c>
      <c r="GMD100" s="6">
        <v>44102</v>
      </c>
      <c r="GME100" s="7">
        <v>0.4</v>
      </c>
      <c r="GMF100" s="5">
        <v>14.5</v>
      </c>
      <c r="GMG100" s="5">
        <v>226</v>
      </c>
      <c r="GMH100" s="5">
        <v>250</v>
      </c>
      <c r="GMI100" s="6">
        <v>44102</v>
      </c>
      <c r="GMK100" s="5" t="s">
        <v>67</v>
      </c>
      <c r="GML100" s="6">
        <v>44102</v>
      </c>
      <c r="GMM100" s="7">
        <v>0.4</v>
      </c>
      <c r="GMN100" s="5">
        <v>14.5</v>
      </c>
      <c r="GMO100" s="5">
        <v>226</v>
      </c>
      <c r="GMP100" s="5">
        <v>250</v>
      </c>
      <c r="GMQ100" s="6">
        <v>44102</v>
      </c>
      <c r="GMS100" s="5" t="s">
        <v>67</v>
      </c>
      <c r="GMT100" s="6">
        <v>44102</v>
      </c>
      <c r="GMU100" s="7">
        <v>0.4</v>
      </c>
      <c r="GMV100" s="5">
        <v>14.5</v>
      </c>
      <c r="GMW100" s="5">
        <v>226</v>
      </c>
      <c r="GMX100" s="5">
        <v>250</v>
      </c>
      <c r="GMY100" s="6">
        <v>44102</v>
      </c>
      <c r="GNA100" s="5" t="s">
        <v>67</v>
      </c>
      <c r="GNB100" s="6">
        <v>44102</v>
      </c>
      <c r="GNC100" s="7">
        <v>0.4</v>
      </c>
      <c r="GND100" s="5">
        <v>14.5</v>
      </c>
      <c r="GNE100" s="5">
        <v>226</v>
      </c>
      <c r="GNF100" s="5">
        <v>250</v>
      </c>
      <c r="GNG100" s="6">
        <v>44102</v>
      </c>
      <c r="GNI100" s="5" t="s">
        <v>67</v>
      </c>
      <c r="GNJ100" s="6">
        <v>44102</v>
      </c>
      <c r="GNK100" s="7">
        <v>0.4</v>
      </c>
      <c r="GNL100" s="5">
        <v>14.5</v>
      </c>
      <c r="GNM100" s="5">
        <v>226</v>
      </c>
      <c r="GNN100" s="5">
        <v>250</v>
      </c>
      <c r="GNO100" s="6">
        <v>44102</v>
      </c>
      <c r="GNQ100" s="5" t="s">
        <v>67</v>
      </c>
      <c r="GNR100" s="6">
        <v>44102</v>
      </c>
      <c r="GNS100" s="7">
        <v>0.4</v>
      </c>
      <c r="GNT100" s="5">
        <v>14.5</v>
      </c>
      <c r="GNU100" s="5">
        <v>226</v>
      </c>
      <c r="GNV100" s="5">
        <v>250</v>
      </c>
      <c r="GNW100" s="6">
        <v>44102</v>
      </c>
      <c r="GNY100" s="5" t="s">
        <v>67</v>
      </c>
      <c r="GNZ100" s="6">
        <v>44102</v>
      </c>
      <c r="GOA100" s="7">
        <v>0.4</v>
      </c>
      <c r="GOB100" s="5">
        <v>14.5</v>
      </c>
      <c r="GOC100" s="5">
        <v>226</v>
      </c>
      <c r="GOD100" s="5">
        <v>250</v>
      </c>
      <c r="GOE100" s="6">
        <v>44102</v>
      </c>
      <c r="GOG100" s="5" t="s">
        <v>67</v>
      </c>
      <c r="GOH100" s="6">
        <v>44102</v>
      </c>
      <c r="GOI100" s="7">
        <v>0.4</v>
      </c>
      <c r="GOJ100" s="5">
        <v>14.5</v>
      </c>
      <c r="GOK100" s="5">
        <v>226</v>
      </c>
      <c r="GOL100" s="5">
        <v>250</v>
      </c>
      <c r="GOM100" s="6">
        <v>44102</v>
      </c>
      <c r="GOO100" s="5" t="s">
        <v>67</v>
      </c>
      <c r="GOP100" s="6">
        <v>44102</v>
      </c>
      <c r="GOQ100" s="7">
        <v>0.4</v>
      </c>
      <c r="GOR100" s="5">
        <v>14.5</v>
      </c>
      <c r="GOS100" s="5">
        <v>226</v>
      </c>
      <c r="GOT100" s="5">
        <v>250</v>
      </c>
      <c r="GOU100" s="6">
        <v>44102</v>
      </c>
      <c r="GOW100" s="5" t="s">
        <v>67</v>
      </c>
      <c r="GOX100" s="6">
        <v>44102</v>
      </c>
      <c r="GOY100" s="7">
        <v>0.4</v>
      </c>
      <c r="GOZ100" s="5">
        <v>14.5</v>
      </c>
      <c r="GPA100" s="5">
        <v>226</v>
      </c>
      <c r="GPB100" s="5">
        <v>250</v>
      </c>
      <c r="GPC100" s="6">
        <v>44102</v>
      </c>
      <c r="GPE100" s="5" t="s">
        <v>67</v>
      </c>
      <c r="GPF100" s="6">
        <v>44102</v>
      </c>
      <c r="GPG100" s="7">
        <v>0.4</v>
      </c>
      <c r="GPH100" s="5">
        <v>14.5</v>
      </c>
      <c r="GPI100" s="5">
        <v>226</v>
      </c>
      <c r="GPJ100" s="5">
        <v>250</v>
      </c>
      <c r="GPK100" s="6">
        <v>44102</v>
      </c>
      <c r="GPM100" s="5" t="s">
        <v>67</v>
      </c>
      <c r="GPN100" s="6">
        <v>44102</v>
      </c>
      <c r="GPO100" s="7">
        <v>0.4</v>
      </c>
      <c r="GPP100" s="5">
        <v>14.5</v>
      </c>
      <c r="GPQ100" s="5">
        <v>226</v>
      </c>
      <c r="GPR100" s="5">
        <v>250</v>
      </c>
      <c r="GPS100" s="6">
        <v>44102</v>
      </c>
      <c r="GPU100" s="5" t="s">
        <v>67</v>
      </c>
      <c r="GPV100" s="6">
        <v>44102</v>
      </c>
      <c r="GPW100" s="7">
        <v>0.4</v>
      </c>
      <c r="GPX100" s="5">
        <v>14.5</v>
      </c>
      <c r="GPY100" s="5">
        <v>226</v>
      </c>
      <c r="GPZ100" s="5">
        <v>250</v>
      </c>
      <c r="GQA100" s="6">
        <v>44102</v>
      </c>
      <c r="GQC100" s="5" t="s">
        <v>67</v>
      </c>
      <c r="GQD100" s="6">
        <v>44102</v>
      </c>
      <c r="GQE100" s="7">
        <v>0.4</v>
      </c>
      <c r="GQF100" s="5">
        <v>14.5</v>
      </c>
      <c r="GQG100" s="5">
        <v>226</v>
      </c>
      <c r="GQH100" s="5">
        <v>250</v>
      </c>
      <c r="GQI100" s="6">
        <v>44102</v>
      </c>
      <c r="GQK100" s="5" t="s">
        <v>67</v>
      </c>
      <c r="GQL100" s="6">
        <v>44102</v>
      </c>
      <c r="GQM100" s="7">
        <v>0.4</v>
      </c>
      <c r="GQN100" s="5">
        <v>14.5</v>
      </c>
      <c r="GQO100" s="5">
        <v>226</v>
      </c>
      <c r="GQP100" s="5">
        <v>250</v>
      </c>
      <c r="GQQ100" s="6">
        <v>44102</v>
      </c>
      <c r="GQS100" s="5" t="s">
        <v>67</v>
      </c>
      <c r="GQT100" s="6">
        <v>44102</v>
      </c>
      <c r="GQU100" s="7">
        <v>0.4</v>
      </c>
      <c r="GQV100" s="5">
        <v>14.5</v>
      </c>
      <c r="GQW100" s="5">
        <v>226</v>
      </c>
      <c r="GQX100" s="5">
        <v>250</v>
      </c>
      <c r="GQY100" s="6">
        <v>44102</v>
      </c>
      <c r="GRA100" s="5" t="s">
        <v>67</v>
      </c>
      <c r="GRB100" s="6">
        <v>44102</v>
      </c>
      <c r="GRC100" s="7">
        <v>0.4</v>
      </c>
      <c r="GRD100" s="5">
        <v>14.5</v>
      </c>
      <c r="GRE100" s="5">
        <v>226</v>
      </c>
      <c r="GRF100" s="5">
        <v>250</v>
      </c>
      <c r="GRG100" s="6">
        <v>44102</v>
      </c>
      <c r="GRI100" s="5" t="s">
        <v>67</v>
      </c>
      <c r="GRJ100" s="6">
        <v>44102</v>
      </c>
      <c r="GRK100" s="7">
        <v>0.4</v>
      </c>
      <c r="GRL100" s="5">
        <v>14.5</v>
      </c>
      <c r="GRM100" s="5">
        <v>226</v>
      </c>
      <c r="GRN100" s="5">
        <v>250</v>
      </c>
      <c r="GRO100" s="6">
        <v>44102</v>
      </c>
      <c r="GRQ100" s="5" t="s">
        <v>67</v>
      </c>
      <c r="GRR100" s="6">
        <v>44102</v>
      </c>
      <c r="GRS100" s="7">
        <v>0.4</v>
      </c>
      <c r="GRT100" s="5">
        <v>14.5</v>
      </c>
      <c r="GRU100" s="5">
        <v>226</v>
      </c>
      <c r="GRV100" s="5">
        <v>250</v>
      </c>
      <c r="GRW100" s="6">
        <v>44102</v>
      </c>
      <c r="GRY100" s="5" t="s">
        <v>67</v>
      </c>
      <c r="GRZ100" s="6">
        <v>44102</v>
      </c>
      <c r="GSA100" s="7">
        <v>0.4</v>
      </c>
      <c r="GSB100" s="5">
        <v>14.5</v>
      </c>
      <c r="GSC100" s="5">
        <v>226</v>
      </c>
      <c r="GSD100" s="5">
        <v>250</v>
      </c>
      <c r="GSE100" s="6">
        <v>44102</v>
      </c>
      <c r="GSG100" s="5" t="s">
        <v>67</v>
      </c>
      <c r="GSH100" s="6">
        <v>44102</v>
      </c>
      <c r="GSI100" s="7">
        <v>0.4</v>
      </c>
      <c r="GSJ100" s="5">
        <v>14.5</v>
      </c>
      <c r="GSK100" s="5">
        <v>226</v>
      </c>
      <c r="GSL100" s="5">
        <v>250</v>
      </c>
      <c r="GSM100" s="6">
        <v>44102</v>
      </c>
      <c r="GSO100" s="5" t="s">
        <v>67</v>
      </c>
      <c r="GSP100" s="6">
        <v>44102</v>
      </c>
      <c r="GSQ100" s="7">
        <v>0.4</v>
      </c>
      <c r="GSR100" s="5">
        <v>14.5</v>
      </c>
      <c r="GSS100" s="5">
        <v>226</v>
      </c>
      <c r="GST100" s="5">
        <v>250</v>
      </c>
      <c r="GSU100" s="6">
        <v>44102</v>
      </c>
      <c r="GSW100" s="5" t="s">
        <v>67</v>
      </c>
      <c r="GSX100" s="6">
        <v>44102</v>
      </c>
      <c r="GSY100" s="7">
        <v>0.4</v>
      </c>
      <c r="GSZ100" s="5">
        <v>14.5</v>
      </c>
      <c r="GTA100" s="5">
        <v>226</v>
      </c>
      <c r="GTB100" s="5">
        <v>250</v>
      </c>
      <c r="GTC100" s="6">
        <v>44102</v>
      </c>
      <c r="GTE100" s="5" t="s">
        <v>67</v>
      </c>
      <c r="GTF100" s="6">
        <v>44102</v>
      </c>
      <c r="GTG100" s="7">
        <v>0.4</v>
      </c>
      <c r="GTH100" s="5">
        <v>14.5</v>
      </c>
      <c r="GTI100" s="5">
        <v>226</v>
      </c>
      <c r="GTJ100" s="5">
        <v>250</v>
      </c>
      <c r="GTK100" s="6">
        <v>44102</v>
      </c>
      <c r="GTM100" s="5" t="s">
        <v>67</v>
      </c>
      <c r="GTN100" s="6">
        <v>44102</v>
      </c>
      <c r="GTO100" s="7">
        <v>0.4</v>
      </c>
      <c r="GTP100" s="5">
        <v>14.5</v>
      </c>
      <c r="GTQ100" s="5">
        <v>226</v>
      </c>
      <c r="GTR100" s="5">
        <v>250</v>
      </c>
      <c r="GTS100" s="6">
        <v>44102</v>
      </c>
      <c r="GTU100" s="5" t="s">
        <v>67</v>
      </c>
      <c r="GTV100" s="6">
        <v>44102</v>
      </c>
      <c r="GTW100" s="7">
        <v>0.4</v>
      </c>
      <c r="GTX100" s="5">
        <v>14.5</v>
      </c>
      <c r="GTY100" s="5">
        <v>226</v>
      </c>
      <c r="GTZ100" s="5">
        <v>250</v>
      </c>
      <c r="GUA100" s="6">
        <v>44102</v>
      </c>
      <c r="GUC100" s="5" t="s">
        <v>67</v>
      </c>
      <c r="GUD100" s="6">
        <v>44102</v>
      </c>
      <c r="GUE100" s="7">
        <v>0.4</v>
      </c>
      <c r="GUF100" s="5">
        <v>14.5</v>
      </c>
      <c r="GUG100" s="5">
        <v>226</v>
      </c>
      <c r="GUH100" s="5">
        <v>250</v>
      </c>
      <c r="GUI100" s="6">
        <v>44102</v>
      </c>
      <c r="GUK100" s="5" t="s">
        <v>67</v>
      </c>
      <c r="GUL100" s="6">
        <v>44102</v>
      </c>
      <c r="GUM100" s="7">
        <v>0.4</v>
      </c>
      <c r="GUN100" s="5">
        <v>14.5</v>
      </c>
      <c r="GUO100" s="5">
        <v>226</v>
      </c>
      <c r="GUP100" s="5">
        <v>250</v>
      </c>
      <c r="GUQ100" s="6">
        <v>44102</v>
      </c>
      <c r="GUS100" s="5" t="s">
        <v>67</v>
      </c>
      <c r="GUT100" s="6">
        <v>44102</v>
      </c>
      <c r="GUU100" s="7">
        <v>0.4</v>
      </c>
      <c r="GUV100" s="5">
        <v>14.5</v>
      </c>
      <c r="GUW100" s="5">
        <v>226</v>
      </c>
      <c r="GUX100" s="5">
        <v>250</v>
      </c>
      <c r="GUY100" s="6">
        <v>44102</v>
      </c>
      <c r="GVA100" s="5" t="s">
        <v>67</v>
      </c>
      <c r="GVB100" s="6">
        <v>44102</v>
      </c>
      <c r="GVC100" s="7">
        <v>0.4</v>
      </c>
      <c r="GVD100" s="5">
        <v>14.5</v>
      </c>
      <c r="GVE100" s="5">
        <v>226</v>
      </c>
      <c r="GVF100" s="5">
        <v>250</v>
      </c>
      <c r="GVG100" s="6">
        <v>44102</v>
      </c>
      <c r="GVI100" s="5" t="s">
        <v>67</v>
      </c>
      <c r="GVJ100" s="6">
        <v>44102</v>
      </c>
      <c r="GVK100" s="7">
        <v>0.4</v>
      </c>
      <c r="GVL100" s="5">
        <v>14.5</v>
      </c>
      <c r="GVM100" s="5">
        <v>226</v>
      </c>
      <c r="GVN100" s="5">
        <v>250</v>
      </c>
      <c r="GVO100" s="6">
        <v>44102</v>
      </c>
      <c r="GVQ100" s="5" t="s">
        <v>67</v>
      </c>
      <c r="GVR100" s="6">
        <v>44102</v>
      </c>
      <c r="GVS100" s="7">
        <v>0.4</v>
      </c>
      <c r="GVT100" s="5">
        <v>14.5</v>
      </c>
      <c r="GVU100" s="5">
        <v>226</v>
      </c>
      <c r="GVV100" s="5">
        <v>250</v>
      </c>
      <c r="GVW100" s="6">
        <v>44102</v>
      </c>
      <c r="GVY100" s="5" t="s">
        <v>67</v>
      </c>
      <c r="GVZ100" s="6">
        <v>44102</v>
      </c>
      <c r="GWA100" s="7">
        <v>0.4</v>
      </c>
      <c r="GWB100" s="5">
        <v>14.5</v>
      </c>
      <c r="GWC100" s="5">
        <v>226</v>
      </c>
      <c r="GWD100" s="5">
        <v>250</v>
      </c>
      <c r="GWE100" s="6">
        <v>44102</v>
      </c>
      <c r="GWG100" s="5" t="s">
        <v>67</v>
      </c>
      <c r="GWH100" s="6">
        <v>44102</v>
      </c>
      <c r="GWI100" s="7">
        <v>0.4</v>
      </c>
      <c r="GWJ100" s="5">
        <v>14.5</v>
      </c>
      <c r="GWK100" s="5">
        <v>226</v>
      </c>
      <c r="GWL100" s="5">
        <v>250</v>
      </c>
      <c r="GWM100" s="6">
        <v>44102</v>
      </c>
      <c r="GWO100" s="5" t="s">
        <v>67</v>
      </c>
      <c r="GWP100" s="6">
        <v>44102</v>
      </c>
      <c r="GWQ100" s="7">
        <v>0.4</v>
      </c>
      <c r="GWR100" s="5">
        <v>14.5</v>
      </c>
      <c r="GWS100" s="5">
        <v>226</v>
      </c>
      <c r="GWT100" s="5">
        <v>250</v>
      </c>
      <c r="GWU100" s="6">
        <v>44102</v>
      </c>
      <c r="GWW100" s="5" t="s">
        <v>67</v>
      </c>
      <c r="GWX100" s="6">
        <v>44102</v>
      </c>
      <c r="GWY100" s="7">
        <v>0.4</v>
      </c>
      <c r="GWZ100" s="5">
        <v>14.5</v>
      </c>
      <c r="GXA100" s="5">
        <v>226</v>
      </c>
      <c r="GXB100" s="5">
        <v>250</v>
      </c>
      <c r="GXC100" s="6">
        <v>44102</v>
      </c>
      <c r="GXE100" s="5" t="s">
        <v>67</v>
      </c>
      <c r="GXF100" s="6">
        <v>44102</v>
      </c>
      <c r="GXG100" s="7">
        <v>0.4</v>
      </c>
      <c r="GXH100" s="5">
        <v>14.5</v>
      </c>
      <c r="GXI100" s="5">
        <v>226</v>
      </c>
      <c r="GXJ100" s="5">
        <v>250</v>
      </c>
      <c r="GXK100" s="6">
        <v>44102</v>
      </c>
      <c r="GXM100" s="5" t="s">
        <v>67</v>
      </c>
      <c r="GXN100" s="6">
        <v>44102</v>
      </c>
      <c r="GXO100" s="7">
        <v>0.4</v>
      </c>
      <c r="GXP100" s="5">
        <v>14.5</v>
      </c>
      <c r="GXQ100" s="5">
        <v>226</v>
      </c>
      <c r="GXR100" s="5">
        <v>250</v>
      </c>
      <c r="GXS100" s="6">
        <v>44102</v>
      </c>
      <c r="GXU100" s="5" t="s">
        <v>67</v>
      </c>
      <c r="GXV100" s="6">
        <v>44102</v>
      </c>
      <c r="GXW100" s="7">
        <v>0.4</v>
      </c>
      <c r="GXX100" s="5">
        <v>14.5</v>
      </c>
      <c r="GXY100" s="5">
        <v>226</v>
      </c>
      <c r="GXZ100" s="5">
        <v>250</v>
      </c>
      <c r="GYA100" s="6">
        <v>44102</v>
      </c>
      <c r="GYC100" s="5" t="s">
        <v>67</v>
      </c>
      <c r="GYD100" s="6">
        <v>44102</v>
      </c>
      <c r="GYE100" s="7">
        <v>0.4</v>
      </c>
      <c r="GYF100" s="5">
        <v>14.5</v>
      </c>
      <c r="GYG100" s="5">
        <v>226</v>
      </c>
      <c r="GYH100" s="5">
        <v>250</v>
      </c>
      <c r="GYI100" s="6">
        <v>44102</v>
      </c>
      <c r="GYK100" s="5" t="s">
        <v>67</v>
      </c>
      <c r="GYL100" s="6">
        <v>44102</v>
      </c>
      <c r="GYM100" s="7">
        <v>0.4</v>
      </c>
      <c r="GYN100" s="5">
        <v>14.5</v>
      </c>
      <c r="GYO100" s="5">
        <v>226</v>
      </c>
      <c r="GYP100" s="5">
        <v>250</v>
      </c>
      <c r="GYQ100" s="6">
        <v>44102</v>
      </c>
      <c r="GYS100" s="5" t="s">
        <v>67</v>
      </c>
      <c r="GYT100" s="6">
        <v>44102</v>
      </c>
      <c r="GYU100" s="7">
        <v>0.4</v>
      </c>
      <c r="GYV100" s="5">
        <v>14.5</v>
      </c>
      <c r="GYW100" s="5">
        <v>226</v>
      </c>
      <c r="GYX100" s="5">
        <v>250</v>
      </c>
      <c r="GYY100" s="6">
        <v>44102</v>
      </c>
      <c r="GZA100" s="5" t="s">
        <v>67</v>
      </c>
      <c r="GZB100" s="6">
        <v>44102</v>
      </c>
      <c r="GZC100" s="7">
        <v>0.4</v>
      </c>
      <c r="GZD100" s="5">
        <v>14.5</v>
      </c>
      <c r="GZE100" s="5">
        <v>226</v>
      </c>
      <c r="GZF100" s="5">
        <v>250</v>
      </c>
      <c r="GZG100" s="6">
        <v>44102</v>
      </c>
      <c r="GZI100" s="5" t="s">
        <v>67</v>
      </c>
      <c r="GZJ100" s="6">
        <v>44102</v>
      </c>
      <c r="GZK100" s="7">
        <v>0.4</v>
      </c>
      <c r="GZL100" s="5">
        <v>14.5</v>
      </c>
      <c r="GZM100" s="5">
        <v>226</v>
      </c>
      <c r="GZN100" s="5">
        <v>250</v>
      </c>
      <c r="GZO100" s="6">
        <v>44102</v>
      </c>
      <c r="GZQ100" s="5" t="s">
        <v>67</v>
      </c>
      <c r="GZR100" s="6">
        <v>44102</v>
      </c>
      <c r="GZS100" s="7">
        <v>0.4</v>
      </c>
      <c r="GZT100" s="5">
        <v>14.5</v>
      </c>
      <c r="GZU100" s="5">
        <v>226</v>
      </c>
      <c r="GZV100" s="5">
        <v>250</v>
      </c>
      <c r="GZW100" s="6">
        <v>44102</v>
      </c>
      <c r="GZY100" s="5" t="s">
        <v>67</v>
      </c>
      <c r="GZZ100" s="6">
        <v>44102</v>
      </c>
      <c r="HAA100" s="7">
        <v>0.4</v>
      </c>
      <c r="HAB100" s="5">
        <v>14.5</v>
      </c>
      <c r="HAC100" s="5">
        <v>226</v>
      </c>
      <c r="HAD100" s="5">
        <v>250</v>
      </c>
      <c r="HAE100" s="6">
        <v>44102</v>
      </c>
      <c r="HAG100" s="5" t="s">
        <v>67</v>
      </c>
      <c r="HAH100" s="6">
        <v>44102</v>
      </c>
      <c r="HAI100" s="7">
        <v>0.4</v>
      </c>
      <c r="HAJ100" s="5">
        <v>14.5</v>
      </c>
      <c r="HAK100" s="5">
        <v>226</v>
      </c>
      <c r="HAL100" s="5">
        <v>250</v>
      </c>
      <c r="HAM100" s="6">
        <v>44102</v>
      </c>
      <c r="HAO100" s="5" t="s">
        <v>67</v>
      </c>
      <c r="HAP100" s="6">
        <v>44102</v>
      </c>
      <c r="HAQ100" s="7">
        <v>0.4</v>
      </c>
      <c r="HAR100" s="5">
        <v>14.5</v>
      </c>
      <c r="HAS100" s="5">
        <v>226</v>
      </c>
      <c r="HAT100" s="5">
        <v>250</v>
      </c>
      <c r="HAU100" s="6">
        <v>44102</v>
      </c>
      <c r="HAW100" s="5" t="s">
        <v>67</v>
      </c>
      <c r="HAX100" s="6">
        <v>44102</v>
      </c>
      <c r="HAY100" s="7">
        <v>0.4</v>
      </c>
      <c r="HAZ100" s="5">
        <v>14.5</v>
      </c>
      <c r="HBA100" s="5">
        <v>226</v>
      </c>
      <c r="HBB100" s="5">
        <v>250</v>
      </c>
      <c r="HBC100" s="6">
        <v>44102</v>
      </c>
      <c r="HBE100" s="5" t="s">
        <v>67</v>
      </c>
      <c r="HBF100" s="6">
        <v>44102</v>
      </c>
      <c r="HBG100" s="7">
        <v>0.4</v>
      </c>
      <c r="HBH100" s="5">
        <v>14.5</v>
      </c>
      <c r="HBI100" s="5">
        <v>226</v>
      </c>
      <c r="HBJ100" s="5">
        <v>250</v>
      </c>
      <c r="HBK100" s="6">
        <v>44102</v>
      </c>
      <c r="HBM100" s="5" t="s">
        <v>67</v>
      </c>
      <c r="HBN100" s="6">
        <v>44102</v>
      </c>
      <c r="HBO100" s="7">
        <v>0.4</v>
      </c>
      <c r="HBP100" s="5">
        <v>14.5</v>
      </c>
      <c r="HBQ100" s="5">
        <v>226</v>
      </c>
      <c r="HBR100" s="5">
        <v>250</v>
      </c>
      <c r="HBS100" s="6">
        <v>44102</v>
      </c>
      <c r="HBU100" s="5" t="s">
        <v>67</v>
      </c>
      <c r="HBV100" s="6">
        <v>44102</v>
      </c>
      <c r="HBW100" s="7">
        <v>0.4</v>
      </c>
      <c r="HBX100" s="5">
        <v>14.5</v>
      </c>
      <c r="HBY100" s="5">
        <v>226</v>
      </c>
      <c r="HBZ100" s="5">
        <v>250</v>
      </c>
      <c r="HCA100" s="6">
        <v>44102</v>
      </c>
      <c r="HCC100" s="5" t="s">
        <v>67</v>
      </c>
      <c r="HCD100" s="6">
        <v>44102</v>
      </c>
      <c r="HCE100" s="7">
        <v>0.4</v>
      </c>
      <c r="HCF100" s="5">
        <v>14.5</v>
      </c>
      <c r="HCG100" s="5">
        <v>226</v>
      </c>
      <c r="HCH100" s="5">
        <v>250</v>
      </c>
      <c r="HCI100" s="6">
        <v>44102</v>
      </c>
      <c r="HCK100" s="5" t="s">
        <v>67</v>
      </c>
      <c r="HCL100" s="6">
        <v>44102</v>
      </c>
      <c r="HCM100" s="7">
        <v>0.4</v>
      </c>
      <c r="HCN100" s="5">
        <v>14.5</v>
      </c>
      <c r="HCO100" s="5">
        <v>226</v>
      </c>
      <c r="HCP100" s="5">
        <v>250</v>
      </c>
      <c r="HCQ100" s="6">
        <v>44102</v>
      </c>
      <c r="HCS100" s="5" t="s">
        <v>67</v>
      </c>
      <c r="HCT100" s="6">
        <v>44102</v>
      </c>
      <c r="HCU100" s="7">
        <v>0.4</v>
      </c>
      <c r="HCV100" s="5">
        <v>14.5</v>
      </c>
      <c r="HCW100" s="5">
        <v>226</v>
      </c>
      <c r="HCX100" s="5">
        <v>250</v>
      </c>
      <c r="HCY100" s="6">
        <v>44102</v>
      </c>
      <c r="HDA100" s="5" t="s">
        <v>67</v>
      </c>
      <c r="HDB100" s="6">
        <v>44102</v>
      </c>
      <c r="HDC100" s="7">
        <v>0.4</v>
      </c>
      <c r="HDD100" s="5">
        <v>14.5</v>
      </c>
      <c r="HDE100" s="5">
        <v>226</v>
      </c>
      <c r="HDF100" s="5">
        <v>250</v>
      </c>
      <c r="HDG100" s="6">
        <v>44102</v>
      </c>
      <c r="HDI100" s="5" t="s">
        <v>67</v>
      </c>
      <c r="HDJ100" s="6">
        <v>44102</v>
      </c>
      <c r="HDK100" s="7">
        <v>0.4</v>
      </c>
      <c r="HDL100" s="5">
        <v>14.5</v>
      </c>
      <c r="HDM100" s="5">
        <v>226</v>
      </c>
      <c r="HDN100" s="5">
        <v>250</v>
      </c>
      <c r="HDO100" s="6">
        <v>44102</v>
      </c>
      <c r="HDQ100" s="5" t="s">
        <v>67</v>
      </c>
      <c r="HDR100" s="6">
        <v>44102</v>
      </c>
      <c r="HDS100" s="7">
        <v>0.4</v>
      </c>
      <c r="HDT100" s="5">
        <v>14.5</v>
      </c>
      <c r="HDU100" s="5">
        <v>226</v>
      </c>
      <c r="HDV100" s="5">
        <v>250</v>
      </c>
      <c r="HDW100" s="6">
        <v>44102</v>
      </c>
      <c r="HDY100" s="5" t="s">
        <v>67</v>
      </c>
      <c r="HDZ100" s="6">
        <v>44102</v>
      </c>
      <c r="HEA100" s="7">
        <v>0.4</v>
      </c>
      <c r="HEB100" s="5">
        <v>14.5</v>
      </c>
      <c r="HEC100" s="5">
        <v>226</v>
      </c>
      <c r="HED100" s="5">
        <v>250</v>
      </c>
      <c r="HEE100" s="6">
        <v>44102</v>
      </c>
      <c r="HEG100" s="5" t="s">
        <v>67</v>
      </c>
      <c r="HEH100" s="6">
        <v>44102</v>
      </c>
      <c r="HEI100" s="7">
        <v>0.4</v>
      </c>
      <c r="HEJ100" s="5">
        <v>14.5</v>
      </c>
      <c r="HEK100" s="5">
        <v>226</v>
      </c>
      <c r="HEL100" s="5">
        <v>250</v>
      </c>
      <c r="HEM100" s="6">
        <v>44102</v>
      </c>
      <c r="HEO100" s="5" t="s">
        <v>67</v>
      </c>
      <c r="HEP100" s="6">
        <v>44102</v>
      </c>
      <c r="HEQ100" s="7">
        <v>0.4</v>
      </c>
      <c r="HER100" s="5">
        <v>14.5</v>
      </c>
      <c r="HES100" s="5">
        <v>226</v>
      </c>
      <c r="HET100" s="5">
        <v>250</v>
      </c>
      <c r="HEU100" s="6">
        <v>44102</v>
      </c>
      <c r="HEW100" s="5" t="s">
        <v>67</v>
      </c>
      <c r="HEX100" s="6">
        <v>44102</v>
      </c>
      <c r="HEY100" s="7">
        <v>0.4</v>
      </c>
      <c r="HEZ100" s="5">
        <v>14.5</v>
      </c>
      <c r="HFA100" s="5">
        <v>226</v>
      </c>
      <c r="HFB100" s="5">
        <v>250</v>
      </c>
      <c r="HFC100" s="6">
        <v>44102</v>
      </c>
      <c r="HFE100" s="5" t="s">
        <v>67</v>
      </c>
      <c r="HFF100" s="6">
        <v>44102</v>
      </c>
      <c r="HFG100" s="7">
        <v>0.4</v>
      </c>
      <c r="HFH100" s="5">
        <v>14.5</v>
      </c>
      <c r="HFI100" s="5">
        <v>226</v>
      </c>
      <c r="HFJ100" s="5">
        <v>250</v>
      </c>
      <c r="HFK100" s="6">
        <v>44102</v>
      </c>
      <c r="HFM100" s="5" t="s">
        <v>67</v>
      </c>
      <c r="HFN100" s="6">
        <v>44102</v>
      </c>
      <c r="HFO100" s="7">
        <v>0.4</v>
      </c>
      <c r="HFP100" s="5">
        <v>14.5</v>
      </c>
      <c r="HFQ100" s="5">
        <v>226</v>
      </c>
      <c r="HFR100" s="5">
        <v>250</v>
      </c>
      <c r="HFS100" s="6">
        <v>44102</v>
      </c>
      <c r="HFU100" s="5" t="s">
        <v>67</v>
      </c>
      <c r="HFV100" s="6">
        <v>44102</v>
      </c>
      <c r="HFW100" s="7">
        <v>0.4</v>
      </c>
      <c r="HFX100" s="5">
        <v>14.5</v>
      </c>
      <c r="HFY100" s="5">
        <v>226</v>
      </c>
      <c r="HFZ100" s="5">
        <v>250</v>
      </c>
      <c r="HGA100" s="6">
        <v>44102</v>
      </c>
      <c r="HGC100" s="5" t="s">
        <v>67</v>
      </c>
      <c r="HGD100" s="6">
        <v>44102</v>
      </c>
      <c r="HGE100" s="7">
        <v>0.4</v>
      </c>
      <c r="HGF100" s="5">
        <v>14.5</v>
      </c>
      <c r="HGG100" s="5">
        <v>226</v>
      </c>
      <c r="HGH100" s="5">
        <v>250</v>
      </c>
      <c r="HGI100" s="6">
        <v>44102</v>
      </c>
      <c r="HGK100" s="5" t="s">
        <v>67</v>
      </c>
      <c r="HGL100" s="6">
        <v>44102</v>
      </c>
      <c r="HGM100" s="7">
        <v>0.4</v>
      </c>
      <c r="HGN100" s="5">
        <v>14.5</v>
      </c>
      <c r="HGO100" s="5">
        <v>226</v>
      </c>
      <c r="HGP100" s="5">
        <v>250</v>
      </c>
      <c r="HGQ100" s="6">
        <v>44102</v>
      </c>
      <c r="HGS100" s="5" t="s">
        <v>67</v>
      </c>
      <c r="HGT100" s="6">
        <v>44102</v>
      </c>
      <c r="HGU100" s="7">
        <v>0.4</v>
      </c>
      <c r="HGV100" s="5">
        <v>14.5</v>
      </c>
      <c r="HGW100" s="5">
        <v>226</v>
      </c>
      <c r="HGX100" s="5">
        <v>250</v>
      </c>
      <c r="HGY100" s="6">
        <v>44102</v>
      </c>
      <c r="HHA100" s="5" t="s">
        <v>67</v>
      </c>
      <c r="HHB100" s="6">
        <v>44102</v>
      </c>
      <c r="HHC100" s="7">
        <v>0.4</v>
      </c>
      <c r="HHD100" s="5">
        <v>14.5</v>
      </c>
      <c r="HHE100" s="5">
        <v>226</v>
      </c>
      <c r="HHF100" s="5">
        <v>250</v>
      </c>
      <c r="HHG100" s="6">
        <v>44102</v>
      </c>
      <c r="HHI100" s="5" t="s">
        <v>67</v>
      </c>
      <c r="HHJ100" s="6">
        <v>44102</v>
      </c>
      <c r="HHK100" s="7">
        <v>0.4</v>
      </c>
      <c r="HHL100" s="5">
        <v>14.5</v>
      </c>
      <c r="HHM100" s="5">
        <v>226</v>
      </c>
      <c r="HHN100" s="5">
        <v>250</v>
      </c>
      <c r="HHO100" s="6">
        <v>44102</v>
      </c>
      <c r="HHQ100" s="5" t="s">
        <v>67</v>
      </c>
      <c r="HHR100" s="6">
        <v>44102</v>
      </c>
      <c r="HHS100" s="7">
        <v>0.4</v>
      </c>
      <c r="HHT100" s="5">
        <v>14.5</v>
      </c>
      <c r="HHU100" s="5">
        <v>226</v>
      </c>
      <c r="HHV100" s="5">
        <v>250</v>
      </c>
      <c r="HHW100" s="6">
        <v>44102</v>
      </c>
      <c r="HHY100" s="5" t="s">
        <v>67</v>
      </c>
      <c r="HHZ100" s="6">
        <v>44102</v>
      </c>
      <c r="HIA100" s="7">
        <v>0.4</v>
      </c>
      <c r="HIB100" s="5">
        <v>14.5</v>
      </c>
      <c r="HIC100" s="5">
        <v>226</v>
      </c>
      <c r="HID100" s="5">
        <v>250</v>
      </c>
      <c r="HIE100" s="6">
        <v>44102</v>
      </c>
      <c r="HIG100" s="5" t="s">
        <v>67</v>
      </c>
      <c r="HIH100" s="6">
        <v>44102</v>
      </c>
      <c r="HII100" s="7">
        <v>0.4</v>
      </c>
      <c r="HIJ100" s="5">
        <v>14.5</v>
      </c>
      <c r="HIK100" s="5">
        <v>226</v>
      </c>
      <c r="HIL100" s="5">
        <v>250</v>
      </c>
      <c r="HIM100" s="6">
        <v>44102</v>
      </c>
      <c r="HIO100" s="5" t="s">
        <v>67</v>
      </c>
      <c r="HIP100" s="6">
        <v>44102</v>
      </c>
      <c r="HIQ100" s="7">
        <v>0.4</v>
      </c>
      <c r="HIR100" s="5">
        <v>14.5</v>
      </c>
      <c r="HIS100" s="5">
        <v>226</v>
      </c>
      <c r="HIT100" s="5">
        <v>250</v>
      </c>
      <c r="HIU100" s="6">
        <v>44102</v>
      </c>
      <c r="HIW100" s="5" t="s">
        <v>67</v>
      </c>
      <c r="HIX100" s="6">
        <v>44102</v>
      </c>
      <c r="HIY100" s="7">
        <v>0.4</v>
      </c>
      <c r="HIZ100" s="5">
        <v>14.5</v>
      </c>
      <c r="HJA100" s="5">
        <v>226</v>
      </c>
      <c r="HJB100" s="5">
        <v>250</v>
      </c>
      <c r="HJC100" s="6">
        <v>44102</v>
      </c>
      <c r="HJE100" s="5" t="s">
        <v>67</v>
      </c>
      <c r="HJF100" s="6">
        <v>44102</v>
      </c>
      <c r="HJG100" s="7">
        <v>0.4</v>
      </c>
      <c r="HJH100" s="5">
        <v>14.5</v>
      </c>
      <c r="HJI100" s="5">
        <v>226</v>
      </c>
      <c r="HJJ100" s="5">
        <v>250</v>
      </c>
      <c r="HJK100" s="6">
        <v>44102</v>
      </c>
      <c r="HJM100" s="5" t="s">
        <v>67</v>
      </c>
      <c r="HJN100" s="6">
        <v>44102</v>
      </c>
      <c r="HJO100" s="7">
        <v>0.4</v>
      </c>
      <c r="HJP100" s="5">
        <v>14.5</v>
      </c>
      <c r="HJQ100" s="5">
        <v>226</v>
      </c>
      <c r="HJR100" s="5">
        <v>250</v>
      </c>
      <c r="HJS100" s="6">
        <v>44102</v>
      </c>
      <c r="HJU100" s="5" t="s">
        <v>67</v>
      </c>
      <c r="HJV100" s="6">
        <v>44102</v>
      </c>
      <c r="HJW100" s="7">
        <v>0.4</v>
      </c>
      <c r="HJX100" s="5">
        <v>14.5</v>
      </c>
      <c r="HJY100" s="5">
        <v>226</v>
      </c>
      <c r="HJZ100" s="5">
        <v>250</v>
      </c>
      <c r="HKA100" s="6">
        <v>44102</v>
      </c>
      <c r="HKC100" s="5" t="s">
        <v>67</v>
      </c>
      <c r="HKD100" s="6">
        <v>44102</v>
      </c>
      <c r="HKE100" s="7">
        <v>0.4</v>
      </c>
      <c r="HKF100" s="5">
        <v>14.5</v>
      </c>
      <c r="HKG100" s="5">
        <v>226</v>
      </c>
      <c r="HKH100" s="5">
        <v>250</v>
      </c>
      <c r="HKI100" s="6">
        <v>44102</v>
      </c>
      <c r="HKK100" s="5" t="s">
        <v>67</v>
      </c>
      <c r="HKL100" s="6">
        <v>44102</v>
      </c>
      <c r="HKM100" s="7">
        <v>0.4</v>
      </c>
      <c r="HKN100" s="5">
        <v>14.5</v>
      </c>
      <c r="HKO100" s="5">
        <v>226</v>
      </c>
      <c r="HKP100" s="5">
        <v>250</v>
      </c>
      <c r="HKQ100" s="6">
        <v>44102</v>
      </c>
      <c r="HKS100" s="5" t="s">
        <v>67</v>
      </c>
      <c r="HKT100" s="6">
        <v>44102</v>
      </c>
      <c r="HKU100" s="7">
        <v>0.4</v>
      </c>
      <c r="HKV100" s="5">
        <v>14.5</v>
      </c>
      <c r="HKW100" s="5">
        <v>226</v>
      </c>
      <c r="HKX100" s="5">
        <v>250</v>
      </c>
      <c r="HKY100" s="6">
        <v>44102</v>
      </c>
      <c r="HLA100" s="5" t="s">
        <v>67</v>
      </c>
      <c r="HLB100" s="6">
        <v>44102</v>
      </c>
      <c r="HLC100" s="7">
        <v>0.4</v>
      </c>
      <c r="HLD100" s="5">
        <v>14.5</v>
      </c>
      <c r="HLE100" s="5">
        <v>226</v>
      </c>
      <c r="HLF100" s="5">
        <v>250</v>
      </c>
      <c r="HLG100" s="6">
        <v>44102</v>
      </c>
      <c r="HLI100" s="5" t="s">
        <v>67</v>
      </c>
      <c r="HLJ100" s="6">
        <v>44102</v>
      </c>
      <c r="HLK100" s="7">
        <v>0.4</v>
      </c>
      <c r="HLL100" s="5">
        <v>14.5</v>
      </c>
      <c r="HLM100" s="5">
        <v>226</v>
      </c>
      <c r="HLN100" s="5">
        <v>250</v>
      </c>
      <c r="HLO100" s="6">
        <v>44102</v>
      </c>
      <c r="HLQ100" s="5" t="s">
        <v>67</v>
      </c>
      <c r="HLR100" s="6">
        <v>44102</v>
      </c>
      <c r="HLS100" s="7">
        <v>0.4</v>
      </c>
      <c r="HLT100" s="5">
        <v>14.5</v>
      </c>
      <c r="HLU100" s="5">
        <v>226</v>
      </c>
      <c r="HLV100" s="5">
        <v>250</v>
      </c>
      <c r="HLW100" s="6">
        <v>44102</v>
      </c>
      <c r="HLY100" s="5" t="s">
        <v>67</v>
      </c>
      <c r="HLZ100" s="6">
        <v>44102</v>
      </c>
      <c r="HMA100" s="7">
        <v>0.4</v>
      </c>
      <c r="HMB100" s="5">
        <v>14.5</v>
      </c>
      <c r="HMC100" s="5">
        <v>226</v>
      </c>
      <c r="HMD100" s="5">
        <v>250</v>
      </c>
      <c r="HME100" s="6">
        <v>44102</v>
      </c>
      <c r="HMG100" s="5" t="s">
        <v>67</v>
      </c>
      <c r="HMH100" s="6">
        <v>44102</v>
      </c>
      <c r="HMI100" s="7">
        <v>0.4</v>
      </c>
      <c r="HMJ100" s="5">
        <v>14.5</v>
      </c>
      <c r="HMK100" s="5">
        <v>226</v>
      </c>
      <c r="HML100" s="5">
        <v>250</v>
      </c>
      <c r="HMM100" s="6">
        <v>44102</v>
      </c>
      <c r="HMO100" s="5" t="s">
        <v>67</v>
      </c>
      <c r="HMP100" s="6">
        <v>44102</v>
      </c>
      <c r="HMQ100" s="7">
        <v>0.4</v>
      </c>
      <c r="HMR100" s="5">
        <v>14.5</v>
      </c>
      <c r="HMS100" s="5">
        <v>226</v>
      </c>
      <c r="HMT100" s="5">
        <v>250</v>
      </c>
      <c r="HMU100" s="6">
        <v>44102</v>
      </c>
      <c r="HMW100" s="5" t="s">
        <v>67</v>
      </c>
      <c r="HMX100" s="6">
        <v>44102</v>
      </c>
      <c r="HMY100" s="7">
        <v>0.4</v>
      </c>
      <c r="HMZ100" s="5">
        <v>14.5</v>
      </c>
      <c r="HNA100" s="5">
        <v>226</v>
      </c>
      <c r="HNB100" s="5">
        <v>250</v>
      </c>
      <c r="HNC100" s="6">
        <v>44102</v>
      </c>
      <c r="HNE100" s="5" t="s">
        <v>67</v>
      </c>
      <c r="HNF100" s="6">
        <v>44102</v>
      </c>
      <c r="HNG100" s="7">
        <v>0.4</v>
      </c>
      <c r="HNH100" s="5">
        <v>14.5</v>
      </c>
      <c r="HNI100" s="5">
        <v>226</v>
      </c>
      <c r="HNJ100" s="5">
        <v>250</v>
      </c>
      <c r="HNK100" s="6">
        <v>44102</v>
      </c>
      <c r="HNM100" s="5" t="s">
        <v>67</v>
      </c>
      <c r="HNN100" s="6">
        <v>44102</v>
      </c>
      <c r="HNO100" s="7">
        <v>0.4</v>
      </c>
      <c r="HNP100" s="5">
        <v>14.5</v>
      </c>
      <c r="HNQ100" s="5">
        <v>226</v>
      </c>
      <c r="HNR100" s="5">
        <v>250</v>
      </c>
      <c r="HNS100" s="6">
        <v>44102</v>
      </c>
      <c r="HNU100" s="5" t="s">
        <v>67</v>
      </c>
      <c r="HNV100" s="6">
        <v>44102</v>
      </c>
      <c r="HNW100" s="7">
        <v>0.4</v>
      </c>
      <c r="HNX100" s="5">
        <v>14.5</v>
      </c>
      <c r="HNY100" s="5">
        <v>226</v>
      </c>
      <c r="HNZ100" s="5">
        <v>250</v>
      </c>
      <c r="HOA100" s="6">
        <v>44102</v>
      </c>
      <c r="HOC100" s="5" t="s">
        <v>67</v>
      </c>
      <c r="HOD100" s="6">
        <v>44102</v>
      </c>
      <c r="HOE100" s="7">
        <v>0.4</v>
      </c>
      <c r="HOF100" s="5">
        <v>14.5</v>
      </c>
      <c r="HOG100" s="5">
        <v>226</v>
      </c>
      <c r="HOH100" s="5">
        <v>250</v>
      </c>
      <c r="HOI100" s="6">
        <v>44102</v>
      </c>
      <c r="HOK100" s="5" t="s">
        <v>67</v>
      </c>
      <c r="HOL100" s="6">
        <v>44102</v>
      </c>
      <c r="HOM100" s="7">
        <v>0.4</v>
      </c>
      <c r="HON100" s="5">
        <v>14.5</v>
      </c>
      <c r="HOO100" s="5">
        <v>226</v>
      </c>
      <c r="HOP100" s="5">
        <v>250</v>
      </c>
      <c r="HOQ100" s="6">
        <v>44102</v>
      </c>
      <c r="HOS100" s="5" t="s">
        <v>67</v>
      </c>
      <c r="HOT100" s="6">
        <v>44102</v>
      </c>
      <c r="HOU100" s="7">
        <v>0.4</v>
      </c>
      <c r="HOV100" s="5">
        <v>14.5</v>
      </c>
      <c r="HOW100" s="5">
        <v>226</v>
      </c>
      <c r="HOX100" s="5">
        <v>250</v>
      </c>
      <c r="HOY100" s="6">
        <v>44102</v>
      </c>
      <c r="HPA100" s="5" t="s">
        <v>67</v>
      </c>
      <c r="HPB100" s="6">
        <v>44102</v>
      </c>
      <c r="HPC100" s="7">
        <v>0.4</v>
      </c>
      <c r="HPD100" s="5">
        <v>14.5</v>
      </c>
      <c r="HPE100" s="5">
        <v>226</v>
      </c>
      <c r="HPF100" s="5">
        <v>250</v>
      </c>
      <c r="HPG100" s="6">
        <v>44102</v>
      </c>
      <c r="HPI100" s="5" t="s">
        <v>67</v>
      </c>
      <c r="HPJ100" s="6">
        <v>44102</v>
      </c>
      <c r="HPK100" s="7">
        <v>0.4</v>
      </c>
      <c r="HPL100" s="5">
        <v>14.5</v>
      </c>
      <c r="HPM100" s="5">
        <v>226</v>
      </c>
      <c r="HPN100" s="5">
        <v>250</v>
      </c>
      <c r="HPO100" s="6">
        <v>44102</v>
      </c>
      <c r="HPQ100" s="5" t="s">
        <v>67</v>
      </c>
      <c r="HPR100" s="6">
        <v>44102</v>
      </c>
      <c r="HPS100" s="7">
        <v>0.4</v>
      </c>
      <c r="HPT100" s="5">
        <v>14.5</v>
      </c>
      <c r="HPU100" s="5">
        <v>226</v>
      </c>
      <c r="HPV100" s="5">
        <v>250</v>
      </c>
      <c r="HPW100" s="6">
        <v>44102</v>
      </c>
      <c r="HPY100" s="5" t="s">
        <v>67</v>
      </c>
      <c r="HPZ100" s="6">
        <v>44102</v>
      </c>
      <c r="HQA100" s="7">
        <v>0.4</v>
      </c>
      <c r="HQB100" s="5">
        <v>14.5</v>
      </c>
      <c r="HQC100" s="5">
        <v>226</v>
      </c>
      <c r="HQD100" s="5">
        <v>250</v>
      </c>
      <c r="HQE100" s="6">
        <v>44102</v>
      </c>
      <c r="HQG100" s="5" t="s">
        <v>67</v>
      </c>
      <c r="HQH100" s="6">
        <v>44102</v>
      </c>
      <c r="HQI100" s="7">
        <v>0.4</v>
      </c>
      <c r="HQJ100" s="5">
        <v>14.5</v>
      </c>
      <c r="HQK100" s="5">
        <v>226</v>
      </c>
      <c r="HQL100" s="5">
        <v>250</v>
      </c>
      <c r="HQM100" s="6">
        <v>44102</v>
      </c>
      <c r="HQO100" s="5" t="s">
        <v>67</v>
      </c>
      <c r="HQP100" s="6">
        <v>44102</v>
      </c>
      <c r="HQQ100" s="7">
        <v>0.4</v>
      </c>
      <c r="HQR100" s="5">
        <v>14.5</v>
      </c>
      <c r="HQS100" s="5">
        <v>226</v>
      </c>
      <c r="HQT100" s="5">
        <v>250</v>
      </c>
      <c r="HQU100" s="6">
        <v>44102</v>
      </c>
      <c r="HQW100" s="5" t="s">
        <v>67</v>
      </c>
      <c r="HQX100" s="6">
        <v>44102</v>
      </c>
      <c r="HQY100" s="7">
        <v>0.4</v>
      </c>
      <c r="HQZ100" s="5">
        <v>14.5</v>
      </c>
      <c r="HRA100" s="5">
        <v>226</v>
      </c>
      <c r="HRB100" s="5">
        <v>250</v>
      </c>
      <c r="HRC100" s="6">
        <v>44102</v>
      </c>
      <c r="HRE100" s="5" t="s">
        <v>67</v>
      </c>
      <c r="HRF100" s="6">
        <v>44102</v>
      </c>
      <c r="HRG100" s="7">
        <v>0.4</v>
      </c>
      <c r="HRH100" s="5">
        <v>14.5</v>
      </c>
      <c r="HRI100" s="5">
        <v>226</v>
      </c>
      <c r="HRJ100" s="5">
        <v>250</v>
      </c>
      <c r="HRK100" s="6">
        <v>44102</v>
      </c>
      <c r="HRM100" s="5" t="s">
        <v>67</v>
      </c>
      <c r="HRN100" s="6">
        <v>44102</v>
      </c>
      <c r="HRO100" s="7">
        <v>0.4</v>
      </c>
      <c r="HRP100" s="5">
        <v>14.5</v>
      </c>
      <c r="HRQ100" s="5">
        <v>226</v>
      </c>
      <c r="HRR100" s="5">
        <v>250</v>
      </c>
      <c r="HRS100" s="6">
        <v>44102</v>
      </c>
      <c r="HRU100" s="5" t="s">
        <v>67</v>
      </c>
      <c r="HRV100" s="6">
        <v>44102</v>
      </c>
      <c r="HRW100" s="7">
        <v>0.4</v>
      </c>
      <c r="HRX100" s="5">
        <v>14.5</v>
      </c>
      <c r="HRY100" s="5">
        <v>226</v>
      </c>
      <c r="HRZ100" s="5">
        <v>250</v>
      </c>
      <c r="HSA100" s="6">
        <v>44102</v>
      </c>
      <c r="HSC100" s="5" t="s">
        <v>67</v>
      </c>
      <c r="HSD100" s="6">
        <v>44102</v>
      </c>
      <c r="HSE100" s="7">
        <v>0.4</v>
      </c>
      <c r="HSF100" s="5">
        <v>14.5</v>
      </c>
      <c r="HSG100" s="5">
        <v>226</v>
      </c>
      <c r="HSH100" s="5">
        <v>250</v>
      </c>
      <c r="HSI100" s="6">
        <v>44102</v>
      </c>
      <c r="HSK100" s="5" t="s">
        <v>67</v>
      </c>
      <c r="HSL100" s="6">
        <v>44102</v>
      </c>
      <c r="HSM100" s="7">
        <v>0.4</v>
      </c>
      <c r="HSN100" s="5">
        <v>14.5</v>
      </c>
      <c r="HSO100" s="5">
        <v>226</v>
      </c>
      <c r="HSP100" s="5">
        <v>250</v>
      </c>
      <c r="HSQ100" s="6">
        <v>44102</v>
      </c>
      <c r="HSS100" s="5" t="s">
        <v>67</v>
      </c>
      <c r="HST100" s="6">
        <v>44102</v>
      </c>
      <c r="HSU100" s="7">
        <v>0.4</v>
      </c>
      <c r="HSV100" s="5">
        <v>14.5</v>
      </c>
      <c r="HSW100" s="5">
        <v>226</v>
      </c>
      <c r="HSX100" s="5">
        <v>250</v>
      </c>
      <c r="HSY100" s="6">
        <v>44102</v>
      </c>
      <c r="HTA100" s="5" t="s">
        <v>67</v>
      </c>
      <c r="HTB100" s="6">
        <v>44102</v>
      </c>
      <c r="HTC100" s="7">
        <v>0.4</v>
      </c>
      <c r="HTD100" s="5">
        <v>14.5</v>
      </c>
      <c r="HTE100" s="5">
        <v>226</v>
      </c>
      <c r="HTF100" s="5">
        <v>250</v>
      </c>
      <c r="HTG100" s="6">
        <v>44102</v>
      </c>
      <c r="HTI100" s="5" t="s">
        <v>67</v>
      </c>
      <c r="HTJ100" s="6">
        <v>44102</v>
      </c>
      <c r="HTK100" s="7">
        <v>0.4</v>
      </c>
      <c r="HTL100" s="5">
        <v>14.5</v>
      </c>
      <c r="HTM100" s="5">
        <v>226</v>
      </c>
      <c r="HTN100" s="5">
        <v>250</v>
      </c>
      <c r="HTO100" s="6">
        <v>44102</v>
      </c>
      <c r="HTQ100" s="5" t="s">
        <v>67</v>
      </c>
      <c r="HTR100" s="6">
        <v>44102</v>
      </c>
      <c r="HTS100" s="7">
        <v>0.4</v>
      </c>
      <c r="HTT100" s="5">
        <v>14.5</v>
      </c>
      <c r="HTU100" s="5">
        <v>226</v>
      </c>
      <c r="HTV100" s="5">
        <v>250</v>
      </c>
      <c r="HTW100" s="6">
        <v>44102</v>
      </c>
      <c r="HTY100" s="5" t="s">
        <v>67</v>
      </c>
      <c r="HTZ100" s="6">
        <v>44102</v>
      </c>
      <c r="HUA100" s="7">
        <v>0.4</v>
      </c>
      <c r="HUB100" s="5">
        <v>14.5</v>
      </c>
      <c r="HUC100" s="5">
        <v>226</v>
      </c>
      <c r="HUD100" s="5">
        <v>250</v>
      </c>
      <c r="HUE100" s="6">
        <v>44102</v>
      </c>
      <c r="HUG100" s="5" t="s">
        <v>67</v>
      </c>
      <c r="HUH100" s="6">
        <v>44102</v>
      </c>
      <c r="HUI100" s="7">
        <v>0.4</v>
      </c>
      <c r="HUJ100" s="5">
        <v>14.5</v>
      </c>
      <c r="HUK100" s="5">
        <v>226</v>
      </c>
      <c r="HUL100" s="5">
        <v>250</v>
      </c>
      <c r="HUM100" s="6">
        <v>44102</v>
      </c>
      <c r="HUO100" s="5" t="s">
        <v>67</v>
      </c>
      <c r="HUP100" s="6">
        <v>44102</v>
      </c>
      <c r="HUQ100" s="7">
        <v>0.4</v>
      </c>
      <c r="HUR100" s="5">
        <v>14.5</v>
      </c>
      <c r="HUS100" s="5">
        <v>226</v>
      </c>
      <c r="HUT100" s="5">
        <v>250</v>
      </c>
      <c r="HUU100" s="6">
        <v>44102</v>
      </c>
      <c r="HUW100" s="5" t="s">
        <v>67</v>
      </c>
      <c r="HUX100" s="6">
        <v>44102</v>
      </c>
      <c r="HUY100" s="7">
        <v>0.4</v>
      </c>
      <c r="HUZ100" s="5">
        <v>14.5</v>
      </c>
      <c r="HVA100" s="5">
        <v>226</v>
      </c>
      <c r="HVB100" s="5">
        <v>250</v>
      </c>
      <c r="HVC100" s="6">
        <v>44102</v>
      </c>
      <c r="HVE100" s="5" t="s">
        <v>67</v>
      </c>
      <c r="HVF100" s="6">
        <v>44102</v>
      </c>
      <c r="HVG100" s="7">
        <v>0.4</v>
      </c>
      <c r="HVH100" s="5">
        <v>14.5</v>
      </c>
      <c r="HVI100" s="5">
        <v>226</v>
      </c>
      <c r="HVJ100" s="5">
        <v>250</v>
      </c>
      <c r="HVK100" s="6">
        <v>44102</v>
      </c>
      <c r="HVM100" s="5" t="s">
        <v>67</v>
      </c>
      <c r="HVN100" s="6">
        <v>44102</v>
      </c>
      <c r="HVO100" s="7">
        <v>0.4</v>
      </c>
      <c r="HVP100" s="5">
        <v>14.5</v>
      </c>
      <c r="HVQ100" s="5">
        <v>226</v>
      </c>
      <c r="HVR100" s="5">
        <v>250</v>
      </c>
      <c r="HVS100" s="6">
        <v>44102</v>
      </c>
      <c r="HVU100" s="5" t="s">
        <v>67</v>
      </c>
      <c r="HVV100" s="6">
        <v>44102</v>
      </c>
      <c r="HVW100" s="7">
        <v>0.4</v>
      </c>
      <c r="HVX100" s="5">
        <v>14.5</v>
      </c>
      <c r="HVY100" s="5">
        <v>226</v>
      </c>
      <c r="HVZ100" s="5">
        <v>250</v>
      </c>
      <c r="HWA100" s="6">
        <v>44102</v>
      </c>
      <c r="HWC100" s="5" t="s">
        <v>67</v>
      </c>
      <c r="HWD100" s="6">
        <v>44102</v>
      </c>
      <c r="HWE100" s="7">
        <v>0.4</v>
      </c>
      <c r="HWF100" s="5">
        <v>14.5</v>
      </c>
      <c r="HWG100" s="5">
        <v>226</v>
      </c>
      <c r="HWH100" s="5">
        <v>250</v>
      </c>
      <c r="HWI100" s="6">
        <v>44102</v>
      </c>
      <c r="HWK100" s="5" t="s">
        <v>67</v>
      </c>
      <c r="HWL100" s="6">
        <v>44102</v>
      </c>
      <c r="HWM100" s="7">
        <v>0.4</v>
      </c>
      <c r="HWN100" s="5">
        <v>14.5</v>
      </c>
      <c r="HWO100" s="5">
        <v>226</v>
      </c>
      <c r="HWP100" s="5">
        <v>250</v>
      </c>
      <c r="HWQ100" s="6">
        <v>44102</v>
      </c>
      <c r="HWS100" s="5" t="s">
        <v>67</v>
      </c>
      <c r="HWT100" s="6">
        <v>44102</v>
      </c>
      <c r="HWU100" s="7">
        <v>0.4</v>
      </c>
      <c r="HWV100" s="5">
        <v>14.5</v>
      </c>
      <c r="HWW100" s="5">
        <v>226</v>
      </c>
      <c r="HWX100" s="5">
        <v>250</v>
      </c>
      <c r="HWY100" s="6">
        <v>44102</v>
      </c>
      <c r="HXA100" s="5" t="s">
        <v>67</v>
      </c>
      <c r="HXB100" s="6">
        <v>44102</v>
      </c>
      <c r="HXC100" s="7">
        <v>0.4</v>
      </c>
      <c r="HXD100" s="5">
        <v>14.5</v>
      </c>
      <c r="HXE100" s="5">
        <v>226</v>
      </c>
      <c r="HXF100" s="5">
        <v>250</v>
      </c>
      <c r="HXG100" s="6">
        <v>44102</v>
      </c>
      <c r="HXI100" s="5" t="s">
        <v>67</v>
      </c>
      <c r="HXJ100" s="6">
        <v>44102</v>
      </c>
      <c r="HXK100" s="7">
        <v>0.4</v>
      </c>
      <c r="HXL100" s="5">
        <v>14.5</v>
      </c>
      <c r="HXM100" s="5">
        <v>226</v>
      </c>
      <c r="HXN100" s="5">
        <v>250</v>
      </c>
      <c r="HXO100" s="6">
        <v>44102</v>
      </c>
      <c r="HXQ100" s="5" t="s">
        <v>67</v>
      </c>
      <c r="HXR100" s="6">
        <v>44102</v>
      </c>
      <c r="HXS100" s="7">
        <v>0.4</v>
      </c>
      <c r="HXT100" s="5">
        <v>14.5</v>
      </c>
      <c r="HXU100" s="5">
        <v>226</v>
      </c>
      <c r="HXV100" s="5">
        <v>250</v>
      </c>
      <c r="HXW100" s="6">
        <v>44102</v>
      </c>
      <c r="HXY100" s="5" t="s">
        <v>67</v>
      </c>
      <c r="HXZ100" s="6">
        <v>44102</v>
      </c>
      <c r="HYA100" s="7">
        <v>0.4</v>
      </c>
      <c r="HYB100" s="5">
        <v>14.5</v>
      </c>
      <c r="HYC100" s="5">
        <v>226</v>
      </c>
      <c r="HYD100" s="5">
        <v>250</v>
      </c>
      <c r="HYE100" s="6">
        <v>44102</v>
      </c>
      <c r="HYG100" s="5" t="s">
        <v>67</v>
      </c>
      <c r="HYH100" s="6">
        <v>44102</v>
      </c>
      <c r="HYI100" s="7">
        <v>0.4</v>
      </c>
      <c r="HYJ100" s="5">
        <v>14.5</v>
      </c>
      <c r="HYK100" s="5">
        <v>226</v>
      </c>
      <c r="HYL100" s="5">
        <v>250</v>
      </c>
      <c r="HYM100" s="6">
        <v>44102</v>
      </c>
      <c r="HYO100" s="5" t="s">
        <v>67</v>
      </c>
      <c r="HYP100" s="6">
        <v>44102</v>
      </c>
      <c r="HYQ100" s="7">
        <v>0.4</v>
      </c>
      <c r="HYR100" s="5">
        <v>14.5</v>
      </c>
      <c r="HYS100" s="5">
        <v>226</v>
      </c>
      <c r="HYT100" s="5">
        <v>250</v>
      </c>
      <c r="HYU100" s="6">
        <v>44102</v>
      </c>
      <c r="HYW100" s="5" t="s">
        <v>67</v>
      </c>
      <c r="HYX100" s="6">
        <v>44102</v>
      </c>
      <c r="HYY100" s="7">
        <v>0.4</v>
      </c>
      <c r="HYZ100" s="5">
        <v>14.5</v>
      </c>
      <c r="HZA100" s="5">
        <v>226</v>
      </c>
      <c r="HZB100" s="5">
        <v>250</v>
      </c>
      <c r="HZC100" s="6">
        <v>44102</v>
      </c>
      <c r="HZE100" s="5" t="s">
        <v>67</v>
      </c>
      <c r="HZF100" s="6">
        <v>44102</v>
      </c>
      <c r="HZG100" s="7">
        <v>0.4</v>
      </c>
      <c r="HZH100" s="5">
        <v>14.5</v>
      </c>
      <c r="HZI100" s="5">
        <v>226</v>
      </c>
      <c r="HZJ100" s="5">
        <v>250</v>
      </c>
      <c r="HZK100" s="6">
        <v>44102</v>
      </c>
      <c r="HZM100" s="5" t="s">
        <v>67</v>
      </c>
      <c r="HZN100" s="6">
        <v>44102</v>
      </c>
      <c r="HZO100" s="7">
        <v>0.4</v>
      </c>
      <c r="HZP100" s="5">
        <v>14.5</v>
      </c>
      <c r="HZQ100" s="5">
        <v>226</v>
      </c>
      <c r="HZR100" s="5">
        <v>250</v>
      </c>
      <c r="HZS100" s="6">
        <v>44102</v>
      </c>
      <c r="HZU100" s="5" t="s">
        <v>67</v>
      </c>
      <c r="HZV100" s="6">
        <v>44102</v>
      </c>
      <c r="HZW100" s="7">
        <v>0.4</v>
      </c>
      <c r="HZX100" s="5">
        <v>14.5</v>
      </c>
      <c r="HZY100" s="5">
        <v>226</v>
      </c>
      <c r="HZZ100" s="5">
        <v>250</v>
      </c>
      <c r="IAA100" s="6">
        <v>44102</v>
      </c>
      <c r="IAC100" s="5" t="s">
        <v>67</v>
      </c>
      <c r="IAD100" s="6">
        <v>44102</v>
      </c>
      <c r="IAE100" s="7">
        <v>0.4</v>
      </c>
      <c r="IAF100" s="5">
        <v>14.5</v>
      </c>
      <c r="IAG100" s="5">
        <v>226</v>
      </c>
      <c r="IAH100" s="5">
        <v>250</v>
      </c>
      <c r="IAI100" s="6">
        <v>44102</v>
      </c>
      <c r="IAK100" s="5" t="s">
        <v>67</v>
      </c>
      <c r="IAL100" s="6">
        <v>44102</v>
      </c>
      <c r="IAM100" s="7">
        <v>0.4</v>
      </c>
      <c r="IAN100" s="5">
        <v>14.5</v>
      </c>
      <c r="IAO100" s="5">
        <v>226</v>
      </c>
      <c r="IAP100" s="5">
        <v>250</v>
      </c>
      <c r="IAQ100" s="6">
        <v>44102</v>
      </c>
      <c r="IAS100" s="5" t="s">
        <v>67</v>
      </c>
      <c r="IAT100" s="6">
        <v>44102</v>
      </c>
      <c r="IAU100" s="7">
        <v>0.4</v>
      </c>
      <c r="IAV100" s="5">
        <v>14.5</v>
      </c>
      <c r="IAW100" s="5">
        <v>226</v>
      </c>
      <c r="IAX100" s="5">
        <v>250</v>
      </c>
      <c r="IAY100" s="6">
        <v>44102</v>
      </c>
      <c r="IBA100" s="5" t="s">
        <v>67</v>
      </c>
      <c r="IBB100" s="6">
        <v>44102</v>
      </c>
      <c r="IBC100" s="7">
        <v>0.4</v>
      </c>
      <c r="IBD100" s="5">
        <v>14.5</v>
      </c>
      <c r="IBE100" s="5">
        <v>226</v>
      </c>
      <c r="IBF100" s="5">
        <v>250</v>
      </c>
      <c r="IBG100" s="6">
        <v>44102</v>
      </c>
      <c r="IBI100" s="5" t="s">
        <v>67</v>
      </c>
      <c r="IBJ100" s="6">
        <v>44102</v>
      </c>
      <c r="IBK100" s="7">
        <v>0.4</v>
      </c>
      <c r="IBL100" s="5">
        <v>14.5</v>
      </c>
      <c r="IBM100" s="5">
        <v>226</v>
      </c>
      <c r="IBN100" s="5">
        <v>250</v>
      </c>
      <c r="IBO100" s="6">
        <v>44102</v>
      </c>
      <c r="IBQ100" s="5" t="s">
        <v>67</v>
      </c>
      <c r="IBR100" s="6">
        <v>44102</v>
      </c>
      <c r="IBS100" s="7">
        <v>0.4</v>
      </c>
      <c r="IBT100" s="5">
        <v>14.5</v>
      </c>
      <c r="IBU100" s="5">
        <v>226</v>
      </c>
      <c r="IBV100" s="5">
        <v>250</v>
      </c>
      <c r="IBW100" s="6">
        <v>44102</v>
      </c>
      <c r="IBY100" s="5" t="s">
        <v>67</v>
      </c>
      <c r="IBZ100" s="6">
        <v>44102</v>
      </c>
      <c r="ICA100" s="7">
        <v>0.4</v>
      </c>
      <c r="ICB100" s="5">
        <v>14.5</v>
      </c>
      <c r="ICC100" s="5">
        <v>226</v>
      </c>
      <c r="ICD100" s="5">
        <v>250</v>
      </c>
      <c r="ICE100" s="6">
        <v>44102</v>
      </c>
      <c r="ICG100" s="5" t="s">
        <v>67</v>
      </c>
      <c r="ICH100" s="6">
        <v>44102</v>
      </c>
      <c r="ICI100" s="7">
        <v>0.4</v>
      </c>
      <c r="ICJ100" s="5">
        <v>14.5</v>
      </c>
      <c r="ICK100" s="5">
        <v>226</v>
      </c>
      <c r="ICL100" s="5">
        <v>250</v>
      </c>
      <c r="ICM100" s="6">
        <v>44102</v>
      </c>
      <c r="ICO100" s="5" t="s">
        <v>67</v>
      </c>
      <c r="ICP100" s="6">
        <v>44102</v>
      </c>
      <c r="ICQ100" s="7">
        <v>0.4</v>
      </c>
      <c r="ICR100" s="5">
        <v>14.5</v>
      </c>
      <c r="ICS100" s="5">
        <v>226</v>
      </c>
      <c r="ICT100" s="5">
        <v>250</v>
      </c>
      <c r="ICU100" s="6">
        <v>44102</v>
      </c>
      <c r="ICW100" s="5" t="s">
        <v>67</v>
      </c>
      <c r="ICX100" s="6">
        <v>44102</v>
      </c>
      <c r="ICY100" s="7">
        <v>0.4</v>
      </c>
      <c r="ICZ100" s="5">
        <v>14.5</v>
      </c>
      <c r="IDA100" s="5">
        <v>226</v>
      </c>
      <c r="IDB100" s="5">
        <v>250</v>
      </c>
      <c r="IDC100" s="6">
        <v>44102</v>
      </c>
      <c r="IDE100" s="5" t="s">
        <v>67</v>
      </c>
      <c r="IDF100" s="6">
        <v>44102</v>
      </c>
      <c r="IDG100" s="7">
        <v>0.4</v>
      </c>
      <c r="IDH100" s="5">
        <v>14.5</v>
      </c>
      <c r="IDI100" s="5">
        <v>226</v>
      </c>
      <c r="IDJ100" s="5">
        <v>250</v>
      </c>
      <c r="IDK100" s="6">
        <v>44102</v>
      </c>
      <c r="IDM100" s="5" t="s">
        <v>67</v>
      </c>
      <c r="IDN100" s="6">
        <v>44102</v>
      </c>
      <c r="IDO100" s="7">
        <v>0.4</v>
      </c>
      <c r="IDP100" s="5">
        <v>14.5</v>
      </c>
      <c r="IDQ100" s="5">
        <v>226</v>
      </c>
      <c r="IDR100" s="5">
        <v>250</v>
      </c>
      <c r="IDS100" s="6">
        <v>44102</v>
      </c>
      <c r="IDU100" s="5" t="s">
        <v>67</v>
      </c>
      <c r="IDV100" s="6">
        <v>44102</v>
      </c>
      <c r="IDW100" s="7">
        <v>0.4</v>
      </c>
      <c r="IDX100" s="5">
        <v>14.5</v>
      </c>
      <c r="IDY100" s="5">
        <v>226</v>
      </c>
      <c r="IDZ100" s="5">
        <v>250</v>
      </c>
      <c r="IEA100" s="6">
        <v>44102</v>
      </c>
      <c r="IEC100" s="5" t="s">
        <v>67</v>
      </c>
      <c r="IED100" s="6">
        <v>44102</v>
      </c>
      <c r="IEE100" s="7">
        <v>0.4</v>
      </c>
      <c r="IEF100" s="5">
        <v>14.5</v>
      </c>
      <c r="IEG100" s="5">
        <v>226</v>
      </c>
      <c r="IEH100" s="5">
        <v>250</v>
      </c>
      <c r="IEI100" s="6">
        <v>44102</v>
      </c>
      <c r="IEK100" s="5" t="s">
        <v>67</v>
      </c>
      <c r="IEL100" s="6">
        <v>44102</v>
      </c>
      <c r="IEM100" s="7">
        <v>0.4</v>
      </c>
      <c r="IEN100" s="5">
        <v>14.5</v>
      </c>
      <c r="IEO100" s="5">
        <v>226</v>
      </c>
      <c r="IEP100" s="5">
        <v>250</v>
      </c>
      <c r="IEQ100" s="6">
        <v>44102</v>
      </c>
      <c r="IES100" s="5" t="s">
        <v>67</v>
      </c>
      <c r="IET100" s="6">
        <v>44102</v>
      </c>
      <c r="IEU100" s="7">
        <v>0.4</v>
      </c>
      <c r="IEV100" s="5">
        <v>14.5</v>
      </c>
      <c r="IEW100" s="5">
        <v>226</v>
      </c>
      <c r="IEX100" s="5">
        <v>250</v>
      </c>
      <c r="IEY100" s="6">
        <v>44102</v>
      </c>
      <c r="IFA100" s="5" t="s">
        <v>67</v>
      </c>
      <c r="IFB100" s="6">
        <v>44102</v>
      </c>
      <c r="IFC100" s="7">
        <v>0.4</v>
      </c>
      <c r="IFD100" s="5">
        <v>14.5</v>
      </c>
      <c r="IFE100" s="5">
        <v>226</v>
      </c>
      <c r="IFF100" s="5">
        <v>250</v>
      </c>
      <c r="IFG100" s="6">
        <v>44102</v>
      </c>
      <c r="IFI100" s="5" t="s">
        <v>67</v>
      </c>
      <c r="IFJ100" s="6">
        <v>44102</v>
      </c>
      <c r="IFK100" s="7">
        <v>0.4</v>
      </c>
      <c r="IFL100" s="5">
        <v>14.5</v>
      </c>
      <c r="IFM100" s="5">
        <v>226</v>
      </c>
      <c r="IFN100" s="5">
        <v>250</v>
      </c>
      <c r="IFO100" s="6">
        <v>44102</v>
      </c>
      <c r="IFQ100" s="5" t="s">
        <v>67</v>
      </c>
      <c r="IFR100" s="6">
        <v>44102</v>
      </c>
      <c r="IFS100" s="7">
        <v>0.4</v>
      </c>
      <c r="IFT100" s="5">
        <v>14.5</v>
      </c>
      <c r="IFU100" s="5">
        <v>226</v>
      </c>
      <c r="IFV100" s="5">
        <v>250</v>
      </c>
      <c r="IFW100" s="6">
        <v>44102</v>
      </c>
      <c r="IFY100" s="5" t="s">
        <v>67</v>
      </c>
      <c r="IFZ100" s="6">
        <v>44102</v>
      </c>
      <c r="IGA100" s="7">
        <v>0.4</v>
      </c>
      <c r="IGB100" s="5">
        <v>14.5</v>
      </c>
      <c r="IGC100" s="5">
        <v>226</v>
      </c>
      <c r="IGD100" s="5">
        <v>250</v>
      </c>
      <c r="IGE100" s="6">
        <v>44102</v>
      </c>
      <c r="IGG100" s="5" t="s">
        <v>67</v>
      </c>
      <c r="IGH100" s="6">
        <v>44102</v>
      </c>
      <c r="IGI100" s="7">
        <v>0.4</v>
      </c>
      <c r="IGJ100" s="5">
        <v>14.5</v>
      </c>
      <c r="IGK100" s="5">
        <v>226</v>
      </c>
      <c r="IGL100" s="5">
        <v>250</v>
      </c>
      <c r="IGM100" s="6">
        <v>44102</v>
      </c>
      <c r="IGO100" s="5" t="s">
        <v>67</v>
      </c>
      <c r="IGP100" s="6">
        <v>44102</v>
      </c>
      <c r="IGQ100" s="7">
        <v>0.4</v>
      </c>
      <c r="IGR100" s="5">
        <v>14.5</v>
      </c>
      <c r="IGS100" s="5">
        <v>226</v>
      </c>
      <c r="IGT100" s="5">
        <v>250</v>
      </c>
      <c r="IGU100" s="6">
        <v>44102</v>
      </c>
      <c r="IGW100" s="5" t="s">
        <v>67</v>
      </c>
      <c r="IGX100" s="6">
        <v>44102</v>
      </c>
      <c r="IGY100" s="7">
        <v>0.4</v>
      </c>
      <c r="IGZ100" s="5">
        <v>14.5</v>
      </c>
      <c r="IHA100" s="5">
        <v>226</v>
      </c>
      <c r="IHB100" s="5">
        <v>250</v>
      </c>
      <c r="IHC100" s="6">
        <v>44102</v>
      </c>
      <c r="IHE100" s="5" t="s">
        <v>67</v>
      </c>
      <c r="IHF100" s="6">
        <v>44102</v>
      </c>
      <c r="IHG100" s="7">
        <v>0.4</v>
      </c>
      <c r="IHH100" s="5">
        <v>14.5</v>
      </c>
      <c r="IHI100" s="5">
        <v>226</v>
      </c>
      <c r="IHJ100" s="5">
        <v>250</v>
      </c>
      <c r="IHK100" s="6">
        <v>44102</v>
      </c>
      <c r="IHM100" s="5" t="s">
        <v>67</v>
      </c>
      <c r="IHN100" s="6">
        <v>44102</v>
      </c>
      <c r="IHO100" s="7">
        <v>0.4</v>
      </c>
      <c r="IHP100" s="5">
        <v>14.5</v>
      </c>
      <c r="IHQ100" s="5">
        <v>226</v>
      </c>
      <c r="IHR100" s="5">
        <v>250</v>
      </c>
      <c r="IHS100" s="6">
        <v>44102</v>
      </c>
      <c r="IHU100" s="5" t="s">
        <v>67</v>
      </c>
      <c r="IHV100" s="6">
        <v>44102</v>
      </c>
      <c r="IHW100" s="7">
        <v>0.4</v>
      </c>
      <c r="IHX100" s="5">
        <v>14.5</v>
      </c>
      <c r="IHY100" s="5">
        <v>226</v>
      </c>
      <c r="IHZ100" s="5">
        <v>250</v>
      </c>
      <c r="IIA100" s="6">
        <v>44102</v>
      </c>
      <c r="IIC100" s="5" t="s">
        <v>67</v>
      </c>
      <c r="IID100" s="6">
        <v>44102</v>
      </c>
      <c r="IIE100" s="7">
        <v>0.4</v>
      </c>
      <c r="IIF100" s="5">
        <v>14.5</v>
      </c>
      <c r="IIG100" s="5">
        <v>226</v>
      </c>
      <c r="IIH100" s="5">
        <v>250</v>
      </c>
      <c r="III100" s="6">
        <v>44102</v>
      </c>
      <c r="IIK100" s="5" t="s">
        <v>67</v>
      </c>
      <c r="IIL100" s="6">
        <v>44102</v>
      </c>
      <c r="IIM100" s="7">
        <v>0.4</v>
      </c>
      <c r="IIN100" s="5">
        <v>14.5</v>
      </c>
      <c r="IIO100" s="5">
        <v>226</v>
      </c>
      <c r="IIP100" s="5">
        <v>250</v>
      </c>
      <c r="IIQ100" s="6">
        <v>44102</v>
      </c>
      <c r="IIS100" s="5" t="s">
        <v>67</v>
      </c>
      <c r="IIT100" s="6">
        <v>44102</v>
      </c>
      <c r="IIU100" s="7">
        <v>0.4</v>
      </c>
      <c r="IIV100" s="5">
        <v>14.5</v>
      </c>
      <c r="IIW100" s="5">
        <v>226</v>
      </c>
      <c r="IIX100" s="5">
        <v>250</v>
      </c>
      <c r="IIY100" s="6">
        <v>44102</v>
      </c>
      <c r="IJA100" s="5" t="s">
        <v>67</v>
      </c>
      <c r="IJB100" s="6">
        <v>44102</v>
      </c>
      <c r="IJC100" s="7">
        <v>0.4</v>
      </c>
      <c r="IJD100" s="5">
        <v>14.5</v>
      </c>
      <c r="IJE100" s="5">
        <v>226</v>
      </c>
      <c r="IJF100" s="5">
        <v>250</v>
      </c>
      <c r="IJG100" s="6">
        <v>44102</v>
      </c>
      <c r="IJI100" s="5" t="s">
        <v>67</v>
      </c>
      <c r="IJJ100" s="6">
        <v>44102</v>
      </c>
      <c r="IJK100" s="7">
        <v>0.4</v>
      </c>
      <c r="IJL100" s="5">
        <v>14.5</v>
      </c>
      <c r="IJM100" s="5">
        <v>226</v>
      </c>
      <c r="IJN100" s="5">
        <v>250</v>
      </c>
      <c r="IJO100" s="6">
        <v>44102</v>
      </c>
      <c r="IJQ100" s="5" t="s">
        <v>67</v>
      </c>
      <c r="IJR100" s="6">
        <v>44102</v>
      </c>
      <c r="IJS100" s="7">
        <v>0.4</v>
      </c>
      <c r="IJT100" s="5">
        <v>14.5</v>
      </c>
      <c r="IJU100" s="5">
        <v>226</v>
      </c>
      <c r="IJV100" s="5">
        <v>250</v>
      </c>
      <c r="IJW100" s="6">
        <v>44102</v>
      </c>
      <c r="IJY100" s="5" t="s">
        <v>67</v>
      </c>
      <c r="IJZ100" s="6">
        <v>44102</v>
      </c>
      <c r="IKA100" s="7">
        <v>0.4</v>
      </c>
      <c r="IKB100" s="5">
        <v>14.5</v>
      </c>
      <c r="IKC100" s="5">
        <v>226</v>
      </c>
      <c r="IKD100" s="5">
        <v>250</v>
      </c>
      <c r="IKE100" s="6">
        <v>44102</v>
      </c>
      <c r="IKG100" s="5" t="s">
        <v>67</v>
      </c>
      <c r="IKH100" s="6">
        <v>44102</v>
      </c>
      <c r="IKI100" s="7">
        <v>0.4</v>
      </c>
      <c r="IKJ100" s="5">
        <v>14.5</v>
      </c>
      <c r="IKK100" s="5">
        <v>226</v>
      </c>
      <c r="IKL100" s="5">
        <v>250</v>
      </c>
      <c r="IKM100" s="6">
        <v>44102</v>
      </c>
      <c r="IKO100" s="5" t="s">
        <v>67</v>
      </c>
      <c r="IKP100" s="6">
        <v>44102</v>
      </c>
      <c r="IKQ100" s="7">
        <v>0.4</v>
      </c>
      <c r="IKR100" s="5">
        <v>14.5</v>
      </c>
      <c r="IKS100" s="5">
        <v>226</v>
      </c>
      <c r="IKT100" s="5">
        <v>250</v>
      </c>
      <c r="IKU100" s="6">
        <v>44102</v>
      </c>
      <c r="IKW100" s="5" t="s">
        <v>67</v>
      </c>
      <c r="IKX100" s="6">
        <v>44102</v>
      </c>
      <c r="IKY100" s="7">
        <v>0.4</v>
      </c>
      <c r="IKZ100" s="5">
        <v>14.5</v>
      </c>
      <c r="ILA100" s="5">
        <v>226</v>
      </c>
      <c r="ILB100" s="5">
        <v>250</v>
      </c>
      <c r="ILC100" s="6">
        <v>44102</v>
      </c>
      <c r="ILE100" s="5" t="s">
        <v>67</v>
      </c>
      <c r="ILF100" s="6">
        <v>44102</v>
      </c>
      <c r="ILG100" s="7">
        <v>0.4</v>
      </c>
      <c r="ILH100" s="5">
        <v>14.5</v>
      </c>
      <c r="ILI100" s="5">
        <v>226</v>
      </c>
      <c r="ILJ100" s="5">
        <v>250</v>
      </c>
      <c r="ILK100" s="6">
        <v>44102</v>
      </c>
      <c r="ILM100" s="5" t="s">
        <v>67</v>
      </c>
      <c r="ILN100" s="6">
        <v>44102</v>
      </c>
      <c r="ILO100" s="7">
        <v>0.4</v>
      </c>
      <c r="ILP100" s="5">
        <v>14.5</v>
      </c>
      <c r="ILQ100" s="5">
        <v>226</v>
      </c>
      <c r="ILR100" s="5">
        <v>250</v>
      </c>
      <c r="ILS100" s="6">
        <v>44102</v>
      </c>
      <c r="ILU100" s="5" t="s">
        <v>67</v>
      </c>
      <c r="ILV100" s="6">
        <v>44102</v>
      </c>
      <c r="ILW100" s="7">
        <v>0.4</v>
      </c>
      <c r="ILX100" s="5">
        <v>14.5</v>
      </c>
      <c r="ILY100" s="5">
        <v>226</v>
      </c>
      <c r="ILZ100" s="5">
        <v>250</v>
      </c>
      <c r="IMA100" s="6">
        <v>44102</v>
      </c>
      <c r="IMC100" s="5" t="s">
        <v>67</v>
      </c>
      <c r="IMD100" s="6">
        <v>44102</v>
      </c>
      <c r="IME100" s="7">
        <v>0.4</v>
      </c>
      <c r="IMF100" s="5">
        <v>14.5</v>
      </c>
      <c r="IMG100" s="5">
        <v>226</v>
      </c>
      <c r="IMH100" s="5">
        <v>250</v>
      </c>
      <c r="IMI100" s="6">
        <v>44102</v>
      </c>
      <c r="IMK100" s="5" t="s">
        <v>67</v>
      </c>
      <c r="IML100" s="6">
        <v>44102</v>
      </c>
      <c r="IMM100" s="7">
        <v>0.4</v>
      </c>
      <c r="IMN100" s="5">
        <v>14.5</v>
      </c>
      <c r="IMO100" s="5">
        <v>226</v>
      </c>
      <c r="IMP100" s="5">
        <v>250</v>
      </c>
      <c r="IMQ100" s="6">
        <v>44102</v>
      </c>
      <c r="IMS100" s="5" t="s">
        <v>67</v>
      </c>
      <c r="IMT100" s="6">
        <v>44102</v>
      </c>
      <c r="IMU100" s="7">
        <v>0.4</v>
      </c>
      <c r="IMV100" s="5">
        <v>14.5</v>
      </c>
      <c r="IMW100" s="5">
        <v>226</v>
      </c>
      <c r="IMX100" s="5">
        <v>250</v>
      </c>
      <c r="IMY100" s="6">
        <v>44102</v>
      </c>
      <c r="INA100" s="5" t="s">
        <v>67</v>
      </c>
      <c r="INB100" s="6">
        <v>44102</v>
      </c>
      <c r="INC100" s="7">
        <v>0.4</v>
      </c>
      <c r="IND100" s="5">
        <v>14.5</v>
      </c>
      <c r="INE100" s="5">
        <v>226</v>
      </c>
      <c r="INF100" s="5">
        <v>250</v>
      </c>
      <c r="ING100" s="6">
        <v>44102</v>
      </c>
      <c r="INI100" s="5" t="s">
        <v>67</v>
      </c>
      <c r="INJ100" s="6">
        <v>44102</v>
      </c>
      <c r="INK100" s="7">
        <v>0.4</v>
      </c>
      <c r="INL100" s="5">
        <v>14.5</v>
      </c>
      <c r="INM100" s="5">
        <v>226</v>
      </c>
      <c r="INN100" s="5">
        <v>250</v>
      </c>
      <c r="INO100" s="6">
        <v>44102</v>
      </c>
      <c r="INQ100" s="5" t="s">
        <v>67</v>
      </c>
      <c r="INR100" s="6">
        <v>44102</v>
      </c>
      <c r="INS100" s="7">
        <v>0.4</v>
      </c>
      <c r="INT100" s="5">
        <v>14.5</v>
      </c>
      <c r="INU100" s="5">
        <v>226</v>
      </c>
      <c r="INV100" s="5">
        <v>250</v>
      </c>
      <c r="INW100" s="6">
        <v>44102</v>
      </c>
      <c r="INY100" s="5" t="s">
        <v>67</v>
      </c>
      <c r="INZ100" s="6">
        <v>44102</v>
      </c>
      <c r="IOA100" s="7">
        <v>0.4</v>
      </c>
      <c r="IOB100" s="5">
        <v>14.5</v>
      </c>
      <c r="IOC100" s="5">
        <v>226</v>
      </c>
      <c r="IOD100" s="5">
        <v>250</v>
      </c>
      <c r="IOE100" s="6">
        <v>44102</v>
      </c>
      <c r="IOG100" s="5" t="s">
        <v>67</v>
      </c>
      <c r="IOH100" s="6">
        <v>44102</v>
      </c>
      <c r="IOI100" s="7">
        <v>0.4</v>
      </c>
      <c r="IOJ100" s="5">
        <v>14.5</v>
      </c>
      <c r="IOK100" s="5">
        <v>226</v>
      </c>
      <c r="IOL100" s="5">
        <v>250</v>
      </c>
      <c r="IOM100" s="6">
        <v>44102</v>
      </c>
      <c r="IOO100" s="5" t="s">
        <v>67</v>
      </c>
      <c r="IOP100" s="6">
        <v>44102</v>
      </c>
      <c r="IOQ100" s="7">
        <v>0.4</v>
      </c>
      <c r="IOR100" s="5">
        <v>14.5</v>
      </c>
      <c r="IOS100" s="5">
        <v>226</v>
      </c>
      <c r="IOT100" s="5">
        <v>250</v>
      </c>
      <c r="IOU100" s="6">
        <v>44102</v>
      </c>
      <c r="IOW100" s="5" t="s">
        <v>67</v>
      </c>
      <c r="IOX100" s="6">
        <v>44102</v>
      </c>
      <c r="IOY100" s="7">
        <v>0.4</v>
      </c>
      <c r="IOZ100" s="5">
        <v>14.5</v>
      </c>
      <c r="IPA100" s="5">
        <v>226</v>
      </c>
      <c r="IPB100" s="5">
        <v>250</v>
      </c>
      <c r="IPC100" s="6">
        <v>44102</v>
      </c>
      <c r="IPE100" s="5" t="s">
        <v>67</v>
      </c>
      <c r="IPF100" s="6">
        <v>44102</v>
      </c>
      <c r="IPG100" s="7">
        <v>0.4</v>
      </c>
      <c r="IPH100" s="5">
        <v>14.5</v>
      </c>
      <c r="IPI100" s="5">
        <v>226</v>
      </c>
      <c r="IPJ100" s="5">
        <v>250</v>
      </c>
      <c r="IPK100" s="6">
        <v>44102</v>
      </c>
      <c r="IPM100" s="5" t="s">
        <v>67</v>
      </c>
      <c r="IPN100" s="6">
        <v>44102</v>
      </c>
      <c r="IPO100" s="7">
        <v>0.4</v>
      </c>
      <c r="IPP100" s="5">
        <v>14.5</v>
      </c>
      <c r="IPQ100" s="5">
        <v>226</v>
      </c>
      <c r="IPR100" s="5">
        <v>250</v>
      </c>
      <c r="IPS100" s="6">
        <v>44102</v>
      </c>
      <c r="IPU100" s="5" t="s">
        <v>67</v>
      </c>
      <c r="IPV100" s="6">
        <v>44102</v>
      </c>
      <c r="IPW100" s="7">
        <v>0.4</v>
      </c>
      <c r="IPX100" s="5">
        <v>14.5</v>
      </c>
      <c r="IPY100" s="5">
        <v>226</v>
      </c>
      <c r="IPZ100" s="5">
        <v>250</v>
      </c>
      <c r="IQA100" s="6">
        <v>44102</v>
      </c>
      <c r="IQC100" s="5" t="s">
        <v>67</v>
      </c>
      <c r="IQD100" s="6">
        <v>44102</v>
      </c>
      <c r="IQE100" s="7">
        <v>0.4</v>
      </c>
      <c r="IQF100" s="5">
        <v>14.5</v>
      </c>
      <c r="IQG100" s="5">
        <v>226</v>
      </c>
      <c r="IQH100" s="5">
        <v>250</v>
      </c>
      <c r="IQI100" s="6">
        <v>44102</v>
      </c>
      <c r="IQK100" s="5" t="s">
        <v>67</v>
      </c>
      <c r="IQL100" s="6">
        <v>44102</v>
      </c>
      <c r="IQM100" s="7">
        <v>0.4</v>
      </c>
      <c r="IQN100" s="5">
        <v>14.5</v>
      </c>
      <c r="IQO100" s="5">
        <v>226</v>
      </c>
      <c r="IQP100" s="5">
        <v>250</v>
      </c>
      <c r="IQQ100" s="6">
        <v>44102</v>
      </c>
      <c r="IQS100" s="5" t="s">
        <v>67</v>
      </c>
      <c r="IQT100" s="6">
        <v>44102</v>
      </c>
      <c r="IQU100" s="7">
        <v>0.4</v>
      </c>
      <c r="IQV100" s="5">
        <v>14.5</v>
      </c>
      <c r="IQW100" s="5">
        <v>226</v>
      </c>
      <c r="IQX100" s="5">
        <v>250</v>
      </c>
      <c r="IQY100" s="6">
        <v>44102</v>
      </c>
      <c r="IRA100" s="5" t="s">
        <v>67</v>
      </c>
      <c r="IRB100" s="6">
        <v>44102</v>
      </c>
      <c r="IRC100" s="7">
        <v>0.4</v>
      </c>
      <c r="IRD100" s="5">
        <v>14.5</v>
      </c>
      <c r="IRE100" s="5">
        <v>226</v>
      </c>
      <c r="IRF100" s="5">
        <v>250</v>
      </c>
      <c r="IRG100" s="6">
        <v>44102</v>
      </c>
      <c r="IRI100" s="5" t="s">
        <v>67</v>
      </c>
      <c r="IRJ100" s="6">
        <v>44102</v>
      </c>
      <c r="IRK100" s="7">
        <v>0.4</v>
      </c>
      <c r="IRL100" s="5">
        <v>14.5</v>
      </c>
      <c r="IRM100" s="5">
        <v>226</v>
      </c>
      <c r="IRN100" s="5">
        <v>250</v>
      </c>
      <c r="IRO100" s="6">
        <v>44102</v>
      </c>
      <c r="IRQ100" s="5" t="s">
        <v>67</v>
      </c>
      <c r="IRR100" s="6">
        <v>44102</v>
      </c>
      <c r="IRS100" s="7">
        <v>0.4</v>
      </c>
      <c r="IRT100" s="5">
        <v>14.5</v>
      </c>
      <c r="IRU100" s="5">
        <v>226</v>
      </c>
      <c r="IRV100" s="5">
        <v>250</v>
      </c>
      <c r="IRW100" s="6">
        <v>44102</v>
      </c>
      <c r="IRY100" s="5" t="s">
        <v>67</v>
      </c>
      <c r="IRZ100" s="6">
        <v>44102</v>
      </c>
      <c r="ISA100" s="7">
        <v>0.4</v>
      </c>
      <c r="ISB100" s="5">
        <v>14.5</v>
      </c>
      <c r="ISC100" s="5">
        <v>226</v>
      </c>
      <c r="ISD100" s="5">
        <v>250</v>
      </c>
      <c r="ISE100" s="6">
        <v>44102</v>
      </c>
      <c r="ISG100" s="5" t="s">
        <v>67</v>
      </c>
      <c r="ISH100" s="6">
        <v>44102</v>
      </c>
      <c r="ISI100" s="7">
        <v>0.4</v>
      </c>
      <c r="ISJ100" s="5">
        <v>14.5</v>
      </c>
      <c r="ISK100" s="5">
        <v>226</v>
      </c>
      <c r="ISL100" s="5">
        <v>250</v>
      </c>
      <c r="ISM100" s="6">
        <v>44102</v>
      </c>
      <c r="ISO100" s="5" t="s">
        <v>67</v>
      </c>
      <c r="ISP100" s="6">
        <v>44102</v>
      </c>
      <c r="ISQ100" s="7">
        <v>0.4</v>
      </c>
      <c r="ISR100" s="5">
        <v>14.5</v>
      </c>
      <c r="ISS100" s="5">
        <v>226</v>
      </c>
      <c r="IST100" s="5">
        <v>250</v>
      </c>
      <c r="ISU100" s="6">
        <v>44102</v>
      </c>
      <c r="ISW100" s="5" t="s">
        <v>67</v>
      </c>
      <c r="ISX100" s="6">
        <v>44102</v>
      </c>
      <c r="ISY100" s="7">
        <v>0.4</v>
      </c>
      <c r="ISZ100" s="5">
        <v>14.5</v>
      </c>
      <c r="ITA100" s="5">
        <v>226</v>
      </c>
      <c r="ITB100" s="5">
        <v>250</v>
      </c>
      <c r="ITC100" s="6">
        <v>44102</v>
      </c>
      <c r="ITE100" s="5" t="s">
        <v>67</v>
      </c>
      <c r="ITF100" s="6">
        <v>44102</v>
      </c>
      <c r="ITG100" s="7">
        <v>0.4</v>
      </c>
      <c r="ITH100" s="5">
        <v>14.5</v>
      </c>
      <c r="ITI100" s="5">
        <v>226</v>
      </c>
      <c r="ITJ100" s="5">
        <v>250</v>
      </c>
      <c r="ITK100" s="6">
        <v>44102</v>
      </c>
      <c r="ITM100" s="5" t="s">
        <v>67</v>
      </c>
      <c r="ITN100" s="6">
        <v>44102</v>
      </c>
      <c r="ITO100" s="7">
        <v>0.4</v>
      </c>
      <c r="ITP100" s="5">
        <v>14.5</v>
      </c>
      <c r="ITQ100" s="5">
        <v>226</v>
      </c>
      <c r="ITR100" s="5">
        <v>250</v>
      </c>
      <c r="ITS100" s="6">
        <v>44102</v>
      </c>
      <c r="ITU100" s="5" t="s">
        <v>67</v>
      </c>
      <c r="ITV100" s="6">
        <v>44102</v>
      </c>
      <c r="ITW100" s="7">
        <v>0.4</v>
      </c>
      <c r="ITX100" s="5">
        <v>14.5</v>
      </c>
      <c r="ITY100" s="5">
        <v>226</v>
      </c>
      <c r="ITZ100" s="5">
        <v>250</v>
      </c>
      <c r="IUA100" s="6">
        <v>44102</v>
      </c>
      <c r="IUC100" s="5" t="s">
        <v>67</v>
      </c>
      <c r="IUD100" s="6">
        <v>44102</v>
      </c>
      <c r="IUE100" s="7">
        <v>0.4</v>
      </c>
      <c r="IUF100" s="5">
        <v>14.5</v>
      </c>
      <c r="IUG100" s="5">
        <v>226</v>
      </c>
      <c r="IUH100" s="5">
        <v>250</v>
      </c>
      <c r="IUI100" s="6">
        <v>44102</v>
      </c>
      <c r="IUK100" s="5" t="s">
        <v>67</v>
      </c>
      <c r="IUL100" s="6">
        <v>44102</v>
      </c>
      <c r="IUM100" s="7">
        <v>0.4</v>
      </c>
      <c r="IUN100" s="5">
        <v>14.5</v>
      </c>
      <c r="IUO100" s="5">
        <v>226</v>
      </c>
      <c r="IUP100" s="5">
        <v>250</v>
      </c>
      <c r="IUQ100" s="6">
        <v>44102</v>
      </c>
      <c r="IUS100" s="5" t="s">
        <v>67</v>
      </c>
      <c r="IUT100" s="6">
        <v>44102</v>
      </c>
      <c r="IUU100" s="7">
        <v>0.4</v>
      </c>
      <c r="IUV100" s="5">
        <v>14.5</v>
      </c>
      <c r="IUW100" s="5">
        <v>226</v>
      </c>
      <c r="IUX100" s="5">
        <v>250</v>
      </c>
      <c r="IUY100" s="6">
        <v>44102</v>
      </c>
      <c r="IVA100" s="5" t="s">
        <v>67</v>
      </c>
      <c r="IVB100" s="6">
        <v>44102</v>
      </c>
      <c r="IVC100" s="7">
        <v>0.4</v>
      </c>
      <c r="IVD100" s="5">
        <v>14.5</v>
      </c>
      <c r="IVE100" s="5">
        <v>226</v>
      </c>
      <c r="IVF100" s="5">
        <v>250</v>
      </c>
      <c r="IVG100" s="6">
        <v>44102</v>
      </c>
      <c r="IVI100" s="5" t="s">
        <v>67</v>
      </c>
      <c r="IVJ100" s="6">
        <v>44102</v>
      </c>
      <c r="IVK100" s="7">
        <v>0.4</v>
      </c>
      <c r="IVL100" s="5">
        <v>14.5</v>
      </c>
      <c r="IVM100" s="5">
        <v>226</v>
      </c>
      <c r="IVN100" s="5">
        <v>250</v>
      </c>
      <c r="IVO100" s="6">
        <v>44102</v>
      </c>
      <c r="IVQ100" s="5" t="s">
        <v>67</v>
      </c>
      <c r="IVR100" s="6">
        <v>44102</v>
      </c>
      <c r="IVS100" s="7">
        <v>0.4</v>
      </c>
      <c r="IVT100" s="5">
        <v>14.5</v>
      </c>
      <c r="IVU100" s="5">
        <v>226</v>
      </c>
      <c r="IVV100" s="5">
        <v>250</v>
      </c>
      <c r="IVW100" s="6">
        <v>44102</v>
      </c>
      <c r="IVY100" s="5" t="s">
        <v>67</v>
      </c>
      <c r="IVZ100" s="6">
        <v>44102</v>
      </c>
      <c r="IWA100" s="7">
        <v>0.4</v>
      </c>
      <c r="IWB100" s="5">
        <v>14.5</v>
      </c>
      <c r="IWC100" s="5">
        <v>226</v>
      </c>
      <c r="IWD100" s="5">
        <v>250</v>
      </c>
      <c r="IWE100" s="6">
        <v>44102</v>
      </c>
      <c r="IWG100" s="5" t="s">
        <v>67</v>
      </c>
      <c r="IWH100" s="6">
        <v>44102</v>
      </c>
      <c r="IWI100" s="7">
        <v>0.4</v>
      </c>
      <c r="IWJ100" s="5">
        <v>14.5</v>
      </c>
      <c r="IWK100" s="5">
        <v>226</v>
      </c>
      <c r="IWL100" s="5">
        <v>250</v>
      </c>
      <c r="IWM100" s="6">
        <v>44102</v>
      </c>
      <c r="IWO100" s="5" t="s">
        <v>67</v>
      </c>
      <c r="IWP100" s="6">
        <v>44102</v>
      </c>
      <c r="IWQ100" s="7">
        <v>0.4</v>
      </c>
      <c r="IWR100" s="5">
        <v>14.5</v>
      </c>
      <c r="IWS100" s="5">
        <v>226</v>
      </c>
      <c r="IWT100" s="5">
        <v>250</v>
      </c>
      <c r="IWU100" s="6">
        <v>44102</v>
      </c>
      <c r="IWW100" s="5" t="s">
        <v>67</v>
      </c>
      <c r="IWX100" s="6">
        <v>44102</v>
      </c>
      <c r="IWY100" s="7">
        <v>0.4</v>
      </c>
      <c r="IWZ100" s="5">
        <v>14.5</v>
      </c>
      <c r="IXA100" s="5">
        <v>226</v>
      </c>
      <c r="IXB100" s="5">
        <v>250</v>
      </c>
      <c r="IXC100" s="6">
        <v>44102</v>
      </c>
      <c r="IXE100" s="5" t="s">
        <v>67</v>
      </c>
      <c r="IXF100" s="6">
        <v>44102</v>
      </c>
      <c r="IXG100" s="7">
        <v>0.4</v>
      </c>
      <c r="IXH100" s="5">
        <v>14.5</v>
      </c>
      <c r="IXI100" s="5">
        <v>226</v>
      </c>
      <c r="IXJ100" s="5">
        <v>250</v>
      </c>
      <c r="IXK100" s="6">
        <v>44102</v>
      </c>
      <c r="IXM100" s="5" t="s">
        <v>67</v>
      </c>
      <c r="IXN100" s="6">
        <v>44102</v>
      </c>
      <c r="IXO100" s="7">
        <v>0.4</v>
      </c>
      <c r="IXP100" s="5">
        <v>14.5</v>
      </c>
      <c r="IXQ100" s="5">
        <v>226</v>
      </c>
      <c r="IXR100" s="5">
        <v>250</v>
      </c>
      <c r="IXS100" s="6">
        <v>44102</v>
      </c>
      <c r="IXU100" s="5" t="s">
        <v>67</v>
      </c>
      <c r="IXV100" s="6">
        <v>44102</v>
      </c>
      <c r="IXW100" s="7">
        <v>0.4</v>
      </c>
      <c r="IXX100" s="5">
        <v>14.5</v>
      </c>
      <c r="IXY100" s="5">
        <v>226</v>
      </c>
      <c r="IXZ100" s="5">
        <v>250</v>
      </c>
      <c r="IYA100" s="6">
        <v>44102</v>
      </c>
      <c r="IYC100" s="5" t="s">
        <v>67</v>
      </c>
      <c r="IYD100" s="6">
        <v>44102</v>
      </c>
      <c r="IYE100" s="7">
        <v>0.4</v>
      </c>
      <c r="IYF100" s="5">
        <v>14.5</v>
      </c>
      <c r="IYG100" s="5">
        <v>226</v>
      </c>
      <c r="IYH100" s="5">
        <v>250</v>
      </c>
      <c r="IYI100" s="6">
        <v>44102</v>
      </c>
      <c r="IYK100" s="5" t="s">
        <v>67</v>
      </c>
      <c r="IYL100" s="6">
        <v>44102</v>
      </c>
      <c r="IYM100" s="7">
        <v>0.4</v>
      </c>
      <c r="IYN100" s="5">
        <v>14.5</v>
      </c>
      <c r="IYO100" s="5">
        <v>226</v>
      </c>
      <c r="IYP100" s="5">
        <v>250</v>
      </c>
      <c r="IYQ100" s="6">
        <v>44102</v>
      </c>
      <c r="IYS100" s="5" t="s">
        <v>67</v>
      </c>
      <c r="IYT100" s="6">
        <v>44102</v>
      </c>
      <c r="IYU100" s="7">
        <v>0.4</v>
      </c>
      <c r="IYV100" s="5">
        <v>14.5</v>
      </c>
      <c r="IYW100" s="5">
        <v>226</v>
      </c>
      <c r="IYX100" s="5">
        <v>250</v>
      </c>
      <c r="IYY100" s="6">
        <v>44102</v>
      </c>
      <c r="IZA100" s="5" t="s">
        <v>67</v>
      </c>
      <c r="IZB100" s="6">
        <v>44102</v>
      </c>
      <c r="IZC100" s="7">
        <v>0.4</v>
      </c>
      <c r="IZD100" s="5">
        <v>14.5</v>
      </c>
      <c r="IZE100" s="5">
        <v>226</v>
      </c>
      <c r="IZF100" s="5">
        <v>250</v>
      </c>
      <c r="IZG100" s="6">
        <v>44102</v>
      </c>
      <c r="IZI100" s="5" t="s">
        <v>67</v>
      </c>
      <c r="IZJ100" s="6">
        <v>44102</v>
      </c>
      <c r="IZK100" s="7">
        <v>0.4</v>
      </c>
      <c r="IZL100" s="5">
        <v>14.5</v>
      </c>
      <c r="IZM100" s="5">
        <v>226</v>
      </c>
      <c r="IZN100" s="5">
        <v>250</v>
      </c>
      <c r="IZO100" s="6">
        <v>44102</v>
      </c>
      <c r="IZQ100" s="5" t="s">
        <v>67</v>
      </c>
      <c r="IZR100" s="6">
        <v>44102</v>
      </c>
      <c r="IZS100" s="7">
        <v>0.4</v>
      </c>
      <c r="IZT100" s="5">
        <v>14.5</v>
      </c>
      <c r="IZU100" s="5">
        <v>226</v>
      </c>
      <c r="IZV100" s="5">
        <v>250</v>
      </c>
      <c r="IZW100" s="6">
        <v>44102</v>
      </c>
      <c r="IZY100" s="5" t="s">
        <v>67</v>
      </c>
      <c r="IZZ100" s="6">
        <v>44102</v>
      </c>
      <c r="JAA100" s="7">
        <v>0.4</v>
      </c>
      <c r="JAB100" s="5">
        <v>14.5</v>
      </c>
      <c r="JAC100" s="5">
        <v>226</v>
      </c>
      <c r="JAD100" s="5">
        <v>250</v>
      </c>
      <c r="JAE100" s="6">
        <v>44102</v>
      </c>
      <c r="JAG100" s="5" t="s">
        <v>67</v>
      </c>
      <c r="JAH100" s="6">
        <v>44102</v>
      </c>
      <c r="JAI100" s="7">
        <v>0.4</v>
      </c>
      <c r="JAJ100" s="5">
        <v>14.5</v>
      </c>
      <c r="JAK100" s="5">
        <v>226</v>
      </c>
      <c r="JAL100" s="5">
        <v>250</v>
      </c>
      <c r="JAM100" s="6">
        <v>44102</v>
      </c>
      <c r="JAO100" s="5" t="s">
        <v>67</v>
      </c>
      <c r="JAP100" s="6">
        <v>44102</v>
      </c>
      <c r="JAQ100" s="7">
        <v>0.4</v>
      </c>
      <c r="JAR100" s="5">
        <v>14.5</v>
      </c>
      <c r="JAS100" s="5">
        <v>226</v>
      </c>
      <c r="JAT100" s="5">
        <v>250</v>
      </c>
      <c r="JAU100" s="6">
        <v>44102</v>
      </c>
      <c r="JAW100" s="5" t="s">
        <v>67</v>
      </c>
      <c r="JAX100" s="6">
        <v>44102</v>
      </c>
      <c r="JAY100" s="7">
        <v>0.4</v>
      </c>
      <c r="JAZ100" s="5">
        <v>14.5</v>
      </c>
      <c r="JBA100" s="5">
        <v>226</v>
      </c>
      <c r="JBB100" s="5">
        <v>250</v>
      </c>
      <c r="JBC100" s="6">
        <v>44102</v>
      </c>
      <c r="JBE100" s="5" t="s">
        <v>67</v>
      </c>
      <c r="JBF100" s="6">
        <v>44102</v>
      </c>
      <c r="JBG100" s="7">
        <v>0.4</v>
      </c>
      <c r="JBH100" s="5">
        <v>14.5</v>
      </c>
      <c r="JBI100" s="5">
        <v>226</v>
      </c>
      <c r="JBJ100" s="5">
        <v>250</v>
      </c>
      <c r="JBK100" s="6">
        <v>44102</v>
      </c>
      <c r="JBM100" s="5" t="s">
        <v>67</v>
      </c>
      <c r="JBN100" s="6">
        <v>44102</v>
      </c>
      <c r="JBO100" s="7">
        <v>0.4</v>
      </c>
      <c r="JBP100" s="5">
        <v>14.5</v>
      </c>
      <c r="JBQ100" s="5">
        <v>226</v>
      </c>
      <c r="JBR100" s="5">
        <v>250</v>
      </c>
      <c r="JBS100" s="6">
        <v>44102</v>
      </c>
      <c r="JBU100" s="5" t="s">
        <v>67</v>
      </c>
      <c r="JBV100" s="6">
        <v>44102</v>
      </c>
      <c r="JBW100" s="7">
        <v>0.4</v>
      </c>
      <c r="JBX100" s="5">
        <v>14.5</v>
      </c>
      <c r="JBY100" s="5">
        <v>226</v>
      </c>
      <c r="JBZ100" s="5">
        <v>250</v>
      </c>
      <c r="JCA100" s="6">
        <v>44102</v>
      </c>
      <c r="JCC100" s="5" t="s">
        <v>67</v>
      </c>
      <c r="JCD100" s="6">
        <v>44102</v>
      </c>
      <c r="JCE100" s="7">
        <v>0.4</v>
      </c>
      <c r="JCF100" s="5">
        <v>14.5</v>
      </c>
      <c r="JCG100" s="5">
        <v>226</v>
      </c>
      <c r="JCH100" s="5">
        <v>250</v>
      </c>
      <c r="JCI100" s="6">
        <v>44102</v>
      </c>
      <c r="JCK100" s="5" t="s">
        <v>67</v>
      </c>
      <c r="JCL100" s="6">
        <v>44102</v>
      </c>
      <c r="JCM100" s="7">
        <v>0.4</v>
      </c>
      <c r="JCN100" s="5">
        <v>14.5</v>
      </c>
      <c r="JCO100" s="5">
        <v>226</v>
      </c>
      <c r="JCP100" s="5">
        <v>250</v>
      </c>
      <c r="JCQ100" s="6">
        <v>44102</v>
      </c>
      <c r="JCS100" s="5" t="s">
        <v>67</v>
      </c>
      <c r="JCT100" s="6">
        <v>44102</v>
      </c>
      <c r="JCU100" s="7">
        <v>0.4</v>
      </c>
      <c r="JCV100" s="5">
        <v>14.5</v>
      </c>
      <c r="JCW100" s="5">
        <v>226</v>
      </c>
      <c r="JCX100" s="5">
        <v>250</v>
      </c>
      <c r="JCY100" s="6">
        <v>44102</v>
      </c>
      <c r="JDA100" s="5" t="s">
        <v>67</v>
      </c>
      <c r="JDB100" s="6">
        <v>44102</v>
      </c>
      <c r="JDC100" s="7">
        <v>0.4</v>
      </c>
      <c r="JDD100" s="5">
        <v>14.5</v>
      </c>
      <c r="JDE100" s="5">
        <v>226</v>
      </c>
      <c r="JDF100" s="5">
        <v>250</v>
      </c>
      <c r="JDG100" s="6">
        <v>44102</v>
      </c>
      <c r="JDI100" s="5" t="s">
        <v>67</v>
      </c>
      <c r="JDJ100" s="6">
        <v>44102</v>
      </c>
      <c r="JDK100" s="7">
        <v>0.4</v>
      </c>
      <c r="JDL100" s="5">
        <v>14.5</v>
      </c>
      <c r="JDM100" s="5">
        <v>226</v>
      </c>
      <c r="JDN100" s="5">
        <v>250</v>
      </c>
      <c r="JDO100" s="6">
        <v>44102</v>
      </c>
      <c r="JDQ100" s="5" t="s">
        <v>67</v>
      </c>
      <c r="JDR100" s="6">
        <v>44102</v>
      </c>
      <c r="JDS100" s="7">
        <v>0.4</v>
      </c>
      <c r="JDT100" s="5">
        <v>14.5</v>
      </c>
      <c r="JDU100" s="5">
        <v>226</v>
      </c>
      <c r="JDV100" s="5">
        <v>250</v>
      </c>
      <c r="JDW100" s="6">
        <v>44102</v>
      </c>
      <c r="JDY100" s="5" t="s">
        <v>67</v>
      </c>
      <c r="JDZ100" s="6">
        <v>44102</v>
      </c>
      <c r="JEA100" s="7">
        <v>0.4</v>
      </c>
      <c r="JEB100" s="5">
        <v>14.5</v>
      </c>
      <c r="JEC100" s="5">
        <v>226</v>
      </c>
      <c r="JED100" s="5">
        <v>250</v>
      </c>
      <c r="JEE100" s="6">
        <v>44102</v>
      </c>
      <c r="JEG100" s="5" t="s">
        <v>67</v>
      </c>
      <c r="JEH100" s="6">
        <v>44102</v>
      </c>
      <c r="JEI100" s="7">
        <v>0.4</v>
      </c>
      <c r="JEJ100" s="5">
        <v>14.5</v>
      </c>
      <c r="JEK100" s="5">
        <v>226</v>
      </c>
      <c r="JEL100" s="5">
        <v>250</v>
      </c>
      <c r="JEM100" s="6">
        <v>44102</v>
      </c>
      <c r="JEO100" s="5" t="s">
        <v>67</v>
      </c>
      <c r="JEP100" s="6">
        <v>44102</v>
      </c>
      <c r="JEQ100" s="7">
        <v>0.4</v>
      </c>
      <c r="JER100" s="5">
        <v>14.5</v>
      </c>
      <c r="JES100" s="5">
        <v>226</v>
      </c>
      <c r="JET100" s="5">
        <v>250</v>
      </c>
      <c r="JEU100" s="6">
        <v>44102</v>
      </c>
      <c r="JEW100" s="5" t="s">
        <v>67</v>
      </c>
      <c r="JEX100" s="6">
        <v>44102</v>
      </c>
      <c r="JEY100" s="7">
        <v>0.4</v>
      </c>
      <c r="JEZ100" s="5">
        <v>14.5</v>
      </c>
      <c r="JFA100" s="5">
        <v>226</v>
      </c>
      <c r="JFB100" s="5">
        <v>250</v>
      </c>
      <c r="JFC100" s="6">
        <v>44102</v>
      </c>
      <c r="JFE100" s="5" t="s">
        <v>67</v>
      </c>
      <c r="JFF100" s="6">
        <v>44102</v>
      </c>
      <c r="JFG100" s="7">
        <v>0.4</v>
      </c>
      <c r="JFH100" s="5">
        <v>14.5</v>
      </c>
      <c r="JFI100" s="5">
        <v>226</v>
      </c>
      <c r="JFJ100" s="5">
        <v>250</v>
      </c>
      <c r="JFK100" s="6">
        <v>44102</v>
      </c>
      <c r="JFM100" s="5" t="s">
        <v>67</v>
      </c>
      <c r="JFN100" s="6">
        <v>44102</v>
      </c>
      <c r="JFO100" s="7">
        <v>0.4</v>
      </c>
      <c r="JFP100" s="5">
        <v>14.5</v>
      </c>
      <c r="JFQ100" s="5">
        <v>226</v>
      </c>
      <c r="JFR100" s="5">
        <v>250</v>
      </c>
      <c r="JFS100" s="6">
        <v>44102</v>
      </c>
      <c r="JFU100" s="5" t="s">
        <v>67</v>
      </c>
      <c r="JFV100" s="6">
        <v>44102</v>
      </c>
      <c r="JFW100" s="7">
        <v>0.4</v>
      </c>
      <c r="JFX100" s="5">
        <v>14.5</v>
      </c>
      <c r="JFY100" s="5">
        <v>226</v>
      </c>
      <c r="JFZ100" s="5">
        <v>250</v>
      </c>
      <c r="JGA100" s="6">
        <v>44102</v>
      </c>
      <c r="JGC100" s="5" t="s">
        <v>67</v>
      </c>
      <c r="JGD100" s="6">
        <v>44102</v>
      </c>
      <c r="JGE100" s="7">
        <v>0.4</v>
      </c>
      <c r="JGF100" s="5">
        <v>14.5</v>
      </c>
      <c r="JGG100" s="5">
        <v>226</v>
      </c>
      <c r="JGH100" s="5">
        <v>250</v>
      </c>
      <c r="JGI100" s="6">
        <v>44102</v>
      </c>
      <c r="JGK100" s="5" t="s">
        <v>67</v>
      </c>
      <c r="JGL100" s="6">
        <v>44102</v>
      </c>
      <c r="JGM100" s="7">
        <v>0.4</v>
      </c>
      <c r="JGN100" s="5">
        <v>14.5</v>
      </c>
      <c r="JGO100" s="5">
        <v>226</v>
      </c>
      <c r="JGP100" s="5">
        <v>250</v>
      </c>
      <c r="JGQ100" s="6">
        <v>44102</v>
      </c>
      <c r="JGS100" s="5" t="s">
        <v>67</v>
      </c>
      <c r="JGT100" s="6">
        <v>44102</v>
      </c>
      <c r="JGU100" s="7">
        <v>0.4</v>
      </c>
      <c r="JGV100" s="5">
        <v>14.5</v>
      </c>
      <c r="JGW100" s="5">
        <v>226</v>
      </c>
      <c r="JGX100" s="5">
        <v>250</v>
      </c>
      <c r="JGY100" s="6">
        <v>44102</v>
      </c>
      <c r="JHA100" s="5" t="s">
        <v>67</v>
      </c>
      <c r="JHB100" s="6">
        <v>44102</v>
      </c>
      <c r="JHC100" s="7">
        <v>0.4</v>
      </c>
      <c r="JHD100" s="5">
        <v>14.5</v>
      </c>
      <c r="JHE100" s="5">
        <v>226</v>
      </c>
      <c r="JHF100" s="5">
        <v>250</v>
      </c>
      <c r="JHG100" s="6">
        <v>44102</v>
      </c>
      <c r="JHI100" s="5" t="s">
        <v>67</v>
      </c>
      <c r="JHJ100" s="6">
        <v>44102</v>
      </c>
      <c r="JHK100" s="7">
        <v>0.4</v>
      </c>
      <c r="JHL100" s="5">
        <v>14.5</v>
      </c>
      <c r="JHM100" s="5">
        <v>226</v>
      </c>
      <c r="JHN100" s="5">
        <v>250</v>
      </c>
      <c r="JHO100" s="6">
        <v>44102</v>
      </c>
      <c r="JHQ100" s="5" t="s">
        <v>67</v>
      </c>
      <c r="JHR100" s="6">
        <v>44102</v>
      </c>
      <c r="JHS100" s="7">
        <v>0.4</v>
      </c>
      <c r="JHT100" s="5">
        <v>14.5</v>
      </c>
      <c r="JHU100" s="5">
        <v>226</v>
      </c>
      <c r="JHV100" s="5">
        <v>250</v>
      </c>
      <c r="JHW100" s="6">
        <v>44102</v>
      </c>
      <c r="JHY100" s="5" t="s">
        <v>67</v>
      </c>
      <c r="JHZ100" s="6">
        <v>44102</v>
      </c>
      <c r="JIA100" s="7">
        <v>0.4</v>
      </c>
      <c r="JIB100" s="5">
        <v>14.5</v>
      </c>
      <c r="JIC100" s="5">
        <v>226</v>
      </c>
      <c r="JID100" s="5">
        <v>250</v>
      </c>
      <c r="JIE100" s="6">
        <v>44102</v>
      </c>
      <c r="JIG100" s="5" t="s">
        <v>67</v>
      </c>
      <c r="JIH100" s="6">
        <v>44102</v>
      </c>
      <c r="JII100" s="7">
        <v>0.4</v>
      </c>
      <c r="JIJ100" s="5">
        <v>14.5</v>
      </c>
      <c r="JIK100" s="5">
        <v>226</v>
      </c>
      <c r="JIL100" s="5">
        <v>250</v>
      </c>
      <c r="JIM100" s="6">
        <v>44102</v>
      </c>
      <c r="JIO100" s="5" t="s">
        <v>67</v>
      </c>
      <c r="JIP100" s="6">
        <v>44102</v>
      </c>
      <c r="JIQ100" s="7">
        <v>0.4</v>
      </c>
      <c r="JIR100" s="5">
        <v>14.5</v>
      </c>
      <c r="JIS100" s="5">
        <v>226</v>
      </c>
      <c r="JIT100" s="5">
        <v>250</v>
      </c>
      <c r="JIU100" s="6">
        <v>44102</v>
      </c>
      <c r="JIW100" s="5" t="s">
        <v>67</v>
      </c>
      <c r="JIX100" s="6">
        <v>44102</v>
      </c>
      <c r="JIY100" s="7">
        <v>0.4</v>
      </c>
      <c r="JIZ100" s="5">
        <v>14.5</v>
      </c>
      <c r="JJA100" s="5">
        <v>226</v>
      </c>
      <c r="JJB100" s="5">
        <v>250</v>
      </c>
      <c r="JJC100" s="6">
        <v>44102</v>
      </c>
      <c r="JJE100" s="5" t="s">
        <v>67</v>
      </c>
      <c r="JJF100" s="6">
        <v>44102</v>
      </c>
      <c r="JJG100" s="7">
        <v>0.4</v>
      </c>
      <c r="JJH100" s="5">
        <v>14.5</v>
      </c>
      <c r="JJI100" s="5">
        <v>226</v>
      </c>
      <c r="JJJ100" s="5">
        <v>250</v>
      </c>
      <c r="JJK100" s="6">
        <v>44102</v>
      </c>
      <c r="JJM100" s="5" t="s">
        <v>67</v>
      </c>
      <c r="JJN100" s="6">
        <v>44102</v>
      </c>
      <c r="JJO100" s="7">
        <v>0.4</v>
      </c>
      <c r="JJP100" s="5">
        <v>14.5</v>
      </c>
      <c r="JJQ100" s="5">
        <v>226</v>
      </c>
      <c r="JJR100" s="5">
        <v>250</v>
      </c>
      <c r="JJS100" s="6">
        <v>44102</v>
      </c>
      <c r="JJU100" s="5" t="s">
        <v>67</v>
      </c>
      <c r="JJV100" s="6">
        <v>44102</v>
      </c>
      <c r="JJW100" s="7">
        <v>0.4</v>
      </c>
      <c r="JJX100" s="5">
        <v>14.5</v>
      </c>
      <c r="JJY100" s="5">
        <v>226</v>
      </c>
      <c r="JJZ100" s="5">
        <v>250</v>
      </c>
      <c r="JKA100" s="6">
        <v>44102</v>
      </c>
      <c r="JKC100" s="5" t="s">
        <v>67</v>
      </c>
      <c r="JKD100" s="6">
        <v>44102</v>
      </c>
      <c r="JKE100" s="7">
        <v>0.4</v>
      </c>
      <c r="JKF100" s="5">
        <v>14.5</v>
      </c>
      <c r="JKG100" s="5">
        <v>226</v>
      </c>
      <c r="JKH100" s="5">
        <v>250</v>
      </c>
      <c r="JKI100" s="6">
        <v>44102</v>
      </c>
      <c r="JKK100" s="5" t="s">
        <v>67</v>
      </c>
      <c r="JKL100" s="6">
        <v>44102</v>
      </c>
      <c r="JKM100" s="7">
        <v>0.4</v>
      </c>
      <c r="JKN100" s="5">
        <v>14.5</v>
      </c>
      <c r="JKO100" s="5">
        <v>226</v>
      </c>
      <c r="JKP100" s="5">
        <v>250</v>
      </c>
      <c r="JKQ100" s="6">
        <v>44102</v>
      </c>
      <c r="JKS100" s="5" t="s">
        <v>67</v>
      </c>
      <c r="JKT100" s="6">
        <v>44102</v>
      </c>
      <c r="JKU100" s="7">
        <v>0.4</v>
      </c>
      <c r="JKV100" s="5">
        <v>14.5</v>
      </c>
      <c r="JKW100" s="5">
        <v>226</v>
      </c>
      <c r="JKX100" s="5">
        <v>250</v>
      </c>
      <c r="JKY100" s="6">
        <v>44102</v>
      </c>
      <c r="JLA100" s="5" t="s">
        <v>67</v>
      </c>
      <c r="JLB100" s="6">
        <v>44102</v>
      </c>
      <c r="JLC100" s="7">
        <v>0.4</v>
      </c>
      <c r="JLD100" s="5">
        <v>14.5</v>
      </c>
      <c r="JLE100" s="5">
        <v>226</v>
      </c>
      <c r="JLF100" s="5">
        <v>250</v>
      </c>
      <c r="JLG100" s="6">
        <v>44102</v>
      </c>
      <c r="JLI100" s="5" t="s">
        <v>67</v>
      </c>
      <c r="JLJ100" s="6">
        <v>44102</v>
      </c>
      <c r="JLK100" s="7">
        <v>0.4</v>
      </c>
      <c r="JLL100" s="5">
        <v>14.5</v>
      </c>
      <c r="JLM100" s="5">
        <v>226</v>
      </c>
      <c r="JLN100" s="5">
        <v>250</v>
      </c>
      <c r="JLO100" s="6">
        <v>44102</v>
      </c>
      <c r="JLQ100" s="5" t="s">
        <v>67</v>
      </c>
      <c r="JLR100" s="6">
        <v>44102</v>
      </c>
      <c r="JLS100" s="7">
        <v>0.4</v>
      </c>
      <c r="JLT100" s="5">
        <v>14.5</v>
      </c>
      <c r="JLU100" s="5">
        <v>226</v>
      </c>
      <c r="JLV100" s="5">
        <v>250</v>
      </c>
      <c r="JLW100" s="6">
        <v>44102</v>
      </c>
      <c r="JLY100" s="5" t="s">
        <v>67</v>
      </c>
      <c r="JLZ100" s="6">
        <v>44102</v>
      </c>
      <c r="JMA100" s="7">
        <v>0.4</v>
      </c>
      <c r="JMB100" s="5">
        <v>14.5</v>
      </c>
      <c r="JMC100" s="5">
        <v>226</v>
      </c>
      <c r="JMD100" s="5">
        <v>250</v>
      </c>
      <c r="JME100" s="6">
        <v>44102</v>
      </c>
      <c r="JMG100" s="5" t="s">
        <v>67</v>
      </c>
      <c r="JMH100" s="6">
        <v>44102</v>
      </c>
      <c r="JMI100" s="7">
        <v>0.4</v>
      </c>
      <c r="JMJ100" s="5">
        <v>14.5</v>
      </c>
      <c r="JMK100" s="5">
        <v>226</v>
      </c>
      <c r="JML100" s="5">
        <v>250</v>
      </c>
      <c r="JMM100" s="6">
        <v>44102</v>
      </c>
      <c r="JMO100" s="5" t="s">
        <v>67</v>
      </c>
      <c r="JMP100" s="6">
        <v>44102</v>
      </c>
      <c r="JMQ100" s="7">
        <v>0.4</v>
      </c>
      <c r="JMR100" s="5">
        <v>14.5</v>
      </c>
      <c r="JMS100" s="5">
        <v>226</v>
      </c>
      <c r="JMT100" s="5">
        <v>250</v>
      </c>
      <c r="JMU100" s="6">
        <v>44102</v>
      </c>
      <c r="JMW100" s="5" t="s">
        <v>67</v>
      </c>
      <c r="JMX100" s="6">
        <v>44102</v>
      </c>
      <c r="JMY100" s="7">
        <v>0.4</v>
      </c>
      <c r="JMZ100" s="5">
        <v>14.5</v>
      </c>
      <c r="JNA100" s="5">
        <v>226</v>
      </c>
      <c r="JNB100" s="5">
        <v>250</v>
      </c>
      <c r="JNC100" s="6">
        <v>44102</v>
      </c>
      <c r="JNE100" s="5" t="s">
        <v>67</v>
      </c>
      <c r="JNF100" s="6">
        <v>44102</v>
      </c>
      <c r="JNG100" s="7">
        <v>0.4</v>
      </c>
      <c r="JNH100" s="5">
        <v>14.5</v>
      </c>
      <c r="JNI100" s="5">
        <v>226</v>
      </c>
      <c r="JNJ100" s="5">
        <v>250</v>
      </c>
      <c r="JNK100" s="6">
        <v>44102</v>
      </c>
      <c r="JNM100" s="5" t="s">
        <v>67</v>
      </c>
      <c r="JNN100" s="6">
        <v>44102</v>
      </c>
      <c r="JNO100" s="7">
        <v>0.4</v>
      </c>
      <c r="JNP100" s="5">
        <v>14.5</v>
      </c>
      <c r="JNQ100" s="5">
        <v>226</v>
      </c>
      <c r="JNR100" s="5">
        <v>250</v>
      </c>
      <c r="JNS100" s="6">
        <v>44102</v>
      </c>
      <c r="JNU100" s="5" t="s">
        <v>67</v>
      </c>
      <c r="JNV100" s="6">
        <v>44102</v>
      </c>
      <c r="JNW100" s="7">
        <v>0.4</v>
      </c>
      <c r="JNX100" s="5">
        <v>14.5</v>
      </c>
      <c r="JNY100" s="5">
        <v>226</v>
      </c>
      <c r="JNZ100" s="5">
        <v>250</v>
      </c>
      <c r="JOA100" s="6">
        <v>44102</v>
      </c>
      <c r="JOC100" s="5" t="s">
        <v>67</v>
      </c>
      <c r="JOD100" s="6">
        <v>44102</v>
      </c>
      <c r="JOE100" s="7">
        <v>0.4</v>
      </c>
      <c r="JOF100" s="5">
        <v>14.5</v>
      </c>
      <c r="JOG100" s="5">
        <v>226</v>
      </c>
      <c r="JOH100" s="5">
        <v>250</v>
      </c>
      <c r="JOI100" s="6">
        <v>44102</v>
      </c>
      <c r="JOK100" s="5" t="s">
        <v>67</v>
      </c>
      <c r="JOL100" s="6">
        <v>44102</v>
      </c>
      <c r="JOM100" s="7">
        <v>0.4</v>
      </c>
      <c r="JON100" s="5">
        <v>14.5</v>
      </c>
      <c r="JOO100" s="5">
        <v>226</v>
      </c>
      <c r="JOP100" s="5">
        <v>250</v>
      </c>
      <c r="JOQ100" s="6">
        <v>44102</v>
      </c>
      <c r="JOS100" s="5" t="s">
        <v>67</v>
      </c>
      <c r="JOT100" s="6">
        <v>44102</v>
      </c>
      <c r="JOU100" s="7">
        <v>0.4</v>
      </c>
      <c r="JOV100" s="5">
        <v>14.5</v>
      </c>
      <c r="JOW100" s="5">
        <v>226</v>
      </c>
      <c r="JOX100" s="5">
        <v>250</v>
      </c>
      <c r="JOY100" s="6">
        <v>44102</v>
      </c>
      <c r="JPA100" s="5" t="s">
        <v>67</v>
      </c>
      <c r="JPB100" s="6">
        <v>44102</v>
      </c>
      <c r="JPC100" s="7">
        <v>0.4</v>
      </c>
      <c r="JPD100" s="5">
        <v>14.5</v>
      </c>
      <c r="JPE100" s="5">
        <v>226</v>
      </c>
      <c r="JPF100" s="5">
        <v>250</v>
      </c>
      <c r="JPG100" s="6">
        <v>44102</v>
      </c>
      <c r="JPI100" s="5" t="s">
        <v>67</v>
      </c>
      <c r="JPJ100" s="6">
        <v>44102</v>
      </c>
      <c r="JPK100" s="7">
        <v>0.4</v>
      </c>
      <c r="JPL100" s="5">
        <v>14.5</v>
      </c>
      <c r="JPM100" s="5">
        <v>226</v>
      </c>
      <c r="JPN100" s="5">
        <v>250</v>
      </c>
      <c r="JPO100" s="6">
        <v>44102</v>
      </c>
      <c r="JPQ100" s="5" t="s">
        <v>67</v>
      </c>
      <c r="JPR100" s="6">
        <v>44102</v>
      </c>
      <c r="JPS100" s="7">
        <v>0.4</v>
      </c>
      <c r="JPT100" s="5">
        <v>14.5</v>
      </c>
      <c r="JPU100" s="5">
        <v>226</v>
      </c>
      <c r="JPV100" s="5">
        <v>250</v>
      </c>
      <c r="JPW100" s="6">
        <v>44102</v>
      </c>
      <c r="JPY100" s="5" t="s">
        <v>67</v>
      </c>
      <c r="JPZ100" s="6">
        <v>44102</v>
      </c>
      <c r="JQA100" s="7">
        <v>0.4</v>
      </c>
      <c r="JQB100" s="5">
        <v>14.5</v>
      </c>
      <c r="JQC100" s="5">
        <v>226</v>
      </c>
      <c r="JQD100" s="5">
        <v>250</v>
      </c>
      <c r="JQE100" s="6">
        <v>44102</v>
      </c>
      <c r="JQG100" s="5" t="s">
        <v>67</v>
      </c>
      <c r="JQH100" s="6">
        <v>44102</v>
      </c>
      <c r="JQI100" s="7">
        <v>0.4</v>
      </c>
      <c r="JQJ100" s="5">
        <v>14.5</v>
      </c>
      <c r="JQK100" s="5">
        <v>226</v>
      </c>
      <c r="JQL100" s="5">
        <v>250</v>
      </c>
      <c r="JQM100" s="6">
        <v>44102</v>
      </c>
      <c r="JQO100" s="5" t="s">
        <v>67</v>
      </c>
      <c r="JQP100" s="6">
        <v>44102</v>
      </c>
      <c r="JQQ100" s="7">
        <v>0.4</v>
      </c>
      <c r="JQR100" s="5">
        <v>14.5</v>
      </c>
      <c r="JQS100" s="5">
        <v>226</v>
      </c>
      <c r="JQT100" s="5">
        <v>250</v>
      </c>
      <c r="JQU100" s="6">
        <v>44102</v>
      </c>
      <c r="JQW100" s="5" t="s">
        <v>67</v>
      </c>
      <c r="JQX100" s="6">
        <v>44102</v>
      </c>
      <c r="JQY100" s="7">
        <v>0.4</v>
      </c>
      <c r="JQZ100" s="5">
        <v>14.5</v>
      </c>
      <c r="JRA100" s="5">
        <v>226</v>
      </c>
      <c r="JRB100" s="5">
        <v>250</v>
      </c>
      <c r="JRC100" s="6">
        <v>44102</v>
      </c>
      <c r="JRE100" s="5" t="s">
        <v>67</v>
      </c>
      <c r="JRF100" s="6">
        <v>44102</v>
      </c>
      <c r="JRG100" s="7">
        <v>0.4</v>
      </c>
      <c r="JRH100" s="5">
        <v>14.5</v>
      </c>
      <c r="JRI100" s="5">
        <v>226</v>
      </c>
      <c r="JRJ100" s="5">
        <v>250</v>
      </c>
      <c r="JRK100" s="6">
        <v>44102</v>
      </c>
      <c r="JRM100" s="5" t="s">
        <v>67</v>
      </c>
      <c r="JRN100" s="6">
        <v>44102</v>
      </c>
      <c r="JRO100" s="7">
        <v>0.4</v>
      </c>
      <c r="JRP100" s="5">
        <v>14.5</v>
      </c>
      <c r="JRQ100" s="5">
        <v>226</v>
      </c>
      <c r="JRR100" s="5">
        <v>250</v>
      </c>
      <c r="JRS100" s="6">
        <v>44102</v>
      </c>
      <c r="JRU100" s="5" t="s">
        <v>67</v>
      </c>
      <c r="JRV100" s="6">
        <v>44102</v>
      </c>
      <c r="JRW100" s="7">
        <v>0.4</v>
      </c>
      <c r="JRX100" s="5">
        <v>14.5</v>
      </c>
      <c r="JRY100" s="5">
        <v>226</v>
      </c>
      <c r="JRZ100" s="5">
        <v>250</v>
      </c>
      <c r="JSA100" s="6">
        <v>44102</v>
      </c>
      <c r="JSC100" s="5" t="s">
        <v>67</v>
      </c>
      <c r="JSD100" s="6">
        <v>44102</v>
      </c>
      <c r="JSE100" s="7">
        <v>0.4</v>
      </c>
      <c r="JSF100" s="5">
        <v>14.5</v>
      </c>
      <c r="JSG100" s="5">
        <v>226</v>
      </c>
      <c r="JSH100" s="5">
        <v>250</v>
      </c>
      <c r="JSI100" s="6">
        <v>44102</v>
      </c>
      <c r="JSK100" s="5" t="s">
        <v>67</v>
      </c>
      <c r="JSL100" s="6">
        <v>44102</v>
      </c>
      <c r="JSM100" s="7">
        <v>0.4</v>
      </c>
      <c r="JSN100" s="5">
        <v>14.5</v>
      </c>
      <c r="JSO100" s="5">
        <v>226</v>
      </c>
      <c r="JSP100" s="5">
        <v>250</v>
      </c>
      <c r="JSQ100" s="6">
        <v>44102</v>
      </c>
      <c r="JSS100" s="5" t="s">
        <v>67</v>
      </c>
      <c r="JST100" s="6">
        <v>44102</v>
      </c>
      <c r="JSU100" s="7">
        <v>0.4</v>
      </c>
      <c r="JSV100" s="5">
        <v>14.5</v>
      </c>
      <c r="JSW100" s="5">
        <v>226</v>
      </c>
      <c r="JSX100" s="5">
        <v>250</v>
      </c>
      <c r="JSY100" s="6">
        <v>44102</v>
      </c>
      <c r="JTA100" s="5" t="s">
        <v>67</v>
      </c>
      <c r="JTB100" s="6">
        <v>44102</v>
      </c>
      <c r="JTC100" s="7">
        <v>0.4</v>
      </c>
      <c r="JTD100" s="5">
        <v>14.5</v>
      </c>
      <c r="JTE100" s="5">
        <v>226</v>
      </c>
      <c r="JTF100" s="5">
        <v>250</v>
      </c>
      <c r="JTG100" s="6">
        <v>44102</v>
      </c>
      <c r="JTI100" s="5" t="s">
        <v>67</v>
      </c>
      <c r="JTJ100" s="6">
        <v>44102</v>
      </c>
      <c r="JTK100" s="7">
        <v>0.4</v>
      </c>
      <c r="JTL100" s="5">
        <v>14.5</v>
      </c>
      <c r="JTM100" s="5">
        <v>226</v>
      </c>
      <c r="JTN100" s="5">
        <v>250</v>
      </c>
      <c r="JTO100" s="6">
        <v>44102</v>
      </c>
      <c r="JTQ100" s="5" t="s">
        <v>67</v>
      </c>
      <c r="JTR100" s="6">
        <v>44102</v>
      </c>
      <c r="JTS100" s="7">
        <v>0.4</v>
      </c>
      <c r="JTT100" s="5">
        <v>14.5</v>
      </c>
      <c r="JTU100" s="5">
        <v>226</v>
      </c>
      <c r="JTV100" s="5">
        <v>250</v>
      </c>
      <c r="JTW100" s="6">
        <v>44102</v>
      </c>
      <c r="JTY100" s="5" t="s">
        <v>67</v>
      </c>
      <c r="JTZ100" s="6">
        <v>44102</v>
      </c>
      <c r="JUA100" s="7">
        <v>0.4</v>
      </c>
      <c r="JUB100" s="5">
        <v>14.5</v>
      </c>
      <c r="JUC100" s="5">
        <v>226</v>
      </c>
      <c r="JUD100" s="5">
        <v>250</v>
      </c>
      <c r="JUE100" s="6">
        <v>44102</v>
      </c>
      <c r="JUG100" s="5" t="s">
        <v>67</v>
      </c>
      <c r="JUH100" s="6">
        <v>44102</v>
      </c>
      <c r="JUI100" s="7">
        <v>0.4</v>
      </c>
      <c r="JUJ100" s="5">
        <v>14.5</v>
      </c>
      <c r="JUK100" s="5">
        <v>226</v>
      </c>
      <c r="JUL100" s="5">
        <v>250</v>
      </c>
      <c r="JUM100" s="6">
        <v>44102</v>
      </c>
      <c r="JUO100" s="5" t="s">
        <v>67</v>
      </c>
      <c r="JUP100" s="6">
        <v>44102</v>
      </c>
      <c r="JUQ100" s="7">
        <v>0.4</v>
      </c>
      <c r="JUR100" s="5">
        <v>14.5</v>
      </c>
      <c r="JUS100" s="5">
        <v>226</v>
      </c>
      <c r="JUT100" s="5">
        <v>250</v>
      </c>
      <c r="JUU100" s="6">
        <v>44102</v>
      </c>
      <c r="JUW100" s="5" t="s">
        <v>67</v>
      </c>
      <c r="JUX100" s="6">
        <v>44102</v>
      </c>
      <c r="JUY100" s="7">
        <v>0.4</v>
      </c>
      <c r="JUZ100" s="5">
        <v>14.5</v>
      </c>
      <c r="JVA100" s="5">
        <v>226</v>
      </c>
      <c r="JVB100" s="5">
        <v>250</v>
      </c>
      <c r="JVC100" s="6">
        <v>44102</v>
      </c>
      <c r="JVE100" s="5" t="s">
        <v>67</v>
      </c>
      <c r="JVF100" s="6">
        <v>44102</v>
      </c>
      <c r="JVG100" s="7">
        <v>0.4</v>
      </c>
      <c r="JVH100" s="5">
        <v>14.5</v>
      </c>
      <c r="JVI100" s="5">
        <v>226</v>
      </c>
      <c r="JVJ100" s="5">
        <v>250</v>
      </c>
      <c r="JVK100" s="6">
        <v>44102</v>
      </c>
      <c r="JVM100" s="5" t="s">
        <v>67</v>
      </c>
      <c r="JVN100" s="6">
        <v>44102</v>
      </c>
      <c r="JVO100" s="7">
        <v>0.4</v>
      </c>
      <c r="JVP100" s="5">
        <v>14.5</v>
      </c>
      <c r="JVQ100" s="5">
        <v>226</v>
      </c>
      <c r="JVR100" s="5">
        <v>250</v>
      </c>
      <c r="JVS100" s="6">
        <v>44102</v>
      </c>
      <c r="JVU100" s="5" t="s">
        <v>67</v>
      </c>
      <c r="JVV100" s="6">
        <v>44102</v>
      </c>
      <c r="JVW100" s="7">
        <v>0.4</v>
      </c>
      <c r="JVX100" s="5">
        <v>14.5</v>
      </c>
      <c r="JVY100" s="5">
        <v>226</v>
      </c>
      <c r="JVZ100" s="5">
        <v>250</v>
      </c>
      <c r="JWA100" s="6">
        <v>44102</v>
      </c>
      <c r="JWC100" s="5" t="s">
        <v>67</v>
      </c>
      <c r="JWD100" s="6">
        <v>44102</v>
      </c>
      <c r="JWE100" s="7">
        <v>0.4</v>
      </c>
      <c r="JWF100" s="5">
        <v>14.5</v>
      </c>
      <c r="JWG100" s="5">
        <v>226</v>
      </c>
      <c r="JWH100" s="5">
        <v>250</v>
      </c>
      <c r="JWI100" s="6">
        <v>44102</v>
      </c>
      <c r="JWK100" s="5" t="s">
        <v>67</v>
      </c>
      <c r="JWL100" s="6">
        <v>44102</v>
      </c>
      <c r="JWM100" s="7">
        <v>0.4</v>
      </c>
      <c r="JWN100" s="5">
        <v>14.5</v>
      </c>
      <c r="JWO100" s="5">
        <v>226</v>
      </c>
      <c r="JWP100" s="5">
        <v>250</v>
      </c>
      <c r="JWQ100" s="6">
        <v>44102</v>
      </c>
      <c r="JWS100" s="5" t="s">
        <v>67</v>
      </c>
      <c r="JWT100" s="6">
        <v>44102</v>
      </c>
      <c r="JWU100" s="7">
        <v>0.4</v>
      </c>
      <c r="JWV100" s="5">
        <v>14.5</v>
      </c>
      <c r="JWW100" s="5">
        <v>226</v>
      </c>
      <c r="JWX100" s="5">
        <v>250</v>
      </c>
      <c r="JWY100" s="6">
        <v>44102</v>
      </c>
      <c r="JXA100" s="5" t="s">
        <v>67</v>
      </c>
      <c r="JXB100" s="6">
        <v>44102</v>
      </c>
      <c r="JXC100" s="7">
        <v>0.4</v>
      </c>
      <c r="JXD100" s="5">
        <v>14.5</v>
      </c>
      <c r="JXE100" s="5">
        <v>226</v>
      </c>
      <c r="JXF100" s="5">
        <v>250</v>
      </c>
      <c r="JXG100" s="6">
        <v>44102</v>
      </c>
      <c r="JXI100" s="5" t="s">
        <v>67</v>
      </c>
      <c r="JXJ100" s="6">
        <v>44102</v>
      </c>
      <c r="JXK100" s="7">
        <v>0.4</v>
      </c>
      <c r="JXL100" s="5">
        <v>14.5</v>
      </c>
      <c r="JXM100" s="5">
        <v>226</v>
      </c>
      <c r="JXN100" s="5">
        <v>250</v>
      </c>
      <c r="JXO100" s="6">
        <v>44102</v>
      </c>
      <c r="JXQ100" s="5" t="s">
        <v>67</v>
      </c>
      <c r="JXR100" s="6">
        <v>44102</v>
      </c>
      <c r="JXS100" s="7">
        <v>0.4</v>
      </c>
      <c r="JXT100" s="5">
        <v>14.5</v>
      </c>
      <c r="JXU100" s="5">
        <v>226</v>
      </c>
      <c r="JXV100" s="5">
        <v>250</v>
      </c>
      <c r="JXW100" s="6">
        <v>44102</v>
      </c>
      <c r="JXY100" s="5" t="s">
        <v>67</v>
      </c>
      <c r="JXZ100" s="6">
        <v>44102</v>
      </c>
      <c r="JYA100" s="7">
        <v>0.4</v>
      </c>
      <c r="JYB100" s="5">
        <v>14.5</v>
      </c>
      <c r="JYC100" s="5">
        <v>226</v>
      </c>
      <c r="JYD100" s="5">
        <v>250</v>
      </c>
      <c r="JYE100" s="6">
        <v>44102</v>
      </c>
      <c r="JYG100" s="5" t="s">
        <v>67</v>
      </c>
      <c r="JYH100" s="6">
        <v>44102</v>
      </c>
      <c r="JYI100" s="7">
        <v>0.4</v>
      </c>
      <c r="JYJ100" s="5">
        <v>14.5</v>
      </c>
      <c r="JYK100" s="5">
        <v>226</v>
      </c>
      <c r="JYL100" s="5">
        <v>250</v>
      </c>
      <c r="JYM100" s="6">
        <v>44102</v>
      </c>
      <c r="JYO100" s="5" t="s">
        <v>67</v>
      </c>
      <c r="JYP100" s="6">
        <v>44102</v>
      </c>
      <c r="JYQ100" s="7">
        <v>0.4</v>
      </c>
      <c r="JYR100" s="5">
        <v>14.5</v>
      </c>
      <c r="JYS100" s="5">
        <v>226</v>
      </c>
      <c r="JYT100" s="5">
        <v>250</v>
      </c>
      <c r="JYU100" s="6">
        <v>44102</v>
      </c>
      <c r="JYW100" s="5" t="s">
        <v>67</v>
      </c>
      <c r="JYX100" s="6">
        <v>44102</v>
      </c>
      <c r="JYY100" s="7">
        <v>0.4</v>
      </c>
      <c r="JYZ100" s="5">
        <v>14.5</v>
      </c>
      <c r="JZA100" s="5">
        <v>226</v>
      </c>
      <c r="JZB100" s="5">
        <v>250</v>
      </c>
      <c r="JZC100" s="6">
        <v>44102</v>
      </c>
      <c r="JZE100" s="5" t="s">
        <v>67</v>
      </c>
      <c r="JZF100" s="6">
        <v>44102</v>
      </c>
      <c r="JZG100" s="7">
        <v>0.4</v>
      </c>
      <c r="JZH100" s="5">
        <v>14.5</v>
      </c>
      <c r="JZI100" s="5">
        <v>226</v>
      </c>
      <c r="JZJ100" s="5">
        <v>250</v>
      </c>
      <c r="JZK100" s="6">
        <v>44102</v>
      </c>
      <c r="JZM100" s="5" t="s">
        <v>67</v>
      </c>
      <c r="JZN100" s="6">
        <v>44102</v>
      </c>
      <c r="JZO100" s="7">
        <v>0.4</v>
      </c>
      <c r="JZP100" s="5">
        <v>14.5</v>
      </c>
      <c r="JZQ100" s="5">
        <v>226</v>
      </c>
      <c r="JZR100" s="5">
        <v>250</v>
      </c>
      <c r="JZS100" s="6">
        <v>44102</v>
      </c>
      <c r="JZU100" s="5" t="s">
        <v>67</v>
      </c>
      <c r="JZV100" s="6">
        <v>44102</v>
      </c>
      <c r="JZW100" s="7">
        <v>0.4</v>
      </c>
      <c r="JZX100" s="5">
        <v>14.5</v>
      </c>
      <c r="JZY100" s="5">
        <v>226</v>
      </c>
      <c r="JZZ100" s="5">
        <v>250</v>
      </c>
      <c r="KAA100" s="6">
        <v>44102</v>
      </c>
      <c r="KAC100" s="5" t="s">
        <v>67</v>
      </c>
      <c r="KAD100" s="6">
        <v>44102</v>
      </c>
      <c r="KAE100" s="7">
        <v>0.4</v>
      </c>
      <c r="KAF100" s="5">
        <v>14.5</v>
      </c>
      <c r="KAG100" s="5">
        <v>226</v>
      </c>
      <c r="KAH100" s="5">
        <v>250</v>
      </c>
      <c r="KAI100" s="6">
        <v>44102</v>
      </c>
      <c r="KAK100" s="5" t="s">
        <v>67</v>
      </c>
      <c r="KAL100" s="6">
        <v>44102</v>
      </c>
      <c r="KAM100" s="7">
        <v>0.4</v>
      </c>
      <c r="KAN100" s="5">
        <v>14.5</v>
      </c>
      <c r="KAO100" s="5">
        <v>226</v>
      </c>
      <c r="KAP100" s="5">
        <v>250</v>
      </c>
      <c r="KAQ100" s="6">
        <v>44102</v>
      </c>
      <c r="KAS100" s="5" t="s">
        <v>67</v>
      </c>
      <c r="KAT100" s="6">
        <v>44102</v>
      </c>
      <c r="KAU100" s="7">
        <v>0.4</v>
      </c>
      <c r="KAV100" s="5">
        <v>14.5</v>
      </c>
      <c r="KAW100" s="5">
        <v>226</v>
      </c>
      <c r="KAX100" s="5">
        <v>250</v>
      </c>
      <c r="KAY100" s="6">
        <v>44102</v>
      </c>
      <c r="KBA100" s="5" t="s">
        <v>67</v>
      </c>
      <c r="KBB100" s="6">
        <v>44102</v>
      </c>
      <c r="KBC100" s="7">
        <v>0.4</v>
      </c>
      <c r="KBD100" s="5">
        <v>14.5</v>
      </c>
      <c r="KBE100" s="5">
        <v>226</v>
      </c>
      <c r="KBF100" s="5">
        <v>250</v>
      </c>
      <c r="KBG100" s="6">
        <v>44102</v>
      </c>
      <c r="KBI100" s="5" t="s">
        <v>67</v>
      </c>
      <c r="KBJ100" s="6">
        <v>44102</v>
      </c>
      <c r="KBK100" s="7">
        <v>0.4</v>
      </c>
      <c r="KBL100" s="5">
        <v>14.5</v>
      </c>
      <c r="KBM100" s="5">
        <v>226</v>
      </c>
      <c r="KBN100" s="5">
        <v>250</v>
      </c>
      <c r="KBO100" s="6">
        <v>44102</v>
      </c>
      <c r="KBQ100" s="5" t="s">
        <v>67</v>
      </c>
      <c r="KBR100" s="6">
        <v>44102</v>
      </c>
      <c r="KBS100" s="7">
        <v>0.4</v>
      </c>
      <c r="KBT100" s="5">
        <v>14.5</v>
      </c>
      <c r="KBU100" s="5">
        <v>226</v>
      </c>
      <c r="KBV100" s="5">
        <v>250</v>
      </c>
      <c r="KBW100" s="6">
        <v>44102</v>
      </c>
      <c r="KBY100" s="5" t="s">
        <v>67</v>
      </c>
      <c r="KBZ100" s="6">
        <v>44102</v>
      </c>
      <c r="KCA100" s="7">
        <v>0.4</v>
      </c>
      <c r="KCB100" s="5">
        <v>14.5</v>
      </c>
      <c r="KCC100" s="5">
        <v>226</v>
      </c>
      <c r="KCD100" s="5">
        <v>250</v>
      </c>
      <c r="KCE100" s="6">
        <v>44102</v>
      </c>
      <c r="KCG100" s="5" t="s">
        <v>67</v>
      </c>
      <c r="KCH100" s="6">
        <v>44102</v>
      </c>
      <c r="KCI100" s="7">
        <v>0.4</v>
      </c>
      <c r="KCJ100" s="5">
        <v>14.5</v>
      </c>
      <c r="KCK100" s="5">
        <v>226</v>
      </c>
      <c r="KCL100" s="5">
        <v>250</v>
      </c>
      <c r="KCM100" s="6">
        <v>44102</v>
      </c>
      <c r="KCO100" s="5" t="s">
        <v>67</v>
      </c>
      <c r="KCP100" s="6">
        <v>44102</v>
      </c>
      <c r="KCQ100" s="7">
        <v>0.4</v>
      </c>
      <c r="KCR100" s="5">
        <v>14.5</v>
      </c>
      <c r="KCS100" s="5">
        <v>226</v>
      </c>
      <c r="KCT100" s="5">
        <v>250</v>
      </c>
      <c r="KCU100" s="6">
        <v>44102</v>
      </c>
      <c r="KCW100" s="5" t="s">
        <v>67</v>
      </c>
      <c r="KCX100" s="6">
        <v>44102</v>
      </c>
      <c r="KCY100" s="7">
        <v>0.4</v>
      </c>
      <c r="KCZ100" s="5">
        <v>14.5</v>
      </c>
      <c r="KDA100" s="5">
        <v>226</v>
      </c>
      <c r="KDB100" s="5">
        <v>250</v>
      </c>
      <c r="KDC100" s="6">
        <v>44102</v>
      </c>
      <c r="KDE100" s="5" t="s">
        <v>67</v>
      </c>
      <c r="KDF100" s="6">
        <v>44102</v>
      </c>
      <c r="KDG100" s="7">
        <v>0.4</v>
      </c>
      <c r="KDH100" s="5">
        <v>14.5</v>
      </c>
      <c r="KDI100" s="5">
        <v>226</v>
      </c>
      <c r="KDJ100" s="5">
        <v>250</v>
      </c>
      <c r="KDK100" s="6">
        <v>44102</v>
      </c>
      <c r="KDM100" s="5" t="s">
        <v>67</v>
      </c>
      <c r="KDN100" s="6">
        <v>44102</v>
      </c>
      <c r="KDO100" s="7">
        <v>0.4</v>
      </c>
      <c r="KDP100" s="5">
        <v>14.5</v>
      </c>
      <c r="KDQ100" s="5">
        <v>226</v>
      </c>
      <c r="KDR100" s="5">
        <v>250</v>
      </c>
      <c r="KDS100" s="6">
        <v>44102</v>
      </c>
      <c r="KDU100" s="5" t="s">
        <v>67</v>
      </c>
      <c r="KDV100" s="6">
        <v>44102</v>
      </c>
      <c r="KDW100" s="7">
        <v>0.4</v>
      </c>
      <c r="KDX100" s="5">
        <v>14.5</v>
      </c>
      <c r="KDY100" s="5">
        <v>226</v>
      </c>
      <c r="KDZ100" s="5">
        <v>250</v>
      </c>
      <c r="KEA100" s="6">
        <v>44102</v>
      </c>
      <c r="KEC100" s="5" t="s">
        <v>67</v>
      </c>
      <c r="KED100" s="6">
        <v>44102</v>
      </c>
      <c r="KEE100" s="7">
        <v>0.4</v>
      </c>
      <c r="KEF100" s="5">
        <v>14.5</v>
      </c>
      <c r="KEG100" s="5">
        <v>226</v>
      </c>
      <c r="KEH100" s="5">
        <v>250</v>
      </c>
      <c r="KEI100" s="6">
        <v>44102</v>
      </c>
      <c r="KEK100" s="5" t="s">
        <v>67</v>
      </c>
      <c r="KEL100" s="6">
        <v>44102</v>
      </c>
      <c r="KEM100" s="7">
        <v>0.4</v>
      </c>
      <c r="KEN100" s="5">
        <v>14.5</v>
      </c>
      <c r="KEO100" s="5">
        <v>226</v>
      </c>
      <c r="KEP100" s="5">
        <v>250</v>
      </c>
      <c r="KEQ100" s="6">
        <v>44102</v>
      </c>
      <c r="KES100" s="5" t="s">
        <v>67</v>
      </c>
      <c r="KET100" s="6">
        <v>44102</v>
      </c>
      <c r="KEU100" s="7">
        <v>0.4</v>
      </c>
      <c r="KEV100" s="5">
        <v>14.5</v>
      </c>
      <c r="KEW100" s="5">
        <v>226</v>
      </c>
      <c r="KEX100" s="5">
        <v>250</v>
      </c>
      <c r="KEY100" s="6">
        <v>44102</v>
      </c>
      <c r="KFA100" s="5" t="s">
        <v>67</v>
      </c>
      <c r="KFB100" s="6">
        <v>44102</v>
      </c>
      <c r="KFC100" s="7">
        <v>0.4</v>
      </c>
      <c r="KFD100" s="5">
        <v>14.5</v>
      </c>
      <c r="KFE100" s="5">
        <v>226</v>
      </c>
      <c r="KFF100" s="5">
        <v>250</v>
      </c>
      <c r="KFG100" s="6">
        <v>44102</v>
      </c>
      <c r="KFI100" s="5" t="s">
        <v>67</v>
      </c>
      <c r="KFJ100" s="6">
        <v>44102</v>
      </c>
      <c r="KFK100" s="7">
        <v>0.4</v>
      </c>
      <c r="KFL100" s="5">
        <v>14.5</v>
      </c>
      <c r="KFM100" s="5">
        <v>226</v>
      </c>
      <c r="KFN100" s="5">
        <v>250</v>
      </c>
      <c r="KFO100" s="6">
        <v>44102</v>
      </c>
      <c r="KFQ100" s="5" t="s">
        <v>67</v>
      </c>
      <c r="KFR100" s="6">
        <v>44102</v>
      </c>
      <c r="KFS100" s="7">
        <v>0.4</v>
      </c>
      <c r="KFT100" s="5">
        <v>14.5</v>
      </c>
      <c r="KFU100" s="5">
        <v>226</v>
      </c>
      <c r="KFV100" s="5">
        <v>250</v>
      </c>
      <c r="KFW100" s="6">
        <v>44102</v>
      </c>
      <c r="KFY100" s="5" t="s">
        <v>67</v>
      </c>
      <c r="KFZ100" s="6">
        <v>44102</v>
      </c>
      <c r="KGA100" s="7">
        <v>0.4</v>
      </c>
      <c r="KGB100" s="5">
        <v>14.5</v>
      </c>
      <c r="KGC100" s="5">
        <v>226</v>
      </c>
      <c r="KGD100" s="5">
        <v>250</v>
      </c>
      <c r="KGE100" s="6">
        <v>44102</v>
      </c>
      <c r="KGG100" s="5" t="s">
        <v>67</v>
      </c>
      <c r="KGH100" s="6">
        <v>44102</v>
      </c>
      <c r="KGI100" s="7">
        <v>0.4</v>
      </c>
      <c r="KGJ100" s="5">
        <v>14.5</v>
      </c>
      <c r="KGK100" s="5">
        <v>226</v>
      </c>
      <c r="KGL100" s="5">
        <v>250</v>
      </c>
      <c r="KGM100" s="6">
        <v>44102</v>
      </c>
      <c r="KGO100" s="5" t="s">
        <v>67</v>
      </c>
      <c r="KGP100" s="6">
        <v>44102</v>
      </c>
      <c r="KGQ100" s="7">
        <v>0.4</v>
      </c>
      <c r="KGR100" s="5">
        <v>14.5</v>
      </c>
      <c r="KGS100" s="5">
        <v>226</v>
      </c>
      <c r="KGT100" s="5">
        <v>250</v>
      </c>
      <c r="KGU100" s="6">
        <v>44102</v>
      </c>
      <c r="KGW100" s="5" t="s">
        <v>67</v>
      </c>
      <c r="KGX100" s="6">
        <v>44102</v>
      </c>
      <c r="KGY100" s="7">
        <v>0.4</v>
      </c>
      <c r="KGZ100" s="5">
        <v>14.5</v>
      </c>
      <c r="KHA100" s="5">
        <v>226</v>
      </c>
      <c r="KHB100" s="5">
        <v>250</v>
      </c>
      <c r="KHC100" s="6">
        <v>44102</v>
      </c>
      <c r="KHE100" s="5" t="s">
        <v>67</v>
      </c>
      <c r="KHF100" s="6">
        <v>44102</v>
      </c>
      <c r="KHG100" s="7">
        <v>0.4</v>
      </c>
      <c r="KHH100" s="5">
        <v>14.5</v>
      </c>
      <c r="KHI100" s="5">
        <v>226</v>
      </c>
      <c r="KHJ100" s="5">
        <v>250</v>
      </c>
      <c r="KHK100" s="6">
        <v>44102</v>
      </c>
      <c r="KHM100" s="5" t="s">
        <v>67</v>
      </c>
      <c r="KHN100" s="6">
        <v>44102</v>
      </c>
      <c r="KHO100" s="7">
        <v>0.4</v>
      </c>
      <c r="KHP100" s="5">
        <v>14.5</v>
      </c>
      <c r="KHQ100" s="5">
        <v>226</v>
      </c>
      <c r="KHR100" s="5">
        <v>250</v>
      </c>
      <c r="KHS100" s="6">
        <v>44102</v>
      </c>
      <c r="KHU100" s="5" t="s">
        <v>67</v>
      </c>
      <c r="KHV100" s="6">
        <v>44102</v>
      </c>
      <c r="KHW100" s="7">
        <v>0.4</v>
      </c>
      <c r="KHX100" s="5">
        <v>14.5</v>
      </c>
      <c r="KHY100" s="5">
        <v>226</v>
      </c>
      <c r="KHZ100" s="5">
        <v>250</v>
      </c>
      <c r="KIA100" s="6">
        <v>44102</v>
      </c>
      <c r="KIC100" s="5" t="s">
        <v>67</v>
      </c>
      <c r="KID100" s="6">
        <v>44102</v>
      </c>
      <c r="KIE100" s="7">
        <v>0.4</v>
      </c>
      <c r="KIF100" s="5">
        <v>14.5</v>
      </c>
      <c r="KIG100" s="5">
        <v>226</v>
      </c>
      <c r="KIH100" s="5">
        <v>250</v>
      </c>
      <c r="KII100" s="6">
        <v>44102</v>
      </c>
      <c r="KIK100" s="5" t="s">
        <v>67</v>
      </c>
      <c r="KIL100" s="6">
        <v>44102</v>
      </c>
      <c r="KIM100" s="7">
        <v>0.4</v>
      </c>
      <c r="KIN100" s="5">
        <v>14.5</v>
      </c>
      <c r="KIO100" s="5">
        <v>226</v>
      </c>
      <c r="KIP100" s="5">
        <v>250</v>
      </c>
      <c r="KIQ100" s="6">
        <v>44102</v>
      </c>
      <c r="KIS100" s="5" t="s">
        <v>67</v>
      </c>
      <c r="KIT100" s="6">
        <v>44102</v>
      </c>
      <c r="KIU100" s="7">
        <v>0.4</v>
      </c>
      <c r="KIV100" s="5">
        <v>14.5</v>
      </c>
      <c r="KIW100" s="5">
        <v>226</v>
      </c>
      <c r="KIX100" s="5">
        <v>250</v>
      </c>
      <c r="KIY100" s="6">
        <v>44102</v>
      </c>
      <c r="KJA100" s="5" t="s">
        <v>67</v>
      </c>
      <c r="KJB100" s="6">
        <v>44102</v>
      </c>
      <c r="KJC100" s="7">
        <v>0.4</v>
      </c>
      <c r="KJD100" s="5">
        <v>14.5</v>
      </c>
      <c r="KJE100" s="5">
        <v>226</v>
      </c>
      <c r="KJF100" s="5">
        <v>250</v>
      </c>
      <c r="KJG100" s="6">
        <v>44102</v>
      </c>
      <c r="KJI100" s="5" t="s">
        <v>67</v>
      </c>
      <c r="KJJ100" s="6">
        <v>44102</v>
      </c>
      <c r="KJK100" s="7">
        <v>0.4</v>
      </c>
      <c r="KJL100" s="5">
        <v>14.5</v>
      </c>
      <c r="KJM100" s="5">
        <v>226</v>
      </c>
      <c r="KJN100" s="5">
        <v>250</v>
      </c>
      <c r="KJO100" s="6">
        <v>44102</v>
      </c>
      <c r="KJQ100" s="5" t="s">
        <v>67</v>
      </c>
      <c r="KJR100" s="6">
        <v>44102</v>
      </c>
      <c r="KJS100" s="7">
        <v>0.4</v>
      </c>
      <c r="KJT100" s="5">
        <v>14.5</v>
      </c>
      <c r="KJU100" s="5">
        <v>226</v>
      </c>
      <c r="KJV100" s="5">
        <v>250</v>
      </c>
      <c r="KJW100" s="6">
        <v>44102</v>
      </c>
      <c r="KJY100" s="5" t="s">
        <v>67</v>
      </c>
      <c r="KJZ100" s="6">
        <v>44102</v>
      </c>
      <c r="KKA100" s="7">
        <v>0.4</v>
      </c>
      <c r="KKB100" s="5">
        <v>14.5</v>
      </c>
      <c r="KKC100" s="5">
        <v>226</v>
      </c>
      <c r="KKD100" s="5">
        <v>250</v>
      </c>
      <c r="KKE100" s="6">
        <v>44102</v>
      </c>
      <c r="KKG100" s="5" t="s">
        <v>67</v>
      </c>
      <c r="KKH100" s="6">
        <v>44102</v>
      </c>
      <c r="KKI100" s="7">
        <v>0.4</v>
      </c>
      <c r="KKJ100" s="5">
        <v>14.5</v>
      </c>
      <c r="KKK100" s="5">
        <v>226</v>
      </c>
      <c r="KKL100" s="5">
        <v>250</v>
      </c>
      <c r="KKM100" s="6">
        <v>44102</v>
      </c>
      <c r="KKO100" s="5" t="s">
        <v>67</v>
      </c>
      <c r="KKP100" s="6">
        <v>44102</v>
      </c>
      <c r="KKQ100" s="7">
        <v>0.4</v>
      </c>
      <c r="KKR100" s="5">
        <v>14.5</v>
      </c>
      <c r="KKS100" s="5">
        <v>226</v>
      </c>
      <c r="KKT100" s="5">
        <v>250</v>
      </c>
      <c r="KKU100" s="6">
        <v>44102</v>
      </c>
      <c r="KKW100" s="5" t="s">
        <v>67</v>
      </c>
      <c r="KKX100" s="6">
        <v>44102</v>
      </c>
      <c r="KKY100" s="7">
        <v>0.4</v>
      </c>
      <c r="KKZ100" s="5">
        <v>14.5</v>
      </c>
      <c r="KLA100" s="5">
        <v>226</v>
      </c>
      <c r="KLB100" s="5">
        <v>250</v>
      </c>
      <c r="KLC100" s="6">
        <v>44102</v>
      </c>
      <c r="KLE100" s="5" t="s">
        <v>67</v>
      </c>
      <c r="KLF100" s="6">
        <v>44102</v>
      </c>
      <c r="KLG100" s="7">
        <v>0.4</v>
      </c>
      <c r="KLH100" s="5">
        <v>14.5</v>
      </c>
      <c r="KLI100" s="5">
        <v>226</v>
      </c>
      <c r="KLJ100" s="5">
        <v>250</v>
      </c>
      <c r="KLK100" s="6">
        <v>44102</v>
      </c>
      <c r="KLM100" s="5" t="s">
        <v>67</v>
      </c>
      <c r="KLN100" s="6">
        <v>44102</v>
      </c>
      <c r="KLO100" s="7">
        <v>0.4</v>
      </c>
      <c r="KLP100" s="5">
        <v>14.5</v>
      </c>
      <c r="KLQ100" s="5">
        <v>226</v>
      </c>
      <c r="KLR100" s="5">
        <v>250</v>
      </c>
      <c r="KLS100" s="6">
        <v>44102</v>
      </c>
      <c r="KLU100" s="5" t="s">
        <v>67</v>
      </c>
      <c r="KLV100" s="6">
        <v>44102</v>
      </c>
      <c r="KLW100" s="7">
        <v>0.4</v>
      </c>
      <c r="KLX100" s="5">
        <v>14.5</v>
      </c>
      <c r="KLY100" s="5">
        <v>226</v>
      </c>
      <c r="KLZ100" s="5">
        <v>250</v>
      </c>
      <c r="KMA100" s="6">
        <v>44102</v>
      </c>
      <c r="KMC100" s="5" t="s">
        <v>67</v>
      </c>
      <c r="KMD100" s="6">
        <v>44102</v>
      </c>
      <c r="KME100" s="7">
        <v>0.4</v>
      </c>
      <c r="KMF100" s="5">
        <v>14.5</v>
      </c>
      <c r="KMG100" s="5">
        <v>226</v>
      </c>
      <c r="KMH100" s="5">
        <v>250</v>
      </c>
      <c r="KMI100" s="6">
        <v>44102</v>
      </c>
      <c r="KMK100" s="5" t="s">
        <v>67</v>
      </c>
      <c r="KML100" s="6">
        <v>44102</v>
      </c>
      <c r="KMM100" s="7">
        <v>0.4</v>
      </c>
      <c r="KMN100" s="5">
        <v>14.5</v>
      </c>
      <c r="KMO100" s="5">
        <v>226</v>
      </c>
      <c r="KMP100" s="5">
        <v>250</v>
      </c>
      <c r="KMQ100" s="6">
        <v>44102</v>
      </c>
      <c r="KMS100" s="5" t="s">
        <v>67</v>
      </c>
      <c r="KMT100" s="6">
        <v>44102</v>
      </c>
      <c r="KMU100" s="7">
        <v>0.4</v>
      </c>
      <c r="KMV100" s="5">
        <v>14.5</v>
      </c>
      <c r="KMW100" s="5">
        <v>226</v>
      </c>
      <c r="KMX100" s="5">
        <v>250</v>
      </c>
      <c r="KMY100" s="6">
        <v>44102</v>
      </c>
      <c r="KNA100" s="5" t="s">
        <v>67</v>
      </c>
      <c r="KNB100" s="6">
        <v>44102</v>
      </c>
      <c r="KNC100" s="7">
        <v>0.4</v>
      </c>
      <c r="KND100" s="5">
        <v>14.5</v>
      </c>
      <c r="KNE100" s="5">
        <v>226</v>
      </c>
      <c r="KNF100" s="5">
        <v>250</v>
      </c>
      <c r="KNG100" s="6">
        <v>44102</v>
      </c>
      <c r="KNI100" s="5" t="s">
        <v>67</v>
      </c>
      <c r="KNJ100" s="6">
        <v>44102</v>
      </c>
      <c r="KNK100" s="7">
        <v>0.4</v>
      </c>
      <c r="KNL100" s="5">
        <v>14.5</v>
      </c>
      <c r="KNM100" s="5">
        <v>226</v>
      </c>
      <c r="KNN100" s="5">
        <v>250</v>
      </c>
      <c r="KNO100" s="6">
        <v>44102</v>
      </c>
      <c r="KNQ100" s="5" t="s">
        <v>67</v>
      </c>
      <c r="KNR100" s="6">
        <v>44102</v>
      </c>
      <c r="KNS100" s="7">
        <v>0.4</v>
      </c>
      <c r="KNT100" s="5">
        <v>14.5</v>
      </c>
      <c r="KNU100" s="5">
        <v>226</v>
      </c>
      <c r="KNV100" s="5">
        <v>250</v>
      </c>
      <c r="KNW100" s="6">
        <v>44102</v>
      </c>
      <c r="KNY100" s="5" t="s">
        <v>67</v>
      </c>
      <c r="KNZ100" s="6">
        <v>44102</v>
      </c>
      <c r="KOA100" s="7">
        <v>0.4</v>
      </c>
      <c r="KOB100" s="5">
        <v>14.5</v>
      </c>
      <c r="KOC100" s="5">
        <v>226</v>
      </c>
      <c r="KOD100" s="5">
        <v>250</v>
      </c>
      <c r="KOE100" s="6">
        <v>44102</v>
      </c>
      <c r="KOG100" s="5" t="s">
        <v>67</v>
      </c>
      <c r="KOH100" s="6">
        <v>44102</v>
      </c>
      <c r="KOI100" s="7">
        <v>0.4</v>
      </c>
      <c r="KOJ100" s="5">
        <v>14.5</v>
      </c>
      <c r="KOK100" s="5">
        <v>226</v>
      </c>
      <c r="KOL100" s="5">
        <v>250</v>
      </c>
      <c r="KOM100" s="6">
        <v>44102</v>
      </c>
      <c r="KOO100" s="5" t="s">
        <v>67</v>
      </c>
      <c r="KOP100" s="6">
        <v>44102</v>
      </c>
      <c r="KOQ100" s="7">
        <v>0.4</v>
      </c>
      <c r="KOR100" s="5">
        <v>14.5</v>
      </c>
      <c r="KOS100" s="5">
        <v>226</v>
      </c>
      <c r="KOT100" s="5">
        <v>250</v>
      </c>
      <c r="KOU100" s="6">
        <v>44102</v>
      </c>
      <c r="KOW100" s="5" t="s">
        <v>67</v>
      </c>
      <c r="KOX100" s="6">
        <v>44102</v>
      </c>
      <c r="KOY100" s="7">
        <v>0.4</v>
      </c>
      <c r="KOZ100" s="5">
        <v>14.5</v>
      </c>
      <c r="KPA100" s="5">
        <v>226</v>
      </c>
      <c r="KPB100" s="5">
        <v>250</v>
      </c>
      <c r="KPC100" s="6">
        <v>44102</v>
      </c>
      <c r="KPE100" s="5" t="s">
        <v>67</v>
      </c>
      <c r="KPF100" s="6">
        <v>44102</v>
      </c>
      <c r="KPG100" s="7">
        <v>0.4</v>
      </c>
      <c r="KPH100" s="5">
        <v>14.5</v>
      </c>
      <c r="KPI100" s="5">
        <v>226</v>
      </c>
      <c r="KPJ100" s="5">
        <v>250</v>
      </c>
      <c r="KPK100" s="6">
        <v>44102</v>
      </c>
      <c r="KPM100" s="5" t="s">
        <v>67</v>
      </c>
      <c r="KPN100" s="6">
        <v>44102</v>
      </c>
      <c r="KPO100" s="7">
        <v>0.4</v>
      </c>
      <c r="KPP100" s="5">
        <v>14.5</v>
      </c>
      <c r="KPQ100" s="5">
        <v>226</v>
      </c>
      <c r="KPR100" s="5">
        <v>250</v>
      </c>
      <c r="KPS100" s="6">
        <v>44102</v>
      </c>
      <c r="KPU100" s="5" t="s">
        <v>67</v>
      </c>
      <c r="KPV100" s="6">
        <v>44102</v>
      </c>
      <c r="KPW100" s="7">
        <v>0.4</v>
      </c>
      <c r="KPX100" s="5">
        <v>14.5</v>
      </c>
      <c r="KPY100" s="5">
        <v>226</v>
      </c>
      <c r="KPZ100" s="5">
        <v>250</v>
      </c>
      <c r="KQA100" s="6">
        <v>44102</v>
      </c>
      <c r="KQC100" s="5" t="s">
        <v>67</v>
      </c>
      <c r="KQD100" s="6">
        <v>44102</v>
      </c>
      <c r="KQE100" s="7">
        <v>0.4</v>
      </c>
      <c r="KQF100" s="5">
        <v>14.5</v>
      </c>
      <c r="KQG100" s="5">
        <v>226</v>
      </c>
      <c r="KQH100" s="5">
        <v>250</v>
      </c>
      <c r="KQI100" s="6">
        <v>44102</v>
      </c>
      <c r="KQK100" s="5" t="s">
        <v>67</v>
      </c>
      <c r="KQL100" s="6">
        <v>44102</v>
      </c>
      <c r="KQM100" s="7">
        <v>0.4</v>
      </c>
      <c r="KQN100" s="5">
        <v>14.5</v>
      </c>
      <c r="KQO100" s="5">
        <v>226</v>
      </c>
      <c r="KQP100" s="5">
        <v>250</v>
      </c>
      <c r="KQQ100" s="6">
        <v>44102</v>
      </c>
      <c r="KQS100" s="5" t="s">
        <v>67</v>
      </c>
      <c r="KQT100" s="6">
        <v>44102</v>
      </c>
      <c r="KQU100" s="7">
        <v>0.4</v>
      </c>
      <c r="KQV100" s="5">
        <v>14.5</v>
      </c>
      <c r="KQW100" s="5">
        <v>226</v>
      </c>
      <c r="KQX100" s="5">
        <v>250</v>
      </c>
      <c r="KQY100" s="6">
        <v>44102</v>
      </c>
      <c r="KRA100" s="5" t="s">
        <v>67</v>
      </c>
      <c r="KRB100" s="6">
        <v>44102</v>
      </c>
      <c r="KRC100" s="7">
        <v>0.4</v>
      </c>
      <c r="KRD100" s="5">
        <v>14.5</v>
      </c>
      <c r="KRE100" s="5">
        <v>226</v>
      </c>
      <c r="KRF100" s="5">
        <v>250</v>
      </c>
      <c r="KRG100" s="6">
        <v>44102</v>
      </c>
      <c r="KRI100" s="5" t="s">
        <v>67</v>
      </c>
      <c r="KRJ100" s="6">
        <v>44102</v>
      </c>
      <c r="KRK100" s="7">
        <v>0.4</v>
      </c>
      <c r="KRL100" s="5">
        <v>14.5</v>
      </c>
      <c r="KRM100" s="5">
        <v>226</v>
      </c>
      <c r="KRN100" s="5">
        <v>250</v>
      </c>
      <c r="KRO100" s="6">
        <v>44102</v>
      </c>
      <c r="KRQ100" s="5" t="s">
        <v>67</v>
      </c>
      <c r="KRR100" s="6">
        <v>44102</v>
      </c>
      <c r="KRS100" s="7">
        <v>0.4</v>
      </c>
      <c r="KRT100" s="5">
        <v>14.5</v>
      </c>
      <c r="KRU100" s="5">
        <v>226</v>
      </c>
      <c r="KRV100" s="5">
        <v>250</v>
      </c>
      <c r="KRW100" s="6">
        <v>44102</v>
      </c>
      <c r="KRY100" s="5" t="s">
        <v>67</v>
      </c>
      <c r="KRZ100" s="6">
        <v>44102</v>
      </c>
      <c r="KSA100" s="7">
        <v>0.4</v>
      </c>
      <c r="KSB100" s="5">
        <v>14.5</v>
      </c>
      <c r="KSC100" s="5">
        <v>226</v>
      </c>
      <c r="KSD100" s="5">
        <v>250</v>
      </c>
      <c r="KSE100" s="6">
        <v>44102</v>
      </c>
      <c r="KSG100" s="5" t="s">
        <v>67</v>
      </c>
      <c r="KSH100" s="6">
        <v>44102</v>
      </c>
      <c r="KSI100" s="7">
        <v>0.4</v>
      </c>
      <c r="KSJ100" s="5">
        <v>14.5</v>
      </c>
      <c r="KSK100" s="5">
        <v>226</v>
      </c>
      <c r="KSL100" s="5">
        <v>250</v>
      </c>
      <c r="KSM100" s="6">
        <v>44102</v>
      </c>
      <c r="KSO100" s="5" t="s">
        <v>67</v>
      </c>
      <c r="KSP100" s="6">
        <v>44102</v>
      </c>
      <c r="KSQ100" s="7">
        <v>0.4</v>
      </c>
      <c r="KSR100" s="5">
        <v>14.5</v>
      </c>
      <c r="KSS100" s="5">
        <v>226</v>
      </c>
      <c r="KST100" s="5">
        <v>250</v>
      </c>
      <c r="KSU100" s="6">
        <v>44102</v>
      </c>
      <c r="KSW100" s="5" t="s">
        <v>67</v>
      </c>
      <c r="KSX100" s="6">
        <v>44102</v>
      </c>
      <c r="KSY100" s="7">
        <v>0.4</v>
      </c>
      <c r="KSZ100" s="5">
        <v>14.5</v>
      </c>
      <c r="KTA100" s="5">
        <v>226</v>
      </c>
      <c r="KTB100" s="5">
        <v>250</v>
      </c>
      <c r="KTC100" s="6">
        <v>44102</v>
      </c>
      <c r="KTE100" s="5" t="s">
        <v>67</v>
      </c>
      <c r="KTF100" s="6">
        <v>44102</v>
      </c>
      <c r="KTG100" s="7">
        <v>0.4</v>
      </c>
      <c r="KTH100" s="5">
        <v>14.5</v>
      </c>
      <c r="KTI100" s="5">
        <v>226</v>
      </c>
      <c r="KTJ100" s="5">
        <v>250</v>
      </c>
      <c r="KTK100" s="6">
        <v>44102</v>
      </c>
      <c r="KTM100" s="5" t="s">
        <v>67</v>
      </c>
      <c r="KTN100" s="6">
        <v>44102</v>
      </c>
      <c r="KTO100" s="7">
        <v>0.4</v>
      </c>
      <c r="KTP100" s="5">
        <v>14.5</v>
      </c>
      <c r="KTQ100" s="5">
        <v>226</v>
      </c>
      <c r="KTR100" s="5">
        <v>250</v>
      </c>
      <c r="KTS100" s="6">
        <v>44102</v>
      </c>
      <c r="KTU100" s="5" t="s">
        <v>67</v>
      </c>
      <c r="KTV100" s="6">
        <v>44102</v>
      </c>
      <c r="KTW100" s="7">
        <v>0.4</v>
      </c>
      <c r="KTX100" s="5">
        <v>14.5</v>
      </c>
      <c r="KTY100" s="5">
        <v>226</v>
      </c>
      <c r="KTZ100" s="5">
        <v>250</v>
      </c>
      <c r="KUA100" s="6">
        <v>44102</v>
      </c>
      <c r="KUC100" s="5" t="s">
        <v>67</v>
      </c>
      <c r="KUD100" s="6">
        <v>44102</v>
      </c>
      <c r="KUE100" s="7">
        <v>0.4</v>
      </c>
      <c r="KUF100" s="5">
        <v>14.5</v>
      </c>
      <c r="KUG100" s="5">
        <v>226</v>
      </c>
      <c r="KUH100" s="5">
        <v>250</v>
      </c>
      <c r="KUI100" s="6">
        <v>44102</v>
      </c>
      <c r="KUK100" s="5" t="s">
        <v>67</v>
      </c>
      <c r="KUL100" s="6">
        <v>44102</v>
      </c>
      <c r="KUM100" s="7">
        <v>0.4</v>
      </c>
      <c r="KUN100" s="5">
        <v>14.5</v>
      </c>
      <c r="KUO100" s="5">
        <v>226</v>
      </c>
      <c r="KUP100" s="5">
        <v>250</v>
      </c>
      <c r="KUQ100" s="6">
        <v>44102</v>
      </c>
      <c r="KUS100" s="5" t="s">
        <v>67</v>
      </c>
      <c r="KUT100" s="6">
        <v>44102</v>
      </c>
      <c r="KUU100" s="7">
        <v>0.4</v>
      </c>
      <c r="KUV100" s="5">
        <v>14.5</v>
      </c>
      <c r="KUW100" s="5">
        <v>226</v>
      </c>
      <c r="KUX100" s="5">
        <v>250</v>
      </c>
      <c r="KUY100" s="6">
        <v>44102</v>
      </c>
      <c r="KVA100" s="5" t="s">
        <v>67</v>
      </c>
      <c r="KVB100" s="6">
        <v>44102</v>
      </c>
      <c r="KVC100" s="7">
        <v>0.4</v>
      </c>
      <c r="KVD100" s="5">
        <v>14.5</v>
      </c>
      <c r="KVE100" s="5">
        <v>226</v>
      </c>
      <c r="KVF100" s="5">
        <v>250</v>
      </c>
      <c r="KVG100" s="6">
        <v>44102</v>
      </c>
      <c r="KVI100" s="5" t="s">
        <v>67</v>
      </c>
      <c r="KVJ100" s="6">
        <v>44102</v>
      </c>
      <c r="KVK100" s="7">
        <v>0.4</v>
      </c>
      <c r="KVL100" s="5">
        <v>14.5</v>
      </c>
      <c r="KVM100" s="5">
        <v>226</v>
      </c>
      <c r="KVN100" s="5">
        <v>250</v>
      </c>
      <c r="KVO100" s="6">
        <v>44102</v>
      </c>
      <c r="KVQ100" s="5" t="s">
        <v>67</v>
      </c>
      <c r="KVR100" s="6">
        <v>44102</v>
      </c>
      <c r="KVS100" s="7">
        <v>0.4</v>
      </c>
      <c r="KVT100" s="5">
        <v>14.5</v>
      </c>
      <c r="KVU100" s="5">
        <v>226</v>
      </c>
      <c r="KVV100" s="5">
        <v>250</v>
      </c>
      <c r="KVW100" s="6">
        <v>44102</v>
      </c>
      <c r="KVY100" s="5" t="s">
        <v>67</v>
      </c>
      <c r="KVZ100" s="6">
        <v>44102</v>
      </c>
      <c r="KWA100" s="7">
        <v>0.4</v>
      </c>
      <c r="KWB100" s="5">
        <v>14.5</v>
      </c>
      <c r="KWC100" s="5">
        <v>226</v>
      </c>
      <c r="KWD100" s="5">
        <v>250</v>
      </c>
      <c r="KWE100" s="6">
        <v>44102</v>
      </c>
      <c r="KWG100" s="5" t="s">
        <v>67</v>
      </c>
      <c r="KWH100" s="6">
        <v>44102</v>
      </c>
      <c r="KWI100" s="7">
        <v>0.4</v>
      </c>
      <c r="KWJ100" s="5">
        <v>14.5</v>
      </c>
      <c r="KWK100" s="5">
        <v>226</v>
      </c>
      <c r="KWL100" s="5">
        <v>250</v>
      </c>
      <c r="KWM100" s="6">
        <v>44102</v>
      </c>
      <c r="KWO100" s="5" t="s">
        <v>67</v>
      </c>
      <c r="KWP100" s="6">
        <v>44102</v>
      </c>
      <c r="KWQ100" s="7">
        <v>0.4</v>
      </c>
      <c r="KWR100" s="5">
        <v>14.5</v>
      </c>
      <c r="KWS100" s="5">
        <v>226</v>
      </c>
      <c r="KWT100" s="5">
        <v>250</v>
      </c>
      <c r="KWU100" s="6">
        <v>44102</v>
      </c>
      <c r="KWW100" s="5" t="s">
        <v>67</v>
      </c>
      <c r="KWX100" s="6">
        <v>44102</v>
      </c>
      <c r="KWY100" s="7">
        <v>0.4</v>
      </c>
      <c r="KWZ100" s="5">
        <v>14.5</v>
      </c>
      <c r="KXA100" s="5">
        <v>226</v>
      </c>
      <c r="KXB100" s="5">
        <v>250</v>
      </c>
      <c r="KXC100" s="6">
        <v>44102</v>
      </c>
      <c r="KXE100" s="5" t="s">
        <v>67</v>
      </c>
      <c r="KXF100" s="6">
        <v>44102</v>
      </c>
      <c r="KXG100" s="7">
        <v>0.4</v>
      </c>
      <c r="KXH100" s="5">
        <v>14.5</v>
      </c>
      <c r="KXI100" s="5">
        <v>226</v>
      </c>
      <c r="KXJ100" s="5">
        <v>250</v>
      </c>
      <c r="KXK100" s="6">
        <v>44102</v>
      </c>
      <c r="KXM100" s="5" t="s">
        <v>67</v>
      </c>
      <c r="KXN100" s="6">
        <v>44102</v>
      </c>
      <c r="KXO100" s="7">
        <v>0.4</v>
      </c>
      <c r="KXP100" s="5">
        <v>14.5</v>
      </c>
      <c r="KXQ100" s="5">
        <v>226</v>
      </c>
      <c r="KXR100" s="5">
        <v>250</v>
      </c>
      <c r="KXS100" s="6">
        <v>44102</v>
      </c>
      <c r="KXU100" s="5" t="s">
        <v>67</v>
      </c>
      <c r="KXV100" s="6">
        <v>44102</v>
      </c>
      <c r="KXW100" s="7">
        <v>0.4</v>
      </c>
      <c r="KXX100" s="5">
        <v>14.5</v>
      </c>
      <c r="KXY100" s="5">
        <v>226</v>
      </c>
      <c r="KXZ100" s="5">
        <v>250</v>
      </c>
      <c r="KYA100" s="6">
        <v>44102</v>
      </c>
      <c r="KYC100" s="5" t="s">
        <v>67</v>
      </c>
      <c r="KYD100" s="6">
        <v>44102</v>
      </c>
      <c r="KYE100" s="7">
        <v>0.4</v>
      </c>
      <c r="KYF100" s="5">
        <v>14.5</v>
      </c>
      <c r="KYG100" s="5">
        <v>226</v>
      </c>
      <c r="KYH100" s="5">
        <v>250</v>
      </c>
      <c r="KYI100" s="6">
        <v>44102</v>
      </c>
      <c r="KYK100" s="5" t="s">
        <v>67</v>
      </c>
      <c r="KYL100" s="6">
        <v>44102</v>
      </c>
      <c r="KYM100" s="7">
        <v>0.4</v>
      </c>
      <c r="KYN100" s="5">
        <v>14.5</v>
      </c>
      <c r="KYO100" s="5">
        <v>226</v>
      </c>
      <c r="KYP100" s="5">
        <v>250</v>
      </c>
      <c r="KYQ100" s="6">
        <v>44102</v>
      </c>
      <c r="KYS100" s="5" t="s">
        <v>67</v>
      </c>
      <c r="KYT100" s="6">
        <v>44102</v>
      </c>
      <c r="KYU100" s="7">
        <v>0.4</v>
      </c>
      <c r="KYV100" s="5">
        <v>14.5</v>
      </c>
      <c r="KYW100" s="5">
        <v>226</v>
      </c>
      <c r="KYX100" s="5">
        <v>250</v>
      </c>
      <c r="KYY100" s="6">
        <v>44102</v>
      </c>
      <c r="KZA100" s="5" t="s">
        <v>67</v>
      </c>
      <c r="KZB100" s="6">
        <v>44102</v>
      </c>
      <c r="KZC100" s="7">
        <v>0.4</v>
      </c>
      <c r="KZD100" s="5">
        <v>14.5</v>
      </c>
      <c r="KZE100" s="5">
        <v>226</v>
      </c>
      <c r="KZF100" s="5">
        <v>250</v>
      </c>
      <c r="KZG100" s="6">
        <v>44102</v>
      </c>
      <c r="KZI100" s="5" t="s">
        <v>67</v>
      </c>
      <c r="KZJ100" s="6">
        <v>44102</v>
      </c>
      <c r="KZK100" s="7">
        <v>0.4</v>
      </c>
      <c r="KZL100" s="5">
        <v>14.5</v>
      </c>
      <c r="KZM100" s="5">
        <v>226</v>
      </c>
      <c r="KZN100" s="5">
        <v>250</v>
      </c>
      <c r="KZO100" s="6">
        <v>44102</v>
      </c>
      <c r="KZQ100" s="5" t="s">
        <v>67</v>
      </c>
      <c r="KZR100" s="6">
        <v>44102</v>
      </c>
      <c r="KZS100" s="7">
        <v>0.4</v>
      </c>
      <c r="KZT100" s="5">
        <v>14.5</v>
      </c>
      <c r="KZU100" s="5">
        <v>226</v>
      </c>
      <c r="KZV100" s="5">
        <v>250</v>
      </c>
      <c r="KZW100" s="6">
        <v>44102</v>
      </c>
      <c r="KZY100" s="5" t="s">
        <v>67</v>
      </c>
      <c r="KZZ100" s="6">
        <v>44102</v>
      </c>
      <c r="LAA100" s="7">
        <v>0.4</v>
      </c>
      <c r="LAB100" s="5">
        <v>14.5</v>
      </c>
      <c r="LAC100" s="5">
        <v>226</v>
      </c>
      <c r="LAD100" s="5">
        <v>250</v>
      </c>
      <c r="LAE100" s="6">
        <v>44102</v>
      </c>
      <c r="LAG100" s="5" t="s">
        <v>67</v>
      </c>
      <c r="LAH100" s="6">
        <v>44102</v>
      </c>
      <c r="LAI100" s="7">
        <v>0.4</v>
      </c>
      <c r="LAJ100" s="5">
        <v>14.5</v>
      </c>
      <c r="LAK100" s="5">
        <v>226</v>
      </c>
      <c r="LAL100" s="5">
        <v>250</v>
      </c>
      <c r="LAM100" s="6">
        <v>44102</v>
      </c>
      <c r="LAO100" s="5" t="s">
        <v>67</v>
      </c>
      <c r="LAP100" s="6">
        <v>44102</v>
      </c>
      <c r="LAQ100" s="7">
        <v>0.4</v>
      </c>
      <c r="LAR100" s="5">
        <v>14.5</v>
      </c>
      <c r="LAS100" s="5">
        <v>226</v>
      </c>
      <c r="LAT100" s="5">
        <v>250</v>
      </c>
      <c r="LAU100" s="6">
        <v>44102</v>
      </c>
      <c r="LAW100" s="5" t="s">
        <v>67</v>
      </c>
      <c r="LAX100" s="6">
        <v>44102</v>
      </c>
      <c r="LAY100" s="7">
        <v>0.4</v>
      </c>
      <c r="LAZ100" s="5">
        <v>14.5</v>
      </c>
      <c r="LBA100" s="5">
        <v>226</v>
      </c>
      <c r="LBB100" s="5">
        <v>250</v>
      </c>
      <c r="LBC100" s="6">
        <v>44102</v>
      </c>
      <c r="LBE100" s="5" t="s">
        <v>67</v>
      </c>
      <c r="LBF100" s="6">
        <v>44102</v>
      </c>
      <c r="LBG100" s="7">
        <v>0.4</v>
      </c>
      <c r="LBH100" s="5">
        <v>14.5</v>
      </c>
      <c r="LBI100" s="5">
        <v>226</v>
      </c>
      <c r="LBJ100" s="5">
        <v>250</v>
      </c>
      <c r="LBK100" s="6">
        <v>44102</v>
      </c>
      <c r="LBM100" s="5" t="s">
        <v>67</v>
      </c>
      <c r="LBN100" s="6">
        <v>44102</v>
      </c>
      <c r="LBO100" s="7">
        <v>0.4</v>
      </c>
      <c r="LBP100" s="5">
        <v>14.5</v>
      </c>
      <c r="LBQ100" s="5">
        <v>226</v>
      </c>
      <c r="LBR100" s="5">
        <v>250</v>
      </c>
      <c r="LBS100" s="6">
        <v>44102</v>
      </c>
      <c r="LBU100" s="5" t="s">
        <v>67</v>
      </c>
      <c r="LBV100" s="6">
        <v>44102</v>
      </c>
      <c r="LBW100" s="7">
        <v>0.4</v>
      </c>
      <c r="LBX100" s="5">
        <v>14.5</v>
      </c>
      <c r="LBY100" s="5">
        <v>226</v>
      </c>
      <c r="LBZ100" s="5">
        <v>250</v>
      </c>
      <c r="LCA100" s="6">
        <v>44102</v>
      </c>
      <c r="LCC100" s="5" t="s">
        <v>67</v>
      </c>
      <c r="LCD100" s="6">
        <v>44102</v>
      </c>
      <c r="LCE100" s="7">
        <v>0.4</v>
      </c>
      <c r="LCF100" s="5">
        <v>14.5</v>
      </c>
      <c r="LCG100" s="5">
        <v>226</v>
      </c>
      <c r="LCH100" s="5">
        <v>250</v>
      </c>
      <c r="LCI100" s="6">
        <v>44102</v>
      </c>
      <c r="LCK100" s="5" t="s">
        <v>67</v>
      </c>
      <c r="LCL100" s="6">
        <v>44102</v>
      </c>
      <c r="LCM100" s="7">
        <v>0.4</v>
      </c>
      <c r="LCN100" s="5">
        <v>14.5</v>
      </c>
      <c r="LCO100" s="5">
        <v>226</v>
      </c>
      <c r="LCP100" s="5">
        <v>250</v>
      </c>
      <c r="LCQ100" s="6">
        <v>44102</v>
      </c>
      <c r="LCS100" s="5" t="s">
        <v>67</v>
      </c>
      <c r="LCT100" s="6">
        <v>44102</v>
      </c>
      <c r="LCU100" s="7">
        <v>0.4</v>
      </c>
      <c r="LCV100" s="5">
        <v>14.5</v>
      </c>
      <c r="LCW100" s="5">
        <v>226</v>
      </c>
      <c r="LCX100" s="5">
        <v>250</v>
      </c>
      <c r="LCY100" s="6">
        <v>44102</v>
      </c>
      <c r="LDA100" s="5" t="s">
        <v>67</v>
      </c>
      <c r="LDB100" s="6">
        <v>44102</v>
      </c>
      <c r="LDC100" s="7">
        <v>0.4</v>
      </c>
      <c r="LDD100" s="5">
        <v>14.5</v>
      </c>
      <c r="LDE100" s="5">
        <v>226</v>
      </c>
      <c r="LDF100" s="5">
        <v>250</v>
      </c>
      <c r="LDG100" s="6">
        <v>44102</v>
      </c>
      <c r="LDI100" s="5" t="s">
        <v>67</v>
      </c>
      <c r="LDJ100" s="6">
        <v>44102</v>
      </c>
      <c r="LDK100" s="7">
        <v>0.4</v>
      </c>
      <c r="LDL100" s="5">
        <v>14.5</v>
      </c>
      <c r="LDM100" s="5">
        <v>226</v>
      </c>
      <c r="LDN100" s="5">
        <v>250</v>
      </c>
      <c r="LDO100" s="6">
        <v>44102</v>
      </c>
      <c r="LDQ100" s="5" t="s">
        <v>67</v>
      </c>
      <c r="LDR100" s="6">
        <v>44102</v>
      </c>
      <c r="LDS100" s="7">
        <v>0.4</v>
      </c>
      <c r="LDT100" s="5">
        <v>14.5</v>
      </c>
      <c r="LDU100" s="5">
        <v>226</v>
      </c>
      <c r="LDV100" s="5">
        <v>250</v>
      </c>
      <c r="LDW100" s="6">
        <v>44102</v>
      </c>
      <c r="LDY100" s="5" t="s">
        <v>67</v>
      </c>
      <c r="LDZ100" s="6">
        <v>44102</v>
      </c>
      <c r="LEA100" s="7">
        <v>0.4</v>
      </c>
      <c r="LEB100" s="5">
        <v>14.5</v>
      </c>
      <c r="LEC100" s="5">
        <v>226</v>
      </c>
      <c r="LED100" s="5">
        <v>250</v>
      </c>
      <c r="LEE100" s="6">
        <v>44102</v>
      </c>
      <c r="LEG100" s="5" t="s">
        <v>67</v>
      </c>
      <c r="LEH100" s="6">
        <v>44102</v>
      </c>
      <c r="LEI100" s="7">
        <v>0.4</v>
      </c>
      <c r="LEJ100" s="5">
        <v>14.5</v>
      </c>
      <c r="LEK100" s="5">
        <v>226</v>
      </c>
      <c r="LEL100" s="5">
        <v>250</v>
      </c>
      <c r="LEM100" s="6">
        <v>44102</v>
      </c>
      <c r="LEO100" s="5" t="s">
        <v>67</v>
      </c>
      <c r="LEP100" s="6">
        <v>44102</v>
      </c>
      <c r="LEQ100" s="7">
        <v>0.4</v>
      </c>
      <c r="LER100" s="5">
        <v>14.5</v>
      </c>
      <c r="LES100" s="5">
        <v>226</v>
      </c>
      <c r="LET100" s="5">
        <v>250</v>
      </c>
      <c r="LEU100" s="6">
        <v>44102</v>
      </c>
      <c r="LEW100" s="5" t="s">
        <v>67</v>
      </c>
      <c r="LEX100" s="6">
        <v>44102</v>
      </c>
      <c r="LEY100" s="7">
        <v>0.4</v>
      </c>
      <c r="LEZ100" s="5">
        <v>14.5</v>
      </c>
      <c r="LFA100" s="5">
        <v>226</v>
      </c>
      <c r="LFB100" s="5">
        <v>250</v>
      </c>
      <c r="LFC100" s="6">
        <v>44102</v>
      </c>
      <c r="LFE100" s="5" t="s">
        <v>67</v>
      </c>
      <c r="LFF100" s="6">
        <v>44102</v>
      </c>
      <c r="LFG100" s="7">
        <v>0.4</v>
      </c>
      <c r="LFH100" s="5">
        <v>14.5</v>
      </c>
      <c r="LFI100" s="5">
        <v>226</v>
      </c>
      <c r="LFJ100" s="5">
        <v>250</v>
      </c>
      <c r="LFK100" s="6">
        <v>44102</v>
      </c>
      <c r="LFM100" s="5" t="s">
        <v>67</v>
      </c>
      <c r="LFN100" s="6">
        <v>44102</v>
      </c>
      <c r="LFO100" s="7">
        <v>0.4</v>
      </c>
      <c r="LFP100" s="5">
        <v>14.5</v>
      </c>
      <c r="LFQ100" s="5">
        <v>226</v>
      </c>
      <c r="LFR100" s="5">
        <v>250</v>
      </c>
      <c r="LFS100" s="6">
        <v>44102</v>
      </c>
      <c r="LFU100" s="5" t="s">
        <v>67</v>
      </c>
      <c r="LFV100" s="6">
        <v>44102</v>
      </c>
      <c r="LFW100" s="7">
        <v>0.4</v>
      </c>
      <c r="LFX100" s="5">
        <v>14.5</v>
      </c>
      <c r="LFY100" s="5">
        <v>226</v>
      </c>
      <c r="LFZ100" s="5">
        <v>250</v>
      </c>
      <c r="LGA100" s="6">
        <v>44102</v>
      </c>
      <c r="LGC100" s="5" t="s">
        <v>67</v>
      </c>
      <c r="LGD100" s="6">
        <v>44102</v>
      </c>
      <c r="LGE100" s="7">
        <v>0.4</v>
      </c>
      <c r="LGF100" s="5">
        <v>14.5</v>
      </c>
      <c r="LGG100" s="5">
        <v>226</v>
      </c>
      <c r="LGH100" s="5">
        <v>250</v>
      </c>
      <c r="LGI100" s="6">
        <v>44102</v>
      </c>
      <c r="LGK100" s="5" t="s">
        <v>67</v>
      </c>
      <c r="LGL100" s="6">
        <v>44102</v>
      </c>
      <c r="LGM100" s="7">
        <v>0.4</v>
      </c>
      <c r="LGN100" s="5">
        <v>14.5</v>
      </c>
      <c r="LGO100" s="5">
        <v>226</v>
      </c>
      <c r="LGP100" s="5">
        <v>250</v>
      </c>
      <c r="LGQ100" s="6">
        <v>44102</v>
      </c>
      <c r="LGS100" s="5" t="s">
        <v>67</v>
      </c>
      <c r="LGT100" s="6">
        <v>44102</v>
      </c>
      <c r="LGU100" s="7">
        <v>0.4</v>
      </c>
      <c r="LGV100" s="5">
        <v>14.5</v>
      </c>
      <c r="LGW100" s="5">
        <v>226</v>
      </c>
      <c r="LGX100" s="5">
        <v>250</v>
      </c>
      <c r="LGY100" s="6">
        <v>44102</v>
      </c>
      <c r="LHA100" s="5" t="s">
        <v>67</v>
      </c>
      <c r="LHB100" s="6">
        <v>44102</v>
      </c>
      <c r="LHC100" s="7">
        <v>0.4</v>
      </c>
      <c r="LHD100" s="5">
        <v>14.5</v>
      </c>
      <c r="LHE100" s="5">
        <v>226</v>
      </c>
      <c r="LHF100" s="5">
        <v>250</v>
      </c>
      <c r="LHG100" s="6">
        <v>44102</v>
      </c>
      <c r="LHI100" s="5" t="s">
        <v>67</v>
      </c>
      <c r="LHJ100" s="6">
        <v>44102</v>
      </c>
      <c r="LHK100" s="7">
        <v>0.4</v>
      </c>
      <c r="LHL100" s="5">
        <v>14.5</v>
      </c>
      <c r="LHM100" s="5">
        <v>226</v>
      </c>
      <c r="LHN100" s="5">
        <v>250</v>
      </c>
      <c r="LHO100" s="6">
        <v>44102</v>
      </c>
      <c r="LHQ100" s="5" t="s">
        <v>67</v>
      </c>
      <c r="LHR100" s="6">
        <v>44102</v>
      </c>
      <c r="LHS100" s="7">
        <v>0.4</v>
      </c>
      <c r="LHT100" s="5">
        <v>14.5</v>
      </c>
      <c r="LHU100" s="5">
        <v>226</v>
      </c>
      <c r="LHV100" s="5">
        <v>250</v>
      </c>
      <c r="LHW100" s="6">
        <v>44102</v>
      </c>
      <c r="LHY100" s="5" t="s">
        <v>67</v>
      </c>
      <c r="LHZ100" s="6">
        <v>44102</v>
      </c>
      <c r="LIA100" s="7">
        <v>0.4</v>
      </c>
      <c r="LIB100" s="5">
        <v>14.5</v>
      </c>
      <c r="LIC100" s="5">
        <v>226</v>
      </c>
      <c r="LID100" s="5">
        <v>250</v>
      </c>
      <c r="LIE100" s="6">
        <v>44102</v>
      </c>
      <c r="LIG100" s="5" t="s">
        <v>67</v>
      </c>
      <c r="LIH100" s="6">
        <v>44102</v>
      </c>
      <c r="LII100" s="7">
        <v>0.4</v>
      </c>
      <c r="LIJ100" s="5">
        <v>14.5</v>
      </c>
      <c r="LIK100" s="5">
        <v>226</v>
      </c>
      <c r="LIL100" s="5">
        <v>250</v>
      </c>
      <c r="LIM100" s="6">
        <v>44102</v>
      </c>
      <c r="LIO100" s="5" t="s">
        <v>67</v>
      </c>
      <c r="LIP100" s="6">
        <v>44102</v>
      </c>
      <c r="LIQ100" s="7">
        <v>0.4</v>
      </c>
      <c r="LIR100" s="5">
        <v>14.5</v>
      </c>
      <c r="LIS100" s="5">
        <v>226</v>
      </c>
      <c r="LIT100" s="5">
        <v>250</v>
      </c>
      <c r="LIU100" s="6">
        <v>44102</v>
      </c>
      <c r="LIW100" s="5" t="s">
        <v>67</v>
      </c>
      <c r="LIX100" s="6">
        <v>44102</v>
      </c>
      <c r="LIY100" s="7">
        <v>0.4</v>
      </c>
      <c r="LIZ100" s="5">
        <v>14.5</v>
      </c>
      <c r="LJA100" s="5">
        <v>226</v>
      </c>
      <c r="LJB100" s="5">
        <v>250</v>
      </c>
      <c r="LJC100" s="6">
        <v>44102</v>
      </c>
      <c r="LJE100" s="5" t="s">
        <v>67</v>
      </c>
      <c r="LJF100" s="6">
        <v>44102</v>
      </c>
      <c r="LJG100" s="7">
        <v>0.4</v>
      </c>
      <c r="LJH100" s="5">
        <v>14.5</v>
      </c>
      <c r="LJI100" s="5">
        <v>226</v>
      </c>
      <c r="LJJ100" s="5">
        <v>250</v>
      </c>
      <c r="LJK100" s="6">
        <v>44102</v>
      </c>
      <c r="LJM100" s="5" t="s">
        <v>67</v>
      </c>
      <c r="LJN100" s="6">
        <v>44102</v>
      </c>
      <c r="LJO100" s="7">
        <v>0.4</v>
      </c>
      <c r="LJP100" s="5">
        <v>14.5</v>
      </c>
      <c r="LJQ100" s="5">
        <v>226</v>
      </c>
      <c r="LJR100" s="5">
        <v>250</v>
      </c>
      <c r="LJS100" s="6">
        <v>44102</v>
      </c>
      <c r="LJU100" s="5" t="s">
        <v>67</v>
      </c>
      <c r="LJV100" s="6">
        <v>44102</v>
      </c>
      <c r="LJW100" s="7">
        <v>0.4</v>
      </c>
      <c r="LJX100" s="5">
        <v>14.5</v>
      </c>
      <c r="LJY100" s="5">
        <v>226</v>
      </c>
      <c r="LJZ100" s="5">
        <v>250</v>
      </c>
      <c r="LKA100" s="6">
        <v>44102</v>
      </c>
      <c r="LKC100" s="5" t="s">
        <v>67</v>
      </c>
      <c r="LKD100" s="6">
        <v>44102</v>
      </c>
      <c r="LKE100" s="7">
        <v>0.4</v>
      </c>
      <c r="LKF100" s="5">
        <v>14.5</v>
      </c>
      <c r="LKG100" s="5">
        <v>226</v>
      </c>
      <c r="LKH100" s="5">
        <v>250</v>
      </c>
      <c r="LKI100" s="6">
        <v>44102</v>
      </c>
      <c r="LKK100" s="5" t="s">
        <v>67</v>
      </c>
      <c r="LKL100" s="6">
        <v>44102</v>
      </c>
      <c r="LKM100" s="7">
        <v>0.4</v>
      </c>
      <c r="LKN100" s="5">
        <v>14.5</v>
      </c>
      <c r="LKO100" s="5">
        <v>226</v>
      </c>
      <c r="LKP100" s="5">
        <v>250</v>
      </c>
      <c r="LKQ100" s="6">
        <v>44102</v>
      </c>
      <c r="LKS100" s="5" t="s">
        <v>67</v>
      </c>
      <c r="LKT100" s="6">
        <v>44102</v>
      </c>
      <c r="LKU100" s="7">
        <v>0.4</v>
      </c>
      <c r="LKV100" s="5">
        <v>14.5</v>
      </c>
      <c r="LKW100" s="5">
        <v>226</v>
      </c>
      <c r="LKX100" s="5">
        <v>250</v>
      </c>
      <c r="LKY100" s="6">
        <v>44102</v>
      </c>
      <c r="LLA100" s="5" t="s">
        <v>67</v>
      </c>
      <c r="LLB100" s="6">
        <v>44102</v>
      </c>
      <c r="LLC100" s="7">
        <v>0.4</v>
      </c>
      <c r="LLD100" s="5">
        <v>14.5</v>
      </c>
      <c r="LLE100" s="5">
        <v>226</v>
      </c>
      <c r="LLF100" s="5">
        <v>250</v>
      </c>
      <c r="LLG100" s="6">
        <v>44102</v>
      </c>
      <c r="LLI100" s="5" t="s">
        <v>67</v>
      </c>
      <c r="LLJ100" s="6">
        <v>44102</v>
      </c>
      <c r="LLK100" s="7">
        <v>0.4</v>
      </c>
      <c r="LLL100" s="5">
        <v>14.5</v>
      </c>
      <c r="LLM100" s="5">
        <v>226</v>
      </c>
      <c r="LLN100" s="5">
        <v>250</v>
      </c>
      <c r="LLO100" s="6">
        <v>44102</v>
      </c>
      <c r="LLQ100" s="5" t="s">
        <v>67</v>
      </c>
      <c r="LLR100" s="6">
        <v>44102</v>
      </c>
      <c r="LLS100" s="7">
        <v>0.4</v>
      </c>
      <c r="LLT100" s="5">
        <v>14.5</v>
      </c>
      <c r="LLU100" s="5">
        <v>226</v>
      </c>
      <c r="LLV100" s="5">
        <v>250</v>
      </c>
      <c r="LLW100" s="6">
        <v>44102</v>
      </c>
      <c r="LLY100" s="5" t="s">
        <v>67</v>
      </c>
      <c r="LLZ100" s="6">
        <v>44102</v>
      </c>
      <c r="LMA100" s="7">
        <v>0.4</v>
      </c>
      <c r="LMB100" s="5">
        <v>14.5</v>
      </c>
      <c r="LMC100" s="5">
        <v>226</v>
      </c>
      <c r="LMD100" s="5">
        <v>250</v>
      </c>
      <c r="LME100" s="6">
        <v>44102</v>
      </c>
      <c r="LMG100" s="5" t="s">
        <v>67</v>
      </c>
      <c r="LMH100" s="6">
        <v>44102</v>
      </c>
      <c r="LMI100" s="7">
        <v>0.4</v>
      </c>
      <c r="LMJ100" s="5">
        <v>14.5</v>
      </c>
      <c r="LMK100" s="5">
        <v>226</v>
      </c>
      <c r="LML100" s="5">
        <v>250</v>
      </c>
      <c r="LMM100" s="6">
        <v>44102</v>
      </c>
      <c r="LMO100" s="5" t="s">
        <v>67</v>
      </c>
      <c r="LMP100" s="6">
        <v>44102</v>
      </c>
      <c r="LMQ100" s="7">
        <v>0.4</v>
      </c>
      <c r="LMR100" s="5">
        <v>14.5</v>
      </c>
      <c r="LMS100" s="5">
        <v>226</v>
      </c>
      <c r="LMT100" s="5">
        <v>250</v>
      </c>
      <c r="LMU100" s="6">
        <v>44102</v>
      </c>
      <c r="LMW100" s="5" t="s">
        <v>67</v>
      </c>
      <c r="LMX100" s="6">
        <v>44102</v>
      </c>
      <c r="LMY100" s="7">
        <v>0.4</v>
      </c>
      <c r="LMZ100" s="5">
        <v>14.5</v>
      </c>
      <c r="LNA100" s="5">
        <v>226</v>
      </c>
      <c r="LNB100" s="5">
        <v>250</v>
      </c>
      <c r="LNC100" s="6">
        <v>44102</v>
      </c>
      <c r="LNE100" s="5" t="s">
        <v>67</v>
      </c>
      <c r="LNF100" s="6">
        <v>44102</v>
      </c>
      <c r="LNG100" s="7">
        <v>0.4</v>
      </c>
      <c r="LNH100" s="5">
        <v>14.5</v>
      </c>
      <c r="LNI100" s="5">
        <v>226</v>
      </c>
      <c r="LNJ100" s="5">
        <v>250</v>
      </c>
      <c r="LNK100" s="6">
        <v>44102</v>
      </c>
      <c r="LNM100" s="5" t="s">
        <v>67</v>
      </c>
      <c r="LNN100" s="6">
        <v>44102</v>
      </c>
      <c r="LNO100" s="7">
        <v>0.4</v>
      </c>
      <c r="LNP100" s="5">
        <v>14.5</v>
      </c>
      <c r="LNQ100" s="5">
        <v>226</v>
      </c>
      <c r="LNR100" s="5">
        <v>250</v>
      </c>
      <c r="LNS100" s="6">
        <v>44102</v>
      </c>
      <c r="LNU100" s="5" t="s">
        <v>67</v>
      </c>
      <c r="LNV100" s="6">
        <v>44102</v>
      </c>
      <c r="LNW100" s="7">
        <v>0.4</v>
      </c>
      <c r="LNX100" s="5">
        <v>14.5</v>
      </c>
      <c r="LNY100" s="5">
        <v>226</v>
      </c>
      <c r="LNZ100" s="5">
        <v>250</v>
      </c>
      <c r="LOA100" s="6">
        <v>44102</v>
      </c>
      <c r="LOC100" s="5" t="s">
        <v>67</v>
      </c>
      <c r="LOD100" s="6">
        <v>44102</v>
      </c>
      <c r="LOE100" s="7">
        <v>0.4</v>
      </c>
      <c r="LOF100" s="5">
        <v>14.5</v>
      </c>
      <c r="LOG100" s="5">
        <v>226</v>
      </c>
      <c r="LOH100" s="5">
        <v>250</v>
      </c>
      <c r="LOI100" s="6">
        <v>44102</v>
      </c>
      <c r="LOK100" s="5" t="s">
        <v>67</v>
      </c>
      <c r="LOL100" s="6">
        <v>44102</v>
      </c>
      <c r="LOM100" s="7">
        <v>0.4</v>
      </c>
      <c r="LON100" s="5">
        <v>14.5</v>
      </c>
      <c r="LOO100" s="5">
        <v>226</v>
      </c>
      <c r="LOP100" s="5">
        <v>250</v>
      </c>
      <c r="LOQ100" s="6">
        <v>44102</v>
      </c>
      <c r="LOS100" s="5" t="s">
        <v>67</v>
      </c>
      <c r="LOT100" s="6">
        <v>44102</v>
      </c>
      <c r="LOU100" s="7">
        <v>0.4</v>
      </c>
      <c r="LOV100" s="5">
        <v>14.5</v>
      </c>
      <c r="LOW100" s="5">
        <v>226</v>
      </c>
      <c r="LOX100" s="5">
        <v>250</v>
      </c>
      <c r="LOY100" s="6">
        <v>44102</v>
      </c>
      <c r="LPA100" s="5" t="s">
        <v>67</v>
      </c>
      <c r="LPB100" s="6">
        <v>44102</v>
      </c>
      <c r="LPC100" s="7">
        <v>0.4</v>
      </c>
      <c r="LPD100" s="5">
        <v>14.5</v>
      </c>
      <c r="LPE100" s="5">
        <v>226</v>
      </c>
      <c r="LPF100" s="5">
        <v>250</v>
      </c>
      <c r="LPG100" s="6">
        <v>44102</v>
      </c>
      <c r="LPI100" s="5" t="s">
        <v>67</v>
      </c>
      <c r="LPJ100" s="6">
        <v>44102</v>
      </c>
      <c r="LPK100" s="7">
        <v>0.4</v>
      </c>
      <c r="LPL100" s="5">
        <v>14.5</v>
      </c>
      <c r="LPM100" s="5">
        <v>226</v>
      </c>
      <c r="LPN100" s="5">
        <v>250</v>
      </c>
      <c r="LPO100" s="6">
        <v>44102</v>
      </c>
      <c r="LPQ100" s="5" t="s">
        <v>67</v>
      </c>
      <c r="LPR100" s="6">
        <v>44102</v>
      </c>
      <c r="LPS100" s="7">
        <v>0.4</v>
      </c>
      <c r="LPT100" s="5">
        <v>14.5</v>
      </c>
      <c r="LPU100" s="5">
        <v>226</v>
      </c>
      <c r="LPV100" s="5">
        <v>250</v>
      </c>
      <c r="LPW100" s="6">
        <v>44102</v>
      </c>
      <c r="LPY100" s="5" t="s">
        <v>67</v>
      </c>
      <c r="LPZ100" s="6">
        <v>44102</v>
      </c>
      <c r="LQA100" s="7">
        <v>0.4</v>
      </c>
      <c r="LQB100" s="5">
        <v>14.5</v>
      </c>
      <c r="LQC100" s="5">
        <v>226</v>
      </c>
      <c r="LQD100" s="5">
        <v>250</v>
      </c>
      <c r="LQE100" s="6">
        <v>44102</v>
      </c>
      <c r="LQG100" s="5" t="s">
        <v>67</v>
      </c>
      <c r="LQH100" s="6">
        <v>44102</v>
      </c>
      <c r="LQI100" s="7">
        <v>0.4</v>
      </c>
      <c r="LQJ100" s="5">
        <v>14.5</v>
      </c>
      <c r="LQK100" s="5">
        <v>226</v>
      </c>
      <c r="LQL100" s="5">
        <v>250</v>
      </c>
      <c r="LQM100" s="6">
        <v>44102</v>
      </c>
      <c r="LQO100" s="5" t="s">
        <v>67</v>
      </c>
      <c r="LQP100" s="6">
        <v>44102</v>
      </c>
      <c r="LQQ100" s="7">
        <v>0.4</v>
      </c>
      <c r="LQR100" s="5">
        <v>14.5</v>
      </c>
      <c r="LQS100" s="5">
        <v>226</v>
      </c>
      <c r="LQT100" s="5">
        <v>250</v>
      </c>
      <c r="LQU100" s="6">
        <v>44102</v>
      </c>
      <c r="LQW100" s="5" t="s">
        <v>67</v>
      </c>
      <c r="LQX100" s="6">
        <v>44102</v>
      </c>
      <c r="LQY100" s="7">
        <v>0.4</v>
      </c>
      <c r="LQZ100" s="5">
        <v>14.5</v>
      </c>
      <c r="LRA100" s="5">
        <v>226</v>
      </c>
      <c r="LRB100" s="5">
        <v>250</v>
      </c>
      <c r="LRC100" s="6">
        <v>44102</v>
      </c>
      <c r="LRE100" s="5" t="s">
        <v>67</v>
      </c>
      <c r="LRF100" s="6">
        <v>44102</v>
      </c>
      <c r="LRG100" s="7">
        <v>0.4</v>
      </c>
      <c r="LRH100" s="5">
        <v>14.5</v>
      </c>
      <c r="LRI100" s="5">
        <v>226</v>
      </c>
      <c r="LRJ100" s="5">
        <v>250</v>
      </c>
      <c r="LRK100" s="6">
        <v>44102</v>
      </c>
      <c r="LRM100" s="5" t="s">
        <v>67</v>
      </c>
      <c r="LRN100" s="6">
        <v>44102</v>
      </c>
      <c r="LRO100" s="7">
        <v>0.4</v>
      </c>
      <c r="LRP100" s="5">
        <v>14.5</v>
      </c>
      <c r="LRQ100" s="5">
        <v>226</v>
      </c>
      <c r="LRR100" s="5">
        <v>250</v>
      </c>
      <c r="LRS100" s="6">
        <v>44102</v>
      </c>
      <c r="LRU100" s="5" t="s">
        <v>67</v>
      </c>
      <c r="LRV100" s="6">
        <v>44102</v>
      </c>
      <c r="LRW100" s="7">
        <v>0.4</v>
      </c>
      <c r="LRX100" s="5">
        <v>14.5</v>
      </c>
      <c r="LRY100" s="5">
        <v>226</v>
      </c>
      <c r="LRZ100" s="5">
        <v>250</v>
      </c>
      <c r="LSA100" s="6">
        <v>44102</v>
      </c>
      <c r="LSC100" s="5" t="s">
        <v>67</v>
      </c>
      <c r="LSD100" s="6">
        <v>44102</v>
      </c>
      <c r="LSE100" s="7">
        <v>0.4</v>
      </c>
      <c r="LSF100" s="5">
        <v>14.5</v>
      </c>
      <c r="LSG100" s="5">
        <v>226</v>
      </c>
      <c r="LSH100" s="5">
        <v>250</v>
      </c>
      <c r="LSI100" s="6">
        <v>44102</v>
      </c>
      <c r="LSK100" s="5" t="s">
        <v>67</v>
      </c>
      <c r="LSL100" s="6">
        <v>44102</v>
      </c>
      <c r="LSM100" s="7">
        <v>0.4</v>
      </c>
      <c r="LSN100" s="5">
        <v>14.5</v>
      </c>
      <c r="LSO100" s="5">
        <v>226</v>
      </c>
      <c r="LSP100" s="5">
        <v>250</v>
      </c>
      <c r="LSQ100" s="6">
        <v>44102</v>
      </c>
      <c r="LSS100" s="5" t="s">
        <v>67</v>
      </c>
      <c r="LST100" s="6">
        <v>44102</v>
      </c>
      <c r="LSU100" s="7">
        <v>0.4</v>
      </c>
      <c r="LSV100" s="5">
        <v>14.5</v>
      </c>
      <c r="LSW100" s="5">
        <v>226</v>
      </c>
      <c r="LSX100" s="5">
        <v>250</v>
      </c>
      <c r="LSY100" s="6">
        <v>44102</v>
      </c>
      <c r="LTA100" s="5" t="s">
        <v>67</v>
      </c>
      <c r="LTB100" s="6">
        <v>44102</v>
      </c>
      <c r="LTC100" s="7">
        <v>0.4</v>
      </c>
      <c r="LTD100" s="5">
        <v>14.5</v>
      </c>
      <c r="LTE100" s="5">
        <v>226</v>
      </c>
      <c r="LTF100" s="5">
        <v>250</v>
      </c>
      <c r="LTG100" s="6">
        <v>44102</v>
      </c>
      <c r="LTI100" s="5" t="s">
        <v>67</v>
      </c>
      <c r="LTJ100" s="6">
        <v>44102</v>
      </c>
      <c r="LTK100" s="7">
        <v>0.4</v>
      </c>
      <c r="LTL100" s="5">
        <v>14.5</v>
      </c>
      <c r="LTM100" s="5">
        <v>226</v>
      </c>
      <c r="LTN100" s="5">
        <v>250</v>
      </c>
      <c r="LTO100" s="6">
        <v>44102</v>
      </c>
      <c r="LTQ100" s="5" t="s">
        <v>67</v>
      </c>
      <c r="LTR100" s="6">
        <v>44102</v>
      </c>
      <c r="LTS100" s="7">
        <v>0.4</v>
      </c>
      <c r="LTT100" s="5">
        <v>14.5</v>
      </c>
      <c r="LTU100" s="5">
        <v>226</v>
      </c>
      <c r="LTV100" s="5">
        <v>250</v>
      </c>
      <c r="LTW100" s="6">
        <v>44102</v>
      </c>
      <c r="LTY100" s="5" t="s">
        <v>67</v>
      </c>
      <c r="LTZ100" s="6">
        <v>44102</v>
      </c>
      <c r="LUA100" s="7">
        <v>0.4</v>
      </c>
      <c r="LUB100" s="5">
        <v>14.5</v>
      </c>
      <c r="LUC100" s="5">
        <v>226</v>
      </c>
      <c r="LUD100" s="5">
        <v>250</v>
      </c>
      <c r="LUE100" s="6">
        <v>44102</v>
      </c>
      <c r="LUG100" s="5" t="s">
        <v>67</v>
      </c>
      <c r="LUH100" s="6">
        <v>44102</v>
      </c>
      <c r="LUI100" s="7">
        <v>0.4</v>
      </c>
      <c r="LUJ100" s="5">
        <v>14.5</v>
      </c>
      <c r="LUK100" s="5">
        <v>226</v>
      </c>
      <c r="LUL100" s="5">
        <v>250</v>
      </c>
      <c r="LUM100" s="6">
        <v>44102</v>
      </c>
      <c r="LUO100" s="5" t="s">
        <v>67</v>
      </c>
      <c r="LUP100" s="6">
        <v>44102</v>
      </c>
      <c r="LUQ100" s="7">
        <v>0.4</v>
      </c>
      <c r="LUR100" s="5">
        <v>14.5</v>
      </c>
      <c r="LUS100" s="5">
        <v>226</v>
      </c>
      <c r="LUT100" s="5">
        <v>250</v>
      </c>
      <c r="LUU100" s="6">
        <v>44102</v>
      </c>
      <c r="LUW100" s="5" t="s">
        <v>67</v>
      </c>
      <c r="LUX100" s="6">
        <v>44102</v>
      </c>
      <c r="LUY100" s="7">
        <v>0.4</v>
      </c>
      <c r="LUZ100" s="5">
        <v>14.5</v>
      </c>
      <c r="LVA100" s="5">
        <v>226</v>
      </c>
      <c r="LVB100" s="5">
        <v>250</v>
      </c>
      <c r="LVC100" s="6">
        <v>44102</v>
      </c>
      <c r="LVE100" s="5" t="s">
        <v>67</v>
      </c>
      <c r="LVF100" s="6">
        <v>44102</v>
      </c>
      <c r="LVG100" s="7">
        <v>0.4</v>
      </c>
      <c r="LVH100" s="5">
        <v>14.5</v>
      </c>
      <c r="LVI100" s="5">
        <v>226</v>
      </c>
      <c r="LVJ100" s="5">
        <v>250</v>
      </c>
      <c r="LVK100" s="6">
        <v>44102</v>
      </c>
      <c r="LVM100" s="5" t="s">
        <v>67</v>
      </c>
      <c r="LVN100" s="6">
        <v>44102</v>
      </c>
      <c r="LVO100" s="7">
        <v>0.4</v>
      </c>
      <c r="LVP100" s="5">
        <v>14.5</v>
      </c>
      <c r="LVQ100" s="5">
        <v>226</v>
      </c>
      <c r="LVR100" s="5">
        <v>250</v>
      </c>
      <c r="LVS100" s="6">
        <v>44102</v>
      </c>
      <c r="LVU100" s="5" t="s">
        <v>67</v>
      </c>
      <c r="LVV100" s="6">
        <v>44102</v>
      </c>
      <c r="LVW100" s="7">
        <v>0.4</v>
      </c>
      <c r="LVX100" s="5">
        <v>14.5</v>
      </c>
      <c r="LVY100" s="5">
        <v>226</v>
      </c>
      <c r="LVZ100" s="5">
        <v>250</v>
      </c>
      <c r="LWA100" s="6">
        <v>44102</v>
      </c>
      <c r="LWC100" s="5" t="s">
        <v>67</v>
      </c>
      <c r="LWD100" s="6">
        <v>44102</v>
      </c>
      <c r="LWE100" s="7">
        <v>0.4</v>
      </c>
      <c r="LWF100" s="5">
        <v>14.5</v>
      </c>
      <c r="LWG100" s="5">
        <v>226</v>
      </c>
      <c r="LWH100" s="5">
        <v>250</v>
      </c>
      <c r="LWI100" s="6">
        <v>44102</v>
      </c>
      <c r="LWK100" s="5" t="s">
        <v>67</v>
      </c>
      <c r="LWL100" s="6">
        <v>44102</v>
      </c>
      <c r="LWM100" s="7">
        <v>0.4</v>
      </c>
      <c r="LWN100" s="5">
        <v>14.5</v>
      </c>
      <c r="LWO100" s="5">
        <v>226</v>
      </c>
      <c r="LWP100" s="5">
        <v>250</v>
      </c>
      <c r="LWQ100" s="6">
        <v>44102</v>
      </c>
      <c r="LWS100" s="5" t="s">
        <v>67</v>
      </c>
      <c r="LWT100" s="6">
        <v>44102</v>
      </c>
      <c r="LWU100" s="7">
        <v>0.4</v>
      </c>
      <c r="LWV100" s="5">
        <v>14.5</v>
      </c>
      <c r="LWW100" s="5">
        <v>226</v>
      </c>
      <c r="LWX100" s="5">
        <v>250</v>
      </c>
      <c r="LWY100" s="6">
        <v>44102</v>
      </c>
      <c r="LXA100" s="5" t="s">
        <v>67</v>
      </c>
      <c r="LXB100" s="6">
        <v>44102</v>
      </c>
      <c r="LXC100" s="7">
        <v>0.4</v>
      </c>
      <c r="LXD100" s="5">
        <v>14.5</v>
      </c>
      <c r="LXE100" s="5">
        <v>226</v>
      </c>
      <c r="LXF100" s="5">
        <v>250</v>
      </c>
      <c r="LXG100" s="6">
        <v>44102</v>
      </c>
      <c r="LXI100" s="5" t="s">
        <v>67</v>
      </c>
      <c r="LXJ100" s="6">
        <v>44102</v>
      </c>
      <c r="LXK100" s="7">
        <v>0.4</v>
      </c>
      <c r="LXL100" s="5">
        <v>14.5</v>
      </c>
      <c r="LXM100" s="5">
        <v>226</v>
      </c>
      <c r="LXN100" s="5">
        <v>250</v>
      </c>
      <c r="LXO100" s="6">
        <v>44102</v>
      </c>
      <c r="LXQ100" s="5" t="s">
        <v>67</v>
      </c>
      <c r="LXR100" s="6">
        <v>44102</v>
      </c>
      <c r="LXS100" s="7">
        <v>0.4</v>
      </c>
      <c r="LXT100" s="5">
        <v>14.5</v>
      </c>
      <c r="LXU100" s="5">
        <v>226</v>
      </c>
      <c r="LXV100" s="5">
        <v>250</v>
      </c>
      <c r="LXW100" s="6">
        <v>44102</v>
      </c>
      <c r="LXY100" s="5" t="s">
        <v>67</v>
      </c>
      <c r="LXZ100" s="6">
        <v>44102</v>
      </c>
      <c r="LYA100" s="7">
        <v>0.4</v>
      </c>
      <c r="LYB100" s="5">
        <v>14.5</v>
      </c>
      <c r="LYC100" s="5">
        <v>226</v>
      </c>
      <c r="LYD100" s="5">
        <v>250</v>
      </c>
      <c r="LYE100" s="6">
        <v>44102</v>
      </c>
      <c r="LYG100" s="5" t="s">
        <v>67</v>
      </c>
      <c r="LYH100" s="6">
        <v>44102</v>
      </c>
      <c r="LYI100" s="7">
        <v>0.4</v>
      </c>
      <c r="LYJ100" s="5">
        <v>14.5</v>
      </c>
      <c r="LYK100" s="5">
        <v>226</v>
      </c>
      <c r="LYL100" s="5">
        <v>250</v>
      </c>
      <c r="LYM100" s="6">
        <v>44102</v>
      </c>
      <c r="LYO100" s="5" t="s">
        <v>67</v>
      </c>
      <c r="LYP100" s="6">
        <v>44102</v>
      </c>
      <c r="LYQ100" s="7">
        <v>0.4</v>
      </c>
      <c r="LYR100" s="5">
        <v>14.5</v>
      </c>
      <c r="LYS100" s="5">
        <v>226</v>
      </c>
      <c r="LYT100" s="5">
        <v>250</v>
      </c>
      <c r="LYU100" s="6">
        <v>44102</v>
      </c>
      <c r="LYW100" s="5" t="s">
        <v>67</v>
      </c>
      <c r="LYX100" s="6">
        <v>44102</v>
      </c>
      <c r="LYY100" s="7">
        <v>0.4</v>
      </c>
      <c r="LYZ100" s="5">
        <v>14.5</v>
      </c>
      <c r="LZA100" s="5">
        <v>226</v>
      </c>
      <c r="LZB100" s="5">
        <v>250</v>
      </c>
      <c r="LZC100" s="6">
        <v>44102</v>
      </c>
      <c r="LZE100" s="5" t="s">
        <v>67</v>
      </c>
      <c r="LZF100" s="6">
        <v>44102</v>
      </c>
      <c r="LZG100" s="7">
        <v>0.4</v>
      </c>
      <c r="LZH100" s="5">
        <v>14.5</v>
      </c>
      <c r="LZI100" s="5">
        <v>226</v>
      </c>
      <c r="LZJ100" s="5">
        <v>250</v>
      </c>
      <c r="LZK100" s="6">
        <v>44102</v>
      </c>
      <c r="LZM100" s="5" t="s">
        <v>67</v>
      </c>
      <c r="LZN100" s="6">
        <v>44102</v>
      </c>
      <c r="LZO100" s="7">
        <v>0.4</v>
      </c>
      <c r="LZP100" s="5">
        <v>14.5</v>
      </c>
      <c r="LZQ100" s="5">
        <v>226</v>
      </c>
      <c r="LZR100" s="5">
        <v>250</v>
      </c>
      <c r="LZS100" s="6">
        <v>44102</v>
      </c>
      <c r="LZU100" s="5" t="s">
        <v>67</v>
      </c>
      <c r="LZV100" s="6">
        <v>44102</v>
      </c>
      <c r="LZW100" s="7">
        <v>0.4</v>
      </c>
      <c r="LZX100" s="5">
        <v>14.5</v>
      </c>
      <c r="LZY100" s="5">
        <v>226</v>
      </c>
      <c r="LZZ100" s="5">
        <v>250</v>
      </c>
      <c r="MAA100" s="6">
        <v>44102</v>
      </c>
      <c r="MAC100" s="5" t="s">
        <v>67</v>
      </c>
      <c r="MAD100" s="6">
        <v>44102</v>
      </c>
      <c r="MAE100" s="7">
        <v>0.4</v>
      </c>
      <c r="MAF100" s="5">
        <v>14.5</v>
      </c>
      <c r="MAG100" s="5">
        <v>226</v>
      </c>
      <c r="MAH100" s="5">
        <v>250</v>
      </c>
      <c r="MAI100" s="6">
        <v>44102</v>
      </c>
      <c r="MAK100" s="5" t="s">
        <v>67</v>
      </c>
      <c r="MAL100" s="6">
        <v>44102</v>
      </c>
      <c r="MAM100" s="7">
        <v>0.4</v>
      </c>
      <c r="MAN100" s="5">
        <v>14.5</v>
      </c>
      <c r="MAO100" s="5">
        <v>226</v>
      </c>
      <c r="MAP100" s="5">
        <v>250</v>
      </c>
      <c r="MAQ100" s="6">
        <v>44102</v>
      </c>
      <c r="MAS100" s="5" t="s">
        <v>67</v>
      </c>
      <c r="MAT100" s="6">
        <v>44102</v>
      </c>
      <c r="MAU100" s="7">
        <v>0.4</v>
      </c>
      <c r="MAV100" s="5">
        <v>14.5</v>
      </c>
      <c r="MAW100" s="5">
        <v>226</v>
      </c>
      <c r="MAX100" s="5">
        <v>250</v>
      </c>
      <c r="MAY100" s="6">
        <v>44102</v>
      </c>
      <c r="MBA100" s="5" t="s">
        <v>67</v>
      </c>
      <c r="MBB100" s="6">
        <v>44102</v>
      </c>
      <c r="MBC100" s="7">
        <v>0.4</v>
      </c>
      <c r="MBD100" s="5">
        <v>14.5</v>
      </c>
      <c r="MBE100" s="5">
        <v>226</v>
      </c>
      <c r="MBF100" s="5">
        <v>250</v>
      </c>
      <c r="MBG100" s="6">
        <v>44102</v>
      </c>
      <c r="MBI100" s="5" t="s">
        <v>67</v>
      </c>
      <c r="MBJ100" s="6">
        <v>44102</v>
      </c>
      <c r="MBK100" s="7">
        <v>0.4</v>
      </c>
      <c r="MBL100" s="5">
        <v>14.5</v>
      </c>
      <c r="MBM100" s="5">
        <v>226</v>
      </c>
      <c r="MBN100" s="5">
        <v>250</v>
      </c>
      <c r="MBO100" s="6">
        <v>44102</v>
      </c>
      <c r="MBQ100" s="5" t="s">
        <v>67</v>
      </c>
      <c r="MBR100" s="6">
        <v>44102</v>
      </c>
      <c r="MBS100" s="7">
        <v>0.4</v>
      </c>
      <c r="MBT100" s="5">
        <v>14.5</v>
      </c>
      <c r="MBU100" s="5">
        <v>226</v>
      </c>
      <c r="MBV100" s="5">
        <v>250</v>
      </c>
      <c r="MBW100" s="6">
        <v>44102</v>
      </c>
      <c r="MBY100" s="5" t="s">
        <v>67</v>
      </c>
      <c r="MBZ100" s="6">
        <v>44102</v>
      </c>
      <c r="MCA100" s="7">
        <v>0.4</v>
      </c>
      <c r="MCB100" s="5">
        <v>14.5</v>
      </c>
      <c r="MCC100" s="5">
        <v>226</v>
      </c>
      <c r="MCD100" s="5">
        <v>250</v>
      </c>
      <c r="MCE100" s="6">
        <v>44102</v>
      </c>
      <c r="MCG100" s="5" t="s">
        <v>67</v>
      </c>
      <c r="MCH100" s="6">
        <v>44102</v>
      </c>
      <c r="MCI100" s="7">
        <v>0.4</v>
      </c>
      <c r="MCJ100" s="5">
        <v>14.5</v>
      </c>
      <c r="MCK100" s="5">
        <v>226</v>
      </c>
      <c r="MCL100" s="5">
        <v>250</v>
      </c>
      <c r="MCM100" s="6">
        <v>44102</v>
      </c>
      <c r="MCO100" s="5" t="s">
        <v>67</v>
      </c>
      <c r="MCP100" s="6">
        <v>44102</v>
      </c>
      <c r="MCQ100" s="7">
        <v>0.4</v>
      </c>
      <c r="MCR100" s="5">
        <v>14.5</v>
      </c>
      <c r="MCS100" s="5">
        <v>226</v>
      </c>
      <c r="MCT100" s="5">
        <v>250</v>
      </c>
      <c r="MCU100" s="6">
        <v>44102</v>
      </c>
      <c r="MCW100" s="5" t="s">
        <v>67</v>
      </c>
      <c r="MCX100" s="6">
        <v>44102</v>
      </c>
      <c r="MCY100" s="7">
        <v>0.4</v>
      </c>
      <c r="MCZ100" s="5">
        <v>14.5</v>
      </c>
      <c r="MDA100" s="5">
        <v>226</v>
      </c>
      <c r="MDB100" s="5">
        <v>250</v>
      </c>
      <c r="MDC100" s="6">
        <v>44102</v>
      </c>
      <c r="MDE100" s="5" t="s">
        <v>67</v>
      </c>
      <c r="MDF100" s="6">
        <v>44102</v>
      </c>
      <c r="MDG100" s="7">
        <v>0.4</v>
      </c>
      <c r="MDH100" s="5">
        <v>14.5</v>
      </c>
      <c r="MDI100" s="5">
        <v>226</v>
      </c>
      <c r="MDJ100" s="5">
        <v>250</v>
      </c>
      <c r="MDK100" s="6">
        <v>44102</v>
      </c>
      <c r="MDM100" s="5" t="s">
        <v>67</v>
      </c>
      <c r="MDN100" s="6">
        <v>44102</v>
      </c>
      <c r="MDO100" s="7">
        <v>0.4</v>
      </c>
      <c r="MDP100" s="5">
        <v>14.5</v>
      </c>
      <c r="MDQ100" s="5">
        <v>226</v>
      </c>
      <c r="MDR100" s="5">
        <v>250</v>
      </c>
      <c r="MDS100" s="6">
        <v>44102</v>
      </c>
      <c r="MDU100" s="5" t="s">
        <v>67</v>
      </c>
      <c r="MDV100" s="6">
        <v>44102</v>
      </c>
      <c r="MDW100" s="7">
        <v>0.4</v>
      </c>
      <c r="MDX100" s="5">
        <v>14.5</v>
      </c>
      <c r="MDY100" s="5">
        <v>226</v>
      </c>
      <c r="MDZ100" s="5">
        <v>250</v>
      </c>
      <c r="MEA100" s="6">
        <v>44102</v>
      </c>
      <c r="MEC100" s="5" t="s">
        <v>67</v>
      </c>
      <c r="MED100" s="6">
        <v>44102</v>
      </c>
      <c r="MEE100" s="7">
        <v>0.4</v>
      </c>
      <c r="MEF100" s="5">
        <v>14.5</v>
      </c>
      <c r="MEG100" s="5">
        <v>226</v>
      </c>
      <c r="MEH100" s="5">
        <v>250</v>
      </c>
      <c r="MEI100" s="6">
        <v>44102</v>
      </c>
      <c r="MEK100" s="5" t="s">
        <v>67</v>
      </c>
      <c r="MEL100" s="6">
        <v>44102</v>
      </c>
      <c r="MEM100" s="7">
        <v>0.4</v>
      </c>
      <c r="MEN100" s="5">
        <v>14.5</v>
      </c>
      <c r="MEO100" s="5">
        <v>226</v>
      </c>
      <c r="MEP100" s="5">
        <v>250</v>
      </c>
      <c r="MEQ100" s="6">
        <v>44102</v>
      </c>
      <c r="MES100" s="5" t="s">
        <v>67</v>
      </c>
      <c r="MET100" s="6">
        <v>44102</v>
      </c>
      <c r="MEU100" s="7">
        <v>0.4</v>
      </c>
      <c r="MEV100" s="5">
        <v>14.5</v>
      </c>
      <c r="MEW100" s="5">
        <v>226</v>
      </c>
      <c r="MEX100" s="5">
        <v>250</v>
      </c>
      <c r="MEY100" s="6">
        <v>44102</v>
      </c>
      <c r="MFA100" s="5" t="s">
        <v>67</v>
      </c>
      <c r="MFB100" s="6">
        <v>44102</v>
      </c>
      <c r="MFC100" s="7">
        <v>0.4</v>
      </c>
      <c r="MFD100" s="5">
        <v>14.5</v>
      </c>
      <c r="MFE100" s="5">
        <v>226</v>
      </c>
      <c r="MFF100" s="5">
        <v>250</v>
      </c>
      <c r="MFG100" s="6">
        <v>44102</v>
      </c>
      <c r="MFI100" s="5" t="s">
        <v>67</v>
      </c>
      <c r="MFJ100" s="6">
        <v>44102</v>
      </c>
      <c r="MFK100" s="7">
        <v>0.4</v>
      </c>
      <c r="MFL100" s="5">
        <v>14.5</v>
      </c>
      <c r="MFM100" s="5">
        <v>226</v>
      </c>
      <c r="MFN100" s="5">
        <v>250</v>
      </c>
      <c r="MFO100" s="6">
        <v>44102</v>
      </c>
      <c r="MFQ100" s="5" t="s">
        <v>67</v>
      </c>
      <c r="MFR100" s="6">
        <v>44102</v>
      </c>
      <c r="MFS100" s="7">
        <v>0.4</v>
      </c>
      <c r="MFT100" s="5">
        <v>14.5</v>
      </c>
      <c r="MFU100" s="5">
        <v>226</v>
      </c>
      <c r="MFV100" s="5">
        <v>250</v>
      </c>
      <c r="MFW100" s="6">
        <v>44102</v>
      </c>
      <c r="MFY100" s="5" t="s">
        <v>67</v>
      </c>
      <c r="MFZ100" s="6">
        <v>44102</v>
      </c>
      <c r="MGA100" s="7">
        <v>0.4</v>
      </c>
      <c r="MGB100" s="5">
        <v>14.5</v>
      </c>
      <c r="MGC100" s="5">
        <v>226</v>
      </c>
      <c r="MGD100" s="5">
        <v>250</v>
      </c>
      <c r="MGE100" s="6">
        <v>44102</v>
      </c>
      <c r="MGG100" s="5" t="s">
        <v>67</v>
      </c>
      <c r="MGH100" s="6">
        <v>44102</v>
      </c>
      <c r="MGI100" s="7">
        <v>0.4</v>
      </c>
      <c r="MGJ100" s="5">
        <v>14.5</v>
      </c>
      <c r="MGK100" s="5">
        <v>226</v>
      </c>
      <c r="MGL100" s="5">
        <v>250</v>
      </c>
      <c r="MGM100" s="6">
        <v>44102</v>
      </c>
      <c r="MGO100" s="5" t="s">
        <v>67</v>
      </c>
      <c r="MGP100" s="6">
        <v>44102</v>
      </c>
      <c r="MGQ100" s="7">
        <v>0.4</v>
      </c>
      <c r="MGR100" s="5">
        <v>14.5</v>
      </c>
      <c r="MGS100" s="5">
        <v>226</v>
      </c>
      <c r="MGT100" s="5">
        <v>250</v>
      </c>
      <c r="MGU100" s="6">
        <v>44102</v>
      </c>
      <c r="MGW100" s="5" t="s">
        <v>67</v>
      </c>
      <c r="MGX100" s="6">
        <v>44102</v>
      </c>
      <c r="MGY100" s="7">
        <v>0.4</v>
      </c>
      <c r="MGZ100" s="5">
        <v>14.5</v>
      </c>
      <c r="MHA100" s="5">
        <v>226</v>
      </c>
      <c r="MHB100" s="5">
        <v>250</v>
      </c>
      <c r="MHC100" s="6">
        <v>44102</v>
      </c>
      <c r="MHE100" s="5" t="s">
        <v>67</v>
      </c>
      <c r="MHF100" s="6">
        <v>44102</v>
      </c>
      <c r="MHG100" s="7">
        <v>0.4</v>
      </c>
      <c r="MHH100" s="5">
        <v>14.5</v>
      </c>
      <c r="MHI100" s="5">
        <v>226</v>
      </c>
      <c r="MHJ100" s="5">
        <v>250</v>
      </c>
      <c r="MHK100" s="6">
        <v>44102</v>
      </c>
      <c r="MHM100" s="5" t="s">
        <v>67</v>
      </c>
      <c r="MHN100" s="6">
        <v>44102</v>
      </c>
      <c r="MHO100" s="7">
        <v>0.4</v>
      </c>
      <c r="MHP100" s="5">
        <v>14.5</v>
      </c>
      <c r="MHQ100" s="5">
        <v>226</v>
      </c>
      <c r="MHR100" s="5">
        <v>250</v>
      </c>
      <c r="MHS100" s="6">
        <v>44102</v>
      </c>
      <c r="MHU100" s="5" t="s">
        <v>67</v>
      </c>
      <c r="MHV100" s="6">
        <v>44102</v>
      </c>
      <c r="MHW100" s="7">
        <v>0.4</v>
      </c>
      <c r="MHX100" s="5">
        <v>14.5</v>
      </c>
      <c r="MHY100" s="5">
        <v>226</v>
      </c>
      <c r="MHZ100" s="5">
        <v>250</v>
      </c>
      <c r="MIA100" s="6">
        <v>44102</v>
      </c>
      <c r="MIC100" s="5" t="s">
        <v>67</v>
      </c>
      <c r="MID100" s="6">
        <v>44102</v>
      </c>
      <c r="MIE100" s="7">
        <v>0.4</v>
      </c>
      <c r="MIF100" s="5">
        <v>14.5</v>
      </c>
      <c r="MIG100" s="5">
        <v>226</v>
      </c>
      <c r="MIH100" s="5">
        <v>250</v>
      </c>
      <c r="MII100" s="6">
        <v>44102</v>
      </c>
      <c r="MIK100" s="5" t="s">
        <v>67</v>
      </c>
      <c r="MIL100" s="6">
        <v>44102</v>
      </c>
      <c r="MIM100" s="7">
        <v>0.4</v>
      </c>
      <c r="MIN100" s="5">
        <v>14.5</v>
      </c>
      <c r="MIO100" s="5">
        <v>226</v>
      </c>
      <c r="MIP100" s="5">
        <v>250</v>
      </c>
      <c r="MIQ100" s="6">
        <v>44102</v>
      </c>
      <c r="MIS100" s="5" t="s">
        <v>67</v>
      </c>
      <c r="MIT100" s="6">
        <v>44102</v>
      </c>
      <c r="MIU100" s="7">
        <v>0.4</v>
      </c>
      <c r="MIV100" s="5">
        <v>14.5</v>
      </c>
      <c r="MIW100" s="5">
        <v>226</v>
      </c>
      <c r="MIX100" s="5">
        <v>250</v>
      </c>
      <c r="MIY100" s="6">
        <v>44102</v>
      </c>
      <c r="MJA100" s="5" t="s">
        <v>67</v>
      </c>
      <c r="MJB100" s="6">
        <v>44102</v>
      </c>
      <c r="MJC100" s="7">
        <v>0.4</v>
      </c>
      <c r="MJD100" s="5">
        <v>14.5</v>
      </c>
      <c r="MJE100" s="5">
        <v>226</v>
      </c>
      <c r="MJF100" s="5">
        <v>250</v>
      </c>
      <c r="MJG100" s="6">
        <v>44102</v>
      </c>
      <c r="MJI100" s="5" t="s">
        <v>67</v>
      </c>
      <c r="MJJ100" s="6">
        <v>44102</v>
      </c>
      <c r="MJK100" s="7">
        <v>0.4</v>
      </c>
      <c r="MJL100" s="5">
        <v>14.5</v>
      </c>
      <c r="MJM100" s="5">
        <v>226</v>
      </c>
      <c r="MJN100" s="5">
        <v>250</v>
      </c>
      <c r="MJO100" s="6">
        <v>44102</v>
      </c>
      <c r="MJQ100" s="5" t="s">
        <v>67</v>
      </c>
      <c r="MJR100" s="6">
        <v>44102</v>
      </c>
      <c r="MJS100" s="7">
        <v>0.4</v>
      </c>
      <c r="MJT100" s="5">
        <v>14.5</v>
      </c>
      <c r="MJU100" s="5">
        <v>226</v>
      </c>
      <c r="MJV100" s="5">
        <v>250</v>
      </c>
      <c r="MJW100" s="6">
        <v>44102</v>
      </c>
      <c r="MJY100" s="5" t="s">
        <v>67</v>
      </c>
      <c r="MJZ100" s="6">
        <v>44102</v>
      </c>
      <c r="MKA100" s="7">
        <v>0.4</v>
      </c>
      <c r="MKB100" s="5">
        <v>14.5</v>
      </c>
      <c r="MKC100" s="5">
        <v>226</v>
      </c>
      <c r="MKD100" s="5">
        <v>250</v>
      </c>
      <c r="MKE100" s="6">
        <v>44102</v>
      </c>
      <c r="MKG100" s="5" t="s">
        <v>67</v>
      </c>
      <c r="MKH100" s="6">
        <v>44102</v>
      </c>
      <c r="MKI100" s="7">
        <v>0.4</v>
      </c>
      <c r="MKJ100" s="5">
        <v>14.5</v>
      </c>
      <c r="MKK100" s="5">
        <v>226</v>
      </c>
      <c r="MKL100" s="5">
        <v>250</v>
      </c>
      <c r="MKM100" s="6">
        <v>44102</v>
      </c>
      <c r="MKO100" s="5" t="s">
        <v>67</v>
      </c>
      <c r="MKP100" s="6">
        <v>44102</v>
      </c>
      <c r="MKQ100" s="7">
        <v>0.4</v>
      </c>
      <c r="MKR100" s="5">
        <v>14.5</v>
      </c>
      <c r="MKS100" s="5">
        <v>226</v>
      </c>
      <c r="MKT100" s="5">
        <v>250</v>
      </c>
      <c r="MKU100" s="6">
        <v>44102</v>
      </c>
      <c r="MKW100" s="5" t="s">
        <v>67</v>
      </c>
      <c r="MKX100" s="6">
        <v>44102</v>
      </c>
      <c r="MKY100" s="7">
        <v>0.4</v>
      </c>
      <c r="MKZ100" s="5">
        <v>14.5</v>
      </c>
      <c r="MLA100" s="5">
        <v>226</v>
      </c>
      <c r="MLB100" s="5">
        <v>250</v>
      </c>
      <c r="MLC100" s="6">
        <v>44102</v>
      </c>
      <c r="MLE100" s="5" t="s">
        <v>67</v>
      </c>
      <c r="MLF100" s="6">
        <v>44102</v>
      </c>
      <c r="MLG100" s="7">
        <v>0.4</v>
      </c>
      <c r="MLH100" s="5">
        <v>14.5</v>
      </c>
      <c r="MLI100" s="5">
        <v>226</v>
      </c>
      <c r="MLJ100" s="5">
        <v>250</v>
      </c>
      <c r="MLK100" s="6">
        <v>44102</v>
      </c>
      <c r="MLM100" s="5" t="s">
        <v>67</v>
      </c>
      <c r="MLN100" s="6">
        <v>44102</v>
      </c>
      <c r="MLO100" s="7">
        <v>0.4</v>
      </c>
      <c r="MLP100" s="5">
        <v>14.5</v>
      </c>
      <c r="MLQ100" s="5">
        <v>226</v>
      </c>
      <c r="MLR100" s="5">
        <v>250</v>
      </c>
      <c r="MLS100" s="6">
        <v>44102</v>
      </c>
      <c r="MLU100" s="5" t="s">
        <v>67</v>
      </c>
      <c r="MLV100" s="6">
        <v>44102</v>
      </c>
      <c r="MLW100" s="7">
        <v>0.4</v>
      </c>
      <c r="MLX100" s="5">
        <v>14.5</v>
      </c>
      <c r="MLY100" s="5">
        <v>226</v>
      </c>
      <c r="MLZ100" s="5">
        <v>250</v>
      </c>
      <c r="MMA100" s="6">
        <v>44102</v>
      </c>
      <c r="MMC100" s="5" t="s">
        <v>67</v>
      </c>
      <c r="MMD100" s="6">
        <v>44102</v>
      </c>
      <c r="MME100" s="7">
        <v>0.4</v>
      </c>
      <c r="MMF100" s="5">
        <v>14.5</v>
      </c>
      <c r="MMG100" s="5">
        <v>226</v>
      </c>
      <c r="MMH100" s="5">
        <v>250</v>
      </c>
      <c r="MMI100" s="6">
        <v>44102</v>
      </c>
      <c r="MMK100" s="5" t="s">
        <v>67</v>
      </c>
      <c r="MML100" s="6">
        <v>44102</v>
      </c>
      <c r="MMM100" s="7">
        <v>0.4</v>
      </c>
      <c r="MMN100" s="5">
        <v>14.5</v>
      </c>
      <c r="MMO100" s="5">
        <v>226</v>
      </c>
      <c r="MMP100" s="5">
        <v>250</v>
      </c>
      <c r="MMQ100" s="6">
        <v>44102</v>
      </c>
      <c r="MMS100" s="5" t="s">
        <v>67</v>
      </c>
      <c r="MMT100" s="6">
        <v>44102</v>
      </c>
      <c r="MMU100" s="7">
        <v>0.4</v>
      </c>
      <c r="MMV100" s="5">
        <v>14.5</v>
      </c>
      <c r="MMW100" s="5">
        <v>226</v>
      </c>
      <c r="MMX100" s="5">
        <v>250</v>
      </c>
      <c r="MMY100" s="6">
        <v>44102</v>
      </c>
      <c r="MNA100" s="5" t="s">
        <v>67</v>
      </c>
      <c r="MNB100" s="6">
        <v>44102</v>
      </c>
      <c r="MNC100" s="7">
        <v>0.4</v>
      </c>
      <c r="MND100" s="5">
        <v>14.5</v>
      </c>
      <c r="MNE100" s="5">
        <v>226</v>
      </c>
      <c r="MNF100" s="5">
        <v>250</v>
      </c>
      <c r="MNG100" s="6">
        <v>44102</v>
      </c>
      <c r="MNI100" s="5" t="s">
        <v>67</v>
      </c>
      <c r="MNJ100" s="6">
        <v>44102</v>
      </c>
      <c r="MNK100" s="7">
        <v>0.4</v>
      </c>
      <c r="MNL100" s="5">
        <v>14.5</v>
      </c>
      <c r="MNM100" s="5">
        <v>226</v>
      </c>
      <c r="MNN100" s="5">
        <v>250</v>
      </c>
      <c r="MNO100" s="6">
        <v>44102</v>
      </c>
      <c r="MNQ100" s="5" t="s">
        <v>67</v>
      </c>
      <c r="MNR100" s="6">
        <v>44102</v>
      </c>
      <c r="MNS100" s="7">
        <v>0.4</v>
      </c>
      <c r="MNT100" s="5">
        <v>14.5</v>
      </c>
      <c r="MNU100" s="5">
        <v>226</v>
      </c>
      <c r="MNV100" s="5">
        <v>250</v>
      </c>
      <c r="MNW100" s="6">
        <v>44102</v>
      </c>
      <c r="MNY100" s="5" t="s">
        <v>67</v>
      </c>
      <c r="MNZ100" s="6">
        <v>44102</v>
      </c>
      <c r="MOA100" s="7">
        <v>0.4</v>
      </c>
      <c r="MOB100" s="5">
        <v>14.5</v>
      </c>
      <c r="MOC100" s="5">
        <v>226</v>
      </c>
      <c r="MOD100" s="5">
        <v>250</v>
      </c>
      <c r="MOE100" s="6">
        <v>44102</v>
      </c>
      <c r="MOG100" s="5" t="s">
        <v>67</v>
      </c>
      <c r="MOH100" s="6">
        <v>44102</v>
      </c>
      <c r="MOI100" s="7">
        <v>0.4</v>
      </c>
      <c r="MOJ100" s="5">
        <v>14.5</v>
      </c>
      <c r="MOK100" s="5">
        <v>226</v>
      </c>
      <c r="MOL100" s="5">
        <v>250</v>
      </c>
      <c r="MOM100" s="6">
        <v>44102</v>
      </c>
      <c r="MOO100" s="5" t="s">
        <v>67</v>
      </c>
      <c r="MOP100" s="6">
        <v>44102</v>
      </c>
      <c r="MOQ100" s="7">
        <v>0.4</v>
      </c>
      <c r="MOR100" s="5">
        <v>14.5</v>
      </c>
      <c r="MOS100" s="5">
        <v>226</v>
      </c>
      <c r="MOT100" s="5">
        <v>250</v>
      </c>
      <c r="MOU100" s="6">
        <v>44102</v>
      </c>
      <c r="MOW100" s="5" t="s">
        <v>67</v>
      </c>
      <c r="MOX100" s="6">
        <v>44102</v>
      </c>
      <c r="MOY100" s="7">
        <v>0.4</v>
      </c>
      <c r="MOZ100" s="5">
        <v>14.5</v>
      </c>
      <c r="MPA100" s="5">
        <v>226</v>
      </c>
      <c r="MPB100" s="5">
        <v>250</v>
      </c>
      <c r="MPC100" s="6">
        <v>44102</v>
      </c>
      <c r="MPE100" s="5" t="s">
        <v>67</v>
      </c>
      <c r="MPF100" s="6">
        <v>44102</v>
      </c>
      <c r="MPG100" s="7">
        <v>0.4</v>
      </c>
      <c r="MPH100" s="5">
        <v>14.5</v>
      </c>
      <c r="MPI100" s="5">
        <v>226</v>
      </c>
      <c r="MPJ100" s="5">
        <v>250</v>
      </c>
      <c r="MPK100" s="6">
        <v>44102</v>
      </c>
      <c r="MPM100" s="5" t="s">
        <v>67</v>
      </c>
      <c r="MPN100" s="6">
        <v>44102</v>
      </c>
      <c r="MPO100" s="7">
        <v>0.4</v>
      </c>
      <c r="MPP100" s="5">
        <v>14.5</v>
      </c>
      <c r="MPQ100" s="5">
        <v>226</v>
      </c>
      <c r="MPR100" s="5">
        <v>250</v>
      </c>
      <c r="MPS100" s="6">
        <v>44102</v>
      </c>
      <c r="MPU100" s="5" t="s">
        <v>67</v>
      </c>
      <c r="MPV100" s="6">
        <v>44102</v>
      </c>
      <c r="MPW100" s="7">
        <v>0.4</v>
      </c>
      <c r="MPX100" s="5">
        <v>14.5</v>
      </c>
      <c r="MPY100" s="5">
        <v>226</v>
      </c>
      <c r="MPZ100" s="5">
        <v>250</v>
      </c>
      <c r="MQA100" s="6">
        <v>44102</v>
      </c>
      <c r="MQC100" s="5" t="s">
        <v>67</v>
      </c>
      <c r="MQD100" s="6">
        <v>44102</v>
      </c>
      <c r="MQE100" s="7">
        <v>0.4</v>
      </c>
      <c r="MQF100" s="5">
        <v>14.5</v>
      </c>
      <c r="MQG100" s="5">
        <v>226</v>
      </c>
      <c r="MQH100" s="5">
        <v>250</v>
      </c>
      <c r="MQI100" s="6">
        <v>44102</v>
      </c>
      <c r="MQK100" s="5" t="s">
        <v>67</v>
      </c>
      <c r="MQL100" s="6">
        <v>44102</v>
      </c>
      <c r="MQM100" s="7">
        <v>0.4</v>
      </c>
      <c r="MQN100" s="5">
        <v>14.5</v>
      </c>
      <c r="MQO100" s="5">
        <v>226</v>
      </c>
      <c r="MQP100" s="5">
        <v>250</v>
      </c>
      <c r="MQQ100" s="6">
        <v>44102</v>
      </c>
      <c r="MQS100" s="5" t="s">
        <v>67</v>
      </c>
      <c r="MQT100" s="6">
        <v>44102</v>
      </c>
      <c r="MQU100" s="7">
        <v>0.4</v>
      </c>
      <c r="MQV100" s="5">
        <v>14.5</v>
      </c>
      <c r="MQW100" s="5">
        <v>226</v>
      </c>
      <c r="MQX100" s="5">
        <v>250</v>
      </c>
      <c r="MQY100" s="6">
        <v>44102</v>
      </c>
      <c r="MRA100" s="5" t="s">
        <v>67</v>
      </c>
      <c r="MRB100" s="6">
        <v>44102</v>
      </c>
      <c r="MRC100" s="7">
        <v>0.4</v>
      </c>
      <c r="MRD100" s="5">
        <v>14.5</v>
      </c>
      <c r="MRE100" s="5">
        <v>226</v>
      </c>
      <c r="MRF100" s="5">
        <v>250</v>
      </c>
      <c r="MRG100" s="6">
        <v>44102</v>
      </c>
      <c r="MRI100" s="5" t="s">
        <v>67</v>
      </c>
      <c r="MRJ100" s="6">
        <v>44102</v>
      </c>
      <c r="MRK100" s="7">
        <v>0.4</v>
      </c>
      <c r="MRL100" s="5">
        <v>14.5</v>
      </c>
      <c r="MRM100" s="5">
        <v>226</v>
      </c>
      <c r="MRN100" s="5">
        <v>250</v>
      </c>
      <c r="MRO100" s="6">
        <v>44102</v>
      </c>
      <c r="MRQ100" s="5" t="s">
        <v>67</v>
      </c>
      <c r="MRR100" s="6">
        <v>44102</v>
      </c>
      <c r="MRS100" s="7">
        <v>0.4</v>
      </c>
      <c r="MRT100" s="5">
        <v>14.5</v>
      </c>
      <c r="MRU100" s="5">
        <v>226</v>
      </c>
      <c r="MRV100" s="5">
        <v>250</v>
      </c>
      <c r="MRW100" s="6">
        <v>44102</v>
      </c>
      <c r="MRY100" s="5" t="s">
        <v>67</v>
      </c>
      <c r="MRZ100" s="6">
        <v>44102</v>
      </c>
      <c r="MSA100" s="7">
        <v>0.4</v>
      </c>
      <c r="MSB100" s="5">
        <v>14.5</v>
      </c>
      <c r="MSC100" s="5">
        <v>226</v>
      </c>
      <c r="MSD100" s="5">
        <v>250</v>
      </c>
      <c r="MSE100" s="6">
        <v>44102</v>
      </c>
      <c r="MSG100" s="5" t="s">
        <v>67</v>
      </c>
      <c r="MSH100" s="6">
        <v>44102</v>
      </c>
      <c r="MSI100" s="7">
        <v>0.4</v>
      </c>
      <c r="MSJ100" s="5">
        <v>14.5</v>
      </c>
      <c r="MSK100" s="5">
        <v>226</v>
      </c>
      <c r="MSL100" s="5">
        <v>250</v>
      </c>
      <c r="MSM100" s="6">
        <v>44102</v>
      </c>
      <c r="MSO100" s="5" t="s">
        <v>67</v>
      </c>
      <c r="MSP100" s="6">
        <v>44102</v>
      </c>
      <c r="MSQ100" s="7">
        <v>0.4</v>
      </c>
      <c r="MSR100" s="5">
        <v>14.5</v>
      </c>
      <c r="MSS100" s="5">
        <v>226</v>
      </c>
      <c r="MST100" s="5">
        <v>250</v>
      </c>
      <c r="MSU100" s="6">
        <v>44102</v>
      </c>
      <c r="MSW100" s="5" t="s">
        <v>67</v>
      </c>
      <c r="MSX100" s="6">
        <v>44102</v>
      </c>
      <c r="MSY100" s="7">
        <v>0.4</v>
      </c>
      <c r="MSZ100" s="5">
        <v>14.5</v>
      </c>
      <c r="MTA100" s="5">
        <v>226</v>
      </c>
      <c r="MTB100" s="5">
        <v>250</v>
      </c>
      <c r="MTC100" s="6">
        <v>44102</v>
      </c>
      <c r="MTE100" s="5" t="s">
        <v>67</v>
      </c>
      <c r="MTF100" s="6">
        <v>44102</v>
      </c>
      <c r="MTG100" s="7">
        <v>0.4</v>
      </c>
      <c r="MTH100" s="5">
        <v>14.5</v>
      </c>
      <c r="MTI100" s="5">
        <v>226</v>
      </c>
      <c r="MTJ100" s="5">
        <v>250</v>
      </c>
      <c r="MTK100" s="6">
        <v>44102</v>
      </c>
      <c r="MTM100" s="5" t="s">
        <v>67</v>
      </c>
      <c r="MTN100" s="6">
        <v>44102</v>
      </c>
      <c r="MTO100" s="7">
        <v>0.4</v>
      </c>
      <c r="MTP100" s="5">
        <v>14.5</v>
      </c>
      <c r="MTQ100" s="5">
        <v>226</v>
      </c>
      <c r="MTR100" s="5">
        <v>250</v>
      </c>
      <c r="MTS100" s="6">
        <v>44102</v>
      </c>
      <c r="MTU100" s="5" t="s">
        <v>67</v>
      </c>
      <c r="MTV100" s="6">
        <v>44102</v>
      </c>
      <c r="MTW100" s="7">
        <v>0.4</v>
      </c>
      <c r="MTX100" s="5">
        <v>14.5</v>
      </c>
      <c r="MTY100" s="5">
        <v>226</v>
      </c>
      <c r="MTZ100" s="5">
        <v>250</v>
      </c>
      <c r="MUA100" s="6">
        <v>44102</v>
      </c>
      <c r="MUC100" s="5" t="s">
        <v>67</v>
      </c>
      <c r="MUD100" s="6">
        <v>44102</v>
      </c>
      <c r="MUE100" s="7">
        <v>0.4</v>
      </c>
      <c r="MUF100" s="5">
        <v>14.5</v>
      </c>
      <c r="MUG100" s="5">
        <v>226</v>
      </c>
      <c r="MUH100" s="5">
        <v>250</v>
      </c>
      <c r="MUI100" s="6">
        <v>44102</v>
      </c>
      <c r="MUK100" s="5" t="s">
        <v>67</v>
      </c>
      <c r="MUL100" s="6">
        <v>44102</v>
      </c>
      <c r="MUM100" s="7">
        <v>0.4</v>
      </c>
      <c r="MUN100" s="5">
        <v>14.5</v>
      </c>
      <c r="MUO100" s="5">
        <v>226</v>
      </c>
      <c r="MUP100" s="5">
        <v>250</v>
      </c>
      <c r="MUQ100" s="6">
        <v>44102</v>
      </c>
      <c r="MUS100" s="5" t="s">
        <v>67</v>
      </c>
      <c r="MUT100" s="6">
        <v>44102</v>
      </c>
      <c r="MUU100" s="7">
        <v>0.4</v>
      </c>
      <c r="MUV100" s="5">
        <v>14.5</v>
      </c>
      <c r="MUW100" s="5">
        <v>226</v>
      </c>
      <c r="MUX100" s="5">
        <v>250</v>
      </c>
      <c r="MUY100" s="6">
        <v>44102</v>
      </c>
      <c r="MVA100" s="5" t="s">
        <v>67</v>
      </c>
      <c r="MVB100" s="6">
        <v>44102</v>
      </c>
      <c r="MVC100" s="7">
        <v>0.4</v>
      </c>
      <c r="MVD100" s="5">
        <v>14.5</v>
      </c>
      <c r="MVE100" s="5">
        <v>226</v>
      </c>
      <c r="MVF100" s="5">
        <v>250</v>
      </c>
      <c r="MVG100" s="6">
        <v>44102</v>
      </c>
      <c r="MVI100" s="5" t="s">
        <v>67</v>
      </c>
      <c r="MVJ100" s="6">
        <v>44102</v>
      </c>
      <c r="MVK100" s="7">
        <v>0.4</v>
      </c>
      <c r="MVL100" s="5">
        <v>14.5</v>
      </c>
      <c r="MVM100" s="5">
        <v>226</v>
      </c>
      <c r="MVN100" s="5">
        <v>250</v>
      </c>
      <c r="MVO100" s="6">
        <v>44102</v>
      </c>
      <c r="MVQ100" s="5" t="s">
        <v>67</v>
      </c>
      <c r="MVR100" s="6">
        <v>44102</v>
      </c>
      <c r="MVS100" s="7">
        <v>0.4</v>
      </c>
      <c r="MVT100" s="5">
        <v>14.5</v>
      </c>
      <c r="MVU100" s="5">
        <v>226</v>
      </c>
      <c r="MVV100" s="5">
        <v>250</v>
      </c>
      <c r="MVW100" s="6">
        <v>44102</v>
      </c>
      <c r="MVY100" s="5" t="s">
        <v>67</v>
      </c>
      <c r="MVZ100" s="6">
        <v>44102</v>
      </c>
      <c r="MWA100" s="7">
        <v>0.4</v>
      </c>
      <c r="MWB100" s="5">
        <v>14.5</v>
      </c>
      <c r="MWC100" s="5">
        <v>226</v>
      </c>
      <c r="MWD100" s="5">
        <v>250</v>
      </c>
      <c r="MWE100" s="6">
        <v>44102</v>
      </c>
      <c r="MWG100" s="5" t="s">
        <v>67</v>
      </c>
      <c r="MWH100" s="6">
        <v>44102</v>
      </c>
      <c r="MWI100" s="7">
        <v>0.4</v>
      </c>
      <c r="MWJ100" s="5">
        <v>14.5</v>
      </c>
      <c r="MWK100" s="5">
        <v>226</v>
      </c>
      <c r="MWL100" s="5">
        <v>250</v>
      </c>
      <c r="MWM100" s="6">
        <v>44102</v>
      </c>
      <c r="MWO100" s="5" t="s">
        <v>67</v>
      </c>
      <c r="MWP100" s="6">
        <v>44102</v>
      </c>
      <c r="MWQ100" s="7">
        <v>0.4</v>
      </c>
      <c r="MWR100" s="5">
        <v>14.5</v>
      </c>
      <c r="MWS100" s="5">
        <v>226</v>
      </c>
      <c r="MWT100" s="5">
        <v>250</v>
      </c>
      <c r="MWU100" s="6">
        <v>44102</v>
      </c>
      <c r="MWW100" s="5" t="s">
        <v>67</v>
      </c>
      <c r="MWX100" s="6">
        <v>44102</v>
      </c>
      <c r="MWY100" s="7">
        <v>0.4</v>
      </c>
      <c r="MWZ100" s="5">
        <v>14.5</v>
      </c>
      <c r="MXA100" s="5">
        <v>226</v>
      </c>
      <c r="MXB100" s="5">
        <v>250</v>
      </c>
      <c r="MXC100" s="6">
        <v>44102</v>
      </c>
      <c r="MXE100" s="5" t="s">
        <v>67</v>
      </c>
      <c r="MXF100" s="6">
        <v>44102</v>
      </c>
      <c r="MXG100" s="7">
        <v>0.4</v>
      </c>
      <c r="MXH100" s="5">
        <v>14.5</v>
      </c>
      <c r="MXI100" s="5">
        <v>226</v>
      </c>
      <c r="MXJ100" s="5">
        <v>250</v>
      </c>
      <c r="MXK100" s="6">
        <v>44102</v>
      </c>
      <c r="MXM100" s="5" t="s">
        <v>67</v>
      </c>
      <c r="MXN100" s="6">
        <v>44102</v>
      </c>
      <c r="MXO100" s="7">
        <v>0.4</v>
      </c>
      <c r="MXP100" s="5">
        <v>14.5</v>
      </c>
      <c r="MXQ100" s="5">
        <v>226</v>
      </c>
      <c r="MXR100" s="5">
        <v>250</v>
      </c>
      <c r="MXS100" s="6">
        <v>44102</v>
      </c>
      <c r="MXU100" s="5" t="s">
        <v>67</v>
      </c>
      <c r="MXV100" s="6">
        <v>44102</v>
      </c>
      <c r="MXW100" s="7">
        <v>0.4</v>
      </c>
      <c r="MXX100" s="5">
        <v>14.5</v>
      </c>
      <c r="MXY100" s="5">
        <v>226</v>
      </c>
      <c r="MXZ100" s="5">
        <v>250</v>
      </c>
      <c r="MYA100" s="6">
        <v>44102</v>
      </c>
      <c r="MYC100" s="5" t="s">
        <v>67</v>
      </c>
      <c r="MYD100" s="6">
        <v>44102</v>
      </c>
      <c r="MYE100" s="7">
        <v>0.4</v>
      </c>
      <c r="MYF100" s="5">
        <v>14.5</v>
      </c>
      <c r="MYG100" s="5">
        <v>226</v>
      </c>
      <c r="MYH100" s="5">
        <v>250</v>
      </c>
      <c r="MYI100" s="6">
        <v>44102</v>
      </c>
      <c r="MYK100" s="5" t="s">
        <v>67</v>
      </c>
      <c r="MYL100" s="6">
        <v>44102</v>
      </c>
      <c r="MYM100" s="7">
        <v>0.4</v>
      </c>
      <c r="MYN100" s="5">
        <v>14.5</v>
      </c>
      <c r="MYO100" s="5">
        <v>226</v>
      </c>
      <c r="MYP100" s="5">
        <v>250</v>
      </c>
      <c r="MYQ100" s="6">
        <v>44102</v>
      </c>
      <c r="MYS100" s="5" t="s">
        <v>67</v>
      </c>
      <c r="MYT100" s="6">
        <v>44102</v>
      </c>
      <c r="MYU100" s="7">
        <v>0.4</v>
      </c>
      <c r="MYV100" s="5">
        <v>14.5</v>
      </c>
      <c r="MYW100" s="5">
        <v>226</v>
      </c>
      <c r="MYX100" s="5">
        <v>250</v>
      </c>
      <c r="MYY100" s="6">
        <v>44102</v>
      </c>
      <c r="MZA100" s="5" t="s">
        <v>67</v>
      </c>
      <c r="MZB100" s="6">
        <v>44102</v>
      </c>
      <c r="MZC100" s="7">
        <v>0.4</v>
      </c>
      <c r="MZD100" s="5">
        <v>14.5</v>
      </c>
      <c r="MZE100" s="5">
        <v>226</v>
      </c>
      <c r="MZF100" s="5">
        <v>250</v>
      </c>
      <c r="MZG100" s="6">
        <v>44102</v>
      </c>
      <c r="MZI100" s="5" t="s">
        <v>67</v>
      </c>
      <c r="MZJ100" s="6">
        <v>44102</v>
      </c>
      <c r="MZK100" s="7">
        <v>0.4</v>
      </c>
      <c r="MZL100" s="5">
        <v>14.5</v>
      </c>
      <c r="MZM100" s="5">
        <v>226</v>
      </c>
      <c r="MZN100" s="5">
        <v>250</v>
      </c>
      <c r="MZO100" s="6">
        <v>44102</v>
      </c>
      <c r="MZQ100" s="5" t="s">
        <v>67</v>
      </c>
      <c r="MZR100" s="6">
        <v>44102</v>
      </c>
      <c r="MZS100" s="7">
        <v>0.4</v>
      </c>
      <c r="MZT100" s="5">
        <v>14.5</v>
      </c>
      <c r="MZU100" s="5">
        <v>226</v>
      </c>
      <c r="MZV100" s="5">
        <v>250</v>
      </c>
      <c r="MZW100" s="6">
        <v>44102</v>
      </c>
      <c r="MZY100" s="5" t="s">
        <v>67</v>
      </c>
      <c r="MZZ100" s="6">
        <v>44102</v>
      </c>
      <c r="NAA100" s="7">
        <v>0.4</v>
      </c>
      <c r="NAB100" s="5">
        <v>14.5</v>
      </c>
      <c r="NAC100" s="5">
        <v>226</v>
      </c>
      <c r="NAD100" s="5">
        <v>250</v>
      </c>
      <c r="NAE100" s="6">
        <v>44102</v>
      </c>
      <c r="NAG100" s="5" t="s">
        <v>67</v>
      </c>
      <c r="NAH100" s="6">
        <v>44102</v>
      </c>
      <c r="NAI100" s="7">
        <v>0.4</v>
      </c>
      <c r="NAJ100" s="5">
        <v>14.5</v>
      </c>
      <c r="NAK100" s="5">
        <v>226</v>
      </c>
      <c r="NAL100" s="5">
        <v>250</v>
      </c>
      <c r="NAM100" s="6">
        <v>44102</v>
      </c>
      <c r="NAO100" s="5" t="s">
        <v>67</v>
      </c>
      <c r="NAP100" s="6">
        <v>44102</v>
      </c>
      <c r="NAQ100" s="7">
        <v>0.4</v>
      </c>
      <c r="NAR100" s="5">
        <v>14.5</v>
      </c>
      <c r="NAS100" s="5">
        <v>226</v>
      </c>
      <c r="NAT100" s="5">
        <v>250</v>
      </c>
      <c r="NAU100" s="6">
        <v>44102</v>
      </c>
      <c r="NAW100" s="5" t="s">
        <v>67</v>
      </c>
      <c r="NAX100" s="6">
        <v>44102</v>
      </c>
      <c r="NAY100" s="7">
        <v>0.4</v>
      </c>
      <c r="NAZ100" s="5">
        <v>14.5</v>
      </c>
      <c r="NBA100" s="5">
        <v>226</v>
      </c>
      <c r="NBB100" s="5">
        <v>250</v>
      </c>
      <c r="NBC100" s="6">
        <v>44102</v>
      </c>
      <c r="NBE100" s="5" t="s">
        <v>67</v>
      </c>
      <c r="NBF100" s="6">
        <v>44102</v>
      </c>
      <c r="NBG100" s="7">
        <v>0.4</v>
      </c>
      <c r="NBH100" s="5">
        <v>14.5</v>
      </c>
      <c r="NBI100" s="5">
        <v>226</v>
      </c>
      <c r="NBJ100" s="5">
        <v>250</v>
      </c>
      <c r="NBK100" s="6">
        <v>44102</v>
      </c>
      <c r="NBM100" s="5" t="s">
        <v>67</v>
      </c>
      <c r="NBN100" s="6">
        <v>44102</v>
      </c>
      <c r="NBO100" s="7">
        <v>0.4</v>
      </c>
      <c r="NBP100" s="5">
        <v>14.5</v>
      </c>
      <c r="NBQ100" s="5">
        <v>226</v>
      </c>
      <c r="NBR100" s="5">
        <v>250</v>
      </c>
      <c r="NBS100" s="6">
        <v>44102</v>
      </c>
      <c r="NBU100" s="5" t="s">
        <v>67</v>
      </c>
      <c r="NBV100" s="6">
        <v>44102</v>
      </c>
      <c r="NBW100" s="7">
        <v>0.4</v>
      </c>
      <c r="NBX100" s="5">
        <v>14.5</v>
      </c>
      <c r="NBY100" s="5">
        <v>226</v>
      </c>
      <c r="NBZ100" s="5">
        <v>250</v>
      </c>
      <c r="NCA100" s="6">
        <v>44102</v>
      </c>
      <c r="NCC100" s="5" t="s">
        <v>67</v>
      </c>
      <c r="NCD100" s="6">
        <v>44102</v>
      </c>
      <c r="NCE100" s="7">
        <v>0.4</v>
      </c>
      <c r="NCF100" s="5">
        <v>14.5</v>
      </c>
      <c r="NCG100" s="5">
        <v>226</v>
      </c>
      <c r="NCH100" s="5">
        <v>250</v>
      </c>
      <c r="NCI100" s="6">
        <v>44102</v>
      </c>
      <c r="NCK100" s="5" t="s">
        <v>67</v>
      </c>
      <c r="NCL100" s="6">
        <v>44102</v>
      </c>
      <c r="NCM100" s="7">
        <v>0.4</v>
      </c>
      <c r="NCN100" s="5">
        <v>14.5</v>
      </c>
      <c r="NCO100" s="5">
        <v>226</v>
      </c>
      <c r="NCP100" s="5">
        <v>250</v>
      </c>
      <c r="NCQ100" s="6">
        <v>44102</v>
      </c>
      <c r="NCS100" s="5" t="s">
        <v>67</v>
      </c>
      <c r="NCT100" s="6">
        <v>44102</v>
      </c>
      <c r="NCU100" s="7">
        <v>0.4</v>
      </c>
      <c r="NCV100" s="5">
        <v>14.5</v>
      </c>
      <c r="NCW100" s="5">
        <v>226</v>
      </c>
      <c r="NCX100" s="5">
        <v>250</v>
      </c>
      <c r="NCY100" s="6">
        <v>44102</v>
      </c>
      <c r="NDA100" s="5" t="s">
        <v>67</v>
      </c>
      <c r="NDB100" s="6">
        <v>44102</v>
      </c>
      <c r="NDC100" s="7">
        <v>0.4</v>
      </c>
      <c r="NDD100" s="5">
        <v>14.5</v>
      </c>
      <c r="NDE100" s="5">
        <v>226</v>
      </c>
      <c r="NDF100" s="5">
        <v>250</v>
      </c>
      <c r="NDG100" s="6">
        <v>44102</v>
      </c>
      <c r="NDI100" s="5" t="s">
        <v>67</v>
      </c>
      <c r="NDJ100" s="6">
        <v>44102</v>
      </c>
      <c r="NDK100" s="7">
        <v>0.4</v>
      </c>
      <c r="NDL100" s="5">
        <v>14.5</v>
      </c>
      <c r="NDM100" s="5">
        <v>226</v>
      </c>
      <c r="NDN100" s="5">
        <v>250</v>
      </c>
      <c r="NDO100" s="6">
        <v>44102</v>
      </c>
      <c r="NDQ100" s="5" t="s">
        <v>67</v>
      </c>
      <c r="NDR100" s="6">
        <v>44102</v>
      </c>
      <c r="NDS100" s="7">
        <v>0.4</v>
      </c>
      <c r="NDT100" s="5">
        <v>14.5</v>
      </c>
      <c r="NDU100" s="5">
        <v>226</v>
      </c>
      <c r="NDV100" s="5">
        <v>250</v>
      </c>
      <c r="NDW100" s="6">
        <v>44102</v>
      </c>
      <c r="NDY100" s="5" t="s">
        <v>67</v>
      </c>
      <c r="NDZ100" s="6">
        <v>44102</v>
      </c>
      <c r="NEA100" s="7">
        <v>0.4</v>
      </c>
      <c r="NEB100" s="5">
        <v>14.5</v>
      </c>
      <c r="NEC100" s="5">
        <v>226</v>
      </c>
      <c r="NED100" s="5">
        <v>250</v>
      </c>
      <c r="NEE100" s="6">
        <v>44102</v>
      </c>
      <c r="NEG100" s="5" t="s">
        <v>67</v>
      </c>
      <c r="NEH100" s="6">
        <v>44102</v>
      </c>
      <c r="NEI100" s="7">
        <v>0.4</v>
      </c>
      <c r="NEJ100" s="5">
        <v>14.5</v>
      </c>
      <c r="NEK100" s="5">
        <v>226</v>
      </c>
      <c r="NEL100" s="5">
        <v>250</v>
      </c>
      <c r="NEM100" s="6">
        <v>44102</v>
      </c>
      <c r="NEO100" s="5" t="s">
        <v>67</v>
      </c>
      <c r="NEP100" s="6">
        <v>44102</v>
      </c>
      <c r="NEQ100" s="7">
        <v>0.4</v>
      </c>
      <c r="NER100" s="5">
        <v>14.5</v>
      </c>
      <c r="NES100" s="5">
        <v>226</v>
      </c>
      <c r="NET100" s="5">
        <v>250</v>
      </c>
      <c r="NEU100" s="6">
        <v>44102</v>
      </c>
      <c r="NEW100" s="5" t="s">
        <v>67</v>
      </c>
      <c r="NEX100" s="6">
        <v>44102</v>
      </c>
      <c r="NEY100" s="7">
        <v>0.4</v>
      </c>
      <c r="NEZ100" s="5">
        <v>14.5</v>
      </c>
      <c r="NFA100" s="5">
        <v>226</v>
      </c>
      <c r="NFB100" s="5">
        <v>250</v>
      </c>
      <c r="NFC100" s="6">
        <v>44102</v>
      </c>
      <c r="NFE100" s="5" t="s">
        <v>67</v>
      </c>
      <c r="NFF100" s="6">
        <v>44102</v>
      </c>
      <c r="NFG100" s="7">
        <v>0.4</v>
      </c>
      <c r="NFH100" s="5">
        <v>14.5</v>
      </c>
      <c r="NFI100" s="5">
        <v>226</v>
      </c>
      <c r="NFJ100" s="5">
        <v>250</v>
      </c>
      <c r="NFK100" s="6">
        <v>44102</v>
      </c>
      <c r="NFM100" s="5" t="s">
        <v>67</v>
      </c>
      <c r="NFN100" s="6">
        <v>44102</v>
      </c>
      <c r="NFO100" s="7">
        <v>0.4</v>
      </c>
      <c r="NFP100" s="5">
        <v>14.5</v>
      </c>
      <c r="NFQ100" s="5">
        <v>226</v>
      </c>
      <c r="NFR100" s="5">
        <v>250</v>
      </c>
      <c r="NFS100" s="6">
        <v>44102</v>
      </c>
      <c r="NFU100" s="5" t="s">
        <v>67</v>
      </c>
      <c r="NFV100" s="6">
        <v>44102</v>
      </c>
      <c r="NFW100" s="7">
        <v>0.4</v>
      </c>
      <c r="NFX100" s="5">
        <v>14.5</v>
      </c>
      <c r="NFY100" s="5">
        <v>226</v>
      </c>
      <c r="NFZ100" s="5">
        <v>250</v>
      </c>
      <c r="NGA100" s="6">
        <v>44102</v>
      </c>
      <c r="NGC100" s="5" t="s">
        <v>67</v>
      </c>
      <c r="NGD100" s="6">
        <v>44102</v>
      </c>
      <c r="NGE100" s="7">
        <v>0.4</v>
      </c>
      <c r="NGF100" s="5">
        <v>14.5</v>
      </c>
      <c r="NGG100" s="5">
        <v>226</v>
      </c>
      <c r="NGH100" s="5">
        <v>250</v>
      </c>
      <c r="NGI100" s="6">
        <v>44102</v>
      </c>
      <c r="NGK100" s="5" t="s">
        <v>67</v>
      </c>
      <c r="NGL100" s="6">
        <v>44102</v>
      </c>
      <c r="NGM100" s="7">
        <v>0.4</v>
      </c>
      <c r="NGN100" s="5">
        <v>14.5</v>
      </c>
      <c r="NGO100" s="5">
        <v>226</v>
      </c>
      <c r="NGP100" s="5">
        <v>250</v>
      </c>
      <c r="NGQ100" s="6">
        <v>44102</v>
      </c>
      <c r="NGS100" s="5" t="s">
        <v>67</v>
      </c>
      <c r="NGT100" s="6">
        <v>44102</v>
      </c>
      <c r="NGU100" s="7">
        <v>0.4</v>
      </c>
      <c r="NGV100" s="5">
        <v>14.5</v>
      </c>
      <c r="NGW100" s="5">
        <v>226</v>
      </c>
      <c r="NGX100" s="5">
        <v>250</v>
      </c>
      <c r="NGY100" s="6">
        <v>44102</v>
      </c>
      <c r="NHA100" s="5" t="s">
        <v>67</v>
      </c>
      <c r="NHB100" s="6">
        <v>44102</v>
      </c>
      <c r="NHC100" s="7">
        <v>0.4</v>
      </c>
      <c r="NHD100" s="5">
        <v>14.5</v>
      </c>
      <c r="NHE100" s="5">
        <v>226</v>
      </c>
      <c r="NHF100" s="5">
        <v>250</v>
      </c>
      <c r="NHG100" s="6">
        <v>44102</v>
      </c>
      <c r="NHI100" s="5" t="s">
        <v>67</v>
      </c>
      <c r="NHJ100" s="6">
        <v>44102</v>
      </c>
      <c r="NHK100" s="7">
        <v>0.4</v>
      </c>
      <c r="NHL100" s="5">
        <v>14.5</v>
      </c>
      <c r="NHM100" s="5">
        <v>226</v>
      </c>
      <c r="NHN100" s="5">
        <v>250</v>
      </c>
      <c r="NHO100" s="6">
        <v>44102</v>
      </c>
      <c r="NHQ100" s="5" t="s">
        <v>67</v>
      </c>
      <c r="NHR100" s="6">
        <v>44102</v>
      </c>
      <c r="NHS100" s="7">
        <v>0.4</v>
      </c>
      <c r="NHT100" s="5">
        <v>14.5</v>
      </c>
      <c r="NHU100" s="5">
        <v>226</v>
      </c>
      <c r="NHV100" s="5">
        <v>250</v>
      </c>
      <c r="NHW100" s="6">
        <v>44102</v>
      </c>
      <c r="NHY100" s="5" t="s">
        <v>67</v>
      </c>
      <c r="NHZ100" s="6">
        <v>44102</v>
      </c>
      <c r="NIA100" s="7">
        <v>0.4</v>
      </c>
      <c r="NIB100" s="5">
        <v>14.5</v>
      </c>
      <c r="NIC100" s="5">
        <v>226</v>
      </c>
      <c r="NID100" s="5">
        <v>250</v>
      </c>
      <c r="NIE100" s="6">
        <v>44102</v>
      </c>
      <c r="NIG100" s="5" t="s">
        <v>67</v>
      </c>
      <c r="NIH100" s="6">
        <v>44102</v>
      </c>
      <c r="NII100" s="7">
        <v>0.4</v>
      </c>
      <c r="NIJ100" s="5">
        <v>14.5</v>
      </c>
      <c r="NIK100" s="5">
        <v>226</v>
      </c>
      <c r="NIL100" s="5">
        <v>250</v>
      </c>
      <c r="NIM100" s="6">
        <v>44102</v>
      </c>
      <c r="NIO100" s="5" t="s">
        <v>67</v>
      </c>
      <c r="NIP100" s="6">
        <v>44102</v>
      </c>
      <c r="NIQ100" s="7">
        <v>0.4</v>
      </c>
      <c r="NIR100" s="5">
        <v>14.5</v>
      </c>
      <c r="NIS100" s="5">
        <v>226</v>
      </c>
      <c r="NIT100" s="5">
        <v>250</v>
      </c>
      <c r="NIU100" s="6">
        <v>44102</v>
      </c>
      <c r="NIW100" s="5" t="s">
        <v>67</v>
      </c>
      <c r="NIX100" s="6">
        <v>44102</v>
      </c>
      <c r="NIY100" s="7">
        <v>0.4</v>
      </c>
      <c r="NIZ100" s="5">
        <v>14.5</v>
      </c>
      <c r="NJA100" s="5">
        <v>226</v>
      </c>
      <c r="NJB100" s="5">
        <v>250</v>
      </c>
      <c r="NJC100" s="6">
        <v>44102</v>
      </c>
      <c r="NJE100" s="5" t="s">
        <v>67</v>
      </c>
      <c r="NJF100" s="6">
        <v>44102</v>
      </c>
      <c r="NJG100" s="7">
        <v>0.4</v>
      </c>
      <c r="NJH100" s="5">
        <v>14.5</v>
      </c>
      <c r="NJI100" s="5">
        <v>226</v>
      </c>
      <c r="NJJ100" s="5">
        <v>250</v>
      </c>
      <c r="NJK100" s="6">
        <v>44102</v>
      </c>
      <c r="NJM100" s="5" t="s">
        <v>67</v>
      </c>
      <c r="NJN100" s="6">
        <v>44102</v>
      </c>
      <c r="NJO100" s="7">
        <v>0.4</v>
      </c>
      <c r="NJP100" s="5">
        <v>14.5</v>
      </c>
      <c r="NJQ100" s="5">
        <v>226</v>
      </c>
      <c r="NJR100" s="5">
        <v>250</v>
      </c>
      <c r="NJS100" s="6">
        <v>44102</v>
      </c>
      <c r="NJU100" s="5" t="s">
        <v>67</v>
      </c>
      <c r="NJV100" s="6">
        <v>44102</v>
      </c>
      <c r="NJW100" s="7">
        <v>0.4</v>
      </c>
      <c r="NJX100" s="5">
        <v>14.5</v>
      </c>
      <c r="NJY100" s="5">
        <v>226</v>
      </c>
      <c r="NJZ100" s="5">
        <v>250</v>
      </c>
      <c r="NKA100" s="6">
        <v>44102</v>
      </c>
      <c r="NKC100" s="5" t="s">
        <v>67</v>
      </c>
      <c r="NKD100" s="6">
        <v>44102</v>
      </c>
      <c r="NKE100" s="7">
        <v>0.4</v>
      </c>
      <c r="NKF100" s="5">
        <v>14.5</v>
      </c>
      <c r="NKG100" s="5">
        <v>226</v>
      </c>
      <c r="NKH100" s="5">
        <v>250</v>
      </c>
      <c r="NKI100" s="6">
        <v>44102</v>
      </c>
      <c r="NKK100" s="5" t="s">
        <v>67</v>
      </c>
      <c r="NKL100" s="6">
        <v>44102</v>
      </c>
      <c r="NKM100" s="7">
        <v>0.4</v>
      </c>
      <c r="NKN100" s="5">
        <v>14.5</v>
      </c>
      <c r="NKO100" s="5">
        <v>226</v>
      </c>
      <c r="NKP100" s="5">
        <v>250</v>
      </c>
      <c r="NKQ100" s="6">
        <v>44102</v>
      </c>
      <c r="NKS100" s="5" t="s">
        <v>67</v>
      </c>
      <c r="NKT100" s="6">
        <v>44102</v>
      </c>
      <c r="NKU100" s="7">
        <v>0.4</v>
      </c>
      <c r="NKV100" s="5">
        <v>14.5</v>
      </c>
      <c r="NKW100" s="5">
        <v>226</v>
      </c>
      <c r="NKX100" s="5">
        <v>250</v>
      </c>
      <c r="NKY100" s="6">
        <v>44102</v>
      </c>
      <c r="NLA100" s="5" t="s">
        <v>67</v>
      </c>
      <c r="NLB100" s="6">
        <v>44102</v>
      </c>
      <c r="NLC100" s="7">
        <v>0.4</v>
      </c>
      <c r="NLD100" s="5">
        <v>14.5</v>
      </c>
      <c r="NLE100" s="5">
        <v>226</v>
      </c>
      <c r="NLF100" s="5">
        <v>250</v>
      </c>
      <c r="NLG100" s="6">
        <v>44102</v>
      </c>
      <c r="NLI100" s="5" t="s">
        <v>67</v>
      </c>
      <c r="NLJ100" s="6">
        <v>44102</v>
      </c>
      <c r="NLK100" s="7">
        <v>0.4</v>
      </c>
      <c r="NLL100" s="5">
        <v>14.5</v>
      </c>
      <c r="NLM100" s="5">
        <v>226</v>
      </c>
      <c r="NLN100" s="5">
        <v>250</v>
      </c>
      <c r="NLO100" s="6">
        <v>44102</v>
      </c>
      <c r="NLQ100" s="5" t="s">
        <v>67</v>
      </c>
      <c r="NLR100" s="6">
        <v>44102</v>
      </c>
      <c r="NLS100" s="7">
        <v>0.4</v>
      </c>
      <c r="NLT100" s="5">
        <v>14.5</v>
      </c>
      <c r="NLU100" s="5">
        <v>226</v>
      </c>
      <c r="NLV100" s="5">
        <v>250</v>
      </c>
      <c r="NLW100" s="6">
        <v>44102</v>
      </c>
      <c r="NLY100" s="5" t="s">
        <v>67</v>
      </c>
      <c r="NLZ100" s="6">
        <v>44102</v>
      </c>
      <c r="NMA100" s="7">
        <v>0.4</v>
      </c>
      <c r="NMB100" s="5">
        <v>14.5</v>
      </c>
      <c r="NMC100" s="5">
        <v>226</v>
      </c>
      <c r="NMD100" s="5">
        <v>250</v>
      </c>
      <c r="NME100" s="6">
        <v>44102</v>
      </c>
      <c r="NMG100" s="5" t="s">
        <v>67</v>
      </c>
      <c r="NMH100" s="6">
        <v>44102</v>
      </c>
      <c r="NMI100" s="7">
        <v>0.4</v>
      </c>
      <c r="NMJ100" s="5">
        <v>14.5</v>
      </c>
      <c r="NMK100" s="5">
        <v>226</v>
      </c>
      <c r="NML100" s="5">
        <v>250</v>
      </c>
      <c r="NMM100" s="6">
        <v>44102</v>
      </c>
      <c r="NMO100" s="5" t="s">
        <v>67</v>
      </c>
      <c r="NMP100" s="6">
        <v>44102</v>
      </c>
      <c r="NMQ100" s="7">
        <v>0.4</v>
      </c>
      <c r="NMR100" s="5">
        <v>14.5</v>
      </c>
      <c r="NMS100" s="5">
        <v>226</v>
      </c>
      <c r="NMT100" s="5">
        <v>250</v>
      </c>
      <c r="NMU100" s="6">
        <v>44102</v>
      </c>
      <c r="NMW100" s="5" t="s">
        <v>67</v>
      </c>
      <c r="NMX100" s="6">
        <v>44102</v>
      </c>
      <c r="NMY100" s="7">
        <v>0.4</v>
      </c>
      <c r="NMZ100" s="5">
        <v>14.5</v>
      </c>
      <c r="NNA100" s="5">
        <v>226</v>
      </c>
      <c r="NNB100" s="5">
        <v>250</v>
      </c>
      <c r="NNC100" s="6">
        <v>44102</v>
      </c>
      <c r="NNE100" s="5" t="s">
        <v>67</v>
      </c>
      <c r="NNF100" s="6">
        <v>44102</v>
      </c>
      <c r="NNG100" s="7">
        <v>0.4</v>
      </c>
      <c r="NNH100" s="5">
        <v>14.5</v>
      </c>
      <c r="NNI100" s="5">
        <v>226</v>
      </c>
      <c r="NNJ100" s="5">
        <v>250</v>
      </c>
      <c r="NNK100" s="6">
        <v>44102</v>
      </c>
      <c r="NNM100" s="5" t="s">
        <v>67</v>
      </c>
      <c r="NNN100" s="6">
        <v>44102</v>
      </c>
      <c r="NNO100" s="7">
        <v>0.4</v>
      </c>
      <c r="NNP100" s="5">
        <v>14.5</v>
      </c>
      <c r="NNQ100" s="5">
        <v>226</v>
      </c>
      <c r="NNR100" s="5">
        <v>250</v>
      </c>
      <c r="NNS100" s="6">
        <v>44102</v>
      </c>
      <c r="NNU100" s="5" t="s">
        <v>67</v>
      </c>
      <c r="NNV100" s="6">
        <v>44102</v>
      </c>
      <c r="NNW100" s="7">
        <v>0.4</v>
      </c>
      <c r="NNX100" s="5">
        <v>14.5</v>
      </c>
      <c r="NNY100" s="5">
        <v>226</v>
      </c>
      <c r="NNZ100" s="5">
        <v>250</v>
      </c>
      <c r="NOA100" s="6">
        <v>44102</v>
      </c>
      <c r="NOC100" s="5" t="s">
        <v>67</v>
      </c>
      <c r="NOD100" s="6">
        <v>44102</v>
      </c>
      <c r="NOE100" s="7">
        <v>0.4</v>
      </c>
      <c r="NOF100" s="5">
        <v>14.5</v>
      </c>
      <c r="NOG100" s="5">
        <v>226</v>
      </c>
      <c r="NOH100" s="5">
        <v>250</v>
      </c>
      <c r="NOI100" s="6">
        <v>44102</v>
      </c>
      <c r="NOK100" s="5" t="s">
        <v>67</v>
      </c>
      <c r="NOL100" s="6">
        <v>44102</v>
      </c>
      <c r="NOM100" s="7">
        <v>0.4</v>
      </c>
      <c r="NON100" s="5">
        <v>14.5</v>
      </c>
      <c r="NOO100" s="5">
        <v>226</v>
      </c>
      <c r="NOP100" s="5">
        <v>250</v>
      </c>
      <c r="NOQ100" s="6">
        <v>44102</v>
      </c>
      <c r="NOS100" s="5" t="s">
        <v>67</v>
      </c>
      <c r="NOT100" s="6">
        <v>44102</v>
      </c>
      <c r="NOU100" s="7">
        <v>0.4</v>
      </c>
      <c r="NOV100" s="5">
        <v>14.5</v>
      </c>
      <c r="NOW100" s="5">
        <v>226</v>
      </c>
      <c r="NOX100" s="5">
        <v>250</v>
      </c>
      <c r="NOY100" s="6">
        <v>44102</v>
      </c>
      <c r="NPA100" s="5" t="s">
        <v>67</v>
      </c>
      <c r="NPB100" s="6">
        <v>44102</v>
      </c>
      <c r="NPC100" s="7">
        <v>0.4</v>
      </c>
      <c r="NPD100" s="5">
        <v>14.5</v>
      </c>
      <c r="NPE100" s="5">
        <v>226</v>
      </c>
      <c r="NPF100" s="5">
        <v>250</v>
      </c>
      <c r="NPG100" s="6">
        <v>44102</v>
      </c>
      <c r="NPI100" s="5" t="s">
        <v>67</v>
      </c>
      <c r="NPJ100" s="6">
        <v>44102</v>
      </c>
      <c r="NPK100" s="7">
        <v>0.4</v>
      </c>
      <c r="NPL100" s="5">
        <v>14.5</v>
      </c>
      <c r="NPM100" s="5">
        <v>226</v>
      </c>
      <c r="NPN100" s="5">
        <v>250</v>
      </c>
      <c r="NPO100" s="6">
        <v>44102</v>
      </c>
      <c r="NPQ100" s="5" t="s">
        <v>67</v>
      </c>
      <c r="NPR100" s="6">
        <v>44102</v>
      </c>
      <c r="NPS100" s="7">
        <v>0.4</v>
      </c>
      <c r="NPT100" s="5">
        <v>14.5</v>
      </c>
      <c r="NPU100" s="5">
        <v>226</v>
      </c>
      <c r="NPV100" s="5">
        <v>250</v>
      </c>
      <c r="NPW100" s="6">
        <v>44102</v>
      </c>
      <c r="NPY100" s="5" t="s">
        <v>67</v>
      </c>
      <c r="NPZ100" s="6">
        <v>44102</v>
      </c>
      <c r="NQA100" s="7">
        <v>0.4</v>
      </c>
      <c r="NQB100" s="5">
        <v>14.5</v>
      </c>
      <c r="NQC100" s="5">
        <v>226</v>
      </c>
      <c r="NQD100" s="5">
        <v>250</v>
      </c>
      <c r="NQE100" s="6">
        <v>44102</v>
      </c>
      <c r="NQG100" s="5" t="s">
        <v>67</v>
      </c>
      <c r="NQH100" s="6">
        <v>44102</v>
      </c>
      <c r="NQI100" s="7">
        <v>0.4</v>
      </c>
      <c r="NQJ100" s="5">
        <v>14.5</v>
      </c>
      <c r="NQK100" s="5">
        <v>226</v>
      </c>
      <c r="NQL100" s="5">
        <v>250</v>
      </c>
      <c r="NQM100" s="6">
        <v>44102</v>
      </c>
      <c r="NQO100" s="5" t="s">
        <v>67</v>
      </c>
      <c r="NQP100" s="6">
        <v>44102</v>
      </c>
      <c r="NQQ100" s="7">
        <v>0.4</v>
      </c>
      <c r="NQR100" s="5">
        <v>14.5</v>
      </c>
      <c r="NQS100" s="5">
        <v>226</v>
      </c>
      <c r="NQT100" s="5">
        <v>250</v>
      </c>
      <c r="NQU100" s="6">
        <v>44102</v>
      </c>
      <c r="NQW100" s="5" t="s">
        <v>67</v>
      </c>
      <c r="NQX100" s="6">
        <v>44102</v>
      </c>
      <c r="NQY100" s="7">
        <v>0.4</v>
      </c>
      <c r="NQZ100" s="5">
        <v>14.5</v>
      </c>
      <c r="NRA100" s="5">
        <v>226</v>
      </c>
      <c r="NRB100" s="5">
        <v>250</v>
      </c>
      <c r="NRC100" s="6">
        <v>44102</v>
      </c>
      <c r="NRE100" s="5" t="s">
        <v>67</v>
      </c>
      <c r="NRF100" s="6">
        <v>44102</v>
      </c>
      <c r="NRG100" s="7">
        <v>0.4</v>
      </c>
      <c r="NRH100" s="5">
        <v>14.5</v>
      </c>
      <c r="NRI100" s="5">
        <v>226</v>
      </c>
      <c r="NRJ100" s="5">
        <v>250</v>
      </c>
      <c r="NRK100" s="6">
        <v>44102</v>
      </c>
      <c r="NRM100" s="5" t="s">
        <v>67</v>
      </c>
      <c r="NRN100" s="6">
        <v>44102</v>
      </c>
      <c r="NRO100" s="7">
        <v>0.4</v>
      </c>
      <c r="NRP100" s="5">
        <v>14.5</v>
      </c>
      <c r="NRQ100" s="5">
        <v>226</v>
      </c>
      <c r="NRR100" s="5">
        <v>250</v>
      </c>
      <c r="NRS100" s="6">
        <v>44102</v>
      </c>
      <c r="NRU100" s="5" t="s">
        <v>67</v>
      </c>
      <c r="NRV100" s="6">
        <v>44102</v>
      </c>
      <c r="NRW100" s="7">
        <v>0.4</v>
      </c>
      <c r="NRX100" s="5">
        <v>14.5</v>
      </c>
      <c r="NRY100" s="5">
        <v>226</v>
      </c>
      <c r="NRZ100" s="5">
        <v>250</v>
      </c>
      <c r="NSA100" s="6">
        <v>44102</v>
      </c>
      <c r="NSC100" s="5" t="s">
        <v>67</v>
      </c>
      <c r="NSD100" s="6">
        <v>44102</v>
      </c>
      <c r="NSE100" s="7">
        <v>0.4</v>
      </c>
      <c r="NSF100" s="5">
        <v>14.5</v>
      </c>
      <c r="NSG100" s="5">
        <v>226</v>
      </c>
      <c r="NSH100" s="5">
        <v>250</v>
      </c>
      <c r="NSI100" s="6">
        <v>44102</v>
      </c>
      <c r="NSK100" s="5" t="s">
        <v>67</v>
      </c>
      <c r="NSL100" s="6">
        <v>44102</v>
      </c>
      <c r="NSM100" s="7">
        <v>0.4</v>
      </c>
      <c r="NSN100" s="5">
        <v>14.5</v>
      </c>
      <c r="NSO100" s="5">
        <v>226</v>
      </c>
      <c r="NSP100" s="5">
        <v>250</v>
      </c>
      <c r="NSQ100" s="6">
        <v>44102</v>
      </c>
      <c r="NSS100" s="5" t="s">
        <v>67</v>
      </c>
      <c r="NST100" s="6">
        <v>44102</v>
      </c>
      <c r="NSU100" s="7">
        <v>0.4</v>
      </c>
      <c r="NSV100" s="5">
        <v>14.5</v>
      </c>
      <c r="NSW100" s="5">
        <v>226</v>
      </c>
      <c r="NSX100" s="5">
        <v>250</v>
      </c>
      <c r="NSY100" s="6">
        <v>44102</v>
      </c>
      <c r="NTA100" s="5" t="s">
        <v>67</v>
      </c>
      <c r="NTB100" s="6">
        <v>44102</v>
      </c>
      <c r="NTC100" s="7">
        <v>0.4</v>
      </c>
      <c r="NTD100" s="5">
        <v>14.5</v>
      </c>
      <c r="NTE100" s="5">
        <v>226</v>
      </c>
      <c r="NTF100" s="5">
        <v>250</v>
      </c>
      <c r="NTG100" s="6">
        <v>44102</v>
      </c>
      <c r="NTI100" s="5" t="s">
        <v>67</v>
      </c>
      <c r="NTJ100" s="6">
        <v>44102</v>
      </c>
      <c r="NTK100" s="7">
        <v>0.4</v>
      </c>
      <c r="NTL100" s="5">
        <v>14.5</v>
      </c>
      <c r="NTM100" s="5">
        <v>226</v>
      </c>
      <c r="NTN100" s="5">
        <v>250</v>
      </c>
      <c r="NTO100" s="6">
        <v>44102</v>
      </c>
      <c r="NTQ100" s="5" t="s">
        <v>67</v>
      </c>
      <c r="NTR100" s="6">
        <v>44102</v>
      </c>
      <c r="NTS100" s="7">
        <v>0.4</v>
      </c>
      <c r="NTT100" s="5">
        <v>14.5</v>
      </c>
      <c r="NTU100" s="5">
        <v>226</v>
      </c>
      <c r="NTV100" s="5">
        <v>250</v>
      </c>
      <c r="NTW100" s="6">
        <v>44102</v>
      </c>
      <c r="NTY100" s="5" t="s">
        <v>67</v>
      </c>
      <c r="NTZ100" s="6">
        <v>44102</v>
      </c>
      <c r="NUA100" s="7">
        <v>0.4</v>
      </c>
      <c r="NUB100" s="5">
        <v>14.5</v>
      </c>
      <c r="NUC100" s="5">
        <v>226</v>
      </c>
      <c r="NUD100" s="5">
        <v>250</v>
      </c>
      <c r="NUE100" s="6">
        <v>44102</v>
      </c>
      <c r="NUG100" s="5" t="s">
        <v>67</v>
      </c>
      <c r="NUH100" s="6">
        <v>44102</v>
      </c>
      <c r="NUI100" s="7">
        <v>0.4</v>
      </c>
      <c r="NUJ100" s="5">
        <v>14.5</v>
      </c>
      <c r="NUK100" s="5">
        <v>226</v>
      </c>
      <c r="NUL100" s="5">
        <v>250</v>
      </c>
      <c r="NUM100" s="6">
        <v>44102</v>
      </c>
      <c r="NUO100" s="5" t="s">
        <v>67</v>
      </c>
      <c r="NUP100" s="6">
        <v>44102</v>
      </c>
      <c r="NUQ100" s="7">
        <v>0.4</v>
      </c>
      <c r="NUR100" s="5">
        <v>14.5</v>
      </c>
      <c r="NUS100" s="5">
        <v>226</v>
      </c>
      <c r="NUT100" s="5">
        <v>250</v>
      </c>
      <c r="NUU100" s="6">
        <v>44102</v>
      </c>
      <c r="NUW100" s="5" t="s">
        <v>67</v>
      </c>
      <c r="NUX100" s="6">
        <v>44102</v>
      </c>
      <c r="NUY100" s="7">
        <v>0.4</v>
      </c>
      <c r="NUZ100" s="5">
        <v>14.5</v>
      </c>
      <c r="NVA100" s="5">
        <v>226</v>
      </c>
      <c r="NVB100" s="5">
        <v>250</v>
      </c>
      <c r="NVC100" s="6">
        <v>44102</v>
      </c>
      <c r="NVE100" s="5" t="s">
        <v>67</v>
      </c>
      <c r="NVF100" s="6">
        <v>44102</v>
      </c>
      <c r="NVG100" s="7">
        <v>0.4</v>
      </c>
      <c r="NVH100" s="5">
        <v>14.5</v>
      </c>
      <c r="NVI100" s="5">
        <v>226</v>
      </c>
      <c r="NVJ100" s="5">
        <v>250</v>
      </c>
      <c r="NVK100" s="6">
        <v>44102</v>
      </c>
      <c r="NVM100" s="5" t="s">
        <v>67</v>
      </c>
      <c r="NVN100" s="6">
        <v>44102</v>
      </c>
      <c r="NVO100" s="7">
        <v>0.4</v>
      </c>
      <c r="NVP100" s="5">
        <v>14.5</v>
      </c>
      <c r="NVQ100" s="5">
        <v>226</v>
      </c>
      <c r="NVR100" s="5">
        <v>250</v>
      </c>
      <c r="NVS100" s="6">
        <v>44102</v>
      </c>
      <c r="NVU100" s="5" t="s">
        <v>67</v>
      </c>
      <c r="NVV100" s="6">
        <v>44102</v>
      </c>
      <c r="NVW100" s="7">
        <v>0.4</v>
      </c>
      <c r="NVX100" s="5">
        <v>14.5</v>
      </c>
      <c r="NVY100" s="5">
        <v>226</v>
      </c>
      <c r="NVZ100" s="5">
        <v>250</v>
      </c>
      <c r="NWA100" s="6">
        <v>44102</v>
      </c>
      <c r="NWC100" s="5" t="s">
        <v>67</v>
      </c>
      <c r="NWD100" s="6">
        <v>44102</v>
      </c>
      <c r="NWE100" s="7">
        <v>0.4</v>
      </c>
      <c r="NWF100" s="5">
        <v>14.5</v>
      </c>
      <c r="NWG100" s="5">
        <v>226</v>
      </c>
      <c r="NWH100" s="5">
        <v>250</v>
      </c>
      <c r="NWI100" s="6">
        <v>44102</v>
      </c>
      <c r="NWK100" s="5" t="s">
        <v>67</v>
      </c>
      <c r="NWL100" s="6">
        <v>44102</v>
      </c>
      <c r="NWM100" s="7">
        <v>0.4</v>
      </c>
      <c r="NWN100" s="5">
        <v>14.5</v>
      </c>
      <c r="NWO100" s="5">
        <v>226</v>
      </c>
      <c r="NWP100" s="5">
        <v>250</v>
      </c>
      <c r="NWQ100" s="6">
        <v>44102</v>
      </c>
      <c r="NWS100" s="5" t="s">
        <v>67</v>
      </c>
      <c r="NWT100" s="6">
        <v>44102</v>
      </c>
      <c r="NWU100" s="7">
        <v>0.4</v>
      </c>
      <c r="NWV100" s="5">
        <v>14.5</v>
      </c>
      <c r="NWW100" s="5">
        <v>226</v>
      </c>
      <c r="NWX100" s="5">
        <v>250</v>
      </c>
      <c r="NWY100" s="6">
        <v>44102</v>
      </c>
      <c r="NXA100" s="5" t="s">
        <v>67</v>
      </c>
      <c r="NXB100" s="6">
        <v>44102</v>
      </c>
      <c r="NXC100" s="7">
        <v>0.4</v>
      </c>
      <c r="NXD100" s="5">
        <v>14.5</v>
      </c>
      <c r="NXE100" s="5">
        <v>226</v>
      </c>
      <c r="NXF100" s="5">
        <v>250</v>
      </c>
      <c r="NXG100" s="6">
        <v>44102</v>
      </c>
      <c r="NXI100" s="5" t="s">
        <v>67</v>
      </c>
      <c r="NXJ100" s="6">
        <v>44102</v>
      </c>
      <c r="NXK100" s="7">
        <v>0.4</v>
      </c>
      <c r="NXL100" s="5">
        <v>14.5</v>
      </c>
      <c r="NXM100" s="5">
        <v>226</v>
      </c>
      <c r="NXN100" s="5">
        <v>250</v>
      </c>
      <c r="NXO100" s="6">
        <v>44102</v>
      </c>
      <c r="NXQ100" s="5" t="s">
        <v>67</v>
      </c>
      <c r="NXR100" s="6">
        <v>44102</v>
      </c>
      <c r="NXS100" s="7">
        <v>0.4</v>
      </c>
      <c r="NXT100" s="5">
        <v>14.5</v>
      </c>
      <c r="NXU100" s="5">
        <v>226</v>
      </c>
      <c r="NXV100" s="5">
        <v>250</v>
      </c>
      <c r="NXW100" s="6">
        <v>44102</v>
      </c>
      <c r="NXY100" s="5" t="s">
        <v>67</v>
      </c>
      <c r="NXZ100" s="6">
        <v>44102</v>
      </c>
      <c r="NYA100" s="7">
        <v>0.4</v>
      </c>
      <c r="NYB100" s="5">
        <v>14.5</v>
      </c>
      <c r="NYC100" s="5">
        <v>226</v>
      </c>
      <c r="NYD100" s="5">
        <v>250</v>
      </c>
      <c r="NYE100" s="6">
        <v>44102</v>
      </c>
      <c r="NYG100" s="5" t="s">
        <v>67</v>
      </c>
      <c r="NYH100" s="6">
        <v>44102</v>
      </c>
      <c r="NYI100" s="7">
        <v>0.4</v>
      </c>
      <c r="NYJ100" s="5">
        <v>14.5</v>
      </c>
      <c r="NYK100" s="5">
        <v>226</v>
      </c>
      <c r="NYL100" s="5">
        <v>250</v>
      </c>
      <c r="NYM100" s="6">
        <v>44102</v>
      </c>
      <c r="NYO100" s="5" t="s">
        <v>67</v>
      </c>
      <c r="NYP100" s="6">
        <v>44102</v>
      </c>
      <c r="NYQ100" s="7">
        <v>0.4</v>
      </c>
      <c r="NYR100" s="5">
        <v>14.5</v>
      </c>
      <c r="NYS100" s="5">
        <v>226</v>
      </c>
      <c r="NYT100" s="5">
        <v>250</v>
      </c>
      <c r="NYU100" s="6">
        <v>44102</v>
      </c>
      <c r="NYW100" s="5" t="s">
        <v>67</v>
      </c>
      <c r="NYX100" s="6">
        <v>44102</v>
      </c>
      <c r="NYY100" s="7">
        <v>0.4</v>
      </c>
      <c r="NYZ100" s="5">
        <v>14.5</v>
      </c>
      <c r="NZA100" s="5">
        <v>226</v>
      </c>
      <c r="NZB100" s="5">
        <v>250</v>
      </c>
      <c r="NZC100" s="6">
        <v>44102</v>
      </c>
      <c r="NZE100" s="5" t="s">
        <v>67</v>
      </c>
      <c r="NZF100" s="6">
        <v>44102</v>
      </c>
      <c r="NZG100" s="7">
        <v>0.4</v>
      </c>
      <c r="NZH100" s="5">
        <v>14.5</v>
      </c>
      <c r="NZI100" s="5">
        <v>226</v>
      </c>
      <c r="NZJ100" s="5">
        <v>250</v>
      </c>
      <c r="NZK100" s="6">
        <v>44102</v>
      </c>
      <c r="NZM100" s="5" t="s">
        <v>67</v>
      </c>
      <c r="NZN100" s="6">
        <v>44102</v>
      </c>
      <c r="NZO100" s="7">
        <v>0.4</v>
      </c>
      <c r="NZP100" s="5">
        <v>14.5</v>
      </c>
      <c r="NZQ100" s="5">
        <v>226</v>
      </c>
      <c r="NZR100" s="5">
        <v>250</v>
      </c>
      <c r="NZS100" s="6">
        <v>44102</v>
      </c>
      <c r="NZU100" s="5" t="s">
        <v>67</v>
      </c>
      <c r="NZV100" s="6">
        <v>44102</v>
      </c>
      <c r="NZW100" s="7">
        <v>0.4</v>
      </c>
      <c r="NZX100" s="5">
        <v>14.5</v>
      </c>
      <c r="NZY100" s="5">
        <v>226</v>
      </c>
      <c r="NZZ100" s="5">
        <v>250</v>
      </c>
      <c r="OAA100" s="6">
        <v>44102</v>
      </c>
      <c r="OAC100" s="5" t="s">
        <v>67</v>
      </c>
      <c r="OAD100" s="6">
        <v>44102</v>
      </c>
      <c r="OAE100" s="7">
        <v>0.4</v>
      </c>
      <c r="OAF100" s="5">
        <v>14.5</v>
      </c>
      <c r="OAG100" s="5">
        <v>226</v>
      </c>
      <c r="OAH100" s="5">
        <v>250</v>
      </c>
      <c r="OAI100" s="6">
        <v>44102</v>
      </c>
      <c r="OAK100" s="5" t="s">
        <v>67</v>
      </c>
      <c r="OAL100" s="6">
        <v>44102</v>
      </c>
      <c r="OAM100" s="7">
        <v>0.4</v>
      </c>
      <c r="OAN100" s="5">
        <v>14.5</v>
      </c>
      <c r="OAO100" s="5">
        <v>226</v>
      </c>
      <c r="OAP100" s="5">
        <v>250</v>
      </c>
      <c r="OAQ100" s="6">
        <v>44102</v>
      </c>
      <c r="OAS100" s="5" t="s">
        <v>67</v>
      </c>
      <c r="OAT100" s="6">
        <v>44102</v>
      </c>
      <c r="OAU100" s="7">
        <v>0.4</v>
      </c>
      <c r="OAV100" s="5">
        <v>14.5</v>
      </c>
      <c r="OAW100" s="5">
        <v>226</v>
      </c>
      <c r="OAX100" s="5">
        <v>250</v>
      </c>
      <c r="OAY100" s="6">
        <v>44102</v>
      </c>
      <c r="OBA100" s="5" t="s">
        <v>67</v>
      </c>
      <c r="OBB100" s="6">
        <v>44102</v>
      </c>
      <c r="OBC100" s="7">
        <v>0.4</v>
      </c>
      <c r="OBD100" s="5">
        <v>14.5</v>
      </c>
      <c r="OBE100" s="5">
        <v>226</v>
      </c>
      <c r="OBF100" s="5">
        <v>250</v>
      </c>
      <c r="OBG100" s="6">
        <v>44102</v>
      </c>
      <c r="OBI100" s="5" t="s">
        <v>67</v>
      </c>
      <c r="OBJ100" s="6">
        <v>44102</v>
      </c>
      <c r="OBK100" s="7">
        <v>0.4</v>
      </c>
      <c r="OBL100" s="5">
        <v>14.5</v>
      </c>
      <c r="OBM100" s="5">
        <v>226</v>
      </c>
      <c r="OBN100" s="5">
        <v>250</v>
      </c>
      <c r="OBO100" s="6">
        <v>44102</v>
      </c>
      <c r="OBQ100" s="5" t="s">
        <v>67</v>
      </c>
      <c r="OBR100" s="6">
        <v>44102</v>
      </c>
      <c r="OBS100" s="7">
        <v>0.4</v>
      </c>
      <c r="OBT100" s="5">
        <v>14.5</v>
      </c>
      <c r="OBU100" s="5">
        <v>226</v>
      </c>
      <c r="OBV100" s="5">
        <v>250</v>
      </c>
      <c r="OBW100" s="6">
        <v>44102</v>
      </c>
      <c r="OBY100" s="5" t="s">
        <v>67</v>
      </c>
      <c r="OBZ100" s="6">
        <v>44102</v>
      </c>
      <c r="OCA100" s="7">
        <v>0.4</v>
      </c>
      <c r="OCB100" s="5">
        <v>14.5</v>
      </c>
      <c r="OCC100" s="5">
        <v>226</v>
      </c>
      <c r="OCD100" s="5">
        <v>250</v>
      </c>
      <c r="OCE100" s="6">
        <v>44102</v>
      </c>
      <c r="OCG100" s="5" t="s">
        <v>67</v>
      </c>
      <c r="OCH100" s="6">
        <v>44102</v>
      </c>
      <c r="OCI100" s="7">
        <v>0.4</v>
      </c>
      <c r="OCJ100" s="5">
        <v>14.5</v>
      </c>
      <c r="OCK100" s="5">
        <v>226</v>
      </c>
      <c r="OCL100" s="5">
        <v>250</v>
      </c>
      <c r="OCM100" s="6">
        <v>44102</v>
      </c>
      <c r="OCO100" s="5" t="s">
        <v>67</v>
      </c>
      <c r="OCP100" s="6">
        <v>44102</v>
      </c>
      <c r="OCQ100" s="7">
        <v>0.4</v>
      </c>
      <c r="OCR100" s="5">
        <v>14.5</v>
      </c>
      <c r="OCS100" s="5">
        <v>226</v>
      </c>
      <c r="OCT100" s="5">
        <v>250</v>
      </c>
      <c r="OCU100" s="6">
        <v>44102</v>
      </c>
      <c r="OCW100" s="5" t="s">
        <v>67</v>
      </c>
      <c r="OCX100" s="6">
        <v>44102</v>
      </c>
      <c r="OCY100" s="7">
        <v>0.4</v>
      </c>
      <c r="OCZ100" s="5">
        <v>14.5</v>
      </c>
      <c r="ODA100" s="5">
        <v>226</v>
      </c>
      <c r="ODB100" s="5">
        <v>250</v>
      </c>
      <c r="ODC100" s="6">
        <v>44102</v>
      </c>
      <c r="ODE100" s="5" t="s">
        <v>67</v>
      </c>
      <c r="ODF100" s="6">
        <v>44102</v>
      </c>
      <c r="ODG100" s="7">
        <v>0.4</v>
      </c>
      <c r="ODH100" s="5">
        <v>14.5</v>
      </c>
      <c r="ODI100" s="5">
        <v>226</v>
      </c>
      <c r="ODJ100" s="5">
        <v>250</v>
      </c>
      <c r="ODK100" s="6">
        <v>44102</v>
      </c>
      <c r="ODM100" s="5" t="s">
        <v>67</v>
      </c>
      <c r="ODN100" s="6">
        <v>44102</v>
      </c>
      <c r="ODO100" s="7">
        <v>0.4</v>
      </c>
      <c r="ODP100" s="5">
        <v>14.5</v>
      </c>
      <c r="ODQ100" s="5">
        <v>226</v>
      </c>
      <c r="ODR100" s="5">
        <v>250</v>
      </c>
      <c r="ODS100" s="6">
        <v>44102</v>
      </c>
      <c r="ODU100" s="5" t="s">
        <v>67</v>
      </c>
      <c r="ODV100" s="6">
        <v>44102</v>
      </c>
      <c r="ODW100" s="7">
        <v>0.4</v>
      </c>
      <c r="ODX100" s="5">
        <v>14.5</v>
      </c>
      <c r="ODY100" s="5">
        <v>226</v>
      </c>
      <c r="ODZ100" s="5">
        <v>250</v>
      </c>
      <c r="OEA100" s="6">
        <v>44102</v>
      </c>
      <c r="OEC100" s="5" t="s">
        <v>67</v>
      </c>
      <c r="OED100" s="6">
        <v>44102</v>
      </c>
      <c r="OEE100" s="7">
        <v>0.4</v>
      </c>
      <c r="OEF100" s="5">
        <v>14.5</v>
      </c>
      <c r="OEG100" s="5">
        <v>226</v>
      </c>
      <c r="OEH100" s="5">
        <v>250</v>
      </c>
      <c r="OEI100" s="6">
        <v>44102</v>
      </c>
      <c r="OEK100" s="5" t="s">
        <v>67</v>
      </c>
      <c r="OEL100" s="6">
        <v>44102</v>
      </c>
      <c r="OEM100" s="7">
        <v>0.4</v>
      </c>
      <c r="OEN100" s="5">
        <v>14.5</v>
      </c>
      <c r="OEO100" s="5">
        <v>226</v>
      </c>
      <c r="OEP100" s="5">
        <v>250</v>
      </c>
      <c r="OEQ100" s="6">
        <v>44102</v>
      </c>
      <c r="OES100" s="5" t="s">
        <v>67</v>
      </c>
      <c r="OET100" s="6">
        <v>44102</v>
      </c>
      <c r="OEU100" s="7">
        <v>0.4</v>
      </c>
      <c r="OEV100" s="5">
        <v>14.5</v>
      </c>
      <c r="OEW100" s="5">
        <v>226</v>
      </c>
      <c r="OEX100" s="5">
        <v>250</v>
      </c>
      <c r="OEY100" s="6">
        <v>44102</v>
      </c>
      <c r="OFA100" s="5" t="s">
        <v>67</v>
      </c>
      <c r="OFB100" s="6">
        <v>44102</v>
      </c>
      <c r="OFC100" s="7">
        <v>0.4</v>
      </c>
      <c r="OFD100" s="5">
        <v>14.5</v>
      </c>
      <c r="OFE100" s="5">
        <v>226</v>
      </c>
      <c r="OFF100" s="5">
        <v>250</v>
      </c>
      <c r="OFG100" s="6">
        <v>44102</v>
      </c>
      <c r="OFI100" s="5" t="s">
        <v>67</v>
      </c>
      <c r="OFJ100" s="6">
        <v>44102</v>
      </c>
      <c r="OFK100" s="7">
        <v>0.4</v>
      </c>
      <c r="OFL100" s="5">
        <v>14.5</v>
      </c>
      <c r="OFM100" s="5">
        <v>226</v>
      </c>
      <c r="OFN100" s="5">
        <v>250</v>
      </c>
      <c r="OFO100" s="6">
        <v>44102</v>
      </c>
      <c r="OFQ100" s="5" t="s">
        <v>67</v>
      </c>
      <c r="OFR100" s="6">
        <v>44102</v>
      </c>
      <c r="OFS100" s="7">
        <v>0.4</v>
      </c>
      <c r="OFT100" s="5">
        <v>14.5</v>
      </c>
      <c r="OFU100" s="5">
        <v>226</v>
      </c>
      <c r="OFV100" s="5">
        <v>250</v>
      </c>
      <c r="OFW100" s="6">
        <v>44102</v>
      </c>
      <c r="OFY100" s="5" t="s">
        <v>67</v>
      </c>
      <c r="OFZ100" s="6">
        <v>44102</v>
      </c>
      <c r="OGA100" s="7">
        <v>0.4</v>
      </c>
      <c r="OGB100" s="5">
        <v>14.5</v>
      </c>
      <c r="OGC100" s="5">
        <v>226</v>
      </c>
      <c r="OGD100" s="5">
        <v>250</v>
      </c>
      <c r="OGE100" s="6">
        <v>44102</v>
      </c>
      <c r="OGG100" s="5" t="s">
        <v>67</v>
      </c>
      <c r="OGH100" s="6">
        <v>44102</v>
      </c>
      <c r="OGI100" s="7">
        <v>0.4</v>
      </c>
      <c r="OGJ100" s="5">
        <v>14.5</v>
      </c>
      <c r="OGK100" s="5">
        <v>226</v>
      </c>
      <c r="OGL100" s="5">
        <v>250</v>
      </c>
      <c r="OGM100" s="6">
        <v>44102</v>
      </c>
      <c r="OGO100" s="5" t="s">
        <v>67</v>
      </c>
      <c r="OGP100" s="6">
        <v>44102</v>
      </c>
      <c r="OGQ100" s="7">
        <v>0.4</v>
      </c>
      <c r="OGR100" s="5">
        <v>14.5</v>
      </c>
      <c r="OGS100" s="5">
        <v>226</v>
      </c>
      <c r="OGT100" s="5">
        <v>250</v>
      </c>
      <c r="OGU100" s="6">
        <v>44102</v>
      </c>
      <c r="OGW100" s="5" t="s">
        <v>67</v>
      </c>
      <c r="OGX100" s="6">
        <v>44102</v>
      </c>
      <c r="OGY100" s="7">
        <v>0.4</v>
      </c>
      <c r="OGZ100" s="5">
        <v>14.5</v>
      </c>
      <c r="OHA100" s="5">
        <v>226</v>
      </c>
      <c r="OHB100" s="5">
        <v>250</v>
      </c>
      <c r="OHC100" s="6">
        <v>44102</v>
      </c>
      <c r="OHE100" s="5" t="s">
        <v>67</v>
      </c>
      <c r="OHF100" s="6">
        <v>44102</v>
      </c>
      <c r="OHG100" s="7">
        <v>0.4</v>
      </c>
      <c r="OHH100" s="5">
        <v>14.5</v>
      </c>
      <c r="OHI100" s="5">
        <v>226</v>
      </c>
      <c r="OHJ100" s="5">
        <v>250</v>
      </c>
      <c r="OHK100" s="6">
        <v>44102</v>
      </c>
      <c r="OHM100" s="5" t="s">
        <v>67</v>
      </c>
      <c r="OHN100" s="6">
        <v>44102</v>
      </c>
      <c r="OHO100" s="7">
        <v>0.4</v>
      </c>
      <c r="OHP100" s="5">
        <v>14.5</v>
      </c>
      <c r="OHQ100" s="5">
        <v>226</v>
      </c>
      <c r="OHR100" s="5">
        <v>250</v>
      </c>
      <c r="OHS100" s="6">
        <v>44102</v>
      </c>
      <c r="OHU100" s="5" t="s">
        <v>67</v>
      </c>
      <c r="OHV100" s="6">
        <v>44102</v>
      </c>
      <c r="OHW100" s="7">
        <v>0.4</v>
      </c>
      <c r="OHX100" s="5">
        <v>14.5</v>
      </c>
      <c r="OHY100" s="5">
        <v>226</v>
      </c>
      <c r="OHZ100" s="5">
        <v>250</v>
      </c>
      <c r="OIA100" s="6">
        <v>44102</v>
      </c>
      <c r="OIC100" s="5" t="s">
        <v>67</v>
      </c>
      <c r="OID100" s="6">
        <v>44102</v>
      </c>
      <c r="OIE100" s="7">
        <v>0.4</v>
      </c>
      <c r="OIF100" s="5">
        <v>14.5</v>
      </c>
      <c r="OIG100" s="5">
        <v>226</v>
      </c>
      <c r="OIH100" s="5">
        <v>250</v>
      </c>
      <c r="OII100" s="6">
        <v>44102</v>
      </c>
      <c r="OIK100" s="5" t="s">
        <v>67</v>
      </c>
      <c r="OIL100" s="6">
        <v>44102</v>
      </c>
      <c r="OIM100" s="7">
        <v>0.4</v>
      </c>
      <c r="OIN100" s="5">
        <v>14.5</v>
      </c>
      <c r="OIO100" s="5">
        <v>226</v>
      </c>
      <c r="OIP100" s="5">
        <v>250</v>
      </c>
      <c r="OIQ100" s="6">
        <v>44102</v>
      </c>
      <c r="OIS100" s="5" t="s">
        <v>67</v>
      </c>
      <c r="OIT100" s="6">
        <v>44102</v>
      </c>
      <c r="OIU100" s="7">
        <v>0.4</v>
      </c>
      <c r="OIV100" s="5">
        <v>14.5</v>
      </c>
      <c r="OIW100" s="5">
        <v>226</v>
      </c>
      <c r="OIX100" s="5">
        <v>250</v>
      </c>
      <c r="OIY100" s="6">
        <v>44102</v>
      </c>
      <c r="OJA100" s="5" t="s">
        <v>67</v>
      </c>
      <c r="OJB100" s="6">
        <v>44102</v>
      </c>
      <c r="OJC100" s="7">
        <v>0.4</v>
      </c>
      <c r="OJD100" s="5">
        <v>14.5</v>
      </c>
      <c r="OJE100" s="5">
        <v>226</v>
      </c>
      <c r="OJF100" s="5">
        <v>250</v>
      </c>
      <c r="OJG100" s="6">
        <v>44102</v>
      </c>
      <c r="OJI100" s="5" t="s">
        <v>67</v>
      </c>
      <c r="OJJ100" s="6">
        <v>44102</v>
      </c>
      <c r="OJK100" s="7">
        <v>0.4</v>
      </c>
      <c r="OJL100" s="5">
        <v>14.5</v>
      </c>
      <c r="OJM100" s="5">
        <v>226</v>
      </c>
      <c r="OJN100" s="5">
        <v>250</v>
      </c>
      <c r="OJO100" s="6">
        <v>44102</v>
      </c>
      <c r="OJQ100" s="5" t="s">
        <v>67</v>
      </c>
      <c r="OJR100" s="6">
        <v>44102</v>
      </c>
      <c r="OJS100" s="7">
        <v>0.4</v>
      </c>
      <c r="OJT100" s="5">
        <v>14.5</v>
      </c>
      <c r="OJU100" s="5">
        <v>226</v>
      </c>
      <c r="OJV100" s="5">
        <v>250</v>
      </c>
      <c r="OJW100" s="6">
        <v>44102</v>
      </c>
      <c r="OJY100" s="5" t="s">
        <v>67</v>
      </c>
      <c r="OJZ100" s="6">
        <v>44102</v>
      </c>
      <c r="OKA100" s="7">
        <v>0.4</v>
      </c>
      <c r="OKB100" s="5">
        <v>14.5</v>
      </c>
      <c r="OKC100" s="5">
        <v>226</v>
      </c>
      <c r="OKD100" s="5">
        <v>250</v>
      </c>
      <c r="OKE100" s="6">
        <v>44102</v>
      </c>
      <c r="OKG100" s="5" t="s">
        <v>67</v>
      </c>
      <c r="OKH100" s="6">
        <v>44102</v>
      </c>
      <c r="OKI100" s="7">
        <v>0.4</v>
      </c>
      <c r="OKJ100" s="5">
        <v>14.5</v>
      </c>
      <c r="OKK100" s="5">
        <v>226</v>
      </c>
      <c r="OKL100" s="5">
        <v>250</v>
      </c>
      <c r="OKM100" s="6">
        <v>44102</v>
      </c>
      <c r="OKO100" s="5" t="s">
        <v>67</v>
      </c>
      <c r="OKP100" s="6">
        <v>44102</v>
      </c>
      <c r="OKQ100" s="7">
        <v>0.4</v>
      </c>
      <c r="OKR100" s="5">
        <v>14.5</v>
      </c>
      <c r="OKS100" s="5">
        <v>226</v>
      </c>
      <c r="OKT100" s="5">
        <v>250</v>
      </c>
      <c r="OKU100" s="6">
        <v>44102</v>
      </c>
      <c r="OKW100" s="5" t="s">
        <v>67</v>
      </c>
      <c r="OKX100" s="6">
        <v>44102</v>
      </c>
      <c r="OKY100" s="7">
        <v>0.4</v>
      </c>
      <c r="OKZ100" s="5">
        <v>14.5</v>
      </c>
      <c r="OLA100" s="5">
        <v>226</v>
      </c>
      <c r="OLB100" s="5">
        <v>250</v>
      </c>
      <c r="OLC100" s="6">
        <v>44102</v>
      </c>
      <c r="OLE100" s="5" t="s">
        <v>67</v>
      </c>
      <c r="OLF100" s="6">
        <v>44102</v>
      </c>
      <c r="OLG100" s="7">
        <v>0.4</v>
      </c>
      <c r="OLH100" s="5">
        <v>14.5</v>
      </c>
      <c r="OLI100" s="5">
        <v>226</v>
      </c>
      <c r="OLJ100" s="5">
        <v>250</v>
      </c>
      <c r="OLK100" s="6">
        <v>44102</v>
      </c>
      <c r="OLM100" s="5" t="s">
        <v>67</v>
      </c>
      <c r="OLN100" s="6">
        <v>44102</v>
      </c>
      <c r="OLO100" s="7">
        <v>0.4</v>
      </c>
      <c r="OLP100" s="5">
        <v>14.5</v>
      </c>
      <c r="OLQ100" s="5">
        <v>226</v>
      </c>
      <c r="OLR100" s="5">
        <v>250</v>
      </c>
      <c r="OLS100" s="6">
        <v>44102</v>
      </c>
      <c r="OLU100" s="5" t="s">
        <v>67</v>
      </c>
      <c r="OLV100" s="6">
        <v>44102</v>
      </c>
      <c r="OLW100" s="7">
        <v>0.4</v>
      </c>
      <c r="OLX100" s="5">
        <v>14.5</v>
      </c>
      <c r="OLY100" s="5">
        <v>226</v>
      </c>
      <c r="OLZ100" s="5">
        <v>250</v>
      </c>
      <c r="OMA100" s="6">
        <v>44102</v>
      </c>
      <c r="OMC100" s="5" t="s">
        <v>67</v>
      </c>
      <c r="OMD100" s="6">
        <v>44102</v>
      </c>
      <c r="OME100" s="7">
        <v>0.4</v>
      </c>
      <c r="OMF100" s="5">
        <v>14.5</v>
      </c>
      <c r="OMG100" s="5">
        <v>226</v>
      </c>
      <c r="OMH100" s="5">
        <v>250</v>
      </c>
      <c r="OMI100" s="6">
        <v>44102</v>
      </c>
      <c r="OMK100" s="5" t="s">
        <v>67</v>
      </c>
      <c r="OML100" s="6">
        <v>44102</v>
      </c>
      <c r="OMM100" s="7">
        <v>0.4</v>
      </c>
      <c r="OMN100" s="5">
        <v>14.5</v>
      </c>
      <c r="OMO100" s="5">
        <v>226</v>
      </c>
      <c r="OMP100" s="5">
        <v>250</v>
      </c>
      <c r="OMQ100" s="6">
        <v>44102</v>
      </c>
      <c r="OMS100" s="5" t="s">
        <v>67</v>
      </c>
      <c r="OMT100" s="6">
        <v>44102</v>
      </c>
      <c r="OMU100" s="7">
        <v>0.4</v>
      </c>
      <c r="OMV100" s="5">
        <v>14.5</v>
      </c>
      <c r="OMW100" s="5">
        <v>226</v>
      </c>
      <c r="OMX100" s="5">
        <v>250</v>
      </c>
      <c r="OMY100" s="6">
        <v>44102</v>
      </c>
      <c r="ONA100" s="5" t="s">
        <v>67</v>
      </c>
      <c r="ONB100" s="6">
        <v>44102</v>
      </c>
      <c r="ONC100" s="7">
        <v>0.4</v>
      </c>
      <c r="OND100" s="5">
        <v>14.5</v>
      </c>
      <c r="ONE100" s="5">
        <v>226</v>
      </c>
      <c r="ONF100" s="5">
        <v>250</v>
      </c>
      <c r="ONG100" s="6">
        <v>44102</v>
      </c>
      <c r="ONI100" s="5" t="s">
        <v>67</v>
      </c>
      <c r="ONJ100" s="6">
        <v>44102</v>
      </c>
      <c r="ONK100" s="7">
        <v>0.4</v>
      </c>
      <c r="ONL100" s="5">
        <v>14.5</v>
      </c>
      <c r="ONM100" s="5">
        <v>226</v>
      </c>
      <c r="ONN100" s="5">
        <v>250</v>
      </c>
      <c r="ONO100" s="6">
        <v>44102</v>
      </c>
      <c r="ONQ100" s="5" t="s">
        <v>67</v>
      </c>
      <c r="ONR100" s="6">
        <v>44102</v>
      </c>
      <c r="ONS100" s="7">
        <v>0.4</v>
      </c>
      <c r="ONT100" s="5">
        <v>14.5</v>
      </c>
      <c r="ONU100" s="5">
        <v>226</v>
      </c>
      <c r="ONV100" s="5">
        <v>250</v>
      </c>
      <c r="ONW100" s="6">
        <v>44102</v>
      </c>
      <c r="ONY100" s="5" t="s">
        <v>67</v>
      </c>
      <c r="ONZ100" s="6">
        <v>44102</v>
      </c>
      <c r="OOA100" s="7">
        <v>0.4</v>
      </c>
      <c r="OOB100" s="5">
        <v>14.5</v>
      </c>
      <c r="OOC100" s="5">
        <v>226</v>
      </c>
      <c r="OOD100" s="5">
        <v>250</v>
      </c>
      <c r="OOE100" s="6">
        <v>44102</v>
      </c>
      <c r="OOG100" s="5" t="s">
        <v>67</v>
      </c>
      <c r="OOH100" s="6">
        <v>44102</v>
      </c>
      <c r="OOI100" s="7">
        <v>0.4</v>
      </c>
      <c r="OOJ100" s="5">
        <v>14.5</v>
      </c>
      <c r="OOK100" s="5">
        <v>226</v>
      </c>
      <c r="OOL100" s="5">
        <v>250</v>
      </c>
      <c r="OOM100" s="6">
        <v>44102</v>
      </c>
      <c r="OOO100" s="5" t="s">
        <v>67</v>
      </c>
      <c r="OOP100" s="6">
        <v>44102</v>
      </c>
      <c r="OOQ100" s="7">
        <v>0.4</v>
      </c>
      <c r="OOR100" s="5">
        <v>14.5</v>
      </c>
      <c r="OOS100" s="5">
        <v>226</v>
      </c>
      <c r="OOT100" s="5">
        <v>250</v>
      </c>
      <c r="OOU100" s="6">
        <v>44102</v>
      </c>
      <c r="OOW100" s="5" t="s">
        <v>67</v>
      </c>
      <c r="OOX100" s="6">
        <v>44102</v>
      </c>
      <c r="OOY100" s="7">
        <v>0.4</v>
      </c>
      <c r="OOZ100" s="5">
        <v>14.5</v>
      </c>
      <c r="OPA100" s="5">
        <v>226</v>
      </c>
      <c r="OPB100" s="5">
        <v>250</v>
      </c>
      <c r="OPC100" s="6">
        <v>44102</v>
      </c>
      <c r="OPE100" s="5" t="s">
        <v>67</v>
      </c>
      <c r="OPF100" s="6">
        <v>44102</v>
      </c>
      <c r="OPG100" s="7">
        <v>0.4</v>
      </c>
      <c r="OPH100" s="5">
        <v>14.5</v>
      </c>
      <c r="OPI100" s="5">
        <v>226</v>
      </c>
      <c r="OPJ100" s="5">
        <v>250</v>
      </c>
      <c r="OPK100" s="6">
        <v>44102</v>
      </c>
      <c r="OPM100" s="5" t="s">
        <v>67</v>
      </c>
      <c r="OPN100" s="6">
        <v>44102</v>
      </c>
      <c r="OPO100" s="7">
        <v>0.4</v>
      </c>
      <c r="OPP100" s="5">
        <v>14.5</v>
      </c>
      <c r="OPQ100" s="5">
        <v>226</v>
      </c>
      <c r="OPR100" s="5">
        <v>250</v>
      </c>
      <c r="OPS100" s="6">
        <v>44102</v>
      </c>
      <c r="OPU100" s="5" t="s">
        <v>67</v>
      </c>
      <c r="OPV100" s="6">
        <v>44102</v>
      </c>
      <c r="OPW100" s="7">
        <v>0.4</v>
      </c>
      <c r="OPX100" s="5">
        <v>14.5</v>
      </c>
      <c r="OPY100" s="5">
        <v>226</v>
      </c>
      <c r="OPZ100" s="5">
        <v>250</v>
      </c>
      <c r="OQA100" s="6">
        <v>44102</v>
      </c>
      <c r="OQC100" s="5" t="s">
        <v>67</v>
      </c>
      <c r="OQD100" s="6">
        <v>44102</v>
      </c>
      <c r="OQE100" s="7">
        <v>0.4</v>
      </c>
      <c r="OQF100" s="5">
        <v>14.5</v>
      </c>
      <c r="OQG100" s="5">
        <v>226</v>
      </c>
      <c r="OQH100" s="5">
        <v>250</v>
      </c>
      <c r="OQI100" s="6">
        <v>44102</v>
      </c>
      <c r="OQK100" s="5" t="s">
        <v>67</v>
      </c>
      <c r="OQL100" s="6">
        <v>44102</v>
      </c>
      <c r="OQM100" s="7">
        <v>0.4</v>
      </c>
      <c r="OQN100" s="5">
        <v>14.5</v>
      </c>
      <c r="OQO100" s="5">
        <v>226</v>
      </c>
      <c r="OQP100" s="5">
        <v>250</v>
      </c>
      <c r="OQQ100" s="6">
        <v>44102</v>
      </c>
      <c r="OQS100" s="5" t="s">
        <v>67</v>
      </c>
      <c r="OQT100" s="6">
        <v>44102</v>
      </c>
      <c r="OQU100" s="7">
        <v>0.4</v>
      </c>
      <c r="OQV100" s="5">
        <v>14.5</v>
      </c>
      <c r="OQW100" s="5">
        <v>226</v>
      </c>
      <c r="OQX100" s="5">
        <v>250</v>
      </c>
      <c r="OQY100" s="6">
        <v>44102</v>
      </c>
      <c r="ORA100" s="5" t="s">
        <v>67</v>
      </c>
      <c r="ORB100" s="6">
        <v>44102</v>
      </c>
      <c r="ORC100" s="7">
        <v>0.4</v>
      </c>
      <c r="ORD100" s="5">
        <v>14.5</v>
      </c>
      <c r="ORE100" s="5">
        <v>226</v>
      </c>
      <c r="ORF100" s="5">
        <v>250</v>
      </c>
      <c r="ORG100" s="6">
        <v>44102</v>
      </c>
      <c r="ORI100" s="5" t="s">
        <v>67</v>
      </c>
      <c r="ORJ100" s="6">
        <v>44102</v>
      </c>
      <c r="ORK100" s="7">
        <v>0.4</v>
      </c>
      <c r="ORL100" s="5">
        <v>14.5</v>
      </c>
      <c r="ORM100" s="5">
        <v>226</v>
      </c>
      <c r="ORN100" s="5">
        <v>250</v>
      </c>
      <c r="ORO100" s="6">
        <v>44102</v>
      </c>
      <c r="ORQ100" s="5" t="s">
        <v>67</v>
      </c>
      <c r="ORR100" s="6">
        <v>44102</v>
      </c>
      <c r="ORS100" s="7">
        <v>0.4</v>
      </c>
      <c r="ORT100" s="5">
        <v>14.5</v>
      </c>
      <c r="ORU100" s="5">
        <v>226</v>
      </c>
      <c r="ORV100" s="5">
        <v>250</v>
      </c>
      <c r="ORW100" s="6">
        <v>44102</v>
      </c>
      <c r="ORY100" s="5" t="s">
        <v>67</v>
      </c>
      <c r="ORZ100" s="6">
        <v>44102</v>
      </c>
      <c r="OSA100" s="7">
        <v>0.4</v>
      </c>
      <c r="OSB100" s="5">
        <v>14.5</v>
      </c>
      <c r="OSC100" s="5">
        <v>226</v>
      </c>
      <c r="OSD100" s="5">
        <v>250</v>
      </c>
      <c r="OSE100" s="6">
        <v>44102</v>
      </c>
      <c r="OSG100" s="5" t="s">
        <v>67</v>
      </c>
      <c r="OSH100" s="6">
        <v>44102</v>
      </c>
      <c r="OSI100" s="7">
        <v>0.4</v>
      </c>
      <c r="OSJ100" s="5">
        <v>14.5</v>
      </c>
      <c r="OSK100" s="5">
        <v>226</v>
      </c>
      <c r="OSL100" s="5">
        <v>250</v>
      </c>
      <c r="OSM100" s="6">
        <v>44102</v>
      </c>
      <c r="OSO100" s="5" t="s">
        <v>67</v>
      </c>
      <c r="OSP100" s="6">
        <v>44102</v>
      </c>
      <c r="OSQ100" s="7">
        <v>0.4</v>
      </c>
      <c r="OSR100" s="5">
        <v>14.5</v>
      </c>
      <c r="OSS100" s="5">
        <v>226</v>
      </c>
      <c r="OST100" s="5">
        <v>250</v>
      </c>
      <c r="OSU100" s="6">
        <v>44102</v>
      </c>
      <c r="OSW100" s="5" t="s">
        <v>67</v>
      </c>
      <c r="OSX100" s="6">
        <v>44102</v>
      </c>
      <c r="OSY100" s="7">
        <v>0.4</v>
      </c>
      <c r="OSZ100" s="5">
        <v>14.5</v>
      </c>
      <c r="OTA100" s="5">
        <v>226</v>
      </c>
      <c r="OTB100" s="5">
        <v>250</v>
      </c>
      <c r="OTC100" s="6">
        <v>44102</v>
      </c>
      <c r="OTE100" s="5" t="s">
        <v>67</v>
      </c>
      <c r="OTF100" s="6">
        <v>44102</v>
      </c>
      <c r="OTG100" s="7">
        <v>0.4</v>
      </c>
      <c r="OTH100" s="5">
        <v>14.5</v>
      </c>
      <c r="OTI100" s="5">
        <v>226</v>
      </c>
      <c r="OTJ100" s="5">
        <v>250</v>
      </c>
      <c r="OTK100" s="6">
        <v>44102</v>
      </c>
      <c r="OTM100" s="5" t="s">
        <v>67</v>
      </c>
      <c r="OTN100" s="6">
        <v>44102</v>
      </c>
      <c r="OTO100" s="7">
        <v>0.4</v>
      </c>
      <c r="OTP100" s="5">
        <v>14.5</v>
      </c>
      <c r="OTQ100" s="5">
        <v>226</v>
      </c>
      <c r="OTR100" s="5">
        <v>250</v>
      </c>
      <c r="OTS100" s="6">
        <v>44102</v>
      </c>
      <c r="OTU100" s="5" t="s">
        <v>67</v>
      </c>
      <c r="OTV100" s="6">
        <v>44102</v>
      </c>
      <c r="OTW100" s="7">
        <v>0.4</v>
      </c>
      <c r="OTX100" s="5">
        <v>14.5</v>
      </c>
      <c r="OTY100" s="5">
        <v>226</v>
      </c>
      <c r="OTZ100" s="5">
        <v>250</v>
      </c>
      <c r="OUA100" s="6">
        <v>44102</v>
      </c>
      <c r="OUC100" s="5" t="s">
        <v>67</v>
      </c>
      <c r="OUD100" s="6">
        <v>44102</v>
      </c>
      <c r="OUE100" s="7">
        <v>0.4</v>
      </c>
      <c r="OUF100" s="5">
        <v>14.5</v>
      </c>
      <c r="OUG100" s="5">
        <v>226</v>
      </c>
      <c r="OUH100" s="5">
        <v>250</v>
      </c>
      <c r="OUI100" s="6">
        <v>44102</v>
      </c>
      <c r="OUK100" s="5" t="s">
        <v>67</v>
      </c>
      <c r="OUL100" s="6">
        <v>44102</v>
      </c>
      <c r="OUM100" s="7">
        <v>0.4</v>
      </c>
      <c r="OUN100" s="5">
        <v>14.5</v>
      </c>
      <c r="OUO100" s="5">
        <v>226</v>
      </c>
      <c r="OUP100" s="5">
        <v>250</v>
      </c>
      <c r="OUQ100" s="6">
        <v>44102</v>
      </c>
      <c r="OUS100" s="5" t="s">
        <v>67</v>
      </c>
      <c r="OUT100" s="6">
        <v>44102</v>
      </c>
      <c r="OUU100" s="7">
        <v>0.4</v>
      </c>
      <c r="OUV100" s="5">
        <v>14.5</v>
      </c>
      <c r="OUW100" s="5">
        <v>226</v>
      </c>
      <c r="OUX100" s="5">
        <v>250</v>
      </c>
      <c r="OUY100" s="6">
        <v>44102</v>
      </c>
      <c r="OVA100" s="5" t="s">
        <v>67</v>
      </c>
      <c r="OVB100" s="6">
        <v>44102</v>
      </c>
      <c r="OVC100" s="7">
        <v>0.4</v>
      </c>
      <c r="OVD100" s="5">
        <v>14.5</v>
      </c>
      <c r="OVE100" s="5">
        <v>226</v>
      </c>
      <c r="OVF100" s="5">
        <v>250</v>
      </c>
      <c r="OVG100" s="6">
        <v>44102</v>
      </c>
      <c r="OVI100" s="5" t="s">
        <v>67</v>
      </c>
      <c r="OVJ100" s="6">
        <v>44102</v>
      </c>
      <c r="OVK100" s="7">
        <v>0.4</v>
      </c>
      <c r="OVL100" s="5">
        <v>14.5</v>
      </c>
      <c r="OVM100" s="5">
        <v>226</v>
      </c>
      <c r="OVN100" s="5">
        <v>250</v>
      </c>
      <c r="OVO100" s="6">
        <v>44102</v>
      </c>
      <c r="OVQ100" s="5" t="s">
        <v>67</v>
      </c>
      <c r="OVR100" s="6">
        <v>44102</v>
      </c>
      <c r="OVS100" s="7">
        <v>0.4</v>
      </c>
      <c r="OVT100" s="5">
        <v>14.5</v>
      </c>
      <c r="OVU100" s="5">
        <v>226</v>
      </c>
      <c r="OVV100" s="5">
        <v>250</v>
      </c>
      <c r="OVW100" s="6">
        <v>44102</v>
      </c>
      <c r="OVY100" s="5" t="s">
        <v>67</v>
      </c>
      <c r="OVZ100" s="6">
        <v>44102</v>
      </c>
      <c r="OWA100" s="7">
        <v>0.4</v>
      </c>
      <c r="OWB100" s="5">
        <v>14.5</v>
      </c>
      <c r="OWC100" s="5">
        <v>226</v>
      </c>
      <c r="OWD100" s="5">
        <v>250</v>
      </c>
      <c r="OWE100" s="6">
        <v>44102</v>
      </c>
      <c r="OWG100" s="5" t="s">
        <v>67</v>
      </c>
      <c r="OWH100" s="6">
        <v>44102</v>
      </c>
      <c r="OWI100" s="7">
        <v>0.4</v>
      </c>
      <c r="OWJ100" s="5">
        <v>14.5</v>
      </c>
      <c r="OWK100" s="5">
        <v>226</v>
      </c>
      <c r="OWL100" s="5">
        <v>250</v>
      </c>
      <c r="OWM100" s="6">
        <v>44102</v>
      </c>
      <c r="OWO100" s="5" t="s">
        <v>67</v>
      </c>
      <c r="OWP100" s="6">
        <v>44102</v>
      </c>
      <c r="OWQ100" s="7">
        <v>0.4</v>
      </c>
      <c r="OWR100" s="5">
        <v>14.5</v>
      </c>
      <c r="OWS100" s="5">
        <v>226</v>
      </c>
      <c r="OWT100" s="5">
        <v>250</v>
      </c>
      <c r="OWU100" s="6">
        <v>44102</v>
      </c>
      <c r="OWW100" s="5" t="s">
        <v>67</v>
      </c>
      <c r="OWX100" s="6">
        <v>44102</v>
      </c>
      <c r="OWY100" s="7">
        <v>0.4</v>
      </c>
      <c r="OWZ100" s="5">
        <v>14.5</v>
      </c>
      <c r="OXA100" s="5">
        <v>226</v>
      </c>
      <c r="OXB100" s="5">
        <v>250</v>
      </c>
      <c r="OXC100" s="6">
        <v>44102</v>
      </c>
      <c r="OXE100" s="5" t="s">
        <v>67</v>
      </c>
      <c r="OXF100" s="6">
        <v>44102</v>
      </c>
      <c r="OXG100" s="7">
        <v>0.4</v>
      </c>
      <c r="OXH100" s="5">
        <v>14.5</v>
      </c>
      <c r="OXI100" s="5">
        <v>226</v>
      </c>
      <c r="OXJ100" s="5">
        <v>250</v>
      </c>
      <c r="OXK100" s="6">
        <v>44102</v>
      </c>
      <c r="OXM100" s="5" t="s">
        <v>67</v>
      </c>
      <c r="OXN100" s="6">
        <v>44102</v>
      </c>
      <c r="OXO100" s="7">
        <v>0.4</v>
      </c>
      <c r="OXP100" s="5">
        <v>14.5</v>
      </c>
      <c r="OXQ100" s="5">
        <v>226</v>
      </c>
      <c r="OXR100" s="5">
        <v>250</v>
      </c>
      <c r="OXS100" s="6">
        <v>44102</v>
      </c>
      <c r="OXU100" s="5" t="s">
        <v>67</v>
      </c>
      <c r="OXV100" s="6">
        <v>44102</v>
      </c>
      <c r="OXW100" s="7">
        <v>0.4</v>
      </c>
      <c r="OXX100" s="5">
        <v>14.5</v>
      </c>
      <c r="OXY100" s="5">
        <v>226</v>
      </c>
      <c r="OXZ100" s="5">
        <v>250</v>
      </c>
      <c r="OYA100" s="6">
        <v>44102</v>
      </c>
      <c r="OYC100" s="5" t="s">
        <v>67</v>
      </c>
      <c r="OYD100" s="6">
        <v>44102</v>
      </c>
      <c r="OYE100" s="7">
        <v>0.4</v>
      </c>
      <c r="OYF100" s="5">
        <v>14.5</v>
      </c>
      <c r="OYG100" s="5">
        <v>226</v>
      </c>
      <c r="OYH100" s="5">
        <v>250</v>
      </c>
      <c r="OYI100" s="6">
        <v>44102</v>
      </c>
      <c r="OYK100" s="5" t="s">
        <v>67</v>
      </c>
      <c r="OYL100" s="6">
        <v>44102</v>
      </c>
      <c r="OYM100" s="7">
        <v>0.4</v>
      </c>
      <c r="OYN100" s="5">
        <v>14.5</v>
      </c>
      <c r="OYO100" s="5">
        <v>226</v>
      </c>
      <c r="OYP100" s="5">
        <v>250</v>
      </c>
      <c r="OYQ100" s="6">
        <v>44102</v>
      </c>
      <c r="OYS100" s="5" t="s">
        <v>67</v>
      </c>
      <c r="OYT100" s="6">
        <v>44102</v>
      </c>
      <c r="OYU100" s="7">
        <v>0.4</v>
      </c>
      <c r="OYV100" s="5">
        <v>14.5</v>
      </c>
      <c r="OYW100" s="5">
        <v>226</v>
      </c>
      <c r="OYX100" s="5">
        <v>250</v>
      </c>
      <c r="OYY100" s="6">
        <v>44102</v>
      </c>
      <c r="OZA100" s="5" t="s">
        <v>67</v>
      </c>
      <c r="OZB100" s="6">
        <v>44102</v>
      </c>
      <c r="OZC100" s="7">
        <v>0.4</v>
      </c>
      <c r="OZD100" s="5">
        <v>14.5</v>
      </c>
      <c r="OZE100" s="5">
        <v>226</v>
      </c>
      <c r="OZF100" s="5">
        <v>250</v>
      </c>
      <c r="OZG100" s="6">
        <v>44102</v>
      </c>
      <c r="OZI100" s="5" t="s">
        <v>67</v>
      </c>
      <c r="OZJ100" s="6">
        <v>44102</v>
      </c>
      <c r="OZK100" s="7">
        <v>0.4</v>
      </c>
      <c r="OZL100" s="5">
        <v>14.5</v>
      </c>
      <c r="OZM100" s="5">
        <v>226</v>
      </c>
      <c r="OZN100" s="5">
        <v>250</v>
      </c>
      <c r="OZO100" s="6">
        <v>44102</v>
      </c>
      <c r="OZQ100" s="5" t="s">
        <v>67</v>
      </c>
      <c r="OZR100" s="6">
        <v>44102</v>
      </c>
      <c r="OZS100" s="7">
        <v>0.4</v>
      </c>
      <c r="OZT100" s="5">
        <v>14.5</v>
      </c>
      <c r="OZU100" s="5">
        <v>226</v>
      </c>
      <c r="OZV100" s="5">
        <v>250</v>
      </c>
      <c r="OZW100" s="6">
        <v>44102</v>
      </c>
      <c r="OZY100" s="5" t="s">
        <v>67</v>
      </c>
      <c r="OZZ100" s="6">
        <v>44102</v>
      </c>
      <c r="PAA100" s="7">
        <v>0.4</v>
      </c>
      <c r="PAB100" s="5">
        <v>14.5</v>
      </c>
      <c r="PAC100" s="5">
        <v>226</v>
      </c>
      <c r="PAD100" s="5">
        <v>250</v>
      </c>
      <c r="PAE100" s="6">
        <v>44102</v>
      </c>
      <c r="PAG100" s="5" t="s">
        <v>67</v>
      </c>
      <c r="PAH100" s="6">
        <v>44102</v>
      </c>
      <c r="PAI100" s="7">
        <v>0.4</v>
      </c>
      <c r="PAJ100" s="5">
        <v>14.5</v>
      </c>
      <c r="PAK100" s="5">
        <v>226</v>
      </c>
      <c r="PAL100" s="5">
        <v>250</v>
      </c>
      <c r="PAM100" s="6">
        <v>44102</v>
      </c>
      <c r="PAO100" s="5" t="s">
        <v>67</v>
      </c>
      <c r="PAP100" s="6">
        <v>44102</v>
      </c>
      <c r="PAQ100" s="7">
        <v>0.4</v>
      </c>
      <c r="PAR100" s="5">
        <v>14.5</v>
      </c>
      <c r="PAS100" s="5">
        <v>226</v>
      </c>
      <c r="PAT100" s="5">
        <v>250</v>
      </c>
      <c r="PAU100" s="6">
        <v>44102</v>
      </c>
      <c r="PAW100" s="5" t="s">
        <v>67</v>
      </c>
      <c r="PAX100" s="6">
        <v>44102</v>
      </c>
      <c r="PAY100" s="7">
        <v>0.4</v>
      </c>
      <c r="PAZ100" s="5">
        <v>14.5</v>
      </c>
      <c r="PBA100" s="5">
        <v>226</v>
      </c>
      <c r="PBB100" s="5">
        <v>250</v>
      </c>
      <c r="PBC100" s="6">
        <v>44102</v>
      </c>
      <c r="PBE100" s="5" t="s">
        <v>67</v>
      </c>
      <c r="PBF100" s="6">
        <v>44102</v>
      </c>
      <c r="PBG100" s="7">
        <v>0.4</v>
      </c>
      <c r="PBH100" s="5">
        <v>14.5</v>
      </c>
      <c r="PBI100" s="5">
        <v>226</v>
      </c>
      <c r="PBJ100" s="5">
        <v>250</v>
      </c>
      <c r="PBK100" s="6">
        <v>44102</v>
      </c>
      <c r="PBM100" s="5" t="s">
        <v>67</v>
      </c>
      <c r="PBN100" s="6">
        <v>44102</v>
      </c>
      <c r="PBO100" s="7">
        <v>0.4</v>
      </c>
      <c r="PBP100" s="5">
        <v>14.5</v>
      </c>
      <c r="PBQ100" s="5">
        <v>226</v>
      </c>
      <c r="PBR100" s="5">
        <v>250</v>
      </c>
      <c r="PBS100" s="6">
        <v>44102</v>
      </c>
      <c r="PBU100" s="5" t="s">
        <v>67</v>
      </c>
      <c r="PBV100" s="6">
        <v>44102</v>
      </c>
      <c r="PBW100" s="7">
        <v>0.4</v>
      </c>
      <c r="PBX100" s="5">
        <v>14.5</v>
      </c>
      <c r="PBY100" s="5">
        <v>226</v>
      </c>
      <c r="PBZ100" s="5">
        <v>250</v>
      </c>
      <c r="PCA100" s="6">
        <v>44102</v>
      </c>
      <c r="PCC100" s="5" t="s">
        <v>67</v>
      </c>
      <c r="PCD100" s="6">
        <v>44102</v>
      </c>
      <c r="PCE100" s="7">
        <v>0.4</v>
      </c>
      <c r="PCF100" s="5">
        <v>14.5</v>
      </c>
      <c r="PCG100" s="5">
        <v>226</v>
      </c>
      <c r="PCH100" s="5">
        <v>250</v>
      </c>
      <c r="PCI100" s="6">
        <v>44102</v>
      </c>
      <c r="PCK100" s="5" t="s">
        <v>67</v>
      </c>
      <c r="PCL100" s="6">
        <v>44102</v>
      </c>
      <c r="PCM100" s="7">
        <v>0.4</v>
      </c>
      <c r="PCN100" s="5">
        <v>14.5</v>
      </c>
      <c r="PCO100" s="5">
        <v>226</v>
      </c>
      <c r="PCP100" s="5">
        <v>250</v>
      </c>
      <c r="PCQ100" s="6">
        <v>44102</v>
      </c>
      <c r="PCS100" s="5" t="s">
        <v>67</v>
      </c>
      <c r="PCT100" s="6">
        <v>44102</v>
      </c>
      <c r="PCU100" s="7">
        <v>0.4</v>
      </c>
      <c r="PCV100" s="5">
        <v>14.5</v>
      </c>
      <c r="PCW100" s="5">
        <v>226</v>
      </c>
      <c r="PCX100" s="5">
        <v>250</v>
      </c>
      <c r="PCY100" s="6">
        <v>44102</v>
      </c>
      <c r="PDA100" s="5" t="s">
        <v>67</v>
      </c>
      <c r="PDB100" s="6">
        <v>44102</v>
      </c>
      <c r="PDC100" s="7">
        <v>0.4</v>
      </c>
      <c r="PDD100" s="5">
        <v>14.5</v>
      </c>
      <c r="PDE100" s="5">
        <v>226</v>
      </c>
      <c r="PDF100" s="5">
        <v>250</v>
      </c>
      <c r="PDG100" s="6">
        <v>44102</v>
      </c>
      <c r="PDI100" s="5" t="s">
        <v>67</v>
      </c>
      <c r="PDJ100" s="6">
        <v>44102</v>
      </c>
      <c r="PDK100" s="7">
        <v>0.4</v>
      </c>
      <c r="PDL100" s="5">
        <v>14.5</v>
      </c>
      <c r="PDM100" s="5">
        <v>226</v>
      </c>
      <c r="PDN100" s="5">
        <v>250</v>
      </c>
      <c r="PDO100" s="6">
        <v>44102</v>
      </c>
      <c r="PDQ100" s="5" t="s">
        <v>67</v>
      </c>
      <c r="PDR100" s="6">
        <v>44102</v>
      </c>
      <c r="PDS100" s="7">
        <v>0.4</v>
      </c>
      <c r="PDT100" s="5">
        <v>14.5</v>
      </c>
      <c r="PDU100" s="5">
        <v>226</v>
      </c>
      <c r="PDV100" s="5">
        <v>250</v>
      </c>
      <c r="PDW100" s="6">
        <v>44102</v>
      </c>
      <c r="PDY100" s="5" t="s">
        <v>67</v>
      </c>
      <c r="PDZ100" s="6">
        <v>44102</v>
      </c>
      <c r="PEA100" s="7">
        <v>0.4</v>
      </c>
      <c r="PEB100" s="5">
        <v>14.5</v>
      </c>
      <c r="PEC100" s="5">
        <v>226</v>
      </c>
      <c r="PED100" s="5">
        <v>250</v>
      </c>
      <c r="PEE100" s="6">
        <v>44102</v>
      </c>
      <c r="PEG100" s="5" t="s">
        <v>67</v>
      </c>
      <c r="PEH100" s="6">
        <v>44102</v>
      </c>
      <c r="PEI100" s="7">
        <v>0.4</v>
      </c>
      <c r="PEJ100" s="5">
        <v>14.5</v>
      </c>
      <c r="PEK100" s="5">
        <v>226</v>
      </c>
      <c r="PEL100" s="5">
        <v>250</v>
      </c>
      <c r="PEM100" s="6">
        <v>44102</v>
      </c>
      <c r="PEO100" s="5" t="s">
        <v>67</v>
      </c>
      <c r="PEP100" s="6">
        <v>44102</v>
      </c>
      <c r="PEQ100" s="7">
        <v>0.4</v>
      </c>
      <c r="PER100" s="5">
        <v>14.5</v>
      </c>
      <c r="PES100" s="5">
        <v>226</v>
      </c>
      <c r="PET100" s="5">
        <v>250</v>
      </c>
      <c r="PEU100" s="6">
        <v>44102</v>
      </c>
      <c r="PEW100" s="5" t="s">
        <v>67</v>
      </c>
      <c r="PEX100" s="6">
        <v>44102</v>
      </c>
      <c r="PEY100" s="7">
        <v>0.4</v>
      </c>
      <c r="PEZ100" s="5">
        <v>14.5</v>
      </c>
      <c r="PFA100" s="5">
        <v>226</v>
      </c>
      <c r="PFB100" s="5">
        <v>250</v>
      </c>
      <c r="PFC100" s="6">
        <v>44102</v>
      </c>
      <c r="PFE100" s="5" t="s">
        <v>67</v>
      </c>
      <c r="PFF100" s="6">
        <v>44102</v>
      </c>
      <c r="PFG100" s="7">
        <v>0.4</v>
      </c>
      <c r="PFH100" s="5">
        <v>14.5</v>
      </c>
      <c r="PFI100" s="5">
        <v>226</v>
      </c>
      <c r="PFJ100" s="5">
        <v>250</v>
      </c>
      <c r="PFK100" s="6">
        <v>44102</v>
      </c>
      <c r="PFM100" s="5" t="s">
        <v>67</v>
      </c>
      <c r="PFN100" s="6">
        <v>44102</v>
      </c>
      <c r="PFO100" s="7">
        <v>0.4</v>
      </c>
      <c r="PFP100" s="5">
        <v>14.5</v>
      </c>
      <c r="PFQ100" s="5">
        <v>226</v>
      </c>
      <c r="PFR100" s="5">
        <v>250</v>
      </c>
      <c r="PFS100" s="6">
        <v>44102</v>
      </c>
      <c r="PFU100" s="5" t="s">
        <v>67</v>
      </c>
      <c r="PFV100" s="6">
        <v>44102</v>
      </c>
      <c r="PFW100" s="7">
        <v>0.4</v>
      </c>
      <c r="PFX100" s="5">
        <v>14.5</v>
      </c>
      <c r="PFY100" s="5">
        <v>226</v>
      </c>
      <c r="PFZ100" s="5">
        <v>250</v>
      </c>
      <c r="PGA100" s="6">
        <v>44102</v>
      </c>
      <c r="PGC100" s="5" t="s">
        <v>67</v>
      </c>
      <c r="PGD100" s="6">
        <v>44102</v>
      </c>
      <c r="PGE100" s="7">
        <v>0.4</v>
      </c>
      <c r="PGF100" s="5">
        <v>14.5</v>
      </c>
      <c r="PGG100" s="5">
        <v>226</v>
      </c>
      <c r="PGH100" s="5">
        <v>250</v>
      </c>
      <c r="PGI100" s="6">
        <v>44102</v>
      </c>
      <c r="PGK100" s="5" t="s">
        <v>67</v>
      </c>
      <c r="PGL100" s="6">
        <v>44102</v>
      </c>
      <c r="PGM100" s="7">
        <v>0.4</v>
      </c>
      <c r="PGN100" s="5">
        <v>14.5</v>
      </c>
      <c r="PGO100" s="5">
        <v>226</v>
      </c>
      <c r="PGP100" s="5">
        <v>250</v>
      </c>
      <c r="PGQ100" s="6">
        <v>44102</v>
      </c>
      <c r="PGS100" s="5" t="s">
        <v>67</v>
      </c>
      <c r="PGT100" s="6">
        <v>44102</v>
      </c>
      <c r="PGU100" s="7">
        <v>0.4</v>
      </c>
      <c r="PGV100" s="5">
        <v>14.5</v>
      </c>
      <c r="PGW100" s="5">
        <v>226</v>
      </c>
      <c r="PGX100" s="5">
        <v>250</v>
      </c>
      <c r="PGY100" s="6">
        <v>44102</v>
      </c>
      <c r="PHA100" s="5" t="s">
        <v>67</v>
      </c>
      <c r="PHB100" s="6">
        <v>44102</v>
      </c>
      <c r="PHC100" s="7">
        <v>0.4</v>
      </c>
      <c r="PHD100" s="5">
        <v>14.5</v>
      </c>
      <c r="PHE100" s="5">
        <v>226</v>
      </c>
      <c r="PHF100" s="5">
        <v>250</v>
      </c>
      <c r="PHG100" s="6">
        <v>44102</v>
      </c>
      <c r="PHI100" s="5" t="s">
        <v>67</v>
      </c>
      <c r="PHJ100" s="6">
        <v>44102</v>
      </c>
      <c r="PHK100" s="7">
        <v>0.4</v>
      </c>
      <c r="PHL100" s="5">
        <v>14.5</v>
      </c>
      <c r="PHM100" s="5">
        <v>226</v>
      </c>
      <c r="PHN100" s="5">
        <v>250</v>
      </c>
      <c r="PHO100" s="6">
        <v>44102</v>
      </c>
      <c r="PHQ100" s="5" t="s">
        <v>67</v>
      </c>
      <c r="PHR100" s="6">
        <v>44102</v>
      </c>
      <c r="PHS100" s="7">
        <v>0.4</v>
      </c>
      <c r="PHT100" s="5">
        <v>14.5</v>
      </c>
      <c r="PHU100" s="5">
        <v>226</v>
      </c>
      <c r="PHV100" s="5">
        <v>250</v>
      </c>
      <c r="PHW100" s="6">
        <v>44102</v>
      </c>
      <c r="PHY100" s="5" t="s">
        <v>67</v>
      </c>
      <c r="PHZ100" s="6">
        <v>44102</v>
      </c>
      <c r="PIA100" s="7">
        <v>0.4</v>
      </c>
      <c r="PIB100" s="5">
        <v>14.5</v>
      </c>
      <c r="PIC100" s="5">
        <v>226</v>
      </c>
      <c r="PID100" s="5">
        <v>250</v>
      </c>
      <c r="PIE100" s="6">
        <v>44102</v>
      </c>
      <c r="PIG100" s="5" t="s">
        <v>67</v>
      </c>
      <c r="PIH100" s="6">
        <v>44102</v>
      </c>
      <c r="PII100" s="7">
        <v>0.4</v>
      </c>
      <c r="PIJ100" s="5">
        <v>14.5</v>
      </c>
      <c r="PIK100" s="5">
        <v>226</v>
      </c>
      <c r="PIL100" s="5">
        <v>250</v>
      </c>
      <c r="PIM100" s="6">
        <v>44102</v>
      </c>
      <c r="PIO100" s="5" t="s">
        <v>67</v>
      </c>
      <c r="PIP100" s="6">
        <v>44102</v>
      </c>
      <c r="PIQ100" s="7">
        <v>0.4</v>
      </c>
      <c r="PIR100" s="5">
        <v>14.5</v>
      </c>
      <c r="PIS100" s="5">
        <v>226</v>
      </c>
      <c r="PIT100" s="5">
        <v>250</v>
      </c>
      <c r="PIU100" s="6">
        <v>44102</v>
      </c>
      <c r="PIW100" s="5" t="s">
        <v>67</v>
      </c>
      <c r="PIX100" s="6">
        <v>44102</v>
      </c>
      <c r="PIY100" s="7">
        <v>0.4</v>
      </c>
      <c r="PIZ100" s="5">
        <v>14.5</v>
      </c>
      <c r="PJA100" s="5">
        <v>226</v>
      </c>
      <c r="PJB100" s="5">
        <v>250</v>
      </c>
      <c r="PJC100" s="6">
        <v>44102</v>
      </c>
      <c r="PJE100" s="5" t="s">
        <v>67</v>
      </c>
      <c r="PJF100" s="6">
        <v>44102</v>
      </c>
      <c r="PJG100" s="7">
        <v>0.4</v>
      </c>
      <c r="PJH100" s="5">
        <v>14.5</v>
      </c>
      <c r="PJI100" s="5">
        <v>226</v>
      </c>
      <c r="PJJ100" s="5">
        <v>250</v>
      </c>
      <c r="PJK100" s="6">
        <v>44102</v>
      </c>
      <c r="PJM100" s="5" t="s">
        <v>67</v>
      </c>
      <c r="PJN100" s="6">
        <v>44102</v>
      </c>
      <c r="PJO100" s="7">
        <v>0.4</v>
      </c>
      <c r="PJP100" s="5">
        <v>14.5</v>
      </c>
      <c r="PJQ100" s="5">
        <v>226</v>
      </c>
      <c r="PJR100" s="5">
        <v>250</v>
      </c>
      <c r="PJS100" s="6">
        <v>44102</v>
      </c>
      <c r="PJU100" s="5" t="s">
        <v>67</v>
      </c>
      <c r="PJV100" s="6">
        <v>44102</v>
      </c>
      <c r="PJW100" s="7">
        <v>0.4</v>
      </c>
      <c r="PJX100" s="5">
        <v>14.5</v>
      </c>
      <c r="PJY100" s="5">
        <v>226</v>
      </c>
      <c r="PJZ100" s="5">
        <v>250</v>
      </c>
      <c r="PKA100" s="6">
        <v>44102</v>
      </c>
      <c r="PKC100" s="5" t="s">
        <v>67</v>
      </c>
      <c r="PKD100" s="6">
        <v>44102</v>
      </c>
      <c r="PKE100" s="7">
        <v>0.4</v>
      </c>
      <c r="PKF100" s="5">
        <v>14.5</v>
      </c>
      <c r="PKG100" s="5">
        <v>226</v>
      </c>
      <c r="PKH100" s="5">
        <v>250</v>
      </c>
      <c r="PKI100" s="6">
        <v>44102</v>
      </c>
      <c r="PKK100" s="5" t="s">
        <v>67</v>
      </c>
      <c r="PKL100" s="6">
        <v>44102</v>
      </c>
      <c r="PKM100" s="7">
        <v>0.4</v>
      </c>
      <c r="PKN100" s="5">
        <v>14.5</v>
      </c>
      <c r="PKO100" s="5">
        <v>226</v>
      </c>
      <c r="PKP100" s="5">
        <v>250</v>
      </c>
      <c r="PKQ100" s="6">
        <v>44102</v>
      </c>
      <c r="PKS100" s="5" t="s">
        <v>67</v>
      </c>
      <c r="PKT100" s="6">
        <v>44102</v>
      </c>
      <c r="PKU100" s="7">
        <v>0.4</v>
      </c>
      <c r="PKV100" s="5">
        <v>14.5</v>
      </c>
      <c r="PKW100" s="5">
        <v>226</v>
      </c>
      <c r="PKX100" s="5">
        <v>250</v>
      </c>
      <c r="PKY100" s="6">
        <v>44102</v>
      </c>
      <c r="PLA100" s="5" t="s">
        <v>67</v>
      </c>
      <c r="PLB100" s="6">
        <v>44102</v>
      </c>
      <c r="PLC100" s="7">
        <v>0.4</v>
      </c>
      <c r="PLD100" s="5">
        <v>14.5</v>
      </c>
      <c r="PLE100" s="5">
        <v>226</v>
      </c>
      <c r="PLF100" s="5">
        <v>250</v>
      </c>
      <c r="PLG100" s="6">
        <v>44102</v>
      </c>
      <c r="PLI100" s="5" t="s">
        <v>67</v>
      </c>
      <c r="PLJ100" s="6">
        <v>44102</v>
      </c>
      <c r="PLK100" s="7">
        <v>0.4</v>
      </c>
      <c r="PLL100" s="5">
        <v>14.5</v>
      </c>
      <c r="PLM100" s="5">
        <v>226</v>
      </c>
      <c r="PLN100" s="5">
        <v>250</v>
      </c>
      <c r="PLO100" s="6">
        <v>44102</v>
      </c>
      <c r="PLQ100" s="5" t="s">
        <v>67</v>
      </c>
      <c r="PLR100" s="6">
        <v>44102</v>
      </c>
      <c r="PLS100" s="7">
        <v>0.4</v>
      </c>
      <c r="PLT100" s="5">
        <v>14.5</v>
      </c>
      <c r="PLU100" s="5">
        <v>226</v>
      </c>
      <c r="PLV100" s="5">
        <v>250</v>
      </c>
      <c r="PLW100" s="6">
        <v>44102</v>
      </c>
      <c r="PLY100" s="5" t="s">
        <v>67</v>
      </c>
      <c r="PLZ100" s="6">
        <v>44102</v>
      </c>
      <c r="PMA100" s="7">
        <v>0.4</v>
      </c>
      <c r="PMB100" s="5">
        <v>14.5</v>
      </c>
      <c r="PMC100" s="5">
        <v>226</v>
      </c>
      <c r="PMD100" s="5">
        <v>250</v>
      </c>
      <c r="PME100" s="6">
        <v>44102</v>
      </c>
      <c r="PMG100" s="5" t="s">
        <v>67</v>
      </c>
      <c r="PMH100" s="6">
        <v>44102</v>
      </c>
      <c r="PMI100" s="7">
        <v>0.4</v>
      </c>
      <c r="PMJ100" s="5">
        <v>14.5</v>
      </c>
      <c r="PMK100" s="5">
        <v>226</v>
      </c>
      <c r="PML100" s="5">
        <v>250</v>
      </c>
      <c r="PMM100" s="6">
        <v>44102</v>
      </c>
      <c r="PMO100" s="5" t="s">
        <v>67</v>
      </c>
      <c r="PMP100" s="6">
        <v>44102</v>
      </c>
      <c r="PMQ100" s="7">
        <v>0.4</v>
      </c>
      <c r="PMR100" s="5">
        <v>14.5</v>
      </c>
      <c r="PMS100" s="5">
        <v>226</v>
      </c>
      <c r="PMT100" s="5">
        <v>250</v>
      </c>
      <c r="PMU100" s="6">
        <v>44102</v>
      </c>
      <c r="PMW100" s="5" t="s">
        <v>67</v>
      </c>
      <c r="PMX100" s="6">
        <v>44102</v>
      </c>
      <c r="PMY100" s="7">
        <v>0.4</v>
      </c>
      <c r="PMZ100" s="5">
        <v>14.5</v>
      </c>
      <c r="PNA100" s="5">
        <v>226</v>
      </c>
      <c r="PNB100" s="5">
        <v>250</v>
      </c>
      <c r="PNC100" s="6">
        <v>44102</v>
      </c>
      <c r="PNE100" s="5" t="s">
        <v>67</v>
      </c>
      <c r="PNF100" s="6">
        <v>44102</v>
      </c>
      <c r="PNG100" s="7">
        <v>0.4</v>
      </c>
      <c r="PNH100" s="5">
        <v>14.5</v>
      </c>
      <c r="PNI100" s="5">
        <v>226</v>
      </c>
      <c r="PNJ100" s="5">
        <v>250</v>
      </c>
      <c r="PNK100" s="6">
        <v>44102</v>
      </c>
      <c r="PNM100" s="5" t="s">
        <v>67</v>
      </c>
      <c r="PNN100" s="6">
        <v>44102</v>
      </c>
      <c r="PNO100" s="7">
        <v>0.4</v>
      </c>
      <c r="PNP100" s="5">
        <v>14.5</v>
      </c>
      <c r="PNQ100" s="5">
        <v>226</v>
      </c>
      <c r="PNR100" s="5">
        <v>250</v>
      </c>
      <c r="PNS100" s="6">
        <v>44102</v>
      </c>
      <c r="PNU100" s="5" t="s">
        <v>67</v>
      </c>
      <c r="PNV100" s="6">
        <v>44102</v>
      </c>
      <c r="PNW100" s="7">
        <v>0.4</v>
      </c>
      <c r="PNX100" s="5">
        <v>14.5</v>
      </c>
      <c r="PNY100" s="5">
        <v>226</v>
      </c>
      <c r="PNZ100" s="5">
        <v>250</v>
      </c>
      <c r="POA100" s="6">
        <v>44102</v>
      </c>
      <c r="POC100" s="5" t="s">
        <v>67</v>
      </c>
      <c r="POD100" s="6">
        <v>44102</v>
      </c>
      <c r="POE100" s="7">
        <v>0.4</v>
      </c>
      <c r="POF100" s="5">
        <v>14.5</v>
      </c>
      <c r="POG100" s="5">
        <v>226</v>
      </c>
      <c r="POH100" s="5">
        <v>250</v>
      </c>
      <c r="POI100" s="6">
        <v>44102</v>
      </c>
      <c r="POK100" s="5" t="s">
        <v>67</v>
      </c>
      <c r="POL100" s="6">
        <v>44102</v>
      </c>
      <c r="POM100" s="7">
        <v>0.4</v>
      </c>
      <c r="PON100" s="5">
        <v>14.5</v>
      </c>
      <c r="POO100" s="5">
        <v>226</v>
      </c>
      <c r="POP100" s="5">
        <v>250</v>
      </c>
      <c r="POQ100" s="6">
        <v>44102</v>
      </c>
      <c r="POS100" s="5" t="s">
        <v>67</v>
      </c>
      <c r="POT100" s="6">
        <v>44102</v>
      </c>
      <c r="POU100" s="7">
        <v>0.4</v>
      </c>
      <c r="POV100" s="5">
        <v>14.5</v>
      </c>
      <c r="POW100" s="5">
        <v>226</v>
      </c>
      <c r="POX100" s="5">
        <v>250</v>
      </c>
      <c r="POY100" s="6">
        <v>44102</v>
      </c>
      <c r="PPA100" s="5" t="s">
        <v>67</v>
      </c>
      <c r="PPB100" s="6">
        <v>44102</v>
      </c>
      <c r="PPC100" s="7">
        <v>0.4</v>
      </c>
      <c r="PPD100" s="5">
        <v>14.5</v>
      </c>
      <c r="PPE100" s="5">
        <v>226</v>
      </c>
      <c r="PPF100" s="5">
        <v>250</v>
      </c>
      <c r="PPG100" s="6">
        <v>44102</v>
      </c>
      <c r="PPI100" s="5" t="s">
        <v>67</v>
      </c>
      <c r="PPJ100" s="6">
        <v>44102</v>
      </c>
      <c r="PPK100" s="7">
        <v>0.4</v>
      </c>
      <c r="PPL100" s="5">
        <v>14.5</v>
      </c>
      <c r="PPM100" s="5">
        <v>226</v>
      </c>
      <c r="PPN100" s="5">
        <v>250</v>
      </c>
      <c r="PPO100" s="6">
        <v>44102</v>
      </c>
      <c r="PPQ100" s="5" t="s">
        <v>67</v>
      </c>
      <c r="PPR100" s="6">
        <v>44102</v>
      </c>
      <c r="PPS100" s="7">
        <v>0.4</v>
      </c>
      <c r="PPT100" s="5">
        <v>14.5</v>
      </c>
      <c r="PPU100" s="5">
        <v>226</v>
      </c>
      <c r="PPV100" s="5">
        <v>250</v>
      </c>
      <c r="PPW100" s="6">
        <v>44102</v>
      </c>
      <c r="PPY100" s="5" t="s">
        <v>67</v>
      </c>
      <c r="PPZ100" s="6">
        <v>44102</v>
      </c>
      <c r="PQA100" s="7">
        <v>0.4</v>
      </c>
      <c r="PQB100" s="5">
        <v>14.5</v>
      </c>
      <c r="PQC100" s="5">
        <v>226</v>
      </c>
      <c r="PQD100" s="5">
        <v>250</v>
      </c>
      <c r="PQE100" s="6">
        <v>44102</v>
      </c>
      <c r="PQG100" s="5" t="s">
        <v>67</v>
      </c>
      <c r="PQH100" s="6">
        <v>44102</v>
      </c>
      <c r="PQI100" s="7">
        <v>0.4</v>
      </c>
      <c r="PQJ100" s="5">
        <v>14.5</v>
      </c>
      <c r="PQK100" s="5">
        <v>226</v>
      </c>
      <c r="PQL100" s="5">
        <v>250</v>
      </c>
      <c r="PQM100" s="6">
        <v>44102</v>
      </c>
      <c r="PQO100" s="5" t="s">
        <v>67</v>
      </c>
      <c r="PQP100" s="6">
        <v>44102</v>
      </c>
      <c r="PQQ100" s="7">
        <v>0.4</v>
      </c>
      <c r="PQR100" s="5">
        <v>14.5</v>
      </c>
      <c r="PQS100" s="5">
        <v>226</v>
      </c>
      <c r="PQT100" s="5">
        <v>250</v>
      </c>
      <c r="PQU100" s="6">
        <v>44102</v>
      </c>
      <c r="PQW100" s="5" t="s">
        <v>67</v>
      </c>
      <c r="PQX100" s="6">
        <v>44102</v>
      </c>
      <c r="PQY100" s="7">
        <v>0.4</v>
      </c>
      <c r="PQZ100" s="5">
        <v>14.5</v>
      </c>
      <c r="PRA100" s="5">
        <v>226</v>
      </c>
      <c r="PRB100" s="5">
        <v>250</v>
      </c>
      <c r="PRC100" s="6">
        <v>44102</v>
      </c>
      <c r="PRE100" s="5" t="s">
        <v>67</v>
      </c>
      <c r="PRF100" s="6">
        <v>44102</v>
      </c>
      <c r="PRG100" s="7">
        <v>0.4</v>
      </c>
      <c r="PRH100" s="5">
        <v>14.5</v>
      </c>
      <c r="PRI100" s="5">
        <v>226</v>
      </c>
      <c r="PRJ100" s="5">
        <v>250</v>
      </c>
      <c r="PRK100" s="6">
        <v>44102</v>
      </c>
      <c r="PRM100" s="5" t="s">
        <v>67</v>
      </c>
      <c r="PRN100" s="6">
        <v>44102</v>
      </c>
      <c r="PRO100" s="7">
        <v>0.4</v>
      </c>
      <c r="PRP100" s="5">
        <v>14.5</v>
      </c>
      <c r="PRQ100" s="5">
        <v>226</v>
      </c>
      <c r="PRR100" s="5">
        <v>250</v>
      </c>
      <c r="PRS100" s="6">
        <v>44102</v>
      </c>
      <c r="PRU100" s="5" t="s">
        <v>67</v>
      </c>
      <c r="PRV100" s="6">
        <v>44102</v>
      </c>
      <c r="PRW100" s="7">
        <v>0.4</v>
      </c>
      <c r="PRX100" s="5">
        <v>14.5</v>
      </c>
      <c r="PRY100" s="5">
        <v>226</v>
      </c>
      <c r="PRZ100" s="5">
        <v>250</v>
      </c>
      <c r="PSA100" s="6">
        <v>44102</v>
      </c>
      <c r="PSC100" s="5" t="s">
        <v>67</v>
      </c>
      <c r="PSD100" s="6">
        <v>44102</v>
      </c>
      <c r="PSE100" s="7">
        <v>0.4</v>
      </c>
      <c r="PSF100" s="5">
        <v>14.5</v>
      </c>
      <c r="PSG100" s="5">
        <v>226</v>
      </c>
      <c r="PSH100" s="5">
        <v>250</v>
      </c>
      <c r="PSI100" s="6">
        <v>44102</v>
      </c>
      <c r="PSK100" s="5" t="s">
        <v>67</v>
      </c>
      <c r="PSL100" s="6">
        <v>44102</v>
      </c>
      <c r="PSM100" s="7">
        <v>0.4</v>
      </c>
      <c r="PSN100" s="5">
        <v>14.5</v>
      </c>
      <c r="PSO100" s="5">
        <v>226</v>
      </c>
      <c r="PSP100" s="5">
        <v>250</v>
      </c>
      <c r="PSQ100" s="6">
        <v>44102</v>
      </c>
      <c r="PSS100" s="5" t="s">
        <v>67</v>
      </c>
      <c r="PST100" s="6">
        <v>44102</v>
      </c>
      <c r="PSU100" s="7">
        <v>0.4</v>
      </c>
      <c r="PSV100" s="5">
        <v>14.5</v>
      </c>
      <c r="PSW100" s="5">
        <v>226</v>
      </c>
      <c r="PSX100" s="5">
        <v>250</v>
      </c>
      <c r="PSY100" s="6">
        <v>44102</v>
      </c>
      <c r="PTA100" s="5" t="s">
        <v>67</v>
      </c>
      <c r="PTB100" s="6">
        <v>44102</v>
      </c>
      <c r="PTC100" s="7">
        <v>0.4</v>
      </c>
      <c r="PTD100" s="5">
        <v>14.5</v>
      </c>
      <c r="PTE100" s="5">
        <v>226</v>
      </c>
      <c r="PTF100" s="5">
        <v>250</v>
      </c>
      <c r="PTG100" s="6">
        <v>44102</v>
      </c>
      <c r="PTI100" s="5" t="s">
        <v>67</v>
      </c>
      <c r="PTJ100" s="6">
        <v>44102</v>
      </c>
      <c r="PTK100" s="7">
        <v>0.4</v>
      </c>
      <c r="PTL100" s="5">
        <v>14.5</v>
      </c>
      <c r="PTM100" s="5">
        <v>226</v>
      </c>
      <c r="PTN100" s="5">
        <v>250</v>
      </c>
      <c r="PTO100" s="6">
        <v>44102</v>
      </c>
      <c r="PTQ100" s="5" t="s">
        <v>67</v>
      </c>
      <c r="PTR100" s="6">
        <v>44102</v>
      </c>
      <c r="PTS100" s="7">
        <v>0.4</v>
      </c>
      <c r="PTT100" s="5">
        <v>14.5</v>
      </c>
      <c r="PTU100" s="5">
        <v>226</v>
      </c>
      <c r="PTV100" s="5">
        <v>250</v>
      </c>
      <c r="PTW100" s="6">
        <v>44102</v>
      </c>
      <c r="PTY100" s="5" t="s">
        <v>67</v>
      </c>
      <c r="PTZ100" s="6">
        <v>44102</v>
      </c>
      <c r="PUA100" s="7">
        <v>0.4</v>
      </c>
      <c r="PUB100" s="5">
        <v>14.5</v>
      </c>
      <c r="PUC100" s="5">
        <v>226</v>
      </c>
      <c r="PUD100" s="5">
        <v>250</v>
      </c>
      <c r="PUE100" s="6">
        <v>44102</v>
      </c>
      <c r="PUG100" s="5" t="s">
        <v>67</v>
      </c>
      <c r="PUH100" s="6">
        <v>44102</v>
      </c>
      <c r="PUI100" s="7">
        <v>0.4</v>
      </c>
      <c r="PUJ100" s="5">
        <v>14.5</v>
      </c>
      <c r="PUK100" s="5">
        <v>226</v>
      </c>
      <c r="PUL100" s="5">
        <v>250</v>
      </c>
      <c r="PUM100" s="6">
        <v>44102</v>
      </c>
      <c r="PUO100" s="5" t="s">
        <v>67</v>
      </c>
      <c r="PUP100" s="6">
        <v>44102</v>
      </c>
      <c r="PUQ100" s="7">
        <v>0.4</v>
      </c>
      <c r="PUR100" s="5">
        <v>14.5</v>
      </c>
      <c r="PUS100" s="5">
        <v>226</v>
      </c>
      <c r="PUT100" s="5">
        <v>250</v>
      </c>
      <c r="PUU100" s="6">
        <v>44102</v>
      </c>
      <c r="PUW100" s="5" t="s">
        <v>67</v>
      </c>
      <c r="PUX100" s="6">
        <v>44102</v>
      </c>
      <c r="PUY100" s="7">
        <v>0.4</v>
      </c>
      <c r="PUZ100" s="5">
        <v>14.5</v>
      </c>
      <c r="PVA100" s="5">
        <v>226</v>
      </c>
      <c r="PVB100" s="5">
        <v>250</v>
      </c>
      <c r="PVC100" s="6">
        <v>44102</v>
      </c>
      <c r="PVE100" s="5" t="s">
        <v>67</v>
      </c>
      <c r="PVF100" s="6">
        <v>44102</v>
      </c>
      <c r="PVG100" s="7">
        <v>0.4</v>
      </c>
      <c r="PVH100" s="5">
        <v>14.5</v>
      </c>
      <c r="PVI100" s="5">
        <v>226</v>
      </c>
      <c r="PVJ100" s="5">
        <v>250</v>
      </c>
      <c r="PVK100" s="6">
        <v>44102</v>
      </c>
      <c r="PVM100" s="5" t="s">
        <v>67</v>
      </c>
      <c r="PVN100" s="6">
        <v>44102</v>
      </c>
      <c r="PVO100" s="7">
        <v>0.4</v>
      </c>
      <c r="PVP100" s="5">
        <v>14.5</v>
      </c>
      <c r="PVQ100" s="5">
        <v>226</v>
      </c>
      <c r="PVR100" s="5">
        <v>250</v>
      </c>
      <c r="PVS100" s="6">
        <v>44102</v>
      </c>
      <c r="PVU100" s="5" t="s">
        <v>67</v>
      </c>
      <c r="PVV100" s="6">
        <v>44102</v>
      </c>
      <c r="PVW100" s="7">
        <v>0.4</v>
      </c>
      <c r="PVX100" s="5">
        <v>14.5</v>
      </c>
      <c r="PVY100" s="5">
        <v>226</v>
      </c>
      <c r="PVZ100" s="5">
        <v>250</v>
      </c>
      <c r="PWA100" s="6">
        <v>44102</v>
      </c>
      <c r="PWC100" s="5" t="s">
        <v>67</v>
      </c>
      <c r="PWD100" s="6">
        <v>44102</v>
      </c>
      <c r="PWE100" s="7">
        <v>0.4</v>
      </c>
      <c r="PWF100" s="5">
        <v>14.5</v>
      </c>
      <c r="PWG100" s="5">
        <v>226</v>
      </c>
      <c r="PWH100" s="5">
        <v>250</v>
      </c>
      <c r="PWI100" s="6">
        <v>44102</v>
      </c>
      <c r="PWK100" s="5" t="s">
        <v>67</v>
      </c>
      <c r="PWL100" s="6">
        <v>44102</v>
      </c>
      <c r="PWM100" s="7">
        <v>0.4</v>
      </c>
      <c r="PWN100" s="5">
        <v>14.5</v>
      </c>
      <c r="PWO100" s="5">
        <v>226</v>
      </c>
      <c r="PWP100" s="5">
        <v>250</v>
      </c>
      <c r="PWQ100" s="6">
        <v>44102</v>
      </c>
      <c r="PWS100" s="5" t="s">
        <v>67</v>
      </c>
      <c r="PWT100" s="6">
        <v>44102</v>
      </c>
      <c r="PWU100" s="7">
        <v>0.4</v>
      </c>
      <c r="PWV100" s="5">
        <v>14.5</v>
      </c>
      <c r="PWW100" s="5">
        <v>226</v>
      </c>
      <c r="PWX100" s="5">
        <v>250</v>
      </c>
      <c r="PWY100" s="6">
        <v>44102</v>
      </c>
      <c r="PXA100" s="5" t="s">
        <v>67</v>
      </c>
      <c r="PXB100" s="6">
        <v>44102</v>
      </c>
      <c r="PXC100" s="7">
        <v>0.4</v>
      </c>
      <c r="PXD100" s="5">
        <v>14.5</v>
      </c>
      <c r="PXE100" s="5">
        <v>226</v>
      </c>
      <c r="PXF100" s="5">
        <v>250</v>
      </c>
      <c r="PXG100" s="6">
        <v>44102</v>
      </c>
      <c r="PXI100" s="5" t="s">
        <v>67</v>
      </c>
      <c r="PXJ100" s="6">
        <v>44102</v>
      </c>
      <c r="PXK100" s="7">
        <v>0.4</v>
      </c>
      <c r="PXL100" s="5">
        <v>14.5</v>
      </c>
      <c r="PXM100" s="5">
        <v>226</v>
      </c>
      <c r="PXN100" s="5">
        <v>250</v>
      </c>
      <c r="PXO100" s="6">
        <v>44102</v>
      </c>
      <c r="PXQ100" s="5" t="s">
        <v>67</v>
      </c>
      <c r="PXR100" s="6">
        <v>44102</v>
      </c>
      <c r="PXS100" s="7">
        <v>0.4</v>
      </c>
      <c r="PXT100" s="5">
        <v>14.5</v>
      </c>
      <c r="PXU100" s="5">
        <v>226</v>
      </c>
      <c r="PXV100" s="5">
        <v>250</v>
      </c>
      <c r="PXW100" s="6">
        <v>44102</v>
      </c>
      <c r="PXY100" s="5" t="s">
        <v>67</v>
      </c>
      <c r="PXZ100" s="6">
        <v>44102</v>
      </c>
      <c r="PYA100" s="7">
        <v>0.4</v>
      </c>
      <c r="PYB100" s="5">
        <v>14.5</v>
      </c>
      <c r="PYC100" s="5">
        <v>226</v>
      </c>
      <c r="PYD100" s="5">
        <v>250</v>
      </c>
      <c r="PYE100" s="6">
        <v>44102</v>
      </c>
      <c r="PYG100" s="5" t="s">
        <v>67</v>
      </c>
      <c r="PYH100" s="6">
        <v>44102</v>
      </c>
      <c r="PYI100" s="7">
        <v>0.4</v>
      </c>
      <c r="PYJ100" s="5">
        <v>14.5</v>
      </c>
      <c r="PYK100" s="5">
        <v>226</v>
      </c>
      <c r="PYL100" s="5">
        <v>250</v>
      </c>
      <c r="PYM100" s="6">
        <v>44102</v>
      </c>
      <c r="PYO100" s="5" t="s">
        <v>67</v>
      </c>
      <c r="PYP100" s="6">
        <v>44102</v>
      </c>
      <c r="PYQ100" s="7">
        <v>0.4</v>
      </c>
      <c r="PYR100" s="5">
        <v>14.5</v>
      </c>
      <c r="PYS100" s="5">
        <v>226</v>
      </c>
      <c r="PYT100" s="5">
        <v>250</v>
      </c>
      <c r="PYU100" s="6">
        <v>44102</v>
      </c>
      <c r="PYW100" s="5" t="s">
        <v>67</v>
      </c>
      <c r="PYX100" s="6">
        <v>44102</v>
      </c>
      <c r="PYY100" s="7">
        <v>0.4</v>
      </c>
      <c r="PYZ100" s="5">
        <v>14.5</v>
      </c>
      <c r="PZA100" s="5">
        <v>226</v>
      </c>
      <c r="PZB100" s="5">
        <v>250</v>
      </c>
      <c r="PZC100" s="6">
        <v>44102</v>
      </c>
      <c r="PZE100" s="5" t="s">
        <v>67</v>
      </c>
      <c r="PZF100" s="6">
        <v>44102</v>
      </c>
      <c r="PZG100" s="7">
        <v>0.4</v>
      </c>
      <c r="PZH100" s="5">
        <v>14.5</v>
      </c>
      <c r="PZI100" s="5">
        <v>226</v>
      </c>
      <c r="PZJ100" s="5">
        <v>250</v>
      </c>
      <c r="PZK100" s="6">
        <v>44102</v>
      </c>
      <c r="PZM100" s="5" t="s">
        <v>67</v>
      </c>
      <c r="PZN100" s="6">
        <v>44102</v>
      </c>
      <c r="PZO100" s="7">
        <v>0.4</v>
      </c>
      <c r="PZP100" s="5">
        <v>14.5</v>
      </c>
      <c r="PZQ100" s="5">
        <v>226</v>
      </c>
      <c r="PZR100" s="5">
        <v>250</v>
      </c>
      <c r="PZS100" s="6">
        <v>44102</v>
      </c>
      <c r="PZU100" s="5" t="s">
        <v>67</v>
      </c>
      <c r="PZV100" s="6">
        <v>44102</v>
      </c>
      <c r="PZW100" s="7">
        <v>0.4</v>
      </c>
      <c r="PZX100" s="5">
        <v>14.5</v>
      </c>
      <c r="PZY100" s="5">
        <v>226</v>
      </c>
      <c r="PZZ100" s="5">
        <v>250</v>
      </c>
      <c r="QAA100" s="6">
        <v>44102</v>
      </c>
      <c r="QAC100" s="5" t="s">
        <v>67</v>
      </c>
      <c r="QAD100" s="6">
        <v>44102</v>
      </c>
      <c r="QAE100" s="7">
        <v>0.4</v>
      </c>
      <c r="QAF100" s="5">
        <v>14.5</v>
      </c>
      <c r="QAG100" s="5">
        <v>226</v>
      </c>
      <c r="QAH100" s="5">
        <v>250</v>
      </c>
      <c r="QAI100" s="6">
        <v>44102</v>
      </c>
      <c r="QAK100" s="5" t="s">
        <v>67</v>
      </c>
      <c r="QAL100" s="6">
        <v>44102</v>
      </c>
      <c r="QAM100" s="7">
        <v>0.4</v>
      </c>
      <c r="QAN100" s="5">
        <v>14.5</v>
      </c>
      <c r="QAO100" s="5">
        <v>226</v>
      </c>
      <c r="QAP100" s="5">
        <v>250</v>
      </c>
      <c r="QAQ100" s="6">
        <v>44102</v>
      </c>
      <c r="QAS100" s="5" t="s">
        <v>67</v>
      </c>
      <c r="QAT100" s="6">
        <v>44102</v>
      </c>
      <c r="QAU100" s="7">
        <v>0.4</v>
      </c>
      <c r="QAV100" s="5">
        <v>14.5</v>
      </c>
      <c r="QAW100" s="5">
        <v>226</v>
      </c>
      <c r="QAX100" s="5">
        <v>250</v>
      </c>
      <c r="QAY100" s="6">
        <v>44102</v>
      </c>
      <c r="QBA100" s="5" t="s">
        <v>67</v>
      </c>
      <c r="QBB100" s="6">
        <v>44102</v>
      </c>
      <c r="QBC100" s="7">
        <v>0.4</v>
      </c>
      <c r="QBD100" s="5">
        <v>14.5</v>
      </c>
      <c r="QBE100" s="5">
        <v>226</v>
      </c>
      <c r="QBF100" s="5">
        <v>250</v>
      </c>
      <c r="QBG100" s="6">
        <v>44102</v>
      </c>
      <c r="QBI100" s="5" t="s">
        <v>67</v>
      </c>
      <c r="QBJ100" s="6">
        <v>44102</v>
      </c>
      <c r="QBK100" s="7">
        <v>0.4</v>
      </c>
      <c r="QBL100" s="5">
        <v>14.5</v>
      </c>
      <c r="QBM100" s="5">
        <v>226</v>
      </c>
      <c r="QBN100" s="5">
        <v>250</v>
      </c>
      <c r="QBO100" s="6">
        <v>44102</v>
      </c>
      <c r="QBQ100" s="5" t="s">
        <v>67</v>
      </c>
      <c r="QBR100" s="6">
        <v>44102</v>
      </c>
      <c r="QBS100" s="7">
        <v>0.4</v>
      </c>
      <c r="QBT100" s="5">
        <v>14.5</v>
      </c>
      <c r="QBU100" s="5">
        <v>226</v>
      </c>
      <c r="QBV100" s="5">
        <v>250</v>
      </c>
      <c r="QBW100" s="6">
        <v>44102</v>
      </c>
      <c r="QBY100" s="5" t="s">
        <v>67</v>
      </c>
      <c r="QBZ100" s="6">
        <v>44102</v>
      </c>
      <c r="QCA100" s="7">
        <v>0.4</v>
      </c>
      <c r="QCB100" s="5">
        <v>14.5</v>
      </c>
      <c r="QCC100" s="5">
        <v>226</v>
      </c>
      <c r="QCD100" s="5">
        <v>250</v>
      </c>
      <c r="QCE100" s="6">
        <v>44102</v>
      </c>
      <c r="QCG100" s="5" t="s">
        <v>67</v>
      </c>
      <c r="QCH100" s="6">
        <v>44102</v>
      </c>
      <c r="QCI100" s="7">
        <v>0.4</v>
      </c>
      <c r="QCJ100" s="5">
        <v>14.5</v>
      </c>
      <c r="QCK100" s="5">
        <v>226</v>
      </c>
      <c r="QCL100" s="5">
        <v>250</v>
      </c>
      <c r="QCM100" s="6">
        <v>44102</v>
      </c>
      <c r="QCO100" s="5" t="s">
        <v>67</v>
      </c>
      <c r="QCP100" s="6">
        <v>44102</v>
      </c>
      <c r="QCQ100" s="7">
        <v>0.4</v>
      </c>
      <c r="QCR100" s="5">
        <v>14.5</v>
      </c>
      <c r="QCS100" s="5">
        <v>226</v>
      </c>
      <c r="QCT100" s="5">
        <v>250</v>
      </c>
      <c r="QCU100" s="6">
        <v>44102</v>
      </c>
      <c r="QCW100" s="5" t="s">
        <v>67</v>
      </c>
      <c r="QCX100" s="6">
        <v>44102</v>
      </c>
      <c r="QCY100" s="7">
        <v>0.4</v>
      </c>
      <c r="QCZ100" s="5">
        <v>14.5</v>
      </c>
      <c r="QDA100" s="5">
        <v>226</v>
      </c>
      <c r="QDB100" s="5">
        <v>250</v>
      </c>
      <c r="QDC100" s="6">
        <v>44102</v>
      </c>
      <c r="QDE100" s="5" t="s">
        <v>67</v>
      </c>
      <c r="QDF100" s="6">
        <v>44102</v>
      </c>
      <c r="QDG100" s="7">
        <v>0.4</v>
      </c>
      <c r="QDH100" s="5">
        <v>14.5</v>
      </c>
      <c r="QDI100" s="5">
        <v>226</v>
      </c>
      <c r="QDJ100" s="5">
        <v>250</v>
      </c>
      <c r="QDK100" s="6">
        <v>44102</v>
      </c>
      <c r="QDM100" s="5" t="s">
        <v>67</v>
      </c>
      <c r="QDN100" s="6">
        <v>44102</v>
      </c>
      <c r="QDO100" s="7">
        <v>0.4</v>
      </c>
      <c r="QDP100" s="5">
        <v>14.5</v>
      </c>
      <c r="QDQ100" s="5">
        <v>226</v>
      </c>
      <c r="QDR100" s="5">
        <v>250</v>
      </c>
      <c r="QDS100" s="6">
        <v>44102</v>
      </c>
      <c r="QDU100" s="5" t="s">
        <v>67</v>
      </c>
      <c r="QDV100" s="6">
        <v>44102</v>
      </c>
      <c r="QDW100" s="7">
        <v>0.4</v>
      </c>
      <c r="QDX100" s="5">
        <v>14.5</v>
      </c>
      <c r="QDY100" s="5">
        <v>226</v>
      </c>
      <c r="QDZ100" s="5">
        <v>250</v>
      </c>
      <c r="QEA100" s="6">
        <v>44102</v>
      </c>
      <c r="QEC100" s="5" t="s">
        <v>67</v>
      </c>
      <c r="QED100" s="6">
        <v>44102</v>
      </c>
      <c r="QEE100" s="7">
        <v>0.4</v>
      </c>
      <c r="QEF100" s="5">
        <v>14.5</v>
      </c>
      <c r="QEG100" s="5">
        <v>226</v>
      </c>
      <c r="QEH100" s="5">
        <v>250</v>
      </c>
      <c r="QEI100" s="6">
        <v>44102</v>
      </c>
      <c r="QEK100" s="5" t="s">
        <v>67</v>
      </c>
      <c r="QEL100" s="6">
        <v>44102</v>
      </c>
      <c r="QEM100" s="7">
        <v>0.4</v>
      </c>
      <c r="QEN100" s="5">
        <v>14.5</v>
      </c>
      <c r="QEO100" s="5">
        <v>226</v>
      </c>
      <c r="QEP100" s="5">
        <v>250</v>
      </c>
      <c r="QEQ100" s="6">
        <v>44102</v>
      </c>
      <c r="QES100" s="5" t="s">
        <v>67</v>
      </c>
      <c r="QET100" s="6">
        <v>44102</v>
      </c>
      <c r="QEU100" s="7">
        <v>0.4</v>
      </c>
      <c r="QEV100" s="5">
        <v>14.5</v>
      </c>
      <c r="QEW100" s="5">
        <v>226</v>
      </c>
      <c r="QEX100" s="5">
        <v>250</v>
      </c>
      <c r="QEY100" s="6">
        <v>44102</v>
      </c>
      <c r="QFA100" s="5" t="s">
        <v>67</v>
      </c>
      <c r="QFB100" s="6">
        <v>44102</v>
      </c>
      <c r="QFC100" s="7">
        <v>0.4</v>
      </c>
      <c r="QFD100" s="5">
        <v>14.5</v>
      </c>
      <c r="QFE100" s="5">
        <v>226</v>
      </c>
      <c r="QFF100" s="5">
        <v>250</v>
      </c>
      <c r="QFG100" s="6">
        <v>44102</v>
      </c>
      <c r="QFI100" s="5" t="s">
        <v>67</v>
      </c>
      <c r="QFJ100" s="6">
        <v>44102</v>
      </c>
      <c r="QFK100" s="7">
        <v>0.4</v>
      </c>
      <c r="QFL100" s="5">
        <v>14.5</v>
      </c>
      <c r="QFM100" s="5">
        <v>226</v>
      </c>
      <c r="QFN100" s="5">
        <v>250</v>
      </c>
      <c r="QFO100" s="6">
        <v>44102</v>
      </c>
      <c r="QFQ100" s="5" t="s">
        <v>67</v>
      </c>
      <c r="QFR100" s="6">
        <v>44102</v>
      </c>
      <c r="QFS100" s="7">
        <v>0.4</v>
      </c>
      <c r="QFT100" s="5">
        <v>14.5</v>
      </c>
      <c r="QFU100" s="5">
        <v>226</v>
      </c>
      <c r="QFV100" s="5">
        <v>250</v>
      </c>
      <c r="QFW100" s="6">
        <v>44102</v>
      </c>
      <c r="QFY100" s="5" t="s">
        <v>67</v>
      </c>
      <c r="QFZ100" s="6">
        <v>44102</v>
      </c>
      <c r="QGA100" s="7">
        <v>0.4</v>
      </c>
      <c r="QGB100" s="5">
        <v>14.5</v>
      </c>
      <c r="QGC100" s="5">
        <v>226</v>
      </c>
      <c r="QGD100" s="5">
        <v>250</v>
      </c>
      <c r="QGE100" s="6">
        <v>44102</v>
      </c>
      <c r="QGG100" s="5" t="s">
        <v>67</v>
      </c>
      <c r="QGH100" s="6">
        <v>44102</v>
      </c>
      <c r="QGI100" s="7">
        <v>0.4</v>
      </c>
      <c r="QGJ100" s="5">
        <v>14.5</v>
      </c>
      <c r="QGK100" s="5">
        <v>226</v>
      </c>
      <c r="QGL100" s="5">
        <v>250</v>
      </c>
      <c r="QGM100" s="6">
        <v>44102</v>
      </c>
      <c r="QGO100" s="5" t="s">
        <v>67</v>
      </c>
      <c r="QGP100" s="6">
        <v>44102</v>
      </c>
      <c r="QGQ100" s="7">
        <v>0.4</v>
      </c>
      <c r="QGR100" s="5">
        <v>14.5</v>
      </c>
      <c r="QGS100" s="5">
        <v>226</v>
      </c>
      <c r="QGT100" s="5">
        <v>250</v>
      </c>
      <c r="QGU100" s="6">
        <v>44102</v>
      </c>
      <c r="QGW100" s="5" t="s">
        <v>67</v>
      </c>
      <c r="QGX100" s="6">
        <v>44102</v>
      </c>
      <c r="QGY100" s="7">
        <v>0.4</v>
      </c>
      <c r="QGZ100" s="5">
        <v>14.5</v>
      </c>
      <c r="QHA100" s="5">
        <v>226</v>
      </c>
      <c r="QHB100" s="5">
        <v>250</v>
      </c>
      <c r="QHC100" s="6">
        <v>44102</v>
      </c>
      <c r="QHE100" s="5" t="s">
        <v>67</v>
      </c>
      <c r="QHF100" s="6">
        <v>44102</v>
      </c>
      <c r="QHG100" s="7">
        <v>0.4</v>
      </c>
      <c r="QHH100" s="5">
        <v>14.5</v>
      </c>
      <c r="QHI100" s="5">
        <v>226</v>
      </c>
      <c r="QHJ100" s="5">
        <v>250</v>
      </c>
      <c r="QHK100" s="6">
        <v>44102</v>
      </c>
      <c r="QHM100" s="5" t="s">
        <v>67</v>
      </c>
      <c r="QHN100" s="6">
        <v>44102</v>
      </c>
      <c r="QHO100" s="7">
        <v>0.4</v>
      </c>
      <c r="QHP100" s="5">
        <v>14.5</v>
      </c>
      <c r="QHQ100" s="5">
        <v>226</v>
      </c>
      <c r="QHR100" s="5">
        <v>250</v>
      </c>
      <c r="QHS100" s="6">
        <v>44102</v>
      </c>
      <c r="QHU100" s="5" t="s">
        <v>67</v>
      </c>
      <c r="QHV100" s="6">
        <v>44102</v>
      </c>
      <c r="QHW100" s="7">
        <v>0.4</v>
      </c>
      <c r="QHX100" s="5">
        <v>14.5</v>
      </c>
      <c r="QHY100" s="5">
        <v>226</v>
      </c>
      <c r="QHZ100" s="5">
        <v>250</v>
      </c>
      <c r="QIA100" s="6">
        <v>44102</v>
      </c>
      <c r="QIC100" s="5" t="s">
        <v>67</v>
      </c>
      <c r="QID100" s="6">
        <v>44102</v>
      </c>
      <c r="QIE100" s="7">
        <v>0.4</v>
      </c>
      <c r="QIF100" s="5">
        <v>14.5</v>
      </c>
      <c r="QIG100" s="5">
        <v>226</v>
      </c>
      <c r="QIH100" s="5">
        <v>250</v>
      </c>
      <c r="QII100" s="6">
        <v>44102</v>
      </c>
      <c r="QIK100" s="5" t="s">
        <v>67</v>
      </c>
      <c r="QIL100" s="6">
        <v>44102</v>
      </c>
      <c r="QIM100" s="7">
        <v>0.4</v>
      </c>
      <c r="QIN100" s="5">
        <v>14.5</v>
      </c>
      <c r="QIO100" s="5">
        <v>226</v>
      </c>
      <c r="QIP100" s="5">
        <v>250</v>
      </c>
      <c r="QIQ100" s="6">
        <v>44102</v>
      </c>
      <c r="QIS100" s="5" t="s">
        <v>67</v>
      </c>
      <c r="QIT100" s="6">
        <v>44102</v>
      </c>
      <c r="QIU100" s="7">
        <v>0.4</v>
      </c>
      <c r="QIV100" s="5">
        <v>14.5</v>
      </c>
      <c r="QIW100" s="5">
        <v>226</v>
      </c>
      <c r="QIX100" s="5">
        <v>250</v>
      </c>
      <c r="QIY100" s="6">
        <v>44102</v>
      </c>
      <c r="QJA100" s="5" t="s">
        <v>67</v>
      </c>
      <c r="QJB100" s="6">
        <v>44102</v>
      </c>
      <c r="QJC100" s="7">
        <v>0.4</v>
      </c>
      <c r="QJD100" s="5">
        <v>14.5</v>
      </c>
      <c r="QJE100" s="5">
        <v>226</v>
      </c>
      <c r="QJF100" s="5">
        <v>250</v>
      </c>
      <c r="QJG100" s="6">
        <v>44102</v>
      </c>
      <c r="QJI100" s="5" t="s">
        <v>67</v>
      </c>
      <c r="QJJ100" s="6">
        <v>44102</v>
      </c>
      <c r="QJK100" s="7">
        <v>0.4</v>
      </c>
      <c r="QJL100" s="5">
        <v>14.5</v>
      </c>
      <c r="QJM100" s="5">
        <v>226</v>
      </c>
      <c r="QJN100" s="5">
        <v>250</v>
      </c>
      <c r="QJO100" s="6">
        <v>44102</v>
      </c>
      <c r="QJQ100" s="5" t="s">
        <v>67</v>
      </c>
      <c r="QJR100" s="6">
        <v>44102</v>
      </c>
      <c r="QJS100" s="7">
        <v>0.4</v>
      </c>
      <c r="QJT100" s="5">
        <v>14.5</v>
      </c>
      <c r="QJU100" s="5">
        <v>226</v>
      </c>
      <c r="QJV100" s="5">
        <v>250</v>
      </c>
      <c r="QJW100" s="6">
        <v>44102</v>
      </c>
      <c r="QJY100" s="5" t="s">
        <v>67</v>
      </c>
      <c r="QJZ100" s="6">
        <v>44102</v>
      </c>
      <c r="QKA100" s="7">
        <v>0.4</v>
      </c>
      <c r="QKB100" s="5">
        <v>14.5</v>
      </c>
      <c r="QKC100" s="5">
        <v>226</v>
      </c>
      <c r="QKD100" s="5">
        <v>250</v>
      </c>
      <c r="QKE100" s="6">
        <v>44102</v>
      </c>
      <c r="QKG100" s="5" t="s">
        <v>67</v>
      </c>
      <c r="QKH100" s="6">
        <v>44102</v>
      </c>
      <c r="QKI100" s="7">
        <v>0.4</v>
      </c>
      <c r="QKJ100" s="5">
        <v>14.5</v>
      </c>
      <c r="QKK100" s="5">
        <v>226</v>
      </c>
      <c r="QKL100" s="5">
        <v>250</v>
      </c>
      <c r="QKM100" s="6">
        <v>44102</v>
      </c>
      <c r="QKO100" s="5" t="s">
        <v>67</v>
      </c>
      <c r="QKP100" s="6">
        <v>44102</v>
      </c>
      <c r="QKQ100" s="7">
        <v>0.4</v>
      </c>
      <c r="QKR100" s="5">
        <v>14.5</v>
      </c>
      <c r="QKS100" s="5">
        <v>226</v>
      </c>
      <c r="QKT100" s="5">
        <v>250</v>
      </c>
      <c r="QKU100" s="6">
        <v>44102</v>
      </c>
      <c r="QKW100" s="5" t="s">
        <v>67</v>
      </c>
      <c r="QKX100" s="6">
        <v>44102</v>
      </c>
      <c r="QKY100" s="7">
        <v>0.4</v>
      </c>
      <c r="QKZ100" s="5">
        <v>14.5</v>
      </c>
      <c r="QLA100" s="5">
        <v>226</v>
      </c>
      <c r="QLB100" s="5">
        <v>250</v>
      </c>
      <c r="QLC100" s="6">
        <v>44102</v>
      </c>
      <c r="QLE100" s="5" t="s">
        <v>67</v>
      </c>
      <c r="QLF100" s="6">
        <v>44102</v>
      </c>
      <c r="QLG100" s="7">
        <v>0.4</v>
      </c>
      <c r="QLH100" s="5">
        <v>14.5</v>
      </c>
      <c r="QLI100" s="5">
        <v>226</v>
      </c>
      <c r="QLJ100" s="5">
        <v>250</v>
      </c>
      <c r="QLK100" s="6">
        <v>44102</v>
      </c>
      <c r="QLM100" s="5" t="s">
        <v>67</v>
      </c>
      <c r="QLN100" s="6">
        <v>44102</v>
      </c>
      <c r="QLO100" s="7">
        <v>0.4</v>
      </c>
      <c r="QLP100" s="5">
        <v>14.5</v>
      </c>
      <c r="QLQ100" s="5">
        <v>226</v>
      </c>
      <c r="QLR100" s="5">
        <v>250</v>
      </c>
      <c r="QLS100" s="6">
        <v>44102</v>
      </c>
      <c r="QLU100" s="5" t="s">
        <v>67</v>
      </c>
      <c r="QLV100" s="6">
        <v>44102</v>
      </c>
      <c r="QLW100" s="7">
        <v>0.4</v>
      </c>
      <c r="QLX100" s="5">
        <v>14.5</v>
      </c>
      <c r="QLY100" s="5">
        <v>226</v>
      </c>
      <c r="QLZ100" s="5">
        <v>250</v>
      </c>
      <c r="QMA100" s="6">
        <v>44102</v>
      </c>
      <c r="QMC100" s="5" t="s">
        <v>67</v>
      </c>
      <c r="QMD100" s="6">
        <v>44102</v>
      </c>
      <c r="QME100" s="7">
        <v>0.4</v>
      </c>
      <c r="QMF100" s="5">
        <v>14.5</v>
      </c>
      <c r="QMG100" s="5">
        <v>226</v>
      </c>
      <c r="QMH100" s="5">
        <v>250</v>
      </c>
      <c r="QMI100" s="6">
        <v>44102</v>
      </c>
      <c r="QMK100" s="5" t="s">
        <v>67</v>
      </c>
      <c r="QML100" s="6">
        <v>44102</v>
      </c>
      <c r="QMM100" s="7">
        <v>0.4</v>
      </c>
      <c r="QMN100" s="5">
        <v>14.5</v>
      </c>
      <c r="QMO100" s="5">
        <v>226</v>
      </c>
      <c r="QMP100" s="5">
        <v>250</v>
      </c>
      <c r="QMQ100" s="6">
        <v>44102</v>
      </c>
      <c r="QMS100" s="5" t="s">
        <v>67</v>
      </c>
      <c r="QMT100" s="6">
        <v>44102</v>
      </c>
      <c r="QMU100" s="7">
        <v>0.4</v>
      </c>
      <c r="QMV100" s="5">
        <v>14.5</v>
      </c>
      <c r="QMW100" s="5">
        <v>226</v>
      </c>
      <c r="QMX100" s="5">
        <v>250</v>
      </c>
      <c r="QMY100" s="6">
        <v>44102</v>
      </c>
      <c r="QNA100" s="5" t="s">
        <v>67</v>
      </c>
      <c r="QNB100" s="6">
        <v>44102</v>
      </c>
      <c r="QNC100" s="7">
        <v>0.4</v>
      </c>
      <c r="QND100" s="5">
        <v>14.5</v>
      </c>
      <c r="QNE100" s="5">
        <v>226</v>
      </c>
      <c r="QNF100" s="5">
        <v>250</v>
      </c>
      <c r="QNG100" s="6">
        <v>44102</v>
      </c>
      <c r="QNI100" s="5" t="s">
        <v>67</v>
      </c>
      <c r="QNJ100" s="6">
        <v>44102</v>
      </c>
      <c r="QNK100" s="7">
        <v>0.4</v>
      </c>
      <c r="QNL100" s="5">
        <v>14.5</v>
      </c>
      <c r="QNM100" s="5">
        <v>226</v>
      </c>
      <c r="QNN100" s="5">
        <v>250</v>
      </c>
      <c r="QNO100" s="6">
        <v>44102</v>
      </c>
      <c r="QNQ100" s="5" t="s">
        <v>67</v>
      </c>
      <c r="QNR100" s="6">
        <v>44102</v>
      </c>
      <c r="QNS100" s="7">
        <v>0.4</v>
      </c>
      <c r="QNT100" s="5">
        <v>14.5</v>
      </c>
      <c r="QNU100" s="5">
        <v>226</v>
      </c>
      <c r="QNV100" s="5">
        <v>250</v>
      </c>
      <c r="QNW100" s="6">
        <v>44102</v>
      </c>
      <c r="QNY100" s="5" t="s">
        <v>67</v>
      </c>
      <c r="QNZ100" s="6">
        <v>44102</v>
      </c>
      <c r="QOA100" s="7">
        <v>0.4</v>
      </c>
      <c r="QOB100" s="5">
        <v>14.5</v>
      </c>
      <c r="QOC100" s="5">
        <v>226</v>
      </c>
      <c r="QOD100" s="5">
        <v>250</v>
      </c>
      <c r="QOE100" s="6">
        <v>44102</v>
      </c>
      <c r="QOG100" s="5" t="s">
        <v>67</v>
      </c>
      <c r="QOH100" s="6">
        <v>44102</v>
      </c>
      <c r="QOI100" s="7">
        <v>0.4</v>
      </c>
      <c r="QOJ100" s="5">
        <v>14.5</v>
      </c>
      <c r="QOK100" s="5">
        <v>226</v>
      </c>
      <c r="QOL100" s="5">
        <v>250</v>
      </c>
      <c r="QOM100" s="6">
        <v>44102</v>
      </c>
      <c r="QOO100" s="5" t="s">
        <v>67</v>
      </c>
      <c r="QOP100" s="6">
        <v>44102</v>
      </c>
      <c r="QOQ100" s="7">
        <v>0.4</v>
      </c>
      <c r="QOR100" s="5">
        <v>14.5</v>
      </c>
      <c r="QOS100" s="5">
        <v>226</v>
      </c>
      <c r="QOT100" s="5">
        <v>250</v>
      </c>
      <c r="QOU100" s="6">
        <v>44102</v>
      </c>
      <c r="QOW100" s="5" t="s">
        <v>67</v>
      </c>
      <c r="QOX100" s="6">
        <v>44102</v>
      </c>
      <c r="QOY100" s="7">
        <v>0.4</v>
      </c>
      <c r="QOZ100" s="5">
        <v>14.5</v>
      </c>
      <c r="QPA100" s="5">
        <v>226</v>
      </c>
      <c r="QPB100" s="5">
        <v>250</v>
      </c>
      <c r="QPC100" s="6">
        <v>44102</v>
      </c>
      <c r="QPE100" s="5" t="s">
        <v>67</v>
      </c>
      <c r="QPF100" s="6">
        <v>44102</v>
      </c>
      <c r="QPG100" s="7">
        <v>0.4</v>
      </c>
      <c r="QPH100" s="5">
        <v>14.5</v>
      </c>
      <c r="QPI100" s="5">
        <v>226</v>
      </c>
      <c r="QPJ100" s="5">
        <v>250</v>
      </c>
      <c r="QPK100" s="6">
        <v>44102</v>
      </c>
      <c r="QPM100" s="5" t="s">
        <v>67</v>
      </c>
      <c r="QPN100" s="6">
        <v>44102</v>
      </c>
      <c r="QPO100" s="7">
        <v>0.4</v>
      </c>
      <c r="QPP100" s="5">
        <v>14.5</v>
      </c>
      <c r="QPQ100" s="5">
        <v>226</v>
      </c>
      <c r="QPR100" s="5">
        <v>250</v>
      </c>
      <c r="QPS100" s="6">
        <v>44102</v>
      </c>
      <c r="QPU100" s="5" t="s">
        <v>67</v>
      </c>
      <c r="QPV100" s="6">
        <v>44102</v>
      </c>
      <c r="QPW100" s="7">
        <v>0.4</v>
      </c>
      <c r="QPX100" s="5">
        <v>14.5</v>
      </c>
      <c r="QPY100" s="5">
        <v>226</v>
      </c>
      <c r="QPZ100" s="5">
        <v>250</v>
      </c>
      <c r="QQA100" s="6">
        <v>44102</v>
      </c>
      <c r="QQC100" s="5" t="s">
        <v>67</v>
      </c>
      <c r="QQD100" s="6">
        <v>44102</v>
      </c>
      <c r="QQE100" s="7">
        <v>0.4</v>
      </c>
      <c r="QQF100" s="5">
        <v>14.5</v>
      </c>
      <c r="QQG100" s="5">
        <v>226</v>
      </c>
      <c r="QQH100" s="5">
        <v>250</v>
      </c>
      <c r="QQI100" s="6">
        <v>44102</v>
      </c>
      <c r="QQK100" s="5" t="s">
        <v>67</v>
      </c>
      <c r="QQL100" s="6">
        <v>44102</v>
      </c>
      <c r="QQM100" s="7">
        <v>0.4</v>
      </c>
      <c r="QQN100" s="5">
        <v>14.5</v>
      </c>
      <c r="QQO100" s="5">
        <v>226</v>
      </c>
      <c r="QQP100" s="5">
        <v>250</v>
      </c>
      <c r="QQQ100" s="6">
        <v>44102</v>
      </c>
      <c r="QQS100" s="5" t="s">
        <v>67</v>
      </c>
      <c r="QQT100" s="6">
        <v>44102</v>
      </c>
      <c r="QQU100" s="7">
        <v>0.4</v>
      </c>
      <c r="QQV100" s="5">
        <v>14.5</v>
      </c>
      <c r="QQW100" s="5">
        <v>226</v>
      </c>
      <c r="QQX100" s="5">
        <v>250</v>
      </c>
      <c r="QQY100" s="6">
        <v>44102</v>
      </c>
      <c r="QRA100" s="5" t="s">
        <v>67</v>
      </c>
      <c r="QRB100" s="6">
        <v>44102</v>
      </c>
      <c r="QRC100" s="7">
        <v>0.4</v>
      </c>
      <c r="QRD100" s="5">
        <v>14.5</v>
      </c>
      <c r="QRE100" s="5">
        <v>226</v>
      </c>
      <c r="QRF100" s="5">
        <v>250</v>
      </c>
      <c r="QRG100" s="6">
        <v>44102</v>
      </c>
      <c r="QRI100" s="5" t="s">
        <v>67</v>
      </c>
      <c r="QRJ100" s="6">
        <v>44102</v>
      </c>
      <c r="QRK100" s="7">
        <v>0.4</v>
      </c>
      <c r="QRL100" s="5">
        <v>14.5</v>
      </c>
      <c r="QRM100" s="5">
        <v>226</v>
      </c>
      <c r="QRN100" s="5">
        <v>250</v>
      </c>
      <c r="QRO100" s="6">
        <v>44102</v>
      </c>
      <c r="QRQ100" s="5" t="s">
        <v>67</v>
      </c>
      <c r="QRR100" s="6">
        <v>44102</v>
      </c>
      <c r="QRS100" s="7">
        <v>0.4</v>
      </c>
      <c r="QRT100" s="5">
        <v>14.5</v>
      </c>
      <c r="QRU100" s="5">
        <v>226</v>
      </c>
      <c r="QRV100" s="5">
        <v>250</v>
      </c>
      <c r="QRW100" s="6">
        <v>44102</v>
      </c>
      <c r="QRY100" s="5" t="s">
        <v>67</v>
      </c>
      <c r="QRZ100" s="6">
        <v>44102</v>
      </c>
      <c r="QSA100" s="7">
        <v>0.4</v>
      </c>
      <c r="QSB100" s="5">
        <v>14.5</v>
      </c>
      <c r="QSC100" s="5">
        <v>226</v>
      </c>
      <c r="QSD100" s="5">
        <v>250</v>
      </c>
      <c r="QSE100" s="6">
        <v>44102</v>
      </c>
      <c r="QSG100" s="5" t="s">
        <v>67</v>
      </c>
      <c r="QSH100" s="6">
        <v>44102</v>
      </c>
      <c r="QSI100" s="7">
        <v>0.4</v>
      </c>
      <c r="QSJ100" s="5">
        <v>14.5</v>
      </c>
      <c r="QSK100" s="5">
        <v>226</v>
      </c>
      <c r="QSL100" s="5">
        <v>250</v>
      </c>
      <c r="QSM100" s="6">
        <v>44102</v>
      </c>
      <c r="QSO100" s="5" t="s">
        <v>67</v>
      </c>
      <c r="QSP100" s="6">
        <v>44102</v>
      </c>
      <c r="QSQ100" s="7">
        <v>0.4</v>
      </c>
      <c r="QSR100" s="5">
        <v>14.5</v>
      </c>
      <c r="QSS100" s="5">
        <v>226</v>
      </c>
      <c r="QST100" s="5">
        <v>250</v>
      </c>
      <c r="QSU100" s="6">
        <v>44102</v>
      </c>
      <c r="QSW100" s="5" t="s">
        <v>67</v>
      </c>
      <c r="QSX100" s="6">
        <v>44102</v>
      </c>
      <c r="QSY100" s="7">
        <v>0.4</v>
      </c>
      <c r="QSZ100" s="5">
        <v>14.5</v>
      </c>
      <c r="QTA100" s="5">
        <v>226</v>
      </c>
      <c r="QTB100" s="5">
        <v>250</v>
      </c>
      <c r="QTC100" s="6">
        <v>44102</v>
      </c>
      <c r="QTE100" s="5" t="s">
        <v>67</v>
      </c>
      <c r="QTF100" s="6">
        <v>44102</v>
      </c>
      <c r="QTG100" s="7">
        <v>0.4</v>
      </c>
      <c r="QTH100" s="5">
        <v>14.5</v>
      </c>
      <c r="QTI100" s="5">
        <v>226</v>
      </c>
      <c r="QTJ100" s="5">
        <v>250</v>
      </c>
      <c r="QTK100" s="6">
        <v>44102</v>
      </c>
      <c r="QTM100" s="5" t="s">
        <v>67</v>
      </c>
      <c r="QTN100" s="6">
        <v>44102</v>
      </c>
      <c r="QTO100" s="7">
        <v>0.4</v>
      </c>
      <c r="QTP100" s="5">
        <v>14.5</v>
      </c>
      <c r="QTQ100" s="5">
        <v>226</v>
      </c>
      <c r="QTR100" s="5">
        <v>250</v>
      </c>
      <c r="QTS100" s="6">
        <v>44102</v>
      </c>
      <c r="QTU100" s="5" t="s">
        <v>67</v>
      </c>
      <c r="QTV100" s="6">
        <v>44102</v>
      </c>
      <c r="QTW100" s="7">
        <v>0.4</v>
      </c>
      <c r="QTX100" s="5">
        <v>14.5</v>
      </c>
      <c r="QTY100" s="5">
        <v>226</v>
      </c>
      <c r="QTZ100" s="5">
        <v>250</v>
      </c>
      <c r="QUA100" s="6">
        <v>44102</v>
      </c>
      <c r="QUC100" s="5" t="s">
        <v>67</v>
      </c>
      <c r="QUD100" s="6">
        <v>44102</v>
      </c>
      <c r="QUE100" s="7">
        <v>0.4</v>
      </c>
      <c r="QUF100" s="5">
        <v>14.5</v>
      </c>
      <c r="QUG100" s="5">
        <v>226</v>
      </c>
      <c r="QUH100" s="5">
        <v>250</v>
      </c>
      <c r="QUI100" s="6">
        <v>44102</v>
      </c>
      <c r="QUK100" s="5" t="s">
        <v>67</v>
      </c>
      <c r="QUL100" s="6">
        <v>44102</v>
      </c>
      <c r="QUM100" s="7">
        <v>0.4</v>
      </c>
      <c r="QUN100" s="5">
        <v>14.5</v>
      </c>
      <c r="QUO100" s="5">
        <v>226</v>
      </c>
      <c r="QUP100" s="5">
        <v>250</v>
      </c>
      <c r="QUQ100" s="6">
        <v>44102</v>
      </c>
      <c r="QUS100" s="5" t="s">
        <v>67</v>
      </c>
      <c r="QUT100" s="6">
        <v>44102</v>
      </c>
      <c r="QUU100" s="7">
        <v>0.4</v>
      </c>
      <c r="QUV100" s="5">
        <v>14.5</v>
      </c>
      <c r="QUW100" s="5">
        <v>226</v>
      </c>
      <c r="QUX100" s="5">
        <v>250</v>
      </c>
      <c r="QUY100" s="6">
        <v>44102</v>
      </c>
      <c r="QVA100" s="5" t="s">
        <v>67</v>
      </c>
      <c r="QVB100" s="6">
        <v>44102</v>
      </c>
      <c r="QVC100" s="7">
        <v>0.4</v>
      </c>
      <c r="QVD100" s="5">
        <v>14.5</v>
      </c>
      <c r="QVE100" s="5">
        <v>226</v>
      </c>
      <c r="QVF100" s="5">
        <v>250</v>
      </c>
      <c r="QVG100" s="6">
        <v>44102</v>
      </c>
      <c r="QVI100" s="5" t="s">
        <v>67</v>
      </c>
      <c r="QVJ100" s="6">
        <v>44102</v>
      </c>
      <c r="QVK100" s="7">
        <v>0.4</v>
      </c>
      <c r="QVL100" s="5">
        <v>14.5</v>
      </c>
      <c r="QVM100" s="5">
        <v>226</v>
      </c>
      <c r="QVN100" s="5">
        <v>250</v>
      </c>
      <c r="QVO100" s="6">
        <v>44102</v>
      </c>
      <c r="QVQ100" s="5" t="s">
        <v>67</v>
      </c>
      <c r="QVR100" s="6">
        <v>44102</v>
      </c>
      <c r="QVS100" s="7">
        <v>0.4</v>
      </c>
      <c r="QVT100" s="5">
        <v>14.5</v>
      </c>
      <c r="QVU100" s="5">
        <v>226</v>
      </c>
      <c r="QVV100" s="5">
        <v>250</v>
      </c>
      <c r="QVW100" s="6">
        <v>44102</v>
      </c>
      <c r="QVY100" s="5" t="s">
        <v>67</v>
      </c>
      <c r="QVZ100" s="6">
        <v>44102</v>
      </c>
      <c r="QWA100" s="7">
        <v>0.4</v>
      </c>
      <c r="QWB100" s="5">
        <v>14.5</v>
      </c>
      <c r="QWC100" s="5">
        <v>226</v>
      </c>
      <c r="QWD100" s="5">
        <v>250</v>
      </c>
      <c r="QWE100" s="6">
        <v>44102</v>
      </c>
      <c r="QWG100" s="5" t="s">
        <v>67</v>
      </c>
      <c r="QWH100" s="6">
        <v>44102</v>
      </c>
      <c r="QWI100" s="7">
        <v>0.4</v>
      </c>
      <c r="QWJ100" s="5">
        <v>14.5</v>
      </c>
      <c r="QWK100" s="5">
        <v>226</v>
      </c>
      <c r="QWL100" s="5">
        <v>250</v>
      </c>
      <c r="QWM100" s="6">
        <v>44102</v>
      </c>
      <c r="QWO100" s="5" t="s">
        <v>67</v>
      </c>
      <c r="QWP100" s="6">
        <v>44102</v>
      </c>
      <c r="QWQ100" s="7">
        <v>0.4</v>
      </c>
      <c r="QWR100" s="5">
        <v>14.5</v>
      </c>
      <c r="QWS100" s="5">
        <v>226</v>
      </c>
      <c r="QWT100" s="5">
        <v>250</v>
      </c>
      <c r="QWU100" s="6">
        <v>44102</v>
      </c>
      <c r="QWW100" s="5" t="s">
        <v>67</v>
      </c>
      <c r="QWX100" s="6">
        <v>44102</v>
      </c>
      <c r="QWY100" s="7">
        <v>0.4</v>
      </c>
      <c r="QWZ100" s="5">
        <v>14.5</v>
      </c>
      <c r="QXA100" s="5">
        <v>226</v>
      </c>
      <c r="QXB100" s="5">
        <v>250</v>
      </c>
      <c r="QXC100" s="6">
        <v>44102</v>
      </c>
      <c r="QXE100" s="5" t="s">
        <v>67</v>
      </c>
      <c r="QXF100" s="6">
        <v>44102</v>
      </c>
      <c r="QXG100" s="7">
        <v>0.4</v>
      </c>
      <c r="QXH100" s="5">
        <v>14.5</v>
      </c>
      <c r="QXI100" s="5">
        <v>226</v>
      </c>
      <c r="QXJ100" s="5">
        <v>250</v>
      </c>
      <c r="QXK100" s="6">
        <v>44102</v>
      </c>
      <c r="QXM100" s="5" t="s">
        <v>67</v>
      </c>
      <c r="QXN100" s="6">
        <v>44102</v>
      </c>
      <c r="QXO100" s="7">
        <v>0.4</v>
      </c>
      <c r="QXP100" s="5">
        <v>14.5</v>
      </c>
      <c r="QXQ100" s="5">
        <v>226</v>
      </c>
      <c r="QXR100" s="5">
        <v>250</v>
      </c>
      <c r="QXS100" s="6">
        <v>44102</v>
      </c>
      <c r="QXU100" s="5" t="s">
        <v>67</v>
      </c>
      <c r="QXV100" s="6">
        <v>44102</v>
      </c>
      <c r="QXW100" s="7">
        <v>0.4</v>
      </c>
      <c r="QXX100" s="5">
        <v>14.5</v>
      </c>
      <c r="QXY100" s="5">
        <v>226</v>
      </c>
      <c r="QXZ100" s="5">
        <v>250</v>
      </c>
      <c r="QYA100" s="6">
        <v>44102</v>
      </c>
      <c r="QYC100" s="5" t="s">
        <v>67</v>
      </c>
      <c r="QYD100" s="6">
        <v>44102</v>
      </c>
      <c r="QYE100" s="7">
        <v>0.4</v>
      </c>
      <c r="QYF100" s="5">
        <v>14.5</v>
      </c>
      <c r="QYG100" s="5">
        <v>226</v>
      </c>
      <c r="QYH100" s="5">
        <v>250</v>
      </c>
      <c r="QYI100" s="6">
        <v>44102</v>
      </c>
      <c r="QYK100" s="5" t="s">
        <v>67</v>
      </c>
      <c r="QYL100" s="6">
        <v>44102</v>
      </c>
      <c r="QYM100" s="7">
        <v>0.4</v>
      </c>
      <c r="QYN100" s="5">
        <v>14.5</v>
      </c>
      <c r="QYO100" s="5">
        <v>226</v>
      </c>
      <c r="QYP100" s="5">
        <v>250</v>
      </c>
      <c r="QYQ100" s="6">
        <v>44102</v>
      </c>
      <c r="QYS100" s="5" t="s">
        <v>67</v>
      </c>
      <c r="QYT100" s="6">
        <v>44102</v>
      </c>
      <c r="QYU100" s="7">
        <v>0.4</v>
      </c>
      <c r="QYV100" s="5">
        <v>14.5</v>
      </c>
      <c r="QYW100" s="5">
        <v>226</v>
      </c>
      <c r="QYX100" s="5">
        <v>250</v>
      </c>
      <c r="QYY100" s="6">
        <v>44102</v>
      </c>
      <c r="QZA100" s="5" t="s">
        <v>67</v>
      </c>
      <c r="QZB100" s="6">
        <v>44102</v>
      </c>
      <c r="QZC100" s="7">
        <v>0.4</v>
      </c>
      <c r="QZD100" s="5">
        <v>14.5</v>
      </c>
      <c r="QZE100" s="5">
        <v>226</v>
      </c>
      <c r="QZF100" s="5">
        <v>250</v>
      </c>
      <c r="QZG100" s="6">
        <v>44102</v>
      </c>
      <c r="QZI100" s="5" t="s">
        <v>67</v>
      </c>
      <c r="QZJ100" s="6">
        <v>44102</v>
      </c>
      <c r="QZK100" s="7">
        <v>0.4</v>
      </c>
      <c r="QZL100" s="5">
        <v>14.5</v>
      </c>
      <c r="QZM100" s="5">
        <v>226</v>
      </c>
      <c r="QZN100" s="5">
        <v>250</v>
      </c>
      <c r="QZO100" s="6">
        <v>44102</v>
      </c>
      <c r="QZQ100" s="5" t="s">
        <v>67</v>
      </c>
      <c r="QZR100" s="6">
        <v>44102</v>
      </c>
      <c r="QZS100" s="7">
        <v>0.4</v>
      </c>
      <c r="QZT100" s="5">
        <v>14.5</v>
      </c>
      <c r="QZU100" s="5">
        <v>226</v>
      </c>
      <c r="QZV100" s="5">
        <v>250</v>
      </c>
      <c r="QZW100" s="6">
        <v>44102</v>
      </c>
      <c r="QZY100" s="5" t="s">
        <v>67</v>
      </c>
      <c r="QZZ100" s="6">
        <v>44102</v>
      </c>
      <c r="RAA100" s="7">
        <v>0.4</v>
      </c>
      <c r="RAB100" s="5">
        <v>14.5</v>
      </c>
      <c r="RAC100" s="5">
        <v>226</v>
      </c>
      <c r="RAD100" s="5">
        <v>250</v>
      </c>
      <c r="RAE100" s="6">
        <v>44102</v>
      </c>
      <c r="RAG100" s="5" t="s">
        <v>67</v>
      </c>
      <c r="RAH100" s="6">
        <v>44102</v>
      </c>
      <c r="RAI100" s="7">
        <v>0.4</v>
      </c>
      <c r="RAJ100" s="5">
        <v>14.5</v>
      </c>
      <c r="RAK100" s="5">
        <v>226</v>
      </c>
      <c r="RAL100" s="5">
        <v>250</v>
      </c>
      <c r="RAM100" s="6">
        <v>44102</v>
      </c>
      <c r="RAO100" s="5" t="s">
        <v>67</v>
      </c>
      <c r="RAP100" s="6">
        <v>44102</v>
      </c>
      <c r="RAQ100" s="7">
        <v>0.4</v>
      </c>
      <c r="RAR100" s="5">
        <v>14.5</v>
      </c>
      <c r="RAS100" s="5">
        <v>226</v>
      </c>
      <c r="RAT100" s="5">
        <v>250</v>
      </c>
      <c r="RAU100" s="6">
        <v>44102</v>
      </c>
      <c r="RAW100" s="5" t="s">
        <v>67</v>
      </c>
      <c r="RAX100" s="6">
        <v>44102</v>
      </c>
      <c r="RAY100" s="7">
        <v>0.4</v>
      </c>
      <c r="RAZ100" s="5">
        <v>14.5</v>
      </c>
      <c r="RBA100" s="5">
        <v>226</v>
      </c>
      <c r="RBB100" s="5">
        <v>250</v>
      </c>
      <c r="RBC100" s="6">
        <v>44102</v>
      </c>
      <c r="RBE100" s="5" t="s">
        <v>67</v>
      </c>
      <c r="RBF100" s="6">
        <v>44102</v>
      </c>
      <c r="RBG100" s="7">
        <v>0.4</v>
      </c>
      <c r="RBH100" s="5">
        <v>14.5</v>
      </c>
      <c r="RBI100" s="5">
        <v>226</v>
      </c>
      <c r="RBJ100" s="5">
        <v>250</v>
      </c>
      <c r="RBK100" s="6">
        <v>44102</v>
      </c>
      <c r="RBM100" s="5" t="s">
        <v>67</v>
      </c>
      <c r="RBN100" s="6">
        <v>44102</v>
      </c>
      <c r="RBO100" s="7">
        <v>0.4</v>
      </c>
      <c r="RBP100" s="5">
        <v>14.5</v>
      </c>
      <c r="RBQ100" s="5">
        <v>226</v>
      </c>
      <c r="RBR100" s="5">
        <v>250</v>
      </c>
      <c r="RBS100" s="6">
        <v>44102</v>
      </c>
      <c r="RBU100" s="5" t="s">
        <v>67</v>
      </c>
      <c r="RBV100" s="6">
        <v>44102</v>
      </c>
      <c r="RBW100" s="7">
        <v>0.4</v>
      </c>
      <c r="RBX100" s="5">
        <v>14.5</v>
      </c>
      <c r="RBY100" s="5">
        <v>226</v>
      </c>
      <c r="RBZ100" s="5">
        <v>250</v>
      </c>
      <c r="RCA100" s="6">
        <v>44102</v>
      </c>
      <c r="RCC100" s="5" t="s">
        <v>67</v>
      </c>
      <c r="RCD100" s="6">
        <v>44102</v>
      </c>
      <c r="RCE100" s="7">
        <v>0.4</v>
      </c>
      <c r="RCF100" s="5">
        <v>14.5</v>
      </c>
      <c r="RCG100" s="5">
        <v>226</v>
      </c>
      <c r="RCH100" s="5">
        <v>250</v>
      </c>
      <c r="RCI100" s="6">
        <v>44102</v>
      </c>
      <c r="RCK100" s="5" t="s">
        <v>67</v>
      </c>
      <c r="RCL100" s="6">
        <v>44102</v>
      </c>
      <c r="RCM100" s="7">
        <v>0.4</v>
      </c>
      <c r="RCN100" s="5">
        <v>14.5</v>
      </c>
      <c r="RCO100" s="5">
        <v>226</v>
      </c>
      <c r="RCP100" s="5">
        <v>250</v>
      </c>
      <c r="RCQ100" s="6">
        <v>44102</v>
      </c>
      <c r="RCS100" s="5" t="s">
        <v>67</v>
      </c>
      <c r="RCT100" s="6">
        <v>44102</v>
      </c>
      <c r="RCU100" s="7">
        <v>0.4</v>
      </c>
      <c r="RCV100" s="5">
        <v>14.5</v>
      </c>
      <c r="RCW100" s="5">
        <v>226</v>
      </c>
      <c r="RCX100" s="5">
        <v>250</v>
      </c>
      <c r="RCY100" s="6">
        <v>44102</v>
      </c>
      <c r="RDA100" s="5" t="s">
        <v>67</v>
      </c>
      <c r="RDB100" s="6">
        <v>44102</v>
      </c>
      <c r="RDC100" s="7">
        <v>0.4</v>
      </c>
      <c r="RDD100" s="5">
        <v>14.5</v>
      </c>
      <c r="RDE100" s="5">
        <v>226</v>
      </c>
      <c r="RDF100" s="5">
        <v>250</v>
      </c>
      <c r="RDG100" s="6">
        <v>44102</v>
      </c>
      <c r="RDI100" s="5" t="s">
        <v>67</v>
      </c>
      <c r="RDJ100" s="6">
        <v>44102</v>
      </c>
      <c r="RDK100" s="7">
        <v>0.4</v>
      </c>
      <c r="RDL100" s="5">
        <v>14.5</v>
      </c>
      <c r="RDM100" s="5">
        <v>226</v>
      </c>
      <c r="RDN100" s="5">
        <v>250</v>
      </c>
      <c r="RDO100" s="6">
        <v>44102</v>
      </c>
      <c r="RDQ100" s="5" t="s">
        <v>67</v>
      </c>
      <c r="RDR100" s="6">
        <v>44102</v>
      </c>
      <c r="RDS100" s="7">
        <v>0.4</v>
      </c>
      <c r="RDT100" s="5">
        <v>14.5</v>
      </c>
      <c r="RDU100" s="5">
        <v>226</v>
      </c>
      <c r="RDV100" s="5">
        <v>250</v>
      </c>
      <c r="RDW100" s="6">
        <v>44102</v>
      </c>
      <c r="RDY100" s="5" t="s">
        <v>67</v>
      </c>
      <c r="RDZ100" s="6">
        <v>44102</v>
      </c>
      <c r="REA100" s="7">
        <v>0.4</v>
      </c>
      <c r="REB100" s="5">
        <v>14.5</v>
      </c>
      <c r="REC100" s="5">
        <v>226</v>
      </c>
      <c r="RED100" s="5">
        <v>250</v>
      </c>
      <c r="REE100" s="6">
        <v>44102</v>
      </c>
      <c r="REG100" s="5" t="s">
        <v>67</v>
      </c>
      <c r="REH100" s="6">
        <v>44102</v>
      </c>
      <c r="REI100" s="7">
        <v>0.4</v>
      </c>
      <c r="REJ100" s="5">
        <v>14.5</v>
      </c>
      <c r="REK100" s="5">
        <v>226</v>
      </c>
      <c r="REL100" s="5">
        <v>250</v>
      </c>
      <c r="REM100" s="6">
        <v>44102</v>
      </c>
      <c r="REO100" s="5" t="s">
        <v>67</v>
      </c>
      <c r="REP100" s="6">
        <v>44102</v>
      </c>
      <c r="REQ100" s="7">
        <v>0.4</v>
      </c>
      <c r="RER100" s="5">
        <v>14.5</v>
      </c>
      <c r="RES100" s="5">
        <v>226</v>
      </c>
      <c r="RET100" s="5">
        <v>250</v>
      </c>
      <c r="REU100" s="6">
        <v>44102</v>
      </c>
      <c r="REW100" s="5" t="s">
        <v>67</v>
      </c>
      <c r="REX100" s="6">
        <v>44102</v>
      </c>
      <c r="REY100" s="7">
        <v>0.4</v>
      </c>
      <c r="REZ100" s="5">
        <v>14.5</v>
      </c>
      <c r="RFA100" s="5">
        <v>226</v>
      </c>
      <c r="RFB100" s="5">
        <v>250</v>
      </c>
      <c r="RFC100" s="6">
        <v>44102</v>
      </c>
      <c r="RFE100" s="5" t="s">
        <v>67</v>
      </c>
      <c r="RFF100" s="6">
        <v>44102</v>
      </c>
      <c r="RFG100" s="7">
        <v>0.4</v>
      </c>
      <c r="RFH100" s="5">
        <v>14.5</v>
      </c>
      <c r="RFI100" s="5">
        <v>226</v>
      </c>
      <c r="RFJ100" s="5">
        <v>250</v>
      </c>
      <c r="RFK100" s="6">
        <v>44102</v>
      </c>
      <c r="RFM100" s="5" t="s">
        <v>67</v>
      </c>
      <c r="RFN100" s="6">
        <v>44102</v>
      </c>
      <c r="RFO100" s="7">
        <v>0.4</v>
      </c>
      <c r="RFP100" s="5">
        <v>14.5</v>
      </c>
      <c r="RFQ100" s="5">
        <v>226</v>
      </c>
      <c r="RFR100" s="5">
        <v>250</v>
      </c>
      <c r="RFS100" s="6">
        <v>44102</v>
      </c>
      <c r="RFU100" s="5" t="s">
        <v>67</v>
      </c>
      <c r="RFV100" s="6">
        <v>44102</v>
      </c>
      <c r="RFW100" s="7">
        <v>0.4</v>
      </c>
      <c r="RFX100" s="5">
        <v>14.5</v>
      </c>
      <c r="RFY100" s="5">
        <v>226</v>
      </c>
      <c r="RFZ100" s="5">
        <v>250</v>
      </c>
      <c r="RGA100" s="6">
        <v>44102</v>
      </c>
      <c r="RGC100" s="5" t="s">
        <v>67</v>
      </c>
      <c r="RGD100" s="6">
        <v>44102</v>
      </c>
      <c r="RGE100" s="7">
        <v>0.4</v>
      </c>
      <c r="RGF100" s="5">
        <v>14.5</v>
      </c>
      <c r="RGG100" s="5">
        <v>226</v>
      </c>
      <c r="RGH100" s="5">
        <v>250</v>
      </c>
      <c r="RGI100" s="6">
        <v>44102</v>
      </c>
      <c r="RGK100" s="5" t="s">
        <v>67</v>
      </c>
      <c r="RGL100" s="6">
        <v>44102</v>
      </c>
      <c r="RGM100" s="7">
        <v>0.4</v>
      </c>
      <c r="RGN100" s="5">
        <v>14.5</v>
      </c>
      <c r="RGO100" s="5">
        <v>226</v>
      </c>
      <c r="RGP100" s="5">
        <v>250</v>
      </c>
      <c r="RGQ100" s="6">
        <v>44102</v>
      </c>
      <c r="RGS100" s="5" t="s">
        <v>67</v>
      </c>
      <c r="RGT100" s="6">
        <v>44102</v>
      </c>
      <c r="RGU100" s="7">
        <v>0.4</v>
      </c>
      <c r="RGV100" s="5">
        <v>14.5</v>
      </c>
      <c r="RGW100" s="5">
        <v>226</v>
      </c>
      <c r="RGX100" s="5">
        <v>250</v>
      </c>
      <c r="RGY100" s="6">
        <v>44102</v>
      </c>
      <c r="RHA100" s="5" t="s">
        <v>67</v>
      </c>
      <c r="RHB100" s="6">
        <v>44102</v>
      </c>
      <c r="RHC100" s="7">
        <v>0.4</v>
      </c>
      <c r="RHD100" s="5">
        <v>14.5</v>
      </c>
      <c r="RHE100" s="5">
        <v>226</v>
      </c>
      <c r="RHF100" s="5">
        <v>250</v>
      </c>
      <c r="RHG100" s="6">
        <v>44102</v>
      </c>
      <c r="RHI100" s="5" t="s">
        <v>67</v>
      </c>
      <c r="RHJ100" s="6">
        <v>44102</v>
      </c>
      <c r="RHK100" s="7">
        <v>0.4</v>
      </c>
      <c r="RHL100" s="5">
        <v>14.5</v>
      </c>
      <c r="RHM100" s="5">
        <v>226</v>
      </c>
      <c r="RHN100" s="5">
        <v>250</v>
      </c>
      <c r="RHO100" s="6">
        <v>44102</v>
      </c>
      <c r="RHQ100" s="5" t="s">
        <v>67</v>
      </c>
      <c r="RHR100" s="6">
        <v>44102</v>
      </c>
      <c r="RHS100" s="7">
        <v>0.4</v>
      </c>
      <c r="RHT100" s="5">
        <v>14.5</v>
      </c>
      <c r="RHU100" s="5">
        <v>226</v>
      </c>
      <c r="RHV100" s="5">
        <v>250</v>
      </c>
      <c r="RHW100" s="6">
        <v>44102</v>
      </c>
      <c r="RHY100" s="5" t="s">
        <v>67</v>
      </c>
      <c r="RHZ100" s="6">
        <v>44102</v>
      </c>
      <c r="RIA100" s="7">
        <v>0.4</v>
      </c>
      <c r="RIB100" s="5">
        <v>14.5</v>
      </c>
      <c r="RIC100" s="5">
        <v>226</v>
      </c>
      <c r="RID100" s="5">
        <v>250</v>
      </c>
      <c r="RIE100" s="6">
        <v>44102</v>
      </c>
      <c r="RIG100" s="5" t="s">
        <v>67</v>
      </c>
      <c r="RIH100" s="6">
        <v>44102</v>
      </c>
      <c r="RII100" s="7">
        <v>0.4</v>
      </c>
      <c r="RIJ100" s="5">
        <v>14.5</v>
      </c>
      <c r="RIK100" s="5">
        <v>226</v>
      </c>
      <c r="RIL100" s="5">
        <v>250</v>
      </c>
      <c r="RIM100" s="6">
        <v>44102</v>
      </c>
      <c r="RIO100" s="5" t="s">
        <v>67</v>
      </c>
      <c r="RIP100" s="6">
        <v>44102</v>
      </c>
      <c r="RIQ100" s="7">
        <v>0.4</v>
      </c>
      <c r="RIR100" s="5">
        <v>14.5</v>
      </c>
      <c r="RIS100" s="5">
        <v>226</v>
      </c>
      <c r="RIT100" s="5">
        <v>250</v>
      </c>
      <c r="RIU100" s="6">
        <v>44102</v>
      </c>
      <c r="RIW100" s="5" t="s">
        <v>67</v>
      </c>
      <c r="RIX100" s="6">
        <v>44102</v>
      </c>
      <c r="RIY100" s="7">
        <v>0.4</v>
      </c>
      <c r="RIZ100" s="5">
        <v>14.5</v>
      </c>
      <c r="RJA100" s="5">
        <v>226</v>
      </c>
      <c r="RJB100" s="5">
        <v>250</v>
      </c>
      <c r="RJC100" s="6">
        <v>44102</v>
      </c>
      <c r="RJE100" s="5" t="s">
        <v>67</v>
      </c>
      <c r="RJF100" s="6">
        <v>44102</v>
      </c>
      <c r="RJG100" s="7">
        <v>0.4</v>
      </c>
      <c r="RJH100" s="5">
        <v>14.5</v>
      </c>
      <c r="RJI100" s="5">
        <v>226</v>
      </c>
      <c r="RJJ100" s="5">
        <v>250</v>
      </c>
      <c r="RJK100" s="6">
        <v>44102</v>
      </c>
      <c r="RJM100" s="5" t="s">
        <v>67</v>
      </c>
      <c r="RJN100" s="6">
        <v>44102</v>
      </c>
      <c r="RJO100" s="7">
        <v>0.4</v>
      </c>
      <c r="RJP100" s="5">
        <v>14.5</v>
      </c>
      <c r="RJQ100" s="5">
        <v>226</v>
      </c>
      <c r="RJR100" s="5">
        <v>250</v>
      </c>
      <c r="RJS100" s="6">
        <v>44102</v>
      </c>
      <c r="RJU100" s="5" t="s">
        <v>67</v>
      </c>
      <c r="RJV100" s="6">
        <v>44102</v>
      </c>
      <c r="RJW100" s="7">
        <v>0.4</v>
      </c>
      <c r="RJX100" s="5">
        <v>14.5</v>
      </c>
      <c r="RJY100" s="5">
        <v>226</v>
      </c>
      <c r="RJZ100" s="5">
        <v>250</v>
      </c>
      <c r="RKA100" s="6">
        <v>44102</v>
      </c>
      <c r="RKC100" s="5" t="s">
        <v>67</v>
      </c>
      <c r="RKD100" s="6">
        <v>44102</v>
      </c>
      <c r="RKE100" s="7">
        <v>0.4</v>
      </c>
      <c r="RKF100" s="5">
        <v>14.5</v>
      </c>
      <c r="RKG100" s="5">
        <v>226</v>
      </c>
      <c r="RKH100" s="5">
        <v>250</v>
      </c>
      <c r="RKI100" s="6">
        <v>44102</v>
      </c>
      <c r="RKK100" s="5" t="s">
        <v>67</v>
      </c>
      <c r="RKL100" s="6">
        <v>44102</v>
      </c>
      <c r="RKM100" s="7">
        <v>0.4</v>
      </c>
      <c r="RKN100" s="5">
        <v>14.5</v>
      </c>
      <c r="RKO100" s="5">
        <v>226</v>
      </c>
      <c r="RKP100" s="5">
        <v>250</v>
      </c>
      <c r="RKQ100" s="6">
        <v>44102</v>
      </c>
      <c r="RKS100" s="5" t="s">
        <v>67</v>
      </c>
      <c r="RKT100" s="6">
        <v>44102</v>
      </c>
      <c r="RKU100" s="7">
        <v>0.4</v>
      </c>
      <c r="RKV100" s="5">
        <v>14.5</v>
      </c>
      <c r="RKW100" s="5">
        <v>226</v>
      </c>
      <c r="RKX100" s="5">
        <v>250</v>
      </c>
      <c r="RKY100" s="6">
        <v>44102</v>
      </c>
      <c r="RLA100" s="5" t="s">
        <v>67</v>
      </c>
      <c r="RLB100" s="6">
        <v>44102</v>
      </c>
      <c r="RLC100" s="7">
        <v>0.4</v>
      </c>
      <c r="RLD100" s="5">
        <v>14.5</v>
      </c>
      <c r="RLE100" s="5">
        <v>226</v>
      </c>
      <c r="RLF100" s="5">
        <v>250</v>
      </c>
      <c r="RLG100" s="6">
        <v>44102</v>
      </c>
      <c r="RLI100" s="5" t="s">
        <v>67</v>
      </c>
      <c r="RLJ100" s="6">
        <v>44102</v>
      </c>
      <c r="RLK100" s="7">
        <v>0.4</v>
      </c>
      <c r="RLL100" s="5">
        <v>14.5</v>
      </c>
      <c r="RLM100" s="5">
        <v>226</v>
      </c>
      <c r="RLN100" s="5">
        <v>250</v>
      </c>
      <c r="RLO100" s="6">
        <v>44102</v>
      </c>
      <c r="RLQ100" s="5" t="s">
        <v>67</v>
      </c>
      <c r="RLR100" s="6">
        <v>44102</v>
      </c>
      <c r="RLS100" s="7">
        <v>0.4</v>
      </c>
      <c r="RLT100" s="5">
        <v>14.5</v>
      </c>
      <c r="RLU100" s="5">
        <v>226</v>
      </c>
      <c r="RLV100" s="5">
        <v>250</v>
      </c>
      <c r="RLW100" s="6">
        <v>44102</v>
      </c>
      <c r="RLY100" s="5" t="s">
        <v>67</v>
      </c>
      <c r="RLZ100" s="6">
        <v>44102</v>
      </c>
      <c r="RMA100" s="7">
        <v>0.4</v>
      </c>
      <c r="RMB100" s="5">
        <v>14.5</v>
      </c>
      <c r="RMC100" s="5">
        <v>226</v>
      </c>
      <c r="RMD100" s="5">
        <v>250</v>
      </c>
      <c r="RME100" s="6">
        <v>44102</v>
      </c>
      <c r="RMG100" s="5" t="s">
        <v>67</v>
      </c>
      <c r="RMH100" s="6">
        <v>44102</v>
      </c>
      <c r="RMI100" s="7">
        <v>0.4</v>
      </c>
      <c r="RMJ100" s="5">
        <v>14.5</v>
      </c>
      <c r="RMK100" s="5">
        <v>226</v>
      </c>
      <c r="RML100" s="5">
        <v>250</v>
      </c>
      <c r="RMM100" s="6">
        <v>44102</v>
      </c>
      <c r="RMO100" s="5" t="s">
        <v>67</v>
      </c>
      <c r="RMP100" s="6">
        <v>44102</v>
      </c>
      <c r="RMQ100" s="7">
        <v>0.4</v>
      </c>
      <c r="RMR100" s="5">
        <v>14.5</v>
      </c>
      <c r="RMS100" s="5">
        <v>226</v>
      </c>
      <c r="RMT100" s="5">
        <v>250</v>
      </c>
      <c r="RMU100" s="6">
        <v>44102</v>
      </c>
      <c r="RMW100" s="5" t="s">
        <v>67</v>
      </c>
      <c r="RMX100" s="6">
        <v>44102</v>
      </c>
      <c r="RMY100" s="7">
        <v>0.4</v>
      </c>
      <c r="RMZ100" s="5">
        <v>14.5</v>
      </c>
      <c r="RNA100" s="5">
        <v>226</v>
      </c>
      <c r="RNB100" s="5">
        <v>250</v>
      </c>
      <c r="RNC100" s="6">
        <v>44102</v>
      </c>
      <c r="RNE100" s="5" t="s">
        <v>67</v>
      </c>
      <c r="RNF100" s="6">
        <v>44102</v>
      </c>
      <c r="RNG100" s="7">
        <v>0.4</v>
      </c>
      <c r="RNH100" s="5">
        <v>14.5</v>
      </c>
      <c r="RNI100" s="5">
        <v>226</v>
      </c>
      <c r="RNJ100" s="5">
        <v>250</v>
      </c>
      <c r="RNK100" s="6">
        <v>44102</v>
      </c>
      <c r="RNM100" s="5" t="s">
        <v>67</v>
      </c>
      <c r="RNN100" s="6">
        <v>44102</v>
      </c>
      <c r="RNO100" s="7">
        <v>0.4</v>
      </c>
      <c r="RNP100" s="5">
        <v>14.5</v>
      </c>
      <c r="RNQ100" s="5">
        <v>226</v>
      </c>
      <c r="RNR100" s="5">
        <v>250</v>
      </c>
      <c r="RNS100" s="6">
        <v>44102</v>
      </c>
      <c r="RNU100" s="5" t="s">
        <v>67</v>
      </c>
      <c r="RNV100" s="6">
        <v>44102</v>
      </c>
      <c r="RNW100" s="7">
        <v>0.4</v>
      </c>
      <c r="RNX100" s="5">
        <v>14.5</v>
      </c>
      <c r="RNY100" s="5">
        <v>226</v>
      </c>
      <c r="RNZ100" s="5">
        <v>250</v>
      </c>
      <c r="ROA100" s="6">
        <v>44102</v>
      </c>
      <c r="ROC100" s="5" t="s">
        <v>67</v>
      </c>
      <c r="ROD100" s="6">
        <v>44102</v>
      </c>
      <c r="ROE100" s="7">
        <v>0.4</v>
      </c>
      <c r="ROF100" s="5">
        <v>14.5</v>
      </c>
      <c r="ROG100" s="5">
        <v>226</v>
      </c>
      <c r="ROH100" s="5">
        <v>250</v>
      </c>
      <c r="ROI100" s="6">
        <v>44102</v>
      </c>
      <c r="ROK100" s="5" t="s">
        <v>67</v>
      </c>
      <c r="ROL100" s="6">
        <v>44102</v>
      </c>
      <c r="ROM100" s="7">
        <v>0.4</v>
      </c>
      <c r="RON100" s="5">
        <v>14.5</v>
      </c>
      <c r="ROO100" s="5">
        <v>226</v>
      </c>
      <c r="ROP100" s="5">
        <v>250</v>
      </c>
      <c r="ROQ100" s="6">
        <v>44102</v>
      </c>
      <c r="ROS100" s="5" t="s">
        <v>67</v>
      </c>
      <c r="ROT100" s="6">
        <v>44102</v>
      </c>
      <c r="ROU100" s="7">
        <v>0.4</v>
      </c>
      <c r="ROV100" s="5">
        <v>14.5</v>
      </c>
      <c r="ROW100" s="5">
        <v>226</v>
      </c>
      <c r="ROX100" s="5">
        <v>250</v>
      </c>
      <c r="ROY100" s="6">
        <v>44102</v>
      </c>
      <c r="RPA100" s="5" t="s">
        <v>67</v>
      </c>
      <c r="RPB100" s="6">
        <v>44102</v>
      </c>
      <c r="RPC100" s="7">
        <v>0.4</v>
      </c>
      <c r="RPD100" s="5">
        <v>14.5</v>
      </c>
      <c r="RPE100" s="5">
        <v>226</v>
      </c>
      <c r="RPF100" s="5">
        <v>250</v>
      </c>
      <c r="RPG100" s="6">
        <v>44102</v>
      </c>
      <c r="RPI100" s="5" t="s">
        <v>67</v>
      </c>
      <c r="RPJ100" s="6">
        <v>44102</v>
      </c>
      <c r="RPK100" s="7">
        <v>0.4</v>
      </c>
      <c r="RPL100" s="5">
        <v>14.5</v>
      </c>
      <c r="RPM100" s="5">
        <v>226</v>
      </c>
      <c r="RPN100" s="5">
        <v>250</v>
      </c>
      <c r="RPO100" s="6">
        <v>44102</v>
      </c>
      <c r="RPQ100" s="5" t="s">
        <v>67</v>
      </c>
      <c r="RPR100" s="6">
        <v>44102</v>
      </c>
      <c r="RPS100" s="7">
        <v>0.4</v>
      </c>
      <c r="RPT100" s="5">
        <v>14.5</v>
      </c>
      <c r="RPU100" s="5">
        <v>226</v>
      </c>
      <c r="RPV100" s="5">
        <v>250</v>
      </c>
      <c r="RPW100" s="6">
        <v>44102</v>
      </c>
      <c r="RPY100" s="5" t="s">
        <v>67</v>
      </c>
      <c r="RPZ100" s="6">
        <v>44102</v>
      </c>
      <c r="RQA100" s="7">
        <v>0.4</v>
      </c>
      <c r="RQB100" s="5">
        <v>14.5</v>
      </c>
      <c r="RQC100" s="5">
        <v>226</v>
      </c>
      <c r="RQD100" s="5">
        <v>250</v>
      </c>
      <c r="RQE100" s="6">
        <v>44102</v>
      </c>
      <c r="RQG100" s="5" t="s">
        <v>67</v>
      </c>
      <c r="RQH100" s="6">
        <v>44102</v>
      </c>
      <c r="RQI100" s="7">
        <v>0.4</v>
      </c>
      <c r="RQJ100" s="5">
        <v>14.5</v>
      </c>
      <c r="RQK100" s="5">
        <v>226</v>
      </c>
      <c r="RQL100" s="5">
        <v>250</v>
      </c>
      <c r="RQM100" s="6">
        <v>44102</v>
      </c>
      <c r="RQO100" s="5" t="s">
        <v>67</v>
      </c>
      <c r="RQP100" s="6">
        <v>44102</v>
      </c>
      <c r="RQQ100" s="7">
        <v>0.4</v>
      </c>
      <c r="RQR100" s="5">
        <v>14.5</v>
      </c>
      <c r="RQS100" s="5">
        <v>226</v>
      </c>
      <c r="RQT100" s="5">
        <v>250</v>
      </c>
      <c r="RQU100" s="6">
        <v>44102</v>
      </c>
      <c r="RQW100" s="5" t="s">
        <v>67</v>
      </c>
      <c r="RQX100" s="6">
        <v>44102</v>
      </c>
      <c r="RQY100" s="7">
        <v>0.4</v>
      </c>
      <c r="RQZ100" s="5">
        <v>14.5</v>
      </c>
      <c r="RRA100" s="5">
        <v>226</v>
      </c>
      <c r="RRB100" s="5">
        <v>250</v>
      </c>
      <c r="RRC100" s="6">
        <v>44102</v>
      </c>
      <c r="RRE100" s="5" t="s">
        <v>67</v>
      </c>
      <c r="RRF100" s="6">
        <v>44102</v>
      </c>
      <c r="RRG100" s="7">
        <v>0.4</v>
      </c>
      <c r="RRH100" s="5">
        <v>14.5</v>
      </c>
      <c r="RRI100" s="5">
        <v>226</v>
      </c>
      <c r="RRJ100" s="5">
        <v>250</v>
      </c>
      <c r="RRK100" s="6">
        <v>44102</v>
      </c>
      <c r="RRM100" s="5" t="s">
        <v>67</v>
      </c>
      <c r="RRN100" s="6">
        <v>44102</v>
      </c>
      <c r="RRO100" s="7">
        <v>0.4</v>
      </c>
      <c r="RRP100" s="5">
        <v>14.5</v>
      </c>
      <c r="RRQ100" s="5">
        <v>226</v>
      </c>
      <c r="RRR100" s="5">
        <v>250</v>
      </c>
      <c r="RRS100" s="6">
        <v>44102</v>
      </c>
      <c r="RRU100" s="5" t="s">
        <v>67</v>
      </c>
      <c r="RRV100" s="6">
        <v>44102</v>
      </c>
      <c r="RRW100" s="7">
        <v>0.4</v>
      </c>
      <c r="RRX100" s="5">
        <v>14.5</v>
      </c>
      <c r="RRY100" s="5">
        <v>226</v>
      </c>
      <c r="RRZ100" s="5">
        <v>250</v>
      </c>
      <c r="RSA100" s="6">
        <v>44102</v>
      </c>
      <c r="RSC100" s="5" t="s">
        <v>67</v>
      </c>
      <c r="RSD100" s="6">
        <v>44102</v>
      </c>
      <c r="RSE100" s="7">
        <v>0.4</v>
      </c>
      <c r="RSF100" s="5">
        <v>14.5</v>
      </c>
      <c r="RSG100" s="5">
        <v>226</v>
      </c>
      <c r="RSH100" s="5">
        <v>250</v>
      </c>
      <c r="RSI100" s="6">
        <v>44102</v>
      </c>
      <c r="RSK100" s="5" t="s">
        <v>67</v>
      </c>
      <c r="RSL100" s="6">
        <v>44102</v>
      </c>
      <c r="RSM100" s="7">
        <v>0.4</v>
      </c>
      <c r="RSN100" s="5">
        <v>14.5</v>
      </c>
      <c r="RSO100" s="5">
        <v>226</v>
      </c>
      <c r="RSP100" s="5">
        <v>250</v>
      </c>
      <c r="RSQ100" s="6">
        <v>44102</v>
      </c>
      <c r="RSS100" s="5" t="s">
        <v>67</v>
      </c>
      <c r="RST100" s="6">
        <v>44102</v>
      </c>
      <c r="RSU100" s="7">
        <v>0.4</v>
      </c>
      <c r="RSV100" s="5">
        <v>14.5</v>
      </c>
      <c r="RSW100" s="5">
        <v>226</v>
      </c>
      <c r="RSX100" s="5">
        <v>250</v>
      </c>
      <c r="RSY100" s="6">
        <v>44102</v>
      </c>
      <c r="RTA100" s="5" t="s">
        <v>67</v>
      </c>
      <c r="RTB100" s="6">
        <v>44102</v>
      </c>
      <c r="RTC100" s="7">
        <v>0.4</v>
      </c>
      <c r="RTD100" s="5">
        <v>14.5</v>
      </c>
      <c r="RTE100" s="5">
        <v>226</v>
      </c>
      <c r="RTF100" s="5">
        <v>250</v>
      </c>
      <c r="RTG100" s="6">
        <v>44102</v>
      </c>
      <c r="RTI100" s="5" t="s">
        <v>67</v>
      </c>
      <c r="RTJ100" s="6">
        <v>44102</v>
      </c>
      <c r="RTK100" s="7">
        <v>0.4</v>
      </c>
      <c r="RTL100" s="5">
        <v>14.5</v>
      </c>
      <c r="RTM100" s="5">
        <v>226</v>
      </c>
      <c r="RTN100" s="5">
        <v>250</v>
      </c>
      <c r="RTO100" s="6">
        <v>44102</v>
      </c>
      <c r="RTQ100" s="5" t="s">
        <v>67</v>
      </c>
      <c r="RTR100" s="6">
        <v>44102</v>
      </c>
      <c r="RTS100" s="7">
        <v>0.4</v>
      </c>
      <c r="RTT100" s="5">
        <v>14.5</v>
      </c>
      <c r="RTU100" s="5">
        <v>226</v>
      </c>
      <c r="RTV100" s="5">
        <v>250</v>
      </c>
      <c r="RTW100" s="6">
        <v>44102</v>
      </c>
      <c r="RTY100" s="5" t="s">
        <v>67</v>
      </c>
      <c r="RTZ100" s="6">
        <v>44102</v>
      </c>
      <c r="RUA100" s="7">
        <v>0.4</v>
      </c>
      <c r="RUB100" s="5">
        <v>14.5</v>
      </c>
      <c r="RUC100" s="5">
        <v>226</v>
      </c>
      <c r="RUD100" s="5">
        <v>250</v>
      </c>
      <c r="RUE100" s="6">
        <v>44102</v>
      </c>
      <c r="RUG100" s="5" t="s">
        <v>67</v>
      </c>
      <c r="RUH100" s="6">
        <v>44102</v>
      </c>
      <c r="RUI100" s="7">
        <v>0.4</v>
      </c>
      <c r="RUJ100" s="5">
        <v>14.5</v>
      </c>
      <c r="RUK100" s="5">
        <v>226</v>
      </c>
      <c r="RUL100" s="5">
        <v>250</v>
      </c>
      <c r="RUM100" s="6">
        <v>44102</v>
      </c>
      <c r="RUO100" s="5" t="s">
        <v>67</v>
      </c>
      <c r="RUP100" s="6">
        <v>44102</v>
      </c>
      <c r="RUQ100" s="7">
        <v>0.4</v>
      </c>
      <c r="RUR100" s="5">
        <v>14.5</v>
      </c>
      <c r="RUS100" s="5">
        <v>226</v>
      </c>
      <c r="RUT100" s="5">
        <v>250</v>
      </c>
      <c r="RUU100" s="6">
        <v>44102</v>
      </c>
      <c r="RUW100" s="5" t="s">
        <v>67</v>
      </c>
      <c r="RUX100" s="6">
        <v>44102</v>
      </c>
      <c r="RUY100" s="7">
        <v>0.4</v>
      </c>
      <c r="RUZ100" s="5">
        <v>14.5</v>
      </c>
      <c r="RVA100" s="5">
        <v>226</v>
      </c>
      <c r="RVB100" s="5">
        <v>250</v>
      </c>
      <c r="RVC100" s="6">
        <v>44102</v>
      </c>
      <c r="RVE100" s="5" t="s">
        <v>67</v>
      </c>
      <c r="RVF100" s="6">
        <v>44102</v>
      </c>
      <c r="RVG100" s="7">
        <v>0.4</v>
      </c>
      <c r="RVH100" s="5">
        <v>14.5</v>
      </c>
      <c r="RVI100" s="5">
        <v>226</v>
      </c>
      <c r="RVJ100" s="5">
        <v>250</v>
      </c>
      <c r="RVK100" s="6">
        <v>44102</v>
      </c>
      <c r="RVM100" s="5" t="s">
        <v>67</v>
      </c>
      <c r="RVN100" s="6">
        <v>44102</v>
      </c>
      <c r="RVO100" s="7">
        <v>0.4</v>
      </c>
      <c r="RVP100" s="5">
        <v>14.5</v>
      </c>
      <c r="RVQ100" s="5">
        <v>226</v>
      </c>
      <c r="RVR100" s="5">
        <v>250</v>
      </c>
      <c r="RVS100" s="6">
        <v>44102</v>
      </c>
      <c r="RVU100" s="5" t="s">
        <v>67</v>
      </c>
      <c r="RVV100" s="6">
        <v>44102</v>
      </c>
      <c r="RVW100" s="7">
        <v>0.4</v>
      </c>
      <c r="RVX100" s="5">
        <v>14.5</v>
      </c>
      <c r="RVY100" s="5">
        <v>226</v>
      </c>
      <c r="RVZ100" s="5">
        <v>250</v>
      </c>
      <c r="RWA100" s="6">
        <v>44102</v>
      </c>
      <c r="RWC100" s="5" t="s">
        <v>67</v>
      </c>
      <c r="RWD100" s="6">
        <v>44102</v>
      </c>
      <c r="RWE100" s="7">
        <v>0.4</v>
      </c>
      <c r="RWF100" s="5">
        <v>14.5</v>
      </c>
      <c r="RWG100" s="5">
        <v>226</v>
      </c>
      <c r="RWH100" s="5">
        <v>250</v>
      </c>
      <c r="RWI100" s="6">
        <v>44102</v>
      </c>
      <c r="RWK100" s="5" t="s">
        <v>67</v>
      </c>
      <c r="RWL100" s="6">
        <v>44102</v>
      </c>
      <c r="RWM100" s="7">
        <v>0.4</v>
      </c>
      <c r="RWN100" s="5">
        <v>14.5</v>
      </c>
      <c r="RWO100" s="5">
        <v>226</v>
      </c>
      <c r="RWP100" s="5">
        <v>250</v>
      </c>
      <c r="RWQ100" s="6">
        <v>44102</v>
      </c>
      <c r="RWS100" s="5" t="s">
        <v>67</v>
      </c>
      <c r="RWT100" s="6">
        <v>44102</v>
      </c>
      <c r="RWU100" s="7">
        <v>0.4</v>
      </c>
      <c r="RWV100" s="5">
        <v>14.5</v>
      </c>
      <c r="RWW100" s="5">
        <v>226</v>
      </c>
      <c r="RWX100" s="5">
        <v>250</v>
      </c>
      <c r="RWY100" s="6">
        <v>44102</v>
      </c>
      <c r="RXA100" s="5" t="s">
        <v>67</v>
      </c>
      <c r="RXB100" s="6">
        <v>44102</v>
      </c>
      <c r="RXC100" s="7">
        <v>0.4</v>
      </c>
      <c r="RXD100" s="5">
        <v>14.5</v>
      </c>
      <c r="RXE100" s="5">
        <v>226</v>
      </c>
      <c r="RXF100" s="5">
        <v>250</v>
      </c>
      <c r="RXG100" s="6">
        <v>44102</v>
      </c>
      <c r="RXI100" s="5" t="s">
        <v>67</v>
      </c>
      <c r="RXJ100" s="6">
        <v>44102</v>
      </c>
      <c r="RXK100" s="7">
        <v>0.4</v>
      </c>
      <c r="RXL100" s="5">
        <v>14.5</v>
      </c>
      <c r="RXM100" s="5">
        <v>226</v>
      </c>
      <c r="RXN100" s="5">
        <v>250</v>
      </c>
      <c r="RXO100" s="6">
        <v>44102</v>
      </c>
      <c r="RXQ100" s="5" t="s">
        <v>67</v>
      </c>
      <c r="RXR100" s="6">
        <v>44102</v>
      </c>
      <c r="RXS100" s="7">
        <v>0.4</v>
      </c>
      <c r="RXT100" s="5">
        <v>14.5</v>
      </c>
      <c r="RXU100" s="5">
        <v>226</v>
      </c>
      <c r="RXV100" s="5">
        <v>250</v>
      </c>
      <c r="RXW100" s="6">
        <v>44102</v>
      </c>
      <c r="RXY100" s="5" t="s">
        <v>67</v>
      </c>
      <c r="RXZ100" s="6">
        <v>44102</v>
      </c>
      <c r="RYA100" s="7">
        <v>0.4</v>
      </c>
      <c r="RYB100" s="5">
        <v>14.5</v>
      </c>
      <c r="RYC100" s="5">
        <v>226</v>
      </c>
      <c r="RYD100" s="5">
        <v>250</v>
      </c>
      <c r="RYE100" s="6">
        <v>44102</v>
      </c>
      <c r="RYG100" s="5" t="s">
        <v>67</v>
      </c>
      <c r="RYH100" s="6">
        <v>44102</v>
      </c>
      <c r="RYI100" s="7">
        <v>0.4</v>
      </c>
      <c r="RYJ100" s="5">
        <v>14.5</v>
      </c>
      <c r="RYK100" s="5">
        <v>226</v>
      </c>
      <c r="RYL100" s="5">
        <v>250</v>
      </c>
      <c r="RYM100" s="6">
        <v>44102</v>
      </c>
      <c r="RYO100" s="5" t="s">
        <v>67</v>
      </c>
      <c r="RYP100" s="6">
        <v>44102</v>
      </c>
      <c r="RYQ100" s="7">
        <v>0.4</v>
      </c>
      <c r="RYR100" s="5">
        <v>14.5</v>
      </c>
      <c r="RYS100" s="5">
        <v>226</v>
      </c>
      <c r="RYT100" s="5">
        <v>250</v>
      </c>
      <c r="RYU100" s="6">
        <v>44102</v>
      </c>
      <c r="RYW100" s="5" t="s">
        <v>67</v>
      </c>
      <c r="RYX100" s="6">
        <v>44102</v>
      </c>
      <c r="RYY100" s="7">
        <v>0.4</v>
      </c>
      <c r="RYZ100" s="5">
        <v>14.5</v>
      </c>
      <c r="RZA100" s="5">
        <v>226</v>
      </c>
      <c r="RZB100" s="5">
        <v>250</v>
      </c>
      <c r="RZC100" s="6">
        <v>44102</v>
      </c>
      <c r="RZE100" s="5" t="s">
        <v>67</v>
      </c>
      <c r="RZF100" s="6">
        <v>44102</v>
      </c>
      <c r="RZG100" s="7">
        <v>0.4</v>
      </c>
      <c r="RZH100" s="5">
        <v>14.5</v>
      </c>
      <c r="RZI100" s="5">
        <v>226</v>
      </c>
      <c r="RZJ100" s="5">
        <v>250</v>
      </c>
      <c r="RZK100" s="6">
        <v>44102</v>
      </c>
      <c r="RZM100" s="5" t="s">
        <v>67</v>
      </c>
      <c r="RZN100" s="6">
        <v>44102</v>
      </c>
      <c r="RZO100" s="7">
        <v>0.4</v>
      </c>
      <c r="RZP100" s="5">
        <v>14.5</v>
      </c>
      <c r="RZQ100" s="5">
        <v>226</v>
      </c>
      <c r="RZR100" s="5">
        <v>250</v>
      </c>
      <c r="RZS100" s="6">
        <v>44102</v>
      </c>
      <c r="RZU100" s="5" t="s">
        <v>67</v>
      </c>
      <c r="RZV100" s="6">
        <v>44102</v>
      </c>
      <c r="RZW100" s="7">
        <v>0.4</v>
      </c>
      <c r="RZX100" s="5">
        <v>14.5</v>
      </c>
      <c r="RZY100" s="5">
        <v>226</v>
      </c>
      <c r="RZZ100" s="5">
        <v>250</v>
      </c>
      <c r="SAA100" s="6">
        <v>44102</v>
      </c>
      <c r="SAC100" s="5" t="s">
        <v>67</v>
      </c>
      <c r="SAD100" s="6">
        <v>44102</v>
      </c>
      <c r="SAE100" s="7">
        <v>0.4</v>
      </c>
      <c r="SAF100" s="5">
        <v>14.5</v>
      </c>
      <c r="SAG100" s="5">
        <v>226</v>
      </c>
      <c r="SAH100" s="5">
        <v>250</v>
      </c>
      <c r="SAI100" s="6">
        <v>44102</v>
      </c>
      <c r="SAK100" s="5" t="s">
        <v>67</v>
      </c>
      <c r="SAL100" s="6">
        <v>44102</v>
      </c>
      <c r="SAM100" s="7">
        <v>0.4</v>
      </c>
      <c r="SAN100" s="5">
        <v>14.5</v>
      </c>
      <c r="SAO100" s="5">
        <v>226</v>
      </c>
      <c r="SAP100" s="5">
        <v>250</v>
      </c>
      <c r="SAQ100" s="6">
        <v>44102</v>
      </c>
      <c r="SAS100" s="5" t="s">
        <v>67</v>
      </c>
      <c r="SAT100" s="6">
        <v>44102</v>
      </c>
      <c r="SAU100" s="7">
        <v>0.4</v>
      </c>
      <c r="SAV100" s="5">
        <v>14.5</v>
      </c>
      <c r="SAW100" s="5">
        <v>226</v>
      </c>
      <c r="SAX100" s="5">
        <v>250</v>
      </c>
      <c r="SAY100" s="6">
        <v>44102</v>
      </c>
      <c r="SBA100" s="5" t="s">
        <v>67</v>
      </c>
      <c r="SBB100" s="6">
        <v>44102</v>
      </c>
      <c r="SBC100" s="7">
        <v>0.4</v>
      </c>
      <c r="SBD100" s="5">
        <v>14.5</v>
      </c>
      <c r="SBE100" s="5">
        <v>226</v>
      </c>
      <c r="SBF100" s="5">
        <v>250</v>
      </c>
      <c r="SBG100" s="6">
        <v>44102</v>
      </c>
      <c r="SBI100" s="5" t="s">
        <v>67</v>
      </c>
      <c r="SBJ100" s="6">
        <v>44102</v>
      </c>
      <c r="SBK100" s="7">
        <v>0.4</v>
      </c>
      <c r="SBL100" s="5">
        <v>14.5</v>
      </c>
      <c r="SBM100" s="5">
        <v>226</v>
      </c>
      <c r="SBN100" s="5">
        <v>250</v>
      </c>
      <c r="SBO100" s="6">
        <v>44102</v>
      </c>
      <c r="SBQ100" s="5" t="s">
        <v>67</v>
      </c>
      <c r="SBR100" s="6">
        <v>44102</v>
      </c>
      <c r="SBS100" s="7">
        <v>0.4</v>
      </c>
      <c r="SBT100" s="5">
        <v>14.5</v>
      </c>
      <c r="SBU100" s="5">
        <v>226</v>
      </c>
      <c r="SBV100" s="5">
        <v>250</v>
      </c>
      <c r="SBW100" s="6">
        <v>44102</v>
      </c>
      <c r="SBY100" s="5" t="s">
        <v>67</v>
      </c>
      <c r="SBZ100" s="6">
        <v>44102</v>
      </c>
      <c r="SCA100" s="7">
        <v>0.4</v>
      </c>
      <c r="SCB100" s="5">
        <v>14.5</v>
      </c>
      <c r="SCC100" s="5">
        <v>226</v>
      </c>
      <c r="SCD100" s="5">
        <v>250</v>
      </c>
      <c r="SCE100" s="6">
        <v>44102</v>
      </c>
      <c r="SCG100" s="5" t="s">
        <v>67</v>
      </c>
      <c r="SCH100" s="6">
        <v>44102</v>
      </c>
      <c r="SCI100" s="7">
        <v>0.4</v>
      </c>
      <c r="SCJ100" s="5">
        <v>14.5</v>
      </c>
      <c r="SCK100" s="5">
        <v>226</v>
      </c>
      <c r="SCL100" s="5">
        <v>250</v>
      </c>
      <c r="SCM100" s="6">
        <v>44102</v>
      </c>
      <c r="SCO100" s="5" t="s">
        <v>67</v>
      </c>
      <c r="SCP100" s="6">
        <v>44102</v>
      </c>
      <c r="SCQ100" s="7">
        <v>0.4</v>
      </c>
      <c r="SCR100" s="5">
        <v>14.5</v>
      </c>
      <c r="SCS100" s="5">
        <v>226</v>
      </c>
      <c r="SCT100" s="5">
        <v>250</v>
      </c>
      <c r="SCU100" s="6">
        <v>44102</v>
      </c>
      <c r="SCW100" s="5" t="s">
        <v>67</v>
      </c>
      <c r="SCX100" s="6">
        <v>44102</v>
      </c>
      <c r="SCY100" s="7">
        <v>0.4</v>
      </c>
      <c r="SCZ100" s="5">
        <v>14.5</v>
      </c>
      <c r="SDA100" s="5">
        <v>226</v>
      </c>
      <c r="SDB100" s="5">
        <v>250</v>
      </c>
      <c r="SDC100" s="6">
        <v>44102</v>
      </c>
      <c r="SDE100" s="5" t="s">
        <v>67</v>
      </c>
      <c r="SDF100" s="6">
        <v>44102</v>
      </c>
      <c r="SDG100" s="7">
        <v>0.4</v>
      </c>
      <c r="SDH100" s="5">
        <v>14.5</v>
      </c>
      <c r="SDI100" s="5">
        <v>226</v>
      </c>
      <c r="SDJ100" s="5">
        <v>250</v>
      </c>
      <c r="SDK100" s="6">
        <v>44102</v>
      </c>
      <c r="SDM100" s="5" t="s">
        <v>67</v>
      </c>
      <c r="SDN100" s="6">
        <v>44102</v>
      </c>
      <c r="SDO100" s="7">
        <v>0.4</v>
      </c>
      <c r="SDP100" s="5">
        <v>14.5</v>
      </c>
      <c r="SDQ100" s="5">
        <v>226</v>
      </c>
      <c r="SDR100" s="5">
        <v>250</v>
      </c>
      <c r="SDS100" s="6">
        <v>44102</v>
      </c>
      <c r="SDU100" s="5" t="s">
        <v>67</v>
      </c>
      <c r="SDV100" s="6">
        <v>44102</v>
      </c>
      <c r="SDW100" s="7">
        <v>0.4</v>
      </c>
      <c r="SDX100" s="5">
        <v>14.5</v>
      </c>
      <c r="SDY100" s="5">
        <v>226</v>
      </c>
      <c r="SDZ100" s="5">
        <v>250</v>
      </c>
      <c r="SEA100" s="6">
        <v>44102</v>
      </c>
      <c r="SEC100" s="5" t="s">
        <v>67</v>
      </c>
      <c r="SED100" s="6">
        <v>44102</v>
      </c>
      <c r="SEE100" s="7">
        <v>0.4</v>
      </c>
      <c r="SEF100" s="5">
        <v>14.5</v>
      </c>
      <c r="SEG100" s="5">
        <v>226</v>
      </c>
      <c r="SEH100" s="5">
        <v>250</v>
      </c>
      <c r="SEI100" s="6">
        <v>44102</v>
      </c>
      <c r="SEK100" s="5" t="s">
        <v>67</v>
      </c>
      <c r="SEL100" s="6">
        <v>44102</v>
      </c>
      <c r="SEM100" s="7">
        <v>0.4</v>
      </c>
      <c r="SEN100" s="5">
        <v>14.5</v>
      </c>
      <c r="SEO100" s="5">
        <v>226</v>
      </c>
      <c r="SEP100" s="5">
        <v>250</v>
      </c>
      <c r="SEQ100" s="6">
        <v>44102</v>
      </c>
      <c r="SES100" s="5" t="s">
        <v>67</v>
      </c>
      <c r="SET100" s="6">
        <v>44102</v>
      </c>
      <c r="SEU100" s="7">
        <v>0.4</v>
      </c>
      <c r="SEV100" s="5">
        <v>14.5</v>
      </c>
      <c r="SEW100" s="5">
        <v>226</v>
      </c>
      <c r="SEX100" s="5">
        <v>250</v>
      </c>
      <c r="SEY100" s="6">
        <v>44102</v>
      </c>
      <c r="SFA100" s="5" t="s">
        <v>67</v>
      </c>
      <c r="SFB100" s="6">
        <v>44102</v>
      </c>
      <c r="SFC100" s="7">
        <v>0.4</v>
      </c>
      <c r="SFD100" s="5">
        <v>14.5</v>
      </c>
      <c r="SFE100" s="5">
        <v>226</v>
      </c>
      <c r="SFF100" s="5">
        <v>250</v>
      </c>
      <c r="SFG100" s="6">
        <v>44102</v>
      </c>
      <c r="SFI100" s="5" t="s">
        <v>67</v>
      </c>
      <c r="SFJ100" s="6">
        <v>44102</v>
      </c>
      <c r="SFK100" s="7">
        <v>0.4</v>
      </c>
      <c r="SFL100" s="5">
        <v>14.5</v>
      </c>
      <c r="SFM100" s="5">
        <v>226</v>
      </c>
      <c r="SFN100" s="5">
        <v>250</v>
      </c>
      <c r="SFO100" s="6">
        <v>44102</v>
      </c>
      <c r="SFQ100" s="5" t="s">
        <v>67</v>
      </c>
      <c r="SFR100" s="6">
        <v>44102</v>
      </c>
      <c r="SFS100" s="7">
        <v>0.4</v>
      </c>
      <c r="SFT100" s="5">
        <v>14.5</v>
      </c>
      <c r="SFU100" s="5">
        <v>226</v>
      </c>
      <c r="SFV100" s="5">
        <v>250</v>
      </c>
      <c r="SFW100" s="6">
        <v>44102</v>
      </c>
      <c r="SFY100" s="5" t="s">
        <v>67</v>
      </c>
      <c r="SFZ100" s="6">
        <v>44102</v>
      </c>
      <c r="SGA100" s="7">
        <v>0.4</v>
      </c>
      <c r="SGB100" s="5">
        <v>14.5</v>
      </c>
      <c r="SGC100" s="5">
        <v>226</v>
      </c>
      <c r="SGD100" s="5">
        <v>250</v>
      </c>
      <c r="SGE100" s="6">
        <v>44102</v>
      </c>
      <c r="SGG100" s="5" t="s">
        <v>67</v>
      </c>
      <c r="SGH100" s="6">
        <v>44102</v>
      </c>
      <c r="SGI100" s="7">
        <v>0.4</v>
      </c>
      <c r="SGJ100" s="5">
        <v>14.5</v>
      </c>
      <c r="SGK100" s="5">
        <v>226</v>
      </c>
      <c r="SGL100" s="5">
        <v>250</v>
      </c>
      <c r="SGM100" s="6">
        <v>44102</v>
      </c>
      <c r="SGO100" s="5" t="s">
        <v>67</v>
      </c>
      <c r="SGP100" s="6">
        <v>44102</v>
      </c>
      <c r="SGQ100" s="7">
        <v>0.4</v>
      </c>
      <c r="SGR100" s="5">
        <v>14.5</v>
      </c>
      <c r="SGS100" s="5">
        <v>226</v>
      </c>
      <c r="SGT100" s="5">
        <v>250</v>
      </c>
      <c r="SGU100" s="6">
        <v>44102</v>
      </c>
      <c r="SGW100" s="5" t="s">
        <v>67</v>
      </c>
      <c r="SGX100" s="6">
        <v>44102</v>
      </c>
      <c r="SGY100" s="7">
        <v>0.4</v>
      </c>
      <c r="SGZ100" s="5">
        <v>14.5</v>
      </c>
      <c r="SHA100" s="5">
        <v>226</v>
      </c>
      <c r="SHB100" s="5">
        <v>250</v>
      </c>
      <c r="SHC100" s="6">
        <v>44102</v>
      </c>
      <c r="SHE100" s="5" t="s">
        <v>67</v>
      </c>
      <c r="SHF100" s="6">
        <v>44102</v>
      </c>
      <c r="SHG100" s="7">
        <v>0.4</v>
      </c>
      <c r="SHH100" s="5">
        <v>14.5</v>
      </c>
      <c r="SHI100" s="5">
        <v>226</v>
      </c>
      <c r="SHJ100" s="5">
        <v>250</v>
      </c>
      <c r="SHK100" s="6">
        <v>44102</v>
      </c>
      <c r="SHM100" s="5" t="s">
        <v>67</v>
      </c>
      <c r="SHN100" s="6">
        <v>44102</v>
      </c>
      <c r="SHO100" s="7">
        <v>0.4</v>
      </c>
      <c r="SHP100" s="5">
        <v>14.5</v>
      </c>
      <c r="SHQ100" s="5">
        <v>226</v>
      </c>
      <c r="SHR100" s="5">
        <v>250</v>
      </c>
      <c r="SHS100" s="6">
        <v>44102</v>
      </c>
      <c r="SHU100" s="5" t="s">
        <v>67</v>
      </c>
      <c r="SHV100" s="6">
        <v>44102</v>
      </c>
      <c r="SHW100" s="7">
        <v>0.4</v>
      </c>
      <c r="SHX100" s="5">
        <v>14.5</v>
      </c>
      <c r="SHY100" s="5">
        <v>226</v>
      </c>
      <c r="SHZ100" s="5">
        <v>250</v>
      </c>
      <c r="SIA100" s="6">
        <v>44102</v>
      </c>
      <c r="SIC100" s="5" t="s">
        <v>67</v>
      </c>
      <c r="SID100" s="6">
        <v>44102</v>
      </c>
      <c r="SIE100" s="7">
        <v>0.4</v>
      </c>
      <c r="SIF100" s="5">
        <v>14.5</v>
      </c>
      <c r="SIG100" s="5">
        <v>226</v>
      </c>
      <c r="SIH100" s="5">
        <v>250</v>
      </c>
      <c r="SII100" s="6">
        <v>44102</v>
      </c>
      <c r="SIK100" s="5" t="s">
        <v>67</v>
      </c>
      <c r="SIL100" s="6">
        <v>44102</v>
      </c>
      <c r="SIM100" s="7">
        <v>0.4</v>
      </c>
      <c r="SIN100" s="5">
        <v>14.5</v>
      </c>
      <c r="SIO100" s="5">
        <v>226</v>
      </c>
      <c r="SIP100" s="5">
        <v>250</v>
      </c>
      <c r="SIQ100" s="6">
        <v>44102</v>
      </c>
      <c r="SIS100" s="5" t="s">
        <v>67</v>
      </c>
      <c r="SIT100" s="6">
        <v>44102</v>
      </c>
      <c r="SIU100" s="7">
        <v>0.4</v>
      </c>
      <c r="SIV100" s="5">
        <v>14.5</v>
      </c>
      <c r="SIW100" s="5">
        <v>226</v>
      </c>
      <c r="SIX100" s="5">
        <v>250</v>
      </c>
      <c r="SIY100" s="6">
        <v>44102</v>
      </c>
      <c r="SJA100" s="5" t="s">
        <v>67</v>
      </c>
      <c r="SJB100" s="6">
        <v>44102</v>
      </c>
      <c r="SJC100" s="7">
        <v>0.4</v>
      </c>
      <c r="SJD100" s="5">
        <v>14.5</v>
      </c>
      <c r="SJE100" s="5">
        <v>226</v>
      </c>
      <c r="SJF100" s="5">
        <v>250</v>
      </c>
      <c r="SJG100" s="6">
        <v>44102</v>
      </c>
      <c r="SJI100" s="5" t="s">
        <v>67</v>
      </c>
      <c r="SJJ100" s="6">
        <v>44102</v>
      </c>
      <c r="SJK100" s="7">
        <v>0.4</v>
      </c>
      <c r="SJL100" s="5">
        <v>14.5</v>
      </c>
      <c r="SJM100" s="5">
        <v>226</v>
      </c>
      <c r="SJN100" s="5">
        <v>250</v>
      </c>
      <c r="SJO100" s="6">
        <v>44102</v>
      </c>
      <c r="SJQ100" s="5" t="s">
        <v>67</v>
      </c>
      <c r="SJR100" s="6">
        <v>44102</v>
      </c>
      <c r="SJS100" s="7">
        <v>0.4</v>
      </c>
      <c r="SJT100" s="5">
        <v>14.5</v>
      </c>
      <c r="SJU100" s="5">
        <v>226</v>
      </c>
      <c r="SJV100" s="5">
        <v>250</v>
      </c>
      <c r="SJW100" s="6">
        <v>44102</v>
      </c>
      <c r="SJY100" s="5" t="s">
        <v>67</v>
      </c>
      <c r="SJZ100" s="6">
        <v>44102</v>
      </c>
      <c r="SKA100" s="7">
        <v>0.4</v>
      </c>
      <c r="SKB100" s="5">
        <v>14.5</v>
      </c>
      <c r="SKC100" s="5">
        <v>226</v>
      </c>
      <c r="SKD100" s="5">
        <v>250</v>
      </c>
      <c r="SKE100" s="6">
        <v>44102</v>
      </c>
      <c r="SKG100" s="5" t="s">
        <v>67</v>
      </c>
      <c r="SKH100" s="6">
        <v>44102</v>
      </c>
      <c r="SKI100" s="7">
        <v>0.4</v>
      </c>
      <c r="SKJ100" s="5">
        <v>14.5</v>
      </c>
      <c r="SKK100" s="5">
        <v>226</v>
      </c>
      <c r="SKL100" s="5">
        <v>250</v>
      </c>
      <c r="SKM100" s="6">
        <v>44102</v>
      </c>
      <c r="SKO100" s="5" t="s">
        <v>67</v>
      </c>
      <c r="SKP100" s="6">
        <v>44102</v>
      </c>
      <c r="SKQ100" s="7">
        <v>0.4</v>
      </c>
      <c r="SKR100" s="5">
        <v>14.5</v>
      </c>
      <c r="SKS100" s="5">
        <v>226</v>
      </c>
      <c r="SKT100" s="5">
        <v>250</v>
      </c>
      <c r="SKU100" s="6">
        <v>44102</v>
      </c>
      <c r="SKW100" s="5" t="s">
        <v>67</v>
      </c>
      <c r="SKX100" s="6">
        <v>44102</v>
      </c>
      <c r="SKY100" s="7">
        <v>0.4</v>
      </c>
      <c r="SKZ100" s="5">
        <v>14.5</v>
      </c>
      <c r="SLA100" s="5">
        <v>226</v>
      </c>
      <c r="SLB100" s="5">
        <v>250</v>
      </c>
      <c r="SLC100" s="6">
        <v>44102</v>
      </c>
      <c r="SLE100" s="5" t="s">
        <v>67</v>
      </c>
      <c r="SLF100" s="6">
        <v>44102</v>
      </c>
      <c r="SLG100" s="7">
        <v>0.4</v>
      </c>
      <c r="SLH100" s="5">
        <v>14.5</v>
      </c>
      <c r="SLI100" s="5">
        <v>226</v>
      </c>
      <c r="SLJ100" s="5">
        <v>250</v>
      </c>
      <c r="SLK100" s="6">
        <v>44102</v>
      </c>
      <c r="SLM100" s="5" t="s">
        <v>67</v>
      </c>
      <c r="SLN100" s="6">
        <v>44102</v>
      </c>
      <c r="SLO100" s="7">
        <v>0.4</v>
      </c>
      <c r="SLP100" s="5">
        <v>14.5</v>
      </c>
      <c r="SLQ100" s="5">
        <v>226</v>
      </c>
      <c r="SLR100" s="5">
        <v>250</v>
      </c>
      <c r="SLS100" s="6">
        <v>44102</v>
      </c>
      <c r="SLU100" s="5" t="s">
        <v>67</v>
      </c>
      <c r="SLV100" s="6">
        <v>44102</v>
      </c>
      <c r="SLW100" s="7">
        <v>0.4</v>
      </c>
      <c r="SLX100" s="5">
        <v>14.5</v>
      </c>
      <c r="SLY100" s="5">
        <v>226</v>
      </c>
      <c r="SLZ100" s="5">
        <v>250</v>
      </c>
      <c r="SMA100" s="6">
        <v>44102</v>
      </c>
      <c r="SMC100" s="5" t="s">
        <v>67</v>
      </c>
      <c r="SMD100" s="6">
        <v>44102</v>
      </c>
      <c r="SME100" s="7">
        <v>0.4</v>
      </c>
      <c r="SMF100" s="5">
        <v>14.5</v>
      </c>
      <c r="SMG100" s="5">
        <v>226</v>
      </c>
      <c r="SMH100" s="5">
        <v>250</v>
      </c>
      <c r="SMI100" s="6">
        <v>44102</v>
      </c>
      <c r="SMK100" s="5" t="s">
        <v>67</v>
      </c>
      <c r="SML100" s="6">
        <v>44102</v>
      </c>
      <c r="SMM100" s="7">
        <v>0.4</v>
      </c>
      <c r="SMN100" s="5">
        <v>14.5</v>
      </c>
      <c r="SMO100" s="5">
        <v>226</v>
      </c>
      <c r="SMP100" s="5">
        <v>250</v>
      </c>
      <c r="SMQ100" s="6">
        <v>44102</v>
      </c>
      <c r="SMS100" s="5" t="s">
        <v>67</v>
      </c>
      <c r="SMT100" s="6">
        <v>44102</v>
      </c>
      <c r="SMU100" s="7">
        <v>0.4</v>
      </c>
      <c r="SMV100" s="5">
        <v>14.5</v>
      </c>
      <c r="SMW100" s="5">
        <v>226</v>
      </c>
      <c r="SMX100" s="5">
        <v>250</v>
      </c>
      <c r="SMY100" s="6">
        <v>44102</v>
      </c>
      <c r="SNA100" s="5" t="s">
        <v>67</v>
      </c>
      <c r="SNB100" s="6">
        <v>44102</v>
      </c>
      <c r="SNC100" s="7">
        <v>0.4</v>
      </c>
      <c r="SND100" s="5">
        <v>14.5</v>
      </c>
      <c r="SNE100" s="5">
        <v>226</v>
      </c>
      <c r="SNF100" s="5">
        <v>250</v>
      </c>
      <c r="SNG100" s="6">
        <v>44102</v>
      </c>
      <c r="SNI100" s="5" t="s">
        <v>67</v>
      </c>
      <c r="SNJ100" s="6">
        <v>44102</v>
      </c>
      <c r="SNK100" s="7">
        <v>0.4</v>
      </c>
      <c r="SNL100" s="5">
        <v>14.5</v>
      </c>
      <c r="SNM100" s="5">
        <v>226</v>
      </c>
      <c r="SNN100" s="5">
        <v>250</v>
      </c>
      <c r="SNO100" s="6">
        <v>44102</v>
      </c>
      <c r="SNQ100" s="5" t="s">
        <v>67</v>
      </c>
      <c r="SNR100" s="6">
        <v>44102</v>
      </c>
      <c r="SNS100" s="7">
        <v>0.4</v>
      </c>
      <c r="SNT100" s="5">
        <v>14.5</v>
      </c>
      <c r="SNU100" s="5">
        <v>226</v>
      </c>
      <c r="SNV100" s="5">
        <v>250</v>
      </c>
      <c r="SNW100" s="6">
        <v>44102</v>
      </c>
      <c r="SNY100" s="5" t="s">
        <v>67</v>
      </c>
      <c r="SNZ100" s="6">
        <v>44102</v>
      </c>
      <c r="SOA100" s="7">
        <v>0.4</v>
      </c>
      <c r="SOB100" s="5">
        <v>14.5</v>
      </c>
      <c r="SOC100" s="5">
        <v>226</v>
      </c>
      <c r="SOD100" s="5">
        <v>250</v>
      </c>
      <c r="SOE100" s="6">
        <v>44102</v>
      </c>
      <c r="SOG100" s="5" t="s">
        <v>67</v>
      </c>
      <c r="SOH100" s="6">
        <v>44102</v>
      </c>
      <c r="SOI100" s="7">
        <v>0.4</v>
      </c>
      <c r="SOJ100" s="5">
        <v>14.5</v>
      </c>
      <c r="SOK100" s="5">
        <v>226</v>
      </c>
      <c r="SOL100" s="5">
        <v>250</v>
      </c>
      <c r="SOM100" s="6">
        <v>44102</v>
      </c>
      <c r="SOO100" s="5" t="s">
        <v>67</v>
      </c>
      <c r="SOP100" s="6">
        <v>44102</v>
      </c>
      <c r="SOQ100" s="7">
        <v>0.4</v>
      </c>
      <c r="SOR100" s="5">
        <v>14.5</v>
      </c>
      <c r="SOS100" s="5">
        <v>226</v>
      </c>
      <c r="SOT100" s="5">
        <v>250</v>
      </c>
      <c r="SOU100" s="6">
        <v>44102</v>
      </c>
      <c r="SOW100" s="5" t="s">
        <v>67</v>
      </c>
      <c r="SOX100" s="6">
        <v>44102</v>
      </c>
      <c r="SOY100" s="7">
        <v>0.4</v>
      </c>
      <c r="SOZ100" s="5">
        <v>14.5</v>
      </c>
      <c r="SPA100" s="5">
        <v>226</v>
      </c>
      <c r="SPB100" s="5">
        <v>250</v>
      </c>
      <c r="SPC100" s="6">
        <v>44102</v>
      </c>
      <c r="SPE100" s="5" t="s">
        <v>67</v>
      </c>
      <c r="SPF100" s="6">
        <v>44102</v>
      </c>
      <c r="SPG100" s="7">
        <v>0.4</v>
      </c>
      <c r="SPH100" s="5">
        <v>14.5</v>
      </c>
      <c r="SPI100" s="5">
        <v>226</v>
      </c>
      <c r="SPJ100" s="5">
        <v>250</v>
      </c>
      <c r="SPK100" s="6">
        <v>44102</v>
      </c>
      <c r="SPM100" s="5" t="s">
        <v>67</v>
      </c>
      <c r="SPN100" s="6">
        <v>44102</v>
      </c>
      <c r="SPO100" s="7">
        <v>0.4</v>
      </c>
      <c r="SPP100" s="5">
        <v>14.5</v>
      </c>
      <c r="SPQ100" s="5">
        <v>226</v>
      </c>
      <c r="SPR100" s="5">
        <v>250</v>
      </c>
      <c r="SPS100" s="6">
        <v>44102</v>
      </c>
      <c r="SPU100" s="5" t="s">
        <v>67</v>
      </c>
      <c r="SPV100" s="6">
        <v>44102</v>
      </c>
      <c r="SPW100" s="7">
        <v>0.4</v>
      </c>
      <c r="SPX100" s="5">
        <v>14.5</v>
      </c>
      <c r="SPY100" s="5">
        <v>226</v>
      </c>
      <c r="SPZ100" s="5">
        <v>250</v>
      </c>
      <c r="SQA100" s="6">
        <v>44102</v>
      </c>
      <c r="SQC100" s="5" t="s">
        <v>67</v>
      </c>
      <c r="SQD100" s="6">
        <v>44102</v>
      </c>
      <c r="SQE100" s="7">
        <v>0.4</v>
      </c>
      <c r="SQF100" s="5">
        <v>14.5</v>
      </c>
      <c r="SQG100" s="5">
        <v>226</v>
      </c>
      <c r="SQH100" s="5">
        <v>250</v>
      </c>
      <c r="SQI100" s="6">
        <v>44102</v>
      </c>
      <c r="SQK100" s="5" t="s">
        <v>67</v>
      </c>
      <c r="SQL100" s="6">
        <v>44102</v>
      </c>
      <c r="SQM100" s="7">
        <v>0.4</v>
      </c>
      <c r="SQN100" s="5">
        <v>14.5</v>
      </c>
      <c r="SQO100" s="5">
        <v>226</v>
      </c>
      <c r="SQP100" s="5">
        <v>250</v>
      </c>
      <c r="SQQ100" s="6">
        <v>44102</v>
      </c>
      <c r="SQS100" s="5" t="s">
        <v>67</v>
      </c>
      <c r="SQT100" s="6">
        <v>44102</v>
      </c>
      <c r="SQU100" s="7">
        <v>0.4</v>
      </c>
      <c r="SQV100" s="5">
        <v>14.5</v>
      </c>
      <c r="SQW100" s="5">
        <v>226</v>
      </c>
      <c r="SQX100" s="5">
        <v>250</v>
      </c>
      <c r="SQY100" s="6">
        <v>44102</v>
      </c>
      <c r="SRA100" s="5" t="s">
        <v>67</v>
      </c>
      <c r="SRB100" s="6">
        <v>44102</v>
      </c>
      <c r="SRC100" s="7">
        <v>0.4</v>
      </c>
      <c r="SRD100" s="5">
        <v>14.5</v>
      </c>
      <c r="SRE100" s="5">
        <v>226</v>
      </c>
      <c r="SRF100" s="5">
        <v>250</v>
      </c>
      <c r="SRG100" s="6">
        <v>44102</v>
      </c>
      <c r="SRI100" s="5" t="s">
        <v>67</v>
      </c>
      <c r="SRJ100" s="6">
        <v>44102</v>
      </c>
      <c r="SRK100" s="7">
        <v>0.4</v>
      </c>
      <c r="SRL100" s="5">
        <v>14.5</v>
      </c>
      <c r="SRM100" s="5">
        <v>226</v>
      </c>
      <c r="SRN100" s="5">
        <v>250</v>
      </c>
      <c r="SRO100" s="6">
        <v>44102</v>
      </c>
      <c r="SRQ100" s="5" t="s">
        <v>67</v>
      </c>
      <c r="SRR100" s="6">
        <v>44102</v>
      </c>
      <c r="SRS100" s="7">
        <v>0.4</v>
      </c>
      <c r="SRT100" s="5">
        <v>14.5</v>
      </c>
      <c r="SRU100" s="5">
        <v>226</v>
      </c>
      <c r="SRV100" s="5">
        <v>250</v>
      </c>
      <c r="SRW100" s="6">
        <v>44102</v>
      </c>
      <c r="SRY100" s="5" t="s">
        <v>67</v>
      </c>
      <c r="SRZ100" s="6">
        <v>44102</v>
      </c>
      <c r="SSA100" s="7">
        <v>0.4</v>
      </c>
      <c r="SSB100" s="5">
        <v>14.5</v>
      </c>
      <c r="SSC100" s="5">
        <v>226</v>
      </c>
      <c r="SSD100" s="5">
        <v>250</v>
      </c>
      <c r="SSE100" s="6">
        <v>44102</v>
      </c>
      <c r="SSG100" s="5" t="s">
        <v>67</v>
      </c>
      <c r="SSH100" s="6">
        <v>44102</v>
      </c>
      <c r="SSI100" s="7">
        <v>0.4</v>
      </c>
      <c r="SSJ100" s="5">
        <v>14.5</v>
      </c>
      <c r="SSK100" s="5">
        <v>226</v>
      </c>
      <c r="SSL100" s="5">
        <v>250</v>
      </c>
      <c r="SSM100" s="6">
        <v>44102</v>
      </c>
      <c r="SSO100" s="5" t="s">
        <v>67</v>
      </c>
      <c r="SSP100" s="6">
        <v>44102</v>
      </c>
      <c r="SSQ100" s="7">
        <v>0.4</v>
      </c>
      <c r="SSR100" s="5">
        <v>14.5</v>
      </c>
      <c r="SSS100" s="5">
        <v>226</v>
      </c>
      <c r="SST100" s="5">
        <v>250</v>
      </c>
      <c r="SSU100" s="6">
        <v>44102</v>
      </c>
      <c r="SSW100" s="5" t="s">
        <v>67</v>
      </c>
      <c r="SSX100" s="6">
        <v>44102</v>
      </c>
      <c r="SSY100" s="7">
        <v>0.4</v>
      </c>
      <c r="SSZ100" s="5">
        <v>14.5</v>
      </c>
      <c r="STA100" s="5">
        <v>226</v>
      </c>
      <c r="STB100" s="5">
        <v>250</v>
      </c>
      <c r="STC100" s="6">
        <v>44102</v>
      </c>
      <c r="STE100" s="5" t="s">
        <v>67</v>
      </c>
      <c r="STF100" s="6">
        <v>44102</v>
      </c>
      <c r="STG100" s="7">
        <v>0.4</v>
      </c>
      <c r="STH100" s="5">
        <v>14.5</v>
      </c>
      <c r="STI100" s="5">
        <v>226</v>
      </c>
      <c r="STJ100" s="5">
        <v>250</v>
      </c>
      <c r="STK100" s="6">
        <v>44102</v>
      </c>
      <c r="STM100" s="5" t="s">
        <v>67</v>
      </c>
      <c r="STN100" s="6">
        <v>44102</v>
      </c>
      <c r="STO100" s="7">
        <v>0.4</v>
      </c>
      <c r="STP100" s="5">
        <v>14.5</v>
      </c>
      <c r="STQ100" s="5">
        <v>226</v>
      </c>
      <c r="STR100" s="5">
        <v>250</v>
      </c>
      <c r="STS100" s="6">
        <v>44102</v>
      </c>
      <c r="STU100" s="5" t="s">
        <v>67</v>
      </c>
      <c r="STV100" s="6">
        <v>44102</v>
      </c>
      <c r="STW100" s="7">
        <v>0.4</v>
      </c>
      <c r="STX100" s="5">
        <v>14.5</v>
      </c>
      <c r="STY100" s="5">
        <v>226</v>
      </c>
      <c r="STZ100" s="5">
        <v>250</v>
      </c>
      <c r="SUA100" s="6">
        <v>44102</v>
      </c>
      <c r="SUC100" s="5" t="s">
        <v>67</v>
      </c>
      <c r="SUD100" s="6">
        <v>44102</v>
      </c>
      <c r="SUE100" s="7">
        <v>0.4</v>
      </c>
      <c r="SUF100" s="5">
        <v>14.5</v>
      </c>
      <c r="SUG100" s="5">
        <v>226</v>
      </c>
      <c r="SUH100" s="5">
        <v>250</v>
      </c>
      <c r="SUI100" s="6">
        <v>44102</v>
      </c>
      <c r="SUK100" s="5" t="s">
        <v>67</v>
      </c>
      <c r="SUL100" s="6">
        <v>44102</v>
      </c>
      <c r="SUM100" s="7">
        <v>0.4</v>
      </c>
      <c r="SUN100" s="5">
        <v>14.5</v>
      </c>
      <c r="SUO100" s="5">
        <v>226</v>
      </c>
      <c r="SUP100" s="5">
        <v>250</v>
      </c>
      <c r="SUQ100" s="6">
        <v>44102</v>
      </c>
      <c r="SUS100" s="5" t="s">
        <v>67</v>
      </c>
      <c r="SUT100" s="6">
        <v>44102</v>
      </c>
      <c r="SUU100" s="7">
        <v>0.4</v>
      </c>
      <c r="SUV100" s="5">
        <v>14.5</v>
      </c>
      <c r="SUW100" s="5">
        <v>226</v>
      </c>
      <c r="SUX100" s="5">
        <v>250</v>
      </c>
      <c r="SUY100" s="6">
        <v>44102</v>
      </c>
      <c r="SVA100" s="5" t="s">
        <v>67</v>
      </c>
      <c r="SVB100" s="6">
        <v>44102</v>
      </c>
      <c r="SVC100" s="7">
        <v>0.4</v>
      </c>
      <c r="SVD100" s="5">
        <v>14.5</v>
      </c>
      <c r="SVE100" s="5">
        <v>226</v>
      </c>
      <c r="SVF100" s="5">
        <v>250</v>
      </c>
      <c r="SVG100" s="6">
        <v>44102</v>
      </c>
      <c r="SVI100" s="5" t="s">
        <v>67</v>
      </c>
      <c r="SVJ100" s="6">
        <v>44102</v>
      </c>
      <c r="SVK100" s="7">
        <v>0.4</v>
      </c>
      <c r="SVL100" s="5">
        <v>14.5</v>
      </c>
      <c r="SVM100" s="5">
        <v>226</v>
      </c>
      <c r="SVN100" s="5">
        <v>250</v>
      </c>
      <c r="SVO100" s="6">
        <v>44102</v>
      </c>
      <c r="SVQ100" s="5" t="s">
        <v>67</v>
      </c>
      <c r="SVR100" s="6">
        <v>44102</v>
      </c>
      <c r="SVS100" s="7">
        <v>0.4</v>
      </c>
      <c r="SVT100" s="5">
        <v>14.5</v>
      </c>
      <c r="SVU100" s="5">
        <v>226</v>
      </c>
      <c r="SVV100" s="5">
        <v>250</v>
      </c>
      <c r="SVW100" s="6">
        <v>44102</v>
      </c>
      <c r="SVY100" s="5" t="s">
        <v>67</v>
      </c>
      <c r="SVZ100" s="6">
        <v>44102</v>
      </c>
      <c r="SWA100" s="7">
        <v>0.4</v>
      </c>
      <c r="SWB100" s="5">
        <v>14.5</v>
      </c>
      <c r="SWC100" s="5">
        <v>226</v>
      </c>
      <c r="SWD100" s="5">
        <v>250</v>
      </c>
      <c r="SWE100" s="6">
        <v>44102</v>
      </c>
      <c r="SWG100" s="5" t="s">
        <v>67</v>
      </c>
      <c r="SWH100" s="6">
        <v>44102</v>
      </c>
      <c r="SWI100" s="7">
        <v>0.4</v>
      </c>
      <c r="SWJ100" s="5">
        <v>14.5</v>
      </c>
      <c r="SWK100" s="5">
        <v>226</v>
      </c>
      <c r="SWL100" s="5">
        <v>250</v>
      </c>
      <c r="SWM100" s="6">
        <v>44102</v>
      </c>
      <c r="SWO100" s="5" t="s">
        <v>67</v>
      </c>
      <c r="SWP100" s="6">
        <v>44102</v>
      </c>
      <c r="SWQ100" s="7">
        <v>0.4</v>
      </c>
      <c r="SWR100" s="5">
        <v>14.5</v>
      </c>
      <c r="SWS100" s="5">
        <v>226</v>
      </c>
      <c r="SWT100" s="5">
        <v>250</v>
      </c>
      <c r="SWU100" s="6">
        <v>44102</v>
      </c>
      <c r="SWW100" s="5" t="s">
        <v>67</v>
      </c>
      <c r="SWX100" s="6">
        <v>44102</v>
      </c>
      <c r="SWY100" s="7">
        <v>0.4</v>
      </c>
      <c r="SWZ100" s="5">
        <v>14.5</v>
      </c>
      <c r="SXA100" s="5">
        <v>226</v>
      </c>
      <c r="SXB100" s="5">
        <v>250</v>
      </c>
      <c r="SXC100" s="6">
        <v>44102</v>
      </c>
      <c r="SXE100" s="5" t="s">
        <v>67</v>
      </c>
      <c r="SXF100" s="6">
        <v>44102</v>
      </c>
      <c r="SXG100" s="7">
        <v>0.4</v>
      </c>
      <c r="SXH100" s="5">
        <v>14.5</v>
      </c>
      <c r="SXI100" s="5">
        <v>226</v>
      </c>
      <c r="SXJ100" s="5">
        <v>250</v>
      </c>
      <c r="SXK100" s="6">
        <v>44102</v>
      </c>
      <c r="SXM100" s="5" t="s">
        <v>67</v>
      </c>
      <c r="SXN100" s="6">
        <v>44102</v>
      </c>
      <c r="SXO100" s="7">
        <v>0.4</v>
      </c>
      <c r="SXP100" s="5">
        <v>14.5</v>
      </c>
      <c r="SXQ100" s="5">
        <v>226</v>
      </c>
      <c r="SXR100" s="5">
        <v>250</v>
      </c>
      <c r="SXS100" s="6">
        <v>44102</v>
      </c>
      <c r="SXU100" s="5" t="s">
        <v>67</v>
      </c>
      <c r="SXV100" s="6">
        <v>44102</v>
      </c>
      <c r="SXW100" s="7">
        <v>0.4</v>
      </c>
      <c r="SXX100" s="5">
        <v>14.5</v>
      </c>
      <c r="SXY100" s="5">
        <v>226</v>
      </c>
      <c r="SXZ100" s="5">
        <v>250</v>
      </c>
      <c r="SYA100" s="6">
        <v>44102</v>
      </c>
      <c r="SYC100" s="5" t="s">
        <v>67</v>
      </c>
      <c r="SYD100" s="6">
        <v>44102</v>
      </c>
      <c r="SYE100" s="7">
        <v>0.4</v>
      </c>
      <c r="SYF100" s="5">
        <v>14.5</v>
      </c>
      <c r="SYG100" s="5">
        <v>226</v>
      </c>
      <c r="SYH100" s="5">
        <v>250</v>
      </c>
      <c r="SYI100" s="6">
        <v>44102</v>
      </c>
      <c r="SYK100" s="5" t="s">
        <v>67</v>
      </c>
      <c r="SYL100" s="6">
        <v>44102</v>
      </c>
      <c r="SYM100" s="7">
        <v>0.4</v>
      </c>
      <c r="SYN100" s="5">
        <v>14.5</v>
      </c>
      <c r="SYO100" s="5">
        <v>226</v>
      </c>
      <c r="SYP100" s="5">
        <v>250</v>
      </c>
      <c r="SYQ100" s="6">
        <v>44102</v>
      </c>
      <c r="SYS100" s="5" t="s">
        <v>67</v>
      </c>
      <c r="SYT100" s="6">
        <v>44102</v>
      </c>
      <c r="SYU100" s="7">
        <v>0.4</v>
      </c>
      <c r="SYV100" s="5">
        <v>14.5</v>
      </c>
      <c r="SYW100" s="5">
        <v>226</v>
      </c>
      <c r="SYX100" s="5">
        <v>250</v>
      </c>
      <c r="SYY100" s="6">
        <v>44102</v>
      </c>
      <c r="SZA100" s="5" t="s">
        <v>67</v>
      </c>
      <c r="SZB100" s="6">
        <v>44102</v>
      </c>
      <c r="SZC100" s="7">
        <v>0.4</v>
      </c>
      <c r="SZD100" s="5">
        <v>14.5</v>
      </c>
      <c r="SZE100" s="5">
        <v>226</v>
      </c>
      <c r="SZF100" s="5">
        <v>250</v>
      </c>
      <c r="SZG100" s="6">
        <v>44102</v>
      </c>
      <c r="SZI100" s="5" t="s">
        <v>67</v>
      </c>
      <c r="SZJ100" s="6">
        <v>44102</v>
      </c>
      <c r="SZK100" s="7">
        <v>0.4</v>
      </c>
      <c r="SZL100" s="5">
        <v>14.5</v>
      </c>
      <c r="SZM100" s="5">
        <v>226</v>
      </c>
      <c r="SZN100" s="5">
        <v>250</v>
      </c>
      <c r="SZO100" s="6">
        <v>44102</v>
      </c>
      <c r="SZQ100" s="5" t="s">
        <v>67</v>
      </c>
      <c r="SZR100" s="6">
        <v>44102</v>
      </c>
      <c r="SZS100" s="7">
        <v>0.4</v>
      </c>
      <c r="SZT100" s="5">
        <v>14.5</v>
      </c>
      <c r="SZU100" s="5">
        <v>226</v>
      </c>
      <c r="SZV100" s="5">
        <v>250</v>
      </c>
      <c r="SZW100" s="6">
        <v>44102</v>
      </c>
      <c r="SZY100" s="5" t="s">
        <v>67</v>
      </c>
      <c r="SZZ100" s="6">
        <v>44102</v>
      </c>
      <c r="TAA100" s="7">
        <v>0.4</v>
      </c>
      <c r="TAB100" s="5">
        <v>14.5</v>
      </c>
      <c r="TAC100" s="5">
        <v>226</v>
      </c>
      <c r="TAD100" s="5">
        <v>250</v>
      </c>
      <c r="TAE100" s="6">
        <v>44102</v>
      </c>
      <c r="TAG100" s="5" t="s">
        <v>67</v>
      </c>
      <c r="TAH100" s="6">
        <v>44102</v>
      </c>
      <c r="TAI100" s="7">
        <v>0.4</v>
      </c>
      <c r="TAJ100" s="5">
        <v>14.5</v>
      </c>
      <c r="TAK100" s="5">
        <v>226</v>
      </c>
      <c r="TAL100" s="5">
        <v>250</v>
      </c>
      <c r="TAM100" s="6">
        <v>44102</v>
      </c>
      <c r="TAO100" s="5" t="s">
        <v>67</v>
      </c>
      <c r="TAP100" s="6">
        <v>44102</v>
      </c>
      <c r="TAQ100" s="7">
        <v>0.4</v>
      </c>
      <c r="TAR100" s="5">
        <v>14.5</v>
      </c>
      <c r="TAS100" s="5">
        <v>226</v>
      </c>
      <c r="TAT100" s="5">
        <v>250</v>
      </c>
      <c r="TAU100" s="6">
        <v>44102</v>
      </c>
      <c r="TAW100" s="5" t="s">
        <v>67</v>
      </c>
      <c r="TAX100" s="6">
        <v>44102</v>
      </c>
      <c r="TAY100" s="7">
        <v>0.4</v>
      </c>
      <c r="TAZ100" s="5">
        <v>14.5</v>
      </c>
      <c r="TBA100" s="5">
        <v>226</v>
      </c>
      <c r="TBB100" s="5">
        <v>250</v>
      </c>
      <c r="TBC100" s="6">
        <v>44102</v>
      </c>
      <c r="TBE100" s="5" t="s">
        <v>67</v>
      </c>
      <c r="TBF100" s="6">
        <v>44102</v>
      </c>
      <c r="TBG100" s="7">
        <v>0.4</v>
      </c>
      <c r="TBH100" s="5">
        <v>14.5</v>
      </c>
      <c r="TBI100" s="5">
        <v>226</v>
      </c>
      <c r="TBJ100" s="5">
        <v>250</v>
      </c>
      <c r="TBK100" s="6">
        <v>44102</v>
      </c>
      <c r="TBM100" s="5" t="s">
        <v>67</v>
      </c>
      <c r="TBN100" s="6">
        <v>44102</v>
      </c>
      <c r="TBO100" s="7">
        <v>0.4</v>
      </c>
      <c r="TBP100" s="5">
        <v>14.5</v>
      </c>
      <c r="TBQ100" s="5">
        <v>226</v>
      </c>
      <c r="TBR100" s="5">
        <v>250</v>
      </c>
      <c r="TBS100" s="6">
        <v>44102</v>
      </c>
      <c r="TBU100" s="5" t="s">
        <v>67</v>
      </c>
      <c r="TBV100" s="6">
        <v>44102</v>
      </c>
      <c r="TBW100" s="7">
        <v>0.4</v>
      </c>
      <c r="TBX100" s="5">
        <v>14.5</v>
      </c>
      <c r="TBY100" s="5">
        <v>226</v>
      </c>
      <c r="TBZ100" s="5">
        <v>250</v>
      </c>
      <c r="TCA100" s="6">
        <v>44102</v>
      </c>
      <c r="TCC100" s="5" t="s">
        <v>67</v>
      </c>
      <c r="TCD100" s="6">
        <v>44102</v>
      </c>
      <c r="TCE100" s="7">
        <v>0.4</v>
      </c>
      <c r="TCF100" s="5">
        <v>14.5</v>
      </c>
      <c r="TCG100" s="5">
        <v>226</v>
      </c>
      <c r="TCH100" s="5">
        <v>250</v>
      </c>
      <c r="TCI100" s="6">
        <v>44102</v>
      </c>
      <c r="TCK100" s="5" t="s">
        <v>67</v>
      </c>
      <c r="TCL100" s="6">
        <v>44102</v>
      </c>
      <c r="TCM100" s="7">
        <v>0.4</v>
      </c>
      <c r="TCN100" s="5">
        <v>14.5</v>
      </c>
      <c r="TCO100" s="5">
        <v>226</v>
      </c>
      <c r="TCP100" s="5">
        <v>250</v>
      </c>
      <c r="TCQ100" s="6">
        <v>44102</v>
      </c>
      <c r="TCS100" s="5" t="s">
        <v>67</v>
      </c>
      <c r="TCT100" s="6">
        <v>44102</v>
      </c>
      <c r="TCU100" s="7">
        <v>0.4</v>
      </c>
      <c r="TCV100" s="5">
        <v>14.5</v>
      </c>
      <c r="TCW100" s="5">
        <v>226</v>
      </c>
      <c r="TCX100" s="5">
        <v>250</v>
      </c>
      <c r="TCY100" s="6">
        <v>44102</v>
      </c>
      <c r="TDA100" s="5" t="s">
        <v>67</v>
      </c>
      <c r="TDB100" s="6">
        <v>44102</v>
      </c>
      <c r="TDC100" s="7">
        <v>0.4</v>
      </c>
      <c r="TDD100" s="5">
        <v>14.5</v>
      </c>
      <c r="TDE100" s="5">
        <v>226</v>
      </c>
      <c r="TDF100" s="5">
        <v>250</v>
      </c>
      <c r="TDG100" s="6">
        <v>44102</v>
      </c>
      <c r="TDI100" s="5" t="s">
        <v>67</v>
      </c>
      <c r="TDJ100" s="6">
        <v>44102</v>
      </c>
      <c r="TDK100" s="7">
        <v>0.4</v>
      </c>
      <c r="TDL100" s="5">
        <v>14.5</v>
      </c>
      <c r="TDM100" s="5">
        <v>226</v>
      </c>
      <c r="TDN100" s="5">
        <v>250</v>
      </c>
      <c r="TDO100" s="6">
        <v>44102</v>
      </c>
      <c r="TDQ100" s="5" t="s">
        <v>67</v>
      </c>
      <c r="TDR100" s="6">
        <v>44102</v>
      </c>
      <c r="TDS100" s="7">
        <v>0.4</v>
      </c>
      <c r="TDT100" s="5">
        <v>14.5</v>
      </c>
      <c r="TDU100" s="5">
        <v>226</v>
      </c>
      <c r="TDV100" s="5">
        <v>250</v>
      </c>
      <c r="TDW100" s="6">
        <v>44102</v>
      </c>
      <c r="TDY100" s="5" t="s">
        <v>67</v>
      </c>
      <c r="TDZ100" s="6">
        <v>44102</v>
      </c>
      <c r="TEA100" s="7">
        <v>0.4</v>
      </c>
      <c r="TEB100" s="5">
        <v>14.5</v>
      </c>
      <c r="TEC100" s="5">
        <v>226</v>
      </c>
      <c r="TED100" s="5">
        <v>250</v>
      </c>
      <c r="TEE100" s="6">
        <v>44102</v>
      </c>
      <c r="TEG100" s="5" t="s">
        <v>67</v>
      </c>
      <c r="TEH100" s="6">
        <v>44102</v>
      </c>
      <c r="TEI100" s="7">
        <v>0.4</v>
      </c>
      <c r="TEJ100" s="5">
        <v>14.5</v>
      </c>
      <c r="TEK100" s="5">
        <v>226</v>
      </c>
      <c r="TEL100" s="5">
        <v>250</v>
      </c>
      <c r="TEM100" s="6">
        <v>44102</v>
      </c>
      <c r="TEO100" s="5" t="s">
        <v>67</v>
      </c>
      <c r="TEP100" s="6">
        <v>44102</v>
      </c>
      <c r="TEQ100" s="7">
        <v>0.4</v>
      </c>
      <c r="TER100" s="5">
        <v>14.5</v>
      </c>
      <c r="TES100" s="5">
        <v>226</v>
      </c>
      <c r="TET100" s="5">
        <v>250</v>
      </c>
      <c r="TEU100" s="6">
        <v>44102</v>
      </c>
      <c r="TEW100" s="5" t="s">
        <v>67</v>
      </c>
      <c r="TEX100" s="6">
        <v>44102</v>
      </c>
      <c r="TEY100" s="7">
        <v>0.4</v>
      </c>
      <c r="TEZ100" s="5">
        <v>14.5</v>
      </c>
      <c r="TFA100" s="5">
        <v>226</v>
      </c>
      <c r="TFB100" s="5">
        <v>250</v>
      </c>
      <c r="TFC100" s="6">
        <v>44102</v>
      </c>
      <c r="TFE100" s="5" t="s">
        <v>67</v>
      </c>
      <c r="TFF100" s="6">
        <v>44102</v>
      </c>
      <c r="TFG100" s="7">
        <v>0.4</v>
      </c>
      <c r="TFH100" s="5">
        <v>14.5</v>
      </c>
      <c r="TFI100" s="5">
        <v>226</v>
      </c>
      <c r="TFJ100" s="5">
        <v>250</v>
      </c>
      <c r="TFK100" s="6">
        <v>44102</v>
      </c>
      <c r="TFM100" s="5" t="s">
        <v>67</v>
      </c>
      <c r="TFN100" s="6">
        <v>44102</v>
      </c>
      <c r="TFO100" s="7">
        <v>0.4</v>
      </c>
      <c r="TFP100" s="5">
        <v>14.5</v>
      </c>
      <c r="TFQ100" s="5">
        <v>226</v>
      </c>
      <c r="TFR100" s="5">
        <v>250</v>
      </c>
      <c r="TFS100" s="6">
        <v>44102</v>
      </c>
      <c r="TFU100" s="5" t="s">
        <v>67</v>
      </c>
      <c r="TFV100" s="6">
        <v>44102</v>
      </c>
      <c r="TFW100" s="7">
        <v>0.4</v>
      </c>
      <c r="TFX100" s="5">
        <v>14.5</v>
      </c>
      <c r="TFY100" s="5">
        <v>226</v>
      </c>
      <c r="TFZ100" s="5">
        <v>250</v>
      </c>
      <c r="TGA100" s="6">
        <v>44102</v>
      </c>
      <c r="TGC100" s="5" t="s">
        <v>67</v>
      </c>
      <c r="TGD100" s="6">
        <v>44102</v>
      </c>
      <c r="TGE100" s="7">
        <v>0.4</v>
      </c>
      <c r="TGF100" s="5">
        <v>14.5</v>
      </c>
      <c r="TGG100" s="5">
        <v>226</v>
      </c>
      <c r="TGH100" s="5">
        <v>250</v>
      </c>
      <c r="TGI100" s="6">
        <v>44102</v>
      </c>
      <c r="TGK100" s="5" t="s">
        <v>67</v>
      </c>
      <c r="TGL100" s="6">
        <v>44102</v>
      </c>
      <c r="TGM100" s="7">
        <v>0.4</v>
      </c>
      <c r="TGN100" s="5">
        <v>14.5</v>
      </c>
      <c r="TGO100" s="5">
        <v>226</v>
      </c>
      <c r="TGP100" s="5">
        <v>250</v>
      </c>
      <c r="TGQ100" s="6">
        <v>44102</v>
      </c>
      <c r="TGS100" s="5" t="s">
        <v>67</v>
      </c>
      <c r="TGT100" s="6">
        <v>44102</v>
      </c>
      <c r="TGU100" s="7">
        <v>0.4</v>
      </c>
      <c r="TGV100" s="5">
        <v>14.5</v>
      </c>
      <c r="TGW100" s="5">
        <v>226</v>
      </c>
      <c r="TGX100" s="5">
        <v>250</v>
      </c>
      <c r="TGY100" s="6">
        <v>44102</v>
      </c>
      <c r="THA100" s="5" t="s">
        <v>67</v>
      </c>
      <c r="THB100" s="6">
        <v>44102</v>
      </c>
      <c r="THC100" s="7">
        <v>0.4</v>
      </c>
      <c r="THD100" s="5">
        <v>14.5</v>
      </c>
      <c r="THE100" s="5">
        <v>226</v>
      </c>
      <c r="THF100" s="5">
        <v>250</v>
      </c>
      <c r="THG100" s="6">
        <v>44102</v>
      </c>
      <c r="THI100" s="5" t="s">
        <v>67</v>
      </c>
      <c r="THJ100" s="6">
        <v>44102</v>
      </c>
      <c r="THK100" s="7">
        <v>0.4</v>
      </c>
      <c r="THL100" s="5">
        <v>14.5</v>
      </c>
      <c r="THM100" s="5">
        <v>226</v>
      </c>
      <c r="THN100" s="5">
        <v>250</v>
      </c>
      <c r="THO100" s="6">
        <v>44102</v>
      </c>
      <c r="THQ100" s="5" t="s">
        <v>67</v>
      </c>
      <c r="THR100" s="6">
        <v>44102</v>
      </c>
      <c r="THS100" s="7">
        <v>0.4</v>
      </c>
      <c r="THT100" s="5">
        <v>14.5</v>
      </c>
      <c r="THU100" s="5">
        <v>226</v>
      </c>
      <c r="THV100" s="5">
        <v>250</v>
      </c>
      <c r="THW100" s="6">
        <v>44102</v>
      </c>
      <c r="THY100" s="5" t="s">
        <v>67</v>
      </c>
      <c r="THZ100" s="6">
        <v>44102</v>
      </c>
      <c r="TIA100" s="7">
        <v>0.4</v>
      </c>
      <c r="TIB100" s="5">
        <v>14.5</v>
      </c>
      <c r="TIC100" s="5">
        <v>226</v>
      </c>
      <c r="TID100" s="5">
        <v>250</v>
      </c>
      <c r="TIE100" s="6">
        <v>44102</v>
      </c>
      <c r="TIG100" s="5" t="s">
        <v>67</v>
      </c>
      <c r="TIH100" s="6">
        <v>44102</v>
      </c>
      <c r="TII100" s="7">
        <v>0.4</v>
      </c>
      <c r="TIJ100" s="5">
        <v>14.5</v>
      </c>
      <c r="TIK100" s="5">
        <v>226</v>
      </c>
      <c r="TIL100" s="5">
        <v>250</v>
      </c>
      <c r="TIM100" s="6">
        <v>44102</v>
      </c>
      <c r="TIO100" s="5" t="s">
        <v>67</v>
      </c>
      <c r="TIP100" s="6">
        <v>44102</v>
      </c>
      <c r="TIQ100" s="7">
        <v>0.4</v>
      </c>
      <c r="TIR100" s="5">
        <v>14.5</v>
      </c>
      <c r="TIS100" s="5">
        <v>226</v>
      </c>
      <c r="TIT100" s="5">
        <v>250</v>
      </c>
      <c r="TIU100" s="6">
        <v>44102</v>
      </c>
      <c r="TIW100" s="5" t="s">
        <v>67</v>
      </c>
      <c r="TIX100" s="6">
        <v>44102</v>
      </c>
      <c r="TIY100" s="7">
        <v>0.4</v>
      </c>
      <c r="TIZ100" s="5">
        <v>14.5</v>
      </c>
      <c r="TJA100" s="5">
        <v>226</v>
      </c>
      <c r="TJB100" s="5">
        <v>250</v>
      </c>
      <c r="TJC100" s="6">
        <v>44102</v>
      </c>
      <c r="TJE100" s="5" t="s">
        <v>67</v>
      </c>
      <c r="TJF100" s="6">
        <v>44102</v>
      </c>
      <c r="TJG100" s="7">
        <v>0.4</v>
      </c>
      <c r="TJH100" s="5">
        <v>14.5</v>
      </c>
      <c r="TJI100" s="5">
        <v>226</v>
      </c>
      <c r="TJJ100" s="5">
        <v>250</v>
      </c>
      <c r="TJK100" s="6">
        <v>44102</v>
      </c>
      <c r="TJM100" s="5" t="s">
        <v>67</v>
      </c>
      <c r="TJN100" s="6">
        <v>44102</v>
      </c>
      <c r="TJO100" s="7">
        <v>0.4</v>
      </c>
      <c r="TJP100" s="5">
        <v>14.5</v>
      </c>
      <c r="TJQ100" s="5">
        <v>226</v>
      </c>
      <c r="TJR100" s="5">
        <v>250</v>
      </c>
      <c r="TJS100" s="6">
        <v>44102</v>
      </c>
      <c r="TJU100" s="5" t="s">
        <v>67</v>
      </c>
      <c r="TJV100" s="6">
        <v>44102</v>
      </c>
      <c r="TJW100" s="7">
        <v>0.4</v>
      </c>
      <c r="TJX100" s="5">
        <v>14.5</v>
      </c>
      <c r="TJY100" s="5">
        <v>226</v>
      </c>
      <c r="TJZ100" s="5">
        <v>250</v>
      </c>
      <c r="TKA100" s="6">
        <v>44102</v>
      </c>
      <c r="TKC100" s="5" t="s">
        <v>67</v>
      </c>
      <c r="TKD100" s="6">
        <v>44102</v>
      </c>
      <c r="TKE100" s="7">
        <v>0.4</v>
      </c>
      <c r="TKF100" s="5">
        <v>14.5</v>
      </c>
      <c r="TKG100" s="5">
        <v>226</v>
      </c>
      <c r="TKH100" s="5">
        <v>250</v>
      </c>
      <c r="TKI100" s="6">
        <v>44102</v>
      </c>
      <c r="TKK100" s="5" t="s">
        <v>67</v>
      </c>
      <c r="TKL100" s="6">
        <v>44102</v>
      </c>
      <c r="TKM100" s="7">
        <v>0.4</v>
      </c>
      <c r="TKN100" s="5">
        <v>14.5</v>
      </c>
      <c r="TKO100" s="5">
        <v>226</v>
      </c>
      <c r="TKP100" s="5">
        <v>250</v>
      </c>
      <c r="TKQ100" s="6">
        <v>44102</v>
      </c>
      <c r="TKS100" s="5" t="s">
        <v>67</v>
      </c>
      <c r="TKT100" s="6">
        <v>44102</v>
      </c>
      <c r="TKU100" s="7">
        <v>0.4</v>
      </c>
      <c r="TKV100" s="5">
        <v>14.5</v>
      </c>
      <c r="TKW100" s="5">
        <v>226</v>
      </c>
      <c r="TKX100" s="5">
        <v>250</v>
      </c>
      <c r="TKY100" s="6">
        <v>44102</v>
      </c>
      <c r="TLA100" s="5" t="s">
        <v>67</v>
      </c>
      <c r="TLB100" s="6">
        <v>44102</v>
      </c>
      <c r="TLC100" s="7">
        <v>0.4</v>
      </c>
      <c r="TLD100" s="5">
        <v>14.5</v>
      </c>
      <c r="TLE100" s="5">
        <v>226</v>
      </c>
      <c r="TLF100" s="5">
        <v>250</v>
      </c>
      <c r="TLG100" s="6">
        <v>44102</v>
      </c>
      <c r="TLI100" s="5" t="s">
        <v>67</v>
      </c>
      <c r="TLJ100" s="6">
        <v>44102</v>
      </c>
      <c r="TLK100" s="7">
        <v>0.4</v>
      </c>
      <c r="TLL100" s="5">
        <v>14.5</v>
      </c>
      <c r="TLM100" s="5">
        <v>226</v>
      </c>
      <c r="TLN100" s="5">
        <v>250</v>
      </c>
      <c r="TLO100" s="6">
        <v>44102</v>
      </c>
      <c r="TLQ100" s="5" t="s">
        <v>67</v>
      </c>
      <c r="TLR100" s="6">
        <v>44102</v>
      </c>
      <c r="TLS100" s="7">
        <v>0.4</v>
      </c>
      <c r="TLT100" s="5">
        <v>14.5</v>
      </c>
      <c r="TLU100" s="5">
        <v>226</v>
      </c>
      <c r="TLV100" s="5">
        <v>250</v>
      </c>
      <c r="TLW100" s="6">
        <v>44102</v>
      </c>
      <c r="TLY100" s="5" t="s">
        <v>67</v>
      </c>
      <c r="TLZ100" s="6">
        <v>44102</v>
      </c>
      <c r="TMA100" s="7">
        <v>0.4</v>
      </c>
      <c r="TMB100" s="5">
        <v>14.5</v>
      </c>
      <c r="TMC100" s="5">
        <v>226</v>
      </c>
      <c r="TMD100" s="5">
        <v>250</v>
      </c>
      <c r="TME100" s="6">
        <v>44102</v>
      </c>
      <c r="TMG100" s="5" t="s">
        <v>67</v>
      </c>
      <c r="TMH100" s="6">
        <v>44102</v>
      </c>
      <c r="TMI100" s="7">
        <v>0.4</v>
      </c>
      <c r="TMJ100" s="5">
        <v>14.5</v>
      </c>
      <c r="TMK100" s="5">
        <v>226</v>
      </c>
      <c r="TML100" s="5">
        <v>250</v>
      </c>
      <c r="TMM100" s="6">
        <v>44102</v>
      </c>
      <c r="TMO100" s="5" t="s">
        <v>67</v>
      </c>
      <c r="TMP100" s="6">
        <v>44102</v>
      </c>
      <c r="TMQ100" s="7">
        <v>0.4</v>
      </c>
      <c r="TMR100" s="5">
        <v>14.5</v>
      </c>
      <c r="TMS100" s="5">
        <v>226</v>
      </c>
      <c r="TMT100" s="5">
        <v>250</v>
      </c>
      <c r="TMU100" s="6">
        <v>44102</v>
      </c>
      <c r="TMW100" s="5" t="s">
        <v>67</v>
      </c>
      <c r="TMX100" s="6">
        <v>44102</v>
      </c>
      <c r="TMY100" s="7">
        <v>0.4</v>
      </c>
      <c r="TMZ100" s="5">
        <v>14.5</v>
      </c>
      <c r="TNA100" s="5">
        <v>226</v>
      </c>
      <c r="TNB100" s="5">
        <v>250</v>
      </c>
      <c r="TNC100" s="6">
        <v>44102</v>
      </c>
      <c r="TNE100" s="5" t="s">
        <v>67</v>
      </c>
      <c r="TNF100" s="6">
        <v>44102</v>
      </c>
      <c r="TNG100" s="7">
        <v>0.4</v>
      </c>
      <c r="TNH100" s="5">
        <v>14.5</v>
      </c>
      <c r="TNI100" s="5">
        <v>226</v>
      </c>
      <c r="TNJ100" s="5">
        <v>250</v>
      </c>
      <c r="TNK100" s="6">
        <v>44102</v>
      </c>
      <c r="TNM100" s="5" t="s">
        <v>67</v>
      </c>
      <c r="TNN100" s="6">
        <v>44102</v>
      </c>
      <c r="TNO100" s="7">
        <v>0.4</v>
      </c>
      <c r="TNP100" s="5">
        <v>14.5</v>
      </c>
      <c r="TNQ100" s="5">
        <v>226</v>
      </c>
      <c r="TNR100" s="5">
        <v>250</v>
      </c>
      <c r="TNS100" s="6">
        <v>44102</v>
      </c>
      <c r="TNU100" s="5" t="s">
        <v>67</v>
      </c>
      <c r="TNV100" s="6">
        <v>44102</v>
      </c>
      <c r="TNW100" s="7">
        <v>0.4</v>
      </c>
      <c r="TNX100" s="5">
        <v>14.5</v>
      </c>
      <c r="TNY100" s="5">
        <v>226</v>
      </c>
      <c r="TNZ100" s="5">
        <v>250</v>
      </c>
      <c r="TOA100" s="6">
        <v>44102</v>
      </c>
      <c r="TOC100" s="5" t="s">
        <v>67</v>
      </c>
      <c r="TOD100" s="6">
        <v>44102</v>
      </c>
      <c r="TOE100" s="7">
        <v>0.4</v>
      </c>
      <c r="TOF100" s="5">
        <v>14.5</v>
      </c>
      <c r="TOG100" s="5">
        <v>226</v>
      </c>
      <c r="TOH100" s="5">
        <v>250</v>
      </c>
      <c r="TOI100" s="6">
        <v>44102</v>
      </c>
      <c r="TOK100" s="5" t="s">
        <v>67</v>
      </c>
      <c r="TOL100" s="6">
        <v>44102</v>
      </c>
      <c r="TOM100" s="7">
        <v>0.4</v>
      </c>
      <c r="TON100" s="5">
        <v>14.5</v>
      </c>
      <c r="TOO100" s="5">
        <v>226</v>
      </c>
      <c r="TOP100" s="5">
        <v>250</v>
      </c>
      <c r="TOQ100" s="6">
        <v>44102</v>
      </c>
      <c r="TOS100" s="5" t="s">
        <v>67</v>
      </c>
      <c r="TOT100" s="6">
        <v>44102</v>
      </c>
      <c r="TOU100" s="7">
        <v>0.4</v>
      </c>
      <c r="TOV100" s="5">
        <v>14.5</v>
      </c>
      <c r="TOW100" s="5">
        <v>226</v>
      </c>
      <c r="TOX100" s="5">
        <v>250</v>
      </c>
      <c r="TOY100" s="6">
        <v>44102</v>
      </c>
      <c r="TPA100" s="5" t="s">
        <v>67</v>
      </c>
      <c r="TPB100" s="6">
        <v>44102</v>
      </c>
      <c r="TPC100" s="7">
        <v>0.4</v>
      </c>
      <c r="TPD100" s="5">
        <v>14.5</v>
      </c>
      <c r="TPE100" s="5">
        <v>226</v>
      </c>
      <c r="TPF100" s="5">
        <v>250</v>
      </c>
      <c r="TPG100" s="6">
        <v>44102</v>
      </c>
      <c r="TPI100" s="5" t="s">
        <v>67</v>
      </c>
      <c r="TPJ100" s="6">
        <v>44102</v>
      </c>
      <c r="TPK100" s="7">
        <v>0.4</v>
      </c>
      <c r="TPL100" s="5">
        <v>14.5</v>
      </c>
      <c r="TPM100" s="5">
        <v>226</v>
      </c>
      <c r="TPN100" s="5">
        <v>250</v>
      </c>
      <c r="TPO100" s="6">
        <v>44102</v>
      </c>
      <c r="TPQ100" s="5" t="s">
        <v>67</v>
      </c>
      <c r="TPR100" s="6">
        <v>44102</v>
      </c>
      <c r="TPS100" s="7">
        <v>0.4</v>
      </c>
      <c r="TPT100" s="5">
        <v>14.5</v>
      </c>
      <c r="TPU100" s="5">
        <v>226</v>
      </c>
      <c r="TPV100" s="5">
        <v>250</v>
      </c>
      <c r="TPW100" s="6">
        <v>44102</v>
      </c>
      <c r="TPY100" s="5" t="s">
        <v>67</v>
      </c>
      <c r="TPZ100" s="6">
        <v>44102</v>
      </c>
      <c r="TQA100" s="7">
        <v>0.4</v>
      </c>
      <c r="TQB100" s="5">
        <v>14.5</v>
      </c>
      <c r="TQC100" s="5">
        <v>226</v>
      </c>
      <c r="TQD100" s="5">
        <v>250</v>
      </c>
      <c r="TQE100" s="6">
        <v>44102</v>
      </c>
      <c r="TQG100" s="5" t="s">
        <v>67</v>
      </c>
      <c r="TQH100" s="6">
        <v>44102</v>
      </c>
      <c r="TQI100" s="7">
        <v>0.4</v>
      </c>
      <c r="TQJ100" s="5">
        <v>14.5</v>
      </c>
      <c r="TQK100" s="5">
        <v>226</v>
      </c>
      <c r="TQL100" s="5">
        <v>250</v>
      </c>
      <c r="TQM100" s="6">
        <v>44102</v>
      </c>
      <c r="TQO100" s="5" t="s">
        <v>67</v>
      </c>
      <c r="TQP100" s="6">
        <v>44102</v>
      </c>
      <c r="TQQ100" s="7">
        <v>0.4</v>
      </c>
      <c r="TQR100" s="5">
        <v>14.5</v>
      </c>
      <c r="TQS100" s="5">
        <v>226</v>
      </c>
      <c r="TQT100" s="5">
        <v>250</v>
      </c>
      <c r="TQU100" s="6">
        <v>44102</v>
      </c>
      <c r="TQW100" s="5" t="s">
        <v>67</v>
      </c>
      <c r="TQX100" s="6">
        <v>44102</v>
      </c>
      <c r="TQY100" s="7">
        <v>0.4</v>
      </c>
      <c r="TQZ100" s="5">
        <v>14.5</v>
      </c>
      <c r="TRA100" s="5">
        <v>226</v>
      </c>
      <c r="TRB100" s="5">
        <v>250</v>
      </c>
      <c r="TRC100" s="6">
        <v>44102</v>
      </c>
      <c r="TRE100" s="5" t="s">
        <v>67</v>
      </c>
      <c r="TRF100" s="6">
        <v>44102</v>
      </c>
      <c r="TRG100" s="7">
        <v>0.4</v>
      </c>
      <c r="TRH100" s="5">
        <v>14.5</v>
      </c>
      <c r="TRI100" s="5">
        <v>226</v>
      </c>
      <c r="TRJ100" s="5">
        <v>250</v>
      </c>
      <c r="TRK100" s="6">
        <v>44102</v>
      </c>
      <c r="TRM100" s="5" t="s">
        <v>67</v>
      </c>
      <c r="TRN100" s="6">
        <v>44102</v>
      </c>
      <c r="TRO100" s="7">
        <v>0.4</v>
      </c>
      <c r="TRP100" s="5">
        <v>14.5</v>
      </c>
      <c r="TRQ100" s="5">
        <v>226</v>
      </c>
      <c r="TRR100" s="5">
        <v>250</v>
      </c>
      <c r="TRS100" s="6">
        <v>44102</v>
      </c>
      <c r="TRU100" s="5" t="s">
        <v>67</v>
      </c>
      <c r="TRV100" s="6">
        <v>44102</v>
      </c>
      <c r="TRW100" s="7">
        <v>0.4</v>
      </c>
      <c r="TRX100" s="5">
        <v>14.5</v>
      </c>
      <c r="TRY100" s="5">
        <v>226</v>
      </c>
      <c r="TRZ100" s="5">
        <v>250</v>
      </c>
      <c r="TSA100" s="6">
        <v>44102</v>
      </c>
      <c r="TSC100" s="5" t="s">
        <v>67</v>
      </c>
      <c r="TSD100" s="6">
        <v>44102</v>
      </c>
      <c r="TSE100" s="7">
        <v>0.4</v>
      </c>
      <c r="TSF100" s="5">
        <v>14.5</v>
      </c>
      <c r="TSG100" s="5">
        <v>226</v>
      </c>
      <c r="TSH100" s="5">
        <v>250</v>
      </c>
      <c r="TSI100" s="6">
        <v>44102</v>
      </c>
      <c r="TSK100" s="5" t="s">
        <v>67</v>
      </c>
      <c r="TSL100" s="6">
        <v>44102</v>
      </c>
      <c r="TSM100" s="7">
        <v>0.4</v>
      </c>
      <c r="TSN100" s="5">
        <v>14.5</v>
      </c>
      <c r="TSO100" s="5">
        <v>226</v>
      </c>
      <c r="TSP100" s="5">
        <v>250</v>
      </c>
      <c r="TSQ100" s="6">
        <v>44102</v>
      </c>
      <c r="TSS100" s="5" t="s">
        <v>67</v>
      </c>
      <c r="TST100" s="6">
        <v>44102</v>
      </c>
      <c r="TSU100" s="7">
        <v>0.4</v>
      </c>
      <c r="TSV100" s="5">
        <v>14.5</v>
      </c>
      <c r="TSW100" s="5">
        <v>226</v>
      </c>
      <c r="TSX100" s="5">
        <v>250</v>
      </c>
      <c r="TSY100" s="6">
        <v>44102</v>
      </c>
      <c r="TTA100" s="5" t="s">
        <v>67</v>
      </c>
      <c r="TTB100" s="6">
        <v>44102</v>
      </c>
      <c r="TTC100" s="7">
        <v>0.4</v>
      </c>
      <c r="TTD100" s="5">
        <v>14.5</v>
      </c>
      <c r="TTE100" s="5">
        <v>226</v>
      </c>
      <c r="TTF100" s="5">
        <v>250</v>
      </c>
      <c r="TTG100" s="6">
        <v>44102</v>
      </c>
      <c r="TTI100" s="5" t="s">
        <v>67</v>
      </c>
      <c r="TTJ100" s="6">
        <v>44102</v>
      </c>
      <c r="TTK100" s="7">
        <v>0.4</v>
      </c>
      <c r="TTL100" s="5">
        <v>14.5</v>
      </c>
      <c r="TTM100" s="5">
        <v>226</v>
      </c>
      <c r="TTN100" s="5">
        <v>250</v>
      </c>
      <c r="TTO100" s="6">
        <v>44102</v>
      </c>
      <c r="TTQ100" s="5" t="s">
        <v>67</v>
      </c>
      <c r="TTR100" s="6">
        <v>44102</v>
      </c>
      <c r="TTS100" s="7">
        <v>0.4</v>
      </c>
      <c r="TTT100" s="5">
        <v>14.5</v>
      </c>
      <c r="TTU100" s="5">
        <v>226</v>
      </c>
      <c r="TTV100" s="5">
        <v>250</v>
      </c>
      <c r="TTW100" s="6">
        <v>44102</v>
      </c>
      <c r="TTY100" s="5" t="s">
        <v>67</v>
      </c>
      <c r="TTZ100" s="6">
        <v>44102</v>
      </c>
      <c r="TUA100" s="7">
        <v>0.4</v>
      </c>
      <c r="TUB100" s="5">
        <v>14.5</v>
      </c>
      <c r="TUC100" s="5">
        <v>226</v>
      </c>
      <c r="TUD100" s="5">
        <v>250</v>
      </c>
      <c r="TUE100" s="6">
        <v>44102</v>
      </c>
      <c r="TUG100" s="5" t="s">
        <v>67</v>
      </c>
      <c r="TUH100" s="6">
        <v>44102</v>
      </c>
      <c r="TUI100" s="7">
        <v>0.4</v>
      </c>
      <c r="TUJ100" s="5">
        <v>14.5</v>
      </c>
      <c r="TUK100" s="5">
        <v>226</v>
      </c>
      <c r="TUL100" s="5">
        <v>250</v>
      </c>
      <c r="TUM100" s="6">
        <v>44102</v>
      </c>
      <c r="TUO100" s="5" t="s">
        <v>67</v>
      </c>
      <c r="TUP100" s="6">
        <v>44102</v>
      </c>
      <c r="TUQ100" s="7">
        <v>0.4</v>
      </c>
      <c r="TUR100" s="5">
        <v>14.5</v>
      </c>
      <c r="TUS100" s="5">
        <v>226</v>
      </c>
      <c r="TUT100" s="5">
        <v>250</v>
      </c>
      <c r="TUU100" s="6">
        <v>44102</v>
      </c>
      <c r="TUW100" s="5" t="s">
        <v>67</v>
      </c>
      <c r="TUX100" s="6">
        <v>44102</v>
      </c>
      <c r="TUY100" s="7">
        <v>0.4</v>
      </c>
      <c r="TUZ100" s="5">
        <v>14.5</v>
      </c>
      <c r="TVA100" s="5">
        <v>226</v>
      </c>
      <c r="TVB100" s="5">
        <v>250</v>
      </c>
      <c r="TVC100" s="6">
        <v>44102</v>
      </c>
      <c r="TVE100" s="5" t="s">
        <v>67</v>
      </c>
      <c r="TVF100" s="6">
        <v>44102</v>
      </c>
      <c r="TVG100" s="7">
        <v>0.4</v>
      </c>
      <c r="TVH100" s="5">
        <v>14.5</v>
      </c>
      <c r="TVI100" s="5">
        <v>226</v>
      </c>
      <c r="TVJ100" s="5">
        <v>250</v>
      </c>
      <c r="TVK100" s="6">
        <v>44102</v>
      </c>
      <c r="TVM100" s="5" t="s">
        <v>67</v>
      </c>
      <c r="TVN100" s="6">
        <v>44102</v>
      </c>
      <c r="TVO100" s="7">
        <v>0.4</v>
      </c>
      <c r="TVP100" s="5">
        <v>14.5</v>
      </c>
      <c r="TVQ100" s="5">
        <v>226</v>
      </c>
      <c r="TVR100" s="5">
        <v>250</v>
      </c>
      <c r="TVS100" s="6">
        <v>44102</v>
      </c>
      <c r="TVU100" s="5" t="s">
        <v>67</v>
      </c>
      <c r="TVV100" s="6">
        <v>44102</v>
      </c>
      <c r="TVW100" s="7">
        <v>0.4</v>
      </c>
      <c r="TVX100" s="5">
        <v>14.5</v>
      </c>
      <c r="TVY100" s="5">
        <v>226</v>
      </c>
      <c r="TVZ100" s="5">
        <v>250</v>
      </c>
      <c r="TWA100" s="6">
        <v>44102</v>
      </c>
      <c r="TWC100" s="5" t="s">
        <v>67</v>
      </c>
      <c r="TWD100" s="6">
        <v>44102</v>
      </c>
      <c r="TWE100" s="7">
        <v>0.4</v>
      </c>
      <c r="TWF100" s="5">
        <v>14.5</v>
      </c>
      <c r="TWG100" s="5">
        <v>226</v>
      </c>
      <c r="TWH100" s="5">
        <v>250</v>
      </c>
      <c r="TWI100" s="6">
        <v>44102</v>
      </c>
      <c r="TWK100" s="5" t="s">
        <v>67</v>
      </c>
      <c r="TWL100" s="6">
        <v>44102</v>
      </c>
      <c r="TWM100" s="7">
        <v>0.4</v>
      </c>
      <c r="TWN100" s="5">
        <v>14.5</v>
      </c>
      <c r="TWO100" s="5">
        <v>226</v>
      </c>
      <c r="TWP100" s="5">
        <v>250</v>
      </c>
      <c r="TWQ100" s="6">
        <v>44102</v>
      </c>
      <c r="TWS100" s="5" t="s">
        <v>67</v>
      </c>
      <c r="TWT100" s="6">
        <v>44102</v>
      </c>
      <c r="TWU100" s="7">
        <v>0.4</v>
      </c>
      <c r="TWV100" s="5">
        <v>14.5</v>
      </c>
      <c r="TWW100" s="5">
        <v>226</v>
      </c>
      <c r="TWX100" s="5">
        <v>250</v>
      </c>
      <c r="TWY100" s="6">
        <v>44102</v>
      </c>
      <c r="TXA100" s="5" t="s">
        <v>67</v>
      </c>
      <c r="TXB100" s="6">
        <v>44102</v>
      </c>
      <c r="TXC100" s="7">
        <v>0.4</v>
      </c>
      <c r="TXD100" s="5">
        <v>14.5</v>
      </c>
      <c r="TXE100" s="5">
        <v>226</v>
      </c>
      <c r="TXF100" s="5">
        <v>250</v>
      </c>
      <c r="TXG100" s="6">
        <v>44102</v>
      </c>
      <c r="TXI100" s="5" t="s">
        <v>67</v>
      </c>
      <c r="TXJ100" s="6">
        <v>44102</v>
      </c>
      <c r="TXK100" s="7">
        <v>0.4</v>
      </c>
      <c r="TXL100" s="5">
        <v>14.5</v>
      </c>
      <c r="TXM100" s="5">
        <v>226</v>
      </c>
      <c r="TXN100" s="5">
        <v>250</v>
      </c>
      <c r="TXO100" s="6">
        <v>44102</v>
      </c>
      <c r="TXQ100" s="5" t="s">
        <v>67</v>
      </c>
      <c r="TXR100" s="6">
        <v>44102</v>
      </c>
      <c r="TXS100" s="7">
        <v>0.4</v>
      </c>
      <c r="TXT100" s="5">
        <v>14.5</v>
      </c>
      <c r="TXU100" s="5">
        <v>226</v>
      </c>
      <c r="TXV100" s="5">
        <v>250</v>
      </c>
      <c r="TXW100" s="6">
        <v>44102</v>
      </c>
      <c r="TXY100" s="5" t="s">
        <v>67</v>
      </c>
      <c r="TXZ100" s="6">
        <v>44102</v>
      </c>
      <c r="TYA100" s="7">
        <v>0.4</v>
      </c>
      <c r="TYB100" s="5">
        <v>14.5</v>
      </c>
      <c r="TYC100" s="5">
        <v>226</v>
      </c>
      <c r="TYD100" s="5">
        <v>250</v>
      </c>
      <c r="TYE100" s="6">
        <v>44102</v>
      </c>
      <c r="TYG100" s="5" t="s">
        <v>67</v>
      </c>
      <c r="TYH100" s="6">
        <v>44102</v>
      </c>
      <c r="TYI100" s="7">
        <v>0.4</v>
      </c>
      <c r="TYJ100" s="5">
        <v>14.5</v>
      </c>
      <c r="TYK100" s="5">
        <v>226</v>
      </c>
      <c r="TYL100" s="5">
        <v>250</v>
      </c>
      <c r="TYM100" s="6">
        <v>44102</v>
      </c>
      <c r="TYO100" s="5" t="s">
        <v>67</v>
      </c>
      <c r="TYP100" s="6">
        <v>44102</v>
      </c>
      <c r="TYQ100" s="7">
        <v>0.4</v>
      </c>
      <c r="TYR100" s="5">
        <v>14.5</v>
      </c>
      <c r="TYS100" s="5">
        <v>226</v>
      </c>
      <c r="TYT100" s="5">
        <v>250</v>
      </c>
      <c r="TYU100" s="6">
        <v>44102</v>
      </c>
      <c r="TYW100" s="5" t="s">
        <v>67</v>
      </c>
      <c r="TYX100" s="6">
        <v>44102</v>
      </c>
      <c r="TYY100" s="7">
        <v>0.4</v>
      </c>
      <c r="TYZ100" s="5">
        <v>14.5</v>
      </c>
      <c r="TZA100" s="5">
        <v>226</v>
      </c>
      <c r="TZB100" s="5">
        <v>250</v>
      </c>
      <c r="TZC100" s="6">
        <v>44102</v>
      </c>
      <c r="TZE100" s="5" t="s">
        <v>67</v>
      </c>
      <c r="TZF100" s="6">
        <v>44102</v>
      </c>
      <c r="TZG100" s="7">
        <v>0.4</v>
      </c>
      <c r="TZH100" s="5">
        <v>14.5</v>
      </c>
      <c r="TZI100" s="5">
        <v>226</v>
      </c>
      <c r="TZJ100" s="5">
        <v>250</v>
      </c>
      <c r="TZK100" s="6">
        <v>44102</v>
      </c>
      <c r="TZM100" s="5" t="s">
        <v>67</v>
      </c>
      <c r="TZN100" s="6">
        <v>44102</v>
      </c>
      <c r="TZO100" s="7">
        <v>0.4</v>
      </c>
      <c r="TZP100" s="5">
        <v>14.5</v>
      </c>
      <c r="TZQ100" s="5">
        <v>226</v>
      </c>
      <c r="TZR100" s="5">
        <v>250</v>
      </c>
      <c r="TZS100" s="6">
        <v>44102</v>
      </c>
      <c r="TZU100" s="5" t="s">
        <v>67</v>
      </c>
      <c r="TZV100" s="6">
        <v>44102</v>
      </c>
      <c r="TZW100" s="7">
        <v>0.4</v>
      </c>
      <c r="TZX100" s="5">
        <v>14.5</v>
      </c>
      <c r="TZY100" s="5">
        <v>226</v>
      </c>
      <c r="TZZ100" s="5">
        <v>250</v>
      </c>
      <c r="UAA100" s="6">
        <v>44102</v>
      </c>
      <c r="UAC100" s="5" t="s">
        <v>67</v>
      </c>
      <c r="UAD100" s="6">
        <v>44102</v>
      </c>
      <c r="UAE100" s="7">
        <v>0.4</v>
      </c>
      <c r="UAF100" s="5">
        <v>14.5</v>
      </c>
      <c r="UAG100" s="5">
        <v>226</v>
      </c>
      <c r="UAH100" s="5">
        <v>250</v>
      </c>
      <c r="UAI100" s="6">
        <v>44102</v>
      </c>
      <c r="UAK100" s="5" t="s">
        <v>67</v>
      </c>
      <c r="UAL100" s="6">
        <v>44102</v>
      </c>
      <c r="UAM100" s="7">
        <v>0.4</v>
      </c>
      <c r="UAN100" s="5">
        <v>14.5</v>
      </c>
      <c r="UAO100" s="5">
        <v>226</v>
      </c>
      <c r="UAP100" s="5">
        <v>250</v>
      </c>
      <c r="UAQ100" s="6">
        <v>44102</v>
      </c>
      <c r="UAS100" s="5" t="s">
        <v>67</v>
      </c>
      <c r="UAT100" s="6">
        <v>44102</v>
      </c>
      <c r="UAU100" s="7">
        <v>0.4</v>
      </c>
      <c r="UAV100" s="5">
        <v>14.5</v>
      </c>
      <c r="UAW100" s="5">
        <v>226</v>
      </c>
      <c r="UAX100" s="5">
        <v>250</v>
      </c>
      <c r="UAY100" s="6">
        <v>44102</v>
      </c>
      <c r="UBA100" s="5" t="s">
        <v>67</v>
      </c>
      <c r="UBB100" s="6">
        <v>44102</v>
      </c>
      <c r="UBC100" s="7">
        <v>0.4</v>
      </c>
      <c r="UBD100" s="5">
        <v>14.5</v>
      </c>
      <c r="UBE100" s="5">
        <v>226</v>
      </c>
      <c r="UBF100" s="5">
        <v>250</v>
      </c>
      <c r="UBG100" s="6">
        <v>44102</v>
      </c>
      <c r="UBI100" s="5" t="s">
        <v>67</v>
      </c>
      <c r="UBJ100" s="6">
        <v>44102</v>
      </c>
      <c r="UBK100" s="7">
        <v>0.4</v>
      </c>
      <c r="UBL100" s="5">
        <v>14.5</v>
      </c>
      <c r="UBM100" s="5">
        <v>226</v>
      </c>
      <c r="UBN100" s="5">
        <v>250</v>
      </c>
      <c r="UBO100" s="6">
        <v>44102</v>
      </c>
      <c r="UBQ100" s="5" t="s">
        <v>67</v>
      </c>
      <c r="UBR100" s="6">
        <v>44102</v>
      </c>
      <c r="UBS100" s="7">
        <v>0.4</v>
      </c>
      <c r="UBT100" s="5">
        <v>14.5</v>
      </c>
      <c r="UBU100" s="5">
        <v>226</v>
      </c>
      <c r="UBV100" s="5">
        <v>250</v>
      </c>
      <c r="UBW100" s="6">
        <v>44102</v>
      </c>
      <c r="UBY100" s="5" t="s">
        <v>67</v>
      </c>
      <c r="UBZ100" s="6">
        <v>44102</v>
      </c>
      <c r="UCA100" s="7">
        <v>0.4</v>
      </c>
      <c r="UCB100" s="5">
        <v>14.5</v>
      </c>
      <c r="UCC100" s="5">
        <v>226</v>
      </c>
      <c r="UCD100" s="5">
        <v>250</v>
      </c>
      <c r="UCE100" s="6">
        <v>44102</v>
      </c>
      <c r="UCG100" s="5" t="s">
        <v>67</v>
      </c>
      <c r="UCH100" s="6">
        <v>44102</v>
      </c>
      <c r="UCI100" s="7">
        <v>0.4</v>
      </c>
      <c r="UCJ100" s="5">
        <v>14.5</v>
      </c>
      <c r="UCK100" s="5">
        <v>226</v>
      </c>
      <c r="UCL100" s="5">
        <v>250</v>
      </c>
      <c r="UCM100" s="6">
        <v>44102</v>
      </c>
      <c r="UCO100" s="5" t="s">
        <v>67</v>
      </c>
      <c r="UCP100" s="6">
        <v>44102</v>
      </c>
      <c r="UCQ100" s="7">
        <v>0.4</v>
      </c>
      <c r="UCR100" s="5">
        <v>14.5</v>
      </c>
      <c r="UCS100" s="5">
        <v>226</v>
      </c>
      <c r="UCT100" s="5">
        <v>250</v>
      </c>
      <c r="UCU100" s="6">
        <v>44102</v>
      </c>
      <c r="UCW100" s="5" t="s">
        <v>67</v>
      </c>
      <c r="UCX100" s="6">
        <v>44102</v>
      </c>
      <c r="UCY100" s="7">
        <v>0.4</v>
      </c>
      <c r="UCZ100" s="5">
        <v>14.5</v>
      </c>
      <c r="UDA100" s="5">
        <v>226</v>
      </c>
      <c r="UDB100" s="5">
        <v>250</v>
      </c>
      <c r="UDC100" s="6">
        <v>44102</v>
      </c>
      <c r="UDE100" s="5" t="s">
        <v>67</v>
      </c>
      <c r="UDF100" s="6">
        <v>44102</v>
      </c>
      <c r="UDG100" s="7">
        <v>0.4</v>
      </c>
      <c r="UDH100" s="5">
        <v>14.5</v>
      </c>
      <c r="UDI100" s="5">
        <v>226</v>
      </c>
      <c r="UDJ100" s="5">
        <v>250</v>
      </c>
      <c r="UDK100" s="6">
        <v>44102</v>
      </c>
      <c r="UDM100" s="5" t="s">
        <v>67</v>
      </c>
      <c r="UDN100" s="6">
        <v>44102</v>
      </c>
      <c r="UDO100" s="7">
        <v>0.4</v>
      </c>
      <c r="UDP100" s="5">
        <v>14.5</v>
      </c>
      <c r="UDQ100" s="5">
        <v>226</v>
      </c>
      <c r="UDR100" s="5">
        <v>250</v>
      </c>
      <c r="UDS100" s="6">
        <v>44102</v>
      </c>
      <c r="UDU100" s="5" t="s">
        <v>67</v>
      </c>
      <c r="UDV100" s="6">
        <v>44102</v>
      </c>
      <c r="UDW100" s="7">
        <v>0.4</v>
      </c>
      <c r="UDX100" s="5">
        <v>14.5</v>
      </c>
      <c r="UDY100" s="5">
        <v>226</v>
      </c>
      <c r="UDZ100" s="5">
        <v>250</v>
      </c>
      <c r="UEA100" s="6">
        <v>44102</v>
      </c>
      <c r="UEC100" s="5" t="s">
        <v>67</v>
      </c>
      <c r="UED100" s="6">
        <v>44102</v>
      </c>
      <c r="UEE100" s="7">
        <v>0.4</v>
      </c>
      <c r="UEF100" s="5">
        <v>14.5</v>
      </c>
      <c r="UEG100" s="5">
        <v>226</v>
      </c>
      <c r="UEH100" s="5">
        <v>250</v>
      </c>
      <c r="UEI100" s="6">
        <v>44102</v>
      </c>
      <c r="UEK100" s="5" t="s">
        <v>67</v>
      </c>
      <c r="UEL100" s="6">
        <v>44102</v>
      </c>
      <c r="UEM100" s="7">
        <v>0.4</v>
      </c>
      <c r="UEN100" s="5">
        <v>14.5</v>
      </c>
      <c r="UEO100" s="5">
        <v>226</v>
      </c>
      <c r="UEP100" s="5">
        <v>250</v>
      </c>
      <c r="UEQ100" s="6">
        <v>44102</v>
      </c>
      <c r="UES100" s="5" t="s">
        <v>67</v>
      </c>
      <c r="UET100" s="6">
        <v>44102</v>
      </c>
      <c r="UEU100" s="7">
        <v>0.4</v>
      </c>
      <c r="UEV100" s="5">
        <v>14.5</v>
      </c>
      <c r="UEW100" s="5">
        <v>226</v>
      </c>
      <c r="UEX100" s="5">
        <v>250</v>
      </c>
      <c r="UEY100" s="6">
        <v>44102</v>
      </c>
      <c r="UFA100" s="5" t="s">
        <v>67</v>
      </c>
      <c r="UFB100" s="6">
        <v>44102</v>
      </c>
      <c r="UFC100" s="7">
        <v>0.4</v>
      </c>
      <c r="UFD100" s="5">
        <v>14.5</v>
      </c>
      <c r="UFE100" s="5">
        <v>226</v>
      </c>
      <c r="UFF100" s="5">
        <v>250</v>
      </c>
      <c r="UFG100" s="6">
        <v>44102</v>
      </c>
      <c r="UFI100" s="5" t="s">
        <v>67</v>
      </c>
      <c r="UFJ100" s="6">
        <v>44102</v>
      </c>
      <c r="UFK100" s="7">
        <v>0.4</v>
      </c>
      <c r="UFL100" s="5">
        <v>14.5</v>
      </c>
      <c r="UFM100" s="5">
        <v>226</v>
      </c>
      <c r="UFN100" s="5">
        <v>250</v>
      </c>
      <c r="UFO100" s="6">
        <v>44102</v>
      </c>
      <c r="UFQ100" s="5" t="s">
        <v>67</v>
      </c>
      <c r="UFR100" s="6">
        <v>44102</v>
      </c>
      <c r="UFS100" s="7">
        <v>0.4</v>
      </c>
      <c r="UFT100" s="5">
        <v>14.5</v>
      </c>
      <c r="UFU100" s="5">
        <v>226</v>
      </c>
      <c r="UFV100" s="5">
        <v>250</v>
      </c>
      <c r="UFW100" s="6">
        <v>44102</v>
      </c>
      <c r="UFY100" s="5" t="s">
        <v>67</v>
      </c>
      <c r="UFZ100" s="6">
        <v>44102</v>
      </c>
      <c r="UGA100" s="7">
        <v>0.4</v>
      </c>
      <c r="UGB100" s="5">
        <v>14.5</v>
      </c>
      <c r="UGC100" s="5">
        <v>226</v>
      </c>
      <c r="UGD100" s="5">
        <v>250</v>
      </c>
      <c r="UGE100" s="6">
        <v>44102</v>
      </c>
      <c r="UGG100" s="5" t="s">
        <v>67</v>
      </c>
      <c r="UGH100" s="6">
        <v>44102</v>
      </c>
      <c r="UGI100" s="7">
        <v>0.4</v>
      </c>
      <c r="UGJ100" s="5">
        <v>14.5</v>
      </c>
      <c r="UGK100" s="5">
        <v>226</v>
      </c>
      <c r="UGL100" s="5">
        <v>250</v>
      </c>
      <c r="UGM100" s="6">
        <v>44102</v>
      </c>
      <c r="UGO100" s="5" t="s">
        <v>67</v>
      </c>
      <c r="UGP100" s="6">
        <v>44102</v>
      </c>
      <c r="UGQ100" s="7">
        <v>0.4</v>
      </c>
      <c r="UGR100" s="5">
        <v>14.5</v>
      </c>
      <c r="UGS100" s="5">
        <v>226</v>
      </c>
      <c r="UGT100" s="5">
        <v>250</v>
      </c>
      <c r="UGU100" s="6">
        <v>44102</v>
      </c>
      <c r="UGW100" s="5" t="s">
        <v>67</v>
      </c>
      <c r="UGX100" s="6">
        <v>44102</v>
      </c>
      <c r="UGY100" s="7">
        <v>0.4</v>
      </c>
      <c r="UGZ100" s="5">
        <v>14.5</v>
      </c>
      <c r="UHA100" s="5">
        <v>226</v>
      </c>
      <c r="UHB100" s="5">
        <v>250</v>
      </c>
      <c r="UHC100" s="6">
        <v>44102</v>
      </c>
      <c r="UHE100" s="5" t="s">
        <v>67</v>
      </c>
      <c r="UHF100" s="6">
        <v>44102</v>
      </c>
      <c r="UHG100" s="7">
        <v>0.4</v>
      </c>
      <c r="UHH100" s="5">
        <v>14.5</v>
      </c>
      <c r="UHI100" s="5">
        <v>226</v>
      </c>
      <c r="UHJ100" s="5">
        <v>250</v>
      </c>
      <c r="UHK100" s="6">
        <v>44102</v>
      </c>
      <c r="UHM100" s="5" t="s">
        <v>67</v>
      </c>
      <c r="UHN100" s="6">
        <v>44102</v>
      </c>
      <c r="UHO100" s="7">
        <v>0.4</v>
      </c>
      <c r="UHP100" s="5">
        <v>14.5</v>
      </c>
      <c r="UHQ100" s="5">
        <v>226</v>
      </c>
      <c r="UHR100" s="5">
        <v>250</v>
      </c>
      <c r="UHS100" s="6">
        <v>44102</v>
      </c>
      <c r="UHU100" s="5" t="s">
        <v>67</v>
      </c>
      <c r="UHV100" s="6">
        <v>44102</v>
      </c>
      <c r="UHW100" s="7">
        <v>0.4</v>
      </c>
      <c r="UHX100" s="5">
        <v>14.5</v>
      </c>
      <c r="UHY100" s="5">
        <v>226</v>
      </c>
      <c r="UHZ100" s="5">
        <v>250</v>
      </c>
      <c r="UIA100" s="6">
        <v>44102</v>
      </c>
      <c r="UIC100" s="5" t="s">
        <v>67</v>
      </c>
      <c r="UID100" s="6">
        <v>44102</v>
      </c>
      <c r="UIE100" s="7">
        <v>0.4</v>
      </c>
      <c r="UIF100" s="5">
        <v>14.5</v>
      </c>
      <c r="UIG100" s="5">
        <v>226</v>
      </c>
      <c r="UIH100" s="5">
        <v>250</v>
      </c>
      <c r="UII100" s="6">
        <v>44102</v>
      </c>
      <c r="UIK100" s="5" t="s">
        <v>67</v>
      </c>
      <c r="UIL100" s="6">
        <v>44102</v>
      </c>
      <c r="UIM100" s="7">
        <v>0.4</v>
      </c>
      <c r="UIN100" s="5">
        <v>14.5</v>
      </c>
      <c r="UIO100" s="5">
        <v>226</v>
      </c>
      <c r="UIP100" s="5">
        <v>250</v>
      </c>
      <c r="UIQ100" s="6">
        <v>44102</v>
      </c>
      <c r="UIS100" s="5" t="s">
        <v>67</v>
      </c>
      <c r="UIT100" s="6">
        <v>44102</v>
      </c>
      <c r="UIU100" s="7">
        <v>0.4</v>
      </c>
      <c r="UIV100" s="5">
        <v>14.5</v>
      </c>
      <c r="UIW100" s="5">
        <v>226</v>
      </c>
      <c r="UIX100" s="5">
        <v>250</v>
      </c>
      <c r="UIY100" s="6">
        <v>44102</v>
      </c>
      <c r="UJA100" s="5" t="s">
        <v>67</v>
      </c>
      <c r="UJB100" s="6">
        <v>44102</v>
      </c>
      <c r="UJC100" s="7">
        <v>0.4</v>
      </c>
      <c r="UJD100" s="5">
        <v>14.5</v>
      </c>
      <c r="UJE100" s="5">
        <v>226</v>
      </c>
      <c r="UJF100" s="5">
        <v>250</v>
      </c>
      <c r="UJG100" s="6">
        <v>44102</v>
      </c>
      <c r="UJI100" s="5" t="s">
        <v>67</v>
      </c>
      <c r="UJJ100" s="6">
        <v>44102</v>
      </c>
      <c r="UJK100" s="7">
        <v>0.4</v>
      </c>
      <c r="UJL100" s="5">
        <v>14.5</v>
      </c>
      <c r="UJM100" s="5">
        <v>226</v>
      </c>
      <c r="UJN100" s="5">
        <v>250</v>
      </c>
      <c r="UJO100" s="6">
        <v>44102</v>
      </c>
      <c r="UJQ100" s="5" t="s">
        <v>67</v>
      </c>
      <c r="UJR100" s="6">
        <v>44102</v>
      </c>
      <c r="UJS100" s="7">
        <v>0.4</v>
      </c>
      <c r="UJT100" s="5">
        <v>14.5</v>
      </c>
      <c r="UJU100" s="5">
        <v>226</v>
      </c>
      <c r="UJV100" s="5">
        <v>250</v>
      </c>
      <c r="UJW100" s="6">
        <v>44102</v>
      </c>
      <c r="UJY100" s="5" t="s">
        <v>67</v>
      </c>
      <c r="UJZ100" s="6">
        <v>44102</v>
      </c>
      <c r="UKA100" s="7">
        <v>0.4</v>
      </c>
      <c r="UKB100" s="5">
        <v>14.5</v>
      </c>
      <c r="UKC100" s="5">
        <v>226</v>
      </c>
      <c r="UKD100" s="5">
        <v>250</v>
      </c>
      <c r="UKE100" s="6">
        <v>44102</v>
      </c>
      <c r="UKG100" s="5" t="s">
        <v>67</v>
      </c>
      <c r="UKH100" s="6">
        <v>44102</v>
      </c>
      <c r="UKI100" s="7">
        <v>0.4</v>
      </c>
      <c r="UKJ100" s="5">
        <v>14.5</v>
      </c>
      <c r="UKK100" s="5">
        <v>226</v>
      </c>
      <c r="UKL100" s="5">
        <v>250</v>
      </c>
      <c r="UKM100" s="6">
        <v>44102</v>
      </c>
      <c r="UKO100" s="5" t="s">
        <v>67</v>
      </c>
      <c r="UKP100" s="6">
        <v>44102</v>
      </c>
      <c r="UKQ100" s="7">
        <v>0.4</v>
      </c>
      <c r="UKR100" s="5">
        <v>14.5</v>
      </c>
      <c r="UKS100" s="5">
        <v>226</v>
      </c>
      <c r="UKT100" s="5">
        <v>250</v>
      </c>
      <c r="UKU100" s="6">
        <v>44102</v>
      </c>
      <c r="UKW100" s="5" t="s">
        <v>67</v>
      </c>
      <c r="UKX100" s="6">
        <v>44102</v>
      </c>
      <c r="UKY100" s="7">
        <v>0.4</v>
      </c>
      <c r="UKZ100" s="5">
        <v>14.5</v>
      </c>
      <c r="ULA100" s="5">
        <v>226</v>
      </c>
      <c r="ULB100" s="5">
        <v>250</v>
      </c>
      <c r="ULC100" s="6">
        <v>44102</v>
      </c>
      <c r="ULE100" s="5" t="s">
        <v>67</v>
      </c>
      <c r="ULF100" s="6">
        <v>44102</v>
      </c>
      <c r="ULG100" s="7">
        <v>0.4</v>
      </c>
      <c r="ULH100" s="5">
        <v>14.5</v>
      </c>
      <c r="ULI100" s="5">
        <v>226</v>
      </c>
      <c r="ULJ100" s="5">
        <v>250</v>
      </c>
      <c r="ULK100" s="6">
        <v>44102</v>
      </c>
      <c r="ULM100" s="5" t="s">
        <v>67</v>
      </c>
      <c r="ULN100" s="6">
        <v>44102</v>
      </c>
      <c r="ULO100" s="7">
        <v>0.4</v>
      </c>
      <c r="ULP100" s="5">
        <v>14.5</v>
      </c>
      <c r="ULQ100" s="5">
        <v>226</v>
      </c>
      <c r="ULR100" s="5">
        <v>250</v>
      </c>
      <c r="ULS100" s="6">
        <v>44102</v>
      </c>
      <c r="ULU100" s="5" t="s">
        <v>67</v>
      </c>
      <c r="ULV100" s="6">
        <v>44102</v>
      </c>
      <c r="ULW100" s="7">
        <v>0.4</v>
      </c>
      <c r="ULX100" s="5">
        <v>14.5</v>
      </c>
      <c r="ULY100" s="5">
        <v>226</v>
      </c>
      <c r="ULZ100" s="5">
        <v>250</v>
      </c>
      <c r="UMA100" s="6">
        <v>44102</v>
      </c>
      <c r="UMC100" s="5" t="s">
        <v>67</v>
      </c>
      <c r="UMD100" s="6">
        <v>44102</v>
      </c>
      <c r="UME100" s="7">
        <v>0.4</v>
      </c>
      <c r="UMF100" s="5">
        <v>14.5</v>
      </c>
      <c r="UMG100" s="5">
        <v>226</v>
      </c>
      <c r="UMH100" s="5">
        <v>250</v>
      </c>
      <c r="UMI100" s="6">
        <v>44102</v>
      </c>
      <c r="UMK100" s="5" t="s">
        <v>67</v>
      </c>
      <c r="UML100" s="6">
        <v>44102</v>
      </c>
      <c r="UMM100" s="7">
        <v>0.4</v>
      </c>
      <c r="UMN100" s="5">
        <v>14.5</v>
      </c>
      <c r="UMO100" s="5">
        <v>226</v>
      </c>
      <c r="UMP100" s="5">
        <v>250</v>
      </c>
      <c r="UMQ100" s="6">
        <v>44102</v>
      </c>
      <c r="UMS100" s="5" t="s">
        <v>67</v>
      </c>
      <c r="UMT100" s="6">
        <v>44102</v>
      </c>
      <c r="UMU100" s="7">
        <v>0.4</v>
      </c>
      <c r="UMV100" s="5">
        <v>14.5</v>
      </c>
      <c r="UMW100" s="5">
        <v>226</v>
      </c>
      <c r="UMX100" s="5">
        <v>250</v>
      </c>
      <c r="UMY100" s="6">
        <v>44102</v>
      </c>
      <c r="UNA100" s="5" t="s">
        <v>67</v>
      </c>
      <c r="UNB100" s="6">
        <v>44102</v>
      </c>
      <c r="UNC100" s="7">
        <v>0.4</v>
      </c>
      <c r="UND100" s="5">
        <v>14.5</v>
      </c>
      <c r="UNE100" s="5">
        <v>226</v>
      </c>
      <c r="UNF100" s="5">
        <v>250</v>
      </c>
      <c r="UNG100" s="6">
        <v>44102</v>
      </c>
      <c r="UNI100" s="5" t="s">
        <v>67</v>
      </c>
      <c r="UNJ100" s="6">
        <v>44102</v>
      </c>
      <c r="UNK100" s="7">
        <v>0.4</v>
      </c>
      <c r="UNL100" s="5">
        <v>14.5</v>
      </c>
      <c r="UNM100" s="5">
        <v>226</v>
      </c>
      <c r="UNN100" s="5">
        <v>250</v>
      </c>
      <c r="UNO100" s="6">
        <v>44102</v>
      </c>
      <c r="UNQ100" s="5" t="s">
        <v>67</v>
      </c>
      <c r="UNR100" s="6">
        <v>44102</v>
      </c>
      <c r="UNS100" s="7">
        <v>0.4</v>
      </c>
      <c r="UNT100" s="5">
        <v>14.5</v>
      </c>
      <c r="UNU100" s="5">
        <v>226</v>
      </c>
      <c r="UNV100" s="5">
        <v>250</v>
      </c>
      <c r="UNW100" s="6">
        <v>44102</v>
      </c>
      <c r="UNY100" s="5" t="s">
        <v>67</v>
      </c>
      <c r="UNZ100" s="6">
        <v>44102</v>
      </c>
      <c r="UOA100" s="7">
        <v>0.4</v>
      </c>
      <c r="UOB100" s="5">
        <v>14.5</v>
      </c>
      <c r="UOC100" s="5">
        <v>226</v>
      </c>
      <c r="UOD100" s="5">
        <v>250</v>
      </c>
      <c r="UOE100" s="6">
        <v>44102</v>
      </c>
      <c r="UOG100" s="5" t="s">
        <v>67</v>
      </c>
      <c r="UOH100" s="6">
        <v>44102</v>
      </c>
      <c r="UOI100" s="7">
        <v>0.4</v>
      </c>
      <c r="UOJ100" s="5">
        <v>14.5</v>
      </c>
      <c r="UOK100" s="5">
        <v>226</v>
      </c>
      <c r="UOL100" s="5">
        <v>250</v>
      </c>
      <c r="UOM100" s="6">
        <v>44102</v>
      </c>
      <c r="UOO100" s="5" t="s">
        <v>67</v>
      </c>
      <c r="UOP100" s="6">
        <v>44102</v>
      </c>
      <c r="UOQ100" s="7">
        <v>0.4</v>
      </c>
      <c r="UOR100" s="5">
        <v>14.5</v>
      </c>
      <c r="UOS100" s="5">
        <v>226</v>
      </c>
      <c r="UOT100" s="5">
        <v>250</v>
      </c>
      <c r="UOU100" s="6">
        <v>44102</v>
      </c>
      <c r="UOW100" s="5" t="s">
        <v>67</v>
      </c>
      <c r="UOX100" s="6">
        <v>44102</v>
      </c>
      <c r="UOY100" s="7">
        <v>0.4</v>
      </c>
      <c r="UOZ100" s="5">
        <v>14.5</v>
      </c>
      <c r="UPA100" s="5">
        <v>226</v>
      </c>
      <c r="UPB100" s="5">
        <v>250</v>
      </c>
      <c r="UPC100" s="6">
        <v>44102</v>
      </c>
      <c r="UPE100" s="5" t="s">
        <v>67</v>
      </c>
      <c r="UPF100" s="6">
        <v>44102</v>
      </c>
      <c r="UPG100" s="7">
        <v>0.4</v>
      </c>
      <c r="UPH100" s="5">
        <v>14.5</v>
      </c>
      <c r="UPI100" s="5">
        <v>226</v>
      </c>
      <c r="UPJ100" s="5">
        <v>250</v>
      </c>
      <c r="UPK100" s="6">
        <v>44102</v>
      </c>
      <c r="UPM100" s="5" t="s">
        <v>67</v>
      </c>
      <c r="UPN100" s="6">
        <v>44102</v>
      </c>
      <c r="UPO100" s="7">
        <v>0.4</v>
      </c>
      <c r="UPP100" s="5">
        <v>14.5</v>
      </c>
      <c r="UPQ100" s="5">
        <v>226</v>
      </c>
      <c r="UPR100" s="5">
        <v>250</v>
      </c>
      <c r="UPS100" s="6">
        <v>44102</v>
      </c>
      <c r="UPU100" s="5" t="s">
        <v>67</v>
      </c>
      <c r="UPV100" s="6">
        <v>44102</v>
      </c>
      <c r="UPW100" s="7">
        <v>0.4</v>
      </c>
      <c r="UPX100" s="5">
        <v>14.5</v>
      </c>
      <c r="UPY100" s="5">
        <v>226</v>
      </c>
      <c r="UPZ100" s="5">
        <v>250</v>
      </c>
      <c r="UQA100" s="6">
        <v>44102</v>
      </c>
      <c r="UQC100" s="5" t="s">
        <v>67</v>
      </c>
      <c r="UQD100" s="6">
        <v>44102</v>
      </c>
      <c r="UQE100" s="7">
        <v>0.4</v>
      </c>
      <c r="UQF100" s="5">
        <v>14.5</v>
      </c>
      <c r="UQG100" s="5">
        <v>226</v>
      </c>
      <c r="UQH100" s="5">
        <v>250</v>
      </c>
      <c r="UQI100" s="6">
        <v>44102</v>
      </c>
      <c r="UQK100" s="5" t="s">
        <v>67</v>
      </c>
      <c r="UQL100" s="6">
        <v>44102</v>
      </c>
      <c r="UQM100" s="7">
        <v>0.4</v>
      </c>
      <c r="UQN100" s="5">
        <v>14.5</v>
      </c>
      <c r="UQO100" s="5">
        <v>226</v>
      </c>
      <c r="UQP100" s="5">
        <v>250</v>
      </c>
      <c r="UQQ100" s="6">
        <v>44102</v>
      </c>
      <c r="UQS100" s="5" t="s">
        <v>67</v>
      </c>
      <c r="UQT100" s="6">
        <v>44102</v>
      </c>
      <c r="UQU100" s="7">
        <v>0.4</v>
      </c>
      <c r="UQV100" s="5">
        <v>14.5</v>
      </c>
      <c r="UQW100" s="5">
        <v>226</v>
      </c>
      <c r="UQX100" s="5">
        <v>250</v>
      </c>
      <c r="UQY100" s="6">
        <v>44102</v>
      </c>
      <c r="URA100" s="5" t="s">
        <v>67</v>
      </c>
      <c r="URB100" s="6">
        <v>44102</v>
      </c>
      <c r="URC100" s="7">
        <v>0.4</v>
      </c>
      <c r="URD100" s="5">
        <v>14.5</v>
      </c>
      <c r="URE100" s="5">
        <v>226</v>
      </c>
      <c r="URF100" s="5">
        <v>250</v>
      </c>
      <c r="URG100" s="6">
        <v>44102</v>
      </c>
      <c r="URI100" s="5" t="s">
        <v>67</v>
      </c>
      <c r="URJ100" s="6">
        <v>44102</v>
      </c>
      <c r="URK100" s="7">
        <v>0.4</v>
      </c>
      <c r="URL100" s="5">
        <v>14.5</v>
      </c>
      <c r="URM100" s="5">
        <v>226</v>
      </c>
      <c r="URN100" s="5">
        <v>250</v>
      </c>
      <c r="URO100" s="6">
        <v>44102</v>
      </c>
      <c r="URQ100" s="5" t="s">
        <v>67</v>
      </c>
      <c r="URR100" s="6">
        <v>44102</v>
      </c>
      <c r="URS100" s="7">
        <v>0.4</v>
      </c>
      <c r="URT100" s="5">
        <v>14.5</v>
      </c>
      <c r="URU100" s="5">
        <v>226</v>
      </c>
      <c r="URV100" s="5">
        <v>250</v>
      </c>
      <c r="URW100" s="6">
        <v>44102</v>
      </c>
      <c r="URY100" s="5" t="s">
        <v>67</v>
      </c>
      <c r="URZ100" s="6">
        <v>44102</v>
      </c>
      <c r="USA100" s="7">
        <v>0.4</v>
      </c>
      <c r="USB100" s="5">
        <v>14.5</v>
      </c>
      <c r="USC100" s="5">
        <v>226</v>
      </c>
      <c r="USD100" s="5">
        <v>250</v>
      </c>
      <c r="USE100" s="6">
        <v>44102</v>
      </c>
      <c r="USG100" s="5" t="s">
        <v>67</v>
      </c>
      <c r="USH100" s="6">
        <v>44102</v>
      </c>
      <c r="USI100" s="7">
        <v>0.4</v>
      </c>
      <c r="USJ100" s="5">
        <v>14.5</v>
      </c>
      <c r="USK100" s="5">
        <v>226</v>
      </c>
      <c r="USL100" s="5">
        <v>250</v>
      </c>
      <c r="USM100" s="6">
        <v>44102</v>
      </c>
      <c r="USO100" s="5" t="s">
        <v>67</v>
      </c>
      <c r="USP100" s="6">
        <v>44102</v>
      </c>
      <c r="USQ100" s="7">
        <v>0.4</v>
      </c>
      <c r="USR100" s="5">
        <v>14.5</v>
      </c>
      <c r="USS100" s="5">
        <v>226</v>
      </c>
      <c r="UST100" s="5">
        <v>250</v>
      </c>
      <c r="USU100" s="6">
        <v>44102</v>
      </c>
      <c r="USW100" s="5" t="s">
        <v>67</v>
      </c>
      <c r="USX100" s="6">
        <v>44102</v>
      </c>
      <c r="USY100" s="7">
        <v>0.4</v>
      </c>
      <c r="USZ100" s="5">
        <v>14.5</v>
      </c>
      <c r="UTA100" s="5">
        <v>226</v>
      </c>
      <c r="UTB100" s="5">
        <v>250</v>
      </c>
      <c r="UTC100" s="6">
        <v>44102</v>
      </c>
      <c r="UTE100" s="5" t="s">
        <v>67</v>
      </c>
      <c r="UTF100" s="6">
        <v>44102</v>
      </c>
      <c r="UTG100" s="7">
        <v>0.4</v>
      </c>
      <c r="UTH100" s="5">
        <v>14.5</v>
      </c>
      <c r="UTI100" s="5">
        <v>226</v>
      </c>
      <c r="UTJ100" s="5">
        <v>250</v>
      </c>
      <c r="UTK100" s="6">
        <v>44102</v>
      </c>
      <c r="UTM100" s="5" t="s">
        <v>67</v>
      </c>
      <c r="UTN100" s="6">
        <v>44102</v>
      </c>
      <c r="UTO100" s="7">
        <v>0.4</v>
      </c>
      <c r="UTP100" s="5">
        <v>14.5</v>
      </c>
      <c r="UTQ100" s="5">
        <v>226</v>
      </c>
      <c r="UTR100" s="5">
        <v>250</v>
      </c>
      <c r="UTS100" s="6">
        <v>44102</v>
      </c>
      <c r="UTU100" s="5" t="s">
        <v>67</v>
      </c>
      <c r="UTV100" s="6">
        <v>44102</v>
      </c>
      <c r="UTW100" s="7">
        <v>0.4</v>
      </c>
      <c r="UTX100" s="5">
        <v>14.5</v>
      </c>
      <c r="UTY100" s="5">
        <v>226</v>
      </c>
      <c r="UTZ100" s="5">
        <v>250</v>
      </c>
      <c r="UUA100" s="6">
        <v>44102</v>
      </c>
      <c r="UUC100" s="5" t="s">
        <v>67</v>
      </c>
      <c r="UUD100" s="6">
        <v>44102</v>
      </c>
      <c r="UUE100" s="7">
        <v>0.4</v>
      </c>
      <c r="UUF100" s="5">
        <v>14.5</v>
      </c>
      <c r="UUG100" s="5">
        <v>226</v>
      </c>
      <c r="UUH100" s="5">
        <v>250</v>
      </c>
      <c r="UUI100" s="6">
        <v>44102</v>
      </c>
      <c r="UUK100" s="5" t="s">
        <v>67</v>
      </c>
      <c r="UUL100" s="6">
        <v>44102</v>
      </c>
      <c r="UUM100" s="7">
        <v>0.4</v>
      </c>
      <c r="UUN100" s="5">
        <v>14.5</v>
      </c>
      <c r="UUO100" s="5">
        <v>226</v>
      </c>
      <c r="UUP100" s="5">
        <v>250</v>
      </c>
      <c r="UUQ100" s="6">
        <v>44102</v>
      </c>
      <c r="UUS100" s="5" t="s">
        <v>67</v>
      </c>
      <c r="UUT100" s="6">
        <v>44102</v>
      </c>
      <c r="UUU100" s="7">
        <v>0.4</v>
      </c>
      <c r="UUV100" s="5">
        <v>14.5</v>
      </c>
      <c r="UUW100" s="5">
        <v>226</v>
      </c>
      <c r="UUX100" s="5">
        <v>250</v>
      </c>
      <c r="UUY100" s="6">
        <v>44102</v>
      </c>
      <c r="UVA100" s="5" t="s">
        <v>67</v>
      </c>
      <c r="UVB100" s="6">
        <v>44102</v>
      </c>
      <c r="UVC100" s="7">
        <v>0.4</v>
      </c>
      <c r="UVD100" s="5">
        <v>14.5</v>
      </c>
      <c r="UVE100" s="5">
        <v>226</v>
      </c>
      <c r="UVF100" s="5">
        <v>250</v>
      </c>
      <c r="UVG100" s="6">
        <v>44102</v>
      </c>
      <c r="UVI100" s="5" t="s">
        <v>67</v>
      </c>
      <c r="UVJ100" s="6">
        <v>44102</v>
      </c>
      <c r="UVK100" s="7">
        <v>0.4</v>
      </c>
      <c r="UVL100" s="5">
        <v>14.5</v>
      </c>
      <c r="UVM100" s="5">
        <v>226</v>
      </c>
      <c r="UVN100" s="5">
        <v>250</v>
      </c>
      <c r="UVO100" s="6">
        <v>44102</v>
      </c>
      <c r="UVQ100" s="5" t="s">
        <v>67</v>
      </c>
      <c r="UVR100" s="6">
        <v>44102</v>
      </c>
      <c r="UVS100" s="7">
        <v>0.4</v>
      </c>
      <c r="UVT100" s="5">
        <v>14.5</v>
      </c>
      <c r="UVU100" s="5">
        <v>226</v>
      </c>
      <c r="UVV100" s="5">
        <v>250</v>
      </c>
      <c r="UVW100" s="6">
        <v>44102</v>
      </c>
      <c r="UVY100" s="5" t="s">
        <v>67</v>
      </c>
      <c r="UVZ100" s="6">
        <v>44102</v>
      </c>
      <c r="UWA100" s="7">
        <v>0.4</v>
      </c>
      <c r="UWB100" s="5">
        <v>14.5</v>
      </c>
      <c r="UWC100" s="5">
        <v>226</v>
      </c>
      <c r="UWD100" s="5">
        <v>250</v>
      </c>
      <c r="UWE100" s="6">
        <v>44102</v>
      </c>
      <c r="UWG100" s="5" t="s">
        <v>67</v>
      </c>
      <c r="UWH100" s="6">
        <v>44102</v>
      </c>
      <c r="UWI100" s="7">
        <v>0.4</v>
      </c>
      <c r="UWJ100" s="5">
        <v>14.5</v>
      </c>
      <c r="UWK100" s="5">
        <v>226</v>
      </c>
      <c r="UWL100" s="5">
        <v>250</v>
      </c>
      <c r="UWM100" s="6">
        <v>44102</v>
      </c>
      <c r="UWO100" s="5" t="s">
        <v>67</v>
      </c>
      <c r="UWP100" s="6">
        <v>44102</v>
      </c>
      <c r="UWQ100" s="7">
        <v>0.4</v>
      </c>
      <c r="UWR100" s="5">
        <v>14.5</v>
      </c>
      <c r="UWS100" s="5">
        <v>226</v>
      </c>
      <c r="UWT100" s="5">
        <v>250</v>
      </c>
      <c r="UWU100" s="6">
        <v>44102</v>
      </c>
      <c r="UWW100" s="5" t="s">
        <v>67</v>
      </c>
      <c r="UWX100" s="6">
        <v>44102</v>
      </c>
      <c r="UWY100" s="7">
        <v>0.4</v>
      </c>
      <c r="UWZ100" s="5">
        <v>14.5</v>
      </c>
      <c r="UXA100" s="5">
        <v>226</v>
      </c>
      <c r="UXB100" s="5">
        <v>250</v>
      </c>
      <c r="UXC100" s="6">
        <v>44102</v>
      </c>
      <c r="UXE100" s="5" t="s">
        <v>67</v>
      </c>
      <c r="UXF100" s="6">
        <v>44102</v>
      </c>
      <c r="UXG100" s="7">
        <v>0.4</v>
      </c>
      <c r="UXH100" s="5">
        <v>14.5</v>
      </c>
      <c r="UXI100" s="5">
        <v>226</v>
      </c>
      <c r="UXJ100" s="5">
        <v>250</v>
      </c>
      <c r="UXK100" s="6">
        <v>44102</v>
      </c>
      <c r="UXM100" s="5" t="s">
        <v>67</v>
      </c>
      <c r="UXN100" s="6">
        <v>44102</v>
      </c>
      <c r="UXO100" s="7">
        <v>0.4</v>
      </c>
      <c r="UXP100" s="5">
        <v>14.5</v>
      </c>
      <c r="UXQ100" s="5">
        <v>226</v>
      </c>
      <c r="UXR100" s="5">
        <v>250</v>
      </c>
      <c r="UXS100" s="6">
        <v>44102</v>
      </c>
      <c r="UXU100" s="5" t="s">
        <v>67</v>
      </c>
      <c r="UXV100" s="6">
        <v>44102</v>
      </c>
      <c r="UXW100" s="7">
        <v>0.4</v>
      </c>
      <c r="UXX100" s="5">
        <v>14.5</v>
      </c>
      <c r="UXY100" s="5">
        <v>226</v>
      </c>
      <c r="UXZ100" s="5">
        <v>250</v>
      </c>
      <c r="UYA100" s="6">
        <v>44102</v>
      </c>
      <c r="UYC100" s="5" t="s">
        <v>67</v>
      </c>
      <c r="UYD100" s="6">
        <v>44102</v>
      </c>
      <c r="UYE100" s="7">
        <v>0.4</v>
      </c>
      <c r="UYF100" s="5">
        <v>14.5</v>
      </c>
      <c r="UYG100" s="5">
        <v>226</v>
      </c>
      <c r="UYH100" s="5">
        <v>250</v>
      </c>
      <c r="UYI100" s="6">
        <v>44102</v>
      </c>
      <c r="UYK100" s="5" t="s">
        <v>67</v>
      </c>
      <c r="UYL100" s="6">
        <v>44102</v>
      </c>
      <c r="UYM100" s="7">
        <v>0.4</v>
      </c>
      <c r="UYN100" s="5">
        <v>14.5</v>
      </c>
      <c r="UYO100" s="5">
        <v>226</v>
      </c>
      <c r="UYP100" s="5">
        <v>250</v>
      </c>
      <c r="UYQ100" s="6">
        <v>44102</v>
      </c>
      <c r="UYS100" s="5" t="s">
        <v>67</v>
      </c>
      <c r="UYT100" s="6">
        <v>44102</v>
      </c>
      <c r="UYU100" s="7">
        <v>0.4</v>
      </c>
      <c r="UYV100" s="5">
        <v>14.5</v>
      </c>
      <c r="UYW100" s="5">
        <v>226</v>
      </c>
      <c r="UYX100" s="5">
        <v>250</v>
      </c>
      <c r="UYY100" s="6">
        <v>44102</v>
      </c>
      <c r="UZA100" s="5" t="s">
        <v>67</v>
      </c>
      <c r="UZB100" s="6">
        <v>44102</v>
      </c>
      <c r="UZC100" s="7">
        <v>0.4</v>
      </c>
      <c r="UZD100" s="5">
        <v>14.5</v>
      </c>
      <c r="UZE100" s="5">
        <v>226</v>
      </c>
      <c r="UZF100" s="5">
        <v>250</v>
      </c>
      <c r="UZG100" s="6">
        <v>44102</v>
      </c>
      <c r="UZI100" s="5" t="s">
        <v>67</v>
      </c>
      <c r="UZJ100" s="6">
        <v>44102</v>
      </c>
      <c r="UZK100" s="7">
        <v>0.4</v>
      </c>
      <c r="UZL100" s="5">
        <v>14.5</v>
      </c>
      <c r="UZM100" s="5">
        <v>226</v>
      </c>
      <c r="UZN100" s="5">
        <v>250</v>
      </c>
      <c r="UZO100" s="6">
        <v>44102</v>
      </c>
      <c r="UZQ100" s="5" t="s">
        <v>67</v>
      </c>
      <c r="UZR100" s="6">
        <v>44102</v>
      </c>
      <c r="UZS100" s="7">
        <v>0.4</v>
      </c>
      <c r="UZT100" s="5">
        <v>14.5</v>
      </c>
      <c r="UZU100" s="5">
        <v>226</v>
      </c>
      <c r="UZV100" s="5">
        <v>250</v>
      </c>
      <c r="UZW100" s="6">
        <v>44102</v>
      </c>
      <c r="UZY100" s="5" t="s">
        <v>67</v>
      </c>
      <c r="UZZ100" s="6">
        <v>44102</v>
      </c>
      <c r="VAA100" s="7">
        <v>0.4</v>
      </c>
      <c r="VAB100" s="5">
        <v>14.5</v>
      </c>
      <c r="VAC100" s="5">
        <v>226</v>
      </c>
      <c r="VAD100" s="5">
        <v>250</v>
      </c>
      <c r="VAE100" s="6">
        <v>44102</v>
      </c>
      <c r="VAG100" s="5" t="s">
        <v>67</v>
      </c>
      <c r="VAH100" s="6">
        <v>44102</v>
      </c>
      <c r="VAI100" s="7">
        <v>0.4</v>
      </c>
      <c r="VAJ100" s="5">
        <v>14.5</v>
      </c>
      <c r="VAK100" s="5">
        <v>226</v>
      </c>
      <c r="VAL100" s="5">
        <v>250</v>
      </c>
      <c r="VAM100" s="6">
        <v>44102</v>
      </c>
      <c r="VAO100" s="5" t="s">
        <v>67</v>
      </c>
      <c r="VAP100" s="6">
        <v>44102</v>
      </c>
      <c r="VAQ100" s="7">
        <v>0.4</v>
      </c>
      <c r="VAR100" s="5">
        <v>14.5</v>
      </c>
      <c r="VAS100" s="5">
        <v>226</v>
      </c>
      <c r="VAT100" s="5">
        <v>250</v>
      </c>
      <c r="VAU100" s="6">
        <v>44102</v>
      </c>
      <c r="VAW100" s="5" t="s">
        <v>67</v>
      </c>
      <c r="VAX100" s="6">
        <v>44102</v>
      </c>
      <c r="VAY100" s="7">
        <v>0.4</v>
      </c>
      <c r="VAZ100" s="5">
        <v>14.5</v>
      </c>
      <c r="VBA100" s="5">
        <v>226</v>
      </c>
      <c r="VBB100" s="5">
        <v>250</v>
      </c>
      <c r="VBC100" s="6">
        <v>44102</v>
      </c>
      <c r="VBE100" s="5" t="s">
        <v>67</v>
      </c>
      <c r="VBF100" s="6">
        <v>44102</v>
      </c>
      <c r="VBG100" s="7">
        <v>0.4</v>
      </c>
      <c r="VBH100" s="5">
        <v>14.5</v>
      </c>
      <c r="VBI100" s="5">
        <v>226</v>
      </c>
      <c r="VBJ100" s="5">
        <v>250</v>
      </c>
      <c r="VBK100" s="6">
        <v>44102</v>
      </c>
      <c r="VBM100" s="5" t="s">
        <v>67</v>
      </c>
      <c r="VBN100" s="6">
        <v>44102</v>
      </c>
      <c r="VBO100" s="7">
        <v>0.4</v>
      </c>
      <c r="VBP100" s="5">
        <v>14.5</v>
      </c>
      <c r="VBQ100" s="5">
        <v>226</v>
      </c>
      <c r="VBR100" s="5">
        <v>250</v>
      </c>
      <c r="VBS100" s="6">
        <v>44102</v>
      </c>
      <c r="VBU100" s="5" t="s">
        <v>67</v>
      </c>
      <c r="VBV100" s="6">
        <v>44102</v>
      </c>
      <c r="VBW100" s="7">
        <v>0.4</v>
      </c>
      <c r="VBX100" s="5">
        <v>14.5</v>
      </c>
      <c r="VBY100" s="5">
        <v>226</v>
      </c>
      <c r="VBZ100" s="5">
        <v>250</v>
      </c>
      <c r="VCA100" s="6">
        <v>44102</v>
      </c>
      <c r="VCC100" s="5" t="s">
        <v>67</v>
      </c>
      <c r="VCD100" s="6">
        <v>44102</v>
      </c>
      <c r="VCE100" s="7">
        <v>0.4</v>
      </c>
      <c r="VCF100" s="5">
        <v>14.5</v>
      </c>
      <c r="VCG100" s="5">
        <v>226</v>
      </c>
      <c r="VCH100" s="5">
        <v>250</v>
      </c>
      <c r="VCI100" s="6">
        <v>44102</v>
      </c>
      <c r="VCK100" s="5" t="s">
        <v>67</v>
      </c>
      <c r="VCL100" s="6">
        <v>44102</v>
      </c>
      <c r="VCM100" s="7">
        <v>0.4</v>
      </c>
      <c r="VCN100" s="5">
        <v>14.5</v>
      </c>
      <c r="VCO100" s="5">
        <v>226</v>
      </c>
      <c r="VCP100" s="5">
        <v>250</v>
      </c>
      <c r="VCQ100" s="6">
        <v>44102</v>
      </c>
      <c r="VCS100" s="5" t="s">
        <v>67</v>
      </c>
      <c r="VCT100" s="6">
        <v>44102</v>
      </c>
      <c r="VCU100" s="7">
        <v>0.4</v>
      </c>
      <c r="VCV100" s="5">
        <v>14.5</v>
      </c>
      <c r="VCW100" s="5">
        <v>226</v>
      </c>
      <c r="VCX100" s="5">
        <v>250</v>
      </c>
      <c r="VCY100" s="6">
        <v>44102</v>
      </c>
      <c r="VDA100" s="5" t="s">
        <v>67</v>
      </c>
      <c r="VDB100" s="6">
        <v>44102</v>
      </c>
      <c r="VDC100" s="7">
        <v>0.4</v>
      </c>
      <c r="VDD100" s="5">
        <v>14.5</v>
      </c>
      <c r="VDE100" s="5">
        <v>226</v>
      </c>
      <c r="VDF100" s="5">
        <v>250</v>
      </c>
      <c r="VDG100" s="6">
        <v>44102</v>
      </c>
      <c r="VDI100" s="5" t="s">
        <v>67</v>
      </c>
      <c r="VDJ100" s="6">
        <v>44102</v>
      </c>
      <c r="VDK100" s="7">
        <v>0.4</v>
      </c>
      <c r="VDL100" s="5">
        <v>14.5</v>
      </c>
      <c r="VDM100" s="5">
        <v>226</v>
      </c>
      <c r="VDN100" s="5">
        <v>250</v>
      </c>
      <c r="VDO100" s="6">
        <v>44102</v>
      </c>
      <c r="VDQ100" s="5" t="s">
        <v>67</v>
      </c>
      <c r="VDR100" s="6">
        <v>44102</v>
      </c>
      <c r="VDS100" s="7">
        <v>0.4</v>
      </c>
      <c r="VDT100" s="5">
        <v>14.5</v>
      </c>
      <c r="VDU100" s="5">
        <v>226</v>
      </c>
      <c r="VDV100" s="5">
        <v>250</v>
      </c>
      <c r="VDW100" s="6">
        <v>44102</v>
      </c>
      <c r="VDY100" s="5" t="s">
        <v>67</v>
      </c>
      <c r="VDZ100" s="6">
        <v>44102</v>
      </c>
      <c r="VEA100" s="7">
        <v>0.4</v>
      </c>
      <c r="VEB100" s="5">
        <v>14.5</v>
      </c>
      <c r="VEC100" s="5">
        <v>226</v>
      </c>
      <c r="VED100" s="5">
        <v>250</v>
      </c>
      <c r="VEE100" s="6">
        <v>44102</v>
      </c>
      <c r="VEG100" s="5" t="s">
        <v>67</v>
      </c>
      <c r="VEH100" s="6">
        <v>44102</v>
      </c>
      <c r="VEI100" s="7">
        <v>0.4</v>
      </c>
      <c r="VEJ100" s="5">
        <v>14.5</v>
      </c>
      <c r="VEK100" s="5">
        <v>226</v>
      </c>
      <c r="VEL100" s="5">
        <v>250</v>
      </c>
      <c r="VEM100" s="6">
        <v>44102</v>
      </c>
      <c r="VEO100" s="5" t="s">
        <v>67</v>
      </c>
      <c r="VEP100" s="6">
        <v>44102</v>
      </c>
      <c r="VEQ100" s="7">
        <v>0.4</v>
      </c>
      <c r="VER100" s="5">
        <v>14.5</v>
      </c>
      <c r="VES100" s="5">
        <v>226</v>
      </c>
      <c r="VET100" s="5">
        <v>250</v>
      </c>
      <c r="VEU100" s="6">
        <v>44102</v>
      </c>
      <c r="VEW100" s="5" t="s">
        <v>67</v>
      </c>
      <c r="VEX100" s="6">
        <v>44102</v>
      </c>
      <c r="VEY100" s="7">
        <v>0.4</v>
      </c>
      <c r="VEZ100" s="5">
        <v>14.5</v>
      </c>
      <c r="VFA100" s="5">
        <v>226</v>
      </c>
      <c r="VFB100" s="5">
        <v>250</v>
      </c>
      <c r="VFC100" s="6">
        <v>44102</v>
      </c>
      <c r="VFE100" s="5" t="s">
        <v>67</v>
      </c>
      <c r="VFF100" s="6">
        <v>44102</v>
      </c>
      <c r="VFG100" s="7">
        <v>0.4</v>
      </c>
      <c r="VFH100" s="5">
        <v>14.5</v>
      </c>
      <c r="VFI100" s="5">
        <v>226</v>
      </c>
      <c r="VFJ100" s="5">
        <v>250</v>
      </c>
      <c r="VFK100" s="6">
        <v>44102</v>
      </c>
      <c r="VFM100" s="5" t="s">
        <v>67</v>
      </c>
      <c r="VFN100" s="6">
        <v>44102</v>
      </c>
      <c r="VFO100" s="7">
        <v>0.4</v>
      </c>
      <c r="VFP100" s="5">
        <v>14.5</v>
      </c>
      <c r="VFQ100" s="5">
        <v>226</v>
      </c>
      <c r="VFR100" s="5">
        <v>250</v>
      </c>
      <c r="VFS100" s="6">
        <v>44102</v>
      </c>
      <c r="VFU100" s="5" t="s">
        <v>67</v>
      </c>
      <c r="VFV100" s="6">
        <v>44102</v>
      </c>
      <c r="VFW100" s="7">
        <v>0.4</v>
      </c>
      <c r="VFX100" s="5">
        <v>14.5</v>
      </c>
      <c r="VFY100" s="5">
        <v>226</v>
      </c>
      <c r="VFZ100" s="5">
        <v>250</v>
      </c>
      <c r="VGA100" s="6">
        <v>44102</v>
      </c>
      <c r="VGC100" s="5" t="s">
        <v>67</v>
      </c>
      <c r="VGD100" s="6">
        <v>44102</v>
      </c>
      <c r="VGE100" s="7">
        <v>0.4</v>
      </c>
      <c r="VGF100" s="5">
        <v>14.5</v>
      </c>
      <c r="VGG100" s="5">
        <v>226</v>
      </c>
      <c r="VGH100" s="5">
        <v>250</v>
      </c>
      <c r="VGI100" s="6">
        <v>44102</v>
      </c>
      <c r="VGK100" s="5" t="s">
        <v>67</v>
      </c>
      <c r="VGL100" s="6">
        <v>44102</v>
      </c>
      <c r="VGM100" s="7">
        <v>0.4</v>
      </c>
      <c r="VGN100" s="5">
        <v>14.5</v>
      </c>
      <c r="VGO100" s="5">
        <v>226</v>
      </c>
      <c r="VGP100" s="5">
        <v>250</v>
      </c>
      <c r="VGQ100" s="6">
        <v>44102</v>
      </c>
      <c r="VGS100" s="5" t="s">
        <v>67</v>
      </c>
      <c r="VGT100" s="6">
        <v>44102</v>
      </c>
      <c r="VGU100" s="7">
        <v>0.4</v>
      </c>
      <c r="VGV100" s="5">
        <v>14.5</v>
      </c>
      <c r="VGW100" s="5">
        <v>226</v>
      </c>
      <c r="VGX100" s="5">
        <v>250</v>
      </c>
      <c r="VGY100" s="6">
        <v>44102</v>
      </c>
      <c r="VHA100" s="5" t="s">
        <v>67</v>
      </c>
      <c r="VHB100" s="6">
        <v>44102</v>
      </c>
      <c r="VHC100" s="7">
        <v>0.4</v>
      </c>
      <c r="VHD100" s="5">
        <v>14.5</v>
      </c>
      <c r="VHE100" s="5">
        <v>226</v>
      </c>
      <c r="VHF100" s="5">
        <v>250</v>
      </c>
      <c r="VHG100" s="6">
        <v>44102</v>
      </c>
      <c r="VHI100" s="5" t="s">
        <v>67</v>
      </c>
      <c r="VHJ100" s="6">
        <v>44102</v>
      </c>
      <c r="VHK100" s="7">
        <v>0.4</v>
      </c>
      <c r="VHL100" s="5">
        <v>14.5</v>
      </c>
      <c r="VHM100" s="5">
        <v>226</v>
      </c>
      <c r="VHN100" s="5">
        <v>250</v>
      </c>
      <c r="VHO100" s="6">
        <v>44102</v>
      </c>
      <c r="VHQ100" s="5" t="s">
        <v>67</v>
      </c>
      <c r="VHR100" s="6">
        <v>44102</v>
      </c>
      <c r="VHS100" s="7">
        <v>0.4</v>
      </c>
      <c r="VHT100" s="5">
        <v>14.5</v>
      </c>
      <c r="VHU100" s="5">
        <v>226</v>
      </c>
      <c r="VHV100" s="5">
        <v>250</v>
      </c>
      <c r="VHW100" s="6">
        <v>44102</v>
      </c>
      <c r="VHY100" s="5" t="s">
        <v>67</v>
      </c>
      <c r="VHZ100" s="6">
        <v>44102</v>
      </c>
      <c r="VIA100" s="7">
        <v>0.4</v>
      </c>
      <c r="VIB100" s="5">
        <v>14.5</v>
      </c>
      <c r="VIC100" s="5">
        <v>226</v>
      </c>
      <c r="VID100" s="5">
        <v>250</v>
      </c>
      <c r="VIE100" s="6">
        <v>44102</v>
      </c>
      <c r="VIG100" s="5" t="s">
        <v>67</v>
      </c>
      <c r="VIH100" s="6">
        <v>44102</v>
      </c>
      <c r="VII100" s="7">
        <v>0.4</v>
      </c>
      <c r="VIJ100" s="5">
        <v>14.5</v>
      </c>
      <c r="VIK100" s="5">
        <v>226</v>
      </c>
      <c r="VIL100" s="5">
        <v>250</v>
      </c>
      <c r="VIM100" s="6">
        <v>44102</v>
      </c>
      <c r="VIO100" s="5" t="s">
        <v>67</v>
      </c>
      <c r="VIP100" s="6">
        <v>44102</v>
      </c>
      <c r="VIQ100" s="7">
        <v>0.4</v>
      </c>
      <c r="VIR100" s="5">
        <v>14.5</v>
      </c>
      <c r="VIS100" s="5">
        <v>226</v>
      </c>
      <c r="VIT100" s="5">
        <v>250</v>
      </c>
      <c r="VIU100" s="6">
        <v>44102</v>
      </c>
      <c r="VIW100" s="5" t="s">
        <v>67</v>
      </c>
      <c r="VIX100" s="6">
        <v>44102</v>
      </c>
      <c r="VIY100" s="7">
        <v>0.4</v>
      </c>
      <c r="VIZ100" s="5">
        <v>14.5</v>
      </c>
      <c r="VJA100" s="5">
        <v>226</v>
      </c>
      <c r="VJB100" s="5">
        <v>250</v>
      </c>
      <c r="VJC100" s="6">
        <v>44102</v>
      </c>
      <c r="VJE100" s="5" t="s">
        <v>67</v>
      </c>
      <c r="VJF100" s="6">
        <v>44102</v>
      </c>
      <c r="VJG100" s="7">
        <v>0.4</v>
      </c>
      <c r="VJH100" s="5">
        <v>14.5</v>
      </c>
      <c r="VJI100" s="5">
        <v>226</v>
      </c>
      <c r="VJJ100" s="5">
        <v>250</v>
      </c>
      <c r="VJK100" s="6">
        <v>44102</v>
      </c>
      <c r="VJM100" s="5" t="s">
        <v>67</v>
      </c>
      <c r="VJN100" s="6">
        <v>44102</v>
      </c>
      <c r="VJO100" s="7">
        <v>0.4</v>
      </c>
      <c r="VJP100" s="5">
        <v>14.5</v>
      </c>
      <c r="VJQ100" s="5">
        <v>226</v>
      </c>
      <c r="VJR100" s="5">
        <v>250</v>
      </c>
      <c r="VJS100" s="6">
        <v>44102</v>
      </c>
      <c r="VJU100" s="5" t="s">
        <v>67</v>
      </c>
      <c r="VJV100" s="6">
        <v>44102</v>
      </c>
      <c r="VJW100" s="7">
        <v>0.4</v>
      </c>
      <c r="VJX100" s="5">
        <v>14.5</v>
      </c>
      <c r="VJY100" s="5">
        <v>226</v>
      </c>
      <c r="VJZ100" s="5">
        <v>250</v>
      </c>
      <c r="VKA100" s="6">
        <v>44102</v>
      </c>
      <c r="VKC100" s="5" t="s">
        <v>67</v>
      </c>
      <c r="VKD100" s="6">
        <v>44102</v>
      </c>
      <c r="VKE100" s="7">
        <v>0.4</v>
      </c>
      <c r="VKF100" s="5">
        <v>14.5</v>
      </c>
      <c r="VKG100" s="5">
        <v>226</v>
      </c>
      <c r="VKH100" s="5">
        <v>250</v>
      </c>
      <c r="VKI100" s="6">
        <v>44102</v>
      </c>
      <c r="VKK100" s="5" t="s">
        <v>67</v>
      </c>
      <c r="VKL100" s="6">
        <v>44102</v>
      </c>
      <c r="VKM100" s="7">
        <v>0.4</v>
      </c>
      <c r="VKN100" s="5">
        <v>14.5</v>
      </c>
      <c r="VKO100" s="5">
        <v>226</v>
      </c>
      <c r="VKP100" s="5">
        <v>250</v>
      </c>
      <c r="VKQ100" s="6">
        <v>44102</v>
      </c>
      <c r="VKS100" s="5" t="s">
        <v>67</v>
      </c>
      <c r="VKT100" s="6">
        <v>44102</v>
      </c>
      <c r="VKU100" s="7">
        <v>0.4</v>
      </c>
      <c r="VKV100" s="5">
        <v>14.5</v>
      </c>
      <c r="VKW100" s="5">
        <v>226</v>
      </c>
      <c r="VKX100" s="5">
        <v>250</v>
      </c>
      <c r="VKY100" s="6">
        <v>44102</v>
      </c>
      <c r="VLA100" s="5" t="s">
        <v>67</v>
      </c>
      <c r="VLB100" s="6">
        <v>44102</v>
      </c>
      <c r="VLC100" s="7">
        <v>0.4</v>
      </c>
      <c r="VLD100" s="5">
        <v>14.5</v>
      </c>
      <c r="VLE100" s="5">
        <v>226</v>
      </c>
      <c r="VLF100" s="5">
        <v>250</v>
      </c>
      <c r="VLG100" s="6">
        <v>44102</v>
      </c>
      <c r="VLI100" s="5" t="s">
        <v>67</v>
      </c>
      <c r="VLJ100" s="6">
        <v>44102</v>
      </c>
      <c r="VLK100" s="7">
        <v>0.4</v>
      </c>
      <c r="VLL100" s="5">
        <v>14.5</v>
      </c>
      <c r="VLM100" s="5">
        <v>226</v>
      </c>
      <c r="VLN100" s="5">
        <v>250</v>
      </c>
      <c r="VLO100" s="6">
        <v>44102</v>
      </c>
      <c r="VLQ100" s="5" t="s">
        <v>67</v>
      </c>
      <c r="VLR100" s="6">
        <v>44102</v>
      </c>
      <c r="VLS100" s="7">
        <v>0.4</v>
      </c>
      <c r="VLT100" s="5">
        <v>14.5</v>
      </c>
      <c r="VLU100" s="5">
        <v>226</v>
      </c>
      <c r="VLV100" s="5">
        <v>250</v>
      </c>
      <c r="VLW100" s="6">
        <v>44102</v>
      </c>
      <c r="VLY100" s="5" t="s">
        <v>67</v>
      </c>
      <c r="VLZ100" s="6">
        <v>44102</v>
      </c>
      <c r="VMA100" s="7">
        <v>0.4</v>
      </c>
      <c r="VMB100" s="5">
        <v>14.5</v>
      </c>
      <c r="VMC100" s="5">
        <v>226</v>
      </c>
      <c r="VMD100" s="5">
        <v>250</v>
      </c>
      <c r="VME100" s="6">
        <v>44102</v>
      </c>
      <c r="VMG100" s="5" t="s">
        <v>67</v>
      </c>
      <c r="VMH100" s="6">
        <v>44102</v>
      </c>
      <c r="VMI100" s="7">
        <v>0.4</v>
      </c>
      <c r="VMJ100" s="5">
        <v>14.5</v>
      </c>
      <c r="VMK100" s="5">
        <v>226</v>
      </c>
      <c r="VML100" s="5">
        <v>250</v>
      </c>
      <c r="VMM100" s="6">
        <v>44102</v>
      </c>
      <c r="VMO100" s="5" t="s">
        <v>67</v>
      </c>
      <c r="VMP100" s="6">
        <v>44102</v>
      </c>
      <c r="VMQ100" s="7">
        <v>0.4</v>
      </c>
      <c r="VMR100" s="5">
        <v>14.5</v>
      </c>
      <c r="VMS100" s="5">
        <v>226</v>
      </c>
      <c r="VMT100" s="5">
        <v>250</v>
      </c>
      <c r="VMU100" s="6">
        <v>44102</v>
      </c>
      <c r="VMW100" s="5" t="s">
        <v>67</v>
      </c>
      <c r="VMX100" s="6">
        <v>44102</v>
      </c>
      <c r="VMY100" s="7">
        <v>0.4</v>
      </c>
      <c r="VMZ100" s="5">
        <v>14.5</v>
      </c>
      <c r="VNA100" s="5">
        <v>226</v>
      </c>
      <c r="VNB100" s="5">
        <v>250</v>
      </c>
      <c r="VNC100" s="6">
        <v>44102</v>
      </c>
      <c r="VNE100" s="5" t="s">
        <v>67</v>
      </c>
      <c r="VNF100" s="6">
        <v>44102</v>
      </c>
      <c r="VNG100" s="7">
        <v>0.4</v>
      </c>
      <c r="VNH100" s="5">
        <v>14.5</v>
      </c>
      <c r="VNI100" s="5">
        <v>226</v>
      </c>
      <c r="VNJ100" s="5">
        <v>250</v>
      </c>
      <c r="VNK100" s="6">
        <v>44102</v>
      </c>
      <c r="VNM100" s="5" t="s">
        <v>67</v>
      </c>
      <c r="VNN100" s="6">
        <v>44102</v>
      </c>
      <c r="VNO100" s="7">
        <v>0.4</v>
      </c>
      <c r="VNP100" s="5">
        <v>14.5</v>
      </c>
      <c r="VNQ100" s="5">
        <v>226</v>
      </c>
      <c r="VNR100" s="5">
        <v>250</v>
      </c>
      <c r="VNS100" s="6">
        <v>44102</v>
      </c>
      <c r="VNU100" s="5" t="s">
        <v>67</v>
      </c>
      <c r="VNV100" s="6">
        <v>44102</v>
      </c>
      <c r="VNW100" s="7">
        <v>0.4</v>
      </c>
      <c r="VNX100" s="5">
        <v>14.5</v>
      </c>
      <c r="VNY100" s="5">
        <v>226</v>
      </c>
      <c r="VNZ100" s="5">
        <v>250</v>
      </c>
      <c r="VOA100" s="6">
        <v>44102</v>
      </c>
      <c r="VOC100" s="5" t="s">
        <v>67</v>
      </c>
      <c r="VOD100" s="6">
        <v>44102</v>
      </c>
      <c r="VOE100" s="7">
        <v>0.4</v>
      </c>
      <c r="VOF100" s="5">
        <v>14.5</v>
      </c>
      <c r="VOG100" s="5">
        <v>226</v>
      </c>
      <c r="VOH100" s="5">
        <v>250</v>
      </c>
      <c r="VOI100" s="6">
        <v>44102</v>
      </c>
      <c r="VOK100" s="5" t="s">
        <v>67</v>
      </c>
      <c r="VOL100" s="6">
        <v>44102</v>
      </c>
      <c r="VOM100" s="7">
        <v>0.4</v>
      </c>
      <c r="VON100" s="5">
        <v>14.5</v>
      </c>
      <c r="VOO100" s="5">
        <v>226</v>
      </c>
      <c r="VOP100" s="5">
        <v>250</v>
      </c>
      <c r="VOQ100" s="6">
        <v>44102</v>
      </c>
      <c r="VOS100" s="5" t="s">
        <v>67</v>
      </c>
      <c r="VOT100" s="6">
        <v>44102</v>
      </c>
      <c r="VOU100" s="7">
        <v>0.4</v>
      </c>
      <c r="VOV100" s="5">
        <v>14.5</v>
      </c>
      <c r="VOW100" s="5">
        <v>226</v>
      </c>
      <c r="VOX100" s="5">
        <v>250</v>
      </c>
      <c r="VOY100" s="6">
        <v>44102</v>
      </c>
      <c r="VPA100" s="5" t="s">
        <v>67</v>
      </c>
      <c r="VPB100" s="6">
        <v>44102</v>
      </c>
      <c r="VPC100" s="7">
        <v>0.4</v>
      </c>
      <c r="VPD100" s="5">
        <v>14.5</v>
      </c>
      <c r="VPE100" s="5">
        <v>226</v>
      </c>
      <c r="VPF100" s="5">
        <v>250</v>
      </c>
      <c r="VPG100" s="6">
        <v>44102</v>
      </c>
      <c r="VPI100" s="5" t="s">
        <v>67</v>
      </c>
      <c r="VPJ100" s="6">
        <v>44102</v>
      </c>
      <c r="VPK100" s="7">
        <v>0.4</v>
      </c>
      <c r="VPL100" s="5">
        <v>14.5</v>
      </c>
      <c r="VPM100" s="5">
        <v>226</v>
      </c>
      <c r="VPN100" s="5">
        <v>250</v>
      </c>
      <c r="VPO100" s="6">
        <v>44102</v>
      </c>
      <c r="VPQ100" s="5" t="s">
        <v>67</v>
      </c>
      <c r="VPR100" s="6">
        <v>44102</v>
      </c>
      <c r="VPS100" s="7">
        <v>0.4</v>
      </c>
      <c r="VPT100" s="5">
        <v>14.5</v>
      </c>
      <c r="VPU100" s="5">
        <v>226</v>
      </c>
      <c r="VPV100" s="5">
        <v>250</v>
      </c>
      <c r="VPW100" s="6">
        <v>44102</v>
      </c>
      <c r="VPY100" s="5" t="s">
        <v>67</v>
      </c>
      <c r="VPZ100" s="6">
        <v>44102</v>
      </c>
      <c r="VQA100" s="7">
        <v>0.4</v>
      </c>
      <c r="VQB100" s="5">
        <v>14.5</v>
      </c>
      <c r="VQC100" s="5">
        <v>226</v>
      </c>
      <c r="VQD100" s="5">
        <v>250</v>
      </c>
      <c r="VQE100" s="6">
        <v>44102</v>
      </c>
      <c r="VQG100" s="5" t="s">
        <v>67</v>
      </c>
      <c r="VQH100" s="6">
        <v>44102</v>
      </c>
      <c r="VQI100" s="7">
        <v>0.4</v>
      </c>
      <c r="VQJ100" s="5">
        <v>14.5</v>
      </c>
      <c r="VQK100" s="5">
        <v>226</v>
      </c>
      <c r="VQL100" s="5">
        <v>250</v>
      </c>
      <c r="VQM100" s="6">
        <v>44102</v>
      </c>
      <c r="VQO100" s="5" t="s">
        <v>67</v>
      </c>
      <c r="VQP100" s="6">
        <v>44102</v>
      </c>
      <c r="VQQ100" s="7">
        <v>0.4</v>
      </c>
      <c r="VQR100" s="5">
        <v>14.5</v>
      </c>
      <c r="VQS100" s="5">
        <v>226</v>
      </c>
      <c r="VQT100" s="5">
        <v>250</v>
      </c>
      <c r="VQU100" s="6">
        <v>44102</v>
      </c>
      <c r="VQW100" s="5" t="s">
        <v>67</v>
      </c>
      <c r="VQX100" s="6">
        <v>44102</v>
      </c>
      <c r="VQY100" s="7">
        <v>0.4</v>
      </c>
      <c r="VQZ100" s="5">
        <v>14.5</v>
      </c>
      <c r="VRA100" s="5">
        <v>226</v>
      </c>
      <c r="VRB100" s="5">
        <v>250</v>
      </c>
      <c r="VRC100" s="6">
        <v>44102</v>
      </c>
      <c r="VRE100" s="5" t="s">
        <v>67</v>
      </c>
      <c r="VRF100" s="6">
        <v>44102</v>
      </c>
      <c r="VRG100" s="7">
        <v>0.4</v>
      </c>
      <c r="VRH100" s="5">
        <v>14.5</v>
      </c>
      <c r="VRI100" s="5">
        <v>226</v>
      </c>
      <c r="VRJ100" s="5">
        <v>250</v>
      </c>
      <c r="VRK100" s="6">
        <v>44102</v>
      </c>
      <c r="VRM100" s="5" t="s">
        <v>67</v>
      </c>
      <c r="VRN100" s="6">
        <v>44102</v>
      </c>
      <c r="VRO100" s="7">
        <v>0.4</v>
      </c>
      <c r="VRP100" s="5">
        <v>14.5</v>
      </c>
      <c r="VRQ100" s="5">
        <v>226</v>
      </c>
      <c r="VRR100" s="5">
        <v>250</v>
      </c>
      <c r="VRS100" s="6">
        <v>44102</v>
      </c>
      <c r="VRU100" s="5" t="s">
        <v>67</v>
      </c>
      <c r="VRV100" s="6">
        <v>44102</v>
      </c>
      <c r="VRW100" s="7">
        <v>0.4</v>
      </c>
      <c r="VRX100" s="5">
        <v>14.5</v>
      </c>
      <c r="VRY100" s="5">
        <v>226</v>
      </c>
      <c r="VRZ100" s="5">
        <v>250</v>
      </c>
      <c r="VSA100" s="6">
        <v>44102</v>
      </c>
      <c r="VSC100" s="5" t="s">
        <v>67</v>
      </c>
      <c r="VSD100" s="6">
        <v>44102</v>
      </c>
      <c r="VSE100" s="7">
        <v>0.4</v>
      </c>
      <c r="VSF100" s="5">
        <v>14.5</v>
      </c>
      <c r="VSG100" s="5">
        <v>226</v>
      </c>
      <c r="VSH100" s="5">
        <v>250</v>
      </c>
      <c r="VSI100" s="6">
        <v>44102</v>
      </c>
      <c r="VSK100" s="5" t="s">
        <v>67</v>
      </c>
      <c r="VSL100" s="6">
        <v>44102</v>
      </c>
      <c r="VSM100" s="7">
        <v>0.4</v>
      </c>
      <c r="VSN100" s="5">
        <v>14.5</v>
      </c>
      <c r="VSO100" s="5">
        <v>226</v>
      </c>
      <c r="VSP100" s="5">
        <v>250</v>
      </c>
      <c r="VSQ100" s="6">
        <v>44102</v>
      </c>
      <c r="VSS100" s="5" t="s">
        <v>67</v>
      </c>
      <c r="VST100" s="6">
        <v>44102</v>
      </c>
      <c r="VSU100" s="7">
        <v>0.4</v>
      </c>
      <c r="VSV100" s="5">
        <v>14.5</v>
      </c>
      <c r="VSW100" s="5">
        <v>226</v>
      </c>
      <c r="VSX100" s="5">
        <v>250</v>
      </c>
      <c r="VSY100" s="6">
        <v>44102</v>
      </c>
      <c r="VTA100" s="5" t="s">
        <v>67</v>
      </c>
      <c r="VTB100" s="6">
        <v>44102</v>
      </c>
      <c r="VTC100" s="7">
        <v>0.4</v>
      </c>
      <c r="VTD100" s="5">
        <v>14.5</v>
      </c>
      <c r="VTE100" s="5">
        <v>226</v>
      </c>
      <c r="VTF100" s="5">
        <v>250</v>
      </c>
      <c r="VTG100" s="6">
        <v>44102</v>
      </c>
      <c r="VTI100" s="5" t="s">
        <v>67</v>
      </c>
      <c r="VTJ100" s="6">
        <v>44102</v>
      </c>
      <c r="VTK100" s="7">
        <v>0.4</v>
      </c>
      <c r="VTL100" s="5">
        <v>14.5</v>
      </c>
      <c r="VTM100" s="5">
        <v>226</v>
      </c>
      <c r="VTN100" s="5">
        <v>250</v>
      </c>
      <c r="VTO100" s="6">
        <v>44102</v>
      </c>
      <c r="VTQ100" s="5" t="s">
        <v>67</v>
      </c>
      <c r="VTR100" s="6">
        <v>44102</v>
      </c>
      <c r="VTS100" s="7">
        <v>0.4</v>
      </c>
      <c r="VTT100" s="5">
        <v>14.5</v>
      </c>
      <c r="VTU100" s="5">
        <v>226</v>
      </c>
      <c r="VTV100" s="5">
        <v>250</v>
      </c>
      <c r="VTW100" s="6">
        <v>44102</v>
      </c>
      <c r="VTY100" s="5" t="s">
        <v>67</v>
      </c>
      <c r="VTZ100" s="6">
        <v>44102</v>
      </c>
      <c r="VUA100" s="7">
        <v>0.4</v>
      </c>
      <c r="VUB100" s="5">
        <v>14.5</v>
      </c>
      <c r="VUC100" s="5">
        <v>226</v>
      </c>
      <c r="VUD100" s="5">
        <v>250</v>
      </c>
      <c r="VUE100" s="6">
        <v>44102</v>
      </c>
      <c r="VUG100" s="5" t="s">
        <v>67</v>
      </c>
      <c r="VUH100" s="6">
        <v>44102</v>
      </c>
      <c r="VUI100" s="7">
        <v>0.4</v>
      </c>
      <c r="VUJ100" s="5">
        <v>14.5</v>
      </c>
      <c r="VUK100" s="5">
        <v>226</v>
      </c>
      <c r="VUL100" s="5">
        <v>250</v>
      </c>
      <c r="VUM100" s="6">
        <v>44102</v>
      </c>
      <c r="VUO100" s="5" t="s">
        <v>67</v>
      </c>
      <c r="VUP100" s="6">
        <v>44102</v>
      </c>
      <c r="VUQ100" s="7">
        <v>0.4</v>
      </c>
      <c r="VUR100" s="5">
        <v>14.5</v>
      </c>
      <c r="VUS100" s="5">
        <v>226</v>
      </c>
      <c r="VUT100" s="5">
        <v>250</v>
      </c>
      <c r="VUU100" s="6">
        <v>44102</v>
      </c>
      <c r="VUW100" s="5" t="s">
        <v>67</v>
      </c>
      <c r="VUX100" s="6">
        <v>44102</v>
      </c>
      <c r="VUY100" s="7">
        <v>0.4</v>
      </c>
      <c r="VUZ100" s="5">
        <v>14.5</v>
      </c>
      <c r="VVA100" s="5">
        <v>226</v>
      </c>
      <c r="VVB100" s="5">
        <v>250</v>
      </c>
      <c r="VVC100" s="6">
        <v>44102</v>
      </c>
      <c r="VVE100" s="5" t="s">
        <v>67</v>
      </c>
      <c r="VVF100" s="6">
        <v>44102</v>
      </c>
      <c r="VVG100" s="7">
        <v>0.4</v>
      </c>
      <c r="VVH100" s="5">
        <v>14.5</v>
      </c>
      <c r="VVI100" s="5">
        <v>226</v>
      </c>
      <c r="VVJ100" s="5">
        <v>250</v>
      </c>
      <c r="VVK100" s="6">
        <v>44102</v>
      </c>
      <c r="VVM100" s="5" t="s">
        <v>67</v>
      </c>
      <c r="VVN100" s="6">
        <v>44102</v>
      </c>
      <c r="VVO100" s="7">
        <v>0.4</v>
      </c>
      <c r="VVP100" s="5">
        <v>14.5</v>
      </c>
      <c r="VVQ100" s="5">
        <v>226</v>
      </c>
      <c r="VVR100" s="5">
        <v>250</v>
      </c>
      <c r="VVS100" s="6">
        <v>44102</v>
      </c>
      <c r="VVU100" s="5" t="s">
        <v>67</v>
      </c>
      <c r="VVV100" s="6">
        <v>44102</v>
      </c>
      <c r="VVW100" s="7">
        <v>0.4</v>
      </c>
      <c r="VVX100" s="5">
        <v>14.5</v>
      </c>
      <c r="VVY100" s="5">
        <v>226</v>
      </c>
      <c r="VVZ100" s="5">
        <v>250</v>
      </c>
      <c r="VWA100" s="6">
        <v>44102</v>
      </c>
      <c r="VWC100" s="5" t="s">
        <v>67</v>
      </c>
      <c r="VWD100" s="6">
        <v>44102</v>
      </c>
      <c r="VWE100" s="7">
        <v>0.4</v>
      </c>
      <c r="VWF100" s="5">
        <v>14.5</v>
      </c>
      <c r="VWG100" s="5">
        <v>226</v>
      </c>
      <c r="VWH100" s="5">
        <v>250</v>
      </c>
      <c r="VWI100" s="6">
        <v>44102</v>
      </c>
      <c r="VWK100" s="5" t="s">
        <v>67</v>
      </c>
      <c r="VWL100" s="6">
        <v>44102</v>
      </c>
      <c r="VWM100" s="7">
        <v>0.4</v>
      </c>
      <c r="VWN100" s="5">
        <v>14.5</v>
      </c>
      <c r="VWO100" s="5">
        <v>226</v>
      </c>
      <c r="VWP100" s="5">
        <v>250</v>
      </c>
      <c r="VWQ100" s="6">
        <v>44102</v>
      </c>
      <c r="VWS100" s="5" t="s">
        <v>67</v>
      </c>
      <c r="VWT100" s="6">
        <v>44102</v>
      </c>
      <c r="VWU100" s="7">
        <v>0.4</v>
      </c>
      <c r="VWV100" s="5">
        <v>14.5</v>
      </c>
      <c r="VWW100" s="5">
        <v>226</v>
      </c>
      <c r="VWX100" s="5">
        <v>250</v>
      </c>
      <c r="VWY100" s="6">
        <v>44102</v>
      </c>
      <c r="VXA100" s="5" t="s">
        <v>67</v>
      </c>
      <c r="VXB100" s="6">
        <v>44102</v>
      </c>
      <c r="VXC100" s="7">
        <v>0.4</v>
      </c>
      <c r="VXD100" s="5">
        <v>14.5</v>
      </c>
      <c r="VXE100" s="5">
        <v>226</v>
      </c>
      <c r="VXF100" s="5">
        <v>250</v>
      </c>
      <c r="VXG100" s="6">
        <v>44102</v>
      </c>
      <c r="VXI100" s="5" t="s">
        <v>67</v>
      </c>
      <c r="VXJ100" s="6">
        <v>44102</v>
      </c>
      <c r="VXK100" s="7">
        <v>0.4</v>
      </c>
      <c r="VXL100" s="5">
        <v>14.5</v>
      </c>
      <c r="VXM100" s="5">
        <v>226</v>
      </c>
      <c r="VXN100" s="5">
        <v>250</v>
      </c>
      <c r="VXO100" s="6">
        <v>44102</v>
      </c>
      <c r="VXQ100" s="5" t="s">
        <v>67</v>
      </c>
      <c r="VXR100" s="6">
        <v>44102</v>
      </c>
      <c r="VXS100" s="7">
        <v>0.4</v>
      </c>
      <c r="VXT100" s="5">
        <v>14.5</v>
      </c>
      <c r="VXU100" s="5">
        <v>226</v>
      </c>
      <c r="VXV100" s="5">
        <v>250</v>
      </c>
      <c r="VXW100" s="6">
        <v>44102</v>
      </c>
      <c r="VXY100" s="5" t="s">
        <v>67</v>
      </c>
      <c r="VXZ100" s="6">
        <v>44102</v>
      </c>
      <c r="VYA100" s="7">
        <v>0.4</v>
      </c>
      <c r="VYB100" s="5">
        <v>14.5</v>
      </c>
      <c r="VYC100" s="5">
        <v>226</v>
      </c>
      <c r="VYD100" s="5">
        <v>250</v>
      </c>
      <c r="VYE100" s="6">
        <v>44102</v>
      </c>
      <c r="VYG100" s="5" t="s">
        <v>67</v>
      </c>
      <c r="VYH100" s="6">
        <v>44102</v>
      </c>
      <c r="VYI100" s="7">
        <v>0.4</v>
      </c>
      <c r="VYJ100" s="5">
        <v>14.5</v>
      </c>
      <c r="VYK100" s="5">
        <v>226</v>
      </c>
      <c r="VYL100" s="5">
        <v>250</v>
      </c>
      <c r="VYM100" s="6">
        <v>44102</v>
      </c>
      <c r="VYO100" s="5" t="s">
        <v>67</v>
      </c>
      <c r="VYP100" s="6">
        <v>44102</v>
      </c>
      <c r="VYQ100" s="7">
        <v>0.4</v>
      </c>
      <c r="VYR100" s="5">
        <v>14.5</v>
      </c>
      <c r="VYS100" s="5">
        <v>226</v>
      </c>
      <c r="VYT100" s="5">
        <v>250</v>
      </c>
      <c r="VYU100" s="6">
        <v>44102</v>
      </c>
      <c r="VYW100" s="5" t="s">
        <v>67</v>
      </c>
      <c r="VYX100" s="6">
        <v>44102</v>
      </c>
      <c r="VYY100" s="7">
        <v>0.4</v>
      </c>
      <c r="VYZ100" s="5">
        <v>14.5</v>
      </c>
      <c r="VZA100" s="5">
        <v>226</v>
      </c>
      <c r="VZB100" s="5">
        <v>250</v>
      </c>
      <c r="VZC100" s="6">
        <v>44102</v>
      </c>
      <c r="VZE100" s="5" t="s">
        <v>67</v>
      </c>
      <c r="VZF100" s="6">
        <v>44102</v>
      </c>
      <c r="VZG100" s="7">
        <v>0.4</v>
      </c>
      <c r="VZH100" s="5">
        <v>14.5</v>
      </c>
      <c r="VZI100" s="5">
        <v>226</v>
      </c>
      <c r="VZJ100" s="5">
        <v>250</v>
      </c>
      <c r="VZK100" s="6">
        <v>44102</v>
      </c>
      <c r="VZM100" s="5" t="s">
        <v>67</v>
      </c>
      <c r="VZN100" s="6">
        <v>44102</v>
      </c>
      <c r="VZO100" s="7">
        <v>0.4</v>
      </c>
      <c r="VZP100" s="5">
        <v>14.5</v>
      </c>
      <c r="VZQ100" s="5">
        <v>226</v>
      </c>
      <c r="VZR100" s="5">
        <v>250</v>
      </c>
      <c r="VZS100" s="6">
        <v>44102</v>
      </c>
      <c r="VZU100" s="5" t="s">
        <v>67</v>
      </c>
      <c r="VZV100" s="6">
        <v>44102</v>
      </c>
      <c r="VZW100" s="7">
        <v>0.4</v>
      </c>
      <c r="VZX100" s="5">
        <v>14.5</v>
      </c>
      <c r="VZY100" s="5">
        <v>226</v>
      </c>
      <c r="VZZ100" s="5">
        <v>250</v>
      </c>
      <c r="WAA100" s="6">
        <v>44102</v>
      </c>
      <c r="WAC100" s="5" t="s">
        <v>67</v>
      </c>
      <c r="WAD100" s="6">
        <v>44102</v>
      </c>
      <c r="WAE100" s="7">
        <v>0.4</v>
      </c>
      <c r="WAF100" s="5">
        <v>14.5</v>
      </c>
      <c r="WAG100" s="5">
        <v>226</v>
      </c>
      <c r="WAH100" s="5">
        <v>250</v>
      </c>
      <c r="WAI100" s="6">
        <v>44102</v>
      </c>
      <c r="WAK100" s="5" t="s">
        <v>67</v>
      </c>
      <c r="WAL100" s="6">
        <v>44102</v>
      </c>
      <c r="WAM100" s="7">
        <v>0.4</v>
      </c>
      <c r="WAN100" s="5">
        <v>14.5</v>
      </c>
      <c r="WAO100" s="5">
        <v>226</v>
      </c>
      <c r="WAP100" s="5">
        <v>250</v>
      </c>
      <c r="WAQ100" s="6">
        <v>44102</v>
      </c>
      <c r="WAS100" s="5" t="s">
        <v>67</v>
      </c>
      <c r="WAT100" s="6">
        <v>44102</v>
      </c>
      <c r="WAU100" s="7">
        <v>0.4</v>
      </c>
      <c r="WAV100" s="5">
        <v>14.5</v>
      </c>
      <c r="WAW100" s="5">
        <v>226</v>
      </c>
      <c r="WAX100" s="5">
        <v>250</v>
      </c>
      <c r="WAY100" s="6">
        <v>44102</v>
      </c>
      <c r="WBA100" s="5" t="s">
        <v>67</v>
      </c>
      <c r="WBB100" s="6">
        <v>44102</v>
      </c>
      <c r="WBC100" s="7">
        <v>0.4</v>
      </c>
      <c r="WBD100" s="5">
        <v>14.5</v>
      </c>
      <c r="WBE100" s="5">
        <v>226</v>
      </c>
      <c r="WBF100" s="5">
        <v>250</v>
      </c>
      <c r="WBG100" s="6">
        <v>44102</v>
      </c>
      <c r="WBI100" s="5" t="s">
        <v>67</v>
      </c>
      <c r="WBJ100" s="6">
        <v>44102</v>
      </c>
      <c r="WBK100" s="7">
        <v>0.4</v>
      </c>
      <c r="WBL100" s="5">
        <v>14.5</v>
      </c>
      <c r="WBM100" s="5">
        <v>226</v>
      </c>
      <c r="WBN100" s="5">
        <v>250</v>
      </c>
      <c r="WBO100" s="6">
        <v>44102</v>
      </c>
      <c r="WBQ100" s="5" t="s">
        <v>67</v>
      </c>
      <c r="WBR100" s="6">
        <v>44102</v>
      </c>
      <c r="WBS100" s="7">
        <v>0.4</v>
      </c>
      <c r="WBT100" s="5">
        <v>14.5</v>
      </c>
      <c r="WBU100" s="5">
        <v>226</v>
      </c>
      <c r="WBV100" s="5">
        <v>250</v>
      </c>
      <c r="WBW100" s="6">
        <v>44102</v>
      </c>
      <c r="WBY100" s="5" t="s">
        <v>67</v>
      </c>
      <c r="WBZ100" s="6">
        <v>44102</v>
      </c>
      <c r="WCA100" s="7">
        <v>0.4</v>
      </c>
      <c r="WCB100" s="5">
        <v>14.5</v>
      </c>
      <c r="WCC100" s="5">
        <v>226</v>
      </c>
      <c r="WCD100" s="5">
        <v>250</v>
      </c>
      <c r="WCE100" s="6">
        <v>44102</v>
      </c>
      <c r="WCG100" s="5" t="s">
        <v>67</v>
      </c>
      <c r="WCH100" s="6">
        <v>44102</v>
      </c>
      <c r="WCI100" s="7">
        <v>0.4</v>
      </c>
      <c r="WCJ100" s="5">
        <v>14.5</v>
      </c>
      <c r="WCK100" s="5">
        <v>226</v>
      </c>
      <c r="WCL100" s="5">
        <v>250</v>
      </c>
      <c r="WCM100" s="6">
        <v>44102</v>
      </c>
      <c r="WCO100" s="5" t="s">
        <v>67</v>
      </c>
      <c r="WCP100" s="6">
        <v>44102</v>
      </c>
      <c r="WCQ100" s="7">
        <v>0.4</v>
      </c>
      <c r="WCR100" s="5">
        <v>14.5</v>
      </c>
      <c r="WCS100" s="5">
        <v>226</v>
      </c>
      <c r="WCT100" s="5">
        <v>250</v>
      </c>
      <c r="WCU100" s="6">
        <v>44102</v>
      </c>
      <c r="WCW100" s="5" t="s">
        <v>67</v>
      </c>
      <c r="WCX100" s="6">
        <v>44102</v>
      </c>
      <c r="WCY100" s="7">
        <v>0.4</v>
      </c>
      <c r="WCZ100" s="5">
        <v>14.5</v>
      </c>
      <c r="WDA100" s="5">
        <v>226</v>
      </c>
      <c r="WDB100" s="5">
        <v>250</v>
      </c>
      <c r="WDC100" s="6">
        <v>44102</v>
      </c>
      <c r="WDE100" s="5" t="s">
        <v>67</v>
      </c>
      <c r="WDF100" s="6">
        <v>44102</v>
      </c>
      <c r="WDG100" s="7">
        <v>0.4</v>
      </c>
      <c r="WDH100" s="5">
        <v>14.5</v>
      </c>
      <c r="WDI100" s="5">
        <v>226</v>
      </c>
      <c r="WDJ100" s="5">
        <v>250</v>
      </c>
      <c r="WDK100" s="6">
        <v>44102</v>
      </c>
      <c r="WDM100" s="5" t="s">
        <v>67</v>
      </c>
      <c r="WDN100" s="6">
        <v>44102</v>
      </c>
      <c r="WDO100" s="7">
        <v>0.4</v>
      </c>
      <c r="WDP100" s="5">
        <v>14.5</v>
      </c>
      <c r="WDQ100" s="5">
        <v>226</v>
      </c>
      <c r="WDR100" s="5">
        <v>250</v>
      </c>
      <c r="WDS100" s="6">
        <v>44102</v>
      </c>
      <c r="WDU100" s="5" t="s">
        <v>67</v>
      </c>
      <c r="WDV100" s="6">
        <v>44102</v>
      </c>
      <c r="WDW100" s="7">
        <v>0.4</v>
      </c>
      <c r="WDX100" s="5">
        <v>14.5</v>
      </c>
      <c r="WDY100" s="5">
        <v>226</v>
      </c>
      <c r="WDZ100" s="5">
        <v>250</v>
      </c>
      <c r="WEA100" s="6">
        <v>44102</v>
      </c>
      <c r="WEC100" s="5" t="s">
        <v>67</v>
      </c>
      <c r="WED100" s="6">
        <v>44102</v>
      </c>
      <c r="WEE100" s="7">
        <v>0.4</v>
      </c>
      <c r="WEF100" s="5">
        <v>14.5</v>
      </c>
      <c r="WEG100" s="5">
        <v>226</v>
      </c>
      <c r="WEH100" s="5">
        <v>250</v>
      </c>
      <c r="WEI100" s="6">
        <v>44102</v>
      </c>
      <c r="WEK100" s="5" t="s">
        <v>67</v>
      </c>
      <c r="WEL100" s="6">
        <v>44102</v>
      </c>
      <c r="WEM100" s="7">
        <v>0.4</v>
      </c>
      <c r="WEN100" s="5">
        <v>14.5</v>
      </c>
      <c r="WEO100" s="5">
        <v>226</v>
      </c>
      <c r="WEP100" s="5">
        <v>250</v>
      </c>
      <c r="WEQ100" s="6">
        <v>44102</v>
      </c>
      <c r="WES100" s="5" t="s">
        <v>67</v>
      </c>
      <c r="WET100" s="6">
        <v>44102</v>
      </c>
      <c r="WEU100" s="7">
        <v>0.4</v>
      </c>
      <c r="WEV100" s="5">
        <v>14.5</v>
      </c>
      <c r="WEW100" s="5">
        <v>226</v>
      </c>
      <c r="WEX100" s="5">
        <v>250</v>
      </c>
      <c r="WEY100" s="6">
        <v>44102</v>
      </c>
      <c r="WFA100" s="5" t="s">
        <v>67</v>
      </c>
      <c r="WFB100" s="6">
        <v>44102</v>
      </c>
      <c r="WFC100" s="7">
        <v>0.4</v>
      </c>
      <c r="WFD100" s="5">
        <v>14.5</v>
      </c>
      <c r="WFE100" s="5">
        <v>226</v>
      </c>
      <c r="WFF100" s="5">
        <v>250</v>
      </c>
      <c r="WFG100" s="6">
        <v>44102</v>
      </c>
      <c r="WFI100" s="5" t="s">
        <v>67</v>
      </c>
      <c r="WFJ100" s="6">
        <v>44102</v>
      </c>
      <c r="WFK100" s="7">
        <v>0.4</v>
      </c>
      <c r="WFL100" s="5">
        <v>14.5</v>
      </c>
      <c r="WFM100" s="5">
        <v>226</v>
      </c>
      <c r="WFN100" s="5">
        <v>250</v>
      </c>
      <c r="WFO100" s="6">
        <v>44102</v>
      </c>
      <c r="WFQ100" s="5" t="s">
        <v>67</v>
      </c>
      <c r="WFR100" s="6">
        <v>44102</v>
      </c>
      <c r="WFS100" s="7">
        <v>0.4</v>
      </c>
      <c r="WFT100" s="5">
        <v>14.5</v>
      </c>
      <c r="WFU100" s="5">
        <v>226</v>
      </c>
      <c r="WFV100" s="5">
        <v>250</v>
      </c>
      <c r="WFW100" s="6">
        <v>44102</v>
      </c>
      <c r="WFY100" s="5" t="s">
        <v>67</v>
      </c>
      <c r="WFZ100" s="6">
        <v>44102</v>
      </c>
      <c r="WGA100" s="7">
        <v>0.4</v>
      </c>
      <c r="WGB100" s="5">
        <v>14.5</v>
      </c>
      <c r="WGC100" s="5">
        <v>226</v>
      </c>
      <c r="WGD100" s="5">
        <v>250</v>
      </c>
      <c r="WGE100" s="6">
        <v>44102</v>
      </c>
      <c r="WGG100" s="5" t="s">
        <v>67</v>
      </c>
      <c r="WGH100" s="6">
        <v>44102</v>
      </c>
      <c r="WGI100" s="7">
        <v>0.4</v>
      </c>
      <c r="WGJ100" s="5">
        <v>14.5</v>
      </c>
      <c r="WGK100" s="5">
        <v>226</v>
      </c>
      <c r="WGL100" s="5">
        <v>250</v>
      </c>
      <c r="WGM100" s="6">
        <v>44102</v>
      </c>
      <c r="WGO100" s="5" t="s">
        <v>67</v>
      </c>
      <c r="WGP100" s="6">
        <v>44102</v>
      </c>
      <c r="WGQ100" s="7">
        <v>0.4</v>
      </c>
      <c r="WGR100" s="5">
        <v>14.5</v>
      </c>
      <c r="WGS100" s="5">
        <v>226</v>
      </c>
      <c r="WGT100" s="5">
        <v>250</v>
      </c>
      <c r="WGU100" s="6">
        <v>44102</v>
      </c>
      <c r="WGW100" s="5" t="s">
        <v>67</v>
      </c>
      <c r="WGX100" s="6">
        <v>44102</v>
      </c>
      <c r="WGY100" s="7">
        <v>0.4</v>
      </c>
      <c r="WGZ100" s="5">
        <v>14.5</v>
      </c>
      <c r="WHA100" s="5">
        <v>226</v>
      </c>
      <c r="WHB100" s="5">
        <v>250</v>
      </c>
      <c r="WHC100" s="6">
        <v>44102</v>
      </c>
      <c r="WHE100" s="5" t="s">
        <v>67</v>
      </c>
      <c r="WHF100" s="6">
        <v>44102</v>
      </c>
      <c r="WHG100" s="7">
        <v>0.4</v>
      </c>
      <c r="WHH100" s="5">
        <v>14.5</v>
      </c>
      <c r="WHI100" s="5">
        <v>226</v>
      </c>
      <c r="WHJ100" s="5">
        <v>250</v>
      </c>
      <c r="WHK100" s="6">
        <v>44102</v>
      </c>
      <c r="WHM100" s="5" t="s">
        <v>67</v>
      </c>
      <c r="WHN100" s="6">
        <v>44102</v>
      </c>
      <c r="WHO100" s="7">
        <v>0.4</v>
      </c>
      <c r="WHP100" s="5">
        <v>14.5</v>
      </c>
      <c r="WHQ100" s="5">
        <v>226</v>
      </c>
      <c r="WHR100" s="5">
        <v>250</v>
      </c>
      <c r="WHS100" s="6">
        <v>44102</v>
      </c>
      <c r="WHU100" s="5" t="s">
        <v>67</v>
      </c>
      <c r="WHV100" s="6">
        <v>44102</v>
      </c>
      <c r="WHW100" s="7">
        <v>0.4</v>
      </c>
      <c r="WHX100" s="5">
        <v>14.5</v>
      </c>
      <c r="WHY100" s="5">
        <v>226</v>
      </c>
      <c r="WHZ100" s="5">
        <v>250</v>
      </c>
      <c r="WIA100" s="6">
        <v>44102</v>
      </c>
      <c r="WIC100" s="5" t="s">
        <v>67</v>
      </c>
      <c r="WID100" s="6">
        <v>44102</v>
      </c>
      <c r="WIE100" s="7">
        <v>0.4</v>
      </c>
      <c r="WIF100" s="5">
        <v>14.5</v>
      </c>
      <c r="WIG100" s="5">
        <v>226</v>
      </c>
      <c r="WIH100" s="5">
        <v>250</v>
      </c>
      <c r="WII100" s="6">
        <v>44102</v>
      </c>
      <c r="WIK100" s="5" t="s">
        <v>67</v>
      </c>
      <c r="WIL100" s="6">
        <v>44102</v>
      </c>
      <c r="WIM100" s="7">
        <v>0.4</v>
      </c>
      <c r="WIN100" s="5">
        <v>14.5</v>
      </c>
      <c r="WIO100" s="5">
        <v>226</v>
      </c>
      <c r="WIP100" s="5">
        <v>250</v>
      </c>
      <c r="WIQ100" s="6">
        <v>44102</v>
      </c>
      <c r="WIS100" s="5" t="s">
        <v>67</v>
      </c>
      <c r="WIT100" s="6">
        <v>44102</v>
      </c>
      <c r="WIU100" s="7">
        <v>0.4</v>
      </c>
      <c r="WIV100" s="5">
        <v>14.5</v>
      </c>
      <c r="WIW100" s="5">
        <v>226</v>
      </c>
      <c r="WIX100" s="5">
        <v>250</v>
      </c>
      <c r="WIY100" s="6">
        <v>44102</v>
      </c>
      <c r="WJA100" s="5" t="s">
        <v>67</v>
      </c>
      <c r="WJB100" s="6">
        <v>44102</v>
      </c>
      <c r="WJC100" s="7">
        <v>0.4</v>
      </c>
      <c r="WJD100" s="5">
        <v>14.5</v>
      </c>
      <c r="WJE100" s="5">
        <v>226</v>
      </c>
      <c r="WJF100" s="5">
        <v>250</v>
      </c>
      <c r="WJG100" s="6">
        <v>44102</v>
      </c>
      <c r="WJI100" s="5" t="s">
        <v>67</v>
      </c>
      <c r="WJJ100" s="6">
        <v>44102</v>
      </c>
      <c r="WJK100" s="7">
        <v>0.4</v>
      </c>
      <c r="WJL100" s="5">
        <v>14.5</v>
      </c>
      <c r="WJM100" s="5">
        <v>226</v>
      </c>
      <c r="WJN100" s="5">
        <v>250</v>
      </c>
      <c r="WJO100" s="6">
        <v>44102</v>
      </c>
      <c r="WJQ100" s="5" t="s">
        <v>67</v>
      </c>
      <c r="WJR100" s="6">
        <v>44102</v>
      </c>
      <c r="WJS100" s="7">
        <v>0.4</v>
      </c>
      <c r="WJT100" s="5">
        <v>14.5</v>
      </c>
      <c r="WJU100" s="5">
        <v>226</v>
      </c>
      <c r="WJV100" s="5">
        <v>250</v>
      </c>
      <c r="WJW100" s="6">
        <v>44102</v>
      </c>
      <c r="WJY100" s="5" t="s">
        <v>67</v>
      </c>
      <c r="WJZ100" s="6">
        <v>44102</v>
      </c>
      <c r="WKA100" s="7">
        <v>0.4</v>
      </c>
      <c r="WKB100" s="5">
        <v>14.5</v>
      </c>
      <c r="WKC100" s="5">
        <v>226</v>
      </c>
      <c r="WKD100" s="5">
        <v>250</v>
      </c>
      <c r="WKE100" s="6">
        <v>44102</v>
      </c>
      <c r="WKG100" s="5" t="s">
        <v>67</v>
      </c>
      <c r="WKH100" s="6">
        <v>44102</v>
      </c>
      <c r="WKI100" s="7">
        <v>0.4</v>
      </c>
      <c r="WKJ100" s="5">
        <v>14.5</v>
      </c>
      <c r="WKK100" s="5">
        <v>226</v>
      </c>
      <c r="WKL100" s="5">
        <v>250</v>
      </c>
      <c r="WKM100" s="6">
        <v>44102</v>
      </c>
      <c r="WKO100" s="5" t="s">
        <v>67</v>
      </c>
      <c r="WKP100" s="6">
        <v>44102</v>
      </c>
      <c r="WKQ100" s="7">
        <v>0.4</v>
      </c>
      <c r="WKR100" s="5">
        <v>14.5</v>
      </c>
      <c r="WKS100" s="5">
        <v>226</v>
      </c>
      <c r="WKT100" s="5">
        <v>250</v>
      </c>
      <c r="WKU100" s="6">
        <v>44102</v>
      </c>
      <c r="WKW100" s="5" t="s">
        <v>67</v>
      </c>
      <c r="WKX100" s="6">
        <v>44102</v>
      </c>
      <c r="WKY100" s="7">
        <v>0.4</v>
      </c>
      <c r="WKZ100" s="5">
        <v>14.5</v>
      </c>
      <c r="WLA100" s="5">
        <v>226</v>
      </c>
      <c r="WLB100" s="5">
        <v>250</v>
      </c>
      <c r="WLC100" s="6">
        <v>44102</v>
      </c>
      <c r="WLE100" s="5" t="s">
        <v>67</v>
      </c>
      <c r="WLF100" s="6">
        <v>44102</v>
      </c>
      <c r="WLG100" s="7">
        <v>0.4</v>
      </c>
      <c r="WLH100" s="5">
        <v>14.5</v>
      </c>
      <c r="WLI100" s="5">
        <v>226</v>
      </c>
      <c r="WLJ100" s="5">
        <v>250</v>
      </c>
      <c r="WLK100" s="6">
        <v>44102</v>
      </c>
      <c r="WLM100" s="5" t="s">
        <v>67</v>
      </c>
      <c r="WLN100" s="6">
        <v>44102</v>
      </c>
      <c r="WLO100" s="7">
        <v>0.4</v>
      </c>
      <c r="WLP100" s="5">
        <v>14.5</v>
      </c>
      <c r="WLQ100" s="5">
        <v>226</v>
      </c>
      <c r="WLR100" s="5">
        <v>250</v>
      </c>
      <c r="WLS100" s="6">
        <v>44102</v>
      </c>
      <c r="WLU100" s="5" t="s">
        <v>67</v>
      </c>
      <c r="WLV100" s="6">
        <v>44102</v>
      </c>
      <c r="WLW100" s="7">
        <v>0.4</v>
      </c>
      <c r="WLX100" s="5">
        <v>14.5</v>
      </c>
      <c r="WLY100" s="5">
        <v>226</v>
      </c>
      <c r="WLZ100" s="5">
        <v>250</v>
      </c>
      <c r="WMA100" s="6">
        <v>44102</v>
      </c>
      <c r="WMC100" s="5" t="s">
        <v>67</v>
      </c>
      <c r="WMD100" s="6">
        <v>44102</v>
      </c>
      <c r="WME100" s="7">
        <v>0.4</v>
      </c>
      <c r="WMF100" s="5">
        <v>14.5</v>
      </c>
      <c r="WMG100" s="5">
        <v>226</v>
      </c>
      <c r="WMH100" s="5">
        <v>250</v>
      </c>
      <c r="WMI100" s="6">
        <v>44102</v>
      </c>
      <c r="WMK100" s="5" t="s">
        <v>67</v>
      </c>
      <c r="WML100" s="6">
        <v>44102</v>
      </c>
      <c r="WMM100" s="7">
        <v>0.4</v>
      </c>
      <c r="WMN100" s="5">
        <v>14.5</v>
      </c>
      <c r="WMO100" s="5">
        <v>226</v>
      </c>
      <c r="WMP100" s="5">
        <v>250</v>
      </c>
      <c r="WMQ100" s="6">
        <v>44102</v>
      </c>
      <c r="WMS100" s="5" t="s">
        <v>67</v>
      </c>
      <c r="WMT100" s="6">
        <v>44102</v>
      </c>
      <c r="WMU100" s="7">
        <v>0.4</v>
      </c>
      <c r="WMV100" s="5">
        <v>14.5</v>
      </c>
      <c r="WMW100" s="5">
        <v>226</v>
      </c>
      <c r="WMX100" s="5">
        <v>250</v>
      </c>
      <c r="WMY100" s="6">
        <v>44102</v>
      </c>
      <c r="WNA100" s="5" t="s">
        <v>67</v>
      </c>
      <c r="WNB100" s="6">
        <v>44102</v>
      </c>
      <c r="WNC100" s="7">
        <v>0.4</v>
      </c>
      <c r="WND100" s="5">
        <v>14.5</v>
      </c>
      <c r="WNE100" s="5">
        <v>226</v>
      </c>
      <c r="WNF100" s="5">
        <v>250</v>
      </c>
      <c r="WNG100" s="6">
        <v>44102</v>
      </c>
      <c r="WNI100" s="5" t="s">
        <v>67</v>
      </c>
      <c r="WNJ100" s="6">
        <v>44102</v>
      </c>
      <c r="WNK100" s="7">
        <v>0.4</v>
      </c>
      <c r="WNL100" s="5">
        <v>14.5</v>
      </c>
      <c r="WNM100" s="5">
        <v>226</v>
      </c>
      <c r="WNN100" s="5">
        <v>250</v>
      </c>
      <c r="WNO100" s="6">
        <v>44102</v>
      </c>
      <c r="WNQ100" s="5" t="s">
        <v>67</v>
      </c>
      <c r="WNR100" s="6">
        <v>44102</v>
      </c>
      <c r="WNS100" s="7">
        <v>0.4</v>
      </c>
      <c r="WNT100" s="5">
        <v>14.5</v>
      </c>
      <c r="WNU100" s="5">
        <v>226</v>
      </c>
      <c r="WNV100" s="5">
        <v>250</v>
      </c>
      <c r="WNW100" s="6">
        <v>44102</v>
      </c>
      <c r="WNY100" s="5" t="s">
        <v>67</v>
      </c>
      <c r="WNZ100" s="6">
        <v>44102</v>
      </c>
      <c r="WOA100" s="7">
        <v>0.4</v>
      </c>
      <c r="WOB100" s="5">
        <v>14.5</v>
      </c>
      <c r="WOC100" s="5">
        <v>226</v>
      </c>
      <c r="WOD100" s="5">
        <v>250</v>
      </c>
      <c r="WOE100" s="6">
        <v>44102</v>
      </c>
      <c r="WOG100" s="5" t="s">
        <v>67</v>
      </c>
      <c r="WOH100" s="6">
        <v>44102</v>
      </c>
      <c r="WOI100" s="7">
        <v>0.4</v>
      </c>
      <c r="WOJ100" s="5">
        <v>14.5</v>
      </c>
      <c r="WOK100" s="5">
        <v>226</v>
      </c>
      <c r="WOL100" s="5">
        <v>250</v>
      </c>
      <c r="WOM100" s="6">
        <v>44102</v>
      </c>
      <c r="WOO100" s="5" t="s">
        <v>67</v>
      </c>
      <c r="WOP100" s="6">
        <v>44102</v>
      </c>
      <c r="WOQ100" s="7">
        <v>0.4</v>
      </c>
      <c r="WOR100" s="5">
        <v>14.5</v>
      </c>
      <c r="WOS100" s="5">
        <v>226</v>
      </c>
      <c r="WOT100" s="5">
        <v>250</v>
      </c>
      <c r="WOU100" s="6">
        <v>44102</v>
      </c>
      <c r="WOW100" s="5" t="s">
        <v>67</v>
      </c>
      <c r="WOX100" s="6">
        <v>44102</v>
      </c>
      <c r="WOY100" s="7">
        <v>0.4</v>
      </c>
      <c r="WOZ100" s="5">
        <v>14.5</v>
      </c>
      <c r="WPA100" s="5">
        <v>226</v>
      </c>
      <c r="WPB100" s="5">
        <v>250</v>
      </c>
      <c r="WPC100" s="6">
        <v>44102</v>
      </c>
      <c r="WPE100" s="5" t="s">
        <v>67</v>
      </c>
      <c r="WPF100" s="6">
        <v>44102</v>
      </c>
      <c r="WPG100" s="7">
        <v>0.4</v>
      </c>
      <c r="WPH100" s="5">
        <v>14.5</v>
      </c>
      <c r="WPI100" s="5">
        <v>226</v>
      </c>
      <c r="WPJ100" s="5">
        <v>250</v>
      </c>
      <c r="WPK100" s="6">
        <v>44102</v>
      </c>
      <c r="WPM100" s="5" t="s">
        <v>67</v>
      </c>
      <c r="WPN100" s="6">
        <v>44102</v>
      </c>
      <c r="WPO100" s="7">
        <v>0.4</v>
      </c>
      <c r="WPP100" s="5">
        <v>14.5</v>
      </c>
      <c r="WPQ100" s="5">
        <v>226</v>
      </c>
      <c r="WPR100" s="5">
        <v>250</v>
      </c>
      <c r="WPS100" s="6">
        <v>44102</v>
      </c>
      <c r="WPU100" s="5" t="s">
        <v>67</v>
      </c>
      <c r="WPV100" s="6">
        <v>44102</v>
      </c>
      <c r="WPW100" s="7">
        <v>0.4</v>
      </c>
      <c r="WPX100" s="5">
        <v>14.5</v>
      </c>
      <c r="WPY100" s="5">
        <v>226</v>
      </c>
      <c r="WPZ100" s="5">
        <v>250</v>
      </c>
      <c r="WQA100" s="6">
        <v>44102</v>
      </c>
      <c r="WQC100" s="5" t="s">
        <v>67</v>
      </c>
      <c r="WQD100" s="6">
        <v>44102</v>
      </c>
      <c r="WQE100" s="7">
        <v>0.4</v>
      </c>
      <c r="WQF100" s="5">
        <v>14.5</v>
      </c>
      <c r="WQG100" s="5">
        <v>226</v>
      </c>
      <c r="WQH100" s="5">
        <v>250</v>
      </c>
      <c r="WQI100" s="6">
        <v>44102</v>
      </c>
      <c r="WQK100" s="5" t="s">
        <v>67</v>
      </c>
      <c r="WQL100" s="6">
        <v>44102</v>
      </c>
      <c r="WQM100" s="7">
        <v>0.4</v>
      </c>
      <c r="WQN100" s="5">
        <v>14.5</v>
      </c>
      <c r="WQO100" s="5">
        <v>226</v>
      </c>
      <c r="WQP100" s="5">
        <v>250</v>
      </c>
      <c r="WQQ100" s="6">
        <v>44102</v>
      </c>
      <c r="WQS100" s="5" t="s">
        <v>67</v>
      </c>
      <c r="WQT100" s="6">
        <v>44102</v>
      </c>
      <c r="WQU100" s="7">
        <v>0.4</v>
      </c>
      <c r="WQV100" s="5">
        <v>14.5</v>
      </c>
      <c r="WQW100" s="5">
        <v>226</v>
      </c>
      <c r="WQX100" s="5">
        <v>250</v>
      </c>
      <c r="WQY100" s="6">
        <v>44102</v>
      </c>
      <c r="WRA100" s="5" t="s">
        <v>67</v>
      </c>
      <c r="WRB100" s="6">
        <v>44102</v>
      </c>
      <c r="WRC100" s="7">
        <v>0.4</v>
      </c>
      <c r="WRD100" s="5">
        <v>14.5</v>
      </c>
      <c r="WRE100" s="5">
        <v>226</v>
      </c>
      <c r="WRF100" s="5">
        <v>250</v>
      </c>
      <c r="WRG100" s="6">
        <v>44102</v>
      </c>
      <c r="WRI100" s="5" t="s">
        <v>67</v>
      </c>
      <c r="WRJ100" s="6">
        <v>44102</v>
      </c>
      <c r="WRK100" s="7">
        <v>0.4</v>
      </c>
      <c r="WRL100" s="5">
        <v>14.5</v>
      </c>
      <c r="WRM100" s="5">
        <v>226</v>
      </c>
      <c r="WRN100" s="5">
        <v>250</v>
      </c>
      <c r="WRO100" s="6">
        <v>44102</v>
      </c>
      <c r="WRQ100" s="5" t="s">
        <v>67</v>
      </c>
      <c r="WRR100" s="6">
        <v>44102</v>
      </c>
      <c r="WRS100" s="7">
        <v>0.4</v>
      </c>
      <c r="WRT100" s="5">
        <v>14.5</v>
      </c>
      <c r="WRU100" s="5">
        <v>226</v>
      </c>
      <c r="WRV100" s="5">
        <v>250</v>
      </c>
      <c r="WRW100" s="6">
        <v>44102</v>
      </c>
      <c r="WRY100" s="5" t="s">
        <v>67</v>
      </c>
      <c r="WRZ100" s="6">
        <v>44102</v>
      </c>
      <c r="WSA100" s="7">
        <v>0.4</v>
      </c>
      <c r="WSB100" s="5">
        <v>14.5</v>
      </c>
      <c r="WSC100" s="5">
        <v>226</v>
      </c>
      <c r="WSD100" s="5">
        <v>250</v>
      </c>
      <c r="WSE100" s="6">
        <v>44102</v>
      </c>
      <c r="WSG100" s="5" t="s">
        <v>67</v>
      </c>
      <c r="WSH100" s="6">
        <v>44102</v>
      </c>
      <c r="WSI100" s="7">
        <v>0.4</v>
      </c>
      <c r="WSJ100" s="5">
        <v>14.5</v>
      </c>
      <c r="WSK100" s="5">
        <v>226</v>
      </c>
      <c r="WSL100" s="5">
        <v>250</v>
      </c>
      <c r="WSM100" s="6">
        <v>44102</v>
      </c>
      <c r="WSO100" s="5" t="s">
        <v>67</v>
      </c>
      <c r="WSP100" s="6">
        <v>44102</v>
      </c>
      <c r="WSQ100" s="7">
        <v>0.4</v>
      </c>
      <c r="WSR100" s="5">
        <v>14.5</v>
      </c>
      <c r="WSS100" s="5">
        <v>226</v>
      </c>
      <c r="WST100" s="5">
        <v>250</v>
      </c>
      <c r="WSU100" s="6">
        <v>44102</v>
      </c>
      <c r="WSW100" s="5" t="s">
        <v>67</v>
      </c>
      <c r="WSX100" s="6">
        <v>44102</v>
      </c>
      <c r="WSY100" s="7">
        <v>0.4</v>
      </c>
      <c r="WSZ100" s="5">
        <v>14.5</v>
      </c>
      <c r="WTA100" s="5">
        <v>226</v>
      </c>
      <c r="WTB100" s="5">
        <v>250</v>
      </c>
      <c r="WTC100" s="6">
        <v>44102</v>
      </c>
      <c r="WTE100" s="5" t="s">
        <v>67</v>
      </c>
      <c r="WTF100" s="6">
        <v>44102</v>
      </c>
      <c r="WTG100" s="7">
        <v>0.4</v>
      </c>
      <c r="WTH100" s="5">
        <v>14.5</v>
      </c>
      <c r="WTI100" s="5">
        <v>226</v>
      </c>
      <c r="WTJ100" s="5">
        <v>250</v>
      </c>
      <c r="WTK100" s="6">
        <v>44102</v>
      </c>
      <c r="WTM100" s="5" t="s">
        <v>67</v>
      </c>
      <c r="WTN100" s="6">
        <v>44102</v>
      </c>
      <c r="WTO100" s="7">
        <v>0.4</v>
      </c>
      <c r="WTP100" s="5">
        <v>14.5</v>
      </c>
      <c r="WTQ100" s="5">
        <v>226</v>
      </c>
      <c r="WTR100" s="5">
        <v>250</v>
      </c>
      <c r="WTS100" s="6">
        <v>44102</v>
      </c>
      <c r="WTU100" s="5" t="s">
        <v>67</v>
      </c>
      <c r="WTV100" s="6">
        <v>44102</v>
      </c>
      <c r="WTW100" s="7">
        <v>0.4</v>
      </c>
      <c r="WTX100" s="5">
        <v>14.5</v>
      </c>
      <c r="WTY100" s="5">
        <v>226</v>
      </c>
      <c r="WTZ100" s="5">
        <v>250</v>
      </c>
      <c r="WUA100" s="6">
        <v>44102</v>
      </c>
      <c r="WUC100" s="5" t="s">
        <v>67</v>
      </c>
      <c r="WUD100" s="6">
        <v>44102</v>
      </c>
      <c r="WUE100" s="7">
        <v>0.4</v>
      </c>
      <c r="WUF100" s="5">
        <v>14.5</v>
      </c>
      <c r="WUG100" s="5">
        <v>226</v>
      </c>
      <c r="WUH100" s="5">
        <v>250</v>
      </c>
      <c r="WUI100" s="6">
        <v>44102</v>
      </c>
      <c r="WUK100" s="5" t="s">
        <v>67</v>
      </c>
      <c r="WUL100" s="6">
        <v>44102</v>
      </c>
      <c r="WUM100" s="7">
        <v>0.4</v>
      </c>
      <c r="WUN100" s="5">
        <v>14.5</v>
      </c>
      <c r="WUO100" s="5">
        <v>226</v>
      </c>
      <c r="WUP100" s="5">
        <v>250</v>
      </c>
      <c r="WUQ100" s="6">
        <v>44102</v>
      </c>
      <c r="WUS100" s="5" t="s">
        <v>67</v>
      </c>
      <c r="WUT100" s="6">
        <v>44102</v>
      </c>
      <c r="WUU100" s="7">
        <v>0.4</v>
      </c>
      <c r="WUV100" s="5">
        <v>14.5</v>
      </c>
      <c r="WUW100" s="5">
        <v>226</v>
      </c>
      <c r="WUX100" s="5">
        <v>250</v>
      </c>
      <c r="WUY100" s="6">
        <v>44102</v>
      </c>
      <c r="WVA100" s="5" t="s">
        <v>67</v>
      </c>
      <c r="WVB100" s="6">
        <v>44102</v>
      </c>
      <c r="WVC100" s="7">
        <v>0.4</v>
      </c>
      <c r="WVD100" s="5">
        <v>14.5</v>
      </c>
      <c r="WVE100" s="5">
        <v>226</v>
      </c>
      <c r="WVF100" s="5">
        <v>250</v>
      </c>
      <c r="WVG100" s="6">
        <v>44102</v>
      </c>
      <c r="WVI100" s="5" t="s">
        <v>67</v>
      </c>
      <c r="WVJ100" s="6">
        <v>44102</v>
      </c>
      <c r="WVK100" s="7">
        <v>0.4</v>
      </c>
      <c r="WVL100" s="5">
        <v>14.5</v>
      </c>
      <c r="WVM100" s="5">
        <v>226</v>
      </c>
      <c r="WVN100" s="5">
        <v>250</v>
      </c>
      <c r="WVO100" s="6">
        <v>44102</v>
      </c>
      <c r="WVQ100" s="5" t="s">
        <v>67</v>
      </c>
      <c r="WVR100" s="6">
        <v>44102</v>
      </c>
      <c r="WVS100" s="7">
        <v>0.4</v>
      </c>
      <c r="WVT100" s="5">
        <v>14.5</v>
      </c>
      <c r="WVU100" s="5">
        <v>226</v>
      </c>
      <c r="WVV100" s="5">
        <v>250</v>
      </c>
      <c r="WVW100" s="6">
        <v>44102</v>
      </c>
      <c r="WVY100" s="5" t="s">
        <v>67</v>
      </c>
      <c r="WVZ100" s="6">
        <v>44102</v>
      </c>
      <c r="WWA100" s="7">
        <v>0.4</v>
      </c>
      <c r="WWB100" s="5">
        <v>14.5</v>
      </c>
      <c r="WWC100" s="5">
        <v>226</v>
      </c>
      <c r="WWD100" s="5">
        <v>250</v>
      </c>
      <c r="WWE100" s="6">
        <v>44102</v>
      </c>
      <c r="WWG100" s="5" t="s">
        <v>67</v>
      </c>
      <c r="WWH100" s="6">
        <v>44102</v>
      </c>
      <c r="WWI100" s="7">
        <v>0.4</v>
      </c>
      <c r="WWJ100" s="5">
        <v>14.5</v>
      </c>
      <c r="WWK100" s="5">
        <v>226</v>
      </c>
      <c r="WWL100" s="5">
        <v>250</v>
      </c>
      <c r="WWM100" s="6">
        <v>44102</v>
      </c>
      <c r="WWO100" s="5" t="s">
        <v>67</v>
      </c>
      <c r="WWP100" s="6">
        <v>44102</v>
      </c>
      <c r="WWQ100" s="7">
        <v>0.4</v>
      </c>
      <c r="WWR100" s="5">
        <v>14.5</v>
      </c>
      <c r="WWS100" s="5">
        <v>226</v>
      </c>
      <c r="WWT100" s="5">
        <v>250</v>
      </c>
      <c r="WWU100" s="6">
        <v>44102</v>
      </c>
      <c r="WWW100" s="5" t="s">
        <v>67</v>
      </c>
      <c r="WWX100" s="6">
        <v>44102</v>
      </c>
      <c r="WWY100" s="7">
        <v>0.4</v>
      </c>
      <c r="WWZ100" s="5">
        <v>14.5</v>
      </c>
      <c r="WXA100" s="5">
        <v>226</v>
      </c>
      <c r="WXB100" s="5">
        <v>250</v>
      </c>
      <c r="WXC100" s="6">
        <v>44102</v>
      </c>
      <c r="WXE100" s="5" t="s">
        <v>67</v>
      </c>
      <c r="WXF100" s="6">
        <v>44102</v>
      </c>
      <c r="WXG100" s="7">
        <v>0.4</v>
      </c>
      <c r="WXH100" s="5">
        <v>14.5</v>
      </c>
      <c r="WXI100" s="5">
        <v>226</v>
      </c>
      <c r="WXJ100" s="5">
        <v>250</v>
      </c>
      <c r="WXK100" s="6">
        <v>44102</v>
      </c>
      <c r="WXM100" s="5" t="s">
        <v>67</v>
      </c>
      <c r="WXN100" s="6">
        <v>44102</v>
      </c>
      <c r="WXO100" s="7">
        <v>0.4</v>
      </c>
      <c r="WXP100" s="5">
        <v>14.5</v>
      </c>
      <c r="WXQ100" s="5">
        <v>226</v>
      </c>
      <c r="WXR100" s="5">
        <v>250</v>
      </c>
      <c r="WXS100" s="6">
        <v>44102</v>
      </c>
      <c r="WXU100" s="5" t="s">
        <v>67</v>
      </c>
      <c r="WXV100" s="6">
        <v>44102</v>
      </c>
      <c r="WXW100" s="7">
        <v>0.4</v>
      </c>
      <c r="WXX100" s="5">
        <v>14.5</v>
      </c>
      <c r="WXY100" s="5">
        <v>226</v>
      </c>
      <c r="WXZ100" s="5">
        <v>250</v>
      </c>
      <c r="WYA100" s="6">
        <v>44102</v>
      </c>
      <c r="WYC100" s="5" t="s">
        <v>67</v>
      </c>
      <c r="WYD100" s="6">
        <v>44102</v>
      </c>
      <c r="WYE100" s="7">
        <v>0.4</v>
      </c>
      <c r="WYF100" s="5">
        <v>14.5</v>
      </c>
      <c r="WYG100" s="5">
        <v>226</v>
      </c>
      <c r="WYH100" s="5">
        <v>250</v>
      </c>
      <c r="WYI100" s="6">
        <v>44102</v>
      </c>
      <c r="WYK100" s="5" t="s">
        <v>67</v>
      </c>
      <c r="WYL100" s="6">
        <v>44102</v>
      </c>
      <c r="WYM100" s="7">
        <v>0.4</v>
      </c>
      <c r="WYN100" s="5">
        <v>14.5</v>
      </c>
      <c r="WYO100" s="5">
        <v>226</v>
      </c>
      <c r="WYP100" s="5">
        <v>250</v>
      </c>
      <c r="WYQ100" s="6">
        <v>44102</v>
      </c>
      <c r="WYS100" s="5" t="s">
        <v>67</v>
      </c>
      <c r="WYT100" s="6">
        <v>44102</v>
      </c>
      <c r="WYU100" s="7">
        <v>0.4</v>
      </c>
      <c r="WYV100" s="5">
        <v>14.5</v>
      </c>
      <c r="WYW100" s="5">
        <v>226</v>
      </c>
      <c r="WYX100" s="5">
        <v>250</v>
      </c>
      <c r="WYY100" s="6">
        <v>44102</v>
      </c>
      <c r="WZA100" s="5" t="s">
        <v>67</v>
      </c>
      <c r="WZB100" s="6">
        <v>44102</v>
      </c>
      <c r="WZC100" s="7">
        <v>0.4</v>
      </c>
      <c r="WZD100" s="5">
        <v>14.5</v>
      </c>
      <c r="WZE100" s="5">
        <v>226</v>
      </c>
      <c r="WZF100" s="5">
        <v>250</v>
      </c>
      <c r="WZG100" s="6">
        <v>44102</v>
      </c>
      <c r="WZI100" s="5" t="s">
        <v>67</v>
      </c>
      <c r="WZJ100" s="6">
        <v>44102</v>
      </c>
      <c r="WZK100" s="7">
        <v>0.4</v>
      </c>
      <c r="WZL100" s="5">
        <v>14.5</v>
      </c>
      <c r="WZM100" s="5">
        <v>226</v>
      </c>
      <c r="WZN100" s="5">
        <v>250</v>
      </c>
      <c r="WZO100" s="6">
        <v>44102</v>
      </c>
      <c r="WZQ100" s="5" t="s">
        <v>67</v>
      </c>
      <c r="WZR100" s="6">
        <v>44102</v>
      </c>
      <c r="WZS100" s="7">
        <v>0.4</v>
      </c>
      <c r="WZT100" s="5">
        <v>14.5</v>
      </c>
      <c r="WZU100" s="5">
        <v>226</v>
      </c>
      <c r="WZV100" s="5">
        <v>250</v>
      </c>
      <c r="WZW100" s="6">
        <v>44102</v>
      </c>
      <c r="WZY100" s="5" t="s">
        <v>67</v>
      </c>
      <c r="WZZ100" s="6">
        <v>44102</v>
      </c>
      <c r="XAA100" s="7">
        <v>0.4</v>
      </c>
      <c r="XAB100" s="5">
        <v>14.5</v>
      </c>
      <c r="XAC100" s="5">
        <v>226</v>
      </c>
      <c r="XAD100" s="5">
        <v>250</v>
      </c>
      <c r="XAE100" s="6">
        <v>44102</v>
      </c>
      <c r="XAG100" s="5" t="s">
        <v>67</v>
      </c>
      <c r="XAH100" s="6">
        <v>44102</v>
      </c>
      <c r="XAI100" s="7">
        <v>0.4</v>
      </c>
      <c r="XAJ100" s="5">
        <v>14.5</v>
      </c>
      <c r="XAK100" s="5">
        <v>226</v>
      </c>
      <c r="XAL100" s="5">
        <v>250</v>
      </c>
      <c r="XAM100" s="6">
        <v>44102</v>
      </c>
      <c r="XAO100" s="5" t="s">
        <v>67</v>
      </c>
      <c r="XAP100" s="6">
        <v>44102</v>
      </c>
      <c r="XAQ100" s="7">
        <v>0.4</v>
      </c>
      <c r="XAR100" s="5">
        <v>14.5</v>
      </c>
      <c r="XAS100" s="5">
        <v>226</v>
      </c>
      <c r="XAT100" s="5">
        <v>250</v>
      </c>
      <c r="XAU100" s="6">
        <v>44102</v>
      </c>
      <c r="XAW100" s="5" t="s">
        <v>67</v>
      </c>
      <c r="XAX100" s="6">
        <v>44102</v>
      </c>
      <c r="XAY100" s="7">
        <v>0.4</v>
      </c>
      <c r="XAZ100" s="5">
        <v>14.5</v>
      </c>
      <c r="XBA100" s="5">
        <v>226</v>
      </c>
      <c r="XBB100" s="5">
        <v>250</v>
      </c>
      <c r="XBC100" s="6">
        <v>44102</v>
      </c>
      <c r="XBE100" s="5" t="s">
        <v>67</v>
      </c>
      <c r="XBF100" s="6">
        <v>44102</v>
      </c>
      <c r="XBG100" s="7">
        <v>0.4</v>
      </c>
      <c r="XBH100" s="5">
        <v>14.5</v>
      </c>
      <c r="XBI100" s="5">
        <v>226</v>
      </c>
      <c r="XBJ100" s="5">
        <v>250</v>
      </c>
      <c r="XBK100" s="6">
        <v>44102</v>
      </c>
      <c r="XBM100" s="5" t="s">
        <v>67</v>
      </c>
      <c r="XBN100" s="6">
        <v>44102</v>
      </c>
      <c r="XBO100" s="7">
        <v>0.4</v>
      </c>
      <c r="XBP100" s="5">
        <v>14.5</v>
      </c>
      <c r="XBQ100" s="5">
        <v>226</v>
      </c>
      <c r="XBR100" s="5">
        <v>250</v>
      </c>
      <c r="XBS100" s="6">
        <v>44102</v>
      </c>
      <c r="XBU100" s="5" t="s">
        <v>67</v>
      </c>
      <c r="XBV100" s="6">
        <v>44102</v>
      </c>
      <c r="XBW100" s="7">
        <v>0.4</v>
      </c>
      <c r="XBX100" s="5">
        <v>14.5</v>
      </c>
      <c r="XBY100" s="5">
        <v>226</v>
      </c>
      <c r="XBZ100" s="5">
        <v>250</v>
      </c>
      <c r="XCA100" s="6">
        <v>44102</v>
      </c>
      <c r="XCC100" s="5" t="s">
        <v>67</v>
      </c>
      <c r="XCD100" s="6">
        <v>44102</v>
      </c>
      <c r="XCE100" s="7">
        <v>0.4</v>
      </c>
      <c r="XCF100" s="5">
        <v>14.5</v>
      </c>
      <c r="XCG100" s="5">
        <v>226</v>
      </c>
      <c r="XCH100" s="5">
        <v>250</v>
      </c>
      <c r="XCI100" s="6">
        <v>44102</v>
      </c>
      <c r="XCK100" s="5" t="s">
        <v>67</v>
      </c>
      <c r="XCL100" s="6">
        <v>44102</v>
      </c>
      <c r="XCM100" s="7">
        <v>0.4</v>
      </c>
      <c r="XCN100" s="5">
        <v>14.5</v>
      </c>
      <c r="XCO100" s="5">
        <v>226</v>
      </c>
      <c r="XCP100" s="5">
        <v>250</v>
      </c>
      <c r="XCQ100" s="6">
        <v>44102</v>
      </c>
      <c r="XCS100" s="5" t="s">
        <v>67</v>
      </c>
      <c r="XCT100" s="6">
        <v>44102</v>
      </c>
      <c r="XCU100" s="7">
        <v>0.4</v>
      </c>
      <c r="XCV100" s="5">
        <v>14.5</v>
      </c>
      <c r="XCW100" s="5">
        <v>226</v>
      </c>
      <c r="XCX100" s="5">
        <v>250</v>
      </c>
      <c r="XCY100" s="6">
        <v>44102</v>
      </c>
      <c r="XDA100" s="5" t="s">
        <v>67</v>
      </c>
      <c r="XDB100" s="6">
        <v>44102</v>
      </c>
      <c r="XDC100" s="7">
        <v>0.4</v>
      </c>
      <c r="XDD100" s="5">
        <v>14.5</v>
      </c>
      <c r="XDE100" s="5">
        <v>226</v>
      </c>
      <c r="XDF100" s="5">
        <v>250</v>
      </c>
      <c r="XDG100" s="6">
        <v>44102</v>
      </c>
      <c r="XDI100" s="5" t="s">
        <v>67</v>
      </c>
      <c r="XDJ100" s="6">
        <v>44102</v>
      </c>
      <c r="XDK100" s="7">
        <v>0.4</v>
      </c>
      <c r="XDL100" s="5">
        <v>14.5</v>
      </c>
      <c r="XDM100" s="5">
        <v>226</v>
      </c>
      <c r="XDN100" s="5">
        <v>250</v>
      </c>
      <c r="XDO100" s="6">
        <v>44102</v>
      </c>
      <c r="XDQ100" s="5" t="s">
        <v>67</v>
      </c>
      <c r="XDR100" s="6">
        <v>44102</v>
      </c>
      <c r="XDS100" s="7">
        <v>0.4</v>
      </c>
      <c r="XDT100" s="5">
        <v>14.5</v>
      </c>
      <c r="XDU100" s="5">
        <v>226</v>
      </c>
      <c r="XDV100" s="5">
        <v>250</v>
      </c>
      <c r="XDW100" s="6">
        <v>44102</v>
      </c>
      <c r="XDY100" s="5" t="s">
        <v>67</v>
      </c>
      <c r="XDZ100" s="6">
        <v>44102</v>
      </c>
      <c r="XEA100" s="7">
        <v>0.4</v>
      </c>
      <c r="XEB100" s="5">
        <v>14.5</v>
      </c>
      <c r="XEC100" s="5">
        <v>226</v>
      </c>
      <c r="XED100" s="5">
        <v>250</v>
      </c>
      <c r="XEE100" s="6">
        <v>44102</v>
      </c>
      <c r="XEG100" s="5" t="s">
        <v>67</v>
      </c>
      <c r="XEH100" s="6">
        <v>44102</v>
      </c>
      <c r="XEI100" s="7">
        <v>0.4</v>
      </c>
      <c r="XEJ100" s="5">
        <v>14.5</v>
      </c>
      <c r="XEK100" s="5">
        <v>226</v>
      </c>
      <c r="XEL100" s="5">
        <v>250</v>
      </c>
      <c r="XEM100" s="6">
        <v>44102</v>
      </c>
      <c r="XEO100" s="5" t="s">
        <v>67</v>
      </c>
      <c r="XEP100" s="6">
        <v>44102</v>
      </c>
      <c r="XEQ100" s="7">
        <v>0.4</v>
      </c>
      <c r="XER100" s="5">
        <v>14.5</v>
      </c>
      <c r="XES100" s="5">
        <v>226</v>
      </c>
      <c r="XET100" s="5">
        <v>250</v>
      </c>
      <c r="XEU100" s="6">
        <v>44102</v>
      </c>
      <c r="XEW100" s="5" t="s">
        <v>67</v>
      </c>
      <c r="XEX100" s="6">
        <v>44102</v>
      </c>
      <c r="XEY100" s="7">
        <v>0.4</v>
      </c>
      <c r="XEZ100" s="5">
        <v>14.5</v>
      </c>
      <c r="XFA100" s="5">
        <v>226</v>
      </c>
      <c r="XFB100" s="5">
        <v>250</v>
      </c>
      <c r="XFC100" s="6">
        <v>44102</v>
      </c>
    </row>
    <row r="101" spans="1:1023 1025:2047 2049:3071 3073:4095 4097:5119 5121:6143 6145:7167 7169:8191 8193:9215 9217:10239 10241:11263 11265:12287 12289:13311 13313:14335 14337:15359 15361:16383">
      <c r="A101" s="5">
        <v>105</v>
      </c>
      <c r="B101" s="6">
        <v>44105</v>
      </c>
      <c r="C101" s="7">
        <v>0.4</v>
      </c>
      <c r="D101" s="5">
        <v>14.5</v>
      </c>
      <c r="E101" s="5">
        <v>250</v>
      </c>
      <c r="F101" s="5">
        <v>265</v>
      </c>
      <c r="G101" s="6">
        <v>44105</v>
      </c>
      <c r="H101" s="5"/>
      <c r="I101" s="5"/>
      <c r="J101" s="5">
        <f>F101-E101</f>
        <v>15</v>
      </c>
      <c r="K101" s="8" t="b">
        <f>F101=E102</f>
        <v>1</v>
      </c>
    </row>
    <row r="102" spans="1:1023 1025:2047 2049:3071 3073:4095 4097:5119 5121:6143 6145:7167 7169:8191 8193:9215 9217:10239 10241:11263 11265:12287 12289:13311 13313:14335 14337:15359 15361:16383">
      <c r="A102" s="5">
        <v>105</v>
      </c>
      <c r="B102" s="6">
        <v>44108</v>
      </c>
      <c r="C102" s="7">
        <v>0.4</v>
      </c>
      <c r="D102" s="5">
        <v>14.5</v>
      </c>
      <c r="E102" s="5">
        <v>265</v>
      </c>
      <c r="F102" s="5">
        <v>280</v>
      </c>
      <c r="G102" s="6">
        <v>44108</v>
      </c>
      <c r="H102" s="5"/>
      <c r="I102" s="5"/>
      <c r="J102" s="5">
        <f t="shared" ref="J102:J114" si="10">F102-E102</f>
        <v>15</v>
      </c>
      <c r="K102" s="8" t="b">
        <f t="shared" ref="K102:K114" si="11">F102=E103</f>
        <v>1</v>
      </c>
    </row>
    <row r="103" spans="1:1023 1025:2047 2049:3071 3073:4095 4097:5119 5121:6143 6145:7167 7169:8191 8193:9215 9217:10239 10241:11263 11265:12287 12289:13311 13313:14335 14337:15359 15361:16383">
      <c r="A103" s="5">
        <v>105</v>
      </c>
      <c r="B103" s="6">
        <v>44109</v>
      </c>
      <c r="C103" s="7">
        <v>0.4</v>
      </c>
      <c r="D103" s="5">
        <v>14.5</v>
      </c>
      <c r="E103" s="5">
        <v>280</v>
      </c>
      <c r="F103" s="5">
        <v>295</v>
      </c>
      <c r="G103" s="6">
        <v>44109</v>
      </c>
      <c r="H103" s="5"/>
      <c r="I103" s="5"/>
      <c r="J103" s="5">
        <f t="shared" si="10"/>
        <v>15</v>
      </c>
      <c r="K103" s="8" t="b">
        <f t="shared" si="11"/>
        <v>1</v>
      </c>
    </row>
    <row r="104" spans="1:1023 1025:2047 2049:3071 3073:4095 4097:5119 5121:6143 6145:7167 7169:8191 8193:9215 9217:10239 10241:11263 11265:12287 12289:13311 13313:14335 14337:15359 15361:16383">
      <c r="A104" s="5">
        <v>105</v>
      </c>
      <c r="B104" s="6">
        <v>44115</v>
      </c>
      <c r="C104" s="7">
        <v>0.4</v>
      </c>
      <c r="D104" s="5">
        <v>14.5</v>
      </c>
      <c r="E104" s="5">
        <v>295</v>
      </c>
      <c r="F104" s="5">
        <v>307</v>
      </c>
      <c r="G104" s="6">
        <v>44115</v>
      </c>
      <c r="H104" s="5"/>
      <c r="I104" s="5"/>
      <c r="J104" s="5">
        <f t="shared" si="10"/>
        <v>12</v>
      </c>
      <c r="K104" s="8" t="b">
        <f t="shared" si="11"/>
        <v>1</v>
      </c>
    </row>
    <row r="105" spans="1:1023 1025:2047 2049:3071 3073:4095 4097:5119 5121:6143 6145:7167 7169:8191 8193:9215 9217:10239 10241:11263 11265:12287 12289:13311 13313:14335 14337:15359 15361:16383">
      <c r="A105" s="5">
        <v>105</v>
      </c>
      <c r="B105" s="6">
        <v>44116</v>
      </c>
      <c r="C105" s="7">
        <v>1</v>
      </c>
      <c r="D105" s="5">
        <v>5.8</v>
      </c>
      <c r="E105" s="5">
        <v>307</v>
      </c>
      <c r="F105" s="5">
        <v>317</v>
      </c>
      <c r="G105" s="6">
        <v>44116</v>
      </c>
      <c r="H105" s="5"/>
      <c r="I105" s="5"/>
      <c r="J105" s="5">
        <f t="shared" si="10"/>
        <v>10</v>
      </c>
      <c r="K105" s="8" t="b">
        <f t="shared" si="11"/>
        <v>1</v>
      </c>
    </row>
    <row r="106" spans="1:1023 1025:2047 2049:3071 3073:4095 4097:5119 5121:6143 6145:7167 7169:8191 8193:9215 9217:10239 10241:11263 11265:12287 12289:13311 13313:14335 14337:15359 15361:16383">
      <c r="A106" s="5">
        <v>105</v>
      </c>
      <c r="B106" s="6">
        <v>44119</v>
      </c>
      <c r="C106" s="7">
        <v>1</v>
      </c>
      <c r="D106" s="5">
        <v>5.8</v>
      </c>
      <c r="E106" s="5">
        <v>317</v>
      </c>
      <c r="F106" s="5">
        <v>332</v>
      </c>
      <c r="G106" s="6">
        <v>44119</v>
      </c>
      <c r="H106" s="5"/>
      <c r="I106" s="5"/>
      <c r="J106" s="5">
        <f t="shared" si="10"/>
        <v>15</v>
      </c>
      <c r="K106" s="8" t="b">
        <f t="shared" si="11"/>
        <v>1</v>
      </c>
    </row>
    <row r="107" spans="1:1023 1025:2047 2049:3071 3073:4095 4097:5119 5121:6143 6145:7167 7169:8191 8193:9215 9217:10239 10241:11263 11265:12287 12289:13311 13313:14335 14337:15359 15361:16383">
      <c r="A107" s="5">
        <v>105</v>
      </c>
      <c r="B107" s="6">
        <v>44120</v>
      </c>
      <c r="C107" s="7">
        <v>1</v>
      </c>
      <c r="D107" s="5">
        <v>5.8</v>
      </c>
      <c r="E107" s="5">
        <v>332</v>
      </c>
      <c r="F107" s="5">
        <v>354</v>
      </c>
      <c r="G107" s="6">
        <v>44120</v>
      </c>
      <c r="H107" s="5"/>
      <c r="I107" s="5"/>
      <c r="J107" s="5">
        <f t="shared" si="10"/>
        <v>22</v>
      </c>
      <c r="K107" s="8" t="b">
        <f t="shared" si="11"/>
        <v>1</v>
      </c>
    </row>
    <row r="108" spans="1:1023 1025:2047 2049:3071 3073:4095 4097:5119 5121:6143 6145:7167 7169:8191 8193:9215 9217:10239 10241:11263 11265:12287 12289:13311 13313:14335 14337:15359 15361:16383">
      <c r="A108" s="5">
        <v>105</v>
      </c>
      <c r="B108" s="6">
        <v>44121</v>
      </c>
      <c r="C108" s="7">
        <v>1</v>
      </c>
      <c r="D108" s="5">
        <v>5.8</v>
      </c>
      <c r="E108" s="5">
        <v>354</v>
      </c>
      <c r="F108" s="5">
        <v>366</v>
      </c>
      <c r="G108" s="6">
        <v>44121</v>
      </c>
      <c r="H108" s="5"/>
      <c r="I108" s="5"/>
      <c r="J108" s="5">
        <f t="shared" si="10"/>
        <v>12</v>
      </c>
      <c r="K108" s="8" t="b">
        <f t="shared" si="11"/>
        <v>1</v>
      </c>
    </row>
    <row r="109" spans="1:1023 1025:2047 2049:3071 3073:4095 4097:5119 5121:6143 6145:7167 7169:8191 8193:9215 9217:10239 10241:11263 11265:12287 12289:13311 13313:14335 14337:15359 15361:16383">
      <c r="A109" s="5">
        <v>105</v>
      </c>
      <c r="B109" s="6">
        <v>44122</v>
      </c>
      <c r="C109" s="7">
        <v>1</v>
      </c>
      <c r="D109" s="5">
        <v>5.8</v>
      </c>
      <c r="E109" s="5">
        <v>366</v>
      </c>
      <c r="F109" s="5">
        <v>378</v>
      </c>
      <c r="G109" s="6">
        <v>44122</v>
      </c>
      <c r="H109" s="5"/>
      <c r="I109" s="5"/>
      <c r="J109" s="5">
        <f t="shared" si="10"/>
        <v>12</v>
      </c>
      <c r="K109" s="8" t="b">
        <f t="shared" si="11"/>
        <v>1</v>
      </c>
    </row>
    <row r="110" spans="1:1023 1025:2047 2049:3071 3073:4095 4097:5119 5121:6143 6145:7167 7169:8191 8193:9215 9217:10239 10241:11263 11265:12287 12289:13311 13313:14335 14337:15359 15361:16383">
      <c r="A110" s="5">
        <v>105</v>
      </c>
      <c r="B110" s="6">
        <v>44123</v>
      </c>
      <c r="C110" s="7">
        <v>1</v>
      </c>
      <c r="D110" s="5">
        <v>5.8</v>
      </c>
      <c r="E110" s="5">
        <v>378</v>
      </c>
      <c r="F110" s="5">
        <v>389</v>
      </c>
      <c r="G110" s="6">
        <v>44123</v>
      </c>
      <c r="H110" s="5"/>
      <c r="I110" s="5"/>
      <c r="J110" s="5">
        <f t="shared" si="10"/>
        <v>11</v>
      </c>
      <c r="K110" s="8" t="b">
        <f t="shared" si="11"/>
        <v>1</v>
      </c>
    </row>
    <row r="111" spans="1:1023 1025:2047 2049:3071 3073:4095 4097:5119 5121:6143 6145:7167 7169:8191 8193:9215 9217:10239 10241:11263 11265:12287 12289:13311 13313:14335 14337:15359 15361:16383">
      <c r="A111" s="5">
        <v>105</v>
      </c>
      <c r="B111" s="6">
        <v>44124</v>
      </c>
      <c r="C111" s="7">
        <v>1</v>
      </c>
      <c r="D111" s="5">
        <v>5.8</v>
      </c>
      <c r="E111" s="5">
        <v>389</v>
      </c>
      <c r="F111" s="5">
        <v>401</v>
      </c>
      <c r="G111" s="6">
        <v>44124</v>
      </c>
      <c r="H111" s="5"/>
      <c r="I111" s="5"/>
      <c r="J111" s="5">
        <f t="shared" si="10"/>
        <v>12</v>
      </c>
      <c r="K111" s="8" t="b">
        <f t="shared" si="11"/>
        <v>1</v>
      </c>
    </row>
    <row r="112" spans="1:1023 1025:2047 2049:3071 3073:4095 4097:5119 5121:6143 6145:7167 7169:8191 8193:9215 9217:10239 10241:11263 11265:12287 12289:13311 13313:14335 14337:15359 15361:16383">
      <c r="A112" s="5">
        <v>105</v>
      </c>
      <c r="B112" s="6">
        <v>44125</v>
      </c>
      <c r="C112" s="7">
        <v>1</v>
      </c>
      <c r="D112" s="5">
        <v>5.8</v>
      </c>
      <c r="E112" s="5">
        <v>401</v>
      </c>
      <c r="F112" s="5">
        <v>413</v>
      </c>
      <c r="G112" s="6">
        <v>44125</v>
      </c>
      <c r="H112" s="5"/>
      <c r="I112" s="5"/>
      <c r="J112" s="5">
        <f t="shared" si="10"/>
        <v>12</v>
      </c>
      <c r="K112" s="8" t="b">
        <f t="shared" si="11"/>
        <v>1</v>
      </c>
    </row>
    <row r="113" spans="1:11">
      <c r="A113" s="5">
        <v>105</v>
      </c>
      <c r="B113" s="6">
        <v>44126</v>
      </c>
      <c r="C113" s="7">
        <v>1</v>
      </c>
      <c r="D113" s="5">
        <v>5.8</v>
      </c>
      <c r="E113" s="5">
        <v>413</v>
      </c>
      <c r="F113" s="5">
        <v>426</v>
      </c>
      <c r="G113" s="6">
        <v>44126</v>
      </c>
      <c r="H113" s="5"/>
      <c r="I113" s="5"/>
      <c r="J113" s="5">
        <f t="shared" si="10"/>
        <v>13</v>
      </c>
      <c r="K113" s="8" t="b">
        <f t="shared" si="11"/>
        <v>1</v>
      </c>
    </row>
    <row r="114" spans="1:11">
      <c r="A114" s="5">
        <v>105</v>
      </c>
      <c r="B114" s="6">
        <v>44129</v>
      </c>
      <c r="C114" s="7">
        <v>1</v>
      </c>
      <c r="D114" s="5">
        <v>5.8</v>
      </c>
      <c r="E114" s="5">
        <v>426</v>
      </c>
      <c r="F114" s="5">
        <v>438</v>
      </c>
      <c r="G114" s="6">
        <v>44129</v>
      </c>
      <c r="H114" s="5"/>
      <c r="I114" s="5"/>
      <c r="J114" s="5">
        <f t="shared" si="10"/>
        <v>12</v>
      </c>
      <c r="K114" s="8" t="b">
        <f t="shared" si="11"/>
        <v>1</v>
      </c>
    </row>
    <row r="115" spans="1:11">
      <c r="A115" s="5">
        <v>105</v>
      </c>
      <c r="B115" s="6">
        <v>44131</v>
      </c>
      <c r="C115" s="7">
        <v>1</v>
      </c>
      <c r="D115" s="5">
        <v>5.8</v>
      </c>
      <c r="E115" s="5">
        <v>438</v>
      </c>
      <c r="F115" s="5">
        <v>450</v>
      </c>
      <c r="G115" s="6">
        <v>44131</v>
      </c>
      <c r="H115" s="5"/>
      <c r="I115" s="5"/>
      <c r="J115" s="5">
        <f t="shared" ref="J115:J125" si="12">F115-E115</f>
        <v>12</v>
      </c>
      <c r="K115" s="8" t="b">
        <f t="shared" ref="K115:K125" si="13">F115=E116</f>
        <v>1</v>
      </c>
    </row>
    <row r="116" spans="1:11">
      <c r="A116" s="5">
        <v>105</v>
      </c>
      <c r="B116" s="6">
        <v>44141</v>
      </c>
      <c r="C116" s="7">
        <v>1</v>
      </c>
      <c r="D116" s="5">
        <v>5.8</v>
      </c>
      <c r="E116" s="5">
        <v>450</v>
      </c>
      <c r="F116" s="5">
        <v>470.1</v>
      </c>
      <c r="G116" s="6">
        <v>44141</v>
      </c>
      <c r="H116" s="5"/>
      <c r="I116" s="5"/>
      <c r="J116" s="5">
        <f t="shared" si="12"/>
        <v>20.100000000000023</v>
      </c>
      <c r="K116" s="8" t="b">
        <f t="shared" si="13"/>
        <v>0</v>
      </c>
    </row>
    <row r="117" spans="1:11">
      <c r="A117" s="5">
        <v>105</v>
      </c>
      <c r="B117" s="6">
        <v>44162</v>
      </c>
      <c r="C117" s="7">
        <v>1</v>
      </c>
      <c r="D117" s="5">
        <v>5.8</v>
      </c>
      <c r="E117" s="5">
        <v>560</v>
      </c>
      <c r="F117" s="5">
        <v>575</v>
      </c>
      <c r="G117" s="6">
        <v>44162</v>
      </c>
      <c r="H117" s="5"/>
      <c r="I117" s="5"/>
      <c r="J117" s="5">
        <f t="shared" si="12"/>
        <v>15</v>
      </c>
      <c r="K117" s="8" t="b">
        <f t="shared" si="13"/>
        <v>1</v>
      </c>
    </row>
    <row r="118" spans="1:11">
      <c r="A118" s="5">
        <v>105</v>
      </c>
      <c r="B118" s="6">
        <v>44163</v>
      </c>
      <c r="C118" s="7">
        <v>0.8</v>
      </c>
      <c r="D118" s="5">
        <v>7.25</v>
      </c>
      <c r="E118" s="5">
        <v>575</v>
      </c>
      <c r="F118" s="5">
        <v>591</v>
      </c>
      <c r="G118" s="6">
        <v>44163</v>
      </c>
      <c r="H118" s="5"/>
      <c r="I118" s="5"/>
      <c r="J118" s="5">
        <f t="shared" si="12"/>
        <v>16</v>
      </c>
      <c r="K118" s="8" t="b">
        <f t="shared" si="13"/>
        <v>1</v>
      </c>
    </row>
    <row r="119" spans="1:11">
      <c r="A119" s="5">
        <v>105</v>
      </c>
      <c r="B119" s="6">
        <v>44164</v>
      </c>
      <c r="C119" s="7">
        <v>0.8</v>
      </c>
      <c r="D119" s="5">
        <v>7.25</v>
      </c>
      <c r="E119" s="5">
        <v>591</v>
      </c>
      <c r="F119" s="5">
        <v>604</v>
      </c>
      <c r="G119" s="6">
        <v>44164</v>
      </c>
      <c r="H119" s="5"/>
      <c r="I119" s="5"/>
      <c r="J119" s="5">
        <f t="shared" si="12"/>
        <v>13</v>
      </c>
      <c r="K119" s="8" t="b">
        <f t="shared" si="13"/>
        <v>1</v>
      </c>
    </row>
    <row r="120" spans="1:11">
      <c r="A120" s="5">
        <v>105</v>
      </c>
      <c r="B120" s="6">
        <v>44165</v>
      </c>
      <c r="C120" s="7">
        <v>0.8</v>
      </c>
      <c r="D120" s="5">
        <v>7.25</v>
      </c>
      <c r="E120" s="5">
        <v>604</v>
      </c>
      <c r="F120" s="5">
        <v>623</v>
      </c>
      <c r="G120" s="6">
        <v>44165</v>
      </c>
      <c r="H120" s="5"/>
      <c r="I120" s="5"/>
      <c r="J120" s="5">
        <f t="shared" si="12"/>
        <v>19</v>
      </c>
      <c r="K120" s="8" t="b">
        <f t="shared" si="13"/>
        <v>1</v>
      </c>
    </row>
    <row r="121" spans="1:11">
      <c r="A121" s="5">
        <v>105</v>
      </c>
      <c r="B121" s="6">
        <v>44167</v>
      </c>
      <c r="C121" s="7">
        <v>0.6</v>
      </c>
      <c r="D121" s="5">
        <v>9.67</v>
      </c>
      <c r="E121" s="5">
        <v>623</v>
      </c>
      <c r="F121" s="5">
        <v>644</v>
      </c>
      <c r="G121" s="6">
        <v>44167</v>
      </c>
      <c r="H121" s="5"/>
      <c r="I121" s="5"/>
      <c r="J121" s="5">
        <f t="shared" si="12"/>
        <v>21</v>
      </c>
      <c r="K121" s="8" t="b">
        <f t="shared" si="13"/>
        <v>0</v>
      </c>
    </row>
    <row r="122" spans="1:11">
      <c r="A122" s="5">
        <v>105</v>
      </c>
      <c r="B122" s="6">
        <v>44198</v>
      </c>
      <c r="C122" s="7">
        <v>0.6</v>
      </c>
      <c r="D122" s="5">
        <v>9.67</v>
      </c>
      <c r="E122" s="5">
        <v>805.9</v>
      </c>
      <c r="F122" s="5">
        <v>702.7</v>
      </c>
      <c r="G122" s="6"/>
      <c r="H122" s="5"/>
      <c r="I122" s="5"/>
      <c r="J122" s="5">
        <f t="shared" si="12"/>
        <v>-103.19999999999993</v>
      </c>
      <c r="K122" s="8" t="b">
        <f t="shared" si="13"/>
        <v>0</v>
      </c>
    </row>
    <row r="123" spans="1:11">
      <c r="A123" s="5">
        <v>105</v>
      </c>
      <c r="B123" s="6">
        <v>44204</v>
      </c>
      <c r="C123" s="7">
        <v>0.6</v>
      </c>
      <c r="D123" s="5">
        <v>9.67</v>
      </c>
      <c r="E123" s="5">
        <v>847.6</v>
      </c>
      <c r="F123" s="5">
        <v>868.1</v>
      </c>
      <c r="G123" s="6"/>
      <c r="H123" s="5"/>
      <c r="I123" s="5"/>
      <c r="J123" s="5">
        <f t="shared" si="12"/>
        <v>20.5</v>
      </c>
      <c r="K123" s="8" t="b">
        <f t="shared" si="13"/>
        <v>0</v>
      </c>
    </row>
    <row r="124" spans="1:11">
      <c r="A124" s="5">
        <v>105</v>
      </c>
      <c r="B124" s="6">
        <v>44227</v>
      </c>
      <c r="C124" s="7">
        <v>0.6</v>
      </c>
      <c r="D124" s="5">
        <v>9.67</v>
      </c>
      <c r="E124" s="5">
        <v>868</v>
      </c>
      <c r="F124" s="5">
        <v>888</v>
      </c>
      <c r="G124" s="6"/>
      <c r="H124" s="5"/>
      <c r="I124" s="5"/>
      <c r="J124" s="5">
        <f t="shared" si="12"/>
        <v>20</v>
      </c>
      <c r="K124" s="8" t="b">
        <f t="shared" si="13"/>
        <v>0</v>
      </c>
    </row>
    <row r="125" spans="1:11">
      <c r="A125" s="5">
        <v>105</v>
      </c>
      <c r="B125" s="6"/>
      <c r="C125" s="7"/>
      <c r="D125" s="5"/>
      <c r="E125" s="5"/>
      <c r="F125" s="5"/>
      <c r="G125" s="6"/>
      <c r="H125" s="5"/>
      <c r="I125" s="5"/>
      <c r="J125" s="5">
        <f t="shared" si="12"/>
        <v>0</v>
      </c>
      <c r="K125" s="8" t="b">
        <f t="shared" si="13"/>
        <v>1</v>
      </c>
    </row>
    <row r="126" spans="1:11">
      <c r="A126" s="5">
        <v>105</v>
      </c>
      <c r="B126" s="6"/>
      <c r="C126" s="7"/>
      <c r="D126" s="5"/>
      <c r="E126" s="5"/>
      <c r="F126" s="5"/>
      <c r="G126" s="6"/>
      <c r="H126" s="5"/>
      <c r="I126" s="5"/>
      <c r="J126" s="5"/>
      <c r="K126" s="8"/>
    </row>
    <row r="127" spans="1:11">
      <c r="A127" s="5">
        <v>105</v>
      </c>
      <c r="B127" s="6"/>
      <c r="C127" s="7"/>
      <c r="D127" s="5"/>
      <c r="E127" s="5"/>
      <c r="F127" s="5"/>
      <c r="G127" s="6"/>
      <c r="H127" s="5"/>
      <c r="I127" s="5"/>
      <c r="J127" s="5"/>
      <c r="K127" s="8"/>
    </row>
    <row r="128" spans="1:11">
      <c r="A128" s="5">
        <v>105</v>
      </c>
      <c r="B128" s="6"/>
      <c r="C128" s="7"/>
      <c r="D128" s="5"/>
      <c r="E128" s="5"/>
      <c r="F128" s="5"/>
      <c r="G128" s="6"/>
      <c r="H128" s="5"/>
      <c r="I128" s="5"/>
      <c r="J128" s="5"/>
      <c r="K128" s="8"/>
    </row>
    <row r="129" spans="1:11">
      <c r="A129" s="5">
        <v>105</v>
      </c>
      <c r="B129" s="6"/>
      <c r="C129" s="7"/>
      <c r="D129" s="5"/>
      <c r="E129" s="5"/>
      <c r="F129" s="5"/>
      <c r="G129" s="6"/>
      <c r="H129" s="5"/>
      <c r="I129" s="5"/>
      <c r="J129" s="5"/>
      <c r="K129" s="8"/>
    </row>
    <row r="130" spans="1:11">
      <c r="A130" s="5">
        <v>105</v>
      </c>
      <c r="B130" s="6"/>
      <c r="C130" s="7"/>
      <c r="D130" s="5"/>
      <c r="E130" s="5"/>
      <c r="F130" s="5"/>
      <c r="G130" s="6"/>
      <c r="H130" s="5"/>
      <c r="I130" s="5"/>
      <c r="J130" s="5"/>
      <c r="K130" s="8"/>
    </row>
    <row r="131" spans="1:11">
      <c r="A131" s="5">
        <v>105</v>
      </c>
      <c r="B131" s="6"/>
      <c r="C131" s="7"/>
      <c r="D131" s="5"/>
      <c r="E131" s="5"/>
      <c r="F131" s="5"/>
      <c r="G131" s="6"/>
      <c r="H131" s="5"/>
      <c r="I131" s="5"/>
      <c r="J131" s="5"/>
      <c r="K131" s="8"/>
    </row>
    <row r="132" spans="1:11">
      <c r="A132" s="5"/>
      <c r="B132" s="6"/>
      <c r="C132" s="7"/>
      <c r="D132" s="5"/>
      <c r="E132" s="5"/>
      <c r="F132" s="5"/>
      <c r="G132" s="6"/>
      <c r="H132" s="5"/>
      <c r="I132" s="5"/>
      <c r="J132" s="5"/>
      <c r="K132" s="8"/>
    </row>
    <row r="134" spans="1:11" ht="26.25">
      <c r="A134" s="150" t="s">
        <v>64</v>
      </c>
      <c r="B134" s="174"/>
      <c r="C134" s="174"/>
      <c r="D134" s="174"/>
      <c r="E134" s="174"/>
      <c r="F134" s="174"/>
      <c r="G134" s="174"/>
      <c r="H134" s="174"/>
      <c r="I134" s="174"/>
      <c r="J134" s="174"/>
      <c r="K134" s="175"/>
    </row>
    <row r="135" spans="1:11" ht="26.25">
      <c r="A135" s="150" t="s">
        <v>14</v>
      </c>
      <c r="B135" s="174"/>
      <c r="C135" s="174"/>
      <c r="D135" s="174"/>
      <c r="E135" s="174"/>
      <c r="F135" s="174"/>
      <c r="G135" s="174"/>
      <c r="H135" s="174"/>
      <c r="I135" s="174"/>
      <c r="J135" s="174"/>
      <c r="K135" s="175"/>
    </row>
    <row r="136" spans="1:11" ht="15.75" thickBot="1"/>
    <row r="137" spans="1:11" ht="15.75" thickBot="1">
      <c r="A137" s="132" t="s">
        <v>2</v>
      </c>
      <c r="B137" s="133"/>
      <c r="C137" s="133"/>
      <c r="D137" s="133"/>
      <c r="E137" s="133"/>
      <c r="F137" s="133"/>
      <c r="G137" s="133"/>
      <c r="H137" s="133"/>
      <c r="I137" s="133"/>
      <c r="J137" s="133"/>
      <c r="K137" s="134"/>
    </row>
    <row r="139" spans="1:11" ht="19.5" thickBot="1">
      <c r="A139" s="1" t="s">
        <v>3</v>
      </c>
      <c r="B139" s="1"/>
      <c r="C139" s="1"/>
      <c r="D139" s="1"/>
      <c r="E139" s="1"/>
      <c r="F139" s="1"/>
      <c r="G139" s="1"/>
      <c r="H139" s="1"/>
      <c r="I139" s="1"/>
    </row>
    <row r="140" spans="1:11" ht="30.75" thickBot="1">
      <c r="A140" s="2" t="s">
        <v>4</v>
      </c>
      <c r="B140" s="3" t="s">
        <v>5</v>
      </c>
      <c r="C140" s="3" t="s">
        <v>6</v>
      </c>
      <c r="D140" s="3" t="s">
        <v>7</v>
      </c>
      <c r="E140" s="3" t="s">
        <v>8</v>
      </c>
      <c r="F140" s="3" t="s">
        <v>9</v>
      </c>
      <c r="G140" s="3" t="s">
        <v>10</v>
      </c>
      <c r="H140" s="3" t="s">
        <v>21</v>
      </c>
      <c r="I140" s="4" t="s">
        <v>22</v>
      </c>
      <c r="J140" s="4" t="s">
        <v>11</v>
      </c>
      <c r="K140" s="4" t="s">
        <v>12</v>
      </c>
    </row>
    <row r="141" spans="1:11">
      <c r="A141" s="5">
        <v>105</v>
      </c>
      <c r="B141" s="6">
        <v>44233</v>
      </c>
      <c r="C141" s="7">
        <v>0.8</v>
      </c>
      <c r="D141" s="5">
        <v>7.25</v>
      </c>
      <c r="E141" s="5">
        <v>0</v>
      </c>
      <c r="F141" s="5">
        <v>11.5</v>
      </c>
      <c r="G141" s="6">
        <v>44233</v>
      </c>
      <c r="H141" s="5"/>
      <c r="I141" s="5"/>
      <c r="J141" s="5">
        <f>F141-E141</f>
        <v>11.5</v>
      </c>
      <c r="K141" s="8" t="b">
        <f t="shared" ref="K141:K173" si="14">F141=E142</f>
        <v>1</v>
      </c>
    </row>
    <row r="142" spans="1:11">
      <c r="A142" s="5">
        <v>105</v>
      </c>
      <c r="B142" s="6">
        <v>44240</v>
      </c>
      <c r="C142" s="7">
        <v>1</v>
      </c>
      <c r="D142" s="5">
        <v>5.8</v>
      </c>
      <c r="E142" s="5">
        <v>11.5</v>
      </c>
      <c r="F142" s="5">
        <v>25.5</v>
      </c>
      <c r="G142" s="6">
        <v>44240</v>
      </c>
      <c r="H142" s="5"/>
      <c r="I142" s="5"/>
      <c r="J142" s="5">
        <f t="shared" ref="J142:J173" si="15">F142-E142</f>
        <v>14</v>
      </c>
      <c r="K142" s="8" t="b">
        <f t="shared" si="14"/>
        <v>0</v>
      </c>
    </row>
    <row r="143" spans="1:11">
      <c r="A143" s="5">
        <v>105</v>
      </c>
      <c r="B143" s="6">
        <v>44250</v>
      </c>
      <c r="C143" s="7">
        <v>1</v>
      </c>
      <c r="D143" s="5">
        <v>5.8</v>
      </c>
      <c r="E143" s="5">
        <v>23.6</v>
      </c>
      <c r="F143" s="5">
        <v>29.6</v>
      </c>
      <c r="G143" s="6">
        <v>44250</v>
      </c>
      <c r="H143" s="5"/>
      <c r="I143" s="5"/>
      <c r="J143" s="5">
        <f t="shared" si="15"/>
        <v>6</v>
      </c>
      <c r="K143" s="8" t="b">
        <f t="shared" si="14"/>
        <v>0</v>
      </c>
    </row>
    <row r="144" spans="1:11">
      <c r="A144" s="5">
        <v>105</v>
      </c>
      <c r="B144" s="6">
        <v>44260</v>
      </c>
      <c r="C144" s="7">
        <v>1</v>
      </c>
      <c r="D144" s="5">
        <v>5.8</v>
      </c>
      <c r="E144" s="5">
        <v>31.6</v>
      </c>
      <c r="F144" s="5">
        <v>48.9</v>
      </c>
      <c r="G144" s="6">
        <v>44260</v>
      </c>
      <c r="H144" s="5"/>
      <c r="I144" s="5"/>
      <c r="J144" s="5">
        <f t="shared" si="15"/>
        <v>17.299999999999997</v>
      </c>
      <c r="K144" s="8" t="b">
        <f t="shared" si="14"/>
        <v>1</v>
      </c>
    </row>
    <row r="145" spans="1:11">
      <c r="A145" s="5">
        <v>105</v>
      </c>
      <c r="B145" s="6">
        <v>44261</v>
      </c>
      <c r="C145" s="7">
        <v>1</v>
      </c>
      <c r="D145" s="5">
        <v>5.8</v>
      </c>
      <c r="E145" s="5">
        <v>48.9</v>
      </c>
      <c r="F145" s="5">
        <v>56.7</v>
      </c>
      <c r="G145" s="6">
        <v>44261</v>
      </c>
      <c r="H145" s="5"/>
      <c r="I145" s="5"/>
      <c r="J145" s="5">
        <f t="shared" si="15"/>
        <v>7.8000000000000043</v>
      </c>
      <c r="K145" s="8" t="b">
        <f t="shared" si="14"/>
        <v>1</v>
      </c>
    </row>
    <row r="146" spans="1:11">
      <c r="A146" s="5">
        <v>105</v>
      </c>
      <c r="B146" s="6">
        <v>44271</v>
      </c>
      <c r="C146" s="7">
        <v>0.6</v>
      </c>
      <c r="D146" s="5">
        <v>9.67</v>
      </c>
      <c r="E146" s="5">
        <v>56.7</v>
      </c>
      <c r="F146" s="5">
        <v>73.900000000000006</v>
      </c>
      <c r="G146" s="6">
        <v>44271</v>
      </c>
      <c r="H146" s="5"/>
      <c r="I146" s="5"/>
      <c r="J146" s="5">
        <f t="shared" si="15"/>
        <v>17.200000000000003</v>
      </c>
      <c r="K146" s="8" t="b">
        <f t="shared" si="14"/>
        <v>1</v>
      </c>
    </row>
    <row r="147" spans="1:11">
      <c r="A147" s="5">
        <v>105</v>
      </c>
      <c r="B147" s="6">
        <v>44272</v>
      </c>
      <c r="C147" s="7">
        <v>1</v>
      </c>
      <c r="D147" s="5">
        <v>5.8</v>
      </c>
      <c r="E147" s="5">
        <v>73.900000000000006</v>
      </c>
      <c r="F147" s="5">
        <v>79.8</v>
      </c>
      <c r="G147" s="6">
        <v>44272</v>
      </c>
      <c r="H147" s="5"/>
      <c r="I147" s="5"/>
      <c r="J147" s="5">
        <f t="shared" si="15"/>
        <v>5.8999999999999915</v>
      </c>
      <c r="K147" s="8" t="b">
        <f t="shared" si="14"/>
        <v>0</v>
      </c>
    </row>
    <row r="148" spans="1:11">
      <c r="A148" s="5">
        <v>105</v>
      </c>
      <c r="B148" s="6">
        <v>44277</v>
      </c>
      <c r="C148" s="7">
        <v>0.7</v>
      </c>
      <c r="D148" s="5">
        <v>8.2899999999999991</v>
      </c>
      <c r="E148" s="5">
        <v>79.7</v>
      </c>
      <c r="F148" s="5">
        <v>97.2</v>
      </c>
      <c r="G148" s="6">
        <v>44277</v>
      </c>
      <c r="H148" s="5"/>
      <c r="I148" s="5"/>
      <c r="J148" s="5">
        <f t="shared" si="15"/>
        <v>17.5</v>
      </c>
      <c r="K148" s="8" t="b">
        <f t="shared" si="14"/>
        <v>1</v>
      </c>
    </row>
    <row r="149" spans="1:11">
      <c r="A149" s="5">
        <v>105</v>
      </c>
      <c r="B149" s="6">
        <v>44279</v>
      </c>
      <c r="C149" s="7">
        <v>0.7</v>
      </c>
      <c r="D149" s="5">
        <v>8.2899999999999991</v>
      </c>
      <c r="E149" s="5">
        <v>97.2</v>
      </c>
      <c r="F149" s="5">
        <v>114.6</v>
      </c>
      <c r="G149" s="6">
        <v>44279</v>
      </c>
      <c r="H149" s="5"/>
      <c r="I149" s="5"/>
      <c r="J149" s="5">
        <f t="shared" si="15"/>
        <v>17.399999999999991</v>
      </c>
      <c r="K149" s="8" t="b">
        <f t="shared" si="14"/>
        <v>1</v>
      </c>
    </row>
    <row r="150" spans="1:11">
      <c r="A150" s="5">
        <v>105</v>
      </c>
      <c r="B150" s="6">
        <v>44282</v>
      </c>
      <c r="C150" s="7">
        <v>0.7</v>
      </c>
      <c r="D150" s="5">
        <v>8.2899999999999991</v>
      </c>
      <c r="E150" s="5">
        <v>114.6</v>
      </c>
      <c r="F150" s="5">
        <v>130.80000000000001</v>
      </c>
      <c r="G150" s="6">
        <v>44282</v>
      </c>
      <c r="H150" s="5"/>
      <c r="I150" s="5"/>
      <c r="J150" s="5">
        <f t="shared" si="15"/>
        <v>16.200000000000017</v>
      </c>
      <c r="K150" s="8" t="b">
        <f t="shared" si="14"/>
        <v>1</v>
      </c>
    </row>
    <row r="151" spans="1:11">
      <c r="A151" s="5">
        <v>105</v>
      </c>
      <c r="B151" s="6">
        <v>44284</v>
      </c>
      <c r="C151" s="7">
        <v>1</v>
      </c>
      <c r="D151" s="5">
        <v>5.8</v>
      </c>
      <c r="E151" s="5">
        <v>130.80000000000001</v>
      </c>
      <c r="F151" s="5">
        <v>143.19999999999999</v>
      </c>
      <c r="G151" s="6">
        <v>44284</v>
      </c>
      <c r="H151" s="5"/>
      <c r="I151" s="5"/>
      <c r="J151" s="5">
        <f t="shared" si="15"/>
        <v>12.399999999999977</v>
      </c>
      <c r="K151" s="8" t="b">
        <f t="shared" si="14"/>
        <v>1</v>
      </c>
    </row>
    <row r="152" spans="1:11">
      <c r="A152" s="5">
        <v>105</v>
      </c>
      <c r="B152" s="6">
        <v>44285</v>
      </c>
      <c r="C152" s="7">
        <v>0.7</v>
      </c>
      <c r="D152" s="5">
        <v>8.2899999999999991</v>
      </c>
      <c r="E152" s="5">
        <v>143.19999999999999</v>
      </c>
      <c r="F152" s="5">
        <v>159.19999999999999</v>
      </c>
      <c r="G152" s="6">
        <v>44285</v>
      </c>
      <c r="H152" s="5"/>
      <c r="I152" s="5"/>
      <c r="J152" s="5">
        <f t="shared" si="15"/>
        <v>16</v>
      </c>
      <c r="K152" s="8" t="b">
        <f t="shared" si="14"/>
        <v>1</v>
      </c>
    </row>
    <row r="153" spans="1:11">
      <c r="A153" s="5">
        <v>105</v>
      </c>
      <c r="B153" s="6">
        <v>44288</v>
      </c>
      <c r="C153" s="7">
        <v>0.7</v>
      </c>
      <c r="D153" s="5">
        <v>8.2899999999999991</v>
      </c>
      <c r="E153" s="5">
        <v>159.19999999999999</v>
      </c>
      <c r="F153" s="5">
        <v>176.1</v>
      </c>
      <c r="G153" s="6">
        <v>44288</v>
      </c>
      <c r="H153" s="5"/>
      <c r="I153" s="5"/>
      <c r="J153" s="5">
        <f t="shared" si="15"/>
        <v>16.900000000000006</v>
      </c>
      <c r="K153" s="8" t="b">
        <f t="shared" si="14"/>
        <v>0</v>
      </c>
    </row>
    <row r="154" spans="1:11">
      <c r="A154" s="5">
        <v>105</v>
      </c>
      <c r="B154" s="6">
        <v>44291</v>
      </c>
      <c r="C154" s="7">
        <v>0.7</v>
      </c>
      <c r="D154" s="5">
        <v>8.2899999999999991</v>
      </c>
      <c r="E154" s="5">
        <v>176.2</v>
      </c>
      <c r="F154" s="5">
        <v>192.6</v>
      </c>
      <c r="G154" s="6">
        <v>44291</v>
      </c>
      <c r="H154" s="5"/>
      <c r="I154" s="5"/>
      <c r="J154" s="5">
        <f t="shared" si="15"/>
        <v>16.400000000000006</v>
      </c>
      <c r="K154" s="8" t="b">
        <f t="shared" si="14"/>
        <v>1</v>
      </c>
    </row>
    <row r="155" spans="1:11">
      <c r="A155" s="5">
        <v>105</v>
      </c>
      <c r="B155" s="6">
        <v>44297</v>
      </c>
      <c r="C155" s="7">
        <v>0.7</v>
      </c>
      <c r="D155" s="5">
        <v>8.2899999999999991</v>
      </c>
      <c r="E155" s="5">
        <v>192.6</v>
      </c>
      <c r="F155" s="5">
        <v>209.8</v>
      </c>
      <c r="G155" s="6">
        <v>44297</v>
      </c>
      <c r="H155" s="5"/>
      <c r="I155" s="5"/>
      <c r="J155" s="5">
        <f t="shared" si="15"/>
        <v>17.200000000000017</v>
      </c>
      <c r="K155" s="8" t="b">
        <f t="shared" si="14"/>
        <v>0</v>
      </c>
    </row>
    <row r="156" spans="1:11">
      <c r="A156" s="5">
        <v>105</v>
      </c>
      <c r="B156" s="6">
        <v>44300</v>
      </c>
      <c r="C156" s="7">
        <v>0.7</v>
      </c>
      <c r="D156" s="5">
        <v>8.2899999999999991</v>
      </c>
      <c r="E156" s="5">
        <v>210.1</v>
      </c>
      <c r="F156" s="5">
        <v>225.8</v>
      </c>
      <c r="G156" s="6">
        <v>44300</v>
      </c>
      <c r="H156" s="5"/>
      <c r="I156" s="5"/>
      <c r="J156" s="5">
        <f t="shared" si="15"/>
        <v>15.700000000000017</v>
      </c>
      <c r="K156" s="8" t="b">
        <f t="shared" si="14"/>
        <v>0</v>
      </c>
    </row>
    <row r="157" spans="1:11">
      <c r="A157" s="5">
        <v>105</v>
      </c>
      <c r="B157" s="6">
        <v>44301</v>
      </c>
      <c r="C157" s="7">
        <v>1</v>
      </c>
      <c r="D157" s="5">
        <v>5.8</v>
      </c>
      <c r="E157" s="5">
        <v>225.9</v>
      </c>
      <c r="F157" s="5">
        <v>238</v>
      </c>
      <c r="G157" s="6">
        <v>44301</v>
      </c>
      <c r="H157" s="5"/>
      <c r="I157" s="5"/>
      <c r="J157" s="5">
        <f t="shared" si="15"/>
        <v>12.099999999999994</v>
      </c>
      <c r="K157" s="8" t="b">
        <f t="shared" si="14"/>
        <v>1</v>
      </c>
    </row>
    <row r="158" spans="1:11">
      <c r="A158" s="5">
        <v>105</v>
      </c>
      <c r="B158" s="6">
        <v>44303</v>
      </c>
      <c r="C158" s="7">
        <v>0.7</v>
      </c>
      <c r="D158" s="5">
        <v>8.2899999999999991</v>
      </c>
      <c r="E158" s="5">
        <v>238</v>
      </c>
      <c r="F158" s="5">
        <v>254</v>
      </c>
      <c r="G158" s="6">
        <v>44303</v>
      </c>
      <c r="H158" s="5"/>
      <c r="I158" s="5"/>
      <c r="J158" s="5">
        <f t="shared" si="15"/>
        <v>16</v>
      </c>
      <c r="K158" s="8" t="b">
        <f t="shared" si="14"/>
        <v>0</v>
      </c>
    </row>
    <row r="159" spans="1:11">
      <c r="A159" s="5">
        <v>105</v>
      </c>
      <c r="B159" s="6">
        <v>44312</v>
      </c>
      <c r="C159" s="7">
        <v>0.7</v>
      </c>
      <c r="D159" s="5">
        <v>8.2899999999999991</v>
      </c>
      <c r="E159" s="5">
        <v>254.2</v>
      </c>
      <c r="F159" s="5">
        <v>271.3</v>
      </c>
      <c r="G159" s="6">
        <v>44312</v>
      </c>
      <c r="H159" s="5"/>
      <c r="I159" s="5"/>
      <c r="J159" s="5">
        <f t="shared" si="15"/>
        <v>17.100000000000023</v>
      </c>
      <c r="K159" s="8" t="b">
        <f t="shared" si="14"/>
        <v>0</v>
      </c>
    </row>
    <row r="160" spans="1:11">
      <c r="A160" s="5">
        <v>105</v>
      </c>
      <c r="B160" s="6">
        <v>44321</v>
      </c>
      <c r="C160" s="7">
        <v>0.7</v>
      </c>
      <c r="D160" s="5">
        <v>8.2899999999999991</v>
      </c>
      <c r="E160" s="5">
        <v>287.8</v>
      </c>
      <c r="F160" s="5">
        <v>305.5</v>
      </c>
      <c r="G160" s="6">
        <v>44321</v>
      </c>
      <c r="H160" s="5"/>
      <c r="I160" s="5"/>
      <c r="J160" s="5">
        <f t="shared" si="15"/>
        <v>17.699999999999989</v>
      </c>
      <c r="K160" s="8" t="b">
        <f t="shared" si="14"/>
        <v>1</v>
      </c>
    </row>
    <row r="161" spans="1:11">
      <c r="A161" s="5">
        <v>105</v>
      </c>
      <c r="B161" s="6">
        <v>44324</v>
      </c>
      <c r="C161" s="7">
        <v>0.7</v>
      </c>
      <c r="D161" s="5">
        <v>8.2899999999999991</v>
      </c>
      <c r="E161" s="5">
        <v>305.5</v>
      </c>
      <c r="F161" s="5">
        <v>321.7</v>
      </c>
      <c r="G161" s="6">
        <v>44324</v>
      </c>
      <c r="H161" s="5"/>
      <c r="I161" s="5"/>
      <c r="J161" s="5">
        <f t="shared" si="15"/>
        <v>16.199999999999989</v>
      </c>
      <c r="K161" s="8" t="b">
        <f t="shared" si="14"/>
        <v>1</v>
      </c>
    </row>
    <row r="162" spans="1:11">
      <c r="A162" s="5">
        <v>105</v>
      </c>
      <c r="B162" s="6">
        <v>44327</v>
      </c>
      <c r="C162" s="7">
        <v>0.7</v>
      </c>
      <c r="D162" s="5">
        <v>8.2899999999999991</v>
      </c>
      <c r="E162" s="5">
        <v>321.7</v>
      </c>
      <c r="F162" s="5">
        <v>338.6</v>
      </c>
      <c r="G162" s="6">
        <v>44327</v>
      </c>
      <c r="H162" s="5"/>
      <c r="I162" s="5"/>
      <c r="J162" s="5">
        <f t="shared" si="15"/>
        <v>16.900000000000034</v>
      </c>
      <c r="K162" s="8" t="b">
        <f t="shared" si="14"/>
        <v>1</v>
      </c>
    </row>
    <row r="163" spans="1:11">
      <c r="A163" s="5">
        <v>105</v>
      </c>
      <c r="B163" s="6">
        <v>44330</v>
      </c>
      <c r="C163" s="7">
        <v>0.7</v>
      </c>
      <c r="D163" s="5">
        <v>8.2899999999999991</v>
      </c>
      <c r="E163" s="5">
        <v>338.6</v>
      </c>
      <c r="F163" s="5">
        <v>355.5</v>
      </c>
      <c r="G163" s="6">
        <v>44330</v>
      </c>
      <c r="H163" s="5"/>
      <c r="I163" s="5"/>
      <c r="J163" s="5">
        <f t="shared" si="15"/>
        <v>16.899999999999977</v>
      </c>
      <c r="K163" s="8" t="b">
        <f t="shared" si="14"/>
        <v>1</v>
      </c>
    </row>
    <row r="164" spans="1:11">
      <c r="A164" s="5">
        <v>105</v>
      </c>
      <c r="B164" s="6">
        <v>44334</v>
      </c>
      <c r="C164" s="7">
        <v>0.5</v>
      </c>
      <c r="D164" s="5">
        <v>11.6</v>
      </c>
      <c r="E164" s="5">
        <v>355.5</v>
      </c>
      <c r="F164" s="5">
        <v>368</v>
      </c>
      <c r="G164" s="6">
        <v>44304</v>
      </c>
      <c r="H164" s="5"/>
      <c r="I164" s="5"/>
      <c r="J164" s="5">
        <f t="shared" si="15"/>
        <v>12.5</v>
      </c>
      <c r="K164" s="8" t="b">
        <f t="shared" si="14"/>
        <v>1</v>
      </c>
    </row>
    <row r="165" spans="1:11">
      <c r="A165" s="5">
        <v>105</v>
      </c>
      <c r="B165" s="6">
        <v>44335</v>
      </c>
      <c r="C165" s="7">
        <v>0.5</v>
      </c>
      <c r="D165" s="5">
        <v>11.6</v>
      </c>
      <c r="E165" s="5">
        <v>368</v>
      </c>
      <c r="F165" s="5">
        <v>380</v>
      </c>
      <c r="G165" s="6">
        <v>44335</v>
      </c>
      <c r="H165" s="5"/>
      <c r="I165" s="5"/>
      <c r="J165" s="5">
        <f t="shared" si="15"/>
        <v>12</v>
      </c>
      <c r="K165" s="8" t="b">
        <f t="shared" si="14"/>
        <v>0</v>
      </c>
    </row>
    <row r="166" spans="1:11">
      <c r="A166" s="5">
        <v>105</v>
      </c>
      <c r="B166" s="6">
        <v>44338</v>
      </c>
      <c r="C166" s="7">
        <v>0.5</v>
      </c>
      <c r="D166" s="5">
        <v>11.6</v>
      </c>
      <c r="E166" s="5">
        <v>380.1</v>
      </c>
      <c r="F166" s="5">
        <v>391.1</v>
      </c>
      <c r="G166" s="6">
        <v>44338</v>
      </c>
      <c r="H166" s="5"/>
      <c r="I166" s="5"/>
      <c r="J166" s="5">
        <f t="shared" si="15"/>
        <v>11</v>
      </c>
      <c r="K166" s="8" t="b">
        <f t="shared" si="14"/>
        <v>1</v>
      </c>
    </row>
    <row r="167" spans="1:11">
      <c r="A167" s="5">
        <v>105</v>
      </c>
      <c r="B167" s="6">
        <v>44339</v>
      </c>
      <c r="C167" s="7">
        <v>0.5</v>
      </c>
      <c r="D167" s="5">
        <v>11.6</v>
      </c>
      <c r="E167" s="5">
        <v>391.1</v>
      </c>
      <c r="F167" s="5">
        <v>404.3</v>
      </c>
      <c r="G167" s="6">
        <v>44339</v>
      </c>
      <c r="H167" s="5"/>
      <c r="I167" s="5"/>
      <c r="J167" s="5">
        <f t="shared" si="15"/>
        <v>13.199999999999989</v>
      </c>
      <c r="K167" s="8" t="b">
        <f t="shared" si="14"/>
        <v>1</v>
      </c>
    </row>
    <row r="168" spans="1:11">
      <c r="A168" s="5">
        <v>105</v>
      </c>
      <c r="B168" s="6">
        <v>44375</v>
      </c>
      <c r="C168" s="7">
        <v>0.6</v>
      </c>
      <c r="D168" s="5">
        <v>9.67</v>
      </c>
      <c r="E168" s="5">
        <v>404.3</v>
      </c>
      <c r="F168" s="5">
        <v>423</v>
      </c>
      <c r="G168" s="6">
        <v>44375</v>
      </c>
      <c r="H168" s="5"/>
      <c r="I168" s="5"/>
      <c r="J168" s="5">
        <f t="shared" si="15"/>
        <v>18.699999999999989</v>
      </c>
      <c r="K168" s="8" t="b">
        <f t="shared" si="14"/>
        <v>0</v>
      </c>
    </row>
    <row r="169" spans="1:11">
      <c r="A169" s="5">
        <v>105</v>
      </c>
      <c r="B169" s="6">
        <v>44347</v>
      </c>
      <c r="C169" s="7">
        <v>0.5</v>
      </c>
      <c r="D169" s="5">
        <v>11.6</v>
      </c>
      <c r="E169" s="5">
        <v>424.8</v>
      </c>
      <c r="F169" s="5">
        <v>435.8</v>
      </c>
      <c r="G169" s="6">
        <v>44347</v>
      </c>
      <c r="H169" s="5"/>
      <c r="I169" s="5"/>
      <c r="J169" s="5">
        <f t="shared" si="15"/>
        <v>11</v>
      </c>
      <c r="K169" s="8" t="b">
        <f t="shared" si="14"/>
        <v>1</v>
      </c>
    </row>
    <row r="170" spans="1:11">
      <c r="A170" s="5">
        <v>105</v>
      </c>
      <c r="B170" s="6">
        <v>44348</v>
      </c>
      <c r="C170" s="7">
        <v>0.5</v>
      </c>
      <c r="D170" s="5">
        <v>11.6</v>
      </c>
      <c r="E170" s="5">
        <v>435.8</v>
      </c>
      <c r="F170" s="5">
        <v>447.9</v>
      </c>
      <c r="G170" s="6">
        <v>44348</v>
      </c>
      <c r="H170" s="5"/>
      <c r="I170" s="5"/>
      <c r="J170" s="5">
        <f t="shared" si="15"/>
        <v>12.099999999999966</v>
      </c>
      <c r="K170" s="8" t="b">
        <f t="shared" si="14"/>
        <v>1</v>
      </c>
    </row>
    <row r="171" spans="1:11">
      <c r="A171" s="5">
        <v>105</v>
      </c>
      <c r="B171" s="6">
        <v>44353</v>
      </c>
      <c r="C171" s="7">
        <v>0.5</v>
      </c>
      <c r="D171" s="5">
        <v>11.6</v>
      </c>
      <c r="E171" s="5">
        <v>447.9</v>
      </c>
      <c r="F171" s="5">
        <v>459.5</v>
      </c>
      <c r="G171" s="6">
        <v>44353</v>
      </c>
      <c r="H171" s="5"/>
      <c r="I171" s="5"/>
      <c r="J171" s="5">
        <f t="shared" si="15"/>
        <v>11.600000000000023</v>
      </c>
      <c r="K171" s="8" t="b">
        <f t="shared" si="14"/>
        <v>1</v>
      </c>
    </row>
    <row r="172" spans="1:11">
      <c r="A172" s="5">
        <v>105</v>
      </c>
      <c r="B172" s="6">
        <v>44354</v>
      </c>
      <c r="C172" s="7">
        <v>0.5</v>
      </c>
      <c r="D172" s="5">
        <v>11.6</v>
      </c>
      <c r="E172" s="5">
        <v>459.5</v>
      </c>
      <c r="F172" s="5">
        <v>471.3</v>
      </c>
      <c r="G172" s="6">
        <v>44354</v>
      </c>
      <c r="H172" s="5"/>
      <c r="I172" s="5"/>
      <c r="J172" s="5">
        <f t="shared" si="15"/>
        <v>11.800000000000011</v>
      </c>
      <c r="K172" s="8" t="b">
        <f t="shared" si="14"/>
        <v>1</v>
      </c>
    </row>
    <row r="173" spans="1:11">
      <c r="A173" s="5">
        <v>105</v>
      </c>
      <c r="B173" s="6">
        <v>44359</v>
      </c>
      <c r="C173" s="7">
        <v>0.5</v>
      </c>
      <c r="D173" s="5">
        <v>11.6</v>
      </c>
      <c r="E173" s="5">
        <v>471.3</v>
      </c>
      <c r="F173" s="5">
        <v>482.6</v>
      </c>
      <c r="G173" s="6">
        <v>44359</v>
      </c>
      <c r="H173" s="5"/>
      <c r="I173" s="5"/>
      <c r="J173" s="5">
        <f t="shared" si="15"/>
        <v>11.300000000000011</v>
      </c>
      <c r="K173" s="8" t="b">
        <f t="shared" si="14"/>
        <v>1</v>
      </c>
    </row>
    <row r="174" spans="1:11">
      <c r="A174" s="5">
        <v>105</v>
      </c>
      <c r="B174" s="6">
        <v>44360</v>
      </c>
      <c r="C174" s="7">
        <v>0.5</v>
      </c>
      <c r="D174" s="5">
        <v>11.6</v>
      </c>
      <c r="E174" s="5">
        <v>482.6</v>
      </c>
      <c r="F174" s="5">
        <v>494.4</v>
      </c>
      <c r="G174" s="6">
        <v>44360</v>
      </c>
      <c r="H174" s="5"/>
      <c r="I174" s="5"/>
      <c r="J174" s="5">
        <f t="shared" ref="J174:J179" si="16">F174-E174</f>
        <v>11.799999999999955</v>
      </c>
      <c r="K174" s="8" t="b">
        <f>F174=E175</f>
        <v>1</v>
      </c>
    </row>
    <row r="175" spans="1:11">
      <c r="A175" s="5">
        <v>105</v>
      </c>
      <c r="B175" s="6">
        <v>44364</v>
      </c>
      <c r="C175" s="7">
        <v>0.5</v>
      </c>
      <c r="D175" s="5">
        <v>11.6</v>
      </c>
      <c r="E175" s="5">
        <v>494.4</v>
      </c>
      <c r="F175" s="5">
        <v>505.9</v>
      </c>
      <c r="G175" s="6">
        <v>44364</v>
      </c>
      <c r="H175" s="5"/>
      <c r="I175" s="5"/>
      <c r="J175" s="5">
        <f t="shared" si="16"/>
        <v>11.5</v>
      </c>
      <c r="K175" s="8" t="b">
        <f>F175=E176</f>
        <v>1</v>
      </c>
    </row>
    <row r="176" spans="1:11">
      <c r="A176" s="5">
        <v>105</v>
      </c>
      <c r="B176" s="6">
        <v>44365</v>
      </c>
      <c r="C176" s="7">
        <v>0.5</v>
      </c>
      <c r="D176" s="5">
        <v>11.6</v>
      </c>
      <c r="E176" s="5">
        <v>505.9</v>
      </c>
      <c r="F176" s="5">
        <v>517.70000000000005</v>
      </c>
      <c r="G176" s="6">
        <v>44365</v>
      </c>
      <c r="H176" s="5"/>
      <c r="I176" s="5"/>
      <c r="J176" s="5">
        <f t="shared" si="16"/>
        <v>11.800000000000068</v>
      </c>
      <c r="K176" s="8" t="b">
        <f>F176=E177</f>
        <v>1</v>
      </c>
    </row>
    <row r="177" spans="1:11">
      <c r="A177" s="5">
        <v>105</v>
      </c>
      <c r="B177" s="6">
        <v>44368</v>
      </c>
      <c r="C177" s="7">
        <v>0.5</v>
      </c>
      <c r="D177" s="5">
        <v>11.6</v>
      </c>
      <c r="E177" s="5">
        <v>517.70000000000005</v>
      </c>
      <c r="F177" s="5">
        <v>529.1</v>
      </c>
      <c r="G177" s="6">
        <v>44368</v>
      </c>
      <c r="H177" s="5"/>
      <c r="I177" s="5"/>
      <c r="J177" s="5">
        <f t="shared" si="16"/>
        <v>11.399999999999977</v>
      </c>
      <c r="K177" s="8" t="b">
        <f>F177=E178</f>
        <v>1</v>
      </c>
    </row>
    <row r="178" spans="1:11">
      <c r="A178" s="5">
        <v>105</v>
      </c>
      <c r="B178" s="6">
        <v>44369</v>
      </c>
      <c r="C178" s="7">
        <v>0.5</v>
      </c>
      <c r="D178" s="5">
        <v>11.6</v>
      </c>
      <c r="E178" s="5">
        <v>529.1</v>
      </c>
      <c r="F178" s="5">
        <v>540.79999999999995</v>
      </c>
      <c r="G178" s="6">
        <v>44369</v>
      </c>
      <c r="H178" s="5"/>
      <c r="I178" s="5"/>
      <c r="J178" s="5">
        <f t="shared" si="16"/>
        <v>11.699999999999932</v>
      </c>
      <c r="K178" s="8" t="b">
        <f>F178=E179</f>
        <v>0</v>
      </c>
    </row>
    <row r="179" spans="1:11">
      <c r="A179" s="5">
        <v>105</v>
      </c>
      <c r="B179" s="6">
        <v>44372</v>
      </c>
      <c r="C179" s="7">
        <v>0.5</v>
      </c>
      <c r="D179" s="5">
        <v>11.6</v>
      </c>
      <c r="E179" s="5">
        <v>540.9</v>
      </c>
      <c r="F179" s="5">
        <v>551.6</v>
      </c>
      <c r="G179" s="6">
        <v>44372</v>
      </c>
      <c r="H179" s="5"/>
      <c r="I179" s="5"/>
      <c r="J179" s="5">
        <f t="shared" si="16"/>
        <v>10.700000000000045</v>
      </c>
      <c r="K179" s="8" t="b">
        <f t="shared" ref="K179:K188" si="17">F179=E180</f>
        <v>1</v>
      </c>
    </row>
    <row r="180" spans="1:11">
      <c r="A180" s="5">
        <v>105</v>
      </c>
      <c r="B180" s="6">
        <v>44373</v>
      </c>
      <c r="C180" s="7">
        <v>0.5</v>
      </c>
      <c r="D180" s="5">
        <v>11.6</v>
      </c>
      <c r="E180" s="5">
        <v>551.6</v>
      </c>
      <c r="F180" s="5">
        <v>564.1</v>
      </c>
      <c r="G180" s="6">
        <v>44373</v>
      </c>
      <c r="H180" s="5"/>
      <c r="I180" s="5"/>
      <c r="J180" s="5">
        <f t="shared" ref="J180:J188" si="18">F180-E180</f>
        <v>12.5</v>
      </c>
      <c r="K180" s="8" t="b">
        <f t="shared" si="17"/>
        <v>1</v>
      </c>
    </row>
    <row r="181" spans="1:11">
      <c r="A181" s="5">
        <v>105</v>
      </c>
      <c r="B181" s="6">
        <v>44377</v>
      </c>
      <c r="C181" s="7">
        <v>0.5</v>
      </c>
      <c r="D181" s="5">
        <v>11.6</v>
      </c>
      <c r="E181" s="5">
        <v>564.1</v>
      </c>
      <c r="F181" s="5">
        <v>575.9</v>
      </c>
      <c r="G181" s="6">
        <v>44377</v>
      </c>
      <c r="H181" s="5"/>
      <c r="I181" s="5"/>
      <c r="J181" s="5">
        <f t="shared" si="18"/>
        <v>11.799999999999955</v>
      </c>
      <c r="K181" s="8" t="b">
        <f t="shared" si="17"/>
        <v>1</v>
      </c>
    </row>
    <row r="182" spans="1:11">
      <c r="A182" s="5">
        <v>105</v>
      </c>
      <c r="B182" s="6">
        <v>44378</v>
      </c>
      <c r="C182" s="7">
        <v>0.5</v>
      </c>
      <c r="D182" s="5">
        <v>11.6</v>
      </c>
      <c r="E182" s="5">
        <v>575.9</v>
      </c>
      <c r="F182" s="5">
        <v>587.5</v>
      </c>
      <c r="G182" s="6">
        <v>44378</v>
      </c>
      <c r="H182" s="5"/>
      <c r="I182" s="5"/>
      <c r="J182" s="5">
        <f t="shared" si="18"/>
        <v>11.600000000000023</v>
      </c>
      <c r="K182" s="8" t="b">
        <f t="shared" si="17"/>
        <v>1</v>
      </c>
    </row>
    <row r="183" spans="1:11">
      <c r="A183" s="5">
        <v>105</v>
      </c>
      <c r="B183" s="6">
        <v>44381</v>
      </c>
      <c r="C183" s="7">
        <v>0.5</v>
      </c>
      <c r="D183" s="5">
        <v>11.6</v>
      </c>
      <c r="E183" s="5">
        <v>587.5</v>
      </c>
      <c r="F183" s="5">
        <v>599.6</v>
      </c>
      <c r="G183" s="6">
        <v>44381</v>
      </c>
      <c r="H183" s="5"/>
      <c r="I183" s="5"/>
      <c r="J183" s="5">
        <f t="shared" si="18"/>
        <v>12.100000000000023</v>
      </c>
      <c r="K183" s="8" t="b">
        <f t="shared" si="17"/>
        <v>1</v>
      </c>
    </row>
    <row r="184" spans="1:11">
      <c r="A184" s="5">
        <v>105</v>
      </c>
      <c r="B184" s="6">
        <v>44382</v>
      </c>
      <c r="C184" s="7">
        <v>0.5</v>
      </c>
      <c r="D184" s="5">
        <v>11.6</v>
      </c>
      <c r="E184" s="5">
        <v>599.6</v>
      </c>
      <c r="F184" s="5">
        <v>611.20000000000005</v>
      </c>
      <c r="G184" s="6">
        <v>44382</v>
      </c>
      <c r="H184" s="5"/>
      <c r="I184" s="5"/>
      <c r="J184" s="5">
        <f t="shared" si="18"/>
        <v>11.600000000000023</v>
      </c>
      <c r="K184" s="8" t="b">
        <f t="shared" si="17"/>
        <v>1</v>
      </c>
    </row>
    <row r="185" spans="1:11">
      <c r="A185" s="5">
        <v>105</v>
      </c>
      <c r="B185" s="6">
        <v>44385</v>
      </c>
      <c r="C185" s="7">
        <v>0.5</v>
      </c>
      <c r="D185" s="5">
        <v>11.6</v>
      </c>
      <c r="E185" s="5">
        <v>611.20000000000005</v>
      </c>
      <c r="F185" s="5">
        <v>624.6</v>
      </c>
      <c r="G185" s="6">
        <v>44385</v>
      </c>
      <c r="H185" s="5"/>
      <c r="I185" s="5"/>
      <c r="J185" s="5">
        <f t="shared" si="18"/>
        <v>13.399999999999977</v>
      </c>
      <c r="K185" s="8" t="b">
        <f t="shared" si="17"/>
        <v>1</v>
      </c>
    </row>
    <row r="186" spans="1:11">
      <c r="A186" s="5">
        <v>105</v>
      </c>
      <c r="B186" s="6">
        <v>44386</v>
      </c>
      <c r="C186" s="7">
        <v>0.5</v>
      </c>
      <c r="D186" s="5">
        <v>11.6</v>
      </c>
      <c r="E186" s="5">
        <v>624.6</v>
      </c>
      <c r="F186" s="5">
        <v>635.6</v>
      </c>
      <c r="G186" s="6">
        <v>44386</v>
      </c>
      <c r="H186" s="5"/>
      <c r="I186" s="5"/>
      <c r="J186" s="5">
        <f t="shared" si="18"/>
        <v>11</v>
      </c>
      <c r="K186" s="8" t="b">
        <f t="shared" si="17"/>
        <v>1</v>
      </c>
    </row>
    <row r="187" spans="1:11">
      <c r="A187" s="5">
        <v>105</v>
      </c>
      <c r="B187" s="6">
        <v>44389</v>
      </c>
      <c r="C187" s="7">
        <v>0.5</v>
      </c>
      <c r="D187" s="5">
        <v>11.6</v>
      </c>
      <c r="E187" s="5">
        <v>635.6</v>
      </c>
      <c r="F187" s="5">
        <v>647.1</v>
      </c>
      <c r="G187" s="6">
        <v>44389</v>
      </c>
      <c r="H187" s="5"/>
      <c r="I187" s="5"/>
      <c r="J187" s="5">
        <f t="shared" si="18"/>
        <v>11.5</v>
      </c>
      <c r="K187" s="8" t="b">
        <f t="shared" si="17"/>
        <v>1</v>
      </c>
    </row>
    <row r="188" spans="1:11">
      <c r="A188" s="5">
        <v>105</v>
      </c>
      <c r="B188" s="6">
        <v>44390</v>
      </c>
      <c r="C188" s="7">
        <v>0.5</v>
      </c>
      <c r="D188" s="5">
        <v>11.6</v>
      </c>
      <c r="E188" s="5">
        <v>647.1</v>
      </c>
      <c r="F188" s="5">
        <v>659.4</v>
      </c>
      <c r="G188" s="6">
        <v>44390</v>
      </c>
      <c r="H188" s="5"/>
      <c r="I188" s="5"/>
      <c r="J188" s="5">
        <f t="shared" si="18"/>
        <v>12.299999999999955</v>
      </c>
      <c r="K188" s="8" t="b">
        <f t="shared" si="17"/>
        <v>1</v>
      </c>
    </row>
    <row r="189" spans="1:11">
      <c r="A189" s="5">
        <v>105</v>
      </c>
      <c r="B189" s="6">
        <v>44393</v>
      </c>
      <c r="C189" s="7">
        <v>0.5</v>
      </c>
      <c r="D189" s="5">
        <v>11.6</v>
      </c>
      <c r="E189" s="5">
        <v>659.4</v>
      </c>
      <c r="F189" s="5">
        <v>670.3</v>
      </c>
      <c r="G189" s="6">
        <v>44393</v>
      </c>
      <c r="H189" s="5"/>
      <c r="I189" s="5"/>
      <c r="J189" s="5">
        <f t="shared" ref="J189:J196" si="19">F189-E189</f>
        <v>10.899999999999977</v>
      </c>
      <c r="K189" s="8" t="b">
        <f t="shared" ref="K189:K196" si="20">F189=E190</f>
        <v>1</v>
      </c>
    </row>
    <row r="190" spans="1:11">
      <c r="A190" s="5">
        <v>105</v>
      </c>
      <c r="B190" s="6">
        <v>44394</v>
      </c>
      <c r="C190" s="7">
        <v>0.5</v>
      </c>
      <c r="D190" s="5">
        <v>11.6</v>
      </c>
      <c r="E190" s="5">
        <v>670.3</v>
      </c>
      <c r="F190" s="5">
        <v>682.4</v>
      </c>
      <c r="G190" s="6">
        <v>44394</v>
      </c>
      <c r="H190" s="5"/>
      <c r="I190" s="5"/>
      <c r="J190" s="5">
        <f t="shared" si="19"/>
        <v>12.100000000000023</v>
      </c>
      <c r="K190" s="8" t="b">
        <f t="shared" si="20"/>
        <v>1</v>
      </c>
    </row>
    <row r="191" spans="1:11">
      <c r="A191" s="5">
        <v>105</v>
      </c>
      <c r="B191" s="6">
        <v>44398</v>
      </c>
      <c r="C191" s="7">
        <v>0.5</v>
      </c>
      <c r="D191" s="5">
        <v>11.6</v>
      </c>
      <c r="E191" s="5">
        <v>682.4</v>
      </c>
      <c r="F191" s="5">
        <v>693.4</v>
      </c>
      <c r="G191" s="6">
        <v>44398</v>
      </c>
      <c r="H191" s="5"/>
      <c r="I191" s="5"/>
      <c r="J191" s="5">
        <f t="shared" si="19"/>
        <v>11</v>
      </c>
      <c r="K191" s="8" t="b">
        <f t="shared" si="20"/>
        <v>0</v>
      </c>
    </row>
    <row r="192" spans="1:11">
      <c r="A192" s="5">
        <v>105</v>
      </c>
      <c r="B192" s="6"/>
      <c r="C192" s="7"/>
      <c r="D192" s="5"/>
      <c r="E192" s="5"/>
      <c r="F192" s="5"/>
      <c r="G192" s="6"/>
      <c r="H192" s="5"/>
      <c r="I192" s="5"/>
      <c r="J192" s="5">
        <f t="shared" si="19"/>
        <v>0</v>
      </c>
      <c r="K192" s="8" t="b">
        <f t="shared" si="20"/>
        <v>1</v>
      </c>
    </row>
    <row r="193" spans="1:11">
      <c r="A193" s="5">
        <v>105</v>
      </c>
      <c r="B193" s="6"/>
      <c r="C193" s="7"/>
      <c r="D193" s="5"/>
      <c r="E193" s="5"/>
      <c r="F193" s="5"/>
      <c r="G193" s="6"/>
      <c r="H193" s="5"/>
      <c r="I193" s="5"/>
      <c r="J193" s="5">
        <f t="shared" si="19"/>
        <v>0</v>
      </c>
      <c r="K193" s="8" t="b">
        <f t="shared" si="20"/>
        <v>1</v>
      </c>
    </row>
    <row r="194" spans="1:11">
      <c r="A194" s="5">
        <v>105</v>
      </c>
      <c r="B194" s="6"/>
      <c r="C194" s="7"/>
      <c r="D194" s="5"/>
      <c r="E194" s="5"/>
      <c r="F194" s="5"/>
      <c r="G194" s="6"/>
      <c r="H194" s="5"/>
      <c r="I194" s="5"/>
      <c r="J194" s="5">
        <f t="shared" si="19"/>
        <v>0</v>
      </c>
      <c r="K194" s="8" t="b">
        <f t="shared" si="20"/>
        <v>1</v>
      </c>
    </row>
    <row r="195" spans="1:11">
      <c r="A195" s="5">
        <v>105</v>
      </c>
      <c r="B195" s="6"/>
      <c r="C195" s="7"/>
      <c r="D195" s="5"/>
      <c r="E195" s="5"/>
      <c r="F195" s="5"/>
      <c r="G195" s="6"/>
      <c r="H195" s="5"/>
      <c r="I195" s="5"/>
      <c r="J195" s="5">
        <f t="shared" si="19"/>
        <v>0</v>
      </c>
      <c r="K195" s="8" t="b">
        <f t="shared" si="20"/>
        <v>1</v>
      </c>
    </row>
    <row r="196" spans="1:11">
      <c r="A196" s="5">
        <v>105</v>
      </c>
      <c r="B196" s="6"/>
      <c r="C196" s="7"/>
      <c r="D196" s="5"/>
      <c r="E196" s="5"/>
      <c r="F196" s="5"/>
      <c r="G196" s="6"/>
      <c r="H196" s="5"/>
      <c r="I196" s="5"/>
      <c r="J196" s="5">
        <f t="shared" si="19"/>
        <v>0</v>
      </c>
      <c r="K196" s="8" t="b">
        <f t="shared" si="20"/>
        <v>1</v>
      </c>
    </row>
    <row r="198" spans="1:11" ht="26.25">
      <c r="A198" s="138" t="s">
        <v>64</v>
      </c>
      <c r="B198" s="159"/>
      <c r="C198" s="159"/>
      <c r="D198" s="159"/>
      <c r="E198" s="159"/>
      <c r="F198" s="159"/>
      <c r="G198" s="159"/>
      <c r="H198" s="159"/>
      <c r="I198" s="159"/>
      <c r="J198" s="159"/>
      <c r="K198" s="160"/>
    </row>
    <row r="199" spans="1:11" ht="26.25">
      <c r="A199" s="138" t="s">
        <v>68</v>
      </c>
      <c r="B199" s="159"/>
      <c r="C199" s="159"/>
      <c r="D199" s="159"/>
      <c r="E199" s="159"/>
      <c r="F199" s="159"/>
      <c r="G199" s="159"/>
      <c r="H199" s="159"/>
      <c r="I199" s="159"/>
      <c r="J199" s="159"/>
      <c r="K199" s="160"/>
    </row>
    <row r="200" spans="1:11" ht="15.75" thickBot="1"/>
    <row r="201" spans="1:11" ht="15.75" thickBot="1">
      <c r="A201" s="132" t="s">
        <v>2</v>
      </c>
      <c r="B201" s="133"/>
      <c r="C201" s="133"/>
      <c r="D201" s="133"/>
      <c r="E201" s="133"/>
      <c r="F201" s="133"/>
      <c r="G201" s="133"/>
      <c r="H201" s="133"/>
      <c r="I201" s="133"/>
      <c r="J201" s="133"/>
      <c r="K201" s="134"/>
    </row>
    <row r="203" spans="1:11" ht="19.5" thickBot="1">
      <c r="A203" s="1" t="s">
        <v>3</v>
      </c>
      <c r="B203" s="1"/>
      <c r="C203" s="1"/>
      <c r="D203" s="1"/>
      <c r="E203" s="1"/>
      <c r="F203" s="1"/>
      <c r="G203" s="1"/>
      <c r="H203" s="1"/>
      <c r="I203" s="1"/>
    </row>
    <row r="204" spans="1:11" ht="30.75" thickBot="1">
      <c r="A204" s="2" t="s">
        <v>4</v>
      </c>
      <c r="B204" s="3" t="s">
        <v>5</v>
      </c>
      <c r="C204" s="3" t="s">
        <v>6</v>
      </c>
      <c r="D204" s="3" t="s">
        <v>7</v>
      </c>
      <c r="E204" s="3" t="s">
        <v>8</v>
      </c>
      <c r="F204" s="3" t="s">
        <v>9</v>
      </c>
      <c r="G204" s="3" t="s">
        <v>10</v>
      </c>
      <c r="H204" s="3" t="s">
        <v>21</v>
      </c>
      <c r="I204" s="4" t="s">
        <v>22</v>
      </c>
      <c r="J204" s="4" t="s">
        <v>11</v>
      </c>
      <c r="K204" s="4" t="s">
        <v>12</v>
      </c>
    </row>
    <row r="205" spans="1:11">
      <c r="A205" s="5">
        <v>105</v>
      </c>
      <c r="B205" s="6">
        <v>44462</v>
      </c>
      <c r="C205" s="7">
        <v>0.4</v>
      </c>
      <c r="D205" s="5">
        <v>14.5</v>
      </c>
      <c r="E205" s="5">
        <v>0</v>
      </c>
      <c r="F205" s="5">
        <v>29.5</v>
      </c>
      <c r="G205" s="6">
        <v>44462</v>
      </c>
      <c r="H205" s="5"/>
      <c r="I205" s="5"/>
      <c r="J205" s="5">
        <f>F205-E205</f>
        <v>29.5</v>
      </c>
      <c r="K205" s="8" t="b">
        <f>E205=F191</f>
        <v>0</v>
      </c>
    </row>
    <row r="206" spans="1:11">
      <c r="A206" s="5">
        <v>105</v>
      </c>
      <c r="B206" s="6">
        <v>44463</v>
      </c>
      <c r="C206" s="7">
        <v>0.7</v>
      </c>
      <c r="D206" s="5">
        <v>9.01</v>
      </c>
      <c r="E206" s="5">
        <v>29.5</v>
      </c>
      <c r="F206" s="5">
        <v>46.2</v>
      </c>
      <c r="G206" s="6">
        <v>44463</v>
      </c>
      <c r="H206" s="5"/>
      <c r="I206" s="5"/>
      <c r="J206" s="5">
        <f t="shared" ref="J206:J211" si="21">F206-E206</f>
        <v>16.700000000000003</v>
      </c>
      <c r="K206" s="8" t="b">
        <f>E206=F205</f>
        <v>1</v>
      </c>
    </row>
    <row r="207" spans="1:11">
      <c r="A207" s="5">
        <v>105</v>
      </c>
      <c r="B207" s="6">
        <v>44465</v>
      </c>
      <c r="C207" s="7">
        <v>0.7</v>
      </c>
      <c r="D207" s="5">
        <v>9.01</v>
      </c>
      <c r="E207" s="5">
        <v>46.2</v>
      </c>
      <c r="F207" s="5">
        <v>62.8</v>
      </c>
      <c r="G207" s="6">
        <v>44465</v>
      </c>
      <c r="H207" s="5"/>
      <c r="I207" s="5"/>
      <c r="J207" s="5">
        <f>F207-E207</f>
        <v>16.599999999999994</v>
      </c>
      <c r="K207" s="8" t="b">
        <f t="shared" ref="K207:K230" si="22">E207=F206</f>
        <v>1</v>
      </c>
    </row>
    <row r="208" spans="1:11">
      <c r="A208" s="5">
        <v>105</v>
      </c>
      <c r="B208" s="6">
        <v>44470</v>
      </c>
      <c r="C208" s="7">
        <v>0.7</v>
      </c>
      <c r="D208" s="5">
        <v>9.01</v>
      </c>
      <c r="E208" s="5">
        <v>62.8</v>
      </c>
      <c r="F208" s="5">
        <v>82.1</v>
      </c>
      <c r="G208" s="6">
        <v>44470</v>
      </c>
      <c r="H208" s="5"/>
      <c r="I208" s="5"/>
      <c r="J208" s="5">
        <f t="shared" si="21"/>
        <v>19.299999999999997</v>
      </c>
      <c r="K208" s="8" t="b">
        <f t="shared" si="22"/>
        <v>1</v>
      </c>
    </row>
    <row r="209" spans="1:11">
      <c r="A209" s="5">
        <v>105</v>
      </c>
      <c r="B209" s="6">
        <v>44471</v>
      </c>
      <c r="C209" s="7">
        <v>0.8</v>
      </c>
      <c r="D209" s="5">
        <v>7.89</v>
      </c>
      <c r="E209" s="5">
        <v>82.1</v>
      </c>
      <c r="F209" s="5">
        <v>97.8</v>
      </c>
      <c r="G209" s="6">
        <v>44471</v>
      </c>
      <c r="H209" s="5"/>
      <c r="I209" s="5"/>
      <c r="J209" s="5">
        <f t="shared" si="21"/>
        <v>15.700000000000003</v>
      </c>
      <c r="K209" s="8" t="b">
        <f t="shared" si="22"/>
        <v>1</v>
      </c>
    </row>
    <row r="210" spans="1:11">
      <c r="A210" s="5">
        <v>105</v>
      </c>
      <c r="B210" s="6">
        <v>44472</v>
      </c>
      <c r="C210" s="7">
        <v>0.8</v>
      </c>
      <c r="D210" s="5">
        <v>7.89</v>
      </c>
      <c r="E210" s="5">
        <v>97.8</v>
      </c>
      <c r="F210" s="5">
        <v>112.2</v>
      </c>
      <c r="G210" s="6">
        <v>44472</v>
      </c>
      <c r="H210" s="5"/>
      <c r="I210" s="5"/>
      <c r="J210" s="5">
        <f t="shared" si="21"/>
        <v>14.400000000000006</v>
      </c>
      <c r="K210" s="8" t="b">
        <f t="shared" si="22"/>
        <v>1</v>
      </c>
    </row>
    <row r="211" spans="1:11">
      <c r="A211" s="5">
        <v>105</v>
      </c>
      <c r="B211" s="6">
        <v>44473</v>
      </c>
      <c r="C211" s="7">
        <v>0.8</v>
      </c>
      <c r="D211" s="5">
        <v>7.89</v>
      </c>
      <c r="E211" s="5">
        <v>112.2</v>
      </c>
      <c r="F211" s="5">
        <v>126.6</v>
      </c>
      <c r="G211" s="6">
        <v>44473</v>
      </c>
      <c r="H211" s="5"/>
      <c r="I211" s="5"/>
      <c r="J211" s="5">
        <f t="shared" si="21"/>
        <v>14.399999999999991</v>
      </c>
      <c r="K211" s="8" t="b">
        <f t="shared" si="22"/>
        <v>1</v>
      </c>
    </row>
    <row r="212" spans="1:11">
      <c r="A212" s="5">
        <v>105</v>
      </c>
      <c r="B212" s="6">
        <v>44474</v>
      </c>
      <c r="C212" s="7">
        <v>0.8</v>
      </c>
      <c r="D212" s="5">
        <v>7.89</v>
      </c>
      <c r="E212" s="5">
        <v>126.6</v>
      </c>
      <c r="F212" s="5">
        <v>141</v>
      </c>
      <c r="G212" s="6">
        <v>44474</v>
      </c>
      <c r="H212" s="5"/>
      <c r="I212" s="5"/>
      <c r="J212" s="5">
        <f t="shared" ref="J212:J222" si="23">F212-E212</f>
        <v>14.400000000000006</v>
      </c>
      <c r="K212" s="8" t="b">
        <f t="shared" si="22"/>
        <v>1</v>
      </c>
    </row>
    <row r="213" spans="1:11">
      <c r="A213" s="5">
        <v>105</v>
      </c>
      <c r="B213" s="6">
        <v>44478</v>
      </c>
      <c r="C213" s="7">
        <v>0.8</v>
      </c>
      <c r="D213" s="5">
        <v>7.89</v>
      </c>
      <c r="E213" s="5">
        <v>141</v>
      </c>
      <c r="F213" s="5">
        <v>154.9</v>
      </c>
      <c r="G213" s="6">
        <v>44478</v>
      </c>
      <c r="H213" s="5"/>
      <c r="I213" s="5"/>
      <c r="J213" s="5">
        <f t="shared" si="23"/>
        <v>13.900000000000006</v>
      </c>
      <c r="K213" s="8" t="b">
        <f t="shared" si="22"/>
        <v>1</v>
      </c>
    </row>
    <row r="214" spans="1:11">
      <c r="A214" s="5">
        <v>105</v>
      </c>
      <c r="B214" s="6">
        <v>44479</v>
      </c>
      <c r="C214" s="7">
        <v>0.5</v>
      </c>
      <c r="D214" s="5">
        <v>11.6</v>
      </c>
      <c r="E214" s="5">
        <v>154.9</v>
      </c>
      <c r="F214" s="5">
        <v>178.4</v>
      </c>
      <c r="G214" s="6">
        <v>44479</v>
      </c>
      <c r="H214" s="5"/>
      <c r="I214" s="5"/>
      <c r="J214" s="5">
        <f t="shared" si="23"/>
        <v>23.5</v>
      </c>
      <c r="K214" s="8" t="b">
        <f t="shared" si="22"/>
        <v>1</v>
      </c>
    </row>
    <row r="215" spans="1:11">
      <c r="A215" s="5">
        <v>105</v>
      </c>
      <c r="B215" s="6">
        <v>44481</v>
      </c>
      <c r="C215" s="7">
        <v>0.5</v>
      </c>
      <c r="D215" s="5">
        <v>11.6</v>
      </c>
      <c r="E215" s="5">
        <v>178.4</v>
      </c>
      <c r="F215" s="5">
        <v>201.9</v>
      </c>
      <c r="G215" s="6">
        <v>44481</v>
      </c>
      <c r="H215" s="5"/>
      <c r="I215" s="5"/>
      <c r="J215" s="5">
        <f t="shared" si="23"/>
        <v>23.5</v>
      </c>
      <c r="K215" s="8" t="b">
        <f t="shared" si="22"/>
        <v>1</v>
      </c>
    </row>
    <row r="216" spans="1:11">
      <c r="A216" s="5">
        <v>105</v>
      </c>
      <c r="B216" s="6">
        <v>44482</v>
      </c>
      <c r="C216" s="7">
        <v>0.8</v>
      </c>
      <c r="D216" s="5">
        <v>7.25</v>
      </c>
      <c r="E216" s="5">
        <v>201.8</v>
      </c>
      <c r="F216" s="5">
        <v>214.1</v>
      </c>
      <c r="G216" s="6">
        <v>44482</v>
      </c>
      <c r="H216" s="5"/>
      <c r="I216" s="5"/>
      <c r="J216" s="5">
        <f t="shared" si="23"/>
        <v>12.299999999999983</v>
      </c>
      <c r="K216" s="8" t="b">
        <f t="shared" si="22"/>
        <v>0</v>
      </c>
    </row>
    <row r="217" spans="1:11">
      <c r="A217" s="5">
        <v>105</v>
      </c>
      <c r="B217" s="6">
        <v>44483</v>
      </c>
      <c r="C217" s="7">
        <v>0.8</v>
      </c>
      <c r="D217" s="5">
        <v>7.25</v>
      </c>
      <c r="E217" s="5">
        <v>214.1</v>
      </c>
      <c r="F217" s="5">
        <v>224.7</v>
      </c>
      <c r="G217" s="6">
        <v>44483</v>
      </c>
      <c r="H217" s="5"/>
      <c r="I217" s="5"/>
      <c r="J217" s="5">
        <f t="shared" si="23"/>
        <v>10.599999999999994</v>
      </c>
      <c r="K217" s="8" t="b">
        <f t="shared" si="22"/>
        <v>1</v>
      </c>
    </row>
    <row r="218" spans="1:11">
      <c r="A218" s="5">
        <v>105</v>
      </c>
      <c r="B218" s="6">
        <v>44484</v>
      </c>
      <c r="C218" s="7">
        <v>1</v>
      </c>
      <c r="D218" s="5">
        <v>5.8</v>
      </c>
      <c r="E218" s="5">
        <v>224.7</v>
      </c>
      <c r="F218" s="5">
        <v>236.9</v>
      </c>
      <c r="G218" s="6">
        <v>44484</v>
      </c>
      <c r="H218" s="5"/>
      <c r="I218" s="5"/>
      <c r="J218" s="5">
        <f t="shared" si="23"/>
        <v>12.200000000000017</v>
      </c>
      <c r="K218" s="8" t="b">
        <f t="shared" si="22"/>
        <v>1</v>
      </c>
    </row>
    <row r="219" spans="1:11">
      <c r="A219" s="5">
        <v>105</v>
      </c>
      <c r="B219" s="6">
        <v>44486</v>
      </c>
      <c r="C219" s="7">
        <v>1</v>
      </c>
      <c r="D219" s="5">
        <v>5.8</v>
      </c>
      <c r="E219" s="5">
        <v>236.9</v>
      </c>
      <c r="F219" s="5">
        <v>248.7</v>
      </c>
      <c r="G219" s="6">
        <v>44486</v>
      </c>
      <c r="H219" s="5"/>
      <c r="I219" s="5"/>
      <c r="J219" s="5">
        <f t="shared" si="23"/>
        <v>11.799999999999983</v>
      </c>
      <c r="K219" s="8" t="b">
        <f t="shared" si="22"/>
        <v>1</v>
      </c>
    </row>
    <row r="220" spans="1:11">
      <c r="A220" s="5">
        <v>105</v>
      </c>
      <c r="B220" s="6">
        <v>44487</v>
      </c>
      <c r="C220" s="7">
        <v>1</v>
      </c>
      <c r="D220" s="5">
        <v>5.8</v>
      </c>
      <c r="E220" s="5">
        <v>248.7</v>
      </c>
      <c r="F220" s="5">
        <v>260.10000000000002</v>
      </c>
      <c r="G220" s="6">
        <v>44487</v>
      </c>
      <c r="H220" s="5"/>
      <c r="I220" s="5"/>
      <c r="J220" s="5">
        <f t="shared" si="23"/>
        <v>11.400000000000034</v>
      </c>
      <c r="K220" s="8" t="b">
        <f t="shared" si="22"/>
        <v>1</v>
      </c>
    </row>
    <row r="221" spans="1:11">
      <c r="A221" s="5">
        <v>105</v>
      </c>
      <c r="B221" s="6">
        <v>44488</v>
      </c>
      <c r="C221" s="7">
        <v>1</v>
      </c>
      <c r="D221" s="5">
        <v>5.8</v>
      </c>
      <c r="E221" s="5">
        <v>260.10000000000002</v>
      </c>
      <c r="F221" s="5">
        <v>271.8</v>
      </c>
      <c r="G221" s="6">
        <v>44488</v>
      </c>
      <c r="H221" s="5"/>
      <c r="I221" s="5"/>
      <c r="J221" s="5">
        <f t="shared" si="23"/>
        <v>11.699999999999989</v>
      </c>
      <c r="K221" s="8" t="b">
        <f t="shared" si="22"/>
        <v>1</v>
      </c>
    </row>
    <row r="222" spans="1:11">
      <c r="A222" s="5">
        <v>105</v>
      </c>
      <c r="B222" s="6">
        <v>44490</v>
      </c>
      <c r="C222" s="7">
        <v>1</v>
      </c>
      <c r="D222" s="5">
        <v>5.8</v>
      </c>
      <c r="E222" s="5">
        <v>271.8</v>
      </c>
      <c r="F222" s="5">
        <v>280.3</v>
      </c>
      <c r="G222" s="6">
        <v>44490</v>
      </c>
      <c r="H222" s="5"/>
      <c r="I222" s="5"/>
      <c r="J222" s="5">
        <f t="shared" si="23"/>
        <v>8.5</v>
      </c>
      <c r="K222" s="8" t="b">
        <f t="shared" si="22"/>
        <v>1</v>
      </c>
    </row>
    <row r="223" spans="1:11">
      <c r="A223" s="5">
        <v>105</v>
      </c>
      <c r="B223" s="6">
        <v>44496</v>
      </c>
      <c r="C223" s="7">
        <v>1</v>
      </c>
      <c r="D223" s="5">
        <v>5.8</v>
      </c>
      <c r="E223" s="5">
        <v>280.3</v>
      </c>
      <c r="F223" s="5">
        <v>291.10000000000002</v>
      </c>
      <c r="G223" s="6">
        <v>44496</v>
      </c>
      <c r="H223" s="5"/>
      <c r="I223" s="5"/>
      <c r="J223" s="5">
        <f>F223-E223</f>
        <v>10.800000000000011</v>
      </c>
      <c r="K223" s="8" t="b">
        <f t="shared" si="22"/>
        <v>1</v>
      </c>
    </row>
    <row r="224" spans="1:11">
      <c r="A224" s="5">
        <v>105</v>
      </c>
      <c r="B224" s="6">
        <v>44497</v>
      </c>
      <c r="C224" s="7">
        <v>1</v>
      </c>
      <c r="D224" s="5">
        <v>5.8</v>
      </c>
      <c r="E224" s="5">
        <v>291.10000000000002</v>
      </c>
      <c r="F224" s="5">
        <v>302.7</v>
      </c>
      <c r="G224" s="6">
        <v>44497</v>
      </c>
      <c r="H224" s="5"/>
      <c r="I224" s="5"/>
      <c r="J224" s="5">
        <f t="shared" ref="J224:J230" si="24">F224-E224</f>
        <v>11.599999999999966</v>
      </c>
      <c r="K224" s="8" t="b">
        <f t="shared" si="22"/>
        <v>1</v>
      </c>
    </row>
    <row r="225" spans="1:11">
      <c r="A225" s="5">
        <v>105</v>
      </c>
      <c r="B225" s="6">
        <v>44498</v>
      </c>
      <c r="C225" s="7">
        <v>1</v>
      </c>
      <c r="D225" s="5">
        <v>5.8</v>
      </c>
      <c r="E225" s="5">
        <v>0.1</v>
      </c>
      <c r="F225" s="5">
        <v>10.4</v>
      </c>
      <c r="G225" s="6">
        <v>44498</v>
      </c>
      <c r="H225" s="5"/>
      <c r="I225" s="5"/>
      <c r="J225" s="5">
        <f t="shared" si="24"/>
        <v>10.3</v>
      </c>
      <c r="K225" s="8" t="b">
        <f t="shared" si="22"/>
        <v>0</v>
      </c>
    </row>
    <row r="226" spans="1:11">
      <c r="A226" s="5">
        <v>105</v>
      </c>
      <c r="B226" s="6">
        <v>44500</v>
      </c>
      <c r="C226" s="7">
        <v>1</v>
      </c>
      <c r="D226" s="5">
        <v>5.8</v>
      </c>
      <c r="E226" s="5">
        <v>10.4</v>
      </c>
      <c r="F226" s="5">
        <v>23</v>
      </c>
      <c r="G226" s="6">
        <v>44501</v>
      </c>
      <c r="H226" s="5"/>
      <c r="I226" s="5"/>
      <c r="J226" s="5">
        <f t="shared" si="24"/>
        <v>12.6</v>
      </c>
      <c r="K226" s="8" t="b">
        <f t="shared" si="22"/>
        <v>1</v>
      </c>
    </row>
    <row r="227" spans="1:11">
      <c r="A227" s="5">
        <v>105</v>
      </c>
      <c r="B227" s="6"/>
      <c r="C227" s="7"/>
      <c r="D227" s="5"/>
      <c r="E227" s="5">
        <v>23</v>
      </c>
      <c r="F227" s="5">
        <v>31.8</v>
      </c>
      <c r="G227" s="6"/>
      <c r="H227" s="5"/>
      <c r="I227" s="5"/>
      <c r="J227" s="5">
        <f t="shared" si="24"/>
        <v>8.8000000000000007</v>
      </c>
      <c r="K227" s="8" t="b">
        <f t="shared" si="22"/>
        <v>1</v>
      </c>
    </row>
    <row r="228" spans="1:11">
      <c r="A228" s="5">
        <v>105</v>
      </c>
      <c r="B228" s="6">
        <v>44526</v>
      </c>
      <c r="C228" s="7">
        <v>1</v>
      </c>
      <c r="D228" s="5">
        <v>5.8</v>
      </c>
      <c r="E228" s="5">
        <v>31.8</v>
      </c>
      <c r="F228" s="5">
        <v>46.2</v>
      </c>
      <c r="G228" s="6">
        <v>44526</v>
      </c>
      <c r="H228" s="5"/>
      <c r="I228" s="5"/>
      <c r="J228" s="5">
        <f t="shared" si="24"/>
        <v>14.400000000000002</v>
      </c>
      <c r="K228" s="8" t="b">
        <f t="shared" si="22"/>
        <v>1</v>
      </c>
    </row>
    <row r="229" spans="1:11">
      <c r="A229" s="5">
        <v>105</v>
      </c>
      <c r="B229" s="6">
        <v>44527</v>
      </c>
      <c r="C229" s="7">
        <v>0.8</v>
      </c>
      <c r="D229" s="5">
        <v>7.25</v>
      </c>
      <c r="E229" s="5">
        <v>46.2</v>
      </c>
      <c r="F229" s="5">
        <v>53.6</v>
      </c>
      <c r="G229" s="6">
        <v>44527</v>
      </c>
      <c r="H229" s="5"/>
      <c r="I229" s="5"/>
      <c r="J229" s="5">
        <f t="shared" si="24"/>
        <v>7.3999999999999986</v>
      </c>
      <c r="K229" s="8" t="b">
        <f t="shared" si="22"/>
        <v>1</v>
      </c>
    </row>
    <row r="230" spans="1:11">
      <c r="A230" s="5">
        <v>105</v>
      </c>
      <c r="B230" s="6"/>
      <c r="C230" s="7"/>
      <c r="D230" s="5"/>
      <c r="E230" s="5"/>
      <c r="F230" s="5"/>
      <c r="G230" s="6"/>
      <c r="H230" s="5"/>
      <c r="I230" s="5"/>
      <c r="J230" s="5">
        <f t="shared" si="24"/>
        <v>0</v>
      </c>
      <c r="K230" s="8" t="b">
        <f t="shared" si="22"/>
        <v>0</v>
      </c>
    </row>
    <row r="233" spans="1:11" ht="26.25">
      <c r="A233" s="129" t="s">
        <v>64</v>
      </c>
      <c r="B233" s="164"/>
      <c r="C233" s="164"/>
      <c r="D233" s="164"/>
      <c r="E233" s="164"/>
      <c r="F233" s="164"/>
      <c r="G233" s="164"/>
      <c r="H233" s="164"/>
      <c r="I233" s="164"/>
      <c r="J233" s="164"/>
      <c r="K233" s="165"/>
    </row>
    <row r="234" spans="1:11" ht="26.25">
      <c r="A234" s="129" t="s">
        <v>15</v>
      </c>
      <c r="B234" s="164"/>
      <c r="C234" s="164"/>
      <c r="D234" s="164"/>
      <c r="E234" s="164"/>
      <c r="F234" s="164"/>
      <c r="G234" s="164"/>
      <c r="H234" s="164"/>
      <c r="I234" s="164"/>
      <c r="J234" s="164"/>
      <c r="K234" s="165"/>
    </row>
    <row r="235" spans="1:11" ht="15.75" thickBot="1"/>
    <row r="236" spans="1:11" ht="15.75" thickBot="1">
      <c r="A236" s="132" t="s">
        <v>2</v>
      </c>
      <c r="B236" s="133"/>
      <c r="C236" s="133"/>
      <c r="D236" s="133"/>
      <c r="E236" s="133"/>
      <c r="F236" s="133"/>
      <c r="G236" s="133"/>
      <c r="H236" s="133"/>
      <c r="I236" s="133"/>
      <c r="J236" s="133"/>
      <c r="K236" s="134"/>
    </row>
    <row r="238" spans="1:11" ht="19.5" thickBot="1">
      <c r="A238" s="1" t="s">
        <v>3</v>
      </c>
      <c r="B238" s="1"/>
      <c r="C238" s="1"/>
      <c r="D238" s="1"/>
      <c r="E238" s="1"/>
      <c r="F238" s="1"/>
      <c r="G238" s="1"/>
      <c r="H238" s="1"/>
      <c r="I238" s="1"/>
    </row>
    <row r="239" spans="1:11" ht="30.75" thickBot="1">
      <c r="A239" s="2" t="s">
        <v>4</v>
      </c>
      <c r="B239" s="3" t="s">
        <v>5</v>
      </c>
      <c r="C239" s="3" t="s">
        <v>6</v>
      </c>
      <c r="D239" s="3" t="s">
        <v>7</v>
      </c>
      <c r="E239" s="3" t="s">
        <v>8</v>
      </c>
      <c r="F239" s="3" t="s">
        <v>9</v>
      </c>
      <c r="G239" s="3" t="s">
        <v>10</v>
      </c>
      <c r="H239" s="3" t="s">
        <v>21</v>
      </c>
      <c r="I239" s="4" t="s">
        <v>22</v>
      </c>
      <c r="J239" s="4" t="s">
        <v>11</v>
      </c>
      <c r="K239" s="4" t="s">
        <v>12</v>
      </c>
    </row>
    <row r="240" spans="1:11">
      <c r="A240" s="5">
        <v>105</v>
      </c>
      <c r="B240" s="6">
        <v>44591</v>
      </c>
      <c r="C240" s="7">
        <v>0.7</v>
      </c>
      <c r="D240" s="5">
        <v>8.2899999999999991</v>
      </c>
      <c r="E240" s="5">
        <v>53.6</v>
      </c>
      <c r="F240" s="5">
        <v>71.8</v>
      </c>
      <c r="G240" s="6">
        <v>44591</v>
      </c>
      <c r="H240" s="5"/>
      <c r="I240" s="5"/>
      <c r="J240" s="5">
        <f>F240-E240</f>
        <v>18.199999999999996</v>
      </c>
      <c r="K240" s="8" t="b">
        <f>E240=F229</f>
        <v>1</v>
      </c>
    </row>
    <row r="241" spans="1:11">
      <c r="A241" s="5">
        <v>105</v>
      </c>
      <c r="B241" s="6">
        <v>44592</v>
      </c>
      <c r="C241" s="7">
        <v>1</v>
      </c>
      <c r="D241" s="5">
        <v>5.8</v>
      </c>
      <c r="E241" s="5">
        <v>71.8</v>
      </c>
      <c r="F241" s="5">
        <v>84.1</v>
      </c>
      <c r="G241" s="6">
        <v>44592</v>
      </c>
      <c r="H241" s="5"/>
      <c r="I241" s="5"/>
      <c r="J241" s="5">
        <f>F241-E241</f>
        <v>12.299999999999997</v>
      </c>
      <c r="K241" s="8" t="b">
        <f>E241=F240</f>
        <v>1</v>
      </c>
    </row>
    <row r="242" spans="1:11">
      <c r="A242" s="5">
        <v>105</v>
      </c>
      <c r="B242" s="6">
        <v>44593</v>
      </c>
      <c r="C242" s="7">
        <v>1</v>
      </c>
      <c r="D242" s="5">
        <v>5.8</v>
      </c>
      <c r="E242" s="5">
        <v>84.1</v>
      </c>
      <c r="F242" s="5">
        <v>96.4</v>
      </c>
      <c r="G242" s="6">
        <v>44593</v>
      </c>
      <c r="H242" s="5"/>
      <c r="I242" s="5"/>
      <c r="J242" s="5">
        <f>F242-E242</f>
        <v>12.300000000000011</v>
      </c>
      <c r="K242" s="8" t="b">
        <f t="shared" ref="K242:K291" si="25">E242=F241</f>
        <v>1</v>
      </c>
    </row>
    <row r="243" spans="1:11">
      <c r="A243" s="5">
        <v>105</v>
      </c>
      <c r="B243" s="6">
        <v>44594</v>
      </c>
      <c r="C243" s="7">
        <v>1</v>
      </c>
      <c r="D243" s="5">
        <v>5.8</v>
      </c>
      <c r="E243" s="5">
        <v>96.4</v>
      </c>
      <c r="F243" s="5">
        <v>108.7</v>
      </c>
      <c r="G243" s="6">
        <v>44594</v>
      </c>
      <c r="H243" s="5"/>
      <c r="I243" s="5"/>
      <c r="J243" s="5">
        <f t="shared" ref="J243:J248" si="26">F243-E243</f>
        <v>12.299999999999997</v>
      </c>
      <c r="K243" s="8" t="b">
        <f t="shared" si="25"/>
        <v>1</v>
      </c>
    </row>
    <row r="244" spans="1:11">
      <c r="A244" s="5">
        <v>105</v>
      </c>
      <c r="B244" s="6">
        <v>44595</v>
      </c>
      <c r="C244" s="7">
        <v>1</v>
      </c>
      <c r="D244" s="5">
        <v>5.8</v>
      </c>
      <c r="E244" s="5">
        <v>108.7</v>
      </c>
      <c r="F244" s="5">
        <v>121</v>
      </c>
      <c r="G244" s="6">
        <v>44595</v>
      </c>
      <c r="H244" s="5"/>
      <c r="I244" s="5"/>
      <c r="J244" s="5">
        <f t="shared" si="26"/>
        <v>12.299999999999997</v>
      </c>
      <c r="K244" s="8" t="b">
        <f t="shared" si="25"/>
        <v>1</v>
      </c>
    </row>
    <row r="245" spans="1:11">
      <c r="A245" s="5">
        <v>105</v>
      </c>
      <c r="B245" s="6">
        <v>44596</v>
      </c>
      <c r="C245" s="7">
        <v>1</v>
      </c>
      <c r="D245" s="5">
        <v>5.8</v>
      </c>
      <c r="E245" s="5">
        <v>121</v>
      </c>
      <c r="F245" s="5">
        <v>133.30000000000001</v>
      </c>
      <c r="G245" s="6">
        <v>44596</v>
      </c>
      <c r="H245" s="5"/>
      <c r="I245" s="5"/>
      <c r="J245" s="5">
        <f t="shared" si="26"/>
        <v>12.300000000000011</v>
      </c>
      <c r="K245" s="8" t="b">
        <f t="shared" si="25"/>
        <v>1</v>
      </c>
    </row>
    <row r="246" spans="1:11">
      <c r="A246" s="5">
        <v>105</v>
      </c>
      <c r="B246" s="6">
        <v>44597</v>
      </c>
      <c r="C246" s="7">
        <v>1</v>
      </c>
      <c r="D246" s="5">
        <v>5.8</v>
      </c>
      <c r="E246" s="5">
        <v>0.3</v>
      </c>
      <c r="F246" s="5">
        <v>13.8</v>
      </c>
      <c r="G246" s="6">
        <v>44597</v>
      </c>
      <c r="H246" s="5"/>
      <c r="I246" s="5"/>
      <c r="J246" s="5">
        <f t="shared" si="26"/>
        <v>13.5</v>
      </c>
      <c r="K246" s="8" t="b">
        <f>E246=F245</f>
        <v>0</v>
      </c>
    </row>
    <row r="247" spans="1:11">
      <c r="A247" s="25">
        <v>105</v>
      </c>
      <c r="B247" s="26">
        <v>44608</v>
      </c>
      <c r="C247" s="27">
        <v>1</v>
      </c>
      <c r="D247" s="25">
        <v>5.8</v>
      </c>
      <c r="E247" s="25">
        <v>19.8</v>
      </c>
      <c r="F247" s="25">
        <v>31.3</v>
      </c>
      <c r="G247" s="26">
        <v>44608</v>
      </c>
      <c r="H247" s="25"/>
      <c r="I247" s="25"/>
      <c r="J247" s="25">
        <f t="shared" si="26"/>
        <v>11.5</v>
      </c>
      <c r="K247" s="8" t="b">
        <f t="shared" si="25"/>
        <v>0</v>
      </c>
    </row>
    <row r="248" spans="1:11">
      <c r="A248" s="5">
        <v>105</v>
      </c>
      <c r="B248" s="6">
        <v>44618</v>
      </c>
      <c r="C248" s="7">
        <v>0.8</v>
      </c>
      <c r="D248" s="5">
        <v>7.25</v>
      </c>
      <c r="E248" s="5">
        <v>22.3</v>
      </c>
      <c r="F248" s="5">
        <v>36.700000000000003</v>
      </c>
      <c r="G248" s="6">
        <v>44618</v>
      </c>
      <c r="H248" s="5"/>
      <c r="I248" s="5"/>
      <c r="J248" s="5">
        <f t="shared" si="26"/>
        <v>14.400000000000002</v>
      </c>
      <c r="K248" s="8" t="b">
        <f t="shared" si="25"/>
        <v>0</v>
      </c>
    </row>
    <row r="249" spans="1:11">
      <c r="A249" s="5">
        <v>105</v>
      </c>
      <c r="B249" s="6">
        <v>44621</v>
      </c>
      <c r="C249" s="7">
        <v>0.8</v>
      </c>
      <c r="D249" s="5">
        <v>7.25</v>
      </c>
      <c r="E249" s="5">
        <v>36.700000000000003</v>
      </c>
      <c r="F249" s="5">
        <v>51.8</v>
      </c>
      <c r="G249" s="6">
        <v>44621</v>
      </c>
      <c r="H249" s="5"/>
      <c r="I249" s="5"/>
      <c r="J249" s="5">
        <f t="shared" ref="J249:J259" si="27">F249-E249</f>
        <v>15.099999999999994</v>
      </c>
      <c r="K249" s="8" t="b">
        <f t="shared" si="25"/>
        <v>1</v>
      </c>
    </row>
    <row r="250" spans="1:11">
      <c r="A250" s="5">
        <v>105</v>
      </c>
      <c r="B250" s="6">
        <v>44624</v>
      </c>
      <c r="C250" s="7">
        <v>0.8</v>
      </c>
      <c r="D250" s="5">
        <v>7.25</v>
      </c>
      <c r="E250" s="5">
        <v>51.8</v>
      </c>
      <c r="F250" s="5">
        <v>67.099999999999994</v>
      </c>
      <c r="G250" s="6">
        <v>44624</v>
      </c>
      <c r="H250" s="5"/>
      <c r="I250" s="5"/>
      <c r="J250" s="5">
        <f t="shared" si="27"/>
        <v>15.299999999999997</v>
      </c>
      <c r="K250" s="8" t="b">
        <f t="shared" si="25"/>
        <v>1</v>
      </c>
    </row>
    <row r="251" spans="1:11">
      <c r="A251" s="5">
        <v>105</v>
      </c>
      <c r="B251" s="6">
        <v>44627</v>
      </c>
      <c r="C251" s="7">
        <v>0.8</v>
      </c>
      <c r="D251" s="5">
        <v>7.25</v>
      </c>
      <c r="E251" s="5">
        <v>67.099999999999994</v>
      </c>
      <c r="F251" s="5">
        <v>80.8</v>
      </c>
      <c r="G251" s="6">
        <v>44627</v>
      </c>
      <c r="H251" s="5"/>
      <c r="I251" s="5"/>
      <c r="J251" s="5">
        <f t="shared" si="27"/>
        <v>13.700000000000003</v>
      </c>
      <c r="K251" s="8" t="b">
        <f t="shared" si="25"/>
        <v>1</v>
      </c>
    </row>
    <row r="252" spans="1:11">
      <c r="A252" s="5">
        <v>105</v>
      </c>
      <c r="B252" s="6">
        <v>44630</v>
      </c>
      <c r="C252" s="7">
        <v>0.8</v>
      </c>
      <c r="D252" s="5">
        <v>7.25</v>
      </c>
      <c r="E252" s="5">
        <v>80.8</v>
      </c>
      <c r="F252" s="5">
        <v>95.4</v>
      </c>
      <c r="G252" s="6">
        <v>44630</v>
      </c>
      <c r="H252" s="5"/>
      <c r="I252" s="5"/>
      <c r="J252" s="5">
        <f t="shared" si="27"/>
        <v>14.600000000000009</v>
      </c>
      <c r="K252" s="8" t="b">
        <f t="shared" si="25"/>
        <v>1</v>
      </c>
    </row>
    <row r="253" spans="1:11">
      <c r="A253" s="5">
        <v>105</v>
      </c>
      <c r="B253" s="6">
        <v>44641</v>
      </c>
      <c r="C253" s="7">
        <v>0.7</v>
      </c>
      <c r="D253" s="5">
        <v>8.2899999999999991</v>
      </c>
      <c r="E253" s="5">
        <v>129.1</v>
      </c>
      <c r="F253" s="5">
        <v>146.30000000000001</v>
      </c>
      <c r="G253" s="6">
        <v>44641</v>
      </c>
      <c r="H253" s="5"/>
      <c r="I253" s="5"/>
      <c r="J253" s="5">
        <f t="shared" si="27"/>
        <v>17.200000000000017</v>
      </c>
      <c r="K253" s="8" t="b">
        <f t="shared" si="25"/>
        <v>0</v>
      </c>
    </row>
    <row r="254" spans="1:11">
      <c r="A254" s="5">
        <v>105</v>
      </c>
      <c r="B254" s="6">
        <v>44644</v>
      </c>
      <c r="C254" s="7">
        <v>0.7</v>
      </c>
      <c r="D254" s="5">
        <v>8.2899999999999991</v>
      </c>
      <c r="E254" s="5">
        <v>146.30000000000001</v>
      </c>
      <c r="F254" s="5">
        <v>163.4</v>
      </c>
      <c r="G254" s="6">
        <v>44644</v>
      </c>
      <c r="H254" s="5"/>
      <c r="I254" s="5"/>
      <c r="J254" s="5">
        <f t="shared" si="27"/>
        <v>17.099999999999994</v>
      </c>
      <c r="K254" s="8" t="b">
        <f t="shared" si="25"/>
        <v>1</v>
      </c>
    </row>
    <row r="255" spans="1:11">
      <c r="A255" s="5">
        <v>105</v>
      </c>
      <c r="B255" s="6">
        <v>44647</v>
      </c>
      <c r="C255" s="7">
        <v>0.7</v>
      </c>
      <c r="D255" s="5">
        <v>8.2899999999999991</v>
      </c>
      <c r="E255" s="5">
        <v>163.4</v>
      </c>
      <c r="F255" s="5">
        <v>179.1</v>
      </c>
      <c r="G255" s="6">
        <v>44647</v>
      </c>
      <c r="H255" s="5"/>
      <c r="I255" s="5"/>
      <c r="J255" s="5">
        <f t="shared" si="27"/>
        <v>15.699999999999989</v>
      </c>
      <c r="K255" s="8" t="b">
        <f t="shared" si="25"/>
        <v>1</v>
      </c>
    </row>
    <row r="256" spans="1:11">
      <c r="A256" s="5">
        <v>105</v>
      </c>
      <c r="B256" s="6">
        <v>44650</v>
      </c>
      <c r="C256" s="7">
        <v>0.7</v>
      </c>
      <c r="D256" s="5">
        <v>8.2899999999999991</v>
      </c>
      <c r="E256" s="5">
        <v>179.1</v>
      </c>
      <c r="F256" s="5">
        <v>197.2</v>
      </c>
      <c r="G256" s="6">
        <v>44650</v>
      </c>
      <c r="H256" s="5"/>
      <c r="I256" s="5"/>
      <c r="J256" s="5">
        <f t="shared" si="27"/>
        <v>18.099999999999994</v>
      </c>
      <c r="K256" s="8" t="b">
        <f t="shared" si="25"/>
        <v>1</v>
      </c>
    </row>
    <row r="257" spans="1:11">
      <c r="A257" s="39">
        <v>105</v>
      </c>
      <c r="B257" s="40"/>
      <c r="C257" s="41"/>
      <c r="D257" s="39"/>
      <c r="E257" s="39"/>
      <c r="F257" s="39"/>
      <c r="G257" s="40"/>
      <c r="H257" s="39"/>
      <c r="I257" s="39"/>
      <c r="J257" s="39">
        <f t="shared" si="27"/>
        <v>0</v>
      </c>
      <c r="K257" s="8" t="b">
        <f t="shared" si="25"/>
        <v>0</v>
      </c>
    </row>
    <row r="258" spans="1:11">
      <c r="A258" s="39">
        <v>105</v>
      </c>
      <c r="B258" s="40"/>
      <c r="C258" s="41"/>
      <c r="D258" s="39"/>
      <c r="E258" s="39"/>
      <c r="F258" s="39"/>
      <c r="G258" s="40"/>
      <c r="H258" s="39"/>
      <c r="I258" s="39"/>
      <c r="J258" s="39">
        <f t="shared" si="27"/>
        <v>0</v>
      </c>
      <c r="K258" s="8" t="b">
        <f t="shared" si="25"/>
        <v>1</v>
      </c>
    </row>
    <row r="259" spans="1:11">
      <c r="A259" s="39">
        <v>105</v>
      </c>
      <c r="B259" s="40"/>
      <c r="C259" s="41"/>
      <c r="D259" s="39"/>
      <c r="E259" s="39"/>
      <c r="F259" s="39"/>
      <c r="G259" s="40"/>
      <c r="H259" s="39"/>
      <c r="I259" s="39"/>
      <c r="J259" s="39">
        <f t="shared" si="27"/>
        <v>0</v>
      </c>
      <c r="K259" s="8" t="b">
        <f t="shared" si="25"/>
        <v>1</v>
      </c>
    </row>
    <row r="260" spans="1:11">
      <c r="A260" s="39">
        <v>105</v>
      </c>
      <c r="B260" s="40"/>
      <c r="C260" s="41"/>
      <c r="D260" s="39"/>
      <c r="E260" s="39"/>
      <c r="F260" s="39"/>
      <c r="G260" s="40"/>
      <c r="H260" s="39"/>
      <c r="I260" s="39"/>
      <c r="J260" s="39">
        <f>F260-E260</f>
        <v>0</v>
      </c>
      <c r="K260" s="8" t="b">
        <f t="shared" si="25"/>
        <v>1</v>
      </c>
    </row>
    <row r="261" spans="1:11">
      <c r="A261" s="39">
        <v>105</v>
      </c>
      <c r="B261" s="40"/>
      <c r="C261" s="41"/>
      <c r="D261" s="39"/>
      <c r="E261" s="39"/>
      <c r="F261" s="39"/>
      <c r="G261" s="40"/>
      <c r="H261" s="39"/>
      <c r="I261" s="39"/>
      <c r="J261" s="39">
        <f>F261-E261</f>
        <v>0</v>
      </c>
      <c r="K261" s="8" t="b">
        <f t="shared" si="25"/>
        <v>1</v>
      </c>
    </row>
    <row r="262" spans="1:11">
      <c r="A262" s="5">
        <v>105</v>
      </c>
      <c r="B262" s="6">
        <v>44674</v>
      </c>
      <c r="C262" s="7">
        <v>0.55000000000000004</v>
      </c>
      <c r="D262" s="5">
        <v>10.55</v>
      </c>
      <c r="E262" s="5">
        <v>337.7</v>
      </c>
      <c r="F262" s="5">
        <v>348.9</v>
      </c>
      <c r="G262" s="6">
        <v>44674</v>
      </c>
      <c r="H262" s="5"/>
      <c r="I262" s="5"/>
      <c r="J262" s="5">
        <f>F262-E262</f>
        <v>11.199999999999989</v>
      </c>
      <c r="K262" s="8" t="b">
        <f t="shared" si="25"/>
        <v>0</v>
      </c>
    </row>
    <row r="263" spans="1:11">
      <c r="A263" s="5">
        <v>105</v>
      </c>
      <c r="B263" s="6">
        <v>44675</v>
      </c>
      <c r="C263" s="7">
        <v>0.55000000000000004</v>
      </c>
      <c r="D263" s="5">
        <v>10.55</v>
      </c>
      <c r="E263" s="5">
        <v>348.9</v>
      </c>
      <c r="F263" s="5">
        <v>358.5</v>
      </c>
      <c r="G263" s="6">
        <v>44675</v>
      </c>
      <c r="H263" s="5"/>
      <c r="I263" s="5"/>
      <c r="J263" s="5">
        <f>F263-E263</f>
        <v>9.6000000000000227</v>
      </c>
      <c r="K263" s="8" t="b">
        <f t="shared" si="25"/>
        <v>1</v>
      </c>
    </row>
    <row r="264" spans="1:11">
      <c r="A264" s="5">
        <v>105</v>
      </c>
      <c r="B264" s="6">
        <v>44677</v>
      </c>
      <c r="C264" s="7">
        <v>0.55000000000000004</v>
      </c>
      <c r="D264" s="5">
        <v>10.55</v>
      </c>
      <c r="E264" s="5">
        <v>358.5</v>
      </c>
      <c r="F264" s="5">
        <v>369.9</v>
      </c>
      <c r="G264" s="6">
        <v>44677</v>
      </c>
      <c r="H264" s="5"/>
      <c r="I264" s="5"/>
      <c r="J264" s="5">
        <f>F264-E264</f>
        <v>11.399999999999977</v>
      </c>
      <c r="K264" s="8" t="b">
        <f t="shared" si="25"/>
        <v>1</v>
      </c>
    </row>
    <row r="265" spans="1:11">
      <c r="A265" s="5">
        <v>105</v>
      </c>
      <c r="B265" s="6">
        <v>44679</v>
      </c>
      <c r="C265" s="7">
        <v>0.55000000000000004</v>
      </c>
      <c r="D265" s="5">
        <v>10.55</v>
      </c>
      <c r="E265" s="5">
        <v>369.9</v>
      </c>
      <c r="F265" s="5">
        <v>387.9</v>
      </c>
      <c r="G265" s="6">
        <v>44679</v>
      </c>
      <c r="H265" s="5"/>
      <c r="I265" s="5"/>
      <c r="J265" s="5">
        <f t="shared" ref="J265:J291" si="28">F265-E265</f>
        <v>18</v>
      </c>
      <c r="K265" s="8" t="b">
        <f t="shared" si="25"/>
        <v>1</v>
      </c>
    </row>
    <row r="266" spans="1:11">
      <c r="A266" s="5">
        <v>105</v>
      </c>
      <c r="B266" s="6">
        <v>44680</v>
      </c>
      <c r="C266" s="7">
        <v>0.55000000000000004</v>
      </c>
      <c r="D266" s="5">
        <v>10.55</v>
      </c>
      <c r="E266" s="5">
        <v>381.9</v>
      </c>
      <c r="F266" s="5">
        <v>390.4</v>
      </c>
      <c r="G266" s="6">
        <v>44680</v>
      </c>
      <c r="H266" s="5"/>
      <c r="I266" s="5"/>
      <c r="J266" s="5">
        <f t="shared" si="28"/>
        <v>8.5</v>
      </c>
      <c r="K266" s="8" t="b">
        <f t="shared" si="25"/>
        <v>0</v>
      </c>
    </row>
    <row r="267" spans="1:11">
      <c r="A267" s="5">
        <v>105</v>
      </c>
      <c r="B267" s="6">
        <v>44682</v>
      </c>
      <c r="C267" s="7">
        <v>0.55000000000000004</v>
      </c>
      <c r="D267" s="5">
        <v>10.55</v>
      </c>
      <c r="E267" s="5">
        <v>390.4</v>
      </c>
      <c r="F267" s="5">
        <v>401</v>
      </c>
      <c r="G267" s="6">
        <v>44682</v>
      </c>
      <c r="H267" s="5"/>
      <c r="I267" s="5"/>
      <c r="J267" s="5">
        <f t="shared" si="28"/>
        <v>10.600000000000023</v>
      </c>
      <c r="K267" s="8" t="b">
        <f t="shared" si="25"/>
        <v>1</v>
      </c>
    </row>
    <row r="268" spans="1:11">
      <c r="A268" s="5">
        <v>105</v>
      </c>
      <c r="B268" s="6">
        <v>44683</v>
      </c>
      <c r="C268" s="7">
        <v>0.55000000000000004</v>
      </c>
      <c r="D268" s="5">
        <v>10.55</v>
      </c>
      <c r="E268" s="5">
        <v>401</v>
      </c>
      <c r="F268" s="5">
        <v>411.4</v>
      </c>
      <c r="G268" s="6">
        <v>44683</v>
      </c>
      <c r="H268" s="5"/>
      <c r="I268" s="5"/>
      <c r="J268" s="5">
        <f t="shared" si="28"/>
        <v>10.399999999999977</v>
      </c>
      <c r="K268" s="8" t="b">
        <f t="shared" si="25"/>
        <v>1</v>
      </c>
    </row>
    <row r="269" spans="1:11">
      <c r="A269" s="5">
        <v>105</v>
      </c>
      <c r="B269" s="6">
        <v>44685</v>
      </c>
      <c r="C269" s="7">
        <v>1</v>
      </c>
      <c r="D269" s="5">
        <v>5.8</v>
      </c>
      <c r="E269" s="5">
        <v>411.4</v>
      </c>
      <c r="F269" s="5">
        <v>423</v>
      </c>
      <c r="G269" s="6">
        <v>44685</v>
      </c>
      <c r="H269" s="5"/>
      <c r="I269" s="5"/>
      <c r="J269" s="5">
        <f t="shared" si="28"/>
        <v>11.600000000000023</v>
      </c>
      <c r="K269" s="8" t="b">
        <f t="shared" si="25"/>
        <v>1</v>
      </c>
    </row>
    <row r="270" spans="1:11">
      <c r="A270" s="5">
        <v>105</v>
      </c>
      <c r="B270" s="6">
        <v>44686</v>
      </c>
      <c r="C270" s="7">
        <v>0.55000000000000004</v>
      </c>
      <c r="D270" s="5">
        <v>10.55</v>
      </c>
      <c r="E270" s="5">
        <v>423</v>
      </c>
      <c r="F270" s="5">
        <v>433.6</v>
      </c>
      <c r="G270" s="6">
        <v>44686</v>
      </c>
      <c r="H270" s="5"/>
      <c r="I270" s="5"/>
      <c r="J270" s="5">
        <f t="shared" si="28"/>
        <v>10.600000000000023</v>
      </c>
      <c r="K270" s="8" t="b">
        <f t="shared" si="25"/>
        <v>1</v>
      </c>
    </row>
    <row r="271" spans="1:11">
      <c r="A271" s="5">
        <v>105</v>
      </c>
      <c r="B271" s="6">
        <v>44687</v>
      </c>
      <c r="C271" s="7">
        <v>0.55000000000000004</v>
      </c>
      <c r="D271" s="5">
        <v>10.55</v>
      </c>
      <c r="E271" s="5">
        <v>433.6</v>
      </c>
      <c r="F271" s="5">
        <v>443.6</v>
      </c>
      <c r="G271" s="6">
        <v>44687</v>
      </c>
      <c r="H271" s="5"/>
      <c r="I271" s="5"/>
      <c r="J271" s="5">
        <f t="shared" si="28"/>
        <v>10</v>
      </c>
      <c r="K271" s="8" t="b">
        <f t="shared" si="25"/>
        <v>1</v>
      </c>
    </row>
    <row r="272" spans="1:11">
      <c r="A272" s="5">
        <v>105</v>
      </c>
      <c r="B272" s="6">
        <v>44690</v>
      </c>
      <c r="C272" s="7">
        <v>0.55000000000000004</v>
      </c>
      <c r="D272" s="5">
        <v>10.55</v>
      </c>
      <c r="E272" s="5">
        <v>443.6</v>
      </c>
      <c r="F272" s="5">
        <v>454.3</v>
      </c>
      <c r="G272" s="6">
        <v>44690</v>
      </c>
      <c r="H272" s="5"/>
      <c r="I272" s="5"/>
      <c r="J272" s="5">
        <f t="shared" si="28"/>
        <v>10.699999999999989</v>
      </c>
      <c r="K272" s="8" t="b">
        <f t="shared" si="25"/>
        <v>1</v>
      </c>
    </row>
    <row r="273" spans="1:11">
      <c r="A273" s="5">
        <v>105</v>
      </c>
      <c r="B273" s="6">
        <v>44691</v>
      </c>
      <c r="C273" s="7">
        <v>0.55000000000000004</v>
      </c>
      <c r="D273" s="5">
        <v>10.55</v>
      </c>
      <c r="E273" s="5">
        <v>454.3</v>
      </c>
      <c r="F273" s="5">
        <v>464.6</v>
      </c>
      <c r="G273" s="6">
        <v>44691</v>
      </c>
      <c r="H273" s="5"/>
      <c r="I273" s="5"/>
      <c r="J273" s="5">
        <f t="shared" si="28"/>
        <v>10.300000000000011</v>
      </c>
      <c r="K273" s="8" t="b">
        <f t="shared" si="25"/>
        <v>1</v>
      </c>
    </row>
    <row r="274" spans="1:11">
      <c r="A274" s="5">
        <v>105</v>
      </c>
      <c r="B274" s="6">
        <v>44693</v>
      </c>
      <c r="C274" s="7">
        <v>0.55000000000000004</v>
      </c>
      <c r="D274" s="5">
        <v>10.55</v>
      </c>
      <c r="E274" s="5">
        <v>464.6</v>
      </c>
      <c r="F274" s="5">
        <v>476</v>
      </c>
      <c r="G274" s="6">
        <v>44693</v>
      </c>
      <c r="H274" s="5"/>
      <c r="I274" s="5"/>
      <c r="J274" s="5">
        <f t="shared" si="28"/>
        <v>11.399999999999977</v>
      </c>
      <c r="K274" s="8" t="b">
        <f t="shared" si="25"/>
        <v>1</v>
      </c>
    </row>
    <row r="275" spans="1:11">
      <c r="A275" s="5">
        <v>105</v>
      </c>
      <c r="B275" s="6">
        <v>44694</v>
      </c>
      <c r="C275" s="7">
        <v>0.5</v>
      </c>
      <c r="D275" s="5">
        <v>11.6</v>
      </c>
      <c r="E275" s="5">
        <v>476</v>
      </c>
      <c r="F275" s="5">
        <v>487.7</v>
      </c>
      <c r="G275" s="6">
        <v>44694</v>
      </c>
      <c r="H275" s="5"/>
      <c r="I275" s="5"/>
      <c r="J275" s="5">
        <f t="shared" si="28"/>
        <v>11.699999999999989</v>
      </c>
      <c r="K275" s="8" t="b">
        <f t="shared" si="25"/>
        <v>1</v>
      </c>
    </row>
    <row r="276" spans="1:11">
      <c r="A276" s="5">
        <v>105</v>
      </c>
      <c r="B276" s="6">
        <v>44696</v>
      </c>
      <c r="C276" s="7">
        <v>0.7</v>
      </c>
      <c r="D276" s="5">
        <v>8.2899999999999991</v>
      </c>
      <c r="E276" s="5">
        <v>487.7</v>
      </c>
      <c r="F276" s="5">
        <v>504.1</v>
      </c>
      <c r="G276" s="6">
        <v>44696</v>
      </c>
      <c r="H276" s="5"/>
      <c r="I276" s="5"/>
      <c r="J276" s="5">
        <f t="shared" si="28"/>
        <v>16.400000000000034</v>
      </c>
      <c r="K276" s="8" t="b">
        <f t="shared" si="25"/>
        <v>1</v>
      </c>
    </row>
    <row r="277" spans="1:11">
      <c r="A277" s="5">
        <v>105</v>
      </c>
      <c r="B277" s="6">
        <v>44698</v>
      </c>
      <c r="C277" s="7">
        <v>0.7</v>
      </c>
      <c r="D277" s="5">
        <v>8.2899999999999991</v>
      </c>
      <c r="E277" s="5">
        <v>504.1</v>
      </c>
      <c r="F277" s="5">
        <v>520.70000000000005</v>
      </c>
      <c r="G277" s="6">
        <v>44698</v>
      </c>
      <c r="H277" s="5"/>
      <c r="I277" s="5"/>
      <c r="J277" s="5">
        <f t="shared" si="28"/>
        <v>16.600000000000023</v>
      </c>
      <c r="K277" s="8" t="b">
        <f t="shared" si="25"/>
        <v>1</v>
      </c>
    </row>
    <row r="278" spans="1:11">
      <c r="A278" s="5">
        <v>105</v>
      </c>
      <c r="B278" s="6">
        <v>44700</v>
      </c>
      <c r="C278" s="7">
        <v>0.7</v>
      </c>
      <c r="D278" s="5">
        <v>8.2899999999999991</v>
      </c>
      <c r="E278" s="5">
        <v>520.70000000000005</v>
      </c>
      <c r="F278" s="5">
        <v>532.29999999999995</v>
      </c>
      <c r="G278" s="6">
        <v>44700</v>
      </c>
      <c r="H278" s="5"/>
      <c r="I278" s="5"/>
      <c r="J278" s="5">
        <f t="shared" si="28"/>
        <v>11.599999999999909</v>
      </c>
      <c r="K278" s="8" t="b">
        <f t="shared" si="25"/>
        <v>1</v>
      </c>
    </row>
    <row r="279" spans="1:11">
      <c r="A279" s="5">
        <v>105</v>
      </c>
      <c r="B279" s="6">
        <v>44704</v>
      </c>
      <c r="C279" s="7">
        <v>0.7</v>
      </c>
      <c r="D279" s="5">
        <v>8.2899999999999991</v>
      </c>
      <c r="E279" s="5">
        <v>532.29999999999995</v>
      </c>
      <c r="F279" s="5">
        <v>548.9</v>
      </c>
      <c r="G279" s="6">
        <v>44704</v>
      </c>
      <c r="H279" s="5"/>
      <c r="I279" s="5"/>
      <c r="J279" s="5">
        <f t="shared" si="28"/>
        <v>16.600000000000023</v>
      </c>
      <c r="K279" s="8" t="b">
        <f t="shared" si="25"/>
        <v>1</v>
      </c>
    </row>
    <row r="280" spans="1:11">
      <c r="A280" s="5">
        <v>105</v>
      </c>
      <c r="B280" s="6">
        <v>44706</v>
      </c>
      <c r="C280" s="7">
        <v>0.7</v>
      </c>
      <c r="D280" s="5">
        <v>8.2899999999999991</v>
      </c>
      <c r="E280" s="5">
        <v>548.9</v>
      </c>
      <c r="F280" s="5">
        <v>565.29999999999995</v>
      </c>
      <c r="G280" s="6">
        <v>44706</v>
      </c>
      <c r="H280" s="5"/>
      <c r="I280" s="5"/>
      <c r="J280" s="5">
        <f t="shared" si="28"/>
        <v>16.399999999999977</v>
      </c>
      <c r="K280" s="8" t="b">
        <f t="shared" si="25"/>
        <v>1</v>
      </c>
    </row>
    <row r="281" spans="1:11">
      <c r="A281" s="5">
        <v>105</v>
      </c>
      <c r="B281" s="6">
        <v>44708</v>
      </c>
      <c r="C281" s="7">
        <v>0.7</v>
      </c>
      <c r="D281" s="5">
        <v>8.2899999999999991</v>
      </c>
      <c r="E281" s="5">
        <v>565.29999999999995</v>
      </c>
      <c r="F281" s="5">
        <v>581.5</v>
      </c>
      <c r="G281" s="6">
        <v>44708</v>
      </c>
      <c r="H281" s="5"/>
      <c r="I281" s="5"/>
      <c r="J281" s="5">
        <f t="shared" si="28"/>
        <v>16.200000000000045</v>
      </c>
      <c r="K281" s="8" t="b">
        <f t="shared" si="25"/>
        <v>1</v>
      </c>
    </row>
    <row r="282" spans="1:11">
      <c r="A282" s="5">
        <v>105</v>
      </c>
      <c r="B282" s="6">
        <v>44710</v>
      </c>
      <c r="C282" s="7">
        <v>0.7</v>
      </c>
      <c r="D282" s="5">
        <v>8.2899999999999991</v>
      </c>
      <c r="E282" s="5">
        <v>581.5</v>
      </c>
      <c r="F282" s="5">
        <v>597.9</v>
      </c>
      <c r="G282" s="6">
        <v>44710</v>
      </c>
      <c r="H282" s="5"/>
      <c r="I282" s="5"/>
      <c r="J282" s="5">
        <f t="shared" si="28"/>
        <v>16.399999999999977</v>
      </c>
      <c r="K282" s="8" t="b">
        <f t="shared" si="25"/>
        <v>1</v>
      </c>
    </row>
    <row r="283" spans="1:11">
      <c r="A283" s="5">
        <v>105</v>
      </c>
      <c r="B283" s="6">
        <v>44712</v>
      </c>
      <c r="C283" s="7">
        <v>0.7</v>
      </c>
      <c r="D283" s="5">
        <v>8.2899999999999991</v>
      </c>
      <c r="E283" s="5">
        <v>597.9</v>
      </c>
      <c r="F283" s="5">
        <v>614.5</v>
      </c>
      <c r="G283" s="6">
        <v>44712</v>
      </c>
      <c r="H283" s="5"/>
      <c r="I283" s="5"/>
      <c r="J283" s="5">
        <f t="shared" si="28"/>
        <v>16.600000000000023</v>
      </c>
      <c r="K283" s="8" t="b">
        <f t="shared" si="25"/>
        <v>1</v>
      </c>
    </row>
    <row r="284" spans="1:11">
      <c r="A284" s="5">
        <v>105</v>
      </c>
      <c r="B284" s="6">
        <v>44714</v>
      </c>
      <c r="C284" s="7">
        <v>0.7</v>
      </c>
      <c r="D284" s="5">
        <v>8.2899999999999991</v>
      </c>
      <c r="E284" s="5">
        <v>614.5</v>
      </c>
      <c r="F284" s="5">
        <v>631.5</v>
      </c>
      <c r="G284" s="6">
        <v>44683</v>
      </c>
      <c r="H284" s="5"/>
      <c r="I284" s="5"/>
      <c r="J284" s="5">
        <f t="shared" si="28"/>
        <v>17</v>
      </c>
      <c r="K284" s="8" t="b">
        <f t="shared" si="25"/>
        <v>1</v>
      </c>
    </row>
    <row r="285" spans="1:11">
      <c r="A285" s="5">
        <v>105</v>
      </c>
      <c r="B285" s="6">
        <v>44716</v>
      </c>
      <c r="C285" s="7">
        <v>0.7</v>
      </c>
      <c r="D285" s="5">
        <v>8.2899999999999991</v>
      </c>
      <c r="E285" s="5">
        <v>631.5</v>
      </c>
      <c r="F285" s="5">
        <v>647.6</v>
      </c>
      <c r="G285" s="6">
        <v>44716</v>
      </c>
      <c r="H285" s="5"/>
      <c r="I285" s="5"/>
      <c r="J285" s="5">
        <f t="shared" si="28"/>
        <v>16.100000000000023</v>
      </c>
      <c r="K285" s="8" t="b">
        <f t="shared" si="25"/>
        <v>1</v>
      </c>
    </row>
    <row r="286" spans="1:11">
      <c r="A286" s="5">
        <v>105</v>
      </c>
      <c r="B286" s="6">
        <v>44718</v>
      </c>
      <c r="C286" s="7">
        <v>0.7</v>
      </c>
      <c r="D286" s="5">
        <v>8.2899999999999991</v>
      </c>
      <c r="E286" s="5">
        <v>647.6</v>
      </c>
      <c r="F286" s="5">
        <v>663.5</v>
      </c>
      <c r="G286" s="6">
        <v>44718</v>
      </c>
      <c r="H286" s="5"/>
      <c r="I286" s="5"/>
      <c r="J286" s="5">
        <f t="shared" si="28"/>
        <v>15.899999999999977</v>
      </c>
      <c r="K286" s="8" t="b">
        <f t="shared" si="25"/>
        <v>1</v>
      </c>
    </row>
    <row r="287" spans="1:11">
      <c r="A287" s="5">
        <v>105</v>
      </c>
      <c r="B287" s="6">
        <v>44720</v>
      </c>
      <c r="C287" s="7">
        <v>0.6</v>
      </c>
      <c r="D287" s="5">
        <v>9.67</v>
      </c>
      <c r="E287" s="5">
        <v>663.5</v>
      </c>
      <c r="F287" s="5">
        <v>680.5</v>
      </c>
      <c r="G287" s="6">
        <v>44720</v>
      </c>
      <c r="H287" s="5"/>
      <c r="I287" s="5"/>
      <c r="J287" s="5">
        <f t="shared" si="28"/>
        <v>17</v>
      </c>
      <c r="K287" s="8" t="b">
        <f t="shared" si="25"/>
        <v>1</v>
      </c>
    </row>
    <row r="288" spans="1:11">
      <c r="A288" s="5">
        <v>105</v>
      </c>
      <c r="B288" s="6">
        <v>44723</v>
      </c>
      <c r="C288" s="7">
        <v>0.6</v>
      </c>
      <c r="D288" s="5">
        <v>9.67</v>
      </c>
      <c r="E288" s="5">
        <v>680.5</v>
      </c>
      <c r="F288" s="5">
        <v>697.5</v>
      </c>
      <c r="G288" s="6">
        <v>44723</v>
      </c>
      <c r="H288" s="5"/>
      <c r="I288" s="5"/>
      <c r="J288" s="5">
        <f t="shared" si="28"/>
        <v>17</v>
      </c>
      <c r="K288" s="8" t="b">
        <f t="shared" si="25"/>
        <v>1</v>
      </c>
    </row>
    <row r="289" spans="1:11">
      <c r="A289" s="5">
        <v>105</v>
      </c>
      <c r="B289" s="6">
        <v>44729</v>
      </c>
      <c r="C289" s="7">
        <v>0.6</v>
      </c>
      <c r="D289" s="5">
        <v>9.67</v>
      </c>
      <c r="E289" s="5">
        <v>697.5</v>
      </c>
      <c r="F289" s="5">
        <v>716.7</v>
      </c>
      <c r="G289" s="6">
        <v>44729</v>
      </c>
      <c r="H289" s="5"/>
      <c r="I289" s="5"/>
      <c r="J289" s="5">
        <f t="shared" si="28"/>
        <v>19.200000000000045</v>
      </c>
      <c r="K289" s="8" t="b">
        <f t="shared" si="25"/>
        <v>1</v>
      </c>
    </row>
    <row r="290" spans="1:11">
      <c r="A290" s="5">
        <v>105</v>
      </c>
      <c r="B290" s="6"/>
      <c r="C290" s="7"/>
      <c r="D290" s="5"/>
      <c r="E290" s="5"/>
      <c r="F290" s="5"/>
      <c r="G290" s="6"/>
      <c r="H290" s="5"/>
      <c r="I290" s="5"/>
      <c r="J290" s="5">
        <f t="shared" si="28"/>
        <v>0</v>
      </c>
      <c r="K290" s="8" t="b">
        <f t="shared" si="25"/>
        <v>0</v>
      </c>
    </row>
    <row r="291" spans="1:11">
      <c r="A291" s="5">
        <v>105</v>
      </c>
      <c r="B291" s="6"/>
      <c r="C291" s="7"/>
      <c r="D291" s="5"/>
      <c r="E291" s="5"/>
      <c r="F291" s="5"/>
      <c r="G291" s="6"/>
      <c r="H291" s="5"/>
      <c r="I291" s="5"/>
      <c r="J291" s="5">
        <f t="shared" si="28"/>
        <v>0</v>
      </c>
      <c r="K291" s="8" t="b">
        <f t="shared" si="25"/>
        <v>1</v>
      </c>
    </row>
    <row r="294" spans="1:11" ht="26.25">
      <c r="A294" s="138" t="s">
        <v>64</v>
      </c>
      <c r="B294" s="159"/>
      <c r="C294" s="159"/>
      <c r="D294" s="159"/>
      <c r="E294" s="159"/>
      <c r="F294" s="159"/>
      <c r="G294" s="159"/>
      <c r="H294" s="159"/>
      <c r="I294" s="159"/>
      <c r="J294" s="159"/>
      <c r="K294" s="160"/>
    </row>
    <row r="295" spans="1:11" ht="26.25">
      <c r="A295" s="138" t="s">
        <v>69</v>
      </c>
      <c r="B295" s="159"/>
      <c r="C295" s="159"/>
      <c r="D295" s="159"/>
      <c r="E295" s="159"/>
      <c r="F295" s="159"/>
      <c r="G295" s="159"/>
      <c r="H295" s="159"/>
      <c r="I295" s="159"/>
      <c r="J295" s="159"/>
      <c r="K295" s="160"/>
    </row>
    <row r="296" spans="1:11" ht="15.75" thickBot="1"/>
    <row r="297" spans="1:11" ht="15.75" thickBot="1">
      <c r="A297" s="132" t="s">
        <v>2</v>
      </c>
      <c r="B297" s="133"/>
      <c r="C297" s="133"/>
      <c r="D297" s="133"/>
      <c r="E297" s="133"/>
      <c r="F297" s="133"/>
      <c r="G297" s="133"/>
      <c r="H297" s="133"/>
      <c r="I297" s="133"/>
      <c r="J297" s="133"/>
      <c r="K297" s="134"/>
    </row>
    <row r="299" spans="1:11" ht="19.5" thickBot="1">
      <c r="A299" s="1" t="s">
        <v>3</v>
      </c>
      <c r="B299" s="1"/>
      <c r="C299" s="1"/>
      <c r="D299" s="1"/>
      <c r="E299" s="1"/>
      <c r="F299" s="1"/>
      <c r="G299" s="1"/>
      <c r="H299" s="1"/>
      <c r="I299" s="1"/>
    </row>
    <row r="300" spans="1:11" ht="30.75" thickBot="1">
      <c r="A300" s="2" t="s">
        <v>4</v>
      </c>
      <c r="B300" s="3" t="s">
        <v>5</v>
      </c>
      <c r="C300" s="3" t="s">
        <v>6</v>
      </c>
      <c r="D300" s="3" t="s">
        <v>7</v>
      </c>
      <c r="E300" s="3" t="s">
        <v>8</v>
      </c>
      <c r="F300" s="3" t="s">
        <v>9</v>
      </c>
      <c r="G300" s="3" t="s">
        <v>10</v>
      </c>
      <c r="H300" s="3" t="s">
        <v>21</v>
      </c>
      <c r="I300" s="4" t="s">
        <v>22</v>
      </c>
      <c r="J300" s="4" t="s">
        <v>11</v>
      </c>
      <c r="K300" s="4" t="s">
        <v>12</v>
      </c>
    </row>
    <row r="301" spans="1:11">
      <c r="A301" s="5">
        <v>105</v>
      </c>
      <c r="B301" s="6">
        <v>44826</v>
      </c>
      <c r="C301" s="7">
        <v>0.6</v>
      </c>
      <c r="D301" s="5">
        <v>9.67</v>
      </c>
      <c r="E301" s="5">
        <v>716.7</v>
      </c>
      <c r="F301" s="5">
        <v>736.4</v>
      </c>
      <c r="G301" s="6">
        <v>44826</v>
      </c>
      <c r="H301" s="5"/>
      <c r="I301" s="5"/>
      <c r="J301" s="5">
        <f t="shared" ref="J301:J306" si="29">F301-E301</f>
        <v>19.699999999999932</v>
      </c>
      <c r="K301" s="8" t="b">
        <f>E301=F289</f>
        <v>1</v>
      </c>
    </row>
    <row r="302" spans="1:11">
      <c r="A302" s="5">
        <v>105</v>
      </c>
      <c r="B302" s="6">
        <v>44849</v>
      </c>
      <c r="C302" s="7">
        <v>0.5</v>
      </c>
      <c r="D302" s="5">
        <v>11.6</v>
      </c>
      <c r="E302" s="5">
        <v>0.1</v>
      </c>
      <c r="F302" s="5">
        <v>24.1</v>
      </c>
      <c r="G302" s="6">
        <v>44849</v>
      </c>
      <c r="H302" s="5"/>
      <c r="I302" s="5"/>
      <c r="J302" s="5">
        <f t="shared" si="29"/>
        <v>24</v>
      </c>
      <c r="K302" s="8" t="b">
        <f>E302=F301</f>
        <v>0</v>
      </c>
    </row>
    <row r="303" spans="1:11">
      <c r="A303" s="5">
        <v>105</v>
      </c>
      <c r="B303" s="6">
        <v>44850</v>
      </c>
      <c r="C303" s="7">
        <v>0.8</v>
      </c>
      <c r="D303" s="5">
        <v>7.34</v>
      </c>
      <c r="E303" s="5">
        <v>24.1</v>
      </c>
      <c r="F303" s="5">
        <v>39.1</v>
      </c>
      <c r="G303" s="6">
        <v>44850</v>
      </c>
      <c r="H303" s="5"/>
      <c r="I303" s="5"/>
      <c r="J303" s="5">
        <f t="shared" si="29"/>
        <v>15</v>
      </c>
      <c r="K303" s="8" t="b">
        <f t="shared" ref="K303:K317" si="30">E303=F302</f>
        <v>1</v>
      </c>
    </row>
    <row r="304" spans="1:11">
      <c r="A304" s="5">
        <v>105</v>
      </c>
      <c r="B304" s="6">
        <v>44851</v>
      </c>
      <c r="C304" s="7">
        <v>0.8</v>
      </c>
      <c r="D304" s="5">
        <v>7.34</v>
      </c>
      <c r="E304" s="5">
        <v>39.1</v>
      </c>
      <c r="F304" s="5">
        <v>54.2</v>
      </c>
      <c r="G304" s="6">
        <v>44851</v>
      </c>
      <c r="H304" s="5"/>
      <c r="I304" s="5"/>
      <c r="J304" s="5">
        <f t="shared" si="29"/>
        <v>15.100000000000001</v>
      </c>
      <c r="K304" s="8" t="b">
        <f t="shared" si="30"/>
        <v>1</v>
      </c>
    </row>
    <row r="305" spans="1:11">
      <c r="A305" s="5">
        <v>105</v>
      </c>
      <c r="B305" s="6">
        <v>44852</v>
      </c>
      <c r="C305" s="7">
        <v>1</v>
      </c>
      <c r="D305" s="5">
        <v>5.8</v>
      </c>
      <c r="E305" s="5">
        <v>54.2</v>
      </c>
      <c r="F305" s="5">
        <v>69.400000000000006</v>
      </c>
      <c r="G305" s="6">
        <v>44852</v>
      </c>
      <c r="H305" s="5"/>
      <c r="I305" s="5"/>
      <c r="J305" s="5">
        <f t="shared" si="29"/>
        <v>15.200000000000003</v>
      </c>
      <c r="K305" s="8" t="b">
        <f t="shared" si="30"/>
        <v>1</v>
      </c>
    </row>
    <row r="306" spans="1:11">
      <c r="A306" s="5">
        <v>105</v>
      </c>
      <c r="B306" s="6">
        <v>44853</v>
      </c>
      <c r="C306" s="7">
        <v>1</v>
      </c>
      <c r="D306" s="5">
        <v>5.8</v>
      </c>
      <c r="E306" s="5">
        <v>69.400000000000006</v>
      </c>
      <c r="F306" s="5">
        <v>84.5</v>
      </c>
      <c r="G306" s="6">
        <v>44853</v>
      </c>
      <c r="H306" s="5"/>
      <c r="I306" s="5"/>
      <c r="J306" s="5">
        <f t="shared" si="29"/>
        <v>15.099999999999994</v>
      </c>
      <c r="K306" s="8" t="b">
        <f t="shared" si="30"/>
        <v>1</v>
      </c>
    </row>
    <row r="307" spans="1:11">
      <c r="A307" s="5">
        <v>105</v>
      </c>
      <c r="B307" s="6">
        <v>44854</v>
      </c>
      <c r="C307" s="7">
        <v>1</v>
      </c>
      <c r="D307" s="5">
        <v>5.8</v>
      </c>
      <c r="E307" s="5">
        <v>84.5</v>
      </c>
      <c r="F307" s="5">
        <v>96.5</v>
      </c>
      <c r="G307" s="6">
        <v>44854</v>
      </c>
      <c r="H307" s="5"/>
      <c r="I307" s="5"/>
      <c r="J307" s="5">
        <f t="shared" ref="J307:J323" si="31">F307-E307</f>
        <v>12</v>
      </c>
      <c r="K307" s="8" t="b">
        <f t="shared" si="30"/>
        <v>1</v>
      </c>
    </row>
    <row r="308" spans="1:11">
      <c r="A308" s="5">
        <v>105</v>
      </c>
      <c r="B308" s="6">
        <v>44855</v>
      </c>
      <c r="C308" s="7">
        <v>1</v>
      </c>
      <c r="D308" s="5">
        <v>5.8</v>
      </c>
      <c r="E308" s="5">
        <v>96.5</v>
      </c>
      <c r="F308" s="5">
        <v>108.5</v>
      </c>
      <c r="G308" s="6">
        <v>44855</v>
      </c>
      <c r="H308" s="5"/>
      <c r="I308" s="5"/>
      <c r="J308" s="5">
        <f t="shared" si="31"/>
        <v>12</v>
      </c>
      <c r="K308" s="8" t="b">
        <f t="shared" si="30"/>
        <v>1</v>
      </c>
    </row>
    <row r="309" spans="1:11">
      <c r="A309" s="5">
        <v>105</v>
      </c>
      <c r="B309" s="6">
        <v>44856</v>
      </c>
      <c r="C309" s="7">
        <v>1</v>
      </c>
      <c r="D309" s="5">
        <v>5.8</v>
      </c>
      <c r="E309" s="5">
        <v>108.5</v>
      </c>
      <c r="F309" s="5">
        <v>125.5</v>
      </c>
      <c r="G309" s="6">
        <v>44857</v>
      </c>
      <c r="H309" s="5"/>
      <c r="I309" s="5"/>
      <c r="J309" s="5">
        <f t="shared" si="31"/>
        <v>17</v>
      </c>
      <c r="K309" s="8" t="b">
        <f t="shared" si="30"/>
        <v>1</v>
      </c>
    </row>
    <row r="310" spans="1:11">
      <c r="A310" s="5">
        <v>105</v>
      </c>
      <c r="B310" s="6">
        <v>44859</v>
      </c>
      <c r="C310" s="7">
        <v>0.7</v>
      </c>
      <c r="D310" s="5">
        <v>8.2899999999999991</v>
      </c>
      <c r="E310" s="5">
        <v>125.5</v>
      </c>
      <c r="F310" s="5">
        <v>142.5</v>
      </c>
      <c r="G310" s="6">
        <v>44859</v>
      </c>
      <c r="H310" s="5"/>
      <c r="I310" s="5"/>
      <c r="J310" s="5">
        <f t="shared" si="31"/>
        <v>17</v>
      </c>
      <c r="K310" s="8" t="b">
        <f t="shared" si="30"/>
        <v>1</v>
      </c>
    </row>
    <row r="311" spans="1:11">
      <c r="A311" s="5">
        <v>105</v>
      </c>
      <c r="B311" s="6">
        <v>44861</v>
      </c>
      <c r="C311" s="7">
        <v>0.7</v>
      </c>
      <c r="D311" s="5">
        <v>8.2899999999999991</v>
      </c>
      <c r="E311" s="5">
        <v>142.5</v>
      </c>
      <c r="F311" s="5">
        <v>159.9</v>
      </c>
      <c r="G311" s="6">
        <v>44861</v>
      </c>
      <c r="H311" s="5"/>
      <c r="I311" s="5"/>
      <c r="J311" s="5">
        <f t="shared" si="31"/>
        <v>17.400000000000006</v>
      </c>
      <c r="K311" s="8" t="b">
        <f t="shared" si="30"/>
        <v>1</v>
      </c>
    </row>
    <row r="312" spans="1:11">
      <c r="A312" s="5">
        <v>105</v>
      </c>
      <c r="B312" s="6">
        <v>44865</v>
      </c>
      <c r="C312" s="7">
        <v>0.7</v>
      </c>
      <c r="D312" s="5">
        <v>8.2899999999999991</v>
      </c>
      <c r="E312" s="5">
        <v>159.9</v>
      </c>
      <c r="F312" s="5">
        <v>176.4</v>
      </c>
      <c r="G312" s="6">
        <v>44865</v>
      </c>
      <c r="H312" s="5"/>
      <c r="I312" s="5"/>
      <c r="J312" s="5">
        <f t="shared" si="31"/>
        <v>16.5</v>
      </c>
      <c r="K312" s="8" t="b">
        <f t="shared" si="30"/>
        <v>1</v>
      </c>
    </row>
    <row r="313" spans="1:11">
      <c r="A313" s="42">
        <v>105</v>
      </c>
      <c r="B313" s="43">
        <v>44869</v>
      </c>
      <c r="C313" s="44">
        <v>1</v>
      </c>
      <c r="D313" s="42">
        <v>5.8</v>
      </c>
      <c r="E313" s="42">
        <v>176.4</v>
      </c>
      <c r="F313" s="42">
        <v>188.5</v>
      </c>
      <c r="G313" s="43">
        <v>44869</v>
      </c>
      <c r="H313" s="42"/>
      <c r="I313" s="42"/>
      <c r="J313" s="42">
        <f t="shared" si="31"/>
        <v>12.099999999999994</v>
      </c>
      <c r="K313" s="8" t="b">
        <f t="shared" si="30"/>
        <v>1</v>
      </c>
    </row>
    <row r="314" spans="1:11">
      <c r="A314" s="5">
        <v>105</v>
      </c>
      <c r="B314" s="6">
        <v>44871</v>
      </c>
      <c r="C314" s="7">
        <v>0.8</v>
      </c>
      <c r="D314" s="5">
        <v>8.2899999999999991</v>
      </c>
      <c r="E314" s="5">
        <v>188.5</v>
      </c>
      <c r="F314" s="5">
        <v>203.7</v>
      </c>
      <c r="G314" s="6">
        <v>44871</v>
      </c>
      <c r="H314" s="5"/>
      <c r="I314" s="5"/>
      <c r="J314" s="5">
        <f t="shared" si="31"/>
        <v>15.199999999999989</v>
      </c>
      <c r="K314" s="8" t="b">
        <f t="shared" si="30"/>
        <v>1</v>
      </c>
    </row>
    <row r="315" spans="1:11">
      <c r="A315" s="5">
        <v>105</v>
      </c>
      <c r="B315" s="6">
        <v>44873</v>
      </c>
      <c r="C315" s="7">
        <v>0.7</v>
      </c>
      <c r="D315" s="5">
        <v>8.2899999999999991</v>
      </c>
      <c r="E315" s="5">
        <v>203.7</v>
      </c>
      <c r="F315" s="5">
        <v>212.2</v>
      </c>
      <c r="G315" s="6">
        <v>44873</v>
      </c>
      <c r="H315" s="5"/>
      <c r="I315" s="5"/>
      <c r="J315" s="5">
        <f t="shared" si="31"/>
        <v>8.5</v>
      </c>
      <c r="K315" s="8" t="b">
        <f t="shared" si="30"/>
        <v>1</v>
      </c>
    </row>
    <row r="316" spans="1:11">
      <c r="A316" s="5">
        <v>105</v>
      </c>
      <c r="B316" s="6">
        <v>44875</v>
      </c>
      <c r="C316" s="7">
        <v>0.7</v>
      </c>
      <c r="D316" s="5">
        <v>8.2899999999999991</v>
      </c>
      <c r="E316" s="5">
        <v>212.2</v>
      </c>
      <c r="F316" s="5">
        <v>228.7</v>
      </c>
      <c r="G316" s="6">
        <v>44875</v>
      </c>
      <c r="H316" s="5"/>
      <c r="I316" s="5"/>
      <c r="J316" s="5">
        <f t="shared" si="31"/>
        <v>16.5</v>
      </c>
      <c r="K316" s="8" t="b">
        <f t="shared" si="30"/>
        <v>1</v>
      </c>
    </row>
    <row r="317" spans="1:11">
      <c r="A317" s="5">
        <v>105</v>
      </c>
      <c r="B317" s="6">
        <v>44877</v>
      </c>
      <c r="C317" s="7">
        <v>0.7</v>
      </c>
      <c r="D317" s="5">
        <v>8.2899999999999991</v>
      </c>
      <c r="E317" s="5">
        <v>228.7</v>
      </c>
      <c r="F317" s="5">
        <v>247.2</v>
      </c>
      <c r="G317" s="6">
        <v>44877</v>
      </c>
      <c r="H317" s="5"/>
      <c r="I317" s="5"/>
      <c r="J317" s="5">
        <f t="shared" si="31"/>
        <v>18.5</v>
      </c>
      <c r="K317" s="8" t="b">
        <f t="shared" si="30"/>
        <v>1</v>
      </c>
    </row>
    <row r="318" spans="1:11">
      <c r="A318" s="5">
        <v>105</v>
      </c>
      <c r="B318" s="6">
        <v>44879</v>
      </c>
      <c r="C318" s="7">
        <v>0.5</v>
      </c>
      <c r="D318" s="5">
        <v>11.6</v>
      </c>
      <c r="E318" s="5">
        <v>247.2</v>
      </c>
      <c r="F318" s="5">
        <v>268.39999999999998</v>
      </c>
      <c r="G318" s="6">
        <v>44879</v>
      </c>
      <c r="H318" s="5"/>
      <c r="I318" s="5"/>
      <c r="J318" s="5">
        <f t="shared" si="31"/>
        <v>21.199999999999989</v>
      </c>
      <c r="K318" s="8" t="b">
        <f>E318=F317</f>
        <v>1</v>
      </c>
    </row>
    <row r="319" spans="1:11">
      <c r="A319" s="5">
        <v>105</v>
      </c>
      <c r="B319" s="6">
        <v>44896</v>
      </c>
      <c r="C319" s="7">
        <v>0.7</v>
      </c>
      <c r="D319" s="5">
        <v>8.2899999999999991</v>
      </c>
      <c r="E319" s="5">
        <v>280.10000000000002</v>
      </c>
      <c r="F319" s="5">
        <v>285.39999999999998</v>
      </c>
      <c r="G319" s="6">
        <v>44896</v>
      </c>
      <c r="H319" s="5"/>
      <c r="I319" s="5"/>
      <c r="J319" s="5">
        <f t="shared" si="31"/>
        <v>5.2999999999999545</v>
      </c>
      <c r="K319" s="8" t="b">
        <f t="shared" ref="K319:K327" si="32">E319=F318</f>
        <v>0</v>
      </c>
    </row>
    <row r="320" spans="1:11">
      <c r="A320" s="5">
        <v>105</v>
      </c>
      <c r="B320" s="6">
        <v>44897</v>
      </c>
      <c r="C320" s="7">
        <v>1</v>
      </c>
      <c r="D320" s="5">
        <v>5.8</v>
      </c>
      <c r="E320" s="5">
        <v>285.39999999999998</v>
      </c>
      <c r="F320" s="5">
        <v>292.3</v>
      </c>
      <c r="G320" s="6">
        <v>44897</v>
      </c>
      <c r="H320" s="5"/>
      <c r="I320" s="5"/>
      <c r="J320" s="5">
        <f t="shared" si="31"/>
        <v>6.9000000000000341</v>
      </c>
      <c r="K320" s="8" t="b">
        <f t="shared" si="32"/>
        <v>1</v>
      </c>
    </row>
    <row r="321" spans="1:11">
      <c r="A321" s="5">
        <v>105</v>
      </c>
      <c r="B321" s="6">
        <v>44899</v>
      </c>
      <c r="C321" s="7">
        <v>1</v>
      </c>
      <c r="D321" s="5">
        <v>5.8</v>
      </c>
      <c r="E321" s="5">
        <v>292.3</v>
      </c>
      <c r="F321" s="5">
        <v>303.60000000000002</v>
      </c>
      <c r="G321" s="6">
        <v>44899</v>
      </c>
      <c r="H321" s="5"/>
      <c r="I321" s="5"/>
      <c r="J321" s="5">
        <f t="shared" si="31"/>
        <v>11.300000000000011</v>
      </c>
      <c r="K321" s="8" t="b">
        <f t="shared" si="32"/>
        <v>1</v>
      </c>
    </row>
    <row r="322" spans="1:11">
      <c r="A322" s="5">
        <v>105</v>
      </c>
      <c r="B322" s="6">
        <v>44900</v>
      </c>
      <c r="C322" s="7">
        <v>1</v>
      </c>
      <c r="D322" s="5">
        <v>5.8</v>
      </c>
      <c r="E322" s="5">
        <v>303.60000000000002</v>
      </c>
      <c r="F322" s="5">
        <v>324.5</v>
      </c>
      <c r="G322" s="6">
        <v>44900</v>
      </c>
      <c r="H322" s="5"/>
      <c r="I322" s="5"/>
      <c r="J322" s="5">
        <f t="shared" si="31"/>
        <v>20.899999999999977</v>
      </c>
      <c r="K322" s="8" t="b">
        <f t="shared" si="32"/>
        <v>1</v>
      </c>
    </row>
    <row r="323" spans="1:11">
      <c r="A323" s="5">
        <v>105</v>
      </c>
      <c r="B323" s="6">
        <v>44901</v>
      </c>
      <c r="C323" s="7">
        <v>1</v>
      </c>
      <c r="D323" s="5">
        <v>5.8</v>
      </c>
      <c r="E323" s="5">
        <v>324.5</v>
      </c>
      <c r="F323" s="5">
        <v>335.7</v>
      </c>
      <c r="G323" s="6">
        <v>44901</v>
      </c>
      <c r="H323" s="5"/>
      <c r="I323" s="5"/>
      <c r="J323" s="5">
        <f t="shared" si="31"/>
        <v>11.199999999999989</v>
      </c>
      <c r="K323" s="8" t="b">
        <f t="shared" si="32"/>
        <v>1</v>
      </c>
    </row>
    <row r="324" spans="1:11">
      <c r="A324" s="5">
        <v>105</v>
      </c>
      <c r="B324" s="6">
        <v>44929</v>
      </c>
      <c r="C324" s="7">
        <v>0.7</v>
      </c>
      <c r="D324" s="5">
        <v>8.2899999999999991</v>
      </c>
      <c r="E324" s="5">
        <v>335.7</v>
      </c>
      <c r="F324" s="5">
        <v>353.6</v>
      </c>
      <c r="G324" s="6">
        <v>44929</v>
      </c>
      <c r="H324" s="5"/>
      <c r="I324" s="5"/>
      <c r="J324" s="5">
        <f t="shared" ref="J324:J327" si="33">F324-E324</f>
        <v>17.900000000000034</v>
      </c>
      <c r="K324" s="8" t="b">
        <f t="shared" si="32"/>
        <v>1</v>
      </c>
    </row>
    <row r="325" spans="1:11">
      <c r="A325" s="5">
        <v>105</v>
      </c>
      <c r="B325" s="6">
        <v>44945</v>
      </c>
      <c r="C325" s="7">
        <v>0.7</v>
      </c>
      <c r="D325" s="5">
        <v>8.2899999999999991</v>
      </c>
      <c r="E325" s="5">
        <v>353.6</v>
      </c>
      <c r="F325" s="5">
        <v>370.9</v>
      </c>
      <c r="G325" s="6">
        <v>44945</v>
      </c>
      <c r="H325" s="5"/>
      <c r="I325" s="5"/>
      <c r="J325" s="5">
        <f t="shared" si="33"/>
        <v>17.299999999999955</v>
      </c>
      <c r="K325" s="8" t="b">
        <f t="shared" si="32"/>
        <v>1</v>
      </c>
    </row>
    <row r="326" spans="1:11">
      <c r="A326" s="5">
        <v>105</v>
      </c>
      <c r="B326" s="6"/>
      <c r="C326" s="7"/>
      <c r="D326" s="5"/>
      <c r="E326" s="5"/>
      <c r="F326" s="5"/>
      <c r="G326" s="6"/>
      <c r="H326" s="5"/>
      <c r="I326" s="5"/>
      <c r="J326" s="5">
        <f t="shared" si="33"/>
        <v>0</v>
      </c>
      <c r="K326" s="8" t="b">
        <f t="shared" si="32"/>
        <v>0</v>
      </c>
    </row>
    <row r="327" spans="1:11">
      <c r="A327" s="5">
        <v>105</v>
      </c>
      <c r="B327" s="6"/>
      <c r="C327" s="7"/>
      <c r="D327" s="5"/>
      <c r="E327" s="5"/>
      <c r="F327" s="5"/>
      <c r="G327" s="6"/>
      <c r="H327" s="5"/>
      <c r="I327" s="5"/>
      <c r="J327" s="5">
        <f t="shared" si="33"/>
        <v>0</v>
      </c>
      <c r="K327" s="8" t="b">
        <f t="shared" si="32"/>
        <v>1</v>
      </c>
    </row>
    <row r="328" spans="1:11" ht="26.25">
      <c r="A328" s="181" t="s">
        <v>64</v>
      </c>
      <c r="B328" s="182"/>
      <c r="C328" s="182"/>
      <c r="D328" s="182"/>
      <c r="E328" s="182"/>
      <c r="F328" s="182"/>
      <c r="G328" s="182"/>
      <c r="H328" s="182"/>
      <c r="I328" s="182"/>
      <c r="J328" s="182"/>
      <c r="K328" s="183"/>
    </row>
    <row r="329" spans="1:11" ht="26.25">
      <c r="A329" s="181" t="s">
        <v>17</v>
      </c>
      <c r="B329" s="182"/>
      <c r="C329" s="182"/>
      <c r="D329" s="182"/>
      <c r="E329" s="182"/>
      <c r="F329" s="182"/>
      <c r="G329" s="182"/>
      <c r="H329" s="182"/>
      <c r="I329" s="182"/>
      <c r="J329" s="182"/>
      <c r="K329" s="183"/>
    </row>
    <row r="330" spans="1:11" ht="15.75" thickBot="1"/>
    <row r="331" spans="1:11" ht="15.75" thickBot="1">
      <c r="A331" s="132" t="s">
        <v>2</v>
      </c>
      <c r="B331" s="133"/>
      <c r="C331" s="133"/>
      <c r="D331" s="133"/>
      <c r="E331" s="133"/>
      <c r="F331" s="133"/>
      <c r="G331" s="133"/>
      <c r="H331" s="133"/>
      <c r="I331" s="133"/>
      <c r="J331" s="133"/>
      <c r="K331" s="134"/>
    </row>
    <row r="333" spans="1:11" ht="19.5" thickBot="1">
      <c r="A333" s="1" t="s">
        <v>3</v>
      </c>
      <c r="B333" s="1"/>
      <c r="C333" s="1"/>
      <c r="D333" s="1"/>
      <c r="E333" s="1"/>
      <c r="F333" s="1"/>
      <c r="G333" s="1"/>
      <c r="H333" s="1"/>
      <c r="I333" s="1"/>
    </row>
    <row r="334" spans="1:11" ht="30.75" thickBot="1">
      <c r="A334" s="2" t="s">
        <v>4</v>
      </c>
      <c r="B334" s="3" t="s">
        <v>5</v>
      </c>
      <c r="C334" s="3" t="s">
        <v>6</v>
      </c>
      <c r="D334" s="3" t="s">
        <v>7</v>
      </c>
      <c r="E334" s="3" t="s">
        <v>8</v>
      </c>
      <c r="F334" s="3" t="s">
        <v>9</v>
      </c>
      <c r="G334" s="3" t="s">
        <v>10</v>
      </c>
      <c r="H334" s="3" t="s">
        <v>21</v>
      </c>
      <c r="I334" s="4" t="s">
        <v>22</v>
      </c>
      <c r="J334" s="4" t="s">
        <v>11</v>
      </c>
      <c r="K334" s="4" t="s">
        <v>12</v>
      </c>
    </row>
    <row r="335" spans="1:11">
      <c r="A335" s="5">
        <v>105</v>
      </c>
      <c r="B335" s="6">
        <v>44929</v>
      </c>
      <c r="C335" s="7">
        <v>0.7</v>
      </c>
      <c r="D335" s="5">
        <v>8.2899999999999991</v>
      </c>
      <c r="E335" s="5">
        <v>335.7</v>
      </c>
      <c r="F335" s="5">
        <v>353.6</v>
      </c>
      <c r="G335" s="6">
        <v>44929</v>
      </c>
      <c r="H335" s="5"/>
      <c r="I335" s="5"/>
      <c r="J335" s="5">
        <f t="shared" ref="J335:J336" si="34">F335-E335</f>
        <v>17.900000000000034</v>
      </c>
      <c r="K335" s="8" t="b">
        <f>E335=F323</f>
        <v>1</v>
      </c>
    </row>
    <row r="336" spans="1:11">
      <c r="A336" s="5">
        <v>105</v>
      </c>
      <c r="B336" s="6">
        <v>44945</v>
      </c>
      <c r="C336" s="7">
        <v>0.7</v>
      </c>
      <c r="D336" s="5">
        <v>8.2899999999999991</v>
      </c>
      <c r="E336" s="5">
        <v>353.6</v>
      </c>
      <c r="F336" s="5">
        <v>370.9</v>
      </c>
      <c r="G336" s="6">
        <v>44945</v>
      </c>
      <c r="H336" s="5"/>
      <c r="I336" s="5"/>
      <c r="J336" s="5">
        <f t="shared" si="34"/>
        <v>17.299999999999955</v>
      </c>
      <c r="K336" s="8" t="b">
        <f>E336=F335</f>
        <v>1</v>
      </c>
    </row>
    <row r="337" spans="1:11">
      <c r="A337" s="5">
        <v>105</v>
      </c>
      <c r="B337" s="6">
        <v>44964</v>
      </c>
      <c r="C337" s="7">
        <v>0.5</v>
      </c>
      <c r="D337" s="5">
        <v>11.6</v>
      </c>
      <c r="E337" s="5">
        <v>370.9</v>
      </c>
      <c r="F337" s="5">
        <v>380.7</v>
      </c>
      <c r="G337" s="6">
        <v>44964</v>
      </c>
      <c r="H337" s="5"/>
      <c r="I337" s="5"/>
      <c r="J337" s="5">
        <f t="shared" ref="J337:J345" si="35">F337-E337</f>
        <v>9.8000000000000114</v>
      </c>
      <c r="K337" s="8" t="b">
        <f t="shared" ref="K337:K345" si="36">E337=F336</f>
        <v>1</v>
      </c>
    </row>
    <row r="338" spans="1:11">
      <c r="A338" s="5">
        <v>105</v>
      </c>
      <c r="B338" s="6">
        <v>44965</v>
      </c>
      <c r="C338" s="7">
        <v>0.5</v>
      </c>
      <c r="D338" s="5">
        <v>11.6</v>
      </c>
      <c r="E338" s="5">
        <v>380.7</v>
      </c>
      <c r="F338" s="5">
        <v>392.4</v>
      </c>
      <c r="G338" s="6">
        <v>44965</v>
      </c>
      <c r="H338" s="5"/>
      <c r="I338" s="5"/>
      <c r="J338" s="5">
        <f t="shared" si="35"/>
        <v>11.699999999999989</v>
      </c>
      <c r="K338" s="8" t="b">
        <f t="shared" si="36"/>
        <v>1</v>
      </c>
    </row>
    <row r="339" spans="1:11">
      <c r="A339" s="5">
        <v>105</v>
      </c>
      <c r="B339" s="6">
        <v>44966</v>
      </c>
      <c r="C339" s="7">
        <v>0.8</v>
      </c>
      <c r="D339" s="5">
        <v>7.25</v>
      </c>
      <c r="E339" s="5">
        <v>392.4</v>
      </c>
      <c r="F339" s="5">
        <v>407.7</v>
      </c>
      <c r="G339" s="6">
        <v>44966</v>
      </c>
      <c r="H339" s="5"/>
      <c r="I339" s="5"/>
      <c r="J339" s="5">
        <f t="shared" si="35"/>
        <v>15.300000000000011</v>
      </c>
      <c r="K339" s="8" t="b">
        <f t="shared" si="36"/>
        <v>1</v>
      </c>
    </row>
    <row r="340" spans="1:11">
      <c r="A340" s="5">
        <v>105</v>
      </c>
      <c r="B340" s="6">
        <v>44967</v>
      </c>
      <c r="C340" s="7">
        <v>1</v>
      </c>
      <c r="D340" s="5">
        <v>5.8</v>
      </c>
      <c r="E340" s="5">
        <v>407.7</v>
      </c>
      <c r="F340" s="5">
        <v>418.4</v>
      </c>
      <c r="G340" s="6">
        <v>44967</v>
      </c>
      <c r="H340" s="5"/>
      <c r="I340" s="5"/>
      <c r="J340" s="5">
        <f t="shared" si="35"/>
        <v>10.699999999999989</v>
      </c>
      <c r="K340" s="8" t="b">
        <f t="shared" si="36"/>
        <v>1</v>
      </c>
    </row>
    <row r="341" spans="1:11">
      <c r="A341" s="5">
        <v>105</v>
      </c>
      <c r="B341" s="6">
        <v>44968</v>
      </c>
      <c r="C341" s="7">
        <v>1</v>
      </c>
      <c r="D341" s="5">
        <v>5.8</v>
      </c>
      <c r="E341" s="5">
        <v>418.4</v>
      </c>
      <c r="F341" s="5">
        <v>430</v>
      </c>
      <c r="G341" s="6">
        <v>44968</v>
      </c>
      <c r="H341" s="5"/>
      <c r="I341" s="5"/>
      <c r="J341" s="5">
        <f t="shared" si="35"/>
        <v>11.600000000000023</v>
      </c>
      <c r="K341" s="8" t="b">
        <f t="shared" si="36"/>
        <v>1</v>
      </c>
    </row>
    <row r="342" spans="1:11">
      <c r="A342" s="5">
        <v>105</v>
      </c>
      <c r="B342" s="6">
        <v>44969</v>
      </c>
      <c r="C342" s="7">
        <v>0.7</v>
      </c>
      <c r="D342" s="5">
        <v>8.2899999999999991</v>
      </c>
      <c r="E342" s="5">
        <v>430</v>
      </c>
      <c r="F342" s="5">
        <v>442</v>
      </c>
      <c r="G342" s="6">
        <v>44969</v>
      </c>
      <c r="H342" s="5"/>
      <c r="I342" s="5"/>
      <c r="J342" s="5">
        <f t="shared" si="35"/>
        <v>12</v>
      </c>
      <c r="K342" s="8" t="b">
        <f t="shared" si="36"/>
        <v>1</v>
      </c>
    </row>
    <row r="343" spans="1:11">
      <c r="A343" s="5">
        <v>105</v>
      </c>
      <c r="B343" s="6">
        <v>44970</v>
      </c>
      <c r="C343" s="7">
        <v>1</v>
      </c>
      <c r="D343" s="5">
        <v>5.8</v>
      </c>
      <c r="E343" s="5">
        <v>442</v>
      </c>
      <c r="F343" s="5">
        <v>458.9</v>
      </c>
      <c r="G343" s="6">
        <v>44970</v>
      </c>
      <c r="H343" s="5"/>
      <c r="I343" s="5"/>
      <c r="J343" s="5">
        <f t="shared" si="35"/>
        <v>16.899999999999977</v>
      </c>
      <c r="K343" s="8" t="b">
        <f t="shared" si="36"/>
        <v>1</v>
      </c>
    </row>
    <row r="344" spans="1:11">
      <c r="A344" s="5">
        <v>105</v>
      </c>
      <c r="B344" s="6">
        <v>44971</v>
      </c>
      <c r="C344" s="7">
        <v>1</v>
      </c>
      <c r="D344" s="5">
        <v>5.8</v>
      </c>
      <c r="E344" s="5">
        <v>458.9</v>
      </c>
      <c r="F344" s="5">
        <v>471.1</v>
      </c>
      <c r="G344" s="6">
        <v>44971</v>
      </c>
      <c r="H344" s="5"/>
      <c r="I344" s="5"/>
      <c r="J344" s="5">
        <f t="shared" si="35"/>
        <v>12.200000000000045</v>
      </c>
      <c r="K344" s="8" t="b">
        <f t="shared" si="36"/>
        <v>1</v>
      </c>
    </row>
    <row r="345" spans="1:11">
      <c r="A345" s="5">
        <v>105</v>
      </c>
      <c r="B345" s="6">
        <v>44973</v>
      </c>
      <c r="C345" s="7">
        <v>1</v>
      </c>
      <c r="D345" s="5">
        <v>5.8</v>
      </c>
      <c r="E345" s="5">
        <v>471.1</v>
      </c>
      <c r="F345" s="5">
        <v>482.9</v>
      </c>
      <c r="G345" s="6">
        <v>44973</v>
      </c>
      <c r="H345" s="5"/>
      <c r="I345" s="5"/>
      <c r="J345" s="5">
        <f t="shared" si="35"/>
        <v>11.799999999999955</v>
      </c>
      <c r="K345" s="8" t="b">
        <f t="shared" si="36"/>
        <v>1</v>
      </c>
    </row>
    <row r="346" spans="1:11">
      <c r="A346" s="5">
        <v>105</v>
      </c>
      <c r="B346" s="6">
        <v>44978</v>
      </c>
      <c r="C346" s="7">
        <v>0.8</v>
      </c>
      <c r="D346" s="5">
        <v>7.25</v>
      </c>
      <c r="E346" s="5">
        <v>482.9</v>
      </c>
      <c r="F346" s="5">
        <v>497.3</v>
      </c>
      <c r="G346" s="6">
        <v>44978</v>
      </c>
      <c r="H346" s="5"/>
      <c r="I346" s="5"/>
      <c r="J346" s="5">
        <f t="shared" ref="J346:J354" si="37">F346-E346</f>
        <v>14.400000000000034</v>
      </c>
      <c r="K346" s="8" t="b">
        <f t="shared" ref="K346:K354" si="38">E346=F345</f>
        <v>1</v>
      </c>
    </row>
    <row r="347" spans="1:11">
      <c r="A347" s="5">
        <v>105</v>
      </c>
      <c r="B347" s="6">
        <v>44981</v>
      </c>
      <c r="C347" s="7">
        <v>0.8</v>
      </c>
      <c r="D347" s="5">
        <v>7.25</v>
      </c>
      <c r="E347" s="5">
        <v>497.3</v>
      </c>
      <c r="F347" s="5">
        <v>501.2</v>
      </c>
      <c r="G347" s="6">
        <v>44981</v>
      </c>
      <c r="H347" s="5"/>
      <c r="I347" s="5"/>
      <c r="J347" s="5">
        <f t="shared" si="37"/>
        <v>3.8999999999999773</v>
      </c>
      <c r="K347" s="8" t="b">
        <f t="shared" si="38"/>
        <v>1</v>
      </c>
    </row>
    <row r="348" spans="1:11">
      <c r="A348" s="5">
        <v>105</v>
      </c>
      <c r="B348" s="6">
        <v>44987</v>
      </c>
      <c r="C348" s="7">
        <v>0.7</v>
      </c>
      <c r="D348" s="5">
        <v>8.2899999999999991</v>
      </c>
      <c r="E348" s="5">
        <v>501.2</v>
      </c>
      <c r="F348" s="5">
        <v>517.79999999999995</v>
      </c>
      <c r="G348" s="6">
        <v>44988</v>
      </c>
      <c r="H348" s="5"/>
      <c r="I348" s="5"/>
      <c r="J348" s="5">
        <f t="shared" si="37"/>
        <v>16.599999999999966</v>
      </c>
      <c r="K348" s="8" t="b">
        <f t="shared" si="38"/>
        <v>1</v>
      </c>
    </row>
    <row r="349" spans="1:11">
      <c r="A349" s="5">
        <v>105</v>
      </c>
      <c r="B349" s="6">
        <v>44990</v>
      </c>
      <c r="C349" s="7">
        <v>0.7</v>
      </c>
      <c r="D349" s="5">
        <v>8.2899999999999991</v>
      </c>
      <c r="E349" s="5">
        <v>517.79999999999995</v>
      </c>
      <c r="F349" s="5">
        <v>534.20000000000005</v>
      </c>
      <c r="G349" s="6">
        <v>44990</v>
      </c>
      <c r="H349" s="5"/>
      <c r="I349" s="5"/>
      <c r="J349" s="5">
        <f t="shared" si="37"/>
        <v>16.400000000000091</v>
      </c>
      <c r="K349" s="8" t="b">
        <f t="shared" si="38"/>
        <v>1</v>
      </c>
    </row>
    <row r="350" spans="1:11">
      <c r="A350" s="5">
        <v>105</v>
      </c>
      <c r="B350" s="6">
        <v>44996</v>
      </c>
      <c r="C350" s="7">
        <v>1</v>
      </c>
      <c r="D350" s="5">
        <v>5.8</v>
      </c>
      <c r="E350" s="5">
        <v>534.20000000000005</v>
      </c>
      <c r="F350" s="5">
        <v>545.9</v>
      </c>
      <c r="G350" s="6">
        <v>44996</v>
      </c>
      <c r="H350" s="5"/>
      <c r="I350" s="5"/>
      <c r="J350" s="5">
        <f t="shared" si="37"/>
        <v>11.699999999999932</v>
      </c>
      <c r="K350" s="8" t="b">
        <f t="shared" si="38"/>
        <v>1</v>
      </c>
    </row>
    <row r="351" spans="1:11">
      <c r="A351" s="5">
        <v>105</v>
      </c>
      <c r="B351" s="6">
        <v>45000</v>
      </c>
      <c r="C351" s="7">
        <v>0.7</v>
      </c>
      <c r="D351" s="5">
        <v>8.2899999999999991</v>
      </c>
      <c r="E351" s="5">
        <v>545.9</v>
      </c>
      <c r="F351" s="5">
        <v>562.6</v>
      </c>
      <c r="G351" s="6">
        <v>45000</v>
      </c>
      <c r="H351" s="5"/>
      <c r="I351" s="5"/>
      <c r="J351" s="5">
        <f t="shared" si="37"/>
        <v>16.700000000000045</v>
      </c>
      <c r="K351" s="8" t="b">
        <f t="shared" si="38"/>
        <v>1</v>
      </c>
    </row>
    <row r="352" spans="1:11">
      <c r="A352" s="5">
        <v>105</v>
      </c>
      <c r="B352" s="6">
        <v>45003</v>
      </c>
      <c r="C352" s="7">
        <v>0.6</v>
      </c>
      <c r="D352" s="5">
        <v>9.67</v>
      </c>
      <c r="E352" s="5">
        <v>562.6</v>
      </c>
      <c r="F352" s="5">
        <v>581.4</v>
      </c>
      <c r="G352" s="6">
        <v>45003</v>
      </c>
      <c r="H352" s="5"/>
      <c r="I352" s="5"/>
      <c r="J352" s="5">
        <f t="shared" si="37"/>
        <v>18.799999999999955</v>
      </c>
      <c r="K352" s="8" t="b">
        <f t="shared" si="38"/>
        <v>1</v>
      </c>
    </row>
    <row r="353" spans="1:11">
      <c r="A353" s="5">
        <v>105</v>
      </c>
      <c r="B353" s="6">
        <v>45006</v>
      </c>
      <c r="C353" s="7">
        <v>0.6</v>
      </c>
      <c r="D353" s="5">
        <v>9.67</v>
      </c>
      <c r="E353" s="5">
        <v>581.4</v>
      </c>
      <c r="F353" s="5">
        <v>600.79999999999995</v>
      </c>
      <c r="G353" s="6">
        <v>45006</v>
      </c>
      <c r="H353" s="5"/>
      <c r="I353" s="5"/>
      <c r="J353" s="5">
        <f t="shared" si="37"/>
        <v>19.399999999999977</v>
      </c>
      <c r="K353" s="8" t="b">
        <f t="shared" si="38"/>
        <v>1</v>
      </c>
    </row>
    <row r="354" spans="1:11">
      <c r="A354" s="5">
        <v>105</v>
      </c>
      <c r="B354" s="6">
        <v>45008</v>
      </c>
      <c r="C354" s="7">
        <v>1</v>
      </c>
      <c r="D354" s="5">
        <v>5.8</v>
      </c>
      <c r="E354" s="5">
        <v>600.79999999999995</v>
      </c>
      <c r="F354" s="5">
        <v>612.9</v>
      </c>
      <c r="G354" s="6">
        <v>45008</v>
      </c>
      <c r="H354" s="5"/>
      <c r="I354" s="5"/>
      <c r="J354" s="5">
        <f t="shared" si="37"/>
        <v>12.100000000000023</v>
      </c>
      <c r="K354" s="8" t="b">
        <f t="shared" si="38"/>
        <v>1</v>
      </c>
    </row>
    <row r="355" spans="1:11">
      <c r="A355" s="5">
        <v>105</v>
      </c>
      <c r="B355" s="6">
        <v>45012</v>
      </c>
      <c r="C355" s="7">
        <v>0.6</v>
      </c>
      <c r="D355" s="5">
        <v>9.67</v>
      </c>
      <c r="E355" s="5">
        <v>612.9</v>
      </c>
      <c r="F355" s="5">
        <v>632.4</v>
      </c>
      <c r="G355" s="6">
        <v>45012</v>
      </c>
      <c r="H355" s="5"/>
      <c r="I355" s="5"/>
      <c r="J355" s="5">
        <f t="shared" ref="J355:J383" si="39">F355-E355</f>
        <v>19.5</v>
      </c>
      <c r="K355" s="8" t="b">
        <f t="shared" ref="K355:K383" si="40">E355=F354</f>
        <v>1</v>
      </c>
    </row>
    <row r="356" spans="1:11">
      <c r="A356" s="5">
        <v>105</v>
      </c>
      <c r="B356" s="6">
        <v>45015</v>
      </c>
      <c r="C356" s="7">
        <v>0.6</v>
      </c>
      <c r="D356" s="5">
        <v>9.67</v>
      </c>
      <c r="E356" s="5">
        <v>632.4</v>
      </c>
      <c r="F356" s="5">
        <v>652.29999999999995</v>
      </c>
      <c r="G356" s="6">
        <v>45015</v>
      </c>
      <c r="H356" s="5"/>
      <c r="I356" s="5"/>
      <c r="J356" s="5">
        <f t="shared" si="39"/>
        <v>19.899999999999977</v>
      </c>
      <c r="K356" s="8" t="b">
        <f t="shared" si="40"/>
        <v>1</v>
      </c>
    </row>
    <row r="357" spans="1:11">
      <c r="A357" s="5">
        <v>105</v>
      </c>
      <c r="B357" s="6">
        <v>45019</v>
      </c>
      <c r="C357" s="7">
        <v>0.6</v>
      </c>
      <c r="D357" s="5">
        <v>9.67</v>
      </c>
      <c r="E357" s="5">
        <v>652.29999999999995</v>
      </c>
      <c r="F357" s="5">
        <v>672.1</v>
      </c>
      <c r="G357" s="6">
        <v>45019</v>
      </c>
      <c r="H357" s="5"/>
      <c r="I357" s="5"/>
      <c r="J357" s="5">
        <f t="shared" si="39"/>
        <v>19.800000000000068</v>
      </c>
      <c r="K357" s="8" t="b">
        <f t="shared" si="40"/>
        <v>1</v>
      </c>
    </row>
    <row r="358" spans="1:11">
      <c r="A358" s="5">
        <v>105</v>
      </c>
      <c r="B358" s="6">
        <v>45022</v>
      </c>
      <c r="C358" s="7">
        <v>0.7</v>
      </c>
      <c r="D358" s="5">
        <v>8.2899999999999991</v>
      </c>
      <c r="E358" s="5">
        <v>672.1</v>
      </c>
      <c r="F358" s="5">
        <v>688.3</v>
      </c>
      <c r="G358" s="6">
        <v>45022</v>
      </c>
      <c r="H358" s="5"/>
      <c r="I358" s="5"/>
      <c r="J358" s="5">
        <f t="shared" si="39"/>
        <v>16.199999999999932</v>
      </c>
      <c r="K358" s="8" t="b">
        <f t="shared" si="40"/>
        <v>1</v>
      </c>
    </row>
    <row r="359" spans="1:11">
      <c r="A359" s="5">
        <v>105</v>
      </c>
      <c r="B359" s="6">
        <v>45025</v>
      </c>
      <c r="C359" s="7">
        <v>0.6</v>
      </c>
      <c r="D359" s="5">
        <v>9.67</v>
      </c>
      <c r="E359" s="5">
        <v>688.3</v>
      </c>
      <c r="F359" s="5">
        <v>707.6</v>
      </c>
      <c r="G359" s="6">
        <v>45025</v>
      </c>
      <c r="H359" s="5"/>
      <c r="I359" s="5"/>
      <c r="J359" s="5">
        <f t="shared" si="39"/>
        <v>19.300000000000068</v>
      </c>
      <c r="K359" s="8" t="b">
        <f t="shared" si="40"/>
        <v>1</v>
      </c>
    </row>
    <row r="360" spans="1:11">
      <c r="A360" s="5">
        <v>105</v>
      </c>
      <c r="B360" s="6">
        <v>45028</v>
      </c>
      <c r="C360" s="7">
        <v>0.6</v>
      </c>
      <c r="D360" s="5">
        <v>9.67</v>
      </c>
      <c r="E360" s="5">
        <v>707.6</v>
      </c>
      <c r="F360" s="5">
        <v>726.8</v>
      </c>
      <c r="G360" s="6">
        <v>45028</v>
      </c>
      <c r="H360" s="5"/>
      <c r="I360" s="5"/>
      <c r="J360" s="5">
        <f t="shared" si="39"/>
        <v>19.199999999999932</v>
      </c>
      <c r="K360" s="8" t="b">
        <f t="shared" si="40"/>
        <v>1</v>
      </c>
    </row>
    <row r="361" spans="1:11">
      <c r="A361" s="5">
        <v>105</v>
      </c>
      <c r="B361" s="6">
        <v>45031</v>
      </c>
      <c r="C361" s="7">
        <v>0.6</v>
      </c>
      <c r="D361" s="5">
        <v>9.67</v>
      </c>
      <c r="E361" s="5">
        <v>726.8</v>
      </c>
      <c r="F361" s="5">
        <v>746.7</v>
      </c>
      <c r="G361" s="6">
        <v>45031</v>
      </c>
      <c r="H361" s="5"/>
      <c r="I361" s="5"/>
      <c r="J361" s="5">
        <f t="shared" si="39"/>
        <v>19.900000000000091</v>
      </c>
      <c r="K361" s="8" t="b">
        <f t="shared" si="40"/>
        <v>1</v>
      </c>
    </row>
    <row r="362" spans="1:11">
      <c r="A362" s="5">
        <v>105</v>
      </c>
      <c r="B362" s="6">
        <v>45034</v>
      </c>
      <c r="C362" s="7">
        <v>0.8</v>
      </c>
      <c r="D362" s="5">
        <v>7.25</v>
      </c>
      <c r="E362" s="5">
        <v>746.7</v>
      </c>
      <c r="F362" s="5">
        <v>760.4</v>
      </c>
      <c r="G362" s="6">
        <v>45034</v>
      </c>
      <c r="H362" s="5"/>
      <c r="I362" s="5"/>
      <c r="J362" s="5">
        <f t="shared" si="39"/>
        <v>13.699999999999932</v>
      </c>
      <c r="K362" s="8" t="b">
        <f t="shared" si="40"/>
        <v>1</v>
      </c>
    </row>
    <row r="363" spans="1:11">
      <c r="A363" s="5">
        <v>105</v>
      </c>
      <c r="B363" s="6">
        <v>45037</v>
      </c>
      <c r="C363" s="7">
        <v>0.6</v>
      </c>
      <c r="D363" s="5">
        <v>9.67</v>
      </c>
      <c r="E363" s="5">
        <v>760.4</v>
      </c>
      <c r="F363" s="5">
        <v>780.1</v>
      </c>
      <c r="G363" s="6">
        <v>45037</v>
      </c>
      <c r="H363" s="5"/>
      <c r="I363" s="5"/>
      <c r="J363" s="5">
        <f t="shared" si="39"/>
        <v>19.700000000000045</v>
      </c>
      <c r="K363" s="8" t="b">
        <f t="shared" si="40"/>
        <v>1</v>
      </c>
    </row>
    <row r="364" spans="1:11">
      <c r="A364" s="5">
        <v>105</v>
      </c>
      <c r="B364" s="6">
        <v>45040</v>
      </c>
      <c r="C364" s="7">
        <v>0.75</v>
      </c>
      <c r="D364" s="5">
        <v>7.73</v>
      </c>
      <c r="E364" s="5">
        <v>780.1</v>
      </c>
      <c r="F364" s="5">
        <v>796.4</v>
      </c>
      <c r="G364" s="6">
        <v>45040</v>
      </c>
      <c r="H364" s="5"/>
      <c r="I364" s="5"/>
      <c r="J364" s="5">
        <f t="shared" si="39"/>
        <v>16.299999999999955</v>
      </c>
      <c r="K364" s="8" t="b">
        <f t="shared" si="40"/>
        <v>1</v>
      </c>
    </row>
    <row r="365" spans="1:11">
      <c r="A365" s="25">
        <v>105</v>
      </c>
      <c r="B365" s="26">
        <v>45044</v>
      </c>
      <c r="C365" s="27">
        <v>1</v>
      </c>
      <c r="D365" s="25">
        <v>5.8</v>
      </c>
      <c r="E365" s="25">
        <v>796.4</v>
      </c>
      <c r="F365" s="25">
        <v>808.4</v>
      </c>
      <c r="G365" s="26">
        <v>45044</v>
      </c>
      <c r="H365" s="25"/>
      <c r="I365" s="25"/>
      <c r="J365" s="25">
        <f t="shared" si="39"/>
        <v>12</v>
      </c>
      <c r="K365" s="8" t="b">
        <f t="shared" si="40"/>
        <v>1</v>
      </c>
    </row>
    <row r="366" spans="1:11">
      <c r="A366" s="5">
        <v>105</v>
      </c>
      <c r="B366" s="6">
        <v>45046</v>
      </c>
      <c r="C366" s="7">
        <v>0.7</v>
      </c>
      <c r="D366" s="5">
        <v>8.2899999999999991</v>
      </c>
      <c r="E366" s="5">
        <v>808.4</v>
      </c>
      <c r="F366" s="5">
        <v>826.2</v>
      </c>
      <c r="G366" s="6">
        <v>45046</v>
      </c>
      <c r="H366" s="5"/>
      <c r="I366" s="5"/>
      <c r="J366" s="5">
        <f t="shared" si="39"/>
        <v>17.800000000000068</v>
      </c>
      <c r="K366" s="8" t="b">
        <f t="shared" si="40"/>
        <v>1</v>
      </c>
    </row>
    <row r="367" spans="1:11">
      <c r="A367" s="5">
        <v>105</v>
      </c>
      <c r="B367" s="6">
        <v>45049</v>
      </c>
      <c r="C367" s="7">
        <v>0.7</v>
      </c>
      <c r="D367" s="5">
        <v>8.2899999999999991</v>
      </c>
      <c r="E367" s="5">
        <v>826.2</v>
      </c>
      <c r="F367" s="5">
        <v>842.8</v>
      </c>
      <c r="G367" s="6">
        <v>45049</v>
      </c>
      <c r="H367" s="5"/>
      <c r="I367" s="5"/>
      <c r="J367" s="5">
        <f t="shared" si="39"/>
        <v>16.599999999999909</v>
      </c>
      <c r="K367" s="8" t="b">
        <f t="shared" si="40"/>
        <v>1</v>
      </c>
    </row>
    <row r="368" spans="1:11">
      <c r="A368" s="5">
        <v>105</v>
      </c>
      <c r="B368" s="6">
        <v>45054</v>
      </c>
      <c r="C368" s="7">
        <v>0.6</v>
      </c>
      <c r="D368" s="5">
        <v>9.67</v>
      </c>
      <c r="E368" s="5">
        <v>842.8</v>
      </c>
      <c r="F368" s="5">
        <v>862.3</v>
      </c>
      <c r="G368" s="6">
        <v>45054</v>
      </c>
      <c r="H368" s="5"/>
      <c r="I368" s="5"/>
      <c r="J368" s="5">
        <f t="shared" si="39"/>
        <v>19.5</v>
      </c>
      <c r="K368" s="8" t="b">
        <f t="shared" si="40"/>
        <v>1</v>
      </c>
    </row>
    <row r="369" spans="1:11">
      <c r="A369" s="5">
        <v>105</v>
      </c>
      <c r="B369" s="6">
        <v>45059</v>
      </c>
      <c r="C369" s="7">
        <v>0.4</v>
      </c>
      <c r="D369" s="5">
        <v>14.5</v>
      </c>
      <c r="E369" s="5">
        <v>862.3</v>
      </c>
      <c r="F369" s="5">
        <v>876.5</v>
      </c>
      <c r="G369" s="6">
        <v>45059</v>
      </c>
      <c r="H369" s="5"/>
      <c r="I369" s="5"/>
      <c r="J369" s="5">
        <f t="shared" si="39"/>
        <v>14.200000000000045</v>
      </c>
      <c r="K369" s="8" t="b">
        <f t="shared" si="40"/>
        <v>1</v>
      </c>
    </row>
    <row r="370" spans="1:11">
      <c r="A370" s="5">
        <v>105</v>
      </c>
      <c r="B370" s="6">
        <v>45060</v>
      </c>
      <c r="C370" s="7">
        <v>0.4</v>
      </c>
      <c r="D370" s="5">
        <v>14.5</v>
      </c>
      <c r="E370" s="5">
        <v>876.5</v>
      </c>
      <c r="F370" s="5">
        <v>891.1</v>
      </c>
      <c r="G370" s="6">
        <v>45060</v>
      </c>
      <c r="H370" s="5"/>
      <c r="I370" s="5"/>
      <c r="J370" s="5">
        <f t="shared" si="39"/>
        <v>14.600000000000023</v>
      </c>
      <c r="K370" s="8" t="b">
        <f t="shared" si="40"/>
        <v>1</v>
      </c>
    </row>
    <row r="371" spans="1:11">
      <c r="A371" s="5">
        <v>105</v>
      </c>
      <c r="B371" s="6">
        <v>45065</v>
      </c>
      <c r="C371" s="7">
        <v>0.4</v>
      </c>
      <c r="D371" s="5">
        <v>14.5</v>
      </c>
      <c r="E371" s="5">
        <v>891.1</v>
      </c>
      <c r="F371" s="5">
        <v>905</v>
      </c>
      <c r="G371" s="6">
        <v>45065</v>
      </c>
      <c r="H371" s="5"/>
      <c r="I371" s="5"/>
      <c r="J371" s="5">
        <f t="shared" si="39"/>
        <v>13.899999999999977</v>
      </c>
      <c r="K371" s="8" t="b">
        <f t="shared" si="40"/>
        <v>1</v>
      </c>
    </row>
    <row r="372" spans="1:11">
      <c r="A372" s="5">
        <v>105</v>
      </c>
      <c r="B372" s="6">
        <v>45066</v>
      </c>
      <c r="C372" s="7">
        <v>0.4</v>
      </c>
      <c r="D372" s="5">
        <v>14.5</v>
      </c>
      <c r="E372" s="5">
        <v>905</v>
      </c>
      <c r="F372" s="5">
        <v>919.9</v>
      </c>
      <c r="G372" s="6">
        <v>45066</v>
      </c>
      <c r="H372" s="5"/>
      <c r="I372" s="5"/>
      <c r="J372" s="5">
        <f t="shared" si="39"/>
        <v>14.899999999999977</v>
      </c>
      <c r="K372" s="8" t="b">
        <f t="shared" si="40"/>
        <v>1</v>
      </c>
    </row>
    <row r="373" spans="1:11">
      <c r="A373" s="5">
        <v>105</v>
      </c>
      <c r="B373" s="6" t="s">
        <v>70</v>
      </c>
      <c r="C373" s="7">
        <v>0.4</v>
      </c>
      <c r="D373" s="5">
        <v>14.5</v>
      </c>
      <c r="E373" s="5">
        <v>919.9</v>
      </c>
      <c r="F373" s="5">
        <v>934.1</v>
      </c>
      <c r="G373" s="6" t="s">
        <v>70</v>
      </c>
      <c r="H373" s="5"/>
      <c r="I373" s="5"/>
      <c r="J373" s="5">
        <f t="shared" si="39"/>
        <v>14.200000000000045</v>
      </c>
      <c r="K373" s="8" t="b">
        <f t="shared" si="40"/>
        <v>1</v>
      </c>
    </row>
    <row r="374" spans="1:11">
      <c r="A374" s="5">
        <v>105</v>
      </c>
      <c r="B374" s="6" t="s">
        <v>71</v>
      </c>
      <c r="C374" s="7">
        <v>0.4</v>
      </c>
      <c r="D374" s="5">
        <v>14.5</v>
      </c>
      <c r="E374" s="5">
        <v>934.1</v>
      </c>
      <c r="F374" s="5">
        <v>948.6</v>
      </c>
      <c r="G374" s="6" t="s">
        <v>71</v>
      </c>
      <c r="H374" s="5"/>
      <c r="I374" s="5"/>
      <c r="J374" s="5">
        <f t="shared" si="39"/>
        <v>14.5</v>
      </c>
      <c r="K374" s="8" t="b">
        <f t="shared" si="40"/>
        <v>1</v>
      </c>
    </row>
    <row r="375" spans="1:11">
      <c r="A375" s="5">
        <v>105</v>
      </c>
      <c r="B375" s="6">
        <v>45077</v>
      </c>
      <c r="C375" s="7">
        <v>0.4</v>
      </c>
      <c r="D375" s="5">
        <v>14.5</v>
      </c>
      <c r="E375" s="5">
        <v>948.6</v>
      </c>
      <c r="F375" s="5">
        <v>963.5</v>
      </c>
      <c r="G375" s="6">
        <v>45077</v>
      </c>
      <c r="H375" s="5"/>
      <c r="I375" s="5"/>
      <c r="J375" s="5">
        <f t="shared" si="39"/>
        <v>14.899999999999977</v>
      </c>
      <c r="K375" s="8" t="b">
        <f t="shared" si="40"/>
        <v>1</v>
      </c>
    </row>
    <row r="376" spans="1:11">
      <c r="A376" s="5">
        <v>105</v>
      </c>
      <c r="B376" s="6">
        <v>45078</v>
      </c>
      <c r="C376" s="7">
        <v>0.4</v>
      </c>
      <c r="D376" s="5">
        <v>14.5</v>
      </c>
      <c r="E376" s="5">
        <v>963.5</v>
      </c>
      <c r="F376" s="5">
        <v>978.2</v>
      </c>
      <c r="G376" s="6">
        <v>45078</v>
      </c>
      <c r="H376" s="5"/>
      <c r="I376" s="5"/>
      <c r="J376" s="5">
        <f t="shared" si="39"/>
        <v>14.700000000000045</v>
      </c>
      <c r="K376" s="8" t="b">
        <f t="shared" si="40"/>
        <v>1</v>
      </c>
    </row>
    <row r="377" spans="1:11">
      <c r="A377" s="5">
        <v>105</v>
      </c>
      <c r="B377" s="6">
        <v>45085</v>
      </c>
      <c r="C377" s="7">
        <v>0.4</v>
      </c>
      <c r="D377" s="5">
        <v>14.5</v>
      </c>
      <c r="E377" s="5">
        <v>978.2</v>
      </c>
      <c r="F377" s="5">
        <v>992.1</v>
      </c>
      <c r="G377" s="6">
        <v>45085</v>
      </c>
      <c r="H377" s="5"/>
      <c r="I377" s="5"/>
      <c r="J377" s="5">
        <f t="shared" si="39"/>
        <v>13.899999999999977</v>
      </c>
      <c r="K377" s="8" t="b">
        <f t="shared" si="40"/>
        <v>1</v>
      </c>
    </row>
    <row r="378" spans="1:11">
      <c r="A378" s="5">
        <v>105</v>
      </c>
      <c r="B378" s="6">
        <v>45086</v>
      </c>
      <c r="C378" s="7">
        <v>0.4</v>
      </c>
      <c r="D378" s="5">
        <v>14.5</v>
      </c>
      <c r="E378" s="5">
        <v>992.1</v>
      </c>
      <c r="F378" s="5">
        <v>1007.1</v>
      </c>
      <c r="G378" s="6">
        <v>45086</v>
      </c>
      <c r="H378" s="5"/>
      <c r="I378" s="5"/>
      <c r="J378" s="5">
        <f t="shared" si="39"/>
        <v>15</v>
      </c>
      <c r="K378" s="8" t="b">
        <f t="shared" si="40"/>
        <v>1</v>
      </c>
    </row>
    <row r="379" spans="1:11">
      <c r="A379" s="5">
        <v>105</v>
      </c>
      <c r="B379" s="6">
        <v>45096</v>
      </c>
      <c r="C379" s="7">
        <v>0.6</v>
      </c>
      <c r="D379" s="5">
        <v>9.67</v>
      </c>
      <c r="E379" s="5">
        <v>1007.1</v>
      </c>
      <c r="F379" s="5">
        <v>1026.8</v>
      </c>
      <c r="G379" s="6">
        <v>45096</v>
      </c>
      <c r="H379" s="5"/>
      <c r="I379" s="5"/>
      <c r="J379" s="5">
        <f t="shared" si="39"/>
        <v>19.699999999999932</v>
      </c>
      <c r="K379" s="8" t="b">
        <f t="shared" si="40"/>
        <v>1</v>
      </c>
    </row>
    <row r="380" spans="1:11">
      <c r="A380" s="5">
        <v>105</v>
      </c>
      <c r="B380" s="6">
        <v>45098</v>
      </c>
      <c r="C380" s="7">
        <v>0.6</v>
      </c>
      <c r="D380" s="5">
        <v>9.67</v>
      </c>
      <c r="E380" s="5">
        <v>1026.8</v>
      </c>
      <c r="F380" s="5">
        <v>1047.2</v>
      </c>
      <c r="G380" s="6">
        <v>45098</v>
      </c>
      <c r="H380" s="5"/>
      <c r="I380" s="5"/>
      <c r="J380" s="5">
        <f t="shared" si="39"/>
        <v>20.400000000000091</v>
      </c>
      <c r="K380" s="8" t="b">
        <f t="shared" si="40"/>
        <v>1</v>
      </c>
    </row>
    <row r="381" spans="1:11">
      <c r="A381" s="5">
        <v>105</v>
      </c>
      <c r="B381" s="6">
        <v>45100</v>
      </c>
      <c r="C381" s="7">
        <v>0.6</v>
      </c>
      <c r="D381" s="5">
        <v>9.67</v>
      </c>
      <c r="E381" s="5">
        <v>1047.2</v>
      </c>
      <c r="F381" s="5">
        <v>1066.3</v>
      </c>
      <c r="G381" s="6">
        <v>45100</v>
      </c>
      <c r="H381" s="5"/>
      <c r="I381" s="5"/>
      <c r="J381" s="5">
        <f t="shared" si="39"/>
        <v>19.099999999999909</v>
      </c>
      <c r="K381" s="8" t="b">
        <f t="shared" si="40"/>
        <v>1</v>
      </c>
    </row>
    <row r="382" spans="1:11">
      <c r="A382" s="5">
        <v>105</v>
      </c>
      <c r="B382" s="6">
        <v>45104</v>
      </c>
      <c r="C382" s="7">
        <v>0.6</v>
      </c>
      <c r="D382" s="5">
        <v>9.6</v>
      </c>
      <c r="E382" s="5">
        <v>1066.3</v>
      </c>
      <c r="F382" s="5">
        <v>1086</v>
      </c>
      <c r="G382" s="6">
        <v>45104</v>
      </c>
      <c r="H382" s="5"/>
      <c r="I382" s="5"/>
      <c r="J382" s="5">
        <f t="shared" si="39"/>
        <v>19.700000000000045</v>
      </c>
      <c r="K382" s="8" t="b">
        <f t="shared" si="40"/>
        <v>1</v>
      </c>
    </row>
    <row r="383" spans="1:11">
      <c r="A383" s="5">
        <v>105</v>
      </c>
      <c r="B383" s="6">
        <v>45107</v>
      </c>
      <c r="C383" s="7">
        <v>0.6</v>
      </c>
      <c r="D383" s="5">
        <v>9.6</v>
      </c>
      <c r="E383" s="5">
        <v>1086</v>
      </c>
      <c r="F383" s="5">
        <v>1105</v>
      </c>
      <c r="G383" s="6">
        <v>45107</v>
      </c>
      <c r="H383" s="5"/>
      <c r="I383" s="5"/>
      <c r="J383" s="5">
        <f t="shared" si="39"/>
        <v>19</v>
      </c>
      <c r="K383" s="8" t="b">
        <f t="shared" si="40"/>
        <v>1</v>
      </c>
    </row>
    <row r="384" spans="1:11">
      <c r="A384" s="11"/>
      <c r="B384" s="12"/>
      <c r="C384" s="13"/>
      <c r="D384" s="15"/>
      <c r="E384" s="15"/>
      <c r="F384" s="15"/>
      <c r="G384" s="12"/>
      <c r="H384" s="15"/>
      <c r="I384" s="15"/>
      <c r="J384" s="15"/>
      <c r="K384" s="16"/>
    </row>
    <row r="385" spans="1:11" ht="26.25">
      <c r="A385" s="181" t="s">
        <v>64</v>
      </c>
      <c r="B385" s="182"/>
      <c r="C385" s="182"/>
      <c r="D385" s="182"/>
      <c r="E385" s="182"/>
      <c r="F385" s="182"/>
      <c r="G385" s="182"/>
      <c r="H385" s="182"/>
      <c r="I385" s="182"/>
      <c r="J385" s="182"/>
      <c r="K385" s="183"/>
    </row>
    <row r="386" spans="1:11" ht="26.25">
      <c r="A386" s="181" t="s">
        <v>48</v>
      </c>
      <c r="B386" s="182"/>
      <c r="C386" s="182"/>
      <c r="D386" s="182"/>
      <c r="E386" s="182"/>
      <c r="F386" s="182"/>
      <c r="G386" s="182"/>
      <c r="H386" s="182"/>
      <c r="I386" s="182"/>
      <c r="J386" s="182"/>
      <c r="K386" s="183"/>
    </row>
    <row r="387" spans="1:11" ht="15.75" thickBot="1"/>
    <row r="388" spans="1:11" ht="15.75" thickBot="1">
      <c r="A388" s="132" t="s">
        <v>2</v>
      </c>
      <c r="B388" s="133"/>
      <c r="C388" s="133"/>
      <c r="D388" s="133"/>
      <c r="E388" s="133"/>
      <c r="F388" s="133"/>
      <c r="G388" s="133"/>
      <c r="H388" s="133"/>
      <c r="I388" s="133"/>
      <c r="J388" s="133"/>
      <c r="K388" s="134"/>
    </row>
    <row r="390" spans="1:11" ht="19.5" thickBot="1">
      <c r="A390" s="1" t="s">
        <v>3</v>
      </c>
      <c r="B390" s="1"/>
      <c r="C390" s="1"/>
      <c r="D390" s="1"/>
      <c r="E390" s="1"/>
      <c r="F390" s="1"/>
      <c r="G390" s="1"/>
      <c r="H390" s="1"/>
      <c r="I390" s="1"/>
    </row>
    <row r="391" spans="1:11" ht="30.75" thickBot="1">
      <c r="A391" s="2" t="s">
        <v>4</v>
      </c>
      <c r="B391" s="3" t="s">
        <v>5</v>
      </c>
      <c r="C391" s="3" t="s">
        <v>6</v>
      </c>
      <c r="D391" s="3" t="s">
        <v>7</v>
      </c>
      <c r="E391" s="3" t="s">
        <v>8</v>
      </c>
      <c r="F391" s="3" t="s">
        <v>9</v>
      </c>
      <c r="G391" s="3" t="s">
        <v>10</v>
      </c>
      <c r="H391" s="3" t="s">
        <v>21</v>
      </c>
      <c r="I391" s="4" t="s">
        <v>22</v>
      </c>
      <c r="J391" s="4" t="s">
        <v>11</v>
      </c>
      <c r="K391" s="4" t="s">
        <v>12</v>
      </c>
    </row>
    <row r="392" spans="1:11">
      <c r="A392" s="5">
        <v>105</v>
      </c>
      <c r="B392" s="6">
        <v>45185</v>
      </c>
      <c r="C392" s="7">
        <v>0.7</v>
      </c>
      <c r="D392" s="5">
        <v>8.2899999999999991</v>
      </c>
      <c r="E392" s="5">
        <v>1105.3</v>
      </c>
      <c r="F392" s="5">
        <v>1121.9000000000001</v>
      </c>
      <c r="G392" s="6">
        <v>45185</v>
      </c>
      <c r="H392" s="5"/>
      <c r="I392" s="5"/>
      <c r="J392" s="5">
        <f t="shared" ref="J392:J403" si="41">F392-E392</f>
        <v>16.600000000000136</v>
      </c>
      <c r="K392" s="8" t="b">
        <f t="shared" ref="K392:K403" si="42">E392=F391</f>
        <v>0</v>
      </c>
    </row>
    <row r="393" spans="1:11">
      <c r="A393" s="5">
        <v>105</v>
      </c>
      <c r="B393" s="6">
        <v>45200</v>
      </c>
      <c r="C393" s="7">
        <v>0.5</v>
      </c>
      <c r="D393" s="5">
        <v>11.6</v>
      </c>
      <c r="E393" s="5">
        <v>1121.9000000000001</v>
      </c>
      <c r="F393" s="5">
        <v>1144.5</v>
      </c>
      <c r="G393" s="6">
        <v>45200</v>
      </c>
      <c r="H393" s="5"/>
      <c r="I393" s="5"/>
      <c r="J393" s="5">
        <f>F393-E393</f>
        <v>22.599999999999909</v>
      </c>
      <c r="K393" s="8" t="b">
        <f t="shared" si="42"/>
        <v>1</v>
      </c>
    </row>
    <row r="394" spans="1:11">
      <c r="A394" s="5">
        <v>105</v>
      </c>
      <c r="B394" s="6">
        <v>45208</v>
      </c>
      <c r="C394" s="7">
        <v>0.6</v>
      </c>
      <c r="D394" s="5">
        <v>8.6</v>
      </c>
      <c r="E394" s="5">
        <v>1144.5</v>
      </c>
      <c r="F394" s="5">
        <v>1167</v>
      </c>
      <c r="G394" s="6">
        <v>45208</v>
      </c>
      <c r="H394" s="5"/>
      <c r="I394" s="5"/>
      <c r="J394" s="5">
        <f t="shared" si="41"/>
        <v>22.5</v>
      </c>
      <c r="K394" s="8" t="b">
        <f t="shared" si="42"/>
        <v>1</v>
      </c>
    </row>
    <row r="395" spans="1:11">
      <c r="A395" s="5">
        <v>105</v>
      </c>
      <c r="B395" s="6">
        <v>45209</v>
      </c>
      <c r="C395" s="7">
        <v>1</v>
      </c>
      <c r="D395" s="5">
        <v>5.16</v>
      </c>
      <c r="E395" s="5">
        <v>1264.5</v>
      </c>
      <c r="F395" s="5">
        <v>1277.2</v>
      </c>
      <c r="G395" s="6">
        <v>45209</v>
      </c>
      <c r="H395" s="5"/>
      <c r="I395" s="5"/>
      <c r="J395" s="5">
        <f t="shared" si="41"/>
        <v>12.700000000000045</v>
      </c>
      <c r="K395" s="8" t="b">
        <f t="shared" si="42"/>
        <v>0</v>
      </c>
    </row>
    <row r="396" spans="1:11">
      <c r="A396" s="5">
        <v>105</v>
      </c>
      <c r="B396" s="6">
        <v>45210</v>
      </c>
      <c r="C396" s="7">
        <v>1</v>
      </c>
      <c r="D396" s="5">
        <v>5.16</v>
      </c>
      <c r="E396" s="5">
        <v>1277.2</v>
      </c>
      <c r="F396" s="5">
        <v>1289.0999999999999</v>
      </c>
      <c r="G396" s="6">
        <v>45210</v>
      </c>
      <c r="H396" s="5"/>
      <c r="I396" s="5"/>
      <c r="J396" s="5">
        <f t="shared" si="41"/>
        <v>11.899999999999864</v>
      </c>
      <c r="K396" s="8" t="b">
        <f t="shared" si="42"/>
        <v>1</v>
      </c>
    </row>
    <row r="397" spans="1:11">
      <c r="A397" s="5">
        <v>105</v>
      </c>
      <c r="B397" s="6">
        <v>45211</v>
      </c>
      <c r="C397" s="7">
        <v>1</v>
      </c>
      <c r="D397" s="5">
        <v>5.16</v>
      </c>
      <c r="E397" s="5">
        <v>1289.0999999999999</v>
      </c>
      <c r="F397" s="5">
        <v>1300.2</v>
      </c>
      <c r="G397" s="6">
        <v>45211</v>
      </c>
      <c r="H397" s="5"/>
      <c r="I397" s="5"/>
      <c r="J397" s="5">
        <f t="shared" si="41"/>
        <v>11.100000000000136</v>
      </c>
      <c r="K397" s="8" t="b">
        <f t="shared" si="42"/>
        <v>1</v>
      </c>
    </row>
    <row r="398" spans="1:11">
      <c r="A398" s="5">
        <v>105</v>
      </c>
      <c r="B398" s="6">
        <v>45212</v>
      </c>
      <c r="C398" s="7">
        <v>1</v>
      </c>
      <c r="D398" s="5">
        <v>5.16</v>
      </c>
      <c r="E398" s="5">
        <v>1300.2</v>
      </c>
      <c r="F398" s="5">
        <v>1311.7</v>
      </c>
      <c r="G398" s="6">
        <v>45212</v>
      </c>
      <c r="H398" s="5"/>
      <c r="I398" s="5"/>
      <c r="J398" s="5">
        <f t="shared" si="41"/>
        <v>11.5</v>
      </c>
      <c r="K398" s="8" t="b">
        <f t="shared" si="42"/>
        <v>1</v>
      </c>
    </row>
    <row r="399" spans="1:11">
      <c r="A399" s="5">
        <v>105</v>
      </c>
      <c r="B399" s="6">
        <v>45213</v>
      </c>
      <c r="C399" s="7">
        <v>1</v>
      </c>
      <c r="D399" s="5">
        <v>5.16</v>
      </c>
      <c r="E399" s="5">
        <v>1311.7</v>
      </c>
      <c r="F399" s="5">
        <v>1323.2</v>
      </c>
      <c r="G399" s="6">
        <v>45213</v>
      </c>
      <c r="H399" s="5"/>
      <c r="I399" s="5"/>
      <c r="J399" s="5">
        <f t="shared" si="41"/>
        <v>11.5</v>
      </c>
      <c r="K399" s="8" t="b">
        <f t="shared" si="42"/>
        <v>1</v>
      </c>
    </row>
    <row r="400" spans="1:11">
      <c r="A400" s="5">
        <v>105</v>
      </c>
      <c r="B400" s="6">
        <v>45214</v>
      </c>
      <c r="C400" s="7">
        <v>1</v>
      </c>
      <c r="D400" s="5">
        <v>5.16</v>
      </c>
      <c r="E400" s="5">
        <v>1323.2</v>
      </c>
      <c r="F400" s="5">
        <v>1334.6</v>
      </c>
      <c r="G400" s="6">
        <v>45214</v>
      </c>
      <c r="H400" s="5"/>
      <c r="I400" s="5"/>
      <c r="J400" s="5">
        <f t="shared" si="41"/>
        <v>11.399999999999864</v>
      </c>
      <c r="K400" s="8" t="b">
        <f t="shared" si="42"/>
        <v>1</v>
      </c>
    </row>
    <row r="401" spans="1:11">
      <c r="A401" s="5">
        <v>105</v>
      </c>
      <c r="B401" s="6">
        <v>45215</v>
      </c>
      <c r="C401" s="7">
        <v>1</v>
      </c>
      <c r="D401" s="5">
        <v>5.16</v>
      </c>
      <c r="E401" s="5">
        <v>1334.6</v>
      </c>
      <c r="F401" s="5">
        <v>1346.1</v>
      </c>
      <c r="G401" s="6">
        <v>45215</v>
      </c>
      <c r="H401" s="5"/>
      <c r="I401" s="5"/>
      <c r="J401" s="5">
        <f t="shared" si="41"/>
        <v>11.5</v>
      </c>
      <c r="K401" s="8" t="b">
        <f t="shared" si="42"/>
        <v>1</v>
      </c>
    </row>
    <row r="402" spans="1:11">
      <c r="A402" s="5">
        <v>105</v>
      </c>
      <c r="B402" s="6">
        <v>45216</v>
      </c>
      <c r="C402" s="7">
        <v>1</v>
      </c>
      <c r="D402" s="5">
        <v>5.16</v>
      </c>
      <c r="E402" s="5">
        <v>1346.1</v>
      </c>
      <c r="F402" s="5">
        <v>1357.6</v>
      </c>
      <c r="G402" s="6">
        <v>45216</v>
      </c>
      <c r="H402" s="5"/>
      <c r="I402" s="5"/>
      <c r="J402" s="5">
        <f t="shared" si="41"/>
        <v>11.5</v>
      </c>
      <c r="K402" s="8" t="b">
        <f t="shared" si="42"/>
        <v>1</v>
      </c>
    </row>
    <row r="403" spans="1:11">
      <c r="A403" s="5">
        <v>105</v>
      </c>
      <c r="B403" s="6">
        <v>45217</v>
      </c>
      <c r="C403" s="7">
        <v>1</v>
      </c>
      <c r="D403" s="5">
        <v>5.16</v>
      </c>
      <c r="E403" s="5">
        <v>1357.6</v>
      </c>
      <c r="F403" s="5">
        <v>1369.1</v>
      </c>
      <c r="G403" s="6">
        <v>45217</v>
      </c>
      <c r="H403" s="5"/>
      <c r="I403" s="5"/>
      <c r="J403" s="5">
        <f t="shared" si="41"/>
        <v>11.5</v>
      </c>
      <c r="K403" s="8" t="b">
        <f t="shared" si="42"/>
        <v>1</v>
      </c>
    </row>
    <row r="404" spans="1:11">
      <c r="A404" s="5">
        <v>105</v>
      </c>
      <c r="B404" s="6">
        <v>45218</v>
      </c>
      <c r="C404" s="7">
        <v>1</v>
      </c>
      <c r="D404" s="5">
        <v>5.16</v>
      </c>
      <c r="E404" s="5">
        <v>1369.1</v>
      </c>
      <c r="F404" s="5">
        <v>1380.8</v>
      </c>
      <c r="G404" s="6">
        <v>45218</v>
      </c>
      <c r="H404" s="5"/>
      <c r="I404" s="5"/>
      <c r="J404" s="5">
        <f t="shared" ref="J404:J415" si="43">F404-E404</f>
        <v>11.700000000000045</v>
      </c>
      <c r="K404" s="8" t="b">
        <f t="shared" ref="K404:K415" si="44">E404=F403</f>
        <v>1</v>
      </c>
    </row>
    <row r="405" spans="1:11">
      <c r="A405" s="5">
        <v>105</v>
      </c>
      <c r="B405" s="6">
        <v>45219</v>
      </c>
      <c r="C405" s="7">
        <v>1</v>
      </c>
      <c r="D405" s="5">
        <v>5.16</v>
      </c>
      <c r="E405" s="5">
        <v>1380.8</v>
      </c>
      <c r="F405" s="5">
        <v>1392.3</v>
      </c>
      <c r="G405" s="6">
        <v>45219</v>
      </c>
      <c r="H405" s="5"/>
      <c r="I405" s="5"/>
      <c r="J405" s="5">
        <f t="shared" si="43"/>
        <v>11.5</v>
      </c>
      <c r="K405" s="8" t="b">
        <f t="shared" si="44"/>
        <v>1</v>
      </c>
    </row>
    <row r="406" spans="1:11">
      <c r="A406" s="5">
        <v>105</v>
      </c>
      <c r="B406" s="6">
        <v>45220</v>
      </c>
      <c r="C406" s="7">
        <v>1</v>
      </c>
      <c r="D406" s="5">
        <v>5.16</v>
      </c>
      <c r="E406" s="5">
        <v>1392.3</v>
      </c>
      <c r="F406" s="5">
        <v>1403.7</v>
      </c>
      <c r="G406" s="6">
        <v>45220</v>
      </c>
      <c r="H406" s="5"/>
      <c r="I406" s="5"/>
      <c r="J406" s="5">
        <f t="shared" si="43"/>
        <v>11.400000000000091</v>
      </c>
      <c r="K406" s="8" t="b">
        <f t="shared" si="44"/>
        <v>1</v>
      </c>
    </row>
    <row r="407" spans="1:11">
      <c r="A407" s="5">
        <v>105</v>
      </c>
      <c r="B407" s="6">
        <v>45221</v>
      </c>
      <c r="C407" s="7">
        <v>1</v>
      </c>
      <c r="D407" s="5">
        <v>5.16</v>
      </c>
      <c r="E407" s="5">
        <v>1403.7</v>
      </c>
      <c r="F407" s="5">
        <v>1415.2</v>
      </c>
      <c r="G407" s="6">
        <v>45221</v>
      </c>
      <c r="H407" s="5"/>
      <c r="I407" s="5"/>
      <c r="J407" s="5">
        <f t="shared" si="43"/>
        <v>11.5</v>
      </c>
      <c r="K407" s="8" t="b">
        <f t="shared" si="44"/>
        <v>1</v>
      </c>
    </row>
    <row r="408" spans="1:11">
      <c r="A408" s="5">
        <v>105</v>
      </c>
      <c r="B408" s="6">
        <v>45222</v>
      </c>
      <c r="C408" s="7">
        <v>1</v>
      </c>
      <c r="D408" s="5">
        <v>5.16</v>
      </c>
      <c r="E408" s="5">
        <v>1415.2</v>
      </c>
      <c r="F408" s="5">
        <v>1426.7</v>
      </c>
      <c r="G408" s="6">
        <v>45222</v>
      </c>
      <c r="H408" s="5"/>
      <c r="I408" s="5"/>
      <c r="J408" s="5">
        <f t="shared" si="43"/>
        <v>11.5</v>
      </c>
      <c r="K408" s="8" t="b">
        <f t="shared" si="44"/>
        <v>1</v>
      </c>
    </row>
    <row r="409" spans="1:11">
      <c r="A409" s="5">
        <v>105</v>
      </c>
      <c r="B409" s="6">
        <v>45223</v>
      </c>
      <c r="C409" s="7">
        <v>0.8</v>
      </c>
      <c r="D409" s="5">
        <v>6.45</v>
      </c>
      <c r="E409" s="5">
        <v>1426.7</v>
      </c>
      <c r="F409" s="5">
        <v>1441.5</v>
      </c>
      <c r="G409" s="6">
        <v>45223</v>
      </c>
      <c r="H409" s="5"/>
      <c r="I409" s="5"/>
      <c r="J409" s="5">
        <f t="shared" si="43"/>
        <v>14.799999999999955</v>
      </c>
      <c r="K409" s="8" t="b">
        <f t="shared" si="44"/>
        <v>1</v>
      </c>
    </row>
    <row r="410" spans="1:11">
      <c r="A410" s="80">
        <v>105</v>
      </c>
      <c r="B410" s="81">
        <v>45224</v>
      </c>
      <c r="C410" s="82">
        <v>1</v>
      </c>
      <c r="D410" s="80">
        <v>5.16</v>
      </c>
      <c r="E410" s="80">
        <v>1441.5</v>
      </c>
      <c r="F410" s="80">
        <v>1453</v>
      </c>
      <c r="G410" s="81">
        <v>45224</v>
      </c>
      <c r="H410" s="80"/>
      <c r="I410" s="80"/>
      <c r="J410" s="80">
        <f t="shared" si="43"/>
        <v>11.5</v>
      </c>
      <c r="K410" s="8" t="b">
        <f>E410=F409</f>
        <v>1</v>
      </c>
    </row>
    <row r="411" spans="1:11">
      <c r="A411" s="5">
        <v>105</v>
      </c>
      <c r="B411" s="6">
        <v>45227</v>
      </c>
      <c r="C411" s="7">
        <v>0.8</v>
      </c>
      <c r="D411" s="5">
        <v>6.45</v>
      </c>
      <c r="E411" s="5">
        <v>1453</v>
      </c>
      <c r="F411" s="5">
        <v>1467.2</v>
      </c>
      <c r="G411" s="6">
        <v>45227</v>
      </c>
      <c r="H411" s="5"/>
      <c r="I411" s="5"/>
      <c r="J411" s="5">
        <f t="shared" si="43"/>
        <v>14.200000000000045</v>
      </c>
      <c r="K411" s="8" t="b">
        <f t="shared" si="44"/>
        <v>1</v>
      </c>
    </row>
    <row r="412" spans="1:11">
      <c r="A412" s="5">
        <v>105</v>
      </c>
      <c r="B412" s="6">
        <v>45229</v>
      </c>
      <c r="C412" s="7">
        <v>0.8</v>
      </c>
      <c r="D412" s="5">
        <v>6.45</v>
      </c>
      <c r="E412" s="5">
        <v>1467.2</v>
      </c>
      <c r="F412" s="5">
        <v>1481.4</v>
      </c>
      <c r="G412" s="6">
        <v>45229</v>
      </c>
      <c r="H412" s="5"/>
      <c r="I412" s="5"/>
      <c r="J412" s="5">
        <f t="shared" si="43"/>
        <v>14.200000000000045</v>
      </c>
      <c r="K412" s="8" t="b">
        <f t="shared" si="44"/>
        <v>1</v>
      </c>
    </row>
    <row r="413" spans="1:11">
      <c r="A413" s="5">
        <v>105</v>
      </c>
      <c r="B413" s="6">
        <v>45231</v>
      </c>
      <c r="C413" s="7">
        <v>0.8</v>
      </c>
      <c r="D413" s="5">
        <v>6.45</v>
      </c>
      <c r="E413" s="5">
        <v>1481.4</v>
      </c>
      <c r="F413" s="5">
        <v>1495.7</v>
      </c>
      <c r="G413" s="6">
        <v>45231</v>
      </c>
      <c r="H413" s="5"/>
      <c r="I413" s="5"/>
      <c r="J413" s="5">
        <f t="shared" si="43"/>
        <v>14.299999999999955</v>
      </c>
      <c r="K413" s="8" t="b">
        <f t="shared" si="44"/>
        <v>1</v>
      </c>
    </row>
    <row r="414" spans="1:11">
      <c r="A414" s="101">
        <v>105</v>
      </c>
      <c r="B414" s="102">
        <v>45234</v>
      </c>
      <c r="C414" s="103">
        <v>0.8</v>
      </c>
      <c r="D414" s="101">
        <v>7.45</v>
      </c>
      <c r="E414" s="101">
        <v>1495.7</v>
      </c>
      <c r="F414" s="101">
        <v>1505.9</v>
      </c>
      <c r="G414" s="102">
        <v>45234</v>
      </c>
      <c r="H414" s="101"/>
      <c r="I414" s="101"/>
      <c r="J414" s="101">
        <f t="shared" si="43"/>
        <v>10.200000000000045</v>
      </c>
      <c r="K414" s="8" t="b">
        <f t="shared" si="44"/>
        <v>1</v>
      </c>
    </row>
    <row r="415" spans="1:11">
      <c r="A415" s="5">
        <v>105</v>
      </c>
      <c r="B415" s="6">
        <v>45236</v>
      </c>
      <c r="C415" s="7">
        <v>0.8</v>
      </c>
      <c r="D415" s="5">
        <v>6.45</v>
      </c>
      <c r="E415" s="5">
        <v>1505.9</v>
      </c>
      <c r="F415" s="5">
        <v>1521.7</v>
      </c>
      <c r="G415" s="6">
        <v>45236</v>
      </c>
      <c r="H415" s="5"/>
      <c r="I415" s="5"/>
      <c r="J415" s="5">
        <f t="shared" si="43"/>
        <v>15.799999999999955</v>
      </c>
      <c r="K415" s="8" t="b">
        <f t="shared" si="44"/>
        <v>1</v>
      </c>
    </row>
    <row r="416" spans="1:11">
      <c r="A416" s="5">
        <v>105</v>
      </c>
      <c r="B416" s="6">
        <v>45238</v>
      </c>
      <c r="C416" s="7">
        <v>0.8</v>
      </c>
      <c r="D416" s="5">
        <v>6.45</v>
      </c>
      <c r="E416" s="5">
        <v>1521.7</v>
      </c>
      <c r="F416" s="5">
        <v>1536.2</v>
      </c>
      <c r="G416" s="6">
        <v>45238</v>
      </c>
      <c r="H416" s="5"/>
      <c r="I416" s="5"/>
      <c r="J416" s="5">
        <f t="shared" ref="J416:J442" si="45">F416-E416</f>
        <v>14.5</v>
      </c>
      <c r="K416" s="8" t="b">
        <f t="shared" ref="K416:K442" si="46">E416=F415</f>
        <v>1</v>
      </c>
    </row>
    <row r="417" spans="1:11">
      <c r="A417" s="49">
        <v>105</v>
      </c>
      <c r="B417" s="50">
        <v>45240</v>
      </c>
      <c r="C417" s="51">
        <v>1</v>
      </c>
      <c r="D417" s="49">
        <v>5.16</v>
      </c>
      <c r="E417" s="49">
        <v>1536.2</v>
      </c>
      <c r="F417" s="49">
        <v>1547.9</v>
      </c>
      <c r="G417" s="50">
        <v>45240</v>
      </c>
      <c r="H417" s="49"/>
      <c r="I417" s="49"/>
      <c r="J417" s="49">
        <f>F417-E417</f>
        <v>11.700000000000045</v>
      </c>
      <c r="K417" s="8" t="b">
        <f t="shared" si="46"/>
        <v>1</v>
      </c>
    </row>
    <row r="418" spans="1:11">
      <c r="A418" s="5">
        <v>105</v>
      </c>
      <c r="B418" s="6">
        <v>45242</v>
      </c>
      <c r="C418" s="7">
        <v>0.75</v>
      </c>
      <c r="D418" s="5">
        <v>6.88</v>
      </c>
      <c r="E418" s="5">
        <v>1547.9</v>
      </c>
      <c r="F418" s="5">
        <v>1563.1</v>
      </c>
      <c r="G418" s="6">
        <v>45242</v>
      </c>
      <c r="H418" s="5"/>
      <c r="I418" s="5"/>
      <c r="J418" s="5">
        <f t="shared" si="45"/>
        <v>15.199999999999818</v>
      </c>
      <c r="K418" s="8" t="b">
        <f t="shared" si="46"/>
        <v>1</v>
      </c>
    </row>
    <row r="419" spans="1:11">
      <c r="A419" s="5">
        <v>105</v>
      </c>
      <c r="B419" s="6">
        <v>45244</v>
      </c>
      <c r="C419" s="7">
        <v>0.75</v>
      </c>
      <c r="D419" s="5">
        <v>6.88</v>
      </c>
      <c r="E419" s="5">
        <v>1563.1</v>
      </c>
      <c r="F419" s="5">
        <v>1579.2</v>
      </c>
      <c r="G419" s="6">
        <v>45244</v>
      </c>
      <c r="H419" s="5"/>
      <c r="I419" s="5"/>
      <c r="J419" s="5">
        <f t="shared" si="45"/>
        <v>16.100000000000136</v>
      </c>
      <c r="K419" s="8" t="b">
        <f t="shared" si="46"/>
        <v>1</v>
      </c>
    </row>
    <row r="420" spans="1:11">
      <c r="A420" s="5">
        <v>105</v>
      </c>
      <c r="B420" s="6">
        <v>45246</v>
      </c>
      <c r="C420" s="7">
        <v>0.7</v>
      </c>
      <c r="D420" s="5">
        <v>7.37</v>
      </c>
      <c r="E420" s="5">
        <v>1579.2</v>
      </c>
      <c r="F420" s="5">
        <v>1595.5</v>
      </c>
      <c r="G420" s="6">
        <v>45246</v>
      </c>
      <c r="H420" s="5"/>
      <c r="I420" s="5"/>
      <c r="J420" s="5">
        <f t="shared" si="45"/>
        <v>16.299999999999955</v>
      </c>
      <c r="K420" s="8" t="b">
        <f t="shared" si="46"/>
        <v>1</v>
      </c>
    </row>
    <row r="421" spans="1:11">
      <c r="A421" s="5">
        <v>105</v>
      </c>
      <c r="B421" s="6">
        <v>45248</v>
      </c>
      <c r="C421" s="7">
        <v>0.7</v>
      </c>
      <c r="D421" s="5">
        <v>7.37</v>
      </c>
      <c r="E421" s="5">
        <v>1595.5</v>
      </c>
      <c r="F421" s="5">
        <v>1612</v>
      </c>
      <c r="G421" s="6">
        <v>45248</v>
      </c>
      <c r="H421" s="5"/>
      <c r="I421" s="5"/>
      <c r="J421" s="5">
        <f t="shared" si="45"/>
        <v>16.5</v>
      </c>
      <c r="K421" s="8" t="b">
        <f t="shared" si="46"/>
        <v>1</v>
      </c>
    </row>
    <row r="422" spans="1:11">
      <c r="A422" s="5">
        <v>105</v>
      </c>
      <c r="B422" s="6">
        <v>45250</v>
      </c>
      <c r="C422" s="7">
        <v>0.7</v>
      </c>
      <c r="D422" s="5">
        <v>7.37</v>
      </c>
      <c r="E422" s="5">
        <v>1612</v>
      </c>
      <c r="F422" s="5">
        <v>1630.1</v>
      </c>
      <c r="G422" s="6">
        <v>45250</v>
      </c>
      <c r="H422" s="5"/>
      <c r="I422" s="5"/>
      <c r="J422" s="5">
        <f t="shared" si="45"/>
        <v>18.099999999999909</v>
      </c>
      <c r="K422" s="8" t="b">
        <f t="shared" si="46"/>
        <v>1</v>
      </c>
    </row>
    <row r="423" spans="1:11">
      <c r="A423" s="5">
        <v>105</v>
      </c>
      <c r="B423" s="6">
        <v>45252</v>
      </c>
      <c r="C423" s="7">
        <v>0.7</v>
      </c>
      <c r="D423" s="5">
        <v>7.37</v>
      </c>
      <c r="E423" s="5">
        <v>1630.1</v>
      </c>
      <c r="F423" s="5">
        <v>1647.1</v>
      </c>
      <c r="G423" s="6">
        <v>45252</v>
      </c>
      <c r="H423" s="5"/>
      <c r="I423" s="5"/>
      <c r="J423" s="5">
        <f t="shared" si="45"/>
        <v>17</v>
      </c>
      <c r="K423" s="8" t="b">
        <f t="shared" si="46"/>
        <v>1</v>
      </c>
    </row>
    <row r="424" spans="1:11">
      <c r="A424" s="5">
        <v>105</v>
      </c>
      <c r="B424" s="6">
        <v>45254</v>
      </c>
      <c r="C424" s="7">
        <v>0.6</v>
      </c>
      <c r="D424" s="5">
        <v>8.6</v>
      </c>
      <c r="E424" s="5">
        <v>1647.1</v>
      </c>
      <c r="F424" s="5">
        <v>1663.3</v>
      </c>
      <c r="G424" s="6">
        <v>45254</v>
      </c>
      <c r="H424" s="5"/>
      <c r="I424" s="5"/>
      <c r="J424" s="5">
        <f t="shared" si="45"/>
        <v>16.200000000000045</v>
      </c>
      <c r="K424" s="8" t="b">
        <f t="shared" si="46"/>
        <v>1</v>
      </c>
    </row>
    <row r="425" spans="1:11">
      <c r="A425" s="5">
        <v>105</v>
      </c>
      <c r="B425" s="6">
        <v>45256</v>
      </c>
      <c r="C425" s="7">
        <v>0.6</v>
      </c>
      <c r="D425" s="5">
        <v>8.6</v>
      </c>
      <c r="E425" s="5">
        <v>1663.3</v>
      </c>
      <c r="F425" s="5">
        <v>1682.2</v>
      </c>
      <c r="G425" s="6">
        <v>45256</v>
      </c>
      <c r="H425" s="5"/>
      <c r="I425" s="5"/>
      <c r="J425" s="5">
        <f t="shared" si="45"/>
        <v>18.900000000000091</v>
      </c>
      <c r="K425" s="8" t="b">
        <f t="shared" si="46"/>
        <v>1</v>
      </c>
    </row>
    <row r="426" spans="1:11">
      <c r="A426" s="5">
        <v>105</v>
      </c>
      <c r="B426" s="6">
        <v>45258</v>
      </c>
      <c r="C426" s="7">
        <v>0.6</v>
      </c>
      <c r="D426" s="5">
        <v>8.6</v>
      </c>
      <c r="E426" s="5">
        <v>1682.2</v>
      </c>
      <c r="F426" s="5">
        <v>1701.2</v>
      </c>
      <c r="G426" s="6">
        <v>45258</v>
      </c>
      <c r="H426" s="5"/>
      <c r="I426" s="5"/>
      <c r="J426" s="5">
        <f t="shared" si="45"/>
        <v>19</v>
      </c>
      <c r="K426" s="8" t="b">
        <f t="shared" si="46"/>
        <v>1</v>
      </c>
    </row>
    <row r="427" spans="1:11">
      <c r="A427" s="5">
        <v>105</v>
      </c>
      <c r="B427" s="6">
        <v>45259</v>
      </c>
      <c r="C427" s="7">
        <v>1</v>
      </c>
      <c r="D427" s="5">
        <v>5.16</v>
      </c>
      <c r="E427" s="5">
        <v>1701.2</v>
      </c>
      <c r="F427" s="5">
        <v>1712.7</v>
      </c>
      <c r="G427" s="6">
        <v>45259</v>
      </c>
      <c r="H427" s="5"/>
      <c r="I427" s="5"/>
      <c r="J427" s="5">
        <f t="shared" si="45"/>
        <v>11.5</v>
      </c>
      <c r="K427" s="8" t="b">
        <f t="shared" si="46"/>
        <v>1</v>
      </c>
    </row>
    <row r="428" spans="1:11">
      <c r="A428" s="5">
        <v>105</v>
      </c>
      <c r="B428" s="6">
        <v>45260</v>
      </c>
      <c r="C428" s="7">
        <v>0.6</v>
      </c>
      <c r="D428" s="5">
        <v>8.6</v>
      </c>
      <c r="E428" s="5">
        <v>1712.7</v>
      </c>
      <c r="F428" s="5">
        <v>1731.6</v>
      </c>
      <c r="G428" s="6">
        <v>45260</v>
      </c>
      <c r="H428" s="5"/>
      <c r="I428" s="5"/>
      <c r="J428" s="5">
        <f t="shared" si="45"/>
        <v>18.899999999999864</v>
      </c>
      <c r="K428" s="8" t="b">
        <f t="shared" si="46"/>
        <v>1</v>
      </c>
    </row>
    <row r="429" spans="1:11">
      <c r="A429" s="5">
        <v>105</v>
      </c>
      <c r="B429" s="6">
        <v>45262</v>
      </c>
      <c r="C429" s="7">
        <v>0.45</v>
      </c>
      <c r="D429" s="5"/>
      <c r="E429" s="5">
        <v>1731.6</v>
      </c>
      <c r="F429" s="5">
        <v>1756.5</v>
      </c>
      <c r="G429" s="6">
        <v>45262</v>
      </c>
      <c r="H429" s="5"/>
      <c r="I429" s="5"/>
      <c r="J429" s="5">
        <f t="shared" si="45"/>
        <v>24.900000000000091</v>
      </c>
      <c r="K429" s="8" t="b">
        <f t="shared" si="46"/>
        <v>1</v>
      </c>
    </row>
    <row r="430" spans="1:11">
      <c r="A430" s="5">
        <v>105</v>
      </c>
      <c r="B430" s="6">
        <v>45264</v>
      </c>
      <c r="C430" s="7">
        <v>0.7</v>
      </c>
      <c r="D430" s="5">
        <v>7.37</v>
      </c>
      <c r="E430" s="5">
        <v>1756.5</v>
      </c>
      <c r="F430" s="5">
        <v>1772.6</v>
      </c>
      <c r="G430" s="6">
        <v>45264</v>
      </c>
      <c r="H430" s="5"/>
      <c r="I430" s="5"/>
      <c r="J430" s="5">
        <f t="shared" si="45"/>
        <v>16.099999999999909</v>
      </c>
      <c r="K430" s="8" t="b">
        <f t="shared" si="46"/>
        <v>1</v>
      </c>
    </row>
    <row r="431" spans="1:11">
      <c r="A431" s="5">
        <v>105</v>
      </c>
      <c r="B431" s="6">
        <v>45266</v>
      </c>
      <c r="C431" s="7">
        <v>0.6</v>
      </c>
      <c r="D431" s="5">
        <v>8.6</v>
      </c>
      <c r="E431" s="5">
        <v>1772.6</v>
      </c>
      <c r="F431" s="5">
        <v>1791.6</v>
      </c>
      <c r="G431" s="6">
        <v>45266</v>
      </c>
      <c r="H431" s="5"/>
      <c r="I431" s="5"/>
      <c r="J431" s="5">
        <f t="shared" si="45"/>
        <v>19</v>
      </c>
      <c r="K431" s="8" t="b">
        <f t="shared" si="46"/>
        <v>1</v>
      </c>
    </row>
    <row r="432" spans="1:11">
      <c r="A432" s="5">
        <v>105</v>
      </c>
      <c r="B432" s="6">
        <v>45268</v>
      </c>
      <c r="C432" s="7">
        <v>0.6</v>
      </c>
      <c r="D432" s="5">
        <v>8.6</v>
      </c>
      <c r="E432" s="5">
        <v>1791.6</v>
      </c>
      <c r="F432" s="5">
        <v>1810.5</v>
      </c>
      <c r="G432" s="6">
        <v>45268</v>
      </c>
      <c r="H432" s="5"/>
      <c r="I432" s="5"/>
      <c r="J432" s="5">
        <f t="shared" si="45"/>
        <v>18.900000000000091</v>
      </c>
      <c r="K432" s="8" t="b">
        <f t="shared" si="46"/>
        <v>1</v>
      </c>
    </row>
    <row r="433" spans="1:11">
      <c r="A433" s="5">
        <v>105</v>
      </c>
      <c r="B433" s="6">
        <v>45270</v>
      </c>
      <c r="C433" s="7">
        <v>0.6</v>
      </c>
      <c r="D433" s="5">
        <v>8.6</v>
      </c>
      <c r="E433" s="5">
        <v>1810.5</v>
      </c>
      <c r="F433" s="5">
        <v>1829.2</v>
      </c>
      <c r="G433" s="6">
        <v>45270</v>
      </c>
      <c r="H433" s="5"/>
      <c r="I433" s="5"/>
      <c r="J433" s="5">
        <f t="shared" si="45"/>
        <v>18.700000000000045</v>
      </c>
      <c r="K433" s="8" t="b">
        <f t="shared" si="46"/>
        <v>1</v>
      </c>
    </row>
    <row r="434" spans="1:11">
      <c r="A434" s="5">
        <v>105</v>
      </c>
      <c r="B434" s="6">
        <v>45272</v>
      </c>
      <c r="C434" s="7">
        <v>0.6</v>
      </c>
      <c r="D434" s="5">
        <v>8.6</v>
      </c>
      <c r="E434" s="5">
        <v>1829.2</v>
      </c>
      <c r="F434" s="5">
        <v>1848.1</v>
      </c>
      <c r="G434" s="6">
        <v>45272</v>
      </c>
      <c r="H434" s="5"/>
      <c r="I434" s="5"/>
      <c r="J434" s="5">
        <f t="shared" si="45"/>
        <v>18.899999999999864</v>
      </c>
      <c r="K434" s="8" t="b">
        <f t="shared" si="46"/>
        <v>1</v>
      </c>
    </row>
    <row r="435" spans="1:11">
      <c r="A435" s="5">
        <v>105</v>
      </c>
      <c r="B435" s="6">
        <v>45273</v>
      </c>
      <c r="C435" s="7">
        <v>1</v>
      </c>
      <c r="D435" s="5">
        <v>5.16</v>
      </c>
      <c r="E435" s="5">
        <v>1848.1</v>
      </c>
      <c r="F435" s="5">
        <v>1859.6</v>
      </c>
      <c r="G435" s="6">
        <v>45273</v>
      </c>
      <c r="H435" s="5"/>
      <c r="I435" s="5"/>
      <c r="J435" s="5">
        <f t="shared" si="45"/>
        <v>11.5</v>
      </c>
      <c r="K435" s="8" t="b">
        <f t="shared" si="46"/>
        <v>1</v>
      </c>
    </row>
    <row r="436" spans="1:11">
      <c r="A436" s="5">
        <v>105</v>
      </c>
      <c r="B436" s="6">
        <v>45274</v>
      </c>
      <c r="C436" s="7">
        <v>0.6</v>
      </c>
      <c r="D436" s="5">
        <v>8.6</v>
      </c>
      <c r="E436" s="5">
        <v>1859.6</v>
      </c>
      <c r="F436" s="5">
        <v>1877.9</v>
      </c>
      <c r="G436" s="6">
        <v>45274</v>
      </c>
      <c r="H436" s="5"/>
      <c r="I436" s="5"/>
      <c r="J436" s="5">
        <f t="shared" si="45"/>
        <v>18.300000000000182</v>
      </c>
      <c r="K436" s="8" t="b">
        <f t="shared" si="46"/>
        <v>1</v>
      </c>
    </row>
    <row r="437" spans="1:11">
      <c r="A437" s="5">
        <v>105</v>
      </c>
      <c r="B437" s="6">
        <v>45276</v>
      </c>
      <c r="C437" s="7">
        <v>0.5</v>
      </c>
      <c r="D437" s="5">
        <v>11.6</v>
      </c>
      <c r="E437" s="5">
        <v>1877.9</v>
      </c>
      <c r="F437" s="5">
        <v>1900.5</v>
      </c>
      <c r="G437" s="6">
        <v>45276</v>
      </c>
      <c r="H437" s="5"/>
      <c r="I437" s="5"/>
      <c r="J437" s="5">
        <f t="shared" si="45"/>
        <v>22.599999999999909</v>
      </c>
      <c r="K437" s="8" t="b">
        <f t="shared" si="46"/>
        <v>1</v>
      </c>
    </row>
    <row r="438" spans="1:11">
      <c r="A438" s="101">
        <v>105</v>
      </c>
      <c r="B438" s="102">
        <v>45280</v>
      </c>
      <c r="C438" s="103">
        <v>0.6</v>
      </c>
      <c r="D438" s="101">
        <v>8.6</v>
      </c>
      <c r="E438" s="101">
        <v>1900.5</v>
      </c>
      <c r="F438" s="101">
        <v>1910.5</v>
      </c>
      <c r="G438" s="102">
        <v>45280</v>
      </c>
      <c r="H438" s="101"/>
      <c r="I438" s="101"/>
      <c r="J438" s="101">
        <f t="shared" si="45"/>
        <v>10</v>
      </c>
      <c r="K438" s="8" t="b">
        <f t="shared" si="46"/>
        <v>1</v>
      </c>
    </row>
    <row r="439" spans="1:11">
      <c r="A439" s="5">
        <v>105</v>
      </c>
      <c r="B439" s="6">
        <v>45282</v>
      </c>
      <c r="C439" s="7">
        <v>1</v>
      </c>
      <c r="D439" s="5">
        <v>5.16</v>
      </c>
      <c r="E439" s="5">
        <v>1910.5</v>
      </c>
      <c r="F439" s="5">
        <v>1922.2</v>
      </c>
      <c r="G439" s="6">
        <v>45282</v>
      </c>
      <c r="H439" s="5"/>
      <c r="I439" s="5"/>
      <c r="J439" s="5">
        <f t="shared" si="45"/>
        <v>11.700000000000045</v>
      </c>
      <c r="K439" s="8" t="b">
        <f t="shared" si="46"/>
        <v>1</v>
      </c>
    </row>
    <row r="440" spans="1:11">
      <c r="A440" s="5">
        <v>105</v>
      </c>
      <c r="B440" s="6">
        <v>45286</v>
      </c>
      <c r="C440" s="7">
        <v>0.6</v>
      </c>
      <c r="D440" s="5">
        <v>5.16</v>
      </c>
      <c r="E440" s="5">
        <v>1922.2</v>
      </c>
      <c r="F440" s="5">
        <v>1941</v>
      </c>
      <c r="G440" s="6">
        <v>45286</v>
      </c>
      <c r="H440" s="5"/>
      <c r="I440" s="5"/>
      <c r="J440" s="5">
        <f t="shared" si="45"/>
        <v>18.799999999999955</v>
      </c>
      <c r="K440" s="8" t="b">
        <f t="shared" si="46"/>
        <v>1</v>
      </c>
    </row>
    <row r="441" spans="1:11">
      <c r="A441" s="5">
        <v>105</v>
      </c>
      <c r="B441" s="6">
        <v>45288</v>
      </c>
      <c r="C441" s="7">
        <v>0.7</v>
      </c>
      <c r="D441" s="5">
        <v>7.37</v>
      </c>
      <c r="E441" s="5">
        <v>1941</v>
      </c>
      <c r="F441" s="5">
        <v>1957.1</v>
      </c>
      <c r="G441" s="6">
        <v>45288</v>
      </c>
      <c r="H441" s="5"/>
      <c r="I441" s="5"/>
      <c r="J441" s="5">
        <f t="shared" si="45"/>
        <v>16.099999999999909</v>
      </c>
      <c r="K441" s="8" t="b">
        <f t="shared" si="46"/>
        <v>1</v>
      </c>
    </row>
    <row r="442" spans="1:11">
      <c r="A442" s="5">
        <v>105</v>
      </c>
      <c r="B442" s="6">
        <v>45290</v>
      </c>
      <c r="C442" s="7">
        <v>0.7</v>
      </c>
      <c r="D442" s="5">
        <v>7.37</v>
      </c>
      <c r="E442" s="5">
        <v>1957.1</v>
      </c>
      <c r="F442" s="5">
        <v>1973.3</v>
      </c>
      <c r="G442" s="6">
        <v>45290</v>
      </c>
      <c r="H442" s="5"/>
      <c r="I442" s="5"/>
      <c r="J442" s="5">
        <f t="shared" si="45"/>
        <v>16.200000000000045</v>
      </c>
      <c r="K442" s="8" t="b">
        <f t="shared" si="46"/>
        <v>1</v>
      </c>
    </row>
    <row r="443" spans="1:11">
      <c r="A443" s="5">
        <v>105</v>
      </c>
      <c r="B443" s="6">
        <v>45293</v>
      </c>
      <c r="C443" s="7">
        <v>0.7</v>
      </c>
      <c r="D443" s="5">
        <v>7.37</v>
      </c>
      <c r="E443" s="5">
        <v>1973.3</v>
      </c>
      <c r="F443" s="5">
        <v>1989.4</v>
      </c>
      <c r="G443" s="6">
        <v>45293</v>
      </c>
      <c r="H443" s="5"/>
      <c r="I443" s="5"/>
      <c r="J443" s="5">
        <f>F443-E443</f>
        <v>16.100000000000136</v>
      </c>
      <c r="K443" s="8" t="b">
        <f t="shared" ref="K443:K461" si="47">E443=F442</f>
        <v>1</v>
      </c>
    </row>
    <row r="444" spans="1:11">
      <c r="A444" s="5">
        <v>105</v>
      </c>
      <c r="B444" s="6">
        <v>45302</v>
      </c>
      <c r="C444" s="7">
        <v>1</v>
      </c>
      <c r="D444" s="5">
        <v>5.16</v>
      </c>
      <c r="E444" s="5">
        <v>1989.4</v>
      </c>
      <c r="F444" s="5">
        <v>2001.1</v>
      </c>
      <c r="G444" s="6">
        <v>45302</v>
      </c>
      <c r="H444" s="5"/>
      <c r="I444" s="5"/>
      <c r="J444" s="5">
        <f>F444-E444</f>
        <v>11.699999999999818</v>
      </c>
      <c r="K444" s="8" t="b">
        <f t="shared" si="47"/>
        <v>1</v>
      </c>
    </row>
    <row r="445" spans="1:11">
      <c r="A445" s="5">
        <v>105</v>
      </c>
      <c r="B445" s="6">
        <v>45308</v>
      </c>
      <c r="C445" s="7">
        <v>1</v>
      </c>
      <c r="D445" s="5">
        <v>5.16</v>
      </c>
      <c r="E445" s="5">
        <v>2001.1</v>
      </c>
      <c r="F445" s="5">
        <v>2012.4</v>
      </c>
      <c r="G445" s="6">
        <v>45308</v>
      </c>
      <c r="H445" s="5"/>
      <c r="I445" s="5"/>
      <c r="J445" s="5">
        <f t="shared" ref="J445:J461" si="48">F445-E445</f>
        <v>11.300000000000182</v>
      </c>
      <c r="K445" s="8" t="b">
        <f t="shared" si="47"/>
        <v>1</v>
      </c>
    </row>
    <row r="446" spans="1:11">
      <c r="A446" s="5">
        <v>105</v>
      </c>
      <c r="B446" s="6">
        <v>45309</v>
      </c>
      <c r="C446" s="7">
        <v>1</v>
      </c>
      <c r="D446" s="5">
        <v>5.16</v>
      </c>
      <c r="E446" s="5">
        <v>2012.4</v>
      </c>
      <c r="F446" s="5">
        <v>2024.1</v>
      </c>
      <c r="G446" s="6">
        <v>45309</v>
      </c>
      <c r="H446" s="5"/>
      <c r="I446" s="5"/>
      <c r="J446" s="5">
        <f t="shared" si="48"/>
        <v>11.699999999999818</v>
      </c>
      <c r="K446" s="8" t="b">
        <f t="shared" si="47"/>
        <v>1</v>
      </c>
    </row>
    <row r="447" spans="1:11" ht="26.25">
      <c r="A447" s="181" t="s">
        <v>64</v>
      </c>
      <c r="B447" s="182"/>
      <c r="C447" s="182"/>
      <c r="D447" s="182"/>
      <c r="E447" s="182"/>
      <c r="F447" s="182"/>
      <c r="G447" s="182"/>
      <c r="H447" s="182"/>
      <c r="I447" s="182"/>
      <c r="J447" s="182"/>
      <c r="K447" s="183"/>
    </row>
    <row r="448" spans="1:11" ht="26.25">
      <c r="A448" s="181" t="s">
        <v>19</v>
      </c>
      <c r="B448" s="182"/>
      <c r="C448" s="182"/>
      <c r="D448" s="182"/>
      <c r="E448" s="182"/>
      <c r="F448" s="182"/>
      <c r="G448" s="182"/>
      <c r="H448" s="182"/>
      <c r="I448" s="182"/>
      <c r="J448" s="182"/>
      <c r="K448" s="183"/>
    </row>
    <row r="449" spans="1:11" ht="15.75" thickBot="1"/>
    <row r="450" spans="1:11" ht="15.75" thickBot="1">
      <c r="A450" s="132" t="s">
        <v>2</v>
      </c>
      <c r="B450" s="133"/>
      <c r="C450" s="133"/>
      <c r="D450" s="133"/>
      <c r="E450" s="133"/>
      <c r="F450" s="133"/>
      <c r="G450" s="133"/>
      <c r="H450" s="133"/>
      <c r="I450" s="133"/>
      <c r="J450" s="133"/>
      <c r="K450" s="134"/>
    </row>
    <row r="452" spans="1:11" ht="19.5" thickBot="1">
      <c r="A452" s="1" t="s">
        <v>3</v>
      </c>
      <c r="B452" s="1"/>
      <c r="C452" s="1"/>
      <c r="D452" s="1"/>
      <c r="E452" s="1"/>
      <c r="F452" s="1"/>
      <c r="G452" s="1"/>
      <c r="H452" s="1"/>
      <c r="I452" s="1"/>
    </row>
    <row r="453" spans="1:11" ht="30.75" thickBot="1">
      <c r="A453" s="2" t="s">
        <v>4</v>
      </c>
      <c r="B453" s="3" t="s">
        <v>5</v>
      </c>
      <c r="C453" s="3" t="s">
        <v>6</v>
      </c>
      <c r="D453" s="3" t="s">
        <v>7</v>
      </c>
      <c r="E453" s="3" t="s">
        <v>8</v>
      </c>
      <c r="F453" s="3" t="s">
        <v>9</v>
      </c>
      <c r="G453" s="3" t="s">
        <v>10</v>
      </c>
      <c r="H453" s="3" t="s">
        <v>21</v>
      </c>
      <c r="I453" s="4" t="s">
        <v>22</v>
      </c>
      <c r="J453" s="4" t="s">
        <v>11</v>
      </c>
      <c r="K453" s="4" t="s">
        <v>12</v>
      </c>
    </row>
    <row r="454" spans="1:11">
      <c r="A454" s="5">
        <v>105</v>
      </c>
      <c r="B454" s="6">
        <v>45319</v>
      </c>
      <c r="C454" s="7">
        <v>0.7</v>
      </c>
      <c r="D454" s="5">
        <v>7.37</v>
      </c>
      <c r="E454" s="5">
        <v>2024.1</v>
      </c>
      <c r="F454" s="5">
        <v>2032.1</v>
      </c>
      <c r="G454" s="6">
        <v>45319</v>
      </c>
      <c r="H454" s="5"/>
      <c r="I454" s="5"/>
      <c r="J454" s="5">
        <f t="shared" si="48"/>
        <v>8</v>
      </c>
      <c r="K454" s="8" t="b">
        <f t="shared" si="47"/>
        <v>0</v>
      </c>
    </row>
    <row r="455" spans="1:11">
      <c r="A455" s="5">
        <v>105</v>
      </c>
      <c r="B455" s="6">
        <v>45320</v>
      </c>
      <c r="C455" s="7">
        <v>0.7</v>
      </c>
      <c r="D455" s="5">
        <v>7.37</v>
      </c>
      <c r="E455" s="5">
        <v>2032.1</v>
      </c>
      <c r="F455" s="5">
        <v>2040.2</v>
      </c>
      <c r="G455" s="6">
        <v>45320</v>
      </c>
      <c r="H455" s="5"/>
      <c r="I455" s="5"/>
      <c r="J455" s="5">
        <f t="shared" si="48"/>
        <v>8.1000000000001364</v>
      </c>
      <c r="K455" s="8" t="b">
        <f t="shared" si="47"/>
        <v>1</v>
      </c>
    </row>
    <row r="456" spans="1:11">
      <c r="A456" s="5">
        <v>105</v>
      </c>
      <c r="B456" s="6">
        <v>45325</v>
      </c>
      <c r="C456" s="7">
        <v>1</v>
      </c>
      <c r="D456" s="5">
        <v>5.16</v>
      </c>
      <c r="E456" s="5">
        <v>2040.2</v>
      </c>
      <c r="F456" s="5">
        <v>2052.1999999999998</v>
      </c>
      <c r="G456" s="6">
        <v>45325</v>
      </c>
      <c r="H456" s="5"/>
      <c r="I456" s="5"/>
      <c r="J456" s="5">
        <f t="shared" si="48"/>
        <v>11.999999999999773</v>
      </c>
      <c r="K456" s="8" t="b">
        <f t="shared" si="47"/>
        <v>1</v>
      </c>
    </row>
    <row r="457" spans="1:11">
      <c r="A457" s="5">
        <v>105</v>
      </c>
      <c r="B457" s="6">
        <v>45326</v>
      </c>
      <c r="C457" s="7">
        <v>1</v>
      </c>
      <c r="D457" s="5">
        <v>5.16</v>
      </c>
      <c r="E457" s="5">
        <v>2052.1999999999998</v>
      </c>
      <c r="F457" s="5">
        <v>2063.9</v>
      </c>
      <c r="G457" s="6">
        <v>45326</v>
      </c>
      <c r="H457" s="5"/>
      <c r="I457" s="5"/>
      <c r="J457" s="5">
        <f t="shared" si="48"/>
        <v>11.700000000000273</v>
      </c>
      <c r="K457" s="8" t="b">
        <f t="shared" si="47"/>
        <v>1</v>
      </c>
    </row>
    <row r="458" spans="1:11">
      <c r="A458" s="5">
        <v>105</v>
      </c>
      <c r="B458" s="6">
        <v>45329</v>
      </c>
      <c r="C458" s="7">
        <v>0.4</v>
      </c>
      <c r="D458" s="5">
        <v>14.5</v>
      </c>
      <c r="E458" s="5">
        <v>2063.9</v>
      </c>
      <c r="F458" s="5">
        <v>2078.6999999999998</v>
      </c>
      <c r="G458" s="6">
        <v>45329</v>
      </c>
      <c r="H458" s="5"/>
      <c r="I458" s="5"/>
      <c r="J458" s="5">
        <f t="shared" si="48"/>
        <v>14.799999999999727</v>
      </c>
      <c r="K458" s="8" t="b">
        <f t="shared" si="47"/>
        <v>1</v>
      </c>
    </row>
    <row r="459" spans="1:11">
      <c r="A459" s="101">
        <v>105</v>
      </c>
      <c r="B459" s="102">
        <v>45330</v>
      </c>
      <c r="C459" s="103">
        <v>0.4</v>
      </c>
      <c r="D459" s="101">
        <v>14.5</v>
      </c>
      <c r="E459" s="101">
        <v>2078.6999999999998</v>
      </c>
      <c r="F459" s="101">
        <v>2090.4</v>
      </c>
      <c r="G459" s="102">
        <v>45330</v>
      </c>
      <c r="H459" s="101"/>
      <c r="I459" s="101"/>
      <c r="J459" s="101">
        <f t="shared" si="48"/>
        <v>11.700000000000273</v>
      </c>
      <c r="K459" s="8" t="b">
        <f t="shared" si="47"/>
        <v>1</v>
      </c>
    </row>
    <row r="460" spans="1:11">
      <c r="A460" s="101">
        <v>105</v>
      </c>
      <c r="B460" s="102">
        <v>45338</v>
      </c>
      <c r="C460" s="103">
        <v>0.5</v>
      </c>
      <c r="D460" s="101">
        <v>11.6</v>
      </c>
      <c r="E460" s="101">
        <v>2090.4</v>
      </c>
      <c r="F460" s="101">
        <v>2095.1999999999998</v>
      </c>
      <c r="G460" s="102">
        <v>45338</v>
      </c>
      <c r="H460" s="101"/>
      <c r="I460" s="101"/>
      <c r="J460" s="101">
        <f t="shared" si="48"/>
        <v>4.7999999999997272</v>
      </c>
      <c r="K460" s="8" t="b">
        <f t="shared" si="47"/>
        <v>1</v>
      </c>
    </row>
    <row r="461" spans="1:11">
      <c r="A461" s="5">
        <v>105</v>
      </c>
      <c r="B461" s="6">
        <v>45346</v>
      </c>
      <c r="C461" s="7">
        <v>1</v>
      </c>
      <c r="D461" s="5">
        <v>5.16</v>
      </c>
      <c r="E461" s="5">
        <v>2095.1999999999998</v>
      </c>
      <c r="F461" s="5">
        <v>2112.5</v>
      </c>
      <c r="G461" s="6">
        <v>45346</v>
      </c>
      <c r="H461" s="5"/>
      <c r="I461" s="5"/>
      <c r="J461" s="5">
        <f t="shared" si="48"/>
        <v>17.300000000000182</v>
      </c>
      <c r="K461" s="8" t="b">
        <f t="shared" si="47"/>
        <v>1</v>
      </c>
    </row>
    <row r="462" spans="1:11">
      <c r="A462" s="5">
        <v>105</v>
      </c>
      <c r="B462" s="6">
        <v>45351</v>
      </c>
      <c r="C462" s="7">
        <v>0.7</v>
      </c>
      <c r="D462" s="5">
        <v>7.37</v>
      </c>
      <c r="E462" s="5">
        <v>2112.5</v>
      </c>
      <c r="F462" s="5">
        <v>2128.6999999999998</v>
      </c>
      <c r="G462" s="6">
        <v>45351</v>
      </c>
      <c r="H462" s="5"/>
      <c r="I462" s="5"/>
      <c r="J462" s="5">
        <f t="shared" ref="J462:J472" si="49">F462-E462</f>
        <v>16.199999999999818</v>
      </c>
      <c r="K462" s="8" t="b">
        <f t="shared" ref="K462:K472" si="50">E462=F461</f>
        <v>1</v>
      </c>
    </row>
    <row r="463" spans="1:11">
      <c r="A463" s="5">
        <v>105</v>
      </c>
      <c r="B463" s="6">
        <v>45360</v>
      </c>
      <c r="C463" s="7">
        <v>0.6</v>
      </c>
      <c r="D463" s="5">
        <v>8.6</v>
      </c>
      <c r="E463" s="5">
        <v>2128.6999999999998</v>
      </c>
      <c r="F463" s="5">
        <v>2147.6</v>
      </c>
      <c r="G463" s="6">
        <v>45360</v>
      </c>
      <c r="H463" s="5"/>
      <c r="I463" s="5"/>
      <c r="J463" s="5">
        <f t="shared" si="49"/>
        <v>18.900000000000091</v>
      </c>
      <c r="K463" s="8" t="b">
        <f t="shared" si="50"/>
        <v>1</v>
      </c>
    </row>
    <row r="464" spans="1:11">
      <c r="A464" s="5">
        <v>105</v>
      </c>
      <c r="B464" s="6">
        <v>45363</v>
      </c>
      <c r="C464" s="7">
        <v>0.8</v>
      </c>
      <c r="D464" s="5">
        <v>6.45</v>
      </c>
      <c r="E464" s="5">
        <v>2147.6</v>
      </c>
      <c r="F464" s="5">
        <v>2167.8000000000002</v>
      </c>
      <c r="G464" s="6">
        <v>45363</v>
      </c>
      <c r="H464" s="5"/>
      <c r="I464" s="5"/>
      <c r="J464" s="5">
        <f t="shared" si="49"/>
        <v>20.200000000000273</v>
      </c>
      <c r="K464" s="8" t="b">
        <f t="shared" si="50"/>
        <v>1</v>
      </c>
    </row>
    <row r="465" spans="1:11">
      <c r="A465" s="5">
        <v>105</v>
      </c>
      <c r="B465" s="6">
        <v>45365</v>
      </c>
      <c r="C465" s="7">
        <v>0.7</v>
      </c>
      <c r="D465" s="5">
        <v>7.37</v>
      </c>
      <c r="E465" s="5">
        <v>2167.8000000000002</v>
      </c>
      <c r="F465" s="5">
        <v>2177.9</v>
      </c>
      <c r="G465" s="6">
        <v>45365</v>
      </c>
      <c r="H465" s="5"/>
      <c r="I465" s="5"/>
      <c r="J465" s="5">
        <f t="shared" si="49"/>
        <v>10.099999999999909</v>
      </c>
      <c r="K465" s="8" t="b">
        <f t="shared" si="50"/>
        <v>1</v>
      </c>
    </row>
    <row r="466" spans="1:11">
      <c r="A466" s="5">
        <v>105</v>
      </c>
      <c r="B466" s="6">
        <v>45367</v>
      </c>
      <c r="C466" s="7">
        <v>0.8</v>
      </c>
      <c r="D466" s="5">
        <v>6.45</v>
      </c>
      <c r="E466" s="5">
        <v>2177.9</v>
      </c>
      <c r="F466" s="5">
        <v>2192.1</v>
      </c>
      <c r="G466" s="6">
        <v>45367</v>
      </c>
      <c r="H466" s="5"/>
      <c r="I466" s="5"/>
      <c r="J466" s="5">
        <f t="shared" si="49"/>
        <v>14.199999999999818</v>
      </c>
      <c r="K466" s="8" t="b">
        <f t="shared" si="50"/>
        <v>1</v>
      </c>
    </row>
    <row r="467" spans="1:11">
      <c r="A467" s="5">
        <v>105</v>
      </c>
      <c r="B467" s="6">
        <v>45371</v>
      </c>
      <c r="C467" s="7">
        <v>0.6</v>
      </c>
      <c r="D467" s="5">
        <v>8.6</v>
      </c>
      <c r="E467" s="5">
        <v>2192.1</v>
      </c>
      <c r="F467" s="5">
        <v>2211</v>
      </c>
      <c r="G467" s="6">
        <v>45371</v>
      </c>
      <c r="H467" s="5"/>
      <c r="I467" s="5"/>
      <c r="J467" s="5">
        <f t="shared" si="49"/>
        <v>18.900000000000091</v>
      </c>
      <c r="K467" s="8" t="b">
        <f t="shared" si="50"/>
        <v>1</v>
      </c>
    </row>
    <row r="468" spans="1:11">
      <c r="A468" s="5">
        <v>105</v>
      </c>
      <c r="B468" s="6">
        <v>45373</v>
      </c>
      <c r="C468" s="7">
        <v>1</v>
      </c>
      <c r="D468" s="5">
        <v>5.16</v>
      </c>
      <c r="E468" s="5">
        <v>2211</v>
      </c>
      <c r="F468" s="5">
        <v>2217</v>
      </c>
      <c r="G468" s="6">
        <v>45373</v>
      </c>
      <c r="H468" s="5"/>
      <c r="I468" s="5"/>
      <c r="J468" s="5">
        <f t="shared" si="49"/>
        <v>6</v>
      </c>
      <c r="K468" s="8" t="b">
        <f t="shared" si="50"/>
        <v>1</v>
      </c>
    </row>
    <row r="469" spans="1:11">
      <c r="A469" s="5">
        <v>105</v>
      </c>
      <c r="B469" s="6">
        <v>45377</v>
      </c>
      <c r="C469" s="7">
        <v>1</v>
      </c>
      <c r="D469" s="5">
        <v>5.16</v>
      </c>
      <c r="E469" s="5">
        <v>2217</v>
      </c>
      <c r="F469" s="5">
        <v>2227.8000000000002</v>
      </c>
      <c r="G469" s="6">
        <v>45377</v>
      </c>
      <c r="H469" s="5"/>
      <c r="I469" s="5"/>
      <c r="J469" s="5">
        <f t="shared" si="49"/>
        <v>10.800000000000182</v>
      </c>
      <c r="K469" s="8" t="b">
        <f t="shared" si="50"/>
        <v>1</v>
      </c>
    </row>
    <row r="470" spans="1:11">
      <c r="A470" s="5">
        <v>105</v>
      </c>
      <c r="B470" s="6">
        <v>45378</v>
      </c>
      <c r="C470" s="7">
        <v>0.9</v>
      </c>
      <c r="D470" s="5">
        <v>6.44</v>
      </c>
      <c r="E470" s="5">
        <v>2227.8000000000002</v>
      </c>
      <c r="F470" s="5">
        <v>2240.1999999999998</v>
      </c>
      <c r="G470" s="6">
        <v>45378</v>
      </c>
      <c r="H470" s="5"/>
      <c r="I470" s="5"/>
      <c r="J470" s="5">
        <f t="shared" si="49"/>
        <v>12.399999999999636</v>
      </c>
      <c r="K470" s="8" t="b">
        <f t="shared" si="50"/>
        <v>1</v>
      </c>
    </row>
    <row r="471" spans="1:11">
      <c r="A471" s="5">
        <v>105</v>
      </c>
      <c r="B471" s="6">
        <v>45380</v>
      </c>
      <c r="C471" s="7">
        <v>0.7</v>
      </c>
      <c r="D471" s="5">
        <v>7.37</v>
      </c>
      <c r="E471" s="5">
        <v>2240.1999999999998</v>
      </c>
      <c r="F471" s="5">
        <v>2256.6999999999998</v>
      </c>
      <c r="G471" s="6">
        <v>45380</v>
      </c>
      <c r="H471" s="5"/>
      <c r="I471" s="5"/>
      <c r="J471" s="5">
        <f t="shared" si="49"/>
        <v>16.5</v>
      </c>
      <c r="K471" s="8" t="b">
        <f t="shared" si="50"/>
        <v>1</v>
      </c>
    </row>
    <row r="472" spans="1:11">
      <c r="A472" s="5">
        <v>105</v>
      </c>
      <c r="B472" s="6">
        <v>45382</v>
      </c>
      <c r="C472" s="7">
        <v>0.6</v>
      </c>
      <c r="D472" s="5">
        <v>8.6</v>
      </c>
      <c r="E472" s="5">
        <v>2266.6999999999998</v>
      </c>
      <c r="F472" s="5">
        <v>2273.6</v>
      </c>
      <c r="G472" s="6">
        <v>45382</v>
      </c>
      <c r="H472" s="5"/>
      <c r="I472" s="5"/>
      <c r="J472" s="5">
        <f t="shared" si="49"/>
        <v>6.9000000000000909</v>
      </c>
      <c r="K472" s="8" t="b">
        <f t="shared" si="50"/>
        <v>0</v>
      </c>
    </row>
    <row r="473" spans="1:11">
      <c r="A473" s="5">
        <v>105</v>
      </c>
      <c r="B473" s="6">
        <v>45385</v>
      </c>
      <c r="C473" s="7">
        <v>1</v>
      </c>
      <c r="D473" s="5">
        <v>5.16</v>
      </c>
      <c r="E473" s="5">
        <v>2273.6</v>
      </c>
      <c r="F473" s="5">
        <v>2287.1</v>
      </c>
      <c r="G473" s="6">
        <v>45385</v>
      </c>
      <c r="H473" s="5"/>
      <c r="I473" s="5"/>
      <c r="J473" s="5">
        <f t="shared" ref="J473:J485" si="51">F473-E473</f>
        <v>13.5</v>
      </c>
      <c r="K473" s="8" t="b">
        <f t="shared" ref="K473:K485" si="52">E473=F472</f>
        <v>1</v>
      </c>
    </row>
    <row r="474" spans="1:11">
      <c r="A474" s="5">
        <v>105</v>
      </c>
      <c r="B474" s="6">
        <v>45393</v>
      </c>
      <c r="C474" s="7">
        <v>0.7</v>
      </c>
      <c r="D474" s="5">
        <v>7.37</v>
      </c>
      <c r="E474" s="5">
        <v>2287.1</v>
      </c>
      <c r="F474" s="5">
        <v>2292.6</v>
      </c>
      <c r="G474" s="6">
        <v>45393</v>
      </c>
      <c r="H474" s="5"/>
      <c r="I474" s="5"/>
      <c r="J474" s="5">
        <f t="shared" si="51"/>
        <v>5.5</v>
      </c>
      <c r="K474" s="8" t="b">
        <f t="shared" si="52"/>
        <v>1</v>
      </c>
    </row>
    <row r="475" spans="1:11">
      <c r="A475" s="5">
        <v>105</v>
      </c>
      <c r="B475" s="6">
        <v>45400</v>
      </c>
      <c r="C475" s="7">
        <v>0.7</v>
      </c>
      <c r="D475" s="5">
        <v>7.37</v>
      </c>
      <c r="E475" s="5">
        <v>2308.9</v>
      </c>
      <c r="F475" s="5">
        <v>2325.4</v>
      </c>
      <c r="G475" s="6">
        <v>45400</v>
      </c>
      <c r="H475" s="5"/>
      <c r="I475" s="5"/>
      <c r="J475" s="5">
        <f t="shared" si="51"/>
        <v>16.5</v>
      </c>
      <c r="K475" s="8" t="b">
        <f t="shared" si="52"/>
        <v>0</v>
      </c>
    </row>
    <row r="476" spans="1:11">
      <c r="A476" s="5">
        <v>105</v>
      </c>
      <c r="B476" s="6">
        <v>45403</v>
      </c>
      <c r="C476" s="7">
        <v>0.7</v>
      </c>
      <c r="D476" s="5">
        <v>7.37</v>
      </c>
      <c r="E476" s="5">
        <v>2325.4</v>
      </c>
      <c r="F476" s="5">
        <v>2341.6999999999998</v>
      </c>
      <c r="G476" s="6">
        <v>45403</v>
      </c>
      <c r="H476" s="5"/>
      <c r="I476" s="5"/>
      <c r="J476" s="5">
        <f t="shared" si="51"/>
        <v>16.299999999999727</v>
      </c>
      <c r="K476" s="8" t="b">
        <f t="shared" si="52"/>
        <v>1</v>
      </c>
    </row>
    <row r="477" spans="1:11">
      <c r="A477" s="5">
        <v>105</v>
      </c>
      <c r="B477" s="6">
        <v>45406</v>
      </c>
      <c r="C477" s="7">
        <v>0.7</v>
      </c>
      <c r="D477" s="5">
        <v>7.37</v>
      </c>
      <c r="E477" s="5">
        <v>2341.6999999999998</v>
      </c>
      <c r="F477" s="5">
        <v>2358</v>
      </c>
      <c r="G477" s="6">
        <v>45406</v>
      </c>
      <c r="H477" s="5"/>
      <c r="I477" s="5"/>
      <c r="J477" s="5">
        <f t="shared" si="51"/>
        <v>16.300000000000182</v>
      </c>
      <c r="K477" s="8" t="b">
        <f t="shared" si="52"/>
        <v>1</v>
      </c>
    </row>
    <row r="478" spans="1:11">
      <c r="A478" s="5">
        <v>105</v>
      </c>
      <c r="B478" s="6">
        <v>45409</v>
      </c>
      <c r="C478" s="7">
        <v>0.7</v>
      </c>
      <c r="D478" s="5">
        <v>7.37</v>
      </c>
      <c r="E478" s="5">
        <v>2358</v>
      </c>
      <c r="F478" s="5">
        <v>2374.3000000000002</v>
      </c>
      <c r="G478" s="6">
        <v>45409</v>
      </c>
      <c r="H478" s="5"/>
      <c r="I478" s="5"/>
      <c r="J478" s="5">
        <f t="shared" si="51"/>
        <v>16.300000000000182</v>
      </c>
      <c r="K478" s="8" t="b">
        <f t="shared" si="52"/>
        <v>1</v>
      </c>
    </row>
    <row r="479" spans="1:11">
      <c r="A479" s="5">
        <v>105</v>
      </c>
      <c r="B479" s="6">
        <v>45412</v>
      </c>
      <c r="C479" s="7">
        <v>0.7</v>
      </c>
      <c r="D479" s="5">
        <v>7.37</v>
      </c>
      <c r="E479" s="5">
        <v>2374.3000000000002</v>
      </c>
      <c r="F479" s="5">
        <v>2390.6</v>
      </c>
      <c r="G479" s="6">
        <v>45412</v>
      </c>
      <c r="H479" s="5"/>
      <c r="I479" s="5"/>
      <c r="J479" s="5">
        <f t="shared" si="51"/>
        <v>16.299999999999727</v>
      </c>
      <c r="K479" s="8" t="b">
        <f t="shared" si="52"/>
        <v>1</v>
      </c>
    </row>
    <row r="480" spans="1:11">
      <c r="A480" s="5">
        <v>105</v>
      </c>
      <c r="B480" s="6">
        <v>45417</v>
      </c>
      <c r="C480" s="7">
        <v>0.7</v>
      </c>
      <c r="D480" s="5">
        <v>7.37</v>
      </c>
      <c r="E480" s="5">
        <v>2390.6</v>
      </c>
      <c r="F480" s="5">
        <v>2406.9</v>
      </c>
      <c r="G480" s="6">
        <v>45417</v>
      </c>
      <c r="H480" s="5"/>
      <c r="I480" s="5"/>
      <c r="J480" s="5">
        <f t="shared" si="51"/>
        <v>16.300000000000182</v>
      </c>
      <c r="K480" s="8" t="b">
        <f t="shared" si="52"/>
        <v>1</v>
      </c>
    </row>
    <row r="481" spans="1:11">
      <c r="A481" s="5">
        <v>105</v>
      </c>
      <c r="B481" s="6">
        <v>45421</v>
      </c>
      <c r="C481" s="7">
        <v>0.7</v>
      </c>
      <c r="D481" s="5">
        <v>7.37</v>
      </c>
      <c r="E481" s="5">
        <v>2406.9</v>
      </c>
      <c r="F481" s="5">
        <v>2423.1999999999998</v>
      </c>
      <c r="G481" s="6">
        <v>45421</v>
      </c>
      <c r="H481" s="5"/>
      <c r="I481" s="5"/>
      <c r="J481" s="5">
        <f t="shared" si="51"/>
        <v>16.299999999999727</v>
      </c>
      <c r="K481" s="8" t="b">
        <f t="shared" si="52"/>
        <v>1</v>
      </c>
    </row>
    <row r="482" spans="1:11">
      <c r="A482" s="5">
        <v>105</v>
      </c>
      <c r="B482" s="6">
        <v>45424</v>
      </c>
      <c r="C482" s="7">
        <v>0.7</v>
      </c>
      <c r="D482" s="5">
        <v>7.37</v>
      </c>
      <c r="E482" s="5">
        <v>2423.1999999999998</v>
      </c>
      <c r="F482" s="5">
        <v>2439.5</v>
      </c>
      <c r="G482" s="6">
        <v>45424</v>
      </c>
      <c r="H482" s="5"/>
      <c r="I482" s="5"/>
      <c r="J482" s="5">
        <f t="shared" si="51"/>
        <v>16.300000000000182</v>
      </c>
      <c r="K482" s="8" t="b">
        <f t="shared" si="52"/>
        <v>1</v>
      </c>
    </row>
    <row r="483" spans="1:11">
      <c r="A483" s="5">
        <v>105</v>
      </c>
      <c r="B483" s="6">
        <v>45428</v>
      </c>
      <c r="C483" s="7">
        <v>0.7</v>
      </c>
      <c r="D483" s="5">
        <v>7.37</v>
      </c>
      <c r="E483" s="5">
        <v>2439.5</v>
      </c>
      <c r="F483" s="5">
        <v>2455.9</v>
      </c>
      <c r="G483" s="6">
        <v>45428</v>
      </c>
      <c r="H483" s="5"/>
      <c r="I483" s="5"/>
      <c r="J483" s="5">
        <f t="shared" si="51"/>
        <v>16.400000000000091</v>
      </c>
      <c r="K483" s="8" t="b">
        <f t="shared" si="52"/>
        <v>1</v>
      </c>
    </row>
    <row r="484" spans="1:11">
      <c r="A484" s="5">
        <v>105</v>
      </c>
      <c r="B484" s="6">
        <v>45431</v>
      </c>
      <c r="C484" s="7">
        <v>0.6</v>
      </c>
      <c r="D484" s="5">
        <v>8.6</v>
      </c>
      <c r="E484" s="5">
        <v>2455.9</v>
      </c>
      <c r="F484" s="5">
        <v>2474.9</v>
      </c>
      <c r="G484" s="6">
        <v>45431</v>
      </c>
      <c r="H484" s="5"/>
      <c r="I484" s="5"/>
      <c r="J484" s="5">
        <f t="shared" si="51"/>
        <v>19</v>
      </c>
      <c r="K484" s="8" t="b">
        <f t="shared" si="52"/>
        <v>1</v>
      </c>
    </row>
    <row r="485" spans="1:11">
      <c r="A485" s="5">
        <v>105</v>
      </c>
      <c r="B485" s="6">
        <v>45434</v>
      </c>
      <c r="C485" s="7">
        <v>0.7</v>
      </c>
      <c r="D485" s="5">
        <v>7.37</v>
      </c>
      <c r="E485" s="5">
        <v>2474.9</v>
      </c>
      <c r="F485" s="5">
        <v>2490.6999999999998</v>
      </c>
      <c r="G485" s="6">
        <v>45434</v>
      </c>
      <c r="H485" s="5"/>
      <c r="I485" s="5"/>
      <c r="J485" s="5">
        <f t="shared" si="51"/>
        <v>15.799999999999727</v>
      </c>
      <c r="K485" s="8" t="b">
        <f t="shared" si="52"/>
        <v>1</v>
      </c>
    </row>
    <row r="486" spans="1:11">
      <c r="A486" s="5">
        <v>105</v>
      </c>
      <c r="B486" s="6">
        <v>45437</v>
      </c>
      <c r="C486" s="7">
        <v>0.7</v>
      </c>
      <c r="D486" s="5">
        <v>7.37</v>
      </c>
      <c r="E486" s="5">
        <v>2490.6999999999998</v>
      </c>
      <c r="F486" s="5">
        <v>2507</v>
      </c>
      <c r="G486" s="6">
        <v>45437</v>
      </c>
      <c r="H486" s="5"/>
      <c r="I486" s="5"/>
      <c r="J486" s="5">
        <f t="shared" ref="J486:J519" si="53">F486-E486</f>
        <v>16.300000000000182</v>
      </c>
      <c r="K486" s="8" t="b">
        <f t="shared" ref="K486:K519" si="54">E486=F485</f>
        <v>1</v>
      </c>
    </row>
    <row r="487" spans="1:11">
      <c r="A487" s="5">
        <v>105</v>
      </c>
      <c r="B487" s="6">
        <v>45440</v>
      </c>
      <c r="C487" s="7">
        <v>0.7</v>
      </c>
      <c r="D487" s="5">
        <v>7.37</v>
      </c>
      <c r="E487" s="5">
        <v>2507</v>
      </c>
      <c r="F487" s="5">
        <v>2523.6999999999998</v>
      </c>
      <c r="G487" s="6">
        <v>45440</v>
      </c>
      <c r="H487" s="5"/>
      <c r="I487" s="5"/>
      <c r="J487" s="5">
        <f t="shared" si="53"/>
        <v>16.699999999999818</v>
      </c>
      <c r="K487" s="8" t="b">
        <f t="shared" si="54"/>
        <v>1</v>
      </c>
    </row>
    <row r="488" spans="1:11">
      <c r="A488" s="5">
        <v>105</v>
      </c>
      <c r="B488" s="6">
        <v>45443</v>
      </c>
      <c r="C488" s="7">
        <v>0.7</v>
      </c>
      <c r="D488" s="5">
        <v>7.37</v>
      </c>
      <c r="E488" s="5">
        <v>2523.6999999999998</v>
      </c>
      <c r="F488" s="5">
        <v>2540.1</v>
      </c>
      <c r="G488" s="6">
        <v>45443</v>
      </c>
      <c r="H488" s="5"/>
      <c r="I488" s="5"/>
      <c r="J488" s="5">
        <f t="shared" si="53"/>
        <v>16.400000000000091</v>
      </c>
      <c r="K488" s="8" t="b">
        <f t="shared" si="54"/>
        <v>1</v>
      </c>
    </row>
    <row r="489" spans="1:11">
      <c r="A489" s="5">
        <v>105</v>
      </c>
      <c r="B489" s="6">
        <v>45446</v>
      </c>
      <c r="C489" s="7">
        <v>0.7</v>
      </c>
      <c r="D489" s="5">
        <v>8.2799999999999994</v>
      </c>
      <c r="E489" s="5">
        <v>2540.1</v>
      </c>
      <c r="F489" s="5">
        <v>2556.6999999999998</v>
      </c>
      <c r="G489" s="6">
        <v>45446</v>
      </c>
      <c r="H489" s="5"/>
      <c r="I489" s="5"/>
      <c r="J489" s="5">
        <f t="shared" si="53"/>
        <v>16.599999999999909</v>
      </c>
      <c r="K489" s="8" t="b">
        <f t="shared" si="54"/>
        <v>1</v>
      </c>
    </row>
    <row r="490" spans="1:11">
      <c r="A490" s="5">
        <v>105</v>
      </c>
      <c r="B490" s="6">
        <v>45449</v>
      </c>
      <c r="C490" s="7">
        <v>1</v>
      </c>
      <c r="D490" s="5">
        <v>5.8</v>
      </c>
      <c r="E490" s="5">
        <v>2556.6999999999998</v>
      </c>
      <c r="F490" s="5">
        <v>2568.8000000000002</v>
      </c>
      <c r="G490" s="6">
        <v>45449</v>
      </c>
      <c r="H490" s="5"/>
      <c r="I490" s="5"/>
      <c r="J490" s="5">
        <f t="shared" si="53"/>
        <v>12.100000000000364</v>
      </c>
      <c r="K490" s="8" t="b">
        <f t="shared" si="54"/>
        <v>1</v>
      </c>
    </row>
    <row r="491" spans="1:11">
      <c r="A491" s="5">
        <v>105</v>
      </c>
      <c r="B491" s="6">
        <v>45450</v>
      </c>
      <c r="C491" s="7">
        <v>1</v>
      </c>
      <c r="D491" s="5">
        <v>5.8</v>
      </c>
      <c r="E491" s="5">
        <v>2568.8000000000002</v>
      </c>
      <c r="F491" s="5">
        <v>2580.4</v>
      </c>
      <c r="G491" s="6">
        <v>45450</v>
      </c>
      <c r="H491" s="5"/>
      <c r="I491" s="5"/>
      <c r="J491" s="5">
        <f t="shared" si="53"/>
        <v>11.599999999999909</v>
      </c>
      <c r="K491" s="8" t="b">
        <f t="shared" si="54"/>
        <v>1</v>
      </c>
    </row>
    <row r="492" spans="1:11">
      <c r="A492" s="5">
        <v>105</v>
      </c>
      <c r="B492" s="6">
        <v>45453</v>
      </c>
      <c r="C492" s="7">
        <v>0.7</v>
      </c>
      <c r="D492" s="5">
        <v>8.2799999999999994</v>
      </c>
      <c r="E492" s="5">
        <v>2580.4</v>
      </c>
      <c r="F492" s="5">
        <v>2597</v>
      </c>
      <c r="G492" s="6">
        <v>45453</v>
      </c>
      <c r="H492" s="5"/>
      <c r="I492" s="5"/>
      <c r="J492" s="5">
        <f t="shared" si="53"/>
        <v>16.599999999999909</v>
      </c>
      <c r="K492" s="8" t="b">
        <f t="shared" si="54"/>
        <v>1</v>
      </c>
    </row>
    <row r="493" spans="1:11">
      <c r="A493" s="5">
        <v>105</v>
      </c>
      <c r="B493" s="6">
        <v>45456</v>
      </c>
      <c r="C493" s="7">
        <v>0.7</v>
      </c>
      <c r="D493" s="5">
        <v>8.2799999999999994</v>
      </c>
      <c r="E493" s="5">
        <v>2597</v>
      </c>
      <c r="F493" s="5">
        <v>2613.4</v>
      </c>
      <c r="G493" s="6">
        <v>45456</v>
      </c>
      <c r="H493" s="5"/>
      <c r="I493" s="5"/>
      <c r="J493" s="5">
        <f t="shared" si="53"/>
        <v>16.400000000000091</v>
      </c>
      <c r="K493" s="8" t="b">
        <f t="shared" si="54"/>
        <v>1</v>
      </c>
    </row>
    <row r="494" spans="1:11">
      <c r="A494" s="5">
        <v>105</v>
      </c>
      <c r="B494" s="6">
        <v>45459</v>
      </c>
      <c r="C494" s="7">
        <v>0.7</v>
      </c>
      <c r="D494" s="5">
        <v>8.2799999999999994</v>
      </c>
      <c r="E494" s="5">
        <v>2613.4</v>
      </c>
      <c r="F494" s="5">
        <v>2629.7</v>
      </c>
      <c r="G494" s="6">
        <v>45459</v>
      </c>
      <c r="H494" s="5"/>
      <c r="I494" s="5"/>
      <c r="J494" s="5">
        <f t="shared" si="53"/>
        <v>16.299999999999727</v>
      </c>
      <c r="K494" s="8" t="b">
        <f t="shared" si="54"/>
        <v>1</v>
      </c>
    </row>
    <row r="495" spans="1:11">
      <c r="A495" s="5">
        <v>105</v>
      </c>
      <c r="B495" s="6">
        <v>45462</v>
      </c>
      <c r="C495" s="7">
        <v>0.7</v>
      </c>
      <c r="D495" s="5">
        <v>8.2799999999999994</v>
      </c>
      <c r="E495" s="5">
        <v>2629.7</v>
      </c>
      <c r="F495" s="5">
        <v>2646.1</v>
      </c>
      <c r="G495" s="6">
        <v>45462</v>
      </c>
      <c r="H495" s="5"/>
      <c r="I495" s="5"/>
      <c r="J495" s="5">
        <f t="shared" si="53"/>
        <v>16.400000000000091</v>
      </c>
      <c r="K495" s="8" t="b">
        <f t="shared" si="54"/>
        <v>1</v>
      </c>
    </row>
    <row r="496" spans="1:11">
      <c r="A496" s="5">
        <v>105</v>
      </c>
      <c r="B496" s="6">
        <v>45466</v>
      </c>
      <c r="C496" s="7">
        <v>0.5</v>
      </c>
      <c r="D496" s="5">
        <v>11.6</v>
      </c>
      <c r="E496" s="5">
        <v>2646.1</v>
      </c>
      <c r="F496" s="5">
        <v>2654.6</v>
      </c>
      <c r="G496" s="6">
        <v>45466</v>
      </c>
      <c r="H496" s="5"/>
      <c r="I496" s="5"/>
      <c r="J496" s="5">
        <f t="shared" si="53"/>
        <v>8.5</v>
      </c>
      <c r="K496" s="8" t="b">
        <f t="shared" si="54"/>
        <v>1</v>
      </c>
    </row>
    <row r="497" spans="1:11">
      <c r="A497" s="5">
        <v>105</v>
      </c>
      <c r="B497" s="6">
        <v>45467</v>
      </c>
      <c r="C497" s="7">
        <v>0.5</v>
      </c>
      <c r="D497" s="5">
        <v>11.6</v>
      </c>
      <c r="E497" s="5">
        <v>2654.6</v>
      </c>
      <c r="F497" s="5">
        <v>2665.8</v>
      </c>
      <c r="G497" s="6">
        <v>45467</v>
      </c>
      <c r="H497" s="5"/>
      <c r="I497" s="5"/>
      <c r="J497" s="5">
        <f t="shared" si="53"/>
        <v>11.200000000000273</v>
      </c>
      <c r="K497" s="8" t="b">
        <f t="shared" si="54"/>
        <v>1</v>
      </c>
    </row>
    <row r="498" spans="1:11">
      <c r="A498" s="5">
        <v>105</v>
      </c>
      <c r="B498" s="6">
        <v>45474</v>
      </c>
      <c r="C498" s="7">
        <v>0.5</v>
      </c>
      <c r="D498" s="5">
        <v>11.6</v>
      </c>
      <c r="E498" s="5">
        <v>2665.8</v>
      </c>
      <c r="F498" s="5">
        <v>2677.4</v>
      </c>
      <c r="G498" s="6">
        <v>45474</v>
      </c>
      <c r="H498" s="5"/>
      <c r="I498" s="5"/>
      <c r="J498" s="5">
        <f t="shared" si="53"/>
        <v>11.599999999999909</v>
      </c>
      <c r="K498" s="8" t="b">
        <f t="shared" si="54"/>
        <v>1</v>
      </c>
    </row>
    <row r="499" spans="1:11">
      <c r="A499" s="5">
        <v>105</v>
      </c>
      <c r="B499" s="6">
        <v>45475</v>
      </c>
      <c r="C499" s="7">
        <v>0.5</v>
      </c>
      <c r="D499" s="5">
        <v>11.6</v>
      </c>
      <c r="E499" s="5">
        <v>2677.4</v>
      </c>
      <c r="F499" s="5">
        <v>2688.6</v>
      </c>
      <c r="G499" s="6">
        <v>45475</v>
      </c>
      <c r="H499" s="5"/>
      <c r="I499" s="5"/>
      <c r="J499" s="5">
        <f t="shared" si="53"/>
        <v>11.199999999999818</v>
      </c>
      <c r="K499" s="8" t="b">
        <f t="shared" si="54"/>
        <v>1</v>
      </c>
    </row>
    <row r="500" spans="1:11" ht="26.25">
      <c r="A500" s="181" t="s">
        <v>64</v>
      </c>
      <c r="B500" s="182"/>
      <c r="C500" s="182"/>
      <c r="D500" s="182"/>
      <c r="E500" s="182"/>
      <c r="F500" s="182"/>
      <c r="G500" s="182"/>
      <c r="H500" s="182"/>
      <c r="I500" s="182"/>
      <c r="J500" s="182"/>
      <c r="K500" s="183"/>
    </row>
    <row r="501" spans="1:11" ht="26.25">
      <c r="A501" s="181" t="s">
        <v>48</v>
      </c>
      <c r="B501" s="182"/>
      <c r="C501" s="182"/>
      <c r="D501" s="182"/>
      <c r="E501" s="182"/>
      <c r="F501" s="182"/>
      <c r="G501" s="182"/>
      <c r="H501" s="182"/>
      <c r="I501" s="182"/>
      <c r="J501" s="182"/>
      <c r="K501" s="183"/>
    </row>
    <row r="502" spans="1:11" ht="15.75" thickBot="1"/>
    <row r="503" spans="1:11" ht="15.75" thickBot="1">
      <c r="A503" s="132" t="s">
        <v>2</v>
      </c>
      <c r="B503" s="133"/>
      <c r="C503" s="133"/>
      <c r="D503" s="133"/>
      <c r="E503" s="133"/>
      <c r="F503" s="133"/>
      <c r="G503" s="133"/>
      <c r="H503" s="133"/>
      <c r="I503" s="133"/>
      <c r="J503" s="133"/>
      <c r="K503" s="134"/>
    </row>
    <row r="505" spans="1:11" ht="19.5" thickBot="1">
      <c r="A505" s="1" t="s">
        <v>3</v>
      </c>
      <c r="B505" s="1"/>
      <c r="C505" s="1"/>
      <c r="D505" s="1"/>
      <c r="E505" s="1"/>
      <c r="F505" s="1"/>
      <c r="G505" s="1"/>
      <c r="H505" s="1"/>
      <c r="I505" s="1"/>
    </row>
    <row r="506" spans="1:11" ht="30.75" thickBot="1">
      <c r="A506" s="2" t="s">
        <v>4</v>
      </c>
      <c r="B506" s="3" t="s">
        <v>5</v>
      </c>
      <c r="C506" s="3" t="s">
        <v>6</v>
      </c>
      <c r="D506" s="3" t="s">
        <v>7</v>
      </c>
      <c r="E506" s="3" t="s">
        <v>8</v>
      </c>
      <c r="F506" s="3" t="s">
        <v>9</v>
      </c>
      <c r="G506" s="3" t="s">
        <v>10</v>
      </c>
      <c r="H506" s="3" t="s">
        <v>21</v>
      </c>
      <c r="I506" s="4" t="s">
        <v>22</v>
      </c>
      <c r="J506" s="4" t="s">
        <v>11</v>
      </c>
      <c r="K506" s="4" t="s">
        <v>12</v>
      </c>
    </row>
    <row r="507" spans="1:11">
      <c r="A507" s="5">
        <v>105</v>
      </c>
      <c r="B507" s="6">
        <v>45532</v>
      </c>
      <c r="C507" s="7">
        <v>0.5</v>
      </c>
      <c r="D507" s="5">
        <v>11.6</v>
      </c>
      <c r="E507" s="5">
        <v>2688.6</v>
      </c>
      <c r="F507" s="5">
        <v>2690.9</v>
      </c>
      <c r="G507" s="6">
        <v>45532</v>
      </c>
      <c r="H507" s="5"/>
      <c r="I507" s="5"/>
      <c r="J507" s="5">
        <f t="shared" si="53"/>
        <v>2.3000000000001819</v>
      </c>
      <c r="K507" s="8" t="e">
        <f>E507=#REF!</f>
        <v>#REF!</v>
      </c>
    </row>
    <row r="508" spans="1:11">
      <c r="A508" s="5">
        <v>105</v>
      </c>
      <c r="B508" s="6">
        <v>45540</v>
      </c>
      <c r="C508" s="7">
        <v>0.9</v>
      </c>
      <c r="D508" s="5">
        <v>5.73</v>
      </c>
      <c r="E508" s="5">
        <v>2690.9</v>
      </c>
      <c r="F508" s="5">
        <v>2703.5</v>
      </c>
      <c r="G508" s="6">
        <v>45540</v>
      </c>
      <c r="H508" s="5"/>
      <c r="I508" s="5"/>
      <c r="J508" s="5">
        <f t="shared" si="53"/>
        <v>12.599999999999909</v>
      </c>
      <c r="K508" s="8" t="b">
        <f t="shared" si="54"/>
        <v>1</v>
      </c>
    </row>
    <row r="509" spans="1:11">
      <c r="A509" s="5">
        <v>105</v>
      </c>
      <c r="B509" s="6">
        <v>45561</v>
      </c>
      <c r="C509" s="7">
        <v>0.45</v>
      </c>
      <c r="D509" s="5">
        <v>11.47</v>
      </c>
      <c r="E509" s="5">
        <v>2703.5</v>
      </c>
      <c r="F509" s="5">
        <v>2730.5</v>
      </c>
      <c r="G509" s="6">
        <v>45561</v>
      </c>
      <c r="H509" s="5"/>
      <c r="I509" s="5"/>
      <c r="J509" s="5">
        <f t="shared" si="53"/>
        <v>27</v>
      </c>
      <c r="K509" s="8" t="b">
        <f t="shared" si="54"/>
        <v>1</v>
      </c>
    </row>
    <row r="510" spans="1:11">
      <c r="A510" s="5">
        <v>105</v>
      </c>
      <c r="B510" s="6">
        <v>45562</v>
      </c>
      <c r="C510" s="7">
        <v>0.45</v>
      </c>
      <c r="D510" s="5">
        <v>11.47</v>
      </c>
      <c r="E510" s="5">
        <v>2730.5</v>
      </c>
      <c r="F510" s="5">
        <v>2735.6</v>
      </c>
      <c r="G510" s="6">
        <v>45562</v>
      </c>
      <c r="H510" s="5"/>
      <c r="I510" s="5"/>
      <c r="J510" s="5">
        <f t="shared" si="53"/>
        <v>5.0999999999999091</v>
      </c>
      <c r="K510" s="8" t="b">
        <f t="shared" si="54"/>
        <v>1</v>
      </c>
    </row>
    <row r="511" spans="1:11">
      <c r="A511" s="5">
        <v>105</v>
      </c>
      <c r="B511" s="6">
        <v>45568</v>
      </c>
      <c r="C511" s="7">
        <v>0.5</v>
      </c>
      <c r="D511" s="5">
        <v>11.6</v>
      </c>
      <c r="E511" s="5">
        <v>2735.6</v>
      </c>
      <c r="F511" s="5">
        <v>2758.6</v>
      </c>
      <c r="G511" s="6">
        <v>45568</v>
      </c>
      <c r="H511" s="5"/>
      <c r="I511" s="5"/>
      <c r="J511" s="5">
        <f t="shared" si="53"/>
        <v>23</v>
      </c>
      <c r="K511" s="8" t="b">
        <f t="shared" si="54"/>
        <v>1</v>
      </c>
    </row>
    <row r="512" spans="1:11">
      <c r="A512" s="5">
        <v>105</v>
      </c>
      <c r="B512" s="6">
        <v>45569</v>
      </c>
      <c r="C512" s="7">
        <v>0.5</v>
      </c>
      <c r="D512" s="5">
        <v>11.6</v>
      </c>
      <c r="E512" s="5">
        <v>2758.6</v>
      </c>
      <c r="F512" s="5">
        <v>2781.2</v>
      </c>
      <c r="G512" s="6">
        <v>45569</v>
      </c>
      <c r="H512" s="5"/>
      <c r="I512" s="5"/>
      <c r="J512" s="5">
        <f t="shared" si="53"/>
        <v>22.599999999999909</v>
      </c>
      <c r="K512" s="8" t="b">
        <f t="shared" si="54"/>
        <v>1</v>
      </c>
    </row>
    <row r="513" spans="1:11">
      <c r="A513" s="5">
        <v>105</v>
      </c>
      <c r="B513" s="6">
        <v>45570</v>
      </c>
      <c r="C513" s="7">
        <v>0.4</v>
      </c>
      <c r="D513" s="5">
        <v>12.9</v>
      </c>
      <c r="E513" s="5">
        <v>2781.2</v>
      </c>
      <c r="F513" s="5">
        <v>2809.2</v>
      </c>
      <c r="G513" s="6">
        <v>45570</v>
      </c>
      <c r="H513" s="5"/>
      <c r="I513" s="5"/>
      <c r="J513" s="5">
        <f t="shared" si="53"/>
        <v>28</v>
      </c>
      <c r="K513" s="8" t="b">
        <f t="shared" si="54"/>
        <v>1</v>
      </c>
    </row>
    <row r="514" spans="1:11">
      <c r="A514" s="5">
        <v>105</v>
      </c>
      <c r="B514" s="6">
        <v>45572</v>
      </c>
      <c r="C514" s="7">
        <v>0.7</v>
      </c>
      <c r="D514" s="5">
        <v>7.37</v>
      </c>
      <c r="E514" s="5">
        <v>2809.2</v>
      </c>
      <c r="F514" s="5">
        <v>2826.6</v>
      </c>
      <c r="G514" s="6">
        <v>45572</v>
      </c>
      <c r="H514" s="5"/>
      <c r="I514" s="5"/>
      <c r="J514" s="5">
        <f t="shared" si="53"/>
        <v>17.400000000000091</v>
      </c>
      <c r="K514" s="8" t="b">
        <f t="shared" si="54"/>
        <v>1</v>
      </c>
    </row>
    <row r="515" spans="1:11">
      <c r="A515" s="5">
        <v>105</v>
      </c>
      <c r="B515" s="6">
        <v>45575</v>
      </c>
      <c r="C515" s="7">
        <v>1</v>
      </c>
      <c r="D515" s="5">
        <v>5.16</v>
      </c>
      <c r="E515" s="5">
        <v>2826.6</v>
      </c>
      <c r="F515" s="5">
        <v>2839.3</v>
      </c>
      <c r="G515" s="6">
        <v>45575</v>
      </c>
      <c r="H515" s="5"/>
      <c r="I515" s="5"/>
      <c r="J515" s="5">
        <f t="shared" si="53"/>
        <v>12.700000000000273</v>
      </c>
      <c r="K515" s="8" t="b">
        <f t="shared" si="54"/>
        <v>1</v>
      </c>
    </row>
    <row r="516" spans="1:11">
      <c r="A516" s="5">
        <v>105</v>
      </c>
      <c r="B516" s="6">
        <v>45576</v>
      </c>
      <c r="C516" s="7">
        <v>0.7</v>
      </c>
      <c r="D516" s="5">
        <v>7.37</v>
      </c>
      <c r="E516" s="5">
        <v>2839.3</v>
      </c>
      <c r="F516" s="5">
        <v>2855.6</v>
      </c>
      <c r="G516" s="6">
        <v>45576</v>
      </c>
      <c r="H516" s="5"/>
      <c r="I516" s="5"/>
      <c r="J516" s="5">
        <f t="shared" si="53"/>
        <v>16.299999999999727</v>
      </c>
      <c r="K516" s="8" t="b">
        <f t="shared" si="54"/>
        <v>1</v>
      </c>
    </row>
    <row r="517" spans="1:11">
      <c r="A517" s="5">
        <v>105</v>
      </c>
      <c r="B517" s="6">
        <v>45578</v>
      </c>
      <c r="C517" s="7">
        <v>1</v>
      </c>
      <c r="D517" s="5">
        <v>5.16</v>
      </c>
      <c r="E517" s="5">
        <v>2855.6</v>
      </c>
      <c r="F517" s="5">
        <v>2867.1</v>
      </c>
      <c r="G517" s="6">
        <v>45578</v>
      </c>
      <c r="H517" s="5"/>
      <c r="I517" s="5"/>
      <c r="J517" s="5">
        <f t="shared" si="53"/>
        <v>11.5</v>
      </c>
      <c r="K517" s="8" t="b">
        <f t="shared" si="54"/>
        <v>1</v>
      </c>
    </row>
    <row r="518" spans="1:11">
      <c r="A518" s="5">
        <v>105</v>
      </c>
      <c r="B518" s="6">
        <v>45579</v>
      </c>
      <c r="C518" s="7">
        <v>0.7</v>
      </c>
      <c r="D518" s="5">
        <v>7.37</v>
      </c>
      <c r="E518" s="5">
        <v>2867.1</v>
      </c>
      <c r="F518" s="5">
        <v>2883.3</v>
      </c>
      <c r="G518" s="6">
        <v>45579</v>
      </c>
      <c r="H518" s="5"/>
      <c r="I518" s="5"/>
      <c r="J518" s="5">
        <f t="shared" si="53"/>
        <v>16.200000000000273</v>
      </c>
      <c r="K518" s="8" t="b">
        <f t="shared" si="54"/>
        <v>1</v>
      </c>
    </row>
    <row r="519" spans="1:11">
      <c r="A519" s="5">
        <v>105</v>
      </c>
      <c r="B519" s="6">
        <v>45580</v>
      </c>
      <c r="C519" s="7">
        <v>0.7</v>
      </c>
      <c r="D519" s="5">
        <v>7.37</v>
      </c>
      <c r="E519" s="5">
        <v>2883.3</v>
      </c>
      <c r="F519" s="5">
        <v>2899.6</v>
      </c>
      <c r="G519" s="6">
        <v>45580</v>
      </c>
      <c r="H519" s="5"/>
      <c r="I519" s="5"/>
      <c r="J519" s="5">
        <f t="shared" si="53"/>
        <v>16.299999999999727</v>
      </c>
      <c r="K519" s="8" t="b">
        <f t="shared" si="54"/>
        <v>1</v>
      </c>
    </row>
    <row r="520" spans="1:11">
      <c r="A520" s="5">
        <v>105</v>
      </c>
      <c r="B520" s="6"/>
      <c r="C520" s="7"/>
      <c r="D520" s="5"/>
      <c r="E520" s="5"/>
      <c r="F520" s="5"/>
      <c r="G520" s="6"/>
      <c r="H520" s="5"/>
      <c r="I520" s="5"/>
      <c r="J520" s="5">
        <f t="shared" ref="J520:J551" si="55">F520-E520</f>
        <v>0</v>
      </c>
      <c r="K520" s="8" t="b">
        <f t="shared" ref="K520:K551" si="56">E520=F519</f>
        <v>0</v>
      </c>
    </row>
    <row r="521" spans="1:11">
      <c r="A521" s="5">
        <v>105</v>
      </c>
      <c r="B521" s="6"/>
      <c r="C521" s="7"/>
      <c r="D521" s="5"/>
      <c r="E521" s="5"/>
      <c r="F521" s="5"/>
      <c r="G521" s="6"/>
      <c r="H521" s="5"/>
      <c r="I521" s="5"/>
      <c r="J521" s="5">
        <f t="shared" si="55"/>
        <v>0</v>
      </c>
      <c r="K521" s="8" t="b">
        <f t="shared" si="56"/>
        <v>1</v>
      </c>
    </row>
    <row r="522" spans="1:11">
      <c r="A522" s="5">
        <v>105</v>
      </c>
      <c r="B522" s="6"/>
      <c r="C522" s="7"/>
      <c r="D522" s="5"/>
      <c r="E522" s="5"/>
      <c r="F522" s="5"/>
      <c r="G522" s="6"/>
      <c r="H522" s="5"/>
      <c r="I522" s="5"/>
      <c r="J522" s="5">
        <f t="shared" si="55"/>
        <v>0</v>
      </c>
      <c r="K522" s="8" t="b">
        <f t="shared" si="56"/>
        <v>1</v>
      </c>
    </row>
    <row r="523" spans="1:11">
      <c r="A523" s="5">
        <v>105</v>
      </c>
      <c r="B523" s="6"/>
      <c r="C523" s="7"/>
      <c r="D523" s="5"/>
      <c r="E523" s="5"/>
      <c r="F523" s="5"/>
      <c r="G523" s="6"/>
      <c r="H523" s="5"/>
      <c r="I523" s="5"/>
      <c r="J523" s="5">
        <f t="shared" si="55"/>
        <v>0</v>
      </c>
      <c r="K523" s="8" t="b">
        <f t="shared" si="56"/>
        <v>1</v>
      </c>
    </row>
    <row r="524" spans="1:11">
      <c r="A524" s="5">
        <v>105</v>
      </c>
      <c r="B524" s="6"/>
      <c r="C524" s="7"/>
      <c r="D524" s="5"/>
      <c r="E524" s="5"/>
      <c r="F524" s="5"/>
      <c r="G524" s="6"/>
      <c r="H524" s="5"/>
      <c r="I524" s="5"/>
      <c r="J524" s="5">
        <f t="shared" si="55"/>
        <v>0</v>
      </c>
      <c r="K524" s="8" t="b">
        <f t="shared" si="56"/>
        <v>1</v>
      </c>
    </row>
    <row r="525" spans="1:11">
      <c r="A525" s="5">
        <v>105</v>
      </c>
      <c r="B525" s="6"/>
      <c r="C525" s="7"/>
      <c r="D525" s="5"/>
      <c r="E525" s="5"/>
      <c r="F525" s="5"/>
      <c r="G525" s="6"/>
      <c r="H525" s="5"/>
      <c r="I525" s="5"/>
      <c r="J525" s="5">
        <f t="shared" si="55"/>
        <v>0</v>
      </c>
      <c r="K525" s="8" t="b">
        <f t="shared" si="56"/>
        <v>1</v>
      </c>
    </row>
    <row r="526" spans="1:11">
      <c r="A526" s="5">
        <v>105</v>
      </c>
      <c r="B526" s="6"/>
      <c r="C526" s="7"/>
      <c r="D526" s="5"/>
      <c r="E526" s="5"/>
      <c r="F526" s="5"/>
      <c r="G526" s="6"/>
      <c r="H526" s="5"/>
      <c r="I526" s="5"/>
      <c r="J526" s="5">
        <f t="shared" si="55"/>
        <v>0</v>
      </c>
      <c r="K526" s="8" t="b">
        <f t="shared" si="56"/>
        <v>1</v>
      </c>
    </row>
    <row r="527" spans="1:11">
      <c r="A527" s="5">
        <v>105</v>
      </c>
      <c r="B527" s="6"/>
      <c r="C527" s="7"/>
      <c r="D527" s="5"/>
      <c r="E527" s="5"/>
      <c r="F527" s="5"/>
      <c r="G527" s="6"/>
      <c r="H527" s="5"/>
      <c r="I527" s="5"/>
      <c r="J527" s="5">
        <f t="shared" si="55"/>
        <v>0</v>
      </c>
      <c r="K527" s="8" t="b">
        <f t="shared" si="56"/>
        <v>1</v>
      </c>
    </row>
    <row r="528" spans="1:11">
      <c r="A528" s="5">
        <v>105</v>
      </c>
      <c r="B528" s="6"/>
      <c r="C528" s="7"/>
      <c r="D528" s="5"/>
      <c r="E528" s="5"/>
      <c r="F528" s="5"/>
      <c r="G528" s="6"/>
      <c r="H528" s="5"/>
      <c r="I528" s="5"/>
      <c r="J528" s="5">
        <f t="shared" si="55"/>
        <v>0</v>
      </c>
      <c r="K528" s="8" t="b">
        <f t="shared" si="56"/>
        <v>1</v>
      </c>
    </row>
    <row r="529" spans="1:11">
      <c r="A529" s="5">
        <v>105</v>
      </c>
      <c r="B529" s="6"/>
      <c r="C529" s="7"/>
      <c r="D529" s="5"/>
      <c r="E529" s="5"/>
      <c r="F529" s="5"/>
      <c r="G529" s="6"/>
      <c r="H529" s="5"/>
      <c r="I529" s="5"/>
      <c r="J529" s="5">
        <f t="shared" si="55"/>
        <v>0</v>
      </c>
      <c r="K529" s="8" t="b">
        <f t="shared" si="56"/>
        <v>1</v>
      </c>
    </row>
    <row r="530" spans="1:11">
      <c r="A530" s="5">
        <v>105</v>
      </c>
      <c r="B530" s="6"/>
      <c r="C530" s="7"/>
      <c r="D530" s="5"/>
      <c r="E530" s="5"/>
      <c r="F530" s="5"/>
      <c r="G530" s="6"/>
      <c r="H530" s="5"/>
      <c r="I530" s="5"/>
      <c r="J530" s="5">
        <f t="shared" si="55"/>
        <v>0</v>
      </c>
      <c r="K530" s="8" t="b">
        <f t="shared" si="56"/>
        <v>1</v>
      </c>
    </row>
    <row r="531" spans="1:11">
      <c r="A531" s="5">
        <v>105</v>
      </c>
      <c r="B531" s="6"/>
      <c r="C531" s="7"/>
      <c r="D531" s="5"/>
      <c r="E531" s="5"/>
      <c r="F531" s="5"/>
      <c r="G531" s="6"/>
      <c r="H531" s="5"/>
      <c r="I531" s="5"/>
      <c r="J531" s="5">
        <f t="shared" si="55"/>
        <v>0</v>
      </c>
      <c r="K531" s="8" t="b">
        <f t="shared" si="56"/>
        <v>1</v>
      </c>
    </row>
    <row r="532" spans="1:11">
      <c r="A532" s="5">
        <v>105</v>
      </c>
      <c r="B532" s="6"/>
      <c r="C532" s="7"/>
      <c r="D532" s="5"/>
      <c r="E532" s="5"/>
      <c r="F532" s="5"/>
      <c r="G532" s="6"/>
      <c r="H532" s="5"/>
      <c r="I532" s="5"/>
      <c r="J532" s="5">
        <f t="shared" si="55"/>
        <v>0</v>
      </c>
      <c r="K532" s="8" t="b">
        <f t="shared" si="56"/>
        <v>1</v>
      </c>
    </row>
    <row r="533" spans="1:11">
      <c r="A533" s="5">
        <v>105</v>
      </c>
      <c r="B533" s="6"/>
      <c r="C533" s="7"/>
      <c r="D533" s="5"/>
      <c r="E533" s="5"/>
      <c r="F533" s="5"/>
      <c r="G533" s="6"/>
      <c r="H533" s="5"/>
      <c r="I533" s="5"/>
      <c r="J533" s="5">
        <f t="shared" si="55"/>
        <v>0</v>
      </c>
      <c r="K533" s="8" t="b">
        <f t="shared" si="56"/>
        <v>1</v>
      </c>
    </row>
    <row r="534" spans="1:11">
      <c r="A534" s="5">
        <v>105</v>
      </c>
      <c r="B534" s="6"/>
      <c r="C534" s="7"/>
      <c r="D534" s="5"/>
      <c r="E534" s="5"/>
      <c r="F534" s="5"/>
      <c r="G534" s="6"/>
      <c r="H534" s="5"/>
      <c r="I534" s="5"/>
      <c r="J534" s="5">
        <f t="shared" si="55"/>
        <v>0</v>
      </c>
      <c r="K534" s="8" t="b">
        <f t="shared" si="56"/>
        <v>1</v>
      </c>
    </row>
    <row r="535" spans="1:11">
      <c r="A535" s="5">
        <v>105</v>
      </c>
      <c r="B535" s="6"/>
      <c r="C535" s="7"/>
      <c r="D535" s="5"/>
      <c r="E535" s="5"/>
      <c r="F535" s="5"/>
      <c r="G535" s="6"/>
      <c r="H535" s="5"/>
      <c r="I535" s="5"/>
      <c r="J535" s="5">
        <f t="shared" si="55"/>
        <v>0</v>
      </c>
      <c r="K535" s="8" t="b">
        <f t="shared" si="56"/>
        <v>1</v>
      </c>
    </row>
    <row r="536" spans="1:11">
      <c r="A536" s="5">
        <v>105</v>
      </c>
      <c r="B536" s="6"/>
      <c r="C536" s="7"/>
      <c r="D536" s="5"/>
      <c r="E536" s="5"/>
      <c r="F536" s="5"/>
      <c r="G536" s="6"/>
      <c r="H536" s="5"/>
      <c r="I536" s="5"/>
      <c r="J536" s="5">
        <f t="shared" si="55"/>
        <v>0</v>
      </c>
      <c r="K536" s="8" t="b">
        <f t="shared" si="56"/>
        <v>1</v>
      </c>
    </row>
    <row r="537" spans="1:11">
      <c r="A537" s="5">
        <v>105</v>
      </c>
      <c r="B537" s="6"/>
      <c r="C537" s="7"/>
      <c r="D537" s="5"/>
      <c r="E537" s="5"/>
      <c r="F537" s="5"/>
      <c r="G537" s="6"/>
      <c r="H537" s="5"/>
      <c r="I537" s="5"/>
      <c r="J537" s="5">
        <f t="shared" si="55"/>
        <v>0</v>
      </c>
      <c r="K537" s="8" t="b">
        <f t="shared" si="56"/>
        <v>1</v>
      </c>
    </row>
    <row r="538" spans="1:11">
      <c r="A538" s="5">
        <v>105</v>
      </c>
      <c r="B538" s="6"/>
      <c r="C538" s="7"/>
      <c r="D538" s="5"/>
      <c r="E538" s="5"/>
      <c r="F538" s="5"/>
      <c r="G538" s="6"/>
      <c r="H538" s="5"/>
      <c r="I538" s="5"/>
      <c r="J538" s="5">
        <f t="shared" si="55"/>
        <v>0</v>
      </c>
      <c r="K538" s="8" t="b">
        <f t="shared" si="56"/>
        <v>1</v>
      </c>
    </row>
    <row r="539" spans="1:11">
      <c r="A539" s="5">
        <v>105</v>
      </c>
      <c r="B539" s="6"/>
      <c r="C539" s="7"/>
      <c r="D539" s="5"/>
      <c r="E539" s="5"/>
      <c r="F539" s="5"/>
      <c r="G539" s="6"/>
      <c r="H539" s="5"/>
      <c r="I539" s="5"/>
      <c r="J539" s="5">
        <f t="shared" si="55"/>
        <v>0</v>
      </c>
      <c r="K539" s="8" t="b">
        <f t="shared" si="56"/>
        <v>1</v>
      </c>
    </row>
    <row r="540" spans="1:11">
      <c r="A540" s="5">
        <v>105</v>
      </c>
      <c r="B540" s="6"/>
      <c r="C540" s="7"/>
      <c r="D540" s="5"/>
      <c r="E540" s="5"/>
      <c r="F540" s="5"/>
      <c r="G540" s="6"/>
      <c r="H540" s="5"/>
      <c r="I540" s="5"/>
      <c r="J540" s="5">
        <f t="shared" si="55"/>
        <v>0</v>
      </c>
      <c r="K540" s="8" t="b">
        <f t="shared" si="56"/>
        <v>1</v>
      </c>
    </row>
    <row r="541" spans="1:11">
      <c r="A541" s="5">
        <v>105</v>
      </c>
      <c r="B541" s="6"/>
      <c r="C541" s="7"/>
      <c r="D541" s="5"/>
      <c r="E541" s="5"/>
      <c r="F541" s="5"/>
      <c r="G541" s="6"/>
      <c r="H541" s="5"/>
      <c r="I541" s="5"/>
      <c r="J541" s="5">
        <f t="shared" si="55"/>
        <v>0</v>
      </c>
      <c r="K541" s="8" t="b">
        <f t="shared" si="56"/>
        <v>1</v>
      </c>
    </row>
    <row r="542" spans="1:11">
      <c r="A542" s="5">
        <v>105</v>
      </c>
      <c r="B542" s="6"/>
      <c r="C542" s="7"/>
      <c r="D542" s="5"/>
      <c r="E542" s="5"/>
      <c r="F542" s="5"/>
      <c r="G542" s="6"/>
      <c r="H542" s="5"/>
      <c r="I542" s="5"/>
      <c r="J542" s="5">
        <f t="shared" si="55"/>
        <v>0</v>
      </c>
      <c r="K542" s="8" t="b">
        <f t="shared" si="56"/>
        <v>1</v>
      </c>
    </row>
    <row r="543" spans="1:11">
      <c r="A543" s="5">
        <v>105</v>
      </c>
      <c r="B543" s="6"/>
      <c r="C543" s="7"/>
      <c r="D543" s="5"/>
      <c r="E543" s="5"/>
      <c r="F543" s="5"/>
      <c r="G543" s="6"/>
      <c r="H543" s="5"/>
      <c r="I543" s="5"/>
      <c r="J543" s="5">
        <f t="shared" si="55"/>
        <v>0</v>
      </c>
      <c r="K543" s="8" t="b">
        <f t="shared" si="56"/>
        <v>1</v>
      </c>
    </row>
    <row r="544" spans="1:11">
      <c r="A544" s="5">
        <v>105</v>
      </c>
      <c r="B544" s="6"/>
      <c r="C544" s="7"/>
      <c r="D544" s="5"/>
      <c r="E544" s="5"/>
      <c r="F544" s="5"/>
      <c r="G544" s="6"/>
      <c r="H544" s="5"/>
      <c r="I544" s="5"/>
      <c r="J544" s="5">
        <f t="shared" si="55"/>
        <v>0</v>
      </c>
      <c r="K544" s="8" t="b">
        <f t="shared" si="56"/>
        <v>1</v>
      </c>
    </row>
    <row r="545" spans="1:11">
      <c r="A545" s="5">
        <v>105</v>
      </c>
      <c r="B545" s="6"/>
      <c r="C545" s="7"/>
      <c r="D545" s="5"/>
      <c r="E545" s="5"/>
      <c r="F545" s="5"/>
      <c r="G545" s="6"/>
      <c r="H545" s="5"/>
      <c r="I545" s="5"/>
      <c r="J545" s="5">
        <f t="shared" si="55"/>
        <v>0</v>
      </c>
      <c r="K545" s="8" t="b">
        <f t="shared" si="56"/>
        <v>1</v>
      </c>
    </row>
    <row r="546" spans="1:11">
      <c r="A546" s="5">
        <v>105</v>
      </c>
      <c r="B546" s="6"/>
      <c r="C546" s="7"/>
      <c r="D546" s="5"/>
      <c r="E546" s="5"/>
      <c r="F546" s="5"/>
      <c r="G546" s="6"/>
      <c r="H546" s="5"/>
      <c r="I546" s="5"/>
      <c r="J546" s="5">
        <f t="shared" si="55"/>
        <v>0</v>
      </c>
      <c r="K546" s="8" t="b">
        <f t="shared" si="56"/>
        <v>1</v>
      </c>
    </row>
    <row r="547" spans="1:11">
      <c r="A547" s="5">
        <v>105</v>
      </c>
      <c r="B547" s="6"/>
      <c r="C547" s="7"/>
      <c r="D547" s="5"/>
      <c r="E547" s="5"/>
      <c r="F547" s="5"/>
      <c r="G547" s="6"/>
      <c r="H547" s="5"/>
      <c r="I547" s="5"/>
      <c r="J547" s="5">
        <f t="shared" si="55"/>
        <v>0</v>
      </c>
      <c r="K547" s="8" t="b">
        <f t="shared" si="56"/>
        <v>1</v>
      </c>
    </row>
    <row r="548" spans="1:11">
      <c r="A548" s="5">
        <v>105</v>
      </c>
      <c r="B548" s="6"/>
      <c r="C548" s="7"/>
      <c r="D548" s="5"/>
      <c r="E548" s="5"/>
      <c r="F548" s="5"/>
      <c r="G548" s="6"/>
      <c r="H548" s="5"/>
      <c r="I548" s="5"/>
      <c r="J548" s="5">
        <f t="shared" si="55"/>
        <v>0</v>
      </c>
      <c r="K548" s="8" t="b">
        <f t="shared" si="56"/>
        <v>1</v>
      </c>
    </row>
    <row r="549" spans="1:11">
      <c r="A549" s="5">
        <v>105</v>
      </c>
      <c r="B549" s="6"/>
      <c r="C549" s="7"/>
      <c r="D549" s="5"/>
      <c r="E549" s="5"/>
      <c r="F549" s="5"/>
      <c r="G549" s="6"/>
      <c r="H549" s="5"/>
      <c r="I549" s="5"/>
      <c r="J549" s="5">
        <f t="shared" si="55"/>
        <v>0</v>
      </c>
      <c r="K549" s="8" t="b">
        <f t="shared" si="56"/>
        <v>1</v>
      </c>
    </row>
    <row r="550" spans="1:11">
      <c r="A550" s="5">
        <v>105</v>
      </c>
      <c r="B550" s="6"/>
      <c r="C550" s="7"/>
      <c r="D550" s="5"/>
      <c r="E550" s="5"/>
      <c r="F550" s="5"/>
      <c r="G550" s="6"/>
      <c r="H550" s="5"/>
      <c r="I550" s="5"/>
      <c r="J550" s="5">
        <f t="shared" si="55"/>
        <v>0</v>
      </c>
      <c r="K550" s="8" t="b">
        <f t="shared" si="56"/>
        <v>1</v>
      </c>
    </row>
    <row r="551" spans="1:11">
      <c r="A551" s="5">
        <v>105</v>
      </c>
      <c r="B551" s="6"/>
      <c r="C551" s="7"/>
      <c r="D551" s="5"/>
      <c r="E551" s="5"/>
      <c r="F551" s="5"/>
      <c r="G551" s="6"/>
      <c r="H551" s="5"/>
      <c r="I551" s="5"/>
      <c r="J551" s="5">
        <f t="shared" si="55"/>
        <v>0</v>
      </c>
      <c r="K551" s="8" t="b">
        <f t="shared" si="56"/>
        <v>1</v>
      </c>
    </row>
  </sheetData>
  <mergeCells count="33">
    <mergeCell ref="A447:K447"/>
    <mergeCell ref="A448:K448"/>
    <mergeCell ref="A450:K450"/>
    <mergeCell ref="A385:K385"/>
    <mergeCell ref="A386:K386"/>
    <mergeCell ref="A388:K388"/>
    <mergeCell ref="A297:K297"/>
    <mergeCell ref="A134:K134"/>
    <mergeCell ref="A93:K93"/>
    <mergeCell ref="A94:K94"/>
    <mergeCell ref="A96:K96"/>
    <mergeCell ref="A50:K50"/>
    <mergeCell ref="A1:K1"/>
    <mergeCell ref="A2:K2"/>
    <mergeCell ref="A4:K4"/>
    <mergeCell ref="A47:K47"/>
    <mergeCell ref="A48:K48"/>
    <mergeCell ref="A500:K500"/>
    <mergeCell ref="A501:K501"/>
    <mergeCell ref="A503:K503"/>
    <mergeCell ref="A135:K135"/>
    <mergeCell ref="A137:K137"/>
    <mergeCell ref="A233:K233"/>
    <mergeCell ref="A234:K234"/>
    <mergeCell ref="A236:K236"/>
    <mergeCell ref="A198:K198"/>
    <mergeCell ref="A199:K199"/>
    <mergeCell ref="A201:K201"/>
    <mergeCell ref="A328:K328"/>
    <mergeCell ref="A329:K329"/>
    <mergeCell ref="A331:K331"/>
    <mergeCell ref="A294:K294"/>
    <mergeCell ref="A295:K295"/>
  </mergeCells>
  <phoneticPr fontId="6" type="noConversion"/>
  <conditionalFormatting sqref="K1:K1048576">
    <cfRule type="containsText" dxfId="93" priority="1" operator="containsText" text="FALSO">
      <formula>NOT(ISERROR(SEARCH("FALSO",K1)))</formula>
    </cfRule>
    <cfRule type="containsText" dxfId="92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3E9B-8263-40C8-9B12-618DD5269C9A}">
  <sheetPr codeName="Planilha6"/>
  <dimension ref="A1:K724"/>
  <sheetViews>
    <sheetView topLeftCell="A681" zoomScaleNormal="100" workbookViewId="0">
      <selection activeCell="D698" sqref="D698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7.85546875" customWidth="1"/>
    <col min="11" max="11" width="13.140625" customWidth="1"/>
  </cols>
  <sheetData>
    <row r="1" spans="1:11" ht="26.25">
      <c r="A1" s="144" t="s">
        <v>72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6" t="s">
        <v>12</v>
      </c>
    </row>
    <row r="8" spans="1:11">
      <c r="A8" s="5">
        <v>106</v>
      </c>
      <c r="B8" s="6">
        <v>43756</v>
      </c>
      <c r="C8" s="7">
        <v>0.7</v>
      </c>
      <c r="D8" s="5">
        <v>8.2899999999999991</v>
      </c>
      <c r="E8" s="5">
        <v>17775</v>
      </c>
      <c r="F8" s="5">
        <v>17786</v>
      </c>
      <c r="G8" s="6">
        <v>43756</v>
      </c>
      <c r="H8" s="5" t="s">
        <v>56</v>
      </c>
      <c r="I8" s="5" t="s">
        <v>57</v>
      </c>
      <c r="J8" s="5">
        <f>F8-E8</f>
        <v>11</v>
      </c>
      <c r="K8" s="8" t="b">
        <f>F8=E9</f>
        <v>1</v>
      </c>
    </row>
    <row r="9" spans="1:11">
      <c r="A9" s="5">
        <v>106</v>
      </c>
      <c r="B9" s="6">
        <v>43757</v>
      </c>
      <c r="C9" s="7">
        <v>0.7</v>
      </c>
      <c r="D9" s="5">
        <v>8.2899999999999991</v>
      </c>
      <c r="E9" s="5">
        <v>17786</v>
      </c>
      <c r="F9" s="5">
        <v>17794</v>
      </c>
      <c r="G9" s="6">
        <v>43757</v>
      </c>
      <c r="H9" s="5" t="s">
        <v>56</v>
      </c>
      <c r="I9" s="5" t="s">
        <v>57</v>
      </c>
      <c r="J9" s="5">
        <f>F9-E9</f>
        <v>8</v>
      </c>
      <c r="K9" s="8" t="b">
        <f>F9=E10</f>
        <v>1</v>
      </c>
    </row>
    <row r="10" spans="1:11">
      <c r="A10" s="5">
        <v>106</v>
      </c>
      <c r="B10" s="6">
        <v>43758</v>
      </c>
      <c r="C10" s="7">
        <v>0.4</v>
      </c>
      <c r="D10" s="5">
        <v>14.5</v>
      </c>
      <c r="E10" s="5">
        <v>17794</v>
      </c>
      <c r="F10" s="5">
        <v>17824</v>
      </c>
      <c r="G10" s="6">
        <v>43758</v>
      </c>
      <c r="H10" s="5" t="s">
        <v>56</v>
      </c>
      <c r="I10" s="5" t="s">
        <v>57</v>
      </c>
      <c r="J10" s="5">
        <f>F10-E10</f>
        <v>30</v>
      </c>
      <c r="K10" s="8" t="b">
        <f>F10=E11</f>
        <v>1</v>
      </c>
    </row>
    <row r="11" spans="1:11">
      <c r="A11" s="5">
        <v>106</v>
      </c>
      <c r="B11" s="6">
        <v>43766</v>
      </c>
      <c r="C11" s="7">
        <v>1</v>
      </c>
      <c r="D11" s="5">
        <v>5.8</v>
      </c>
      <c r="E11" s="5">
        <v>17824</v>
      </c>
      <c r="F11" s="5">
        <v>17837</v>
      </c>
      <c r="G11" s="6">
        <v>43766</v>
      </c>
      <c r="H11" s="5" t="s">
        <v>58</v>
      </c>
      <c r="I11" s="5" t="s">
        <v>57</v>
      </c>
      <c r="J11" s="5">
        <f>F11-E11</f>
        <v>13</v>
      </c>
      <c r="K11" s="8" t="b">
        <f>F11=E12</f>
        <v>1</v>
      </c>
    </row>
    <row r="12" spans="1:11">
      <c r="A12" s="5">
        <v>106</v>
      </c>
      <c r="B12" s="6">
        <v>43767</v>
      </c>
      <c r="C12" s="7">
        <v>1</v>
      </c>
      <c r="D12" s="5">
        <v>5.8</v>
      </c>
      <c r="E12" s="5">
        <v>17837</v>
      </c>
      <c r="F12" s="5">
        <v>17851</v>
      </c>
      <c r="G12" s="6">
        <v>43767</v>
      </c>
      <c r="H12" s="5" t="s">
        <v>58</v>
      </c>
      <c r="I12" s="5" t="s">
        <v>57</v>
      </c>
      <c r="J12" s="5">
        <f t="shared" ref="J12:J17" si="0">F12-E12</f>
        <v>14</v>
      </c>
      <c r="K12" s="8" t="b">
        <f t="shared" ref="K12:K17" si="1">F12=E13</f>
        <v>1</v>
      </c>
    </row>
    <row r="13" spans="1:11">
      <c r="A13" s="5">
        <v>106</v>
      </c>
      <c r="B13" s="6">
        <v>43769</v>
      </c>
      <c r="C13" s="7">
        <v>0.8</v>
      </c>
      <c r="D13" s="5">
        <v>7.25</v>
      </c>
      <c r="E13" s="5">
        <v>17851</v>
      </c>
      <c r="F13" s="5">
        <v>17866</v>
      </c>
      <c r="G13" s="6">
        <v>43769</v>
      </c>
      <c r="H13" s="5" t="s">
        <v>58</v>
      </c>
      <c r="I13" s="5" t="s">
        <v>57</v>
      </c>
      <c r="J13" s="5">
        <f t="shared" si="0"/>
        <v>15</v>
      </c>
      <c r="K13" s="8" t="b">
        <f t="shared" si="1"/>
        <v>1</v>
      </c>
    </row>
    <row r="14" spans="1:11">
      <c r="A14" s="5">
        <v>106</v>
      </c>
      <c r="B14" s="6">
        <v>43771</v>
      </c>
      <c r="C14" s="7">
        <v>0.8</v>
      </c>
      <c r="D14" s="5">
        <v>7.25</v>
      </c>
      <c r="E14" s="5">
        <v>17866</v>
      </c>
      <c r="F14" s="5">
        <v>17880</v>
      </c>
      <c r="G14" s="6">
        <v>43771</v>
      </c>
      <c r="H14" s="5" t="s">
        <v>58</v>
      </c>
      <c r="I14" s="5" t="s">
        <v>57</v>
      </c>
      <c r="J14" s="5">
        <f t="shared" si="0"/>
        <v>14</v>
      </c>
      <c r="K14" s="8" t="b">
        <f t="shared" si="1"/>
        <v>1</v>
      </c>
    </row>
    <row r="15" spans="1:11">
      <c r="A15" s="5">
        <v>106</v>
      </c>
      <c r="B15" s="6">
        <v>43773</v>
      </c>
      <c r="C15" s="7">
        <v>0.8</v>
      </c>
      <c r="D15" s="5">
        <v>7.25</v>
      </c>
      <c r="E15" s="5">
        <v>17880</v>
      </c>
      <c r="F15" s="5">
        <v>17894</v>
      </c>
      <c r="G15" s="6">
        <v>43773</v>
      </c>
      <c r="H15" s="5" t="s">
        <v>58</v>
      </c>
      <c r="I15" s="5" t="s">
        <v>57</v>
      </c>
      <c r="J15" s="5">
        <f t="shared" si="0"/>
        <v>14</v>
      </c>
      <c r="K15" s="8" t="b">
        <f t="shared" si="1"/>
        <v>1</v>
      </c>
    </row>
    <row r="16" spans="1:11">
      <c r="A16" s="5">
        <v>106</v>
      </c>
      <c r="B16" s="6">
        <v>43775</v>
      </c>
      <c r="C16" s="7">
        <v>0.8</v>
      </c>
      <c r="D16" s="5">
        <v>7.25</v>
      </c>
      <c r="E16" s="5">
        <v>17894</v>
      </c>
      <c r="F16" s="5">
        <v>17909</v>
      </c>
      <c r="G16" s="6">
        <v>43775</v>
      </c>
      <c r="H16" s="5" t="s">
        <v>59</v>
      </c>
      <c r="I16" s="5" t="s">
        <v>57</v>
      </c>
      <c r="J16" s="5">
        <f t="shared" si="0"/>
        <v>15</v>
      </c>
      <c r="K16" s="8" t="b">
        <f t="shared" si="1"/>
        <v>1</v>
      </c>
    </row>
    <row r="17" spans="1:11">
      <c r="A17" s="5">
        <v>106</v>
      </c>
      <c r="B17" s="6">
        <v>43777</v>
      </c>
      <c r="C17" s="7">
        <v>0.8</v>
      </c>
      <c r="D17" s="5">
        <v>7.25</v>
      </c>
      <c r="E17" s="5">
        <v>17909</v>
      </c>
      <c r="F17" s="5">
        <v>17923</v>
      </c>
      <c r="G17" s="6">
        <v>43777</v>
      </c>
      <c r="H17" s="5" t="s">
        <v>59</v>
      </c>
      <c r="I17" s="5" t="s">
        <v>57</v>
      </c>
      <c r="J17" s="5">
        <f t="shared" si="0"/>
        <v>14</v>
      </c>
      <c r="K17" s="8" t="b">
        <f t="shared" si="1"/>
        <v>1</v>
      </c>
    </row>
    <row r="18" spans="1:11">
      <c r="A18" s="5">
        <v>106</v>
      </c>
      <c r="B18" s="6">
        <v>43779</v>
      </c>
      <c r="C18" s="7">
        <v>0.65</v>
      </c>
      <c r="D18" s="5">
        <v>8.92</v>
      </c>
      <c r="E18" s="5">
        <v>17923</v>
      </c>
      <c r="F18" s="5">
        <v>17942</v>
      </c>
      <c r="G18" s="6">
        <v>43779</v>
      </c>
      <c r="H18" s="5" t="s">
        <v>58</v>
      </c>
      <c r="I18" s="5" t="s">
        <v>57</v>
      </c>
      <c r="J18" s="5">
        <f t="shared" ref="J18:J44" si="2">F18-E18</f>
        <v>19</v>
      </c>
      <c r="K18" s="8" t="b">
        <f t="shared" ref="K18:K31" si="3">F18=E19</f>
        <v>1</v>
      </c>
    </row>
    <row r="19" spans="1:11">
      <c r="A19" s="5">
        <v>106</v>
      </c>
      <c r="B19" s="6">
        <v>43781</v>
      </c>
      <c r="C19" s="7">
        <v>1</v>
      </c>
      <c r="D19" s="5">
        <v>5.8</v>
      </c>
      <c r="E19" s="5">
        <v>17942</v>
      </c>
      <c r="F19" s="5">
        <v>17954</v>
      </c>
      <c r="G19" s="6">
        <v>43781</v>
      </c>
      <c r="H19" s="5" t="s">
        <v>60</v>
      </c>
      <c r="I19" s="5" t="s">
        <v>57</v>
      </c>
      <c r="J19" s="5">
        <f t="shared" si="2"/>
        <v>12</v>
      </c>
      <c r="K19" s="8" t="b">
        <f t="shared" si="3"/>
        <v>1</v>
      </c>
    </row>
    <row r="20" spans="1:11">
      <c r="A20" s="5">
        <v>106</v>
      </c>
      <c r="B20" s="6">
        <v>43782</v>
      </c>
      <c r="C20" s="7">
        <v>0.65</v>
      </c>
      <c r="D20" s="5">
        <v>8.92</v>
      </c>
      <c r="E20" s="5">
        <v>17954</v>
      </c>
      <c r="F20" s="5">
        <v>17972</v>
      </c>
      <c r="G20" s="6">
        <v>43782</v>
      </c>
      <c r="H20" s="5" t="s">
        <v>60</v>
      </c>
      <c r="I20" s="5" t="s">
        <v>57</v>
      </c>
      <c r="J20" s="5">
        <f t="shared" si="2"/>
        <v>18</v>
      </c>
      <c r="K20" s="8" t="b">
        <f t="shared" si="3"/>
        <v>1</v>
      </c>
    </row>
    <row r="21" spans="1:11">
      <c r="A21" s="5">
        <v>106</v>
      </c>
      <c r="B21" s="6">
        <v>43784</v>
      </c>
      <c r="C21" s="7">
        <v>0.65</v>
      </c>
      <c r="D21" s="5">
        <v>8.92</v>
      </c>
      <c r="E21" s="5">
        <v>17972</v>
      </c>
      <c r="F21" s="5">
        <v>17991</v>
      </c>
      <c r="G21" s="6">
        <v>43784</v>
      </c>
      <c r="H21" s="5" t="s">
        <v>61</v>
      </c>
      <c r="I21" s="5" t="s">
        <v>57</v>
      </c>
      <c r="J21" s="5">
        <f t="shared" si="2"/>
        <v>19</v>
      </c>
      <c r="K21" s="8" t="b">
        <f t="shared" si="3"/>
        <v>1</v>
      </c>
    </row>
    <row r="22" spans="1:11">
      <c r="A22" s="5">
        <v>106</v>
      </c>
      <c r="B22" s="6">
        <v>43785</v>
      </c>
      <c r="C22" s="7">
        <v>0.65</v>
      </c>
      <c r="D22" s="5">
        <v>8.92</v>
      </c>
      <c r="E22" s="5">
        <v>17991</v>
      </c>
      <c r="F22" s="5">
        <v>18009</v>
      </c>
      <c r="G22" s="6">
        <v>43785</v>
      </c>
      <c r="H22" s="5" t="s">
        <v>61</v>
      </c>
      <c r="I22" s="5" t="s">
        <v>57</v>
      </c>
      <c r="J22" s="5">
        <f t="shared" si="2"/>
        <v>18</v>
      </c>
      <c r="K22" s="8" t="b">
        <f t="shared" si="3"/>
        <v>1</v>
      </c>
    </row>
    <row r="23" spans="1:11">
      <c r="A23" s="5">
        <v>106</v>
      </c>
      <c r="B23" s="6">
        <v>43786</v>
      </c>
      <c r="C23" s="7">
        <v>0.65</v>
      </c>
      <c r="D23" s="5">
        <v>8.92</v>
      </c>
      <c r="E23" s="5">
        <v>18009</v>
      </c>
      <c r="F23" s="5">
        <v>18020</v>
      </c>
      <c r="G23" s="6">
        <v>43786</v>
      </c>
      <c r="H23" s="5" t="s">
        <v>61</v>
      </c>
      <c r="I23" s="5" t="s">
        <v>57</v>
      </c>
      <c r="J23" s="5">
        <f t="shared" si="2"/>
        <v>11</v>
      </c>
      <c r="K23" s="8" t="b">
        <f t="shared" si="3"/>
        <v>1</v>
      </c>
    </row>
    <row r="24" spans="1:11">
      <c r="A24" s="5">
        <v>106</v>
      </c>
      <c r="B24" s="6">
        <v>43792</v>
      </c>
      <c r="C24" s="7">
        <v>0.8</v>
      </c>
      <c r="D24" s="5">
        <v>7.25</v>
      </c>
      <c r="E24" s="5">
        <v>18020</v>
      </c>
      <c r="F24" s="5">
        <v>18035</v>
      </c>
      <c r="G24" s="6">
        <v>43792</v>
      </c>
      <c r="H24" s="5" t="s">
        <v>61</v>
      </c>
      <c r="I24" s="5" t="s">
        <v>57</v>
      </c>
      <c r="J24" s="5">
        <f t="shared" si="2"/>
        <v>15</v>
      </c>
      <c r="K24" s="8" t="b">
        <f t="shared" si="3"/>
        <v>1</v>
      </c>
    </row>
    <row r="25" spans="1:11">
      <c r="A25" s="5">
        <v>106</v>
      </c>
      <c r="B25" s="6">
        <v>43798</v>
      </c>
      <c r="C25" s="7">
        <v>0.8</v>
      </c>
      <c r="D25" s="5">
        <v>7.25</v>
      </c>
      <c r="E25" s="5">
        <v>18035</v>
      </c>
      <c r="F25" s="5">
        <v>18047</v>
      </c>
      <c r="G25" s="6">
        <v>43798</v>
      </c>
      <c r="H25" s="5" t="s">
        <v>59</v>
      </c>
      <c r="I25" s="5" t="s">
        <v>57</v>
      </c>
      <c r="J25" s="5">
        <f t="shared" si="2"/>
        <v>12</v>
      </c>
      <c r="K25" s="8" t="b">
        <f t="shared" si="3"/>
        <v>1</v>
      </c>
    </row>
    <row r="26" spans="1:11">
      <c r="A26" s="5">
        <v>106</v>
      </c>
      <c r="B26" s="6">
        <v>43805</v>
      </c>
      <c r="C26" s="7">
        <v>0.7</v>
      </c>
      <c r="D26" s="5">
        <v>8.2899999999999991</v>
      </c>
      <c r="E26" s="5">
        <v>18047</v>
      </c>
      <c r="F26" s="5">
        <v>18059</v>
      </c>
      <c r="G26" s="6">
        <v>43805</v>
      </c>
      <c r="H26" s="5" t="s">
        <v>59</v>
      </c>
      <c r="I26" s="5" t="s">
        <v>57</v>
      </c>
      <c r="J26" s="5">
        <f t="shared" si="2"/>
        <v>12</v>
      </c>
      <c r="K26" s="8" t="b">
        <f t="shared" si="3"/>
        <v>1</v>
      </c>
    </row>
    <row r="27" spans="1:11">
      <c r="A27" s="5">
        <v>106</v>
      </c>
      <c r="B27" s="6">
        <v>43808</v>
      </c>
      <c r="C27" s="7">
        <v>0.7</v>
      </c>
      <c r="D27" s="5">
        <v>8.2899999999999991</v>
      </c>
      <c r="E27" s="5">
        <v>18059</v>
      </c>
      <c r="F27" s="5">
        <v>18078</v>
      </c>
      <c r="G27" s="6">
        <v>43808</v>
      </c>
      <c r="H27" s="5"/>
      <c r="I27" s="5"/>
      <c r="J27" s="5">
        <f t="shared" si="2"/>
        <v>19</v>
      </c>
      <c r="K27" s="8" t="b">
        <f t="shared" si="3"/>
        <v>1</v>
      </c>
    </row>
    <row r="28" spans="1:11">
      <c r="A28" s="5">
        <v>106</v>
      </c>
      <c r="B28" s="6">
        <v>43810</v>
      </c>
      <c r="C28" s="7">
        <v>0.7</v>
      </c>
      <c r="D28" s="5">
        <v>8.2899999999999991</v>
      </c>
      <c r="E28" s="5">
        <v>18078</v>
      </c>
      <c r="F28" s="5">
        <v>18095</v>
      </c>
      <c r="G28" s="6">
        <v>43810</v>
      </c>
      <c r="H28" s="5" t="s">
        <v>62</v>
      </c>
      <c r="I28" s="5" t="s">
        <v>57</v>
      </c>
      <c r="J28" s="5">
        <f t="shared" si="2"/>
        <v>17</v>
      </c>
      <c r="K28" s="8" t="b">
        <f t="shared" si="3"/>
        <v>0</v>
      </c>
    </row>
    <row r="29" spans="1:11">
      <c r="A29" s="5">
        <v>106</v>
      </c>
      <c r="B29" s="6">
        <v>43812</v>
      </c>
      <c r="C29" s="7">
        <v>0.7</v>
      </c>
      <c r="D29" s="5">
        <v>8.2899999999999991</v>
      </c>
      <c r="E29" s="5">
        <v>0</v>
      </c>
      <c r="F29" s="5">
        <v>17</v>
      </c>
      <c r="G29" s="6">
        <v>43812</v>
      </c>
      <c r="H29" s="5"/>
      <c r="I29" s="5"/>
      <c r="J29" s="5">
        <f t="shared" si="2"/>
        <v>17</v>
      </c>
      <c r="K29" s="8" t="b">
        <f t="shared" si="3"/>
        <v>1</v>
      </c>
    </row>
    <row r="30" spans="1:11">
      <c r="A30" s="5">
        <v>106</v>
      </c>
      <c r="B30" s="6">
        <v>43813</v>
      </c>
      <c r="C30" s="7">
        <v>1</v>
      </c>
      <c r="D30" s="5">
        <v>5.8</v>
      </c>
      <c r="E30" s="5">
        <v>17</v>
      </c>
      <c r="F30" s="5">
        <v>34</v>
      </c>
      <c r="G30" s="6">
        <v>43813</v>
      </c>
      <c r="H30" s="5"/>
      <c r="I30" s="5"/>
      <c r="J30" s="5">
        <f t="shared" si="2"/>
        <v>17</v>
      </c>
      <c r="K30" s="8" t="b">
        <f t="shared" si="3"/>
        <v>1</v>
      </c>
    </row>
    <row r="31" spans="1:11">
      <c r="A31" s="5">
        <v>106</v>
      </c>
      <c r="B31" s="6">
        <v>43815</v>
      </c>
      <c r="C31" s="7">
        <v>0.7</v>
      </c>
      <c r="D31" s="5">
        <v>8.2899999999999991</v>
      </c>
      <c r="E31" s="5">
        <v>34</v>
      </c>
      <c r="F31" s="5">
        <v>50</v>
      </c>
      <c r="G31" s="6">
        <v>43815</v>
      </c>
      <c r="H31" s="5"/>
      <c r="I31" s="5"/>
      <c r="J31" s="5">
        <f t="shared" si="2"/>
        <v>16</v>
      </c>
      <c r="K31" s="8" t="b">
        <f t="shared" si="3"/>
        <v>1</v>
      </c>
    </row>
    <row r="32" spans="1:11">
      <c r="A32" s="5">
        <v>106</v>
      </c>
      <c r="B32" s="6">
        <v>43818</v>
      </c>
      <c r="C32" s="7">
        <v>0.7</v>
      </c>
      <c r="D32" s="5">
        <v>8.2899999999999991</v>
      </c>
      <c r="E32" s="5">
        <v>50</v>
      </c>
      <c r="F32" s="5">
        <v>67</v>
      </c>
      <c r="G32" s="6">
        <v>43818</v>
      </c>
      <c r="H32" s="5"/>
      <c r="I32" s="5"/>
      <c r="J32" s="5">
        <f t="shared" si="2"/>
        <v>17</v>
      </c>
      <c r="K32" s="8" t="b">
        <f t="shared" ref="K32:K40" si="4">F32=E33</f>
        <v>1</v>
      </c>
    </row>
    <row r="33" spans="1:11">
      <c r="A33" s="5">
        <v>106</v>
      </c>
      <c r="B33" s="6">
        <v>43819</v>
      </c>
      <c r="C33" s="7">
        <v>1</v>
      </c>
      <c r="D33" s="5">
        <v>5.8</v>
      </c>
      <c r="E33" s="5">
        <v>67</v>
      </c>
      <c r="F33" s="5">
        <v>79</v>
      </c>
      <c r="G33" s="6">
        <v>43819</v>
      </c>
      <c r="H33" s="5"/>
      <c r="I33" s="5"/>
      <c r="J33" s="5">
        <f t="shared" si="2"/>
        <v>12</v>
      </c>
      <c r="K33" s="8" t="b">
        <f t="shared" si="4"/>
        <v>1</v>
      </c>
    </row>
    <row r="34" spans="1:11">
      <c r="A34" s="5">
        <v>106</v>
      </c>
      <c r="B34" s="6">
        <v>43820</v>
      </c>
      <c r="C34" s="7">
        <v>0.7</v>
      </c>
      <c r="D34" s="5">
        <v>8.2899999999999991</v>
      </c>
      <c r="E34" s="5">
        <v>79</v>
      </c>
      <c r="F34" s="5">
        <v>96</v>
      </c>
      <c r="G34" s="6">
        <v>43820</v>
      </c>
      <c r="H34" s="5"/>
      <c r="I34" s="5"/>
      <c r="J34" s="5">
        <f t="shared" si="2"/>
        <v>17</v>
      </c>
      <c r="K34" s="8" t="b">
        <f t="shared" si="4"/>
        <v>1</v>
      </c>
    </row>
    <row r="35" spans="1:11">
      <c r="A35" s="5">
        <v>106</v>
      </c>
      <c r="B35" s="6">
        <v>43821</v>
      </c>
      <c r="C35" s="7">
        <v>0.7</v>
      </c>
      <c r="D35" s="5">
        <v>8.2899999999999991</v>
      </c>
      <c r="E35" s="5">
        <v>96</v>
      </c>
      <c r="F35" s="5">
        <v>113</v>
      </c>
      <c r="G35" s="6">
        <v>43821</v>
      </c>
      <c r="H35" s="5"/>
      <c r="I35" s="5"/>
      <c r="J35" s="5">
        <f t="shared" si="2"/>
        <v>17</v>
      </c>
      <c r="K35" s="8" t="b">
        <f t="shared" si="4"/>
        <v>1</v>
      </c>
    </row>
    <row r="36" spans="1:11">
      <c r="A36" s="5">
        <v>106</v>
      </c>
      <c r="B36" s="6">
        <v>43824</v>
      </c>
      <c r="C36" s="7">
        <v>0.7</v>
      </c>
      <c r="D36" s="5">
        <v>8.2899999999999991</v>
      </c>
      <c r="E36" s="5">
        <v>113</v>
      </c>
      <c r="F36" s="5">
        <v>130</v>
      </c>
      <c r="G36" s="6">
        <v>43824</v>
      </c>
      <c r="H36" s="5"/>
      <c r="I36" s="5"/>
      <c r="J36" s="5">
        <f t="shared" si="2"/>
        <v>17</v>
      </c>
      <c r="K36" s="8" t="b">
        <f t="shared" si="4"/>
        <v>1</v>
      </c>
    </row>
    <row r="37" spans="1:11">
      <c r="A37" s="5">
        <v>106</v>
      </c>
      <c r="B37" s="6">
        <v>43826</v>
      </c>
      <c r="C37" s="7">
        <v>0.7</v>
      </c>
      <c r="D37" s="5">
        <v>8.2899999999999991</v>
      </c>
      <c r="E37" s="5">
        <v>130</v>
      </c>
      <c r="F37" s="5">
        <v>147</v>
      </c>
      <c r="G37" s="6">
        <v>43826</v>
      </c>
      <c r="H37" s="5"/>
      <c r="I37" s="5"/>
      <c r="J37" s="5">
        <f t="shared" si="2"/>
        <v>17</v>
      </c>
      <c r="K37" s="8" t="b">
        <f t="shared" si="4"/>
        <v>1</v>
      </c>
    </row>
    <row r="38" spans="1:11">
      <c r="A38" s="5">
        <v>106</v>
      </c>
      <c r="B38" s="6">
        <v>43829</v>
      </c>
      <c r="C38" s="7">
        <v>0.7</v>
      </c>
      <c r="D38" s="5">
        <v>8.2899999999999991</v>
      </c>
      <c r="E38" s="5">
        <v>147</v>
      </c>
      <c r="F38" s="5">
        <v>165</v>
      </c>
      <c r="G38" s="6">
        <v>43829</v>
      </c>
      <c r="H38" s="5"/>
      <c r="I38" s="5"/>
      <c r="J38" s="5">
        <f t="shared" si="2"/>
        <v>18</v>
      </c>
      <c r="K38" s="8" t="b">
        <f t="shared" si="4"/>
        <v>1</v>
      </c>
    </row>
    <row r="39" spans="1:11">
      <c r="A39" s="5">
        <v>106</v>
      </c>
      <c r="B39" s="6">
        <v>43478</v>
      </c>
      <c r="C39" s="7">
        <v>1</v>
      </c>
      <c r="D39" s="5">
        <v>8.2899999999999991</v>
      </c>
      <c r="E39" s="5">
        <v>165</v>
      </c>
      <c r="F39" s="5">
        <v>178</v>
      </c>
      <c r="G39" s="6">
        <v>43843</v>
      </c>
      <c r="H39" s="5"/>
      <c r="I39" s="5"/>
      <c r="J39" s="5">
        <f t="shared" si="2"/>
        <v>13</v>
      </c>
      <c r="K39" s="8" t="b">
        <f t="shared" si="4"/>
        <v>0</v>
      </c>
    </row>
    <row r="40" spans="1:11">
      <c r="A40" s="5">
        <v>106</v>
      </c>
      <c r="B40" s="6">
        <v>43479</v>
      </c>
      <c r="C40" s="7">
        <v>0.8</v>
      </c>
      <c r="D40" s="5">
        <v>7.25</v>
      </c>
      <c r="E40" s="5">
        <v>430</v>
      </c>
      <c r="F40" s="5">
        <v>445</v>
      </c>
      <c r="G40" s="6">
        <v>43844</v>
      </c>
      <c r="H40" s="5"/>
      <c r="I40" s="5"/>
      <c r="J40" s="5">
        <f t="shared" si="2"/>
        <v>15</v>
      </c>
      <c r="K40" s="8" t="b">
        <f t="shared" si="4"/>
        <v>1</v>
      </c>
    </row>
    <row r="41" spans="1:11">
      <c r="A41" s="5">
        <v>106</v>
      </c>
      <c r="B41" s="6">
        <v>43847</v>
      </c>
      <c r="C41" s="7">
        <v>0.7</v>
      </c>
      <c r="D41" s="5">
        <v>8.2899999999999991</v>
      </c>
      <c r="E41" s="5">
        <v>445</v>
      </c>
      <c r="F41" s="5">
        <v>461</v>
      </c>
      <c r="G41" s="6">
        <v>43846</v>
      </c>
      <c r="H41" s="5"/>
      <c r="I41" s="5"/>
      <c r="J41" s="5">
        <f t="shared" si="2"/>
        <v>16</v>
      </c>
      <c r="K41" s="8" t="b">
        <f>F41=E42</f>
        <v>1</v>
      </c>
    </row>
    <row r="42" spans="1:11">
      <c r="A42" s="5">
        <v>106</v>
      </c>
      <c r="B42" s="6">
        <v>43848</v>
      </c>
      <c r="C42" s="7">
        <v>0.7</v>
      </c>
      <c r="D42" s="5">
        <v>8.2899999999999991</v>
      </c>
      <c r="E42" s="5">
        <v>461</v>
      </c>
      <c r="F42" s="5">
        <v>461</v>
      </c>
      <c r="G42" s="6">
        <v>43848</v>
      </c>
      <c r="H42" s="5"/>
      <c r="I42" s="5"/>
      <c r="J42" s="5">
        <f t="shared" si="2"/>
        <v>0</v>
      </c>
      <c r="K42" s="8" t="b">
        <f>F42=E43</f>
        <v>0</v>
      </c>
    </row>
    <row r="43" spans="1:11">
      <c r="A43" s="5"/>
      <c r="B43" s="6"/>
      <c r="C43" s="7"/>
      <c r="D43" s="5"/>
      <c r="E43" s="5"/>
      <c r="F43" s="5"/>
      <c r="G43" s="6"/>
      <c r="H43" s="5"/>
      <c r="I43" s="5"/>
      <c r="J43" s="5">
        <f t="shared" si="2"/>
        <v>0</v>
      </c>
      <c r="K43" s="8" t="b">
        <f>F43=E44</f>
        <v>1</v>
      </c>
    </row>
    <row r="44" spans="1:11">
      <c r="A44" s="5"/>
      <c r="B44" s="6"/>
      <c r="C44" s="7"/>
      <c r="D44" s="5"/>
      <c r="E44" s="5"/>
      <c r="F44" s="5"/>
      <c r="G44" s="6"/>
      <c r="H44" s="5"/>
      <c r="I44" s="5"/>
      <c r="J44" s="5">
        <f t="shared" si="2"/>
        <v>0</v>
      </c>
      <c r="K44" s="8" t="b">
        <f>F44=E45</f>
        <v>1</v>
      </c>
    </row>
    <row r="46" spans="1:11" ht="26.25">
      <c r="A46" s="144" t="s">
        <v>72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7"/>
    </row>
    <row r="47" spans="1:11" ht="26.25">
      <c r="A47" s="144" t="s">
        <v>51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7"/>
    </row>
    <row r="48" spans="1:11" ht="15.75" thickBot="1"/>
    <row r="49" spans="1:11" ht="15.75" thickBot="1">
      <c r="A49" s="132" t="s">
        <v>2</v>
      </c>
      <c r="B49" s="133"/>
      <c r="C49" s="133"/>
      <c r="D49" s="133"/>
      <c r="E49" s="133"/>
      <c r="F49" s="133"/>
      <c r="G49" s="133"/>
      <c r="H49" s="133"/>
      <c r="I49" s="133"/>
      <c r="J49" s="133"/>
      <c r="K49" s="134"/>
    </row>
    <row r="51" spans="1:11" ht="19.5" thickBot="1">
      <c r="A51" s="1" t="s">
        <v>3</v>
      </c>
      <c r="B51" s="1"/>
      <c r="C51" s="1"/>
      <c r="D51" s="1"/>
      <c r="E51" s="1"/>
      <c r="F51" s="1"/>
      <c r="G51" s="1"/>
      <c r="H51" s="1"/>
      <c r="I51" s="1"/>
    </row>
    <row r="52" spans="1:11" ht="30.75" thickBot="1">
      <c r="A52" s="2" t="s">
        <v>4</v>
      </c>
      <c r="B52" s="3" t="s">
        <v>5</v>
      </c>
      <c r="C52" s="3" t="s">
        <v>6</v>
      </c>
      <c r="D52" s="3" t="s">
        <v>7</v>
      </c>
      <c r="E52" s="3" t="s">
        <v>8</v>
      </c>
      <c r="F52" s="3" t="s">
        <v>9</v>
      </c>
      <c r="G52" s="3" t="s">
        <v>10</v>
      </c>
      <c r="H52" s="3" t="s">
        <v>21</v>
      </c>
      <c r="I52" s="4" t="s">
        <v>22</v>
      </c>
      <c r="J52" s="4" t="s">
        <v>11</v>
      </c>
      <c r="K52" s="46" t="s">
        <v>12</v>
      </c>
    </row>
    <row r="53" spans="1:11">
      <c r="A53" s="5">
        <v>106</v>
      </c>
      <c r="B53" s="6">
        <v>43879</v>
      </c>
      <c r="C53" s="7">
        <v>0.4</v>
      </c>
      <c r="D53" s="5">
        <v>14.5</v>
      </c>
      <c r="E53" s="5">
        <v>461</v>
      </c>
      <c r="F53" s="5">
        <v>495</v>
      </c>
      <c r="G53" s="6">
        <v>43880</v>
      </c>
      <c r="H53" s="5"/>
      <c r="I53" s="5"/>
      <c r="J53" s="5">
        <f t="shared" ref="J53:J58" si="5">F53-E53</f>
        <v>34</v>
      </c>
      <c r="K53" s="8" t="b">
        <f t="shared" ref="K53:K61" si="6">F53=E54</f>
        <v>1</v>
      </c>
    </row>
    <row r="54" spans="1:11">
      <c r="A54" s="5">
        <v>106</v>
      </c>
      <c r="B54" s="6">
        <v>43880</v>
      </c>
      <c r="C54" s="7">
        <v>0.4</v>
      </c>
      <c r="D54" s="5">
        <v>14.5</v>
      </c>
      <c r="E54" s="5">
        <v>495</v>
      </c>
      <c r="F54" s="5">
        <v>523</v>
      </c>
      <c r="G54" s="6">
        <v>43881</v>
      </c>
      <c r="H54" s="5"/>
      <c r="I54" s="5"/>
      <c r="J54" s="5">
        <f t="shared" si="5"/>
        <v>28</v>
      </c>
      <c r="K54" s="8" t="b">
        <f t="shared" si="6"/>
        <v>1</v>
      </c>
    </row>
    <row r="55" spans="1:11">
      <c r="A55" s="5">
        <v>106</v>
      </c>
      <c r="B55" s="6">
        <v>43882</v>
      </c>
      <c r="C55" s="7">
        <v>0.4</v>
      </c>
      <c r="D55" s="5">
        <v>14.5</v>
      </c>
      <c r="E55" s="5">
        <v>523</v>
      </c>
      <c r="F55" s="5">
        <v>553</v>
      </c>
      <c r="G55" s="6">
        <v>43882</v>
      </c>
      <c r="H55" s="5"/>
      <c r="I55" s="5"/>
      <c r="J55" s="5">
        <f t="shared" si="5"/>
        <v>30</v>
      </c>
      <c r="K55" s="8" t="b">
        <f t="shared" si="6"/>
        <v>1</v>
      </c>
    </row>
    <row r="56" spans="1:11">
      <c r="A56" s="5">
        <v>106</v>
      </c>
      <c r="B56" s="6">
        <v>43886</v>
      </c>
      <c r="C56" s="7">
        <v>1</v>
      </c>
      <c r="D56" s="5">
        <v>5.8</v>
      </c>
      <c r="E56" s="5">
        <v>553</v>
      </c>
      <c r="F56" s="5">
        <v>564</v>
      </c>
      <c r="G56" s="6">
        <v>43886</v>
      </c>
      <c r="H56" s="5"/>
      <c r="I56" s="5"/>
      <c r="J56" s="5">
        <f t="shared" si="5"/>
        <v>11</v>
      </c>
      <c r="K56" s="8" t="b">
        <f t="shared" si="6"/>
        <v>1</v>
      </c>
    </row>
    <row r="57" spans="1:11">
      <c r="A57" s="5">
        <v>106</v>
      </c>
      <c r="B57" s="6">
        <v>43887</v>
      </c>
      <c r="C57" s="7">
        <v>1</v>
      </c>
      <c r="D57" s="5">
        <v>5.8</v>
      </c>
      <c r="E57" s="5">
        <v>564</v>
      </c>
      <c r="F57" s="5">
        <v>574</v>
      </c>
      <c r="G57" s="6">
        <v>43887</v>
      </c>
      <c r="H57" s="5"/>
      <c r="I57" s="5"/>
      <c r="J57" s="5">
        <f t="shared" si="5"/>
        <v>10</v>
      </c>
      <c r="K57" s="8" t="b">
        <f t="shared" si="6"/>
        <v>1</v>
      </c>
    </row>
    <row r="58" spans="1:11">
      <c r="A58" s="5">
        <v>107</v>
      </c>
      <c r="B58" s="6">
        <v>43888</v>
      </c>
      <c r="C58" s="7">
        <v>1</v>
      </c>
      <c r="D58" s="5">
        <v>5.8</v>
      </c>
      <c r="E58" s="5">
        <v>574</v>
      </c>
      <c r="F58" s="5">
        <v>587</v>
      </c>
      <c r="G58" s="6">
        <v>43888</v>
      </c>
      <c r="H58" s="5"/>
      <c r="I58" s="5"/>
      <c r="J58" s="5">
        <f t="shared" si="5"/>
        <v>13</v>
      </c>
      <c r="K58" s="8" t="b">
        <f t="shared" si="6"/>
        <v>1</v>
      </c>
    </row>
    <row r="59" spans="1:11">
      <c r="A59" s="5">
        <v>106</v>
      </c>
      <c r="B59" s="6">
        <v>43899</v>
      </c>
      <c r="C59" s="7">
        <v>1</v>
      </c>
      <c r="D59" s="5">
        <v>5.8</v>
      </c>
      <c r="E59" s="5">
        <v>587</v>
      </c>
      <c r="F59" s="5">
        <v>599</v>
      </c>
      <c r="G59" s="6">
        <v>43900</v>
      </c>
      <c r="H59" s="5"/>
      <c r="I59" s="5"/>
      <c r="J59" s="5">
        <f t="shared" ref="J59:J65" si="7">F59-E59</f>
        <v>12</v>
      </c>
      <c r="K59" s="8" t="b">
        <f t="shared" si="6"/>
        <v>1</v>
      </c>
    </row>
    <row r="60" spans="1:11">
      <c r="A60" s="5">
        <v>106</v>
      </c>
      <c r="B60" s="6">
        <v>43910</v>
      </c>
      <c r="C60" s="7">
        <v>0.8</v>
      </c>
      <c r="D60" s="5">
        <v>7.25</v>
      </c>
      <c r="E60" s="5">
        <v>599</v>
      </c>
      <c r="F60" s="5">
        <v>614</v>
      </c>
      <c r="G60" s="6">
        <v>43910</v>
      </c>
      <c r="H60" s="5"/>
      <c r="I60" s="5"/>
      <c r="J60" s="5">
        <f t="shared" si="7"/>
        <v>15</v>
      </c>
      <c r="K60" s="8" t="b">
        <f t="shared" si="6"/>
        <v>1</v>
      </c>
    </row>
    <row r="61" spans="1:11">
      <c r="A61" s="5">
        <v>106</v>
      </c>
      <c r="B61" s="6">
        <v>43913</v>
      </c>
      <c r="C61" s="7">
        <v>0.8</v>
      </c>
      <c r="D61" s="5">
        <v>7.25</v>
      </c>
      <c r="E61" s="5">
        <v>614</v>
      </c>
      <c r="F61" s="5">
        <v>625</v>
      </c>
      <c r="G61" s="6">
        <v>43913</v>
      </c>
      <c r="H61" s="5"/>
      <c r="I61" s="5"/>
      <c r="J61" s="5">
        <f t="shared" si="7"/>
        <v>11</v>
      </c>
      <c r="K61" s="8" t="b">
        <f t="shared" si="6"/>
        <v>1</v>
      </c>
    </row>
    <row r="62" spans="1:11">
      <c r="A62" s="5">
        <v>106</v>
      </c>
      <c r="B62" s="6">
        <v>43922</v>
      </c>
      <c r="C62" s="7">
        <v>1</v>
      </c>
      <c r="D62" s="5">
        <v>5.8</v>
      </c>
      <c r="E62" s="5">
        <v>625</v>
      </c>
      <c r="F62" s="5">
        <v>638</v>
      </c>
      <c r="G62" s="6">
        <v>43922</v>
      </c>
      <c r="H62" s="5"/>
      <c r="I62" s="5"/>
      <c r="J62" s="5">
        <f t="shared" si="7"/>
        <v>13</v>
      </c>
      <c r="K62" s="8" t="b">
        <f>F62=E63</f>
        <v>1</v>
      </c>
    </row>
    <row r="63" spans="1:11">
      <c r="A63" s="5">
        <v>106</v>
      </c>
      <c r="B63" s="6">
        <v>43924</v>
      </c>
      <c r="C63" s="7">
        <v>1</v>
      </c>
      <c r="D63" s="5">
        <v>5.8</v>
      </c>
      <c r="E63" s="5">
        <v>638</v>
      </c>
      <c r="F63" s="5">
        <v>653</v>
      </c>
      <c r="G63" s="6">
        <v>43924</v>
      </c>
      <c r="H63" s="5"/>
      <c r="I63" s="5"/>
      <c r="J63" s="5">
        <f t="shared" si="7"/>
        <v>15</v>
      </c>
      <c r="K63" s="8" t="b">
        <f>F63=E64</f>
        <v>1</v>
      </c>
    </row>
    <row r="64" spans="1:11">
      <c r="A64" s="5">
        <v>106</v>
      </c>
      <c r="B64" s="6">
        <v>43926</v>
      </c>
      <c r="C64" s="7">
        <v>0.8</v>
      </c>
      <c r="D64" s="5">
        <v>7.25</v>
      </c>
      <c r="E64" s="5">
        <v>653</v>
      </c>
      <c r="F64" s="5">
        <v>668</v>
      </c>
      <c r="G64" s="6">
        <v>43926</v>
      </c>
      <c r="H64" s="5"/>
      <c r="I64" s="5"/>
      <c r="J64" s="5">
        <f t="shared" si="7"/>
        <v>15</v>
      </c>
      <c r="K64" s="8" t="b">
        <f>F64=E65</f>
        <v>1</v>
      </c>
    </row>
    <row r="65" spans="1:11">
      <c r="A65" s="5">
        <v>106</v>
      </c>
      <c r="B65" s="6">
        <v>43928</v>
      </c>
      <c r="C65" s="10">
        <v>0.8</v>
      </c>
      <c r="D65" s="5">
        <v>7.25</v>
      </c>
      <c r="E65" s="5">
        <v>668</v>
      </c>
      <c r="F65" s="5">
        <v>682</v>
      </c>
      <c r="G65" s="6">
        <v>43928</v>
      </c>
      <c r="H65" s="5"/>
      <c r="I65" s="5"/>
      <c r="J65" s="5">
        <f t="shared" si="7"/>
        <v>14</v>
      </c>
      <c r="K65" s="8" t="b">
        <f>F65=E66</f>
        <v>0</v>
      </c>
    </row>
    <row r="66" spans="1:11">
      <c r="A66" s="5">
        <v>106</v>
      </c>
      <c r="B66" s="6">
        <v>43931</v>
      </c>
      <c r="C66" s="7">
        <v>0.8</v>
      </c>
      <c r="D66" s="5">
        <v>7.25</v>
      </c>
      <c r="E66" s="5">
        <v>694</v>
      </c>
      <c r="F66" s="5">
        <v>709</v>
      </c>
      <c r="G66" s="6">
        <v>43931</v>
      </c>
      <c r="H66" s="5"/>
      <c r="I66" s="5"/>
      <c r="J66" s="5">
        <f t="shared" ref="J66:J104" si="8">F66-E66</f>
        <v>15</v>
      </c>
      <c r="K66" s="8" t="b">
        <f t="shared" ref="K66:K104" si="9">F66=E67</f>
        <v>1</v>
      </c>
    </row>
    <row r="67" spans="1:11">
      <c r="A67" s="5">
        <v>106</v>
      </c>
      <c r="B67" s="6">
        <v>43935</v>
      </c>
      <c r="C67" s="7">
        <v>0.8</v>
      </c>
      <c r="D67" s="5">
        <v>7.25</v>
      </c>
      <c r="E67" s="5">
        <v>709</v>
      </c>
      <c r="F67" s="5">
        <v>722</v>
      </c>
      <c r="G67" s="6">
        <v>43935</v>
      </c>
      <c r="H67" s="5"/>
      <c r="I67" s="5"/>
      <c r="J67" s="5">
        <f t="shared" si="8"/>
        <v>13</v>
      </c>
      <c r="K67" s="8" t="b">
        <f t="shared" si="9"/>
        <v>0</v>
      </c>
    </row>
    <row r="68" spans="1:11">
      <c r="A68" s="5">
        <v>106</v>
      </c>
      <c r="B68" s="6">
        <v>43943</v>
      </c>
      <c r="C68" s="7">
        <v>0.8</v>
      </c>
      <c r="D68" s="5">
        <v>7.25</v>
      </c>
      <c r="E68" s="5">
        <v>736</v>
      </c>
      <c r="F68" s="5">
        <v>752</v>
      </c>
      <c r="G68" s="6">
        <v>43943</v>
      </c>
      <c r="H68" s="5"/>
      <c r="I68" s="5"/>
      <c r="J68" s="5">
        <f t="shared" si="8"/>
        <v>16</v>
      </c>
      <c r="K68" s="8" t="b">
        <f t="shared" si="9"/>
        <v>1</v>
      </c>
    </row>
    <row r="69" spans="1:11">
      <c r="A69" s="5">
        <v>106</v>
      </c>
      <c r="B69" s="6">
        <v>43948</v>
      </c>
      <c r="C69" s="7">
        <v>0.8</v>
      </c>
      <c r="D69" s="5">
        <v>7.25</v>
      </c>
      <c r="E69" s="5">
        <v>752</v>
      </c>
      <c r="F69" s="5">
        <v>767</v>
      </c>
      <c r="G69" s="6">
        <v>43948</v>
      </c>
      <c r="H69" s="5"/>
      <c r="I69" s="5"/>
      <c r="J69" s="5">
        <f t="shared" si="8"/>
        <v>15</v>
      </c>
      <c r="K69" s="8" t="b">
        <f t="shared" si="9"/>
        <v>1</v>
      </c>
    </row>
    <row r="70" spans="1:11">
      <c r="A70" s="5">
        <v>106</v>
      </c>
      <c r="B70" s="6">
        <v>43957</v>
      </c>
      <c r="C70" s="7">
        <v>1</v>
      </c>
      <c r="D70" s="5">
        <v>5.8</v>
      </c>
      <c r="E70" s="5">
        <v>767</v>
      </c>
      <c r="F70" s="5">
        <v>808</v>
      </c>
      <c r="G70" s="6">
        <v>43957</v>
      </c>
      <c r="H70" s="5"/>
      <c r="I70" s="5"/>
      <c r="J70" s="5">
        <f t="shared" si="8"/>
        <v>41</v>
      </c>
      <c r="K70" s="8" t="b">
        <f t="shared" si="9"/>
        <v>1</v>
      </c>
    </row>
    <row r="71" spans="1:11">
      <c r="A71" s="5">
        <v>106</v>
      </c>
      <c r="B71" s="6">
        <v>43964</v>
      </c>
      <c r="C71" s="7">
        <v>1</v>
      </c>
      <c r="D71" s="5">
        <v>5.8</v>
      </c>
      <c r="E71" s="5">
        <v>808</v>
      </c>
      <c r="F71" s="5">
        <v>819</v>
      </c>
      <c r="G71" s="6">
        <v>43964</v>
      </c>
      <c r="H71" s="5"/>
      <c r="I71" s="5"/>
      <c r="J71" s="5">
        <f t="shared" si="8"/>
        <v>11</v>
      </c>
      <c r="K71" s="8" t="b">
        <f t="shared" si="9"/>
        <v>1</v>
      </c>
    </row>
    <row r="72" spans="1:11">
      <c r="A72" s="5">
        <v>106</v>
      </c>
      <c r="B72" s="6">
        <v>43968</v>
      </c>
      <c r="C72" s="7">
        <v>0.7</v>
      </c>
      <c r="D72" s="5">
        <v>8.2899999999999991</v>
      </c>
      <c r="E72" s="5">
        <v>819</v>
      </c>
      <c r="F72" s="5">
        <v>827</v>
      </c>
      <c r="G72" s="6">
        <v>43968</v>
      </c>
      <c r="H72" s="5"/>
      <c r="I72" s="5"/>
      <c r="J72" s="5">
        <f t="shared" si="8"/>
        <v>8</v>
      </c>
      <c r="K72" s="8" t="b">
        <f t="shared" si="9"/>
        <v>1</v>
      </c>
    </row>
    <row r="73" spans="1:11">
      <c r="A73" s="5">
        <v>106</v>
      </c>
      <c r="B73" s="6">
        <v>43971</v>
      </c>
      <c r="C73" s="7">
        <v>0.7</v>
      </c>
      <c r="D73" s="5">
        <v>8.2899999999999991</v>
      </c>
      <c r="E73" s="5">
        <v>827</v>
      </c>
      <c r="F73" s="5">
        <v>844</v>
      </c>
      <c r="G73" s="6">
        <v>43971</v>
      </c>
      <c r="H73" s="5"/>
      <c r="I73" s="5"/>
      <c r="J73" s="5">
        <f t="shared" si="8"/>
        <v>17</v>
      </c>
      <c r="K73" s="8" t="b">
        <f t="shared" si="9"/>
        <v>1</v>
      </c>
    </row>
    <row r="74" spans="1:11">
      <c r="A74" s="5">
        <v>106</v>
      </c>
      <c r="B74" s="6">
        <v>43975</v>
      </c>
      <c r="C74" s="7">
        <v>0.8</v>
      </c>
      <c r="D74" s="5">
        <v>7.25</v>
      </c>
      <c r="E74" s="5">
        <v>844</v>
      </c>
      <c r="F74" s="5">
        <v>858</v>
      </c>
      <c r="G74" s="6">
        <v>43975</v>
      </c>
      <c r="H74" s="5"/>
      <c r="I74" s="5"/>
      <c r="J74" s="5">
        <f t="shared" si="8"/>
        <v>14</v>
      </c>
      <c r="K74" s="8" t="b">
        <f t="shared" si="9"/>
        <v>1</v>
      </c>
    </row>
    <row r="75" spans="1:11">
      <c r="A75" s="5">
        <v>106</v>
      </c>
      <c r="B75" s="6">
        <v>43983</v>
      </c>
      <c r="C75" s="7">
        <v>0.7</v>
      </c>
      <c r="D75" s="5">
        <v>8.2899999999999991</v>
      </c>
      <c r="E75" s="5">
        <v>858</v>
      </c>
      <c r="F75" s="5">
        <v>876</v>
      </c>
      <c r="G75" s="6">
        <v>43983</v>
      </c>
      <c r="H75" s="5"/>
      <c r="I75" s="5"/>
      <c r="J75" s="5">
        <f t="shared" si="8"/>
        <v>18</v>
      </c>
      <c r="K75" s="8" t="b">
        <f t="shared" si="9"/>
        <v>1</v>
      </c>
    </row>
    <row r="76" spans="1:11">
      <c r="A76" s="5">
        <v>106</v>
      </c>
      <c r="B76" s="6">
        <v>43987</v>
      </c>
      <c r="C76" s="7">
        <v>0.7</v>
      </c>
      <c r="D76" s="5">
        <v>8.2899999999999991</v>
      </c>
      <c r="E76" s="5">
        <v>876</v>
      </c>
      <c r="F76" s="5">
        <v>893</v>
      </c>
      <c r="G76" s="6">
        <v>43987</v>
      </c>
      <c r="H76" s="5"/>
      <c r="I76" s="5"/>
      <c r="J76" s="5">
        <f t="shared" si="8"/>
        <v>17</v>
      </c>
      <c r="K76" s="8" t="b">
        <f t="shared" si="9"/>
        <v>1</v>
      </c>
    </row>
    <row r="77" spans="1:11">
      <c r="A77" s="5">
        <v>106</v>
      </c>
      <c r="B77" s="6">
        <v>43993</v>
      </c>
      <c r="C77" s="7">
        <v>0.7</v>
      </c>
      <c r="D77" s="5">
        <v>8.2899999999999991</v>
      </c>
      <c r="E77" s="5">
        <v>893</v>
      </c>
      <c r="F77" s="5">
        <v>910</v>
      </c>
      <c r="G77" s="6">
        <v>43993</v>
      </c>
      <c r="H77" s="5"/>
      <c r="I77" s="5"/>
      <c r="J77" s="5">
        <f t="shared" si="8"/>
        <v>17</v>
      </c>
      <c r="K77" s="8" t="b">
        <f t="shared" si="9"/>
        <v>1</v>
      </c>
    </row>
    <row r="78" spans="1:11">
      <c r="A78" s="5">
        <v>106</v>
      </c>
      <c r="B78" s="6">
        <v>43998</v>
      </c>
      <c r="C78" s="7">
        <v>0.7</v>
      </c>
      <c r="D78" s="5">
        <v>8.2899999999999991</v>
      </c>
      <c r="E78" s="5">
        <v>910</v>
      </c>
      <c r="F78" s="5">
        <v>927</v>
      </c>
      <c r="G78" s="6">
        <v>43998</v>
      </c>
      <c r="H78" s="5"/>
      <c r="I78" s="5"/>
      <c r="J78" s="5">
        <f t="shared" si="8"/>
        <v>17</v>
      </c>
      <c r="K78" s="8" t="b">
        <f t="shared" si="9"/>
        <v>1</v>
      </c>
    </row>
    <row r="79" spans="1:11">
      <c r="A79" s="5">
        <v>106</v>
      </c>
      <c r="B79" s="6">
        <v>44004</v>
      </c>
      <c r="C79" s="7">
        <v>0.7</v>
      </c>
      <c r="D79" s="5">
        <v>8.2899999999999991</v>
      </c>
      <c r="E79" s="5">
        <v>927</v>
      </c>
      <c r="F79" s="5">
        <v>943</v>
      </c>
      <c r="G79" s="6">
        <v>44004</v>
      </c>
      <c r="H79" s="5"/>
      <c r="I79" s="5"/>
      <c r="J79" s="5">
        <f t="shared" si="8"/>
        <v>16</v>
      </c>
      <c r="K79" s="8" t="b">
        <f t="shared" si="9"/>
        <v>1</v>
      </c>
    </row>
    <row r="80" spans="1:11">
      <c r="A80" s="5">
        <v>106</v>
      </c>
      <c r="B80" s="6">
        <v>44012</v>
      </c>
      <c r="C80" s="7">
        <v>0.7</v>
      </c>
      <c r="D80" s="5">
        <v>8.2899999999999991</v>
      </c>
      <c r="E80" s="5">
        <v>943</v>
      </c>
      <c r="F80" s="5">
        <v>959</v>
      </c>
      <c r="G80" s="6">
        <v>44012</v>
      </c>
      <c r="H80" s="5"/>
      <c r="I80" s="5"/>
      <c r="J80" s="5">
        <f t="shared" si="8"/>
        <v>16</v>
      </c>
      <c r="K80" s="8" t="b">
        <f t="shared" si="9"/>
        <v>1</v>
      </c>
    </row>
    <row r="81" spans="1:11">
      <c r="A81" s="5">
        <v>106</v>
      </c>
      <c r="B81" s="6">
        <v>44018</v>
      </c>
      <c r="C81" s="7">
        <v>0.6</v>
      </c>
      <c r="D81" s="5">
        <v>9.67</v>
      </c>
      <c r="E81" s="5">
        <v>959</v>
      </c>
      <c r="F81" s="5">
        <v>979</v>
      </c>
      <c r="G81" s="6">
        <v>44018</v>
      </c>
      <c r="H81" s="5"/>
      <c r="I81" s="5"/>
      <c r="J81" s="5">
        <f t="shared" si="8"/>
        <v>20</v>
      </c>
      <c r="K81" s="8" t="b">
        <f t="shared" si="9"/>
        <v>1</v>
      </c>
    </row>
    <row r="82" spans="1:11">
      <c r="A82" s="5">
        <v>106</v>
      </c>
      <c r="B82" s="6">
        <v>44023</v>
      </c>
      <c r="C82" s="7">
        <v>0.6</v>
      </c>
      <c r="D82" s="5">
        <v>9.67</v>
      </c>
      <c r="E82" s="5">
        <v>979</v>
      </c>
      <c r="F82" s="5">
        <v>999</v>
      </c>
      <c r="G82" s="6">
        <v>44023</v>
      </c>
      <c r="H82" s="5"/>
      <c r="I82" s="5"/>
      <c r="J82" s="5">
        <f t="shared" si="8"/>
        <v>20</v>
      </c>
      <c r="K82" s="8" t="b">
        <f t="shared" si="9"/>
        <v>1</v>
      </c>
    </row>
    <row r="83" spans="1:11">
      <c r="A83" s="5">
        <v>106</v>
      </c>
      <c r="B83" s="6">
        <v>44028</v>
      </c>
      <c r="C83" s="7">
        <v>0.6</v>
      </c>
      <c r="D83" s="5">
        <v>9.67</v>
      </c>
      <c r="E83" s="5">
        <v>999</v>
      </c>
      <c r="F83" s="5">
        <v>1014</v>
      </c>
      <c r="G83" s="6">
        <v>44028</v>
      </c>
      <c r="H83" s="5"/>
      <c r="I83" s="5"/>
      <c r="J83" s="5">
        <f t="shared" si="8"/>
        <v>15</v>
      </c>
      <c r="K83" s="8" t="b">
        <f t="shared" si="9"/>
        <v>1</v>
      </c>
    </row>
    <row r="84" spans="1:11">
      <c r="A84" s="5">
        <v>106</v>
      </c>
      <c r="B84" s="6">
        <v>44029</v>
      </c>
      <c r="C84" s="7">
        <v>0.4</v>
      </c>
      <c r="D84" s="5">
        <v>14.5</v>
      </c>
      <c r="E84" s="5">
        <v>1014</v>
      </c>
      <c r="F84" s="5">
        <v>1028</v>
      </c>
      <c r="G84" s="6">
        <v>44029</v>
      </c>
      <c r="H84" s="5"/>
      <c r="I84" s="5"/>
      <c r="J84" s="5">
        <f t="shared" si="8"/>
        <v>14</v>
      </c>
      <c r="K84" s="8" t="b">
        <f t="shared" si="9"/>
        <v>1</v>
      </c>
    </row>
    <row r="85" spans="1:11">
      <c r="A85" s="5">
        <v>106</v>
      </c>
      <c r="B85" s="6" t="s">
        <v>73</v>
      </c>
      <c r="C85" s="7">
        <v>0.4</v>
      </c>
      <c r="D85" s="5">
        <v>14.5</v>
      </c>
      <c r="E85" s="5">
        <v>1028</v>
      </c>
      <c r="F85" s="5">
        <v>1032</v>
      </c>
      <c r="G85" s="6">
        <v>44035</v>
      </c>
      <c r="H85" s="5"/>
      <c r="I85" s="5"/>
      <c r="J85" s="5">
        <f t="shared" si="8"/>
        <v>4</v>
      </c>
      <c r="K85" s="8" t="b">
        <f t="shared" si="9"/>
        <v>1</v>
      </c>
    </row>
    <row r="86" spans="1:11">
      <c r="A86" s="5">
        <v>106</v>
      </c>
      <c r="B86" s="6">
        <v>44036</v>
      </c>
      <c r="C86" s="7">
        <v>0.4</v>
      </c>
      <c r="D86" s="5">
        <v>14.5</v>
      </c>
      <c r="E86" s="5">
        <v>1032</v>
      </c>
      <c r="F86" s="5">
        <v>1050</v>
      </c>
      <c r="G86" s="6">
        <v>44036</v>
      </c>
      <c r="H86" s="5"/>
      <c r="I86" s="5"/>
      <c r="J86" s="5">
        <f t="shared" si="8"/>
        <v>18</v>
      </c>
      <c r="K86" s="8" t="b">
        <f t="shared" si="9"/>
        <v>1</v>
      </c>
    </row>
    <row r="87" spans="1:11">
      <c r="A87" s="5">
        <v>106</v>
      </c>
      <c r="B87" s="6">
        <v>44042</v>
      </c>
      <c r="C87" s="7">
        <v>0.4</v>
      </c>
      <c r="D87" s="5">
        <v>14.5</v>
      </c>
      <c r="E87" s="5">
        <v>1050</v>
      </c>
      <c r="F87" s="5">
        <v>1065</v>
      </c>
      <c r="G87" s="6">
        <v>44042</v>
      </c>
      <c r="H87" s="5"/>
      <c r="I87" s="5"/>
      <c r="J87" s="5">
        <f t="shared" si="8"/>
        <v>15</v>
      </c>
      <c r="K87" s="8" t="b">
        <f t="shared" si="9"/>
        <v>1</v>
      </c>
    </row>
    <row r="88" spans="1:11">
      <c r="A88" s="5">
        <v>106</v>
      </c>
      <c r="B88" s="6">
        <v>44043</v>
      </c>
      <c r="C88" s="7">
        <v>0.5</v>
      </c>
      <c r="D88" s="5">
        <v>15.02</v>
      </c>
      <c r="E88" s="5">
        <v>1065</v>
      </c>
      <c r="F88" s="5">
        <v>1075</v>
      </c>
      <c r="G88" s="6">
        <v>44043</v>
      </c>
      <c r="H88" s="5"/>
      <c r="I88" s="5"/>
      <c r="J88" s="5">
        <f t="shared" si="8"/>
        <v>10</v>
      </c>
      <c r="K88" s="8" t="b">
        <f t="shared" si="9"/>
        <v>1</v>
      </c>
    </row>
    <row r="89" spans="1:11">
      <c r="A89" s="5">
        <v>106</v>
      </c>
      <c r="B89" s="6">
        <v>44049</v>
      </c>
      <c r="C89" s="7">
        <v>0.5</v>
      </c>
      <c r="D89" s="5">
        <v>11.6</v>
      </c>
      <c r="E89" s="5">
        <v>1075</v>
      </c>
      <c r="F89" s="5">
        <v>1089</v>
      </c>
      <c r="G89" s="6">
        <v>44049</v>
      </c>
      <c r="H89" s="5"/>
      <c r="I89" s="5"/>
      <c r="J89" s="5">
        <f t="shared" si="8"/>
        <v>14</v>
      </c>
      <c r="K89" s="8" t="b">
        <f t="shared" si="9"/>
        <v>1</v>
      </c>
    </row>
    <row r="90" spans="1:11">
      <c r="A90" s="5">
        <v>106</v>
      </c>
      <c r="B90" s="6">
        <v>44050</v>
      </c>
      <c r="C90" s="7">
        <v>0.5</v>
      </c>
      <c r="D90" s="5">
        <v>11.6</v>
      </c>
      <c r="E90" s="5">
        <v>1089</v>
      </c>
      <c r="F90" s="5">
        <v>1104</v>
      </c>
      <c r="G90" s="6">
        <v>44050</v>
      </c>
      <c r="H90" s="5"/>
      <c r="I90" s="5"/>
      <c r="J90" s="5">
        <f t="shared" si="8"/>
        <v>15</v>
      </c>
      <c r="K90" s="8" t="b">
        <f t="shared" si="9"/>
        <v>1</v>
      </c>
    </row>
    <row r="91" spans="1:11">
      <c r="A91" s="5">
        <v>106</v>
      </c>
      <c r="B91" s="6">
        <v>44056</v>
      </c>
      <c r="C91" s="7">
        <v>0.5</v>
      </c>
      <c r="D91" s="5">
        <v>11.6</v>
      </c>
      <c r="E91" s="5">
        <v>1104</v>
      </c>
      <c r="F91" s="5">
        <v>1119</v>
      </c>
      <c r="G91" s="6">
        <v>44056</v>
      </c>
      <c r="H91" s="5"/>
      <c r="I91" s="5"/>
      <c r="J91" s="5">
        <f t="shared" si="8"/>
        <v>15</v>
      </c>
      <c r="K91" s="8" t="b">
        <f t="shared" si="9"/>
        <v>1</v>
      </c>
    </row>
    <row r="92" spans="1:11">
      <c r="A92" s="5">
        <v>106</v>
      </c>
      <c r="B92" s="6">
        <v>44057</v>
      </c>
      <c r="C92" s="7">
        <v>0.5</v>
      </c>
      <c r="D92" s="5">
        <v>11.6</v>
      </c>
      <c r="E92" s="5">
        <v>1119</v>
      </c>
      <c r="F92" s="5">
        <v>1132</v>
      </c>
      <c r="G92" s="6">
        <v>44057</v>
      </c>
      <c r="H92" s="5"/>
      <c r="I92" s="5"/>
      <c r="J92" s="5">
        <f t="shared" si="8"/>
        <v>13</v>
      </c>
      <c r="K92" s="8" t="b">
        <f t="shared" si="9"/>
        <v>0</v>
      </c>
    </row>
    <row r="93" spans="1:11">
      <c r="A93" s="5">
        <v>106</v>
      </c>
      <c r="B93" s="6">
        <v>44206</v>
      </c>
      <c r="C93" s="7">
        <v>1</v>
      </c>
      <c r="D93" s="5">
        <v>5.8</v>
      </c>
      <c r="E93" s="5">
        <v>150.5</v>
      </c>
      <c r="F93" s="5">
        <v>163</v>
      </c>
      <c r="G93" s="6">
        <v>44206</v>
      </c>
      <c r="H93" s="5"/>
      <c r="I93" s="5"/>
      <c r="J93" s="5">
        <f t="shared" si="8"/>
        <v>12.5</v>
      </c>
      <c r="K93" s="8" t="b">
        <f t="shared" si="9"/>
        <v>0</v>
      </c>
    </row>
    <row r="94" spans="1:11">
      <c r="A94" s="5">
        <v>106</v>
      </c>
      <c r="B94" s="6">
        <v>44215</v>
      </c>
      <c r="C94" s="7">
        <v>1</v>
      </c>
      <c r="D94" s="5">
        <v>5.8</v>
      </c>
      <c r="E94" s="5">
        <v>172.5</v>
      </c>
      <c r="F94" s="5">
        <v>188.3</v>
      </c>
      <c r="G94" s="6">
        <v>44215</v>
      </c>
      <c r="H94" s="5"/>
      <c r="I94" s="5"/>
      <c r="J94" s="5">
        <f t="shared" si="8"/>
        <v>15.800000000000011</v>
      </c>
      <c r="K94" s="8" t="b">
        <f t="shared" si="9"/>
        <v>1</v>
      </c>
    </row>
    <row r="95" spans="1:11">
      <c r="A95" s="5">
        <v>106</v>
      </c>
      <c r="B95" s="6">
        <v>44217</v>
      </c>
      <c r="C95" s="7">
        <v>0.7</v>
      </c>
      <c r="D95" s="5">
        <v>8.2899999999999991</v>
      </c>
      <c r="E95" s="5">
        <v>188.3</v>
      </c>
      <c r="F95" s="5">
        <v>196</v>
      </c>
      <c r="G95" s="6">
        <v>44217</v>
      </c>
      <c r="H95" s="5"/>
      <c r="I95" s="5"/>
      <c r="J95" s="5">
        <f t="shared" si="8"/>
        <v>7.6999999999999886</v>
      </c>
      <c r="K95" s="8" t="b">
        <f t="shared" si="9"/>
        <v>1</v>
      </c>
    </row>
    <row r="96" spans="1:11">
      <c r="A96" s="5">
        <v>106</v>
      </c>
      <c r="B96" s="6">
        <v>44220</v>
      </c>
      <c r="C96" s="7">
        <v>0.7</v>
      </c>
      <c r="D96" s="5">
        <v>8.2899999999999991</v>
      </c>
      <c r="E96" s="5">
        <v>196</v>
      </c>
      <c r="F96" s="5">
        <v>214</v>
      </c>
      <c r="G96" s="6">
        <v>44220</v>
      </c>
      <c r="H96" s="5"/>
      <c r="I96" s="5"/>
      <c r="J96" s="5">
        <f t="shared" si="8"/>
        <v>18</v>
      </c>
      <c r="K96" s="8" t="b">
        <f t="shared" si="9"/>
        <v>0</v>
      </c>
    </row>
    <row r="97" spans="1:11">
      <c r="A97" s="5">
        <v>106</v>
      </c>
      <c r="B97" s="6">
        <v>44223</v>
      </c>
      <c r="C97" s="7">
        <v>0.7</v>
      </c>
      <c r="D97" s="5">
        <v>8.2899999999999991</v>
      </c>
      <c r="E97" s="5">
        <v>236.5</v>
      </c>
      <c r="F97" s="5">
        <v>246.8</v>
      </c>
      <c r="G97" s="6">
        <v>44223</v>
      </c>
      <c r="H97" s="5"/>
      <c r="I97" s="5"/>
      <c r="J97" s="5">
        <f t="shared" si="8"/>
        <v>10.300000000000011</v>
      </c>
      <c r="K97" s="8" t="b">
        <f t="shared" si="9"/>
        <v>0</v>
      </c>
    </row>
    <row r="98" spans="1:11">
      <c r="A98" s="5">
        <v>106</v>
      </c>
      <c r="B98" s="6">
        <v>44229</v>
      </c>
      <c r="C98" s="7">
        <v>0.7</v>
      </c>
      <c r="D98" s="5">
        <v>8.2899999999999991</v>
      </c>
      <c r="E98" s="5">
        <v>27.8</v>
      </c>
      <c r="F98" s="5">
        <v>36</v>
      </c>
      <c r="G98" s="6">
        <v>44229</v>
      </c>
      <c r="H98" s="5"/>
      <c r="I98" s="5"/>
      <c r="J98" s="5">
        <f t="shared" si="8"/>
        <v>8.1999999999999993</v>
      </c>
      <c r="K98" s="8" t="b">
        <f t="shared" si="9"/>
        <v>0</v>
      </c>
    </row>
    <row r="99" spans="1:11">
      <c r="A99" s="5">
        <v>106</v>
      </c>
      <c r="B99" s="6">
        <v>44233</v>
      </c>
      <c r="C99" s="7">
        <v>0.7</v>
      </c>
      <c r="D99" s="5">
        <v>8.2899999999999991</v>
      </c>
      <c r="E99" s="5">
        <v>63.8</v>
      </c>
      <c r="F99" s="5">
        <v>67.7</v>
      </c>
      <c r="G99" s="6">
        <v>44233</v>
      </c>
      <c r="H99" s="5"/>
      <c r="I99" s="5"/>
      <c r="J99" s="5">
        <f t="shared" si="8"/>
        <v>3.9000000000000057</v>
      </c>
      <c r="K99" s="8" t="b">
        <f t="shared" si="9"/>
        <v>0</v>
      </c>
    </row>
    <row r="100" spans="1:11">
      <c r="A100" s="5">
        <v>106</v>
      </c>
      <c r="B100" s="6">
        <v>44260</v>
      </c>
      <c r="C100" s="7">
        <v>0.7</v>
      </c>
      <c r="D100" s="5">
        <v>8.2899999999999991</v>
      </c>
      <c r="E100" s="5">
        <v>84.8</v>
      </c>
      <c r="F100" s="5">
        <v>92.9</v>
      </c>
      <c r="G100" s="6">
        <v>53</v>
      </c>
      <c r="H100" s="5"/>
      <c r="I100" s="5"/>
      <c r="J100" s="5">
        <f t="shared" si="8"/>
        <v>8.1000000000000085</v>
      </c>
      <c r="K100" s="8" t="b">
        <f>F100=E104</f>
        <v>0</v>
      </c>
    </row>
    <row r="101" spans="1:11">
      <c r="A101" s="5">
        <v>106</v>
      </c>
      <c r="B101" s="6">
        <v>44273</v>
      </c>
      <c r="C101" s="7">
        <v>0.6</v>
      </c>
      <c r="D101" s="5">
        <v>9.57</v>
      </c>
      <c r="E101" s="5">
        <v>111.5</v>
      </c>
      <c r="F101" s="5">
        <v>120.8</v>
      </c>
      <c r="G101" s="6">
        <v>44273</v>
      </c>
      <c r="H101" s="5"/>
      <c r="I101" s="5"/>
      <c r="J101" s="5">
        <f t="shared" si="8"/>
        <v>9.2999999999999972</v>
      </c>
      <c r="K101" s="8" t="b">
        <f>F101=E102</f>
        <v>0</v>
      </c>
    </row>
    <row r="102" spans="1:11">
      <c r="A102" s="5">
        <v>106</v>
      </c>
      <c r="B102" s="6">
        <v>44276</v>
      </c>
      <c r="C102" s="7">
        <v>0.7</v>
      </c>
      <c r="D102" s="5">
        <v>8.2899999999999991</v>
      </c>
      <c r="E102" s="5">
        <v>139.4</v>
      </c>
      <c r="F102" s="5">
        <v>147.6</v>
      </c>
      <c r="G102" s="6">
        <v>44276</v>
      </c>
      <c r="H102" s="5"/>
      <c r="I102" s="5"/>
      <c r="J102" s="5">
        <f t="shared" si="8"/>
        <v>8.1999999999999886</v>
      </c>
      <c r="K102" s="8" t="b">
        <f>F102=E103</f>
        <v>0</v>
      </c>
    </row>
    <row r="103" spans="1:11">
      <c r="A103" s="5">
        <v>106</v>
      </c>
      <c r="B103" s="6">
        <v>44277</v>
      </c>
      <c r="C103" s="7">
        <v>0.7</v>
      </c>
      <c r="D103" s="5">
        <v>8.2899999999999991</v>
      </c>
      <c r="E103" s="5">
        <v>143.6</v>
      </c>
      <c r="F103" s="5">
        <v>156</v>
      </c>
      <c r="G103" s="6">
        <v>44277</v>
      </c>
      <c r="H103" s="5"/>
      <c r="I103" s="5"/>
      <c r="J103" s="5">
        <f t="shared" si="8"/>
        <v>12.400000000000006</v>
      </c>
      <c r="K103" s="8" t="b">
        <f>F103=E104</f>
        <v>1</v>
      </c>
    </row>
    <row r="104" spans="1:11">
      <c r="A104" s="5">
        <v>106</v>
      </c>
      <c r="B104" s="6">
        <v>44371</v>
      </c>
      <c r="C104" s="7">
        <v>0.7</v>
      </c>
      <c r="D104" s="5">
        <v>8.2899999999999991</v>
      </c>
      <c r="E104" s="5">
        <v>156</v>
      </c>
      <c r="F104" s="5">
        <v>164.1</v>
      </c>
      <c r="G104" s="6">
        <v>44279</v>
      </c>
      <c r="H104" s="5"/>
      <c r="I104" s="5"/>
      <c r="J104" s="5">
        <f t="shared" si="8"/>
        <v>8.0999999999999943</v>
      </c>
      <c r="K104" s="8" t="b">
        <f t="shared" si="9"/>
        <v>0</v>
      </c>
    </row>
    <row r="105" spans="1:11">
      <c r="A105" s="5">
        <v>106</v>
      </c>
      <c r="B105" s="6">
        <v>44282</v>
      </c>
      <c r="C105" s="7">
        <v>0.7</v>
      </c>
      <c r="D105" s="5">
        <v>8.2899999999999991</v>
      </c>
      <c r="E105" s="5">
        <v>172.6</v>
      </c>
      <c r="F105" s="5">
        <v>180.7</v>
      </c>
      <c r="G105" s="6">
        <v>44282</v>
      </c>
      <c r="H105" s="5"/>
      <c r="I105" s="5"/>
      <c r="J105" s="5">
        <f>F105-E105</f>
        <v>8.0999999999999943</v>
      </c>
      <c r="K105" s="8" t="b">
        <f>F105=E106</f>
        <v>0</v>
      </c>
    </row>
    <row r="106" spans="1:11">
      <c r="A106" s="5">
        <v>106</v>
      </c>
      <c r="B106" s="6">
        <v>44285</v>
      </c>
      <c r="C106" s="7">
        <v>0.6</v>
      </c>
      <c r="D106" s="5">
        <v>9.67</v>
      </c>
      <c r="E106" s="5">
        <v>189</v>
      </c>
      <c r="F106" s="5">
        <v>198.2</v>
      </c>
      <c r="G106" s="6">
        <v>44285</v>
      </c>
      <c r="H106" s="5"/>
      <c r="I106" s="5"/>
      <c r="J106" s="5">
        <f>F106-E106</f>
        <v>9.1999999999999886</v>
      </c>
      <c r="K106" s="8" t="b">
        <f>F106=E117</f>
        <v>0</v>
      </c>
    </row>
    <row r="107" spans="1:11">
      <c r="A107" s="5">
        <v>106</v>
      </c>
      <c r="B107" s="6">
        <v>44288</v>
      </c>
      <c r="C107" s="7">
        <v>0.6</v>
      </c>
      <c r="D107" s="5">
        <v>9.67</v>
      </c>
      <c r="E107" s="5">
        <v>206.2</v>
      </c>
      <c r="F107" s="5">
        <v>216.1</v>
      </c>
      <c r="G107" s="6">
        <v>44288</v>
      </c>
      <c r="H107" s="5"/>
      <c r="I107" s="5"/>
      <c r="J107" s="5">
        <f t="shared" ref="J107:J112" si="10">F107-E107</f>
        <v>9.9000000000000057</v>
      </c>
      <c r="K107" s="8" t="b">
        <f>F107=E118</f>
        <v>0</v>
      </c>
    </row>
    <row r="108" spans="1:11">
      <c r="A108" s="5">
        <v>106</v>
      </c>
      <c r="B108" s="6">
        <v>44291</v>
      </c>
      <c r="C108" s="7">
        <v>0.6</v>
      </c>
      <c r="D108" s="5">
        <v>9.67</v>
      </c>
      <c r="E108" s="5">
        <v>216.3</v>
      </c>
      <c r="F108" s="5">
        <v>221.2</v>
      </c>
      <c r="G108" s="6">
        <v>44291</v>
      </c>
      <c r="H108" s="5"/>
      <c r="I108" s="5"/>
      <c r="J108" s="5">
        <f t="shared" si="10"/>
        <v>4.8999999999999773</v>
      </c>
      <c r="K108" s="8" t="b">
        <f>F108=E128</f>
        <v>0</v>
      </c>
    </row>
    <row r="109" spans="1:11">
      <c r="A109" s="5">
        <v>106</v>
      </c>
      <c r="B109" s="6">
        <v>44294</v>
      </c>
      <c r="C109" s="7">
        <v>0.6</v>
      </c>
      <c r="D109" s="5">
        <v>9.67</v>
      </c>
      <c r="E109" s="5">
        <v>226.2</v>
      </c>
      <c r="F109" s="5">
        <v>235.5</v>
      </c>
      <c r="G109" s="6">
        <v>44294</v>
      </c>
      <c r="H109" s="5"/>
      <c r="I109" s="5"/>
      <c r="J109" s="5">
        <f t="shared" si="10"/>
        <v>9.3000000000000114</v>
      </c>
      <c r="K109" s="8" t="b">
        <f>F109=E129</f>
        <v>0</v>
      </c>
    </row>
    <row r="110" spans="1:11">
      <c r="A110" s="5">
        <v>106</v>
      </c>
      <c r="B110" s="6">
        <v>44297</v>
      </c>
      <c r="C110" s="7">
        <v>0.7</v>
      </c>
      <c r="D110" s="5">
        <v>8.2899999999999991</v>
      </c>
      <c r="E110" s="5">
        <v>235.5</v>
      </c>
      <c r="F110" s="5">
        <v>243.8</v>
      </c>
      <c r="G110" s="6">
        <v>44297</v>
      </c>
      <c r="H110" s="5"/>
      <c r="I110" s="5"/>
      <c r="J110" s="5">
        <f t="shared" si="10"/>
        <v>8.3000000000000114</v>
      </c>
      <c r="K110" s="8" t="b">
        <f>F110=E130</f>
        <v>0</v>
      </c>
    </row>
    <row r="111" spans="1:11">
      <c r="A111" s="5">
        <v>106</v>
      </c>
      <c r="B111" s="6">
        <v>44300</v>
      </c>
      <c r="C111" s="7">
        <v>0.7</v>
      </c>
      <c r="D111" s="5">
        <v>8.2899999999999991</v>
      </c>
      <c r="E111" s="5">
        <v>243.8</v>
      </c>
      <c r="F111" s="5">
        <v>251.7</v>
      </c>
      <c r="G111" s="6">
        <v>44300</v>
      </c>
      <c r="H111" s="5"/>
      <c r="I111" s="5"/>
      <c r="J111" s="5">
        <f t="shared" si="10"/>
        <v>7.8999999999999773</v>
      </c>
      <c r="K111" s="8" t="b">
        <f>F111=E131</f>
        <v>0</v>
      </c>
    </row>
    <row r="112" spans="1:11">
      <c r="A112" s="5">
        <v>106</v>
      </c>
      <c r="B112" s="6">
        <v>44311</v>
      </c>
      <c r="C112" s="7">
        <v>0.7</v>
      </c>
      <c r="D112" s="5">
        <v>8.2899999999999991</v>
      </c>
      <c r="E112" s="5">
        <v>251.7</v>
      </c>
      <c r="F112" s="5">
        <v>260.39999999999998</v>
      </c>
      <c r="G112" s="6">
        <v>44311</v>
      </c>
      <c r="H112" s="5"/>
      <c r="I112" s="5"/>
      <c r="J112" s="5">
        <f t="shared" si="10"/>
        <v>8.6999999999999886</v>
      </c>
      <c r="K112" s="8" t="b">
        <f>F112=E132</f>
        <v>0</v>
      </c>
    </row>
    <row r="113" spans="1:11">
      <c r="A113" s="5">
        <v>106</v>
      </c>
      <c r="B113" s="6">
        <v>44319</v>
      </c>
      <c r="C113" s="7">
        <v>0.7</v>
      </c>
      <c r="D113" s="5">
        <v>8.2899999999999991</v>
      </c>
      <c r="E113" s="5">
        <v>260.39999999999998</v>
      </c>
      <c r="F113" s="5">
        <v>269.2</v>
      </c>
      <c r="G113" s="6">
        <v>44319</v>
      </c>
      <c r="H113" s="5"/>
      <c r="I113" s="5"/>
      <c r="J113" s="5">
        <f>F113-E113</f>
        <v>8.8000000000000114</v>
      </c>
      <c r="K113" s="8" t="b">
        <f>F113=E114</f>
        <v>1</v>
      </c>
    </row>
    <row r="114" spans="1:11">
      <c r="A114" s="5">
        <v>106</v>
      </c>
      <c r="B114" s="6">
        <v>44322</v>
      </c>
      <c r="C114" s="7">
        <v>0.7</v>
      </c>
      <c r="D114" s="5">
        <v>8.2899999999999991</v>
      </c>
      <c r="E114" s="5">
        <v>269.2</v>
      </c>
      <c r="F114" s="5">
        <v>277.39999999999998</v>
      </c>
      <c r="G114" s="6">
        <v>44322</v>
      </c>
      <c r="H114" s="5"/>
      <c r="I114" s="5"/>
      <c r="J114" s="5">
        <f>F114-E114</f>
        <v>8.1999999999999886</v>
      </c>
      <c r="K114" s="8" t="b">
        <f>F114=E115</f>
        <v>1</v>
      </c>
    </row>
    <row r="115" spans="1:11">
      <c r="A115" s="5">
        <v>106</v>
      </c>
      <c r="B115" s="6">
        <v>44325</v>
      </c>
      <c r="C115" s="7">
        <v>0.7</v>
      </c>
      <c r="D115" s="5">
        <v>8.2899999999999991</v>
      </c>
      <c r="E115" s="5">
        <v>277.39999999999998</v>
      </c>
      <c r="F115" s="5">
        <v>285.8</v>
      </c>
      <c r="G115" s="6">
        <v>44325</v>
      </c>
      <c r="H115" s="5"/>
      <c r="I115" s="5"/>
      <c r="J115" s="5">
        <f>F115-E115</f>
        <v>8.4000000000000341</v>
      </c>
      <c r="K115" s="8" t="b">
        <f>F115=E116</f>
        <v>1</v>
      </c>
    </row>
    <row r="116" spans="1:11">
      <c r="A116" s="5">
        <v>106</v>
      </c>
      <c r="B116" s="6">
        <v>44328</v>
      </c>
      <c r="C116" s="7">
        <v>1</v>
      </c>
      <c r="D116" s="5">
        <v>5.8</v>
      </c>
      <c r="E116" s="5">
        <v>285.8</v>
      </c>
      <c r="F116" s="5">
        <v>292.39999999999998</v>
      </c>
      <c r="G116" s="6">
        <v>44328</v>
      </c>
      <c r="H116" s="5"/>
      <c r="I116" s="5"/>
      <c r="J116" s="5">
        <f>F116-E116</f>
        <v>6.5999999999999659</v>
      </c>
      <c r="K116" s="8" t="b">
        <f>F116=E117</f>
        <v>1</v>
      </c>
    </row>
    <row r="117" spans="1:11">
      <c r="A117" s="5">
        <v>106</v>
      </c>
      <c r="B117" s="6">
        <v>44329</v>
      </c>
      <c r="C117" s="7">
        <v>0.7</v>
      </c>
      <c r="D117" s="5">
        <v>8.2899999999999991</v>
      </c>
      <c r="E117" s="5">
        <v>292.39999999999998</v>
      </c>
      <c r="F117" s="5">
        <v>300.39999999999998</v>
      </c>
      <c r="G117" s="6">
        <v>44329</v>
      </c>
      <c r="H117" s="5"/>
      <c r="I117" s="5"/>
      <c r="J117" s="5">
        <f>F117-E117</f>
        <v>8</v>
      </c>
      <c r="K117" s="8" t="b">
        <f>F117=E118</f>
        <v>0</v>
      </c>
    </row>
    <row r="118" spans="1:11">
      <c r="A118" s="5">
        <v>106</v>
      </c>
      <c r="B118" s="6">
        <v>44339</v>
      </c>
      <c r="C118" s="7">
        <v>0.7</v>
      </c>
      <c r="D118" s="5">
        <v>8.2899999999999991</v>
      </c>
      <c r="E118" s="5">
        <v>340.1</v>
      </c>
      <c r="F118" s="5">
        <v>351.5</v>
      </c>
      <c r="G118" s="6">
        <v>44339</v>
      </c>
      <c r="H118" s="5"/>
      <c r="I118" s="5"/>
      <c r="J118" s="5">
        <f t="shared" ref="J118:J123" si="11">F118-E118</f>
        <v>11.399999999999977</v>
      </c>
      <c r="K118" s="8" t="b">
        <f t="shared" ref="K118:K123" si="12">F118=E119</f>
        <v>0</v>
      </c>
    </row>
    <row r="119" spans="1:11">
      <c r="A119" s="5">
        <v>106</v>
      </c>
      <c r="B119" s="6">
        <v>44375</v>
      </c>
      <c r="C119" s="7">
        <v>0.5</v>
      </c>
      <c r="D119" s="5">
        <v>11.6</v>
      </c>
      <c r="E119" s="5">
        <v>374.9</v>
      </c>
      <c r="F119" s="5">
        <v>385.8</v>
      </c>
      <c r="G119" s="6">
        <v>44344</v>
      </c>
      <c r="H119" s="5"/>
      <c r="I119" s="5"/>
      <c r="J119" s="5">
        <f t="shared" si="11"/>
        <v>10.900000000000034</v>
      </c>
      <c r="K119" s="8" t="b">
        <f t="shared" si="12"/>
        <v>0</v>
      </c>
    </row>
    <row r="120" spans="1:11">
      <c r="A120" s="5">
        <v>106</v>
      </c>
      <c r="B120" s="6"/>
      <c r="C120" s="7"/>
      <c r="D120" s="5"/>
      <c r="E120" s="5"/>
      <c r="F120" s="5"/>
      <c r="G120" s="6"/>
      <c r="H120" s="5"/>
      <c r="I120" s="5"/>
      <c r="J120" s="5">
        <f t="shared" si="11"/>
        <v>0</v>
      </c>
      <c r="K120" s="8" t="b">
        <f t="shared" si="12"/>
        <v>1</v>
      </c>
    </row>
    <row r="121" spans="1:11">
      <c r="A121" s="5">
        <v>106</v>
      </c>
      <c r="B121" s="6"/>
      <c r="C121" s="7"/>
      <c r="D121" s="5"/>
      <c r="E121" s="5"/>
      <c r="F121" s="5"/>
      <c r="G121" s="6"/>
      <c r="H121" s="5"/>
      <c r="I121" s="5"/>
      <c r="J121" s="5">
        <f t="shared" si="11"/>
        <v>0</v>
      </c>
      <c r="K121" s="8" t="b">
        <f t="shared" si="12"/>
        <v>1</v>
      </c>
    </row>
    <row r="122" spans="1:11">
      <c r="A122" s="5">
        <v>106</v>
      </c>
      <c r="B122" s="6"/>
      <c r="C122" s="7"/>
      <c r="D122" s="5"/>
      <c r="E122" s="5"/>
      <c r="F122" s="5"/>
      <c r="G122" s="6"/>
      <c r="H122" s="5"/>
      <c r="I122" s="5"/>
      <c r="J122" s="5">
        <f t="shared" si="11"/>
        <v>0</v>
      </c>
      <c r="K122" s="8" t="b">
        <f t="shared" si="12"/>
        <v>1</v>
      </c>
    </row>
    <row r="123" spans="1:11">
      <c r="A123" s="5">
        <v>106</v>
      </c>
      <c r="B123" s="6"/>
      <c r="C123" s="7"/>
      <c r="D123" s="5"/>
      <c r="E123" s="5"/>
      <c r="F123" s="5"/>
      <c r="G123" s="6"/>
      <c r="H123" s="5"/>
      <c r="I123" s="5"/>
      <c r="J123" s="5">
        <f t="shared" si="11"/>
        <v>0</v>
      </c>
      <c r="K123" s="8" t="b">
        <f t="shared" si="12"/>
        <v>1</v>
      </c>
    </row>
    <row r="128" spans="1:11" ht="26.25">
      <c r="A128" s="138" t="s">
        <v>72</v>
      </c>
      <c r="B128" s="159"/>
      <c r="C128" s="159"/>
      <c r="D128" s="159"/>
      <c r="E128" s="159"/>
      <c r="F128" s="159"/>
      <c r="G128" s="159"/>
      <c r="H128" s="159"/>
      <c r="I128" s="159"/>
      <c r="J128" s="159"/>
      <c r="K128" s="160"/>
    </row>
    <row r="129" spans="1:11" ht="26.25">
      <c r="A129" s="138" t="s">
        <v>74</v>
      </c>
      <c r="B129" s="159"/>
      <c r="C129" s="159"/>
      <c r="D129" s="159"/>
      <c r="E129" s="159"/>
      <c r="F129" s="159"/>
      <c r="G129" s="159"/>
      <c r="H129" s="159"/>
      <c r="I129" s="159"/>
      <c r="J129" s="159"/>
      <c r="K129" s="160"/>
    </row>
    <row r="130" spans="1:11" ht="15.75" thickBot="1"/>
    <row r="131" spans="1:11" ht="15.75" thickBot="1">
      <c r="A131" s="132" t="s">
        <v>2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4"/>
    </row>
    <row r="133" spans="1:11" ht="19.5" thickBot="1">
      <c r="A133" s="1" t="s">
        <v>3</v>
      </c>
      <c r="B133" s="1"/>
      <c r="C133" s="1"/>
      <c r="D133" s="1"/>
      <c r="E133" s="1"/>
      <c r="F133" s="1"/>
      <c r="G133" s="1"/>
      <c r="H133" s="1"/>
      <c r="I133" s="1"/>
    </row>
    <row r="134" spans="1:11" ht="30.75" thickBot="1">
      <c r="A134" s="2" t="s">
        <v>4</v>
      </c>
      <c r="B134" s="3" t="s">
        <v>5</v>
      </c>
      <c r="C134" s="3" t="s">
        <v>6</v>
      </c>
      <c r="D134" s="3" t="s">
        <v>7</v>
      </c>
      <c r="E134" s="3" t="s">
        <v>8</v>
      </c>
      <c r="F134" s="3" t="s">
        <v>9</v>
      </c>
      <c r="G134" s="3" t="s">
        <v>10</v>
      </c>
      <c r="H134" s="3" t="s">
        <v>21</v>
      </c>
      <c r="I134" s="4" t="s">
        <v>22</v>
      </c>
      <c r="J134" s="4" t="s">
        <v>11</v>
      </c>
      <c r="K134" s="46" t="s">
        <v>12</v>
      </c>
    </row>
    <row r="135" spans="1:11">
      <c r="A135" s="5">
        <v>106</v>
      </c>
      <c r="B135" s="6">
        <v>44100</v>
      </c>
      <c r="C135" s="7">
        <v>0.5</v>
      </c>
      <c r="D135" s="5">
        <v>11.6</v>
      </c>
      <c r="E135" s="5">
        <v>1132</v>
      </c>
      <c r="F135" s="5">
        <v>1140</v>
      </c>
      <c r="G135" s="6">
        <v>44100</v>
      </c>
      <c r="H135" s="5"/>
      <c r="I135" s="5"/>
      <c r="J135" s="5">
        <f t="shared" ref="J135:J173" si="13">F135-E135</f>
        <v>8</v>
      </c>
      <c r="K135" s="8" t="b">
        <f t="shared" ref="K135:K168" si="14">F135=E136</f>
        <v>1</v>
      </c>
    </row>
    <row r="136" spans="1:11">
      <c r="A136" s="5">
        <v>106</v>
      </c>
      <c r="B136" s="6">
        <v>44103</v>
      </c>
      <c r="C136" s="7">
        <v>0.4</v>
      </c>
      <c r="D136" s="5">
        <v>14.5</v>
      </c>
      <c r="E136" s="5">
        <v>1140</v>
      </c>
      <c r="F136" s="5">
        <v>1154</v>
      </c>
      <c r="G136" s="6">
        <v>44103</v>
      </c>
      <c r="H136" s="5"/>
      <c r="I136" s="5"/>
      <c r="J136" s="5">
        <f t="shared" si="13"/>
        <v>14</v>
      </c>
      <c r="K136" s="8" t="b">
        <f t="shared" si="14"/>
        <v>1</v>
      </c>
    </row>
    <row r="137" spans="1:11">
      <c r="A137" s="5">
        <v>106</v>
      </c>
      <c r="B137" s="6">
        <v>44104</v>
      </c>
      <c r="C137" s="7">
        <v>0.4</v>
      </c>
      <c r="D137" s="5">
        <v>14.5</v>
      </c>
      <c r="E137" s="5">
        <v>1154</v>
      </c>
      <c r="F137" s="5">
        <v>1169</v>
      </c>
      <c r="G137" s="6">
        <v>44104</v>
      </c>
      <c r="H137" s="5"/>
      <c r="I137" s="5"/>
      <c r="J137" s="5">
        <f t="shared" si="13"/>
        <v>15</v>
      </c>
      <c r="K137" s="8" t="b">
        <f t="shared" si="14"/>
        <v>1</v>
      </c>
    </row>
    <row r="138" spans="1:11">
      <c r="A138" s="5">
        <v>106</v>
      </c>
      <c r="B138" s="6">
        <v>44105</v>
      </c>
      <c r="C138" s="7">
        <v>0.4</v>
      </c>
      <c r="D138" s="5">
        <v>14.5</v>
      </c>
      <c r="E138" s="5">
        <v>1169</v>
      </c>
      <c r="F138" s="5">
        <v>1184</v>
      </c>
      <c r="G138" s="6">
        <v>44105</v>
      </c>
      <c r="H138" s="5"/>
      <c r="I138" s="5"/>
      <c r="J138" s="5">
        <f t="shared" si="13"/>
        <v>15</v>
      </c>
      <c r="K138" s="8" t="b">
        <f t="shared" si="14"/>
        <v>1</v>
      </c>
    </row>
    <row r="139" spans="1:11">
      <c r="A139" s="5">
        <v>106</v>
      </c>
      <c r="B139" s="6">
        <v>44106</v>
      </c>
      <c r="C139" s="7">
        <v>0.4</v>
      </c>
      <c r="D139" s="5">
        <v>14.5</v>
      </c>
      <c r="E139" s="5">
        <v>1184</v>
      </c>
      <c r="F139" s="5">
        <v>1199</v>
      </c>
      <c r="G139" s="6">
        <v>44106</v>
      </c>
      <c r="H139" s="5"/>
      <c r="I139" s="5"/>
      <c r="J139" s="5">
        <f t="shared" si="13"/>
        <v>15</v>
      </c>
      <c r="K139" s="8" t="b">
        <f t="shared" si="14"/>
        <v>1</v>
      </c>
    </row>
    <row r="140" spans="1:11">
      <c r="A140" s="5">
        <v>106</v>
      </c>
      <c r="B140" s="6">
        <v>44107</v>
      </c>
      <c r="C140" s="7">
        <v>0.4</v>
      </c>
      <c r="D140" s="5">
        <v>14.5</v>
      </c>
      <c r="E140" s="5">
        <v>1199</v>
      </c>
      <c r="F140" s="5">
        <v>1214</v>
      </c>
      <c r="G140" s="6">
        <v>44107</v>
      </c>
      <c r="H140" s="5"/>
      <c r="I140" s="5"/>
      <c r="J140" s="5">
        <f t="shared" si="13"/>
        <v>15</v>
      </c>
      <c r="K140" s="8" t="b">
        <f t="shared" si="14"/>
        <v>1</v>
      </c>
    </row>
    <row r="141" spans="1:11">
      <c r="A141" s="5">
        <v>106</v>
      </c>
      <c r="B141" s="6">
        <v>44108</v>
      </c>
      <c r="C141" s="7">
        <v>0.4</v>
      </c>
      <c r="D141" s="5">
        <v>14.5</v>
      </c>
      <c r="E141" s="5">
        <v>1214</v>
      </c>
      <c r="F141" s="5">
        <v>1223</v>
      </c>
      <c r="G141" s="6">
        <v>44108</v>
      </c>
      <c r="H141" s="5"/>
      <c r="I141" s="5"/>
      <c r="J141" s="5">
        <f t="shared" si="13"/>
        <v>9</v>
      </c>
      <c r="K141" s="8" t="b">
        <f t="shared" si="14"/>
        <v>1</v>
      </c>
    </row>
    <row r="142" spans="1:11">
      <c r="A142" s="5">
        <v>106</v>
      </c>
      <c r="B142" s="6">
        <v>44109</v>
      </c>
      <c r="C142" s="7">
        <v>0.4</v>
      </c>
      <c r="D142" s="5">
        <v>14.5</v>
      </c>
      <c r="E142" s="5">
        <v>1223</v>
      </c>
      <c r="F142" s="5">
        <v>1238</v>
      </c>
      <c r="G142" s="6">
        <v>44109</v>
      </c>
      <c r="H142" s="5"/>
      <c r="I142" s="5"/>
      <c r="J142" s="5">
        <f t="shared" si="13"/>
        <v>15</v>
      </c>
      <c r="K142" s="8" t="b">
        <f t="shared" si="14"/>
        <v>1</v>
      </c>
    </row>
    <row r="143" spans="1:11">
      <c r="A143" s="5">
        <v>106</v>
      </c>
      <c r="B143" s="6">
        <v>44110</v>
      </c>
      <c r="C143" s="7">
        <v>0.4</v>
      </c>
      <c r="D143" s="5">
        <v>14.5</v>
      </c>
      <c r="E143" s="5">
        <v>1238</v>
      </c>
      <c r="F143" s="5">
        <v>1253</v>
      </c>
      <c r="G143" s="6">
        <v>44110</v>
      </c>
      <c r="H143" s="5"/>
      <c r="I143" s="5"/>
      <c r="J143" s="5">
        <f t="shared" si="13"/>
        <v>15</v>
      </c>
      <c r="K143" s="8" t="b">
        <f t="shared" si="14"/>
        <v>1</v>
      </c>
    </row>
    <row r="144" spans="1:11">
      <c r="A144" s="5">
        <v>106</v>
      </c>
      <c r="B144" s="6">
        <v>44117</v>
      </c>
      <c r="C144" s="7">
        <v>0.4</v>
      </c>
      <c r="D144" s="5">
        <v>14.5</v>
      </c>
      <c r="E144" s="5">
        <v>1253</v>
      </c>
      <c r="F144" s="5">
        <v>1268</v>
      </c>
      <c r="G144" s="6">
        <v>40</v>
      </c>
      <c r="H144" s="5"/>
      <c r="I144" s="5"/>
      <c r="J144" s="5">
        <f t="shared" si="13"/>
        <v>15</v>
      </c>
      <c r="K144" s="8" t="b">
        <f t="shared" si="14"/>
        <v>1</v>
      </c>
    </row>
    <row r="145" spans="1:11">
      <c r="A145" s="5">
        <v>106</v>
      </c>
      <c r="B145" s="6">
        <v>44118</v>
      </c>
      <c r="C145" s="7">
        <v>0.4</v>
      </c>
      <c r="D145" s="5">
        <v>14.5</v>
      </c>
      <c r="E145" s="5">
        <v>1268</v>
      </c>
      <c r="F145" s="5">
        <v>1282</v>
      </c>
      <c r="G145" s="6">
        <v>44118</v>
      </c>
      <c r="H145" s="5"/>
      <c r="I145" s="5"/>
      <c r="J145" s="5">
        <f t="shared" si="13"/>
        <v>14</v>
      </c>
      <c r="K145" s="8" t="b">
        <f t="shared" si="14"/>
        <v>1</v>
      </c>
    </row>
    <row r="146" spans="1:11">
      <c r="A146" s="5">
        <v>106</v>
      </c>
      <c r="B146" s="6">
        <v>44127</v>
      </c>
      <c r="C146" s="7">
        <v>0.8</v>
      </c>
      <c r="D146" s="5">
        <v>7.5</v>
      </c>
      <c r="E146" s="5">
        <v>1282</v>
      </c>
      <c r="F146" s="5">
        <v>1296</v>
      </c>
      <c r="G146" s="6">
        <v>44127</v>
      </c>
      <c r="H146" s="5"/>
      <c r="I146" s="5"/>
      <c r="J146" s="5">
        <f t="shared" si="13"/>
        <v>14</v>
      </c>
      <c r="K146" s="8" t="b">
        <f t="shared" si="14"/>
        <v>1</v>
      </c>
    </row>
    <row r="147" spans="1:11">
      <c r="A147" s="5">
        <v>106</v>
      </c>
      <c r="B147" s="6">
        <v>44128</v>
      </c>
      <c r="C147" s="7">
        <v>0.8</v>
      </c>
      <c r="D147" s="5">
        <v>7.5</v>
      </c>
      <c r="E147" s="5">
        <v>1296</v>
      </c>
      <c r="F147" s="5">
        <v>1310</v>
      </c>
      <c r="G147" s="6">
        <v>44128</v>
      </c>
      <c r="H147" s="5"/>
      <c r="I147" s="5"/>
      <c r="J147" s="5">
        <f t="shared" si="13"/>
        <v>14</v>
      </c>
      <c r="K147" s="8" t="b">
        <f t="shared" si="14"/>
        <v>1</v>
      </c>
    </row>
    <row r="148" spans="1:11">
      <c r="A148" s="5">
        <v>106</v>
      </c>
      <c r="B148" s="6">
        <v>44161</v>
      </c>
      <c r="C148" s="7">
        <v>0.8</v>
      </c>
      <c r="D148" s="5">
        <v>7.5</v>
      </c>
      <c r="E148" s="5">
        <v>1310</v>
      </c>
      <c r="F148" s="5">
        <v>1324</v>
      </c>
      <c r="G148" s="6">
        <v>44130</v>
      </c>
      <c r="H148" s="5"/>
      <c r="I148" s="5"/>
      <c r="J148" s="5">
        <f t="shared" si="13"/>
        <v>14</v>
      </c>
      <c r="K148" s="8" t="b">
        <f t="shared" si="14"/>
        <v>1</v>
      </c>
    </row>
    <row r="149" spans="1:11">
      <c r="A149" s="5">
        <v>106</v>
      </c>
      <c r="B149" s="6">
        <v>44162</v>
      </c>
      <c r="C149" s="7">
        <v>1</v>
      </c>
      <c r="D149" s="5">
        <v>5.8</v>
      </c>
      <c r="E149" s="5">
        <v>1324</v>
      </c>
      <c r="F149" s="5">
        <v>1336</v>
      </c>
      <c r="G149" s="6">
        <v>44162</v>
      </c>
      <c r="H149" s="5"/>
      <c r="I149" s="5"/>
      <c r="J149" s="5">
        <f t="shared" si="13"/>
        <v>12</v>
      </c>
      <c r="K149" s="8" t="b">
        <f t="shared" si="14"/>
        <v>1</v>
      </c>
    </row>
    <row r="150" spans="1:11">
      <c r="A150" s="5">
        <v>106</v>
      </c>
      <c r="B150" s="6">
        <v>44163</v>
      </c>
      <c r="C150" s="7">
        <v>1</v>
      </c>
      <c r="D150" s="5">
        <v>5.8</v>
      </c>
      <c r="E150" s="5">
        <v>1336</v>
      </c>
      <c r="F150" s="5">
        <v>1348</v>
      </c>
      <c r="G150" s="6">
        <v>44163</v>
      </c>
      <c r="H150" s="5"/>
      <c r="I150" s="5"/>
      <c r="J150" s="5">
        <f t="shared" si="13"/>
        <v>12</v>
      </c>
      <c r="K150" s="8" t="b">
        <f t="shared" si="14"/>
        <v>1</v>
      </c>
    </row>
    <row r="151" spans="1:11">
      <c r="A151" s="5">
        <v>106</v>
      </c>
      <c r="B151" s="6">
        <v>44165</v>
      </c>
      <c r="C151" s="7">
        <v>1</v>
      </c>
      <c r="D151" s="5">
        <v>5.8</v>
      </c>
      <c r="E151" s="5">
        <v>1348</v>
      </c>
      <c r="F151" s="5">
        <v>1354</v>
      </c>
      <c r="G151" s="6">
        <v>44165</v>
      </c>
      <c r="H151" s="5"/>
      <c r="I151" s="5"/>
      <c r="J151" s="5">
        <f t="shared" si="13"/>
        <v>6</v>
      </c>
      <c r="K151" s="8" t="b">
        <f t="shared" si="14"/>
        <v>1</v>
      </c>
    </row>
    <row r="152" spans="1:11">
      <c r="A152" s="5">
        <v>106</v>
      </c>
      <c r="B152" s="6">
        <v>44166</v>
      </c>
      <c r="C152" s="7">
        <v>1</v>
      </c>
      <c r="D152" s="5">
        <v>5.8</v>
      </c>
      <c r="E152" s="5">
        <v>1354</v>
      </c>
      <c r="F152" s="5">
        <v>1368</v>
      </c>
      <c r="G152" s="6">
        <v>44166</v>
      </c>
      <c r="H152" s="5"/>
      <c r="I152" s="5"/>
      <c r="J152" s="5">
        <f t="shared" si="13"/>
        <v>14</v>
      </c>
      <c r="K152" s="8" t="b">
        <f t="shared" si="14"/>
        <v>1</v>
      </c>
    </row>
    <row r="153" spans="1:11">
      <c r="A153" s="5">
        <v>106</v>
      </c>
      <c r="B153" s="6">
        <v>44531</v>
      </c>
      <c r="C153" s="7">
        <v>0.8</v>
      </c>
      <c r="D153" s="5">
        <v>7.5</v>
      </c>
      <c r="E153" s="5">
        <v>1368</v>
      </c>
      <c r="F153" s="5">
        <v>1378</v>
      </c>
      <c r="G153" s="6">
        <v>44167</v>
      </c>
      <c r="H153" s="5"/>
      <c r="I153" s="5"/>
      <c r="J153" s="5">
        <f t="shared" si="13"/>
        <v>10</v>
      </c>
      <c r="K153" s="8" t="b">
        <f t="shared" si="14"/>
        <v>0</v>
      </c>
    </row>
    <row r="154" spans="1:11">
      <c r="A154" s="5">
        <v>106</v>
      </c>
      <c r="B154" s="6">
        <v>44199</v>
      </c>
      <c r="C154" s="7">
        <v>0.6</v>
      </c>
      <c r="D154" s="5">
        <v>9.67</v>
      </c>
      <c r="E154" s="5">
        <v>104.2</v>
      </c>
      <c r="F154" s="5">
        <v>114.6</v>
      </c>
      <c r="G154" s="6">
        <v>44199</v>
      </c>
      <c r="H154" s="5"/>
      <c r="I154" s="5"/>
      <c r="J154" s="5">
        <f t="shared" si="13"/>
        <v>10.399999999999991</v>
      </c>
      <c r="K154" s="8" t="b">
        <f t="shared" si="14"/>
        <v>0</v>
      </c>
    </row>
    <row r="155" spans="1:11">
      <c r="A155" s="5">
        <v>106</v>
      </c>
      <c r="B155" s="6">
        <v>44204</v>
      </c>
      <c r="C155" s="7">
        <v>0.6</v>
      </c>
      <c r="D155" s="5">
        <v>9.67</v>
      </c>
      <c r="E155" s="5">
        <v>124.6</v>
      </c>
      <c r="F155" s="5">
        <v>134.69999999999999</v>
      </c>
      <c r="G155" s="6">
        <v>44204</v>
      </c>
      <c r="H155" s="5"/>
      <c r="I155" s="5"/>
      <c r="J155" s="5">
        <f t="shared" si="13"/>
        <v>10.099999999999994</v>
      </c>
      <c r="K155" s="8" t="b">
        <f t="shared" si="14"/>
        <v>0</v>
      </c>
    </row>
    <row r="156" spans="1:11">
      <c r="A156" s="5">
        <v>106</v>
      </c>
      <c r="B156" s="6">
        <v>44205</v>
      </c>
      <c r="C156" s="7">
        <v>0.8</v>
      </c>
      <c r="D156" s="5">
        <v>7.5</v>
      </c>
      <c r="E156" s="5">
        <v>134</v>
      </c>
      <c r="F156" s="5">
        <v>150</v>
      </c>
      <c r="G156" s="6">
        <v>44205</v>
      </c>
      <c r="H156" s="5"/>
      <c r="I156" s="5"/>
      <c r="J156" s="5">
        <f t="shared" si="13"/>
        <v>16</v>
      </c>
      <c r="K156" s="8" t="b">
        <f t="shared" si="14"/>
        <v>0</v>
      </c>
    </row>
    <row r="157" spans="1:11">
      <c r="A157" s="5">
        <v>106</v>
      </c>
      <c r="B157" s="6">
        <v>44206</v>
      </c>
      <c r="C157" s="7">
        <v>0.6</v>
      </c>
      <c r="D157" s="5">
        <v>9.67</v>
      </c>
      <c r="E157" s="5">
        <v>163</v>
      </c>
      <c r="F157" s="5">
        <v>172.6</v>
      </c>
      <c r="G157" s="6">
        <v>44206</v>
      </c>
      <c r="H157" s="5"/>
      <c r="I157" s="5"/>
      <c r="J157" s="5">
        <f t="shared" si="13"/>
        <v>9.5999999999999943</v>
      </c>
      <c r="K157" s="8" t="b">
        <f t="shared" si="14"/>
        <v>0</v>
      </c>
    </row>
    <row r="158" spans="1:11">
      <c r="A158" s="5">
        <v>106</v>
      </c>
      <c r="B158" s="6">
        <v>44218</v>
      </c>
      <c r="C158" s="7">
        <v>0.7</v>
      </c>
      <c r="D158" s="5">
        <v>8.2899999999999991</v>
      </c>
      <c r="E158" s="5">
        <v>196</v>
      </c>
      <c r="F158" s="5">
        <v>201</v>
      </c>
      <c r="G158" s="6">
        <v>44218</v>
      </c>
      <c r="H158" s="5"/>
      <c r="I158" s="5"/>
      <c r="J158" s="5">
        <f t="shared" si="13"/>
        <v>5</v>
      </c>
      <c r="K158" s="8" t="b">
        <f t="shared" si="14"/>
        <v>0</v>
      </c>
    </row>
    <row r="159" spans="1:11">
      <c r="A159" s="5">
        <v>106</v>
      </c>
      <c r="B159" s="6">
        <v>44220</v>
      </c>
      <c r="C159" s="7">
        <v>0.6</v>
      </c>
      <c r="D159" s="5">
        <v>9.67</v>
      </c>
      <c r="E159" s="5">
        <v>214</v>
      </c>
      <c r="F159" s="5">
        <v>226</v>
      </c>
      <c r="G159" s="6">
        <v>44220</v>
      </c>
      <c r="H159" s="5"/>
      <c r="I159" s="5"/>
      <c r="J159" s="5">
        <f t="shared" si="13"/>
        <v>12</v>
      </c>
      <c r="K159" s="8" t="b">
        <f t="shared" si="14"/>
        <v>0</v>
      </c>
    </row>
    <row r="160" spans="1:11">
      <c r="A160" s="5">
        <v>106</v>
      </c>
      <c r="B160" s="6">
        <v>44222</v>
      </c>
      <c r="C160" s="7">
        <v>0.6</v>
      </c>
      <c r="D160" s="5">
        <v>9.67</v>
      </c>
      <c r="E160" s="5">
        <v>226.1</v>
      </c>
      <c r="F160" s="5">
        <v>236.3</v>
      </c>
      <c r="G160" s="6">
        <v>44222</v>
      </c>
      <c r="H160" s="5"/>
      <c r="I160" s="5"/>
      <c r="J160" s="5">
        <f t="shared" si="13"/>
        <v>10.200000000000017</v>
      </c>
      <c r="K160" s="8" t="b">
        <f t="shared" si="14"/>
        <v>0</v>
      </c>
    </row>
    <row r="161" spans="1:11">
      <c r="A161" s="5">
        <v>106</v>
      </c>
      <c r="B161" s="6">
        <v>44226</v>
      </c>
      <c r="C161" s="7">
        <v>0.6</v>
      </c>
      <c r="D161" s="5">
        <v>9.67</v>
      </c>
      <c r="E161" s="5">
        <v>0</v>
      </c>
      <c r="F161" s="5">
        <v>9.9</v>
      </c>
      <c r="G161" s="6">
        <v>44216</v>
      </c>
      <c r="H161" s="5"/>
      <c r="I161" s="5"/>
      <c r="J161" s="5">
        <f t="shared" si="13"/>
        <v>9.9</v>
      </c>
      <c r="K161" s="8" t="b">
        <f t="shared" si="14"/>
        <v>1</v>
      </c>
    </row>
    <row r="162" spans="1:11">
      <c r="A162" s="5">
        <v>106</v>
      </c>
      <c r="B162" s="6">
        <v>44227</v>
      </c>
      <c r="C162" s="7">
        <v>0.7</v>
      </c>
      <c r="D162" s="5">
        <v>8.2899999999999991</v>
      </c>
      <c r="E162" s="5">
        <v>9.9</v>
      </c>
      <c r="F162" s="5">
        <v>18.100000000000001</v>
      </c>
      <c r="G162" s="6">
        <v>44227</v>
      </c>
      <c r="H162" s="5"/>
      <c r="I162" s="5"/>
      <c r="J162" s="5">
        <f t="shared" si="13"/>
        <v>8.2000000000000011</v>
      </c>
      <c r="K162" s="8" t="b">
        <f t="shared" si="14"/>
        <v>1</v>
      </c>
    </row>
    <row r="163" spans="1:11">
      <c r="A163" s="5">
        <v>106</v>
      </c>
      <c r="B163" s="6">
        <v>44228</v>
      </c>
      <c r="C163" s="7">
        <v>0.6</v>
      </c>
      <c r="D163" s="5">
        <v>9.57</v>
      </c>
      <c r="E163" s="5">
        <v>18.100000000000001</v>
      </c>
      <c r="F163" s="5">
        <v>27.8</v>
      </c>
      <c r="G163" s="6">
        <v>44237</v>
      </c>
      <c r="H163" s="5"/>
      <c r="I163" s="5"/>
      <c r="J163" s="5">
        <f t="shared" si="13"/>
        <v>9.6999999999999993</v>
      </c>
      <c r="K163" s="8" t="b">
        <f t="shared" si="14"/>
        <v>0</v>
      </c>
    </row>
    <row r="164" spans="1:11">
      <c r="A164" s="5">
        <v>106</v>
      </c>
      <c r="B164" s="6">
        <v>44230</v>
      </c>
      <c r="C164" s="7">
        <v>0.6</v>
      </c>
      <c r="D164" s="5">
        <v>9.57</v>
      </c>
      <c r="E164" s="5">
        <v>36</v>
      </c>
      <c r="F164" s="5">
        <v>45.9</v>
      </c>
      <c r="G164" s="6">
        <v>44230</v>
      </c>
      <c r="H164" s="5"/>
      <c r="I164" s="5"/>
      <c r="J164" s="5">
        <f t="shared" si="13"/>
        <v>9.8999999999999986</v>
      </c>
      <c r="K164" s="8" t="b">
        <f t="shared" si="14"/>
        <v>1</v>
      </c>
    </row>
    <row r="165" spans="1:11">
      <c r="A165" s="5">
        <v>106</v>
      </c>
      <c r="B165" s="6">
        <v>44231</v>
      </c>
      <c r="C165" s="7">
        <v>0.7</v>
      </c>
      <c r="D165" s="5">
        <v>8.2899999999999991</v>
      </c>
      <c r="E165" s="5">
        <v>45.9</v>
      </c>
      <c r="F165" s="5">
        <v>54</v>
      </c>
      <c r="G165" s="6">
        <v>44231</v>
      </c>
      <c r="H165" s="5"/>
      <c r="I165" s="5"/>
      <c r="J165" s="5">
        <f t="shared" si="13"/>
        <v>8.1000000000000014</v>
      </c>
      <c r="K165" s="8" t="b">
        <f t="shared" si="14"/>
        <v>1</v>
      </c>
    </row>
    <row r="166" spans="1:11">
      <c r="A166" s="5">
        <v>106</v>
      </c>
      <c r="B166" s="6">
        <v>44232</v>
      </c>
      <c r="C166" s="7">
        <v>0.6</v>
      </c>
      <c r="D166" s="5">
        <v>9.57</v>
      </c>
      <c r="E166" s="5">
        <v>54</v>
      </c>
      <c r="F166" s="5">
        <v>63.8</v>
      </c>
      <c r="G166" s="6">
        <v>44232</v>
      </c>
      <c r="H166" s="5"/>
      <c r="I166" s="5"/>
      <c r="J166" s="5">
        <f t="shared" si="13"/>
        <v>9.7999999999999972</v>
      </c>
      <c r="K166" s="8" t="b">
        <f t="shared" si="14"/>
        <v>0</v>
      </c>
    </row>
    <row r="167" spans="1:11">
      <c r="A167" s="5">
        <v>106</v>
      </c>
      <c r="B167" s="6">
        <v>44259</v>
      </c>
      <c r="C167" s="7">
        <v>0.6</v>
      </c>
      <c r="D167" s="5">
        <v>9.57</v>
      </c>
      <c r="E167" s="5">
        <v>67.7</v>
      </c>
      <c r="F167" s="5">
        <v>77.8</v>
      </c>
      <c r="G167" s="6">
        <v>44259</v>
      </c>
      <c r="H167" s="5"/>
      <c r="I167" s="5"/>
      <c r="J167" s="5">
        <f t="shared" si="13"/>
        <v>10.099999999999994</v>
      </c>
      <c r="K167" s="8" t="b">
        <f t="shared" si="14"/>
        <v>0</v>
      </c>
    </row>
    <row r="168" spans="1:11">
      <c r="A168" s="5">
        <v>106</v>
      </c>
      <c r="B168" s="6">
        <v>44261</v>
      </c>
      <c r="C168" s="7">
        <v>0.6</v>
      </c>
      <c r="D168" s="5">
        <v>9.57</v>
      </c>
      <c r="E168" s="5">
        <v>92.4</v>
      </c>
      <c r="F168" s="5">
        <v>102.3</v>
      </c>
      <c r="G168" s="6">
        <v>44261</v>
      </c>
      <c r="H168" s="5"/>
      <c r="I168" s="5"/>
      <c r="J168" s="5">
        <f t="shared" si="13"/>
        <v>9.8999999999999915</v>
      </c>
      <c r="K168" s="8" t="b">
        <f t="shared" si="14"/>
        <v>1</v>
      </c>
    </row>
    <row r="169" spans="1:11">
      <c r="A169" s="5">
        <v>106</v>
      </c>
      <c r="B169" s="6">
        <v>44270</v>
      </c>
      <c r="C169" s="7">
        <v>0.7</v>
      </c>
      <c r="D169" s="5">
        <v>8.2899999999999991</v>
      </c>
      <c r="E169" s="5">
        <v>102.3</v>
      </c>
      <c r="F169" s="5">
        <v>111.5</v>
      </c>
      <c r="G169" s="6">
        <v>44270</v>
      </c>
      <c r="H169" s="5"/>
      <c r="I169" s="5"/>
      <c r="J169" s="5">
        <f t="shared" si="13"/>
        <v>9.2000000000000028</v>
      </c>
      <c r="K169" s="8" t="e">
        <f>F169=#REF!</f>
        <v>#REF!</v>
      </c>
    </row>
    <row r="170" spans="1:11">
      <c r="A170" s="5">
        <v>106</v>
      </c>
      <c r="B170" s="6">
        <v>44274</v>
      </c>
      <c r="C170" s="7">
        <v>0.6</v>
      </c>
      <c r="D170" s="5">
        <v>9.57</v>
      </c>
      <c r="E170" s="5">
        <v>129.30000000000001</v>
      </c>
      <c r="F170" s="5">
        <v>132</v>
      </c>
      <c r="G170" s="6">
        <v>44274</v>
      </c>
      <c r="H170" s="5"/>
      <c r="I170" s="5"/>
      <c r="J170" s="5">
        <f t="shared" si="13"/>
        <v>2.6999999999999886</v>
      </c>
      <c r="K170" s="8" t="b">
        <f>F170=E171</f>
        <v>0</v>
      </c>
    </row>
    <row r="171" spans="1:11">
      <c r="A171" s="5">
        <v>106</v>
      </c>
      <c r="B171" s="6">
        <v>44280</v>
      </c>
      <c r="C171" s="7">
        <v>0.7</v>
      </c>
      <c r="D171" s="5">
        <v>8.2899999999999991</v>
      </c>
      <c r="E171" s="5">
        <v>164.1</v>
      </c>
      <c r="F171" s="5">
        <v>172.6</v>
      </c>
      <c r="G171" s="6">
        <v>44280</v>
      </c>
      <c r="H171" s="5"/>
      <c r="I171" s="5"/>
      <c r="J171" s="5">
        <f t="shared" si="13"/>
        <v>8.5</v>
      </c>
      <c r="K171" s="8" t="b">
        <f>F171=E172</f>
        <v>0</v>
      </c>
    </row>
    <row r="172" spans="1:11">
      <c r="A172" s="5">
        <v>106</v>
      </c>
      <c r="B172" s="17">
        <v>44283</v>
      </c>
      <c r="C172" s="18">
        <v>0.7</v>
      </c>
      <c r="D172" s="8">
        <v>8.2899999999999991</v>
      </c>
      <c r="E172" s="8">
        <v>180.7</v>
      </c>
      <c r="F172" s="8">
        <v>189.2</v>
      </c>
      <c r="G172" s="17">
        <v>44283</v>
      </c>
      <c r="H172" s="8"/>
      <c r="I172" s="8"/>
      <c r="J172" s="5">
        <f t="shared" si="13"/>
        <v>8.5</v>
      </c>
      <c r="K172" s="8" t="b">
        <f>F172=E173</f>
        <v>0</v>
      </c>
    </row>
    <row r="173" spans="1:11">
      <c r="A173" s="5">
        <v>106</v>
      </c>
      <c r="B173" s="17">
        <v>44286</v>
      </c>
      <c r="C173" s="20">
        <v>0.7</v>
      </c>
      <c r="D173" s="8">
        <v>8.2899999999999991</v>
      </c>
      <c r="E173" s="8">
        <v>198.2</v>
      </c>
      <c r="F173" s="8">
        <v>206.2</v>
      </c>
      <c r="G173" s="17">
        <v>44286</v>
      </c>
      <c r="H173" s="8"/>
      <c r="I173" s="8"/>
      <c r="J173" s="5">
        <f t="shared" si="13"/>
        <v>8</v>
      </c>
      <c r="K173" s="8" t="b">
        <f>F173=E180</f>
        <v>0</v>
      </c>
    </row>
    <row r="174" spans="1:11">
      <c r="A174" s="5">
        <v>106</v>
      </c>
      <c r="B174" s="17">
        <v>44349</v>
      </c>
      <c r="C174" s="20">
        <v>0.5</v>
      </c>
      <c r="D174" s="8">
        <v>11.6</v>
      </c>
      <c r="E174" s="8">
        <v>417.4</v>
      </c>
      <c r="F174" s="8">
        <v>428.8</v>
      </c>
      <c r="G174" s="17">
        <v>44349</v>
      </c>
      <c r="H174" s="8"/>
      <c r="I174" s="8"/>
      <c r="J174" s="5">
        <f t="shared" ref="J174:J180" si="15">F174-E174</f>
        <v>11.400000000000034</v>
      </c>
      <c r="K174" s="8" t="b">
        <f>F174=E175</f>
        <v>0</v>
      </c>
    </row>
    <row r="175" spans="1:11">
      <c r="A175" s="5">
        <v>106</v>
      </c>
      <c r="B175" s="17">
        <v>44354</v>
      </c>
      <c r="C175" s="20">
        <v>0.5</v>
      </c>
      <c r="D175" s="8">
        <v>11.6</v>
      </c>
      <c r="E175" s="8">
        <v>447.1</v>
      </c>
      <c r="F175" s="8">
        <v>458.6</v>
      </c>
      <c r="G175" s="17">
        <v>44354</v>
      </c>
      <c r="H175" s="8"/>
      <c r="I175" s="8"/>
      <c r="J175" s="5">
        <f t="shared" si="15"/>
        <v>11.5</v>
      </c>
      <c r="K175" s="8" t="b">
        <f>F175=E182</f>
        <v>0</v>
      </c>
    </row>
    <row r="176" spans="1:11">
      <c r="A176" s="5">
        <v>106</v>
      </c>
      <c r="B176" s="17">
        <v>44359</v>
      </c>
      <c r="C176" s="20">
        <v>0.5</v>
      </c>
      <c r="D176" s="8">
        <v>11.6</v>
      </c>
      <c r="E176" s="8">
        <v>471.9</v>
      </c>
      <c r="F176" s="8">
        <v>482.7</v>
      </c>
      <c r="G176" s="17">
        <v>44359</v>
      </c>
      <c r="H176" s="8"/>
      <c r="I176" s="8"/>
      <c r="J176" s="5">
        <f>F176-E176</f>
        <v>10.800000000000011</v>
      </c>
      <c r="K176" s="8" t="b">
        <f>F176=E183</f>
        <v>0</v>
      </c>
    </row>
    <row r="177" spans="1:11">
      <c r="A177" s="5">
        <v>106</v>
      </c>
      <c r="B177" s="17">
        <v>44363</v>
      </c>
      <c r="C177" s="20">
        <v>0.5</v>
      </c>
      <c r="D177" s="8">
        <v>11.6</v>
      </c>
      <c r="E177" s="8">
        <v>497</v>
      </c>
      <c r="F177" s="8">
        <v>508.2</v>
      </c>
      <c r="G177" s="17">
        <v>44363</v>
      </c>
      <c r="H177" s="8"/>
      <c r="I177" s="8"/>
      <c r="J177" s="5">
        <f>F177-E177</f>
        <v>11.199999999999989</v>
      </c>
      <c r="K177" s="8" t="b">
        <f>F177=E184</f>
        <v>0</v>
      </c>
    </row>
    <row r="178" spans="1:11">
      <c r="A178" s="5">
        <v>106</v>
      </c>
      <c r="B178" s="17">
        <v>44367</v>
      </c>
      <c r="C178" s="20">
        <v>0.5</v>
      </c>
      <c r="D178" s="8">
        <v>11.6</v>
      </c>
      <c r="E178" s="8">
        <v>515.70000000000005</v>
      </c>
      <c r="F178" s="8">
        <v>526.9</v>
      </c>
      <c r="G178" s="17">
        <v>44367</v>
      </c>
      <c r="H178" s="8"/>
      <c r="I178" s="8"/>
      <c r="J178" s="5">
        <f>F178-E178</f>
        <v>11.199999999999932</v>
      </c>
      <c r="K178" s="8" t="b">
        <f>F178=E185</f>
        <v>0</v>
      </c>
    </row>
    <row r="179" spans="1:11">
      <c r="A179" s="5">
        <v>106</v>
      </c>
      <c r="B179" s="17">
        <v>44372</v>
      </c>
      <c r="C179" s="20">
        <v>0.5</v>
      </c>
      <c r="D179" s="8">
        <v>11.6</v>
      </c>
      <c r="E179" s="8">
        <v>0</v>
      </c>
      <c r="F179" s="8">
        <v>11.1</v>
      </c>
      <c r="G179" s="17">
        <v>44372</v>
      </c>
      <c r="H179" s="8"/>
      <c r="I179" s="8"/>
      <c r="J179" s="5">
        <f>F179-E179</f>
        <v>11.1</v>
      </c>
      <c r="K179" s="8" t="b">
        <f>F179=E186</f>
        <v>0</v>
      </c>
    </row>
    <row r="180" spans="1:11">
      <c r="A180" s="5">
        <v>106</v>
      </c>
      <c r="B180" s="17"/>
      <c r="C180" s="20"/>
      <c r="D180" s="8"/>
      <c r="E180" s="8"/>
      <c r="F180" s="8"/>
      <c r="G180" s="17"/>
      <c r="H180" s="8"/>
      <c r="I180" s="8"/>
      <c r="J180" s="5">
        <f t="shared" si="15"/>
        <v>0</v>
      </c>
      <c r="K180" s="8" t="b">
        <f>F180=E181</f>
        <v>1</v>
      </c>
    </row>
    <row r="181" spans="1:11">
      <c r="A181" s="5">
        <v>107</v>
      </c>
      <c r="B181" s="17"/>
      <c r="C181" s="20"/>
      <c r="D181" s="8"/>
      <c r="E181" s="8"/>
      <c r="F181" s="8"/>
      <c r="G181" s="17"/>
      <c r="H181" s="8"/>
      <c r="I181" s="8"/>
      <c r="J181" s="5">
        <f>F181-E181</f>
        <v>0</v>
      </c>
      <c r="K181" s="8" t="b">
        <f>F181=E182</f>
        <v>1</v>
      </c>
    </row>
    <row r="182" spans="1:11" ht="26.25">
      <c r="A182" s="138" t="s">
        <v>72</v>
      </c>
      <c r="B182" s="159"/>
      <c r="C182" s="159"/>
      <c r="D182" s="159"/>
      <c r="E182" s="159"/>
      <c r="F182" s="159"/>
      <c r="G182" s="159"/>
      <c r="H182" s="159"/>
      <c r="I182" s="159"/>
      <c r="J182" s="159"/>
      <c r="K182" s="160"/>
    </row>
    <row r="183" spans="1:11" ht="26.25">
      <c r="A183" s="138" t="s">
        <v>75</v>
      </c>
      <c r="B183" s="159"/>
      <c r="C183" s="159"/>
      <c r="D183" s="159"/>
      <c r="E183" s="159"/>
      <c r="F183" s="159"/>
      <c r="G183" s="159"/>
      <c r="H183" s="159"/>
      <c r="I183" s="159"/>
      <c r="J183" s="159"/>
      <c r="K183" s="160"/>
    </row>
    <row r="184" spans="1:11" ht="15.75" thickBot="1"/>
    <row r="185" spans="1:11" ht="15.75" thickBot="1">
      <c r="A185" s="132" t="s">
        <v>2</v>
      </c>
      <c r="B185" s="133"/>
      <c r="C185" s="133"/>
      <c r="D185" s="133"/>
      <c r="E185" s="133"/>
      <c r="F185" s="133"/>
      <c r="G185" s="133"/>
      <c r="H185" s="133"/>
      <c r="I185" s="133"/>
      <c r="J185" s="133"/>
      <c r="K185" s="134"/>
    </row>
    <row r="187" spans="1:11" ht="19.5" thickBot="1">
      <c r="A187" s="1" t="s">
        <v>3</v>
      </c>
      <c r="B187" s="1"/>
      <c r="C187" s="1"/>
      <c r="D187" s="1"/>
      <c r="E187" s="1"/>
      <c r="F187" s="1"/>
      <c r="G187" s="1"/>
      <c r="H187" s="1"/>
      <c r="I187" s="1"/>
    </row>
    <row r="188" spans="1:11" ht="30.75" thickBot="1">
      <c r="A188" s="2" t="s">
        <v>4</v>
      </c>
      <c r="B188" s="3" t="s">
        <v>5</v>
      </c>
      <c r="C188" s="3" t="s">
        <v>6</v>
      </c>
      <c r="D188" s="3" t="s">
        <v>7</v>
      </c>
      <c r="E188" s="3" t="s">
        <v>8</v>
      </c>
      <c r="F188" s="3" t="s">
        <v>9</v>
      </c>
      <c r="G188" s="3" t="s">
        <v>10</v>
      </c>
      <c r="H188" s="3" t="s">
        <v>21</v>
      </c>
      <c r="I188" s="4" t="s">
        <v>22</v>
      </c>
      <c r="J188" s="4" t="s">
        <v>11</v>
      </c>
      <c r="K188" s="4" t="s">
        <v>12</v>
      </c>
    </row>
    <row r="189" spans="1:11">
      <c r="A189" s="5" t="s">
        <v>76</v>
      </c>
      <c r="B189" s="6">
        <v>44332</v>
      </c>
      <c r="C189" s="7">
        <v>0.4</v>
      </c>
      <c r="D189" s="5">
        <v>14.5</v>
      </c>
      <c r="E189" s="5">
        <v>300.39999999999998</v>
      </c>
      <c r="F189" s="5">
        <v>315.39999999999998</v>
      </c>
      <c r="G189" s="6">
        <v>44332</v>
      </c>
      <c r="H189" s="5"/>
      <c r="I189" s="5"/>
      <c r="J189" s="5">
        <f>F189-E189</f>
        <v>15</v>
      </c>
      <c r="K189" s="8" t="b">
        <f>F189=E190</f>
        <v>1</v>
      </c>
    </row>
    <row r="190" spans="1:11">
      <c r="A190" s="5" t="s">
        <v>76</v>
      </c>
      <c r="B190" s="6">
        <v>44333</v>
      </c>
      <c r="C190" s="7">
        <v>0.8</v>
      </c>
      <c r="D190" s="5">
        <v>6.82</v>
      </c>
      <c r="E190" s="5">
        <v>315.39999999999998</v>
      </c>
      <c r="F190" s="5">
        <v>322</v>
      </c>
      <c r="G190" s="6">
        <v>44333</v>
      </c>
      <c r="H190" s="5"/>
      <c r="I190" s="5"/>
      <c r="J190" s="5">
        <f>F190-E190</f>
        <v>6.6000000000000227</v>
      </c>
      <c r="K190" s="8" t="b">
        <f>F190=E191</f>
        <v>0</v>
      </c>
    </row>
    <row r="191" spans="1:11">
      <c r="A191" s="5" t="s">
        <v>76</v>
      </c>
      <c r="B191" s="6">
        <v>44334</v>
      </c>
      <c r="C191" s="7">
        <v>0.5</v>
      </c>
      <c r="D191" s="5">
        <v>11.6</v>
      </c>
      <c r="E191" s="5">
        <v>322.89999999999998</v>
      </c>
      <c r="F191" s="5">
        <v>334</v>
      </c>
      <c r="G191" s="6">
        <v>44334</v>
      </c>
      <c r="H191" s="5"/>
      <c r="I191" s="5"/>
      <c r="J191" s="5">
        <f t="shared" ref="J191:J204" si="16">F191-E191</f>
        <v>11.100000000000023</v>
      </c>
      <c r="K191" s="8" t="b">
        <f t="shared" ref="K191:K204" si="17">F191=E192</f>
        <v>1</v>
      </c>
    </row>
    <row r="192" spans="1:11">
      <c r="A192" s="5" t="s">
        <v>76</v>
      </c>
      <c r="B192" s="6">
        <v>44337</v>
      </c>
      <c r="C192" s="7">
        <v>1</v>
      </c>
      <c r="D192" s="5">
        <v>5.8</v>
      </c>
      <c r="E192" s="5">
        <v>334</v>
      </c>
      <c r="F192" s="5">
        <v>340.1</v>
      </c>
      <c r="G192" s="6">
        <v>44337</v>
      </c>
      <c r="H192" s="5"/>
      <c r="I192" s="5"/>
      <c r="J192" s="5">
        <f t="shared" si="16"/>
        <v>6.1000000000000227</v>
      </c>
      <c r="K192" s="8" t="b">
        <f t="shared" si="17"/>
        <v>0</v>
      </c>
    </row>
    <row r="193" spans="1:11">
      <c r="A193" s="5" t="s">
        <v>76</v>
      </c>
      <c r="B193" s="6">
        <v>44341</v>
      </c>
      <c r="C193" s="7">
        <v>1</v>
      </c>
      <c r="D193" s="5">
        <v>5.8</v>
      </c>
      <c r="E193" s="5">
        <v>356</v>
      </c>
      <c r="F193" s="5">
        <v>362.1</v>
      </c>
      <c r="G193" s="6">
        <v>44339</v>
      </c>
      <c r="H193" s="5"/>
      <c r="I193" s="5"/>
      <c r="J193" s="5">
        <f t="shared" si="16"/>
        <v>6.1000000000000227</v>
      </c>
      <c r="K193" s="8" t="b">
        <f t="shared" si="17"/>
        <v>1</v>
      </c>
    </row>
    <row r="194" spans="1:11">
      <c r="A194" s="5" t="s">
        <v>76</v>
      </c>
      <c r="B194" s="6">
        <v>44342</v>
      </c>
      <c r="C194" s="7" t="s">
        <v>77</v>
      </c>
      <c r="D194" s="5">
        <v>12.62</v>
      </c>
      <c r="E194" s="5">
        <v>362.1</v>
      </c>
      <c r="F194" s="5">
        <v>374.9</v>
      </c>
      <c r="G194" s="6">
        <v>44342</v>
      </c>
      <c r="H194" s="5"/>
      <c r="I194" s="5"/>
      <c r="J194" s="5">
        <f t="shared" si="16"/>
        <v>12.799999999999955</v>
      </c>
      <c r="K194" s="8" t="b">
        <f t="shared" si="17"/>
        <v>1</v>
      </c>
    </row>
    <row r="195" spans="1:11">
      <c r="A195" s="5" t="s">
        <v>76</v>
      </c>
      <c r="B195" s="6">
        <v>44344</v>
      </c>
      <c r="C195" s="7">
        <v>0.8</v>
      </c>
      <c r="D195" s="5">
        <v>6.82</v>
      </c>
      <c r="E195" s="5">
        <v>374.9</v>
      </c>
      <c r="F195" s="5">
        <v>385.8</v>
      </c>
      <c r="G195" s="6">
        <v>44344</v>
      </c>
      <c r="H195" s="5"/>
      <c r="I195" s="5"/>
      <c r="J195" s="5">
        <f t="shared" si="16"/>
        <v>10.900000000000034</v>
      </c>
      <c r="K195" s="8" t="b">
        <f t="shared" si="17"/>
        <v>0</v>
      </c>
    </row>
    <row r="196" spans="1:11">
      <c r="A196" s="5" t="s">
        <v>76</v>
      </c>
      <c r="B196" s="6">
        <v>44345</v>
      </c>
      <c r="C196" s="7">
        <v>1</v>
      </c>
      <c r="D196" s="5">
        <v>5.8</v>
      </c>
      <c r="E196" s="5">
        <v>393.1</v>
      </c>
      <c r="F196" s="5">
        <v>399.1</v>
      </c>
      <c r="G196" s="6">
        <v>44345</v>
      </c>
      <c r="H196" s="5"/>
      <c r="I196" s="5"/>
      <c r="J196" s="5">
        <f t="shared" si="16"/>
        <v>6</v>
      </c>
      <c r="K196" s="8" t="b">
        <f t="shared" si="17"/>
        <v>1</v>
      </c>
    </row>
    <row r="197" spans="1:11">
      <c r="A197" s="5" t="s">
        <v>76</v>
      </c>
      <c r="B197" s="6">
        <v>44346</v>
      </c>
      <c r="C197" s="7">
        <v>1</v>
      </c>
      <c r="D197" s="5">
        <v>5.8</v>
      </c>
      <c r="E197" s="5">
        <v>399.1</v>
      </c>
      <c r="F197" s="5">
        <v>405.1</v>
      </c>
      <c r="G197" s="6">
        <v>44346</v>
      </c>
      <c r="H197" s="5"/>
      <c r="I197" s="5"/>
      <c r="J197" s="5">
        <f t="shared" si="16"/>
        <v>6</v>
      </c>
      <c r="K197" s="8" t="b">
        <f t="shared" si="17"/>
        <v>1</v>
      </c>
    </row>
    <row r="198" spans="1:11">
      <c r="A198" s="5" t="s">
        <v>76</v>
      </c>
      <c r="B198" s="6">
        <v>44347</v>
      </c>
      <c r="C198" s="7">
        <v>1</v>
      </c>
      <c r="D198" s="5">
        <v>5.8</v>
      </c>
      <c r="E198" s="5">
        <v>405.1</v>
      </c>
      <c r="F198" s="5">
        <v>411</v>
      </c>
      <c r="G198" s="6">
        <v>44347</v>
      </c>
      <c r="H198" s="5"/>
      <c r="I198" s="5"/>
      <c r="J198" s="5">
        <f t="shared" si="16"/>
        <v>5.8999999999999773</v>
      </c>
      <c r="K198" s="8" t="b">
        <f t="shared" si="17"/>
        <v>1</v>
      </c>
    </row>
    <row r="199" spans="1:11">
      <c r="A199" s="5" t="s">
        <v>76</v>
      </c>
      <c r="B199" s="6">
        <v>44348</v>
      </c>
      <c r="C199" s="7">
        <v>1</v>
      </c>
      <c r="D199" s="5">
        <v>5.8</v>
      </c>
      <c r="E199" s="5">
        <v>411</v>
      </c>
      <c r="F199" s="5">
        <v>417.4</v>
      </c>
      <c r="G199" s="6">
        <v>44348</v>
      </c>
      <c r="H199" s="5"/>
      <c r="I199" s="5"/>
      <c r="J199" s="5">
        <f t="shared" si="16"/>
        <v>6.3999999999999773</v>
      </c>
      <c r="K199" s="8" t="b">
        <f t="shared" si="17"/>
        <v>0</v>
      </c>
    </row>
    <row r="200" spans="1:11">
      <c r="A200" s="5" t="s">
        <v>76</v>
      </c>
      <c r="B200" s="6">
        <v>44349</v>
      </c>
      <c r="C200" s="7">
        <v>1</v>
      </c>
      <c r="D200" s="5">
        <v>5.8</v>
      </c>
      <c r="E200" s="5">
        <v>428.8</v>
      </c>
      <c r="F200" s="5">
        <v>434.7</v>
      </c>
      <c r="G200" s="6">
        <v>44349</v>
      </c>
      <c r="H200" s="5"/>
      <c r="I200" s="5"/>
      <c r="J200" s="5">
        <f t="shared" si="16"/>
        <v>5.8999999999999773</v>
      </c>
      <c r="K200" s="8" t="b">
        <f t="shared" si="17"/>
        <v>1</v>
      </c>
    </row>
    <row r="201" spans="1:11">
      <c r="A201" s="5" t="s">
        <v>76</v>
      </c>
      <c r="B201" s="6">
        <v>44350</v>
      </c>
      <c r="C201" s="7">
        <v>1</v>
      </c>
      <c r="D201" s="5">
        <v>5.8</v>
      </c>
      <c r="E201" s="5">
        <v>434.7</v>
      </c>
      <c r="F201" s="5">
        <v>440.9</v>
      </c>
      <c r="G201" s="6">
        <v>44350</v>
      </c>
      <c r="H201" s="5"/>
      <c r="I201" s="5"/>
      <c r="J201" s="5">
        <f t="shared" si="16"/>
        <v>6.1999999999999886</v>
      </c>
      <c r="K201" s="8" t="b">
        <f t="shared" si="17"/>
        <v>1</v>
      </c>
    </row>
    <row r="202" spans="1:11">
      <c r="A202" s="5" t="s">
        <v>76</v>
      </c>
      <c r="B202" s="6">
        <v>44352</v>
      </c>
      <c r="C202" s="7">
        <v>1</v>
      </c>
      <c r="D202" s="5">
        <v>5.8</v>
      </c>
      <c r="E202" s="5">
        <v>440.9</v>
      </c>
      <c r="F202" s="5">
        <v>447</v>
      </c>
      <c r="G202" s="6">
        <v>44352</v>
      </c>
      <c r="H202" s="5"/>
      <c r="I202" s="5"/>
      <c r="J202" s="5">
        <f t="shared" si="16"/>
        <v>6.1000000000000227</v>
      </c>
      <c r="K202" s="8" t="b">
        <f t="shared" si="17"/>
        <v>0</v>
      </c>
    </row>
    <row r="203" spans="1:11">
      <c r="A203" s="5" t="s">
        <v>76</v>
      </c>
      <c r="B203" s="6">
        <v>44355</v>
      </c>
      <c r="C203" s="7">
        <v>1</v>
      </c>
      <c r="D203" s="5">
        <v>5.8</v>
      </c>
      <c r="E203" s="5">
        <v>458.6</v>
      </c>
      <c r="F203" s="5">
        <v>464.2</v>
      </c>
      <c r="G203" s="6">
        <v>44355</v>
      </c>
      <c r="H203" s="5"/>
      <c r="I203" s="5"/>
      <c r="J203" s="5">
        <f t="shared" si="16"/>
        <v>5.5999999999999659</v>
      </c>
      <c r="K203" s="8" t="b">
        <f t="shared" si="17"/>
        <v>1</v>
      </c>
    </row>
    <row r="204" spans="1:11">
      <c r="A204" s="5" t="s">
        <v>76</v>
      </c>
      <c r="B204" s="6">
        <v>44358</v>
      </c>
      <c r="C204" s="7">
        <v>0.8</v>
      </c>
      <c r="D204" s="5">
        <v>7.25</v>
      </c>
      <c r="E204" s="5">
        <v>464.2</v>
      </c>
      <c r="F204" s="5">
        <v>471.3</v>
      </c>
      <c r="G204" s="6">
        <v>44327</v>
      </c>
      <c r="H204" s="5"/>
      <c r="I204" s="5"/>
      <c r="J204" s="5">
        <f t="shared" si="16"/>
        <v>7.1000000000000227</v>
      </c>
      <c r="K204" s="8" t="b">
        <f t="shared" si="17"/>
        <v>0</v>
      </c>
    </row>
    <row r="205" spans="1:11">
      <c r="A205" s="5" t="s">
        <v>76</v>
      </c>
      <c r="B205" s="6">
        <v>44360</v>
      </c>
      <c r="C205" s="7">
        <v>0.8</v>
      </c>
      <c r="D205" s="5">
        <v>7.25</v>
      </c>
      <c r="E205" s="5">
        <v>482.7</v>
      </c>
      <c r="F205" s="5">
        <v>490.9</v>
      </c>
      <c r="G205" s="6">
        <v>44360</v>
      </c>
      <c r="H205" s="5"/>
      <c r="I205" s="5"/>
      <c r="J205" s="5">
        <f t="shared" ref="J205:J216" si="18">F205-E205</f>
        <v>8.1999999999999886</v>
      </c>
      <c r="K205" s="8" t="b">
        <f t="shared" ref="K205:K216" si="19">F205=E206</f>
        <v>1</v>
      </c>
    </row>
    <row r="206" spans="1:11">
      <c r="A206" s="5" t="s">
        <v>76</v>
      </c>
      <c r="B206" s="6">
        <v>44361</v>
      </c>
      <c r="C206" s="7">
        <v>1</v>
      </c>
      <c r="D206" s="5">
        <v>5.8</v>
      </c>
      <c r="E206" s="5">
        <v>490.9</v>
      </c>
      <c r="F206" s="5">
        <v>497</v>
      </c>
      <c r="G206" s="6">
        <v>44330</v>
      </c>
      <c r="H206" s="5"/>
      <c r="I206" s="5"/>
      <c r="J206" s="5">
        <f t="shared" si="18"/>
        <v>6.1000000000000227</v>
      </c>
      <c r="K206" s="8" t="b">
        <f t="shared" si="19"/>
        <v>0</v>
      </c>
    </row>
    <row r="207" spans="1:11">
      <c r="A207" s="5" t="s">
        <v>76</v>
      </c>
      <c r="B207" s="6">
        <v>44364</v>
      </c>
      <c r="C207" s="7">
        <v>0.8</v>
      </c>
      <c r="D207" s="5">
        <v>7.25</v>
      </c>
      <c r="E207" s="5">
        <v>508.2</v>
      </c>
      <c r="F207" s="5">
        <v>515.70000000000005</v>
      </c>
      <c r="G207" s="6">
        <v>44364</v>
      </c>
      <c r="H207" s="5"/>
      <c r="I207" s="5"/>
      <c r="J207" s="5">
        <f t="shared" si="18"/>
        <v>7.5000000000000568</v>
      </c>
      <c r="K207" s="8" t="b">
        <f t="shared" si="19"/>
        <v>0</v>
      </c>
    </row>
    <row r="208" spans="1:11">
      <c r="A208" s="5" t="s">
        <v>76</v>
      </c>
      <c r="B208" s="6">
        <v>44367</v>
      </c>
      <c r="C208" s="7">
        <v>0.8</v>
      </c>
      <c r="D208" s="5">
        <v>7.25</v>
      </c>
      <c r="E208" s="5">
        <v>526.9</v>
      </c>
      <c r="F208" s="5">
        <v>534.29999999999995</v>
      </c>
      <c r="G208" s="6">
        <v>44367</v>
      </c>
      <c r="H208" s="5"/>
      <c r="I208" s="5"/>
      <c r="J208" s="5">
        <f t="shared" si="18"/>
        <v>7.3999999999999773</v>
      </c>
      <c r="K208" s="8" t="b">
        <f>F208=E210</f>
        <v>0</v>
      </c>
    </row>
    <row r="209" spans="1:11">
      <c r="A209" s="5" t="s">
        <v>76</v>
      </c>
      <c r="B209" s="6">
        <v>22</v>
      </c>
      <c r="C209" s="7">
        <v>1</v>
      </c>
      <c r="D209" s="5">
        <v>5.8</v>
      </c>
      <c r="E209" s="5">
        <v>534.29999999999995</v>
      </c>
      <c r="F209" s="5">
        <v>540.79999999999995</v>
      </c>
      <c r="G209" s="6">
        <v>44369</v>
      </c>
      <c r="H209" s="5"/>
      <c r="I209" s="5"/>
      <c r="J209" s="5">
        <f t="shared" si="18"/>
        <v>6.5</v>
      </c>
      <c r="K209" s="8"/>
    </row>
    <row r="210" spans="1:11">
      <c r="A210" s="5" t="s">
        <v>76</v>
      </c>
      <c r="B210" s="6">
        <v>44370</v>
      </c>
      <c r="C210" s="7">
        <v>0.8</v>
      </c>
      <c r="D210" s="5">
        <v>7.25</v>
      </c>
      <c r="E210" s="5">
        <v>540.29999999999995</v>
      </c>
      <c r="F210" s="5">
        <v>547.29999999999995</v>
      </c>
      <c r="G210" s="6">
        <v>44370</v>
      </c>
      <c r="H210" s="5"/>
      <c r="I210" s="5"/>
      <c r="J210" s="5">
        <f t="shared" si="18"/>
        <v>7</v>
      </c>
      <c r="K210" s="8" t="b">
        <f t="shared" si="19"/>
        <v>0</v>
      </c>
    </row>
    <row r="211" spans="1:11">
      <c r="A211" s="5" t="s">
        <v>76</v>
      </c>
      <c r="B211" s="6">
        <v>44373</v>
      </c>
      <c r="C211" s="7">
        <v>0.8</v>
      </c>
      <c r="D211" s="5">
        <v>7.25</v>
      </c>
      <c r="E211" s="5">
        <v>11.1</v>
      </c>
      <c r="F211" s="5">
        <v>18.5</v>
      </c>
      <c r="G211" s="6">
        <v>44373</v>
      </c>
      <c r="H211" s="5"/>
      <c r="I211" s="5"/>
      <c r="J211" s="5">
        <f t="shared" si="18"/>
        <v>7.4</v>
      </c>
      <c r="K211" s="8" t="b">
        <f t="shared" si="19"/>
        <v>1</v>
      </c>
    </row>
    <row r="212" spans="1:11">
      <c r="A212" s="5" t="s">
        <v>76</v>
      </c>
      <c r="B212" s="6">
        <v>44374</v>
      </c>
      <c r="C212" s="7">
        <v>0.7</v>
      </c>
      <c r="D212" s="5">
        <v>8.2899999999999991</v>
      </c>
      <c r="E212" s="5">
        <v>18.5</v>
      </c>
      <c r="F212" s="5">
        <v>27.1</v>
      </c>
      <c r="G212" s="6">
        <v>44374</v>
      </c>
      <c r="H212" s="5"/>
      <c r="I212" s="5"/>
      <c r="J212" s="5">
        <f t="shared" si="18"/>
        <v>8.6000000000000014</v>
      </c>
      <c r="K212" s="8" t="b">
        <f t="shared" si="19"/>
        <v>1</v>
      </c>
    </row>
    <row r="213" spans="1:11">
      <c r="A213" s="5" t="s">
        <v>76</v>
      </c>
      <c r="B213" s="6">
        <v>44376</v>
      </c>
      <c r="C213" s="7">
        <v>0.7</v>
      </c>
      <c r="D213" s="5">
        <v>8.2899999999999991</v>
      </c>
      <c r="E213" s="5">
        <v>27.1</v>
      </c>
      <c r="F213" s="5">
        <v>35.6</v>
      </c>
      <c r="G213" s="6">
        <v>44376</v>
      </c>
      <c r="H213" s="5"/>
      <c r="I213" s="5"/>
      <c r="J213" s="5">
        <f t="shared" si="18"/>
        <v>8.5</v>
      </c>
      <c r="K213" s="8" t="b">
        <f t="shared" si="19"/>
        <v>0</v>
      </c>
    </row>
    <row r="214" spans="1:11">
      <c r="A214" s="5" t="s">
        <v>76</v>
      </c>
      <c r="B214" s="6">
        <v>44379</v>
      </c>
      <c r="C214" s="7">
        <v>0.7</v>
      </c>
      <c r="D214" s="5">
        <v>8.2899999999999991</v>
      </c>
      <c r="E214" s="5">
        <v>35.5</v>
      </c>
      <c r="F214" s="5">
        <v>44</v>
      </c>
      <c r="G214" s="6">
        <v>44379</v>
      </c>
      <c r="H214" s="5"/>
      <c r="I214" s="5"/>
      <c r="J214" s="5">
        <f t="shared" si="18"/>
        <v>8.5</v>
      </c>
      <c r="K214" s="8" t="b">
        <f t="shared" si="19"/>
        <v>1</v>
      </c>
    </row>
    <row r="215" spans="1:11">
      <c r="A215" s="5" t="s">
        <v>76</v>
      </c>
      <c r="B215" s="6">
        <v>44381</v>
      </c>
      <c r="C215" s="7">
        <v>0.7</v>
      </c>
      <c r="D215" s="5">
        <v>8.2899999999999991</v>
      </c>
      <c r="E215" s="5">
        <v>44</v>
      </c>
      <c r="F215" s="5">
        <v>52.4</v>
      </c>
      <c r="G215" s="6">
        <v>44381</v>
      </c>
      <c r="H215" s="5"/>
      <c r="I215" s="5"/>
      <c r="J215" s="5">
        <f t="shared" si="18"/>
        <v>8.3999999999999986</v>
      </c>
      <c r="K215" s="8" t="b">
        <f t="shared" si="19"/>
        <v>1</v>
      </c>
    </row>
    <row r="216" spans="1:11">
      <c r="A216" s="5" t="s">
        <v>76</v>
      </c>
      <c r="B216" s="6">
        <v>44383</v>
      </c>
      <c r="C216" s="7">
        <v>0.7</v>
      </c>
      <c r="D216" s="5">
        <v>8.2899999999999991</v>
      </c>
      <c r="E216" s="5">
        <v>52.4</v>
      </c>
      <c r="F216" s="5">
        <v>60.7</v>
      </c>
      <c r="G216" s="6">
        <v>44383</v>
      </c>
      <c r="H216" s="5"/>
      <c r="I216" s="5"/>
      <c r="J216" s="5">
        <f t="shared" si="18"/>
        <v>8.3000000000000043</v>
      </c>
      <c r="K216" s="8" t="b">
        <f t="shared" si="19"/>
        <v>1</v>
      </c>
    </row>
    <row r="217" spans="1:11">
      <c r="A217" s="5" t="s">
        <v>76</v>
      </c>
      <c r="B217" s="6">
        <v>44385</v>
      </c>
      <c r="C217" s="7">
        <v>1</v>
      </c>
      <c r="D217" s="5">
        <v>5.8</v>
      </c>
      <c r="E217" s="5">
        <v>60.7</v>
      </c>
      <c r="F217" s="5">
        <v>66.7</v>
      </c>
      <c r="G217" s="6">
        <v>44385</v>
      </c>
      <c r="H217" s="5"/>
      <c r="I217" s="5"/>
      <c r="J217" s="5">
        <f t="shared" ref="J217:J223" si="20">F217-E217</f>
        <v>6</v>
      </c>
      <c r="K217" s="8" t="b">
        <f t="shared" ref="K217:K223" si="21">F217=E218</f>
        <v>1</v>
      </c>
    </row>
    <row r="218" spans="1:11">
      <c r="A218" s="5" t="s">
        <v>76</v>
      </c>
      <c r="B218" s="6">
        <v>44387</v>
      </c>
      <c r="C218" s="7">
        <v>0.7</v>
      </c>
      <c r="D218" s="5">
        <v>8.2899999999999991</v>
      </c>
      <c r="E218" s="5">
        <v>66.7</v>
      </c>
      <c r="F218" s="5">
        <v>75.099999999999994</v>
      </c>
      <c r="G218" s="6">
        <v>44387</v>
      </c>
      <c r="H218" s="5"/>
      <c r="I218" s="5"/>
      <c r="J218" s="5">
        <f t="shared" si="20"/>
        <v>8.3999999999999915</v>
      </c>
      <c r="K218" s="8" t="b">
        <f t="shared" si="21"/>
        <v>1</v>
      </c>
    </row>
    <row r="219" spans="1:11">
      <c r="A219" s="5" t="s">
        <v>76</v>
      </c>
      <c r="B219" s="6">
        <v>44389</v>
      </c>
      <c r="C219" s="7">
        <v>0.7</v>
      </c>
      <c r="D219" s="5">
        <v>8.2899999999999991</v>
      </c>
      <c r="E219" s="5">
        <v>75.099999999999994</v>
      </c>
      <c r="F219" s="5">
        <v>83.3</v>
      </c>
      <c r="G219" s="6">
        <v>44389</v>
      </c>
      <c r="H219" s="5"/>
      <c r="I219" s="5"/>
      <c r="J219" s="5">
        <f t="shared" si="20"/>
        <v>8.2000000000000028</v>
      </c>
      <c r="K219" s="8" t="b">
        <f t="shared" si="21"/>
        <v>1</v>
      </c>
    </row>
    <row r="220" spans="1:11">
      <c r="A220" s="5" t="s">
        <v>76</v>
      </c>
      <c r="B220" s="6">
        <v>44392</v>
      </c>
      <c r="C220" s="7">
        <v>1</v>
      </c>
      <c r="D220" s="5">
        <v>5.8</v>
      </c>
      <c r="E220" s="5">
        <v>83.3</v>
      </c>
      <c r="F220" s="5">
        <v>89.2</v>
      </c>
      <c r="G220" s="6">
        <v>44392</v>
      </c>
      <c r="H220" s="5"/>
      <c r="I220" s="5"/>
      <c r="J220" s="5">
        <f t="shared" si="20"/>
        <v>5.9000000000000057</v>
      </c>
      <c r="K220" s="8" t="b">
        <f t="shared" si="21"/>
        <v>1</v>
      </c>
    </row>
    <row r="221" spans="1:11">
      <c r="A221" s="5" t="s">
        <v>76</v>
      </c>
      <c r="B221" s="6">
        <v>44393</v>
      </c>
      <c r="C221" s="7">
        <v>0.7</v>
      </c>
      <c r="D221" s="5">
        <v>8.2899999999999991</v>
      </c>
      <c r="E221" s="5">
        <v>89.2</v>
      </c>
      <c r="F221" s="5">
        <v>97.6</v>
      </c>
      <c r="G221" s="6">
        <v>44393</v>
      </c>
      <c r="H221" s="5"/>
      <c r="I221" s="5"/>
      <c r="J221" s="5">
        <f t="shared" si="20"/>
        <v>8.3999999999999915</v>
      </c>
      <c r="K221" s="8" t="b">
        <f t="shared" si="21"/>
        <v>1</v>
      </c>
    </row>
    <row r="222" spans="1:11">
      <c r="A222" s="5" t="s">
        <v>76</v>
      </c>
      <c r="B222" s="6">
        <v>44395</v>
      </c>
      <c r="C222" s="7">
        <v>0.7</v>
      </c>
      <c r="D222" s="5">
        <v>8.2899999999999991</v>
      </c>
      <c r="E222" s="5">
        <v>97.6</v>
      </c>
      <c r="F222" s="5">
        <v>105.9</v>
      </c>
      <c r="G222" s="6">
        <v>44395</v>
      </c>
      <c r="H222" s="5"/>
      <c r="I222" s="5"/>
      <c r="J222" s="5">
        <f t="shared" si="20"/>
        <v>8.3000000000000114</v>
      </c>
      <c r="K222" s="8" t="b">
        <f t="shared" si="21"/>
        <v>1</v>
      </c>
    </row>
    <row r="223" spans="1:11">
      <c r="A223" s="5" t="s">
        <v>76</v>
      </c>
      <c r="B223" s="6">
        <v>44397</v>
      </c>
      <c r="C223" s="7">
        <v>0.7</v>
      </c>
      <c r="D223" s="5">
        <v>8.2899999999999991</v>
      </c>
      <c r="E223" s="5">
        <v>105.9</v>
      </c>
      <c r="F223" s="5">
        <v>114.2</v>
      </c>
      <c r="G223" s="6">
        <v>44397</v>
      </c>
      <c r="H223" s="5"/>
      <c r="I223" s="5"/>
      <c r="J223" s="5">
        <f t="shared" si="20"/>
        <v>8.2999999999999972</v>
      </c>
      <c r="K223" s="8" t="b">
        <f t="shared" si="21"/>
        <v>1</v>
      </c>
    </row>
    <row r="224" spans="1:11">
      <c r="A224" s="5" t="s">
        <v>76</v>
      </c>
      <c r="B224" s="6">
        <v>44399</v>
      </c>
      <c r="C224" s="7">
        <v>1</v>
      </c>
      <c r="D224" s="5">
        <v>5.8</v>
      </c>
      <c r="E224" s="5">
        <v>114.2</v>
      </c>
      <c r="F224" s="5">
        <v>119.9</v>
      </c>
      <c r="G224" s="6">
        <v>44399</v>
      </c>
      <c r="H224" s="5"/>
      <c r="I224" s="5"/>
      <c r="J224" s="5">
        <f t="shared" ref="J224:J233" si="22">F224-E224</f>
        <v>5.7000000000000028</v>
      </c>
      <c r="K224" s="8" t="b">
        <f t="shared" ref="K224:K233" si="23">F224=E225</f>
        <v>1</v>
      </c>
    </row>
    <row r="225" spans="1:11">
      <c r="A225" s="5" t="s">
        <v>76</v>
      </c>
      <c r="B225" s="6">
        <v>44400</v>
      </c>
      <c r="C225" s="7">
        <v>0.7</v>
      </c>
      <c r="D225" s="5">
        <v>8.2899999999999991</v>
      </c>
      <c r="E225" s="5">
        <v>119.9</v>
      </c>
      <c r="F225" s="5">
        <v>128.30000000000001</v>
      </c>
      <c r="G225" s="6">
        <v>44400</v>
      </c>
      <c r="H225" s="5"/>
      <c r="I225" s="5"/>
      <c r="J225" s="5">
        <f t="shared" si="22"/>
        <v>8.4000000000000057</v>
      </c>
      <c r="K225" s="8" t="b">
        <f t="shared" si="23"/>
        <v>1</v>
      </c>
    </row>
    <row r="226" spans="1:11">
      <c r="A226" s="5" t="s">
        <v>76</v>
      </c>
      <c r="B226" s="6">
        <v>44401</v>
      </c>
      <c r="C226" s="7">
        <v>0.5</v>
      </c>
      <c r="D226" s="5">
        <v>11.6</v>
      </c>
      <c r="E226" s="5">
        <v>128.30000000000001</v>
      </c>
      <c r="F226" s="5">
        <v>140</v>
      </c>
      <c r="G226" s="6">
        <v>44401</v>
      </c>
      <c r="H226" s="5"/>
      <c r="I226" s="5"/>
      <c r="J226" s="5">
        <f t="shared" si="22"/>
        <v>11.699999999999989</v>
      </c>
      <c r="K226" s="8" t="b">
        <f t="shared" si="23"/>
        <v>1</v>
      </c>
    </row>
    <row r="227" spans="1:11">
      <c r="A227" s="5" t="s">
        <v>76</v>
      </c>
      <c r="B227" s="6">
        <v>44402</v>
      </c>
      <c r="C227" s="7">
        <v>0.7</v>
      </c>
      <c r="D227" s="5">
        <v>8.2899999999999991</v>
      </c>
      <c r="E227" s="5">
        <v>140</v>
      </c>
      <c r="F227" s="5">
        <v>148.5</v>
      </c>
      <c r="G227" s="6">
        <v>44402</v>
      </c>
      <c r="H227" s="5"/>
      <c r="I227" s="5"/>
      <c r="J227" s="5">
        <f t="shared" si="22"/>
        <v>8.5</v>
      </c>
      <c r="K227" s="8" t="b">
        <f t="shared" si="23"/>
        <v>1</v>
      </c>
    </row>
    <row r="228" spans="1:11">
      <c r="A228" s="5" t="s">
        <v>76</v>
      </c>
      <c r="B228" s="6">
        <v>44403</v>
      </c>
      <c r="C228" s="7">
        <v>1</v>
      </c>
      <c r="D228" s="5">
        <v>5.8</v>
      </c>
      <c r="E228" s="5">
        <v>148.5</v>
      </c>
      <c r="F228" s="5">
        <v>154.30000000000001</v>
      </c>
      <c r="G228" s="6">
        <v>44403</v>
      </c>
      <c r="H228" s="5"/>
      <c r="I228" s="5"/>
      <c r="J228" s="5">
        <f t="shared" si="22"/>
        <v>5.8000000000000114</v>
      </c>
      <c r="K228" s="8" t="b">
        <f t="shared" si="23"/>
        <v>1</v>
      </c>
    </row>
    <row r="229" spans="1:11">
      <c r="A229" s="5" t="s">
        <v>76</v>
      </c>
      <c r="B229" s="6">
        <v>44405</v>
      </c>
      <c r="C229" s="7">
        <v>0.4</v>
      </c>
      <c r="D229" s="5">
        <v>14.5</v>
      </c>
      <c r="E229" s="5">
        <v>154.30000000000001</v>
      </c>
      <c r="F229" s="5">
        <v>168.4</v>
      </c>
      <c r="G229" s="6">
        <v>44406</v>
      </c>
      <c r="H229" s="5"/>
      <c r="I229" s="5"/>
      <c r="J229" s="5">
        <f t="shared" si="22"/>
        <v>14.099999999999994</v>
      </c>
      <c r="K229" s="8" t="b">
        <f t="shared" si="23"/>
        <v>1</v>
      </c>
    </row>
    <row r="230" spans="1:11">
      <c r="A230" s="21" t="s">
        <v>78</v>
      </c>
      <c r="B230" s="22">
        <v>44406</v>
      </c>
      <c r="C230" s="23">
        <v>0.4</v>
      </c>
      <c r="D230" s="21">
        <v>14.5</v>
      </c>
      <c r="E230" s="21">
        <v>168.4</v>
      </c>
      <c r="F230" s="21">
        <v>182.6</v>
      </c>
      <c r="G230" s="22">
        <v>44406</v>
      </c>
      <c r="H230" s="5"/>
      <c r="I230" s="5"/>
      <c r="J230" s="5">
        <f t="shared" si="22"/>
        <v>14.199999999999989</v>
      </c>
      <c r="K230" s="8" t="b">
        <f t="shared" si="23"/>
        <v>1</v>
      </c>
    </row>
    <row r="231" spans="1:11">
      <c r="A231" s="5" t="s">
        <v>76</v>
      </c>
      <c r="B231" s="6">
        <v>44407</v>
      </c>
      <c r="C231" s="7">
        <v>0.4</v>
      </c>
      <c r="D231" s="5">
        <v>14.5</v>
      </c>
      <c r="E231" s="5">
        <v>182.6</v>
      </c>
      <c r="F231" s="5">
        <v>197.6</v>
      </c>
      <c r="G231" s="6">
        <v>44407</v>
      </c>
      <c r="H231" s="5"/>
      <c r="I231" s="5"/>
      <c r="J231" s="5">
        <f t="shared" si="22"/>
        <v>15</v>
      </c>
      <c r="K231" s="8" t="b">
        <f t="shared" si="23"/>
        <v>1</v>
      </c>
    </row>
    <row r="232" spans="1:11">
      <c r="A232" s="5" t="s">
        <v>78</v>
      </c>
      <c r="B232" s="6">
        <v>44408</v>
      </c>
      <c r="C232" s="7">
        <v>0.4</v>
      </c>
      <c r="D232" s="5">
        <v>14.5</v>
      </c>
      <c r="E232" s="5">
        <v>197.6</v>
      </c>
      <c r="F232" s="5">
        <v>211</v>
      </c>
      <c r="G232" s="6">
        <v>44408</v>
      </c>
      <c r="H232" s="5"/>
      <c r="I232" s="5"/>
      <c r="J232" s="5">
        <f t="shared" si="22"/>
        <v>13.400000000000006</v>
      </c>
      <c r="K232" s="8" t="b">
        <f t="shared" si="23"/>
        <v>1</v>
      </c>
    </row>
    <row r="233" spans="1:11">
      <c r="A233" s="5" t="s">
        <v>76</v>
      </c>
      <c r="B233" s="6">
        <v>44409</v>
      </c>
      <c r="C233" s="7">
        <v>0.4</v>
      </c>
      <c r="D233" s="5">
        <v>14.5</v>
      </c>
      <c r="E233" s="5">
        <v>211</v>
      </c>
      <c r="F233" s="5">
        <v>226.4</v>
      </c>
      <c r="G233" s="6">
        <v>44409</v>
      </c>
      <c r="H233" s="5"/>
      <c r="I233" s="5"/>
      <c r="J233" s="5">
        <f t="shared" si="22"/>
        <v>15.400000000000006</v>
      </c>
      <c r="K233" s="8" t="b">
        <f t="shared" si="23"/>
        <v>1</v>
      </c>
    </row>
    <row r="234" spans="1:11">
      <c r="A234" s="5" t="s">
        <v>76</v>
      </c>
      <c r="B234" s="6">
        <v>44289</v>
      </c>
      <c r="C234" s="7">
        <v>0.4</v>
      </c>
      <c r="D234" s="5">
        <v>14.5</v>
      </c>
      <c r="E234" s="5">
        <v>226.4</v>
      </c>
      <c r="F234" s="5">
        <v>240.6</v>
      </c>
      <c r="G234" s="6">
        <v>44380</v>
      </c>
      <c r="H234" s="5"/>
      <c r="I234" s="5"/>
      <c r="J234" s="5">
        <f t="shared" ref="J234:J241" si="24">F234-E234</f>
        <v>14.199999999999989</v>
      </c>
      <c r="K234" s="8" t="b">
        <f t="shared" ref="K234:K241" si="25">F234=E235</f>
        <v>1</v>
      </c>
    </row>
    <row r="235" spans="1:11">
      <c r="A235" s="5" t="s">
        <v>78</v>
      </c>
      <c r="B235" s="6">
        <v>44413</v>
      </c>
      <c r="C235" s="7">
        <v>0.7</v>
      </c>
      <c r="D235" s="5">
        <v>8.2899999999999991</v>
      </c>
      <c r="E235" s="5">
        <v>240.6</v>
      </c>
      <c r="F235" s="5">
        <v>248.6</v>
      </c>
      <c r="G235" s="6">
        <v>44413</v>
      </c>
      <c r="H235" s="5"/>
      <c r="I235" s="5"/>
      <c r="J235" s="5">
        <f t="shared" si="24"/>
        <v>8</v>
      </c>
      <c r="K235" s="8" t="b">
        <f t="shared" si="25"/>
        <v>1</v>
      </c>
    </row>
    <row r="236" spans="1:11">
      <c r="A236" s="5" t="s">
        <v>76</v>
      </c>
      <c r="B236" s="6">
        <v>44414</v>
      </c>
      <c r="C236" s="7">
        <v>0.7</v>
      </c>
      <c r="D236" s="5">
        <v>8.2899999999999991</v>
      </c>
      <c r="E236" s="5">
        <v>248.6</v>
      </c>
      <c r="F236" s="5">
        <v>257.7</v>
      </c>
      <c r="G236" s="6">
        <v>44414</v>
      </c>
      <c r="H236" s="5"/>
      <c r="I236" s="5"/>
      <c r="J236" s="5">
        <f t="shared" si="24"/>
        <v>9.0999999999999943</v>
      </c>
      <c r="K236" s="8" t="b">
        <f t="shared" si="25"/>
        <v>1</v>
      </c>
    </row>
    <row r="237" spans="1:11">
      <c r="A237" s="5" t="s">
        <v>76</v>
      </c>
      <c r="B237" s="6">
        <v>44415</v>
      </c>
      <c r="C237" s="7">
        <v>0.4</v>
      </c>
      <c r="D237" s="5">
        <v>14.5</v>
      </c>
      <c r="E237" s="5">
        <v>257.7</v>
      </c>
      <c r="F237" s="5">
        <v>273.10000000000002</v>
      </c>
      <c r="G237" s="6">
        <v>44415</v>
      </c>
      <c r="H237" s="5"/>
      <c r="I237" s="5"/>
      <c r="J237" s="5">
        <f t="shared" si="24"/>
        <v>15.400000000000034</v>
      </c>
      <c r="K237" s="8" t="b">
        <f t="shared" si="25"/>
        <v>1</v>
      </c>
    </row>
    <row r="238" spans="1:11">
      <c r="A238" s="5" t="s">
        <v>76</v>
      </c>
      <c r="B238" s="6">
        <v>44416</v>
      </c>
      <c r="C238" s="7">
        <v>0.4</v>
      </c>
      <c r="D238" s="5">
        <v>14.5</v>
      </c>
      <c r="E238" s="5">
        <v>273.10000000000002</v>
      </c>
      <c r="F238" s="5">
        <v>287.5</v>
      </c>
      <c r="G238" s="6">
        <v>44416</v>
      </c>
      <c r="H238" s="5"/>
      <c r="I238" s="5"/>
      <c r="J238" s="5">
        <f t="shared" si="24"/>
        <v>14.399999999999977</v>
      </c>
      <c r="K238" s="8" t="b">
        <f t="shared" si="25"/>
        <v>1</v>
      </c>
    </row>
    <row r="239" spans="1:11">
      <c r="A239" s="5" t="s">
        <v>78</v>
      </c>
      <c r="B239" s="6">
        <v>44416</v>
      </c>
      <c r="C239" s="7">
        <v>1</v>
      </c>
      <c r="D239" s="5">
        <v>5.8</v>
      </c>
      <c r="E239" s="5">
        <v>287.5</v>
      </c>
      <c r="F239" s="5">
        <v>297.5</v>
      </c>
      <c r="G239" s="6">
        <v>44416</v>
      </c>
      <c r="H239" s="5"/>
      <c r="I239" s="5"/>
      <c r="J239" s="5">
        <f t="shared" si="24"/>
        <v>10</v>
      </c>
      <c r="K239" s="8" t="b">
        <f t="shared" si="25"/>
        <v>1</v>
      </c>
    </row>
    <row r="240" spans="1:11">
      <c r="A240" s="5" t="s">
        <v>78</v>
      </c>
      <c r="B240" s="6">
        <v>44417</v>
      </c>
      <c r="C240" s="7">
        <v>1</v>
      </c>
      <c r="D240" s="5">
        <v>5.8</v>
      </c>
      <c r="E240" s="5">
        <v>297.5</v>
      </c>
      <c r="F240" s="5">
        <v>303.2</v>
      </c>
      <c r="G240" s="6">
        <v>44417</v>
      </c>
      <c r="H240" s="5"/>
      <c r="I240" s="5"/>
      <c r="J240" s="5">
        <f t="shared" si="24"/>
        <v>5.6999999999999886</v>
      </c>
      <c r="K240" s="8" t="b">
        <f t="shared" si="25"/>
        <v>1</v>
      </c>
    </row>
    <row r="241" spans="1:11">
      <c r="A241" s="5" t="s">
        <v>76</v>
      </c>
      <c r="B241" s="6">
        <v>44417</v>
      </c>
      <c r="C241" s="7">
        <v>0.7</v>
      </c>
      <c r="D241" s="5">
        <v>8.2899999999999991</v>
      </c>
      <c r="E241" s="5">
        <v>303.2</v>
      </c>
      <c r="F241" s="5">
        <v>311.3</v>
      </c>
      <c r="G241" s="6">
        <v>44417</v>
      </c>
      <c r="H241" s="5"/>
      <c r="I241" s="5"/>
      <c r="J241" s="5">
        <f t="shared" si="24"/>
        <v>8.1000000000000227</v>
      </c>
      <c r="K241" s="8" t="b">
        <f t="shared" si="25"/>
        <v>1</v>
      </c>
    </row>
    <row r="242" spans="1:11">
      <c r="A242" s="5" t="s">
        <v>78</v>
      </c>
      <c r="B242" s="6">
        <v>44418</v>
      </c>
      <c r="C242" s="7">
        <v>1</v>
      </c>
      <c r="D242" s="5">
        <v>5.8</v>
      </c>
      <c r="E242" s="5">
        <v>311.3</v>
      </c>
      <c r="F242" s="5">
        <v>318.3</v>
      </c>
      <c r="G242" s="6">
        <v>44418</v>
      </c>
      <c r="H242" s="5"/>
      <c r="I242" s="5"/>
      <c r="J242" s="5">
        <f t="shared" ref="J242:J250" si="26">F242-E242</f>
        <v>7</v>
      </c>
      <c r="K242" s="8" t="b">
        <f t="shared" ref="K242:K250" si="27">F242=E243</f>
        <v>1</v>
      </c>
    </row>
    <row r="243" spans="1:11">
      <c r="A243" s="5" t="s">
        <v>78</v>
      </c>
      <c r="B243" s="6">
        <v>44419</v>
      </c>
      <c r="C243" s="7">
        <v>1</v>
      </c>
      <c r="D243" s="5">
        <v>5.8</v>
      </c>
      <c r="E243" s="5">
        <v>318.3</v>
      </c>
      <c r="F243" s="5">
        <v>324.3</v>
      </c>
      <c r="G243" s="6">
        <v>44419</v>
      </c>
      <c r="H243" s="5"/>
      <c r="I243" s="5"/>
      <c r="J243" s="5">
        <f t="shared" si="26"/>
        <v>6</v>
      </c>
      <c r="K243" s="8" t="b">
        <f t="shared" si="27"/>
        <v>1</v>
      </c>
    </row>
    <row r="244" spans="1:11">
      <c r="A244" s="5" t="s">
        <v>76</v>
      </c>
      <c r="B244" s="6">
        <v>44420</v>
      </c>
      <c r="C244" s="7">
        <v>0.5</v>
      </c>
      <c r="D244" s="5">
        <v>11.6</v>
      </c>
      <c r="E244" s="5">
        <v>324.3</v>
      </c>
      <c r="F244" s="5">
        <v>336.3</v>
      </c>
      <c r="G244" s="6">
        <v>44420</v>
      </c>
      <c r="H244" s="5"/>
      <c r="I244" s="5"/>
      <c r="J244" s="5">
        <f t="shared" si="26"/>
        <v>12</v>
      </c>
      <c r="K244" s="8" t="b">
        <f t="shared" si="27"/>
        <v>1</v>
      </c>
    </row>
    <row r="245" spans="1:11">
      <c r="A245" s="5" t="s">
        <v>78</v>
      </c>
      <c r="B245" s="6">
        <v>44420</v>
      </c>
      <c r="C245" s="7">
        <v>1</v>
      </c>
      <c r="D245" s="5">
        <v>5.8</v>
      </c>
      <c r="E245" s="5">
        <v>336.3</v>
      </c>
      <c r="F245" s="5">
        <v>342.3</v>
      </c>
      <c r="G245" s="6">
        <v>44420</v>
      </c>
      <c r="H245" s="5"/>
      <c r="I245" s="5"/>
      <c r="J245" s="5">
        <f t="shared" si="26"/>
        <v>6</v>
      </c>
      <c r="K245" s="8" t="b">
        <f t="shared" si="27"/>
        <v>1</v>
      </c>
    </row>
    <row r="246" spans="1:11">
      <c r="A246" s="5" t="s">
        <v>76</v>
      </c>
      <c r="B246" s="6">
        <v>44421</v>
      </c>
      <c r="C246" s="7">
        <v>1</v>
      </c>
      <c r="D246" s="5">
        <v>5.8</v>
      </c>
      <c r="E246" s="5">
        <v>342.3</v>
      </c>
      <c r="F246" s="5">
        <v>348.3</v>
      </c>
      <c r="G246" s="6">
        <v>44421</v>
      </c>
      <c r="H246" s="5"/>
      <c r="I246" s="5"/>
      <c r="J246" s="5">
        <f t="shared" si="26"/>
        <v>6</v>
      </c>
      <c r="K246" s="8" t="b">
        <f t="shared" si="27"/>
        <v>1</v>
      </c>
    </row>
    <row r="247" spans="1:11">
      <c r="A247" s="5" t="s">
        <v>78</v>
      </c>
      <c r="B247" s="6">
        <v>44421</v>
      </c>
      <c r="C247" s="7">
        <v>1</v>
      </c>
      <c r="D247" s="5">
        <v>5.8</v>
      </c>
      <c r="E247" s="5">
        <v>348.3</v>
      </c>
      <c r="F247" s="5">
        <v>354.3</v>
      </c>
      <c r="G247" s="6">
        <v>44421</v>
      </c>
      <c r="H247" s="5"/>
      <c r="I247" s="5"/>
      <c r="J247" s="5">
        <f t="shared" si="26"/>
        <v>6</v>
      </c>
      <c r="K247" s="8" t="b">
        <f t="shared" si="27"/>
        <v>1</v>
      </c>
    </row>
    <row r="248" spans="1:11">
      <c r="A248" s="5" t="s">
        <v>76</v>
      </c>
      <c r="B248" s="6">
        <v>44422</v>
      </c>
      <c r="C248" s="7">
        <v>0.4</v>
      </c>
      <c r="D248" s="5">
        <v>14.5</v>
      </c>
      <c r="E248" s="5">
        <v>354.3</v>
      </c>
      <c r="F248" s="5">
        <v>368.5</v>
      </c>
      <c r="G248" s="6">
        <v>44422</v>
      </c>
      <c r="H248" s="5"/>
      <c r="I248" s="5"/>
      <c r="J248" s="5">
        <f t="shared" si="26"/>
        <v>14.199999999999989</v>
      </c>
      <c r="K248" s="8" t="b">
        <f t="shared" si="27"/>
        <v>1</v>
      </c>
    </row>
    <row r="249" spans="1:11">
      <c r="A249" s="5" t="s">
        <v>76</v>
      </c>
      <c r="B249" s="6">
        <v>44424</v>
      </c>
      <c r="C249" s="7">
        <v>1</v>
      </c>
      <c r="D249" s="5">
        <v>5.8</v>
      </c>
      <c r="E249" s="5">
        <v>368.5</v>
      </c>
      <c r="F249" s="5">
        <v>374.5</v>
      </c>
      <c r="G249" s="6">
        <v>44424</v>
      </c>
      <c r="H249" s="5"/>
      <c r="I249" s="5"/>
      <c r="J249" s="5">
        <f t="shared" si="26"/>
        <v>6</v>
      </c>
      <c r="K249" s="8" t="b">
        <f t="shared" si="27"/>
        <v>1</v>
      </c>
    </row>
    <row r="250" spans="1:11">
      <c r="A250" s="5" t="s">
        <v>79</v>
      </c>
      <c r="B250" s="6">
        <v>44425</v>
      </c>
      <c r="C250" s="7">
        <v>0.5</v>
      </c>
      <c r="D250" s="5">
        <v>11.6</v>
      </c>
      <c r="E250" s="5">
        <v>374.5</v>
      </c>
      <c r="F250" s="5">
        <v>386.2</v>
      </c>
      <c r="G250" s="6">
        <v>44425</v>
      </c>
      <c r="H250" s="5"/>
      <c r="I250" s="5"/>
      <c r="J250" s="5">
        <f t="shared" si="26"/>
        <v>11.699999999999989</v>
      </c>
      <c r="K250" s="8" t="b">
        <f t="shared" si="27"/>
        <v>1</v>
      </c>
    </row>
    <row r="251" spans="1:11">
      <c r="A251" s="5" t="s">
        <v>78</v>
      </c>
      <c r="B251" s="6">
        <v>44425</v>
      </c>
      <c r="C251" s="7">
        <v>0.7</v>
      </c>
      <c r="D251" s="5">
        <v>8.2899999999999991</v>
      </c>
      <c r="E251" s="5">
        <v>386.2</v>
      </c>
      <c r="F251" s="5">
        <v>394.2</v>
      </c>
      <c r="G251" s="6">
        <v>44425</v>
      </c>
      <c r="H251" s="5"/>
      <c r="I251" s="5"/>
      <c r="J251" s="5">
        <f t="shared" ref="J251:J261" si="28">F251-E251</f>
        <v>8</v>
      </c>
      <c r="K251" s="8" t="b">
        <f t="shared" ref="K251:K261" si="29">F251=E252</f>
        <v>1</v>
      </c>
    </row>
    <row r="252" spans="1:11">
      <c r="A252" s="5" t="s">
        <v>78</v>
      </c>
      <c r="B252" s="6">
        <v>44426</v>
      </c>
      <c r="C252" s="7">
        <v>1</v>
      </c>
      <c r="D252" s="5">
        <v>5.8</v>
      </c>
      <c r="E252" s="5">
        <v>394.2</v>
      </c>
      <c r="F252" s="5">
        <v>400.8</v>
      </c>
      <c r="G252" s="6">
        <v>44426</v>
      </c>
      <c r="H252" s="5"/>
      <c r="I252" s="5"/>
      <c r="J252" s="5">
        <f t="shared" si="28"/>
        <v>6.6000000000000227</v>
      </c>
      <c r="K252" s="8" t="b">
        <f t="shared" si="29"/>
        <v>1</v>
      </c>
    </row>
    <row r="253" spans="1:11">
      <c r="A253" s="5" t="s">
        <v>78</v>
      </c>
      <c r="B253" s="6">
        <v>44427</v>
      </c>
      <c r="C253" s="7">
        <v>1</v>
      </c>
      <c r="D253" s="5">
        <v>5.8</v>
      </c>
      <c r="E253" s="5">
        <v>400.8</v>
      </c>
      <c r="F253" s="5">
        <v>406.5</v>
      </c>
      <c r="G253" s="6">
        <v>44427</v>
      </c>
      <c r="H253" s="5"/>
      <c r="I253" s="5"/>
      <c r="J253" s="5">
        <f t="shared" si="28"/>
        <v>5.6999999999999886</v>
      </c>
      <c r="K253" s="8" t="b">
        <f t="shared" si="29"/>
        <v>1</v>
      </c>
    </row>
    <row r="254" spans="1:11">
      <c r="A254" s="5" t="s">
        <v>76</v>
      </c>
      <c r="B254" s="6">
        <v>44427</v>
      </c>
      <c r="C254" s="7">
        <v>0.4</v>
      </c>
      <c r="D254" s="5">
        <v>14.5</v>
      </c>
      <c r="E254" s="5">
        <v>406.5</v>
      </c>
      <c r="F254" s="5">
        <v>420.5</v>
      </c>
      <c r="G254" s="6">
        <v>44427</v>
      </c>
      <c r="H254" s="5"/>
      <c r="I254" s="5"/>
      <c r="J254" s="5">
        <f t="shared" si="28"/>
        <v>14</v>
      </c>
      <c r="K254" s="8" t="b">
        <f t="shared" si="29"/>
        <v>1</v>
      </c>
    </row>
    <row r="255" spans="1:11">
      <c r="A255" s="5" t="s">
        <v>78</v>
      </c>
      <c r="B255" s="6">
        <v>44428</v>
      </c>
      <c r="C255" s="7">
        <v>1</v>
      </c>
      <c r="D255" s="5">
        <v>5.8</v>
      </c>
      <c r="E255" s="5">
        <v>420.5</v>
      </c>
      <c r="F255" s="5">
        <v>427.5</v>
      </c>
      <c r="G255" s="6">
        <v>44428</v>
      </c>
      <c r="H255" s="5"/>
      <c r="I255" s="5"/>
      <c r="J255" s="5">
        <f t="shared" si="28"/>
        <v>7</v>
      </c>
      <c r="K255" s="8" t="b">
        <f t="shared" si="29"/>
        <v>1</v>
      </c>
    </row>
    <row r="256" spans="1:11">
      <c r="A256" s="5" t="s">
        <v>76</v>
      </c>
      <c r="B256" s="6">
        <v>44429</v>
      </c>
      <c r="C256" s="7">
        <v>0.4</v>
      </c>
      <c r="D256" s="5">
        <v>14.5</v>
      </c>
      <c r="E256" s="5">
        <v>427.5</v>
      </c>
      <c r="F256" s="5">
        <v>441</v>
      </c>
      <c r="G256" s="6">
        <v>44429</v>
      </c>
      <c r="H256" s="5"/>
      <c r="I256" s="5"/>
      <c r="J256" s="5">
        <f t="shared" si="28"/>
        <v>13.5</v>
      </c>
      <c r="K256" s="8" t="b">
        <f t="shared" si="29"/>
        <v>1</v>
      </c>
    </row>
    <row r="257" spans="1:11">
      <c r="A257" s="5" t="s">
        <v>80</v>
      </c>
      <c r="B257" s="6">
        <v>44429</v>
      </c>
      <c r="C257" s="7">
        <v>1</v>
      </c>
      <c r="D257" s="5">
        <v>5.8</v>
      </c>
      <c r="E257" s="5">
        <v>441</v>
      </c>
      <c r="F257" s="5">
        <v>447.5</v>
      </c>
      <c r="G257" s="6">
        <v>44429</v>
      </c>
      <c r="H257" s="5"/>
      <c r="I257" s="5"/>
      <c r="J257" s="5">
        <f t="shared" si="28"/>
        <v>6.5</v>
      </c>
      <c r="K257" s="8" t="b">
        <f t="shared" si="29"/>
        <v>1</v>
      </c>
    </row>
    <row r="258" spans="1:11">
      <c r="A258" s="5" t="s">
        <v>78</v>
      </c>
      <c r="B258" s="6">
        <v>44430</v>
      </c>
      <c r="C258" s="7">
        <v>1</v>
      </c>
      <c r="D258" s="5">
        <v>5.8</v>
      </c>
      <c r="E258" s="5">
        <v>447.5</v>
      </c>
      <c r="F258" s="5">
        <v>453.4</v>
      </c>
      <c r="G258" s="6">
        <v>44430</v>
      </c>
      <c r="H258" s="5"/>
      <c r="I258" s="5"/>
      <c r="J258" s="5">
        <f t="shared" si="28"/>
        <v>5.8999999999999773</v>
      </c>
      <c r="K258" s="8" t="b">
        <f t="shared" si="29"/>
        <v>1</v>
      </c>
    </row>
    <row r="259" spans="1:11">
      <c r="A259" s="5" t="s">
        <v>76</v>
      </c>
      <c r="B259" s="6">
        <v>44431</v>
      </c>
      <c r="C259" s="7">
        <v>0.4</v>
      </c>
      <c r="D259" s="5">
        <v>14.5</v>
      </c>
      <c r="E259" s="5">
        <v>453.4</v>
      </c>
      <c r="F259" s="5">
        <v>467.9</v>
      </c>
      <c r="G259" s="6">
        <v>44431</v>
      </c>
      <c r="H259" s="5"/>
      <c r="I259" s="5"/>
      <c r="J259" s="5">
        <f t="shared" si="28"/>
        <v>14.5</v>
      </c>
      <c r="K259" s="8" t="b">
        <f t="shared" si="29"/>
        <v>1</v>
      </c>
    </row>
    <row r="260" spans="1:11">
      <c r="A260" s="5" t="s">
        <v>80</v>
      </c>
      <c r="B260" s="6">
        <v>44432</v>
      </c>
      <c r="C260" s="7">
        <v>1</v>
      </c>
      <c r="D260" s="5">
        <v>5.8</v>
      </c>
      <c r="E260" s="5">
        <v>467.9</v>
      </c>
      <c r="F260" s="5">
        <v>479.7</v>
      </c>
      <c r="G260" s="6">
        <v>44432</v>
      </c>
      <c r="H260" s="5"/>
      <c r="I260" s="5"/>
      <c r="J260" s="5">
        <f t="shared" si="28"/>
        <v>11.800000000000011</v>
      </c>
      <c r="K260" s="8" t="b">
        <f t="shared" si="29"/>
        <v>1</v>
      </c>
    </row>
    <row r="261" spans="1:11">
      <c r="A261" s="5" t="s">
        <v>76</v>
      </c>
      <c r="B261" s="6">
        <v>44433</v>
      </c>
      <c r="C261" s="7">
        <v>0.4</v>
      </c>
      <c r="D261" s="5">
        <v>14.5</v>
      </c>
      <c r="E261" s="5">
        <v>479.7</v>
      </c>
      <c r="F261" s="5">
        <v>488.4</v>
      </c>
      <c r="G261" s="6">
        <v>44433</v>
      </c>
      <c r="H261" s="5"/>
      <c r="I261" s="5"/>
      <c r="J261" s="5">
        <f t="shared" si="28"/>
        <v>8.6999999999999886</v>
      </c>
      <c r="K261" s="8" t="b">
        <f t="shared" si="29"/>
        <v>1</v>
      </c>
    </row>
    <row r="262" spans="1:11">
      <c r="A262" s="5" t="s">
        <v>78</v>
      </c>
      <c r="B262" s="6">
        <v>44434</v>
      </c>
      <c r="C262" s="7">
        <v>1</v>
      </c>
      <c r="D262" s="5">
        <v>5.8</v>
      </c>
      <c r="E262" s="5">
        <v>488.4</v>
      </c>
      <c r="F262" s="5">
        <v>494.2</v>
      </c>
      <c r="G262" s="6">
        <v>44434</v>
      </c>
      <c r="H262" s="5"/>
      <c r="I262" s="5"/>
      <c r="J262" s="5">
        <f t="shared" ref="J262:J267" si="30">F262-E262</f>
        <v>5.8000000000000114</v>
      </c>
      <c r="K262" s="8" t="b">
        <f t="shared" ref="K262:K267" si="31">F262=E263</f>
        <v>1</v>
      </c>
    </row>
    <row r="263" spans="1:11">
      <c r="A263" s="5" t="s">
        <v>76</v>
      </c>
      <c r="B263" s="6">
        <v>44435</v>
      </c>
      <c r="C263" s="7">
        <v>0.4</v>
      </c>
      <c r="D263" s="5">
        <v>14.5</v>
      </c>
      <c r="E263" s="5">
        <v>494.2</v>
      </c>
      <c r="F263" s="5">
        <v>508.6</v>
      </c>
      <c r="G263" s="6">
        <v>44435</v>
      </c>
      <c r="H263" s="5"/>
      <c r="I263" s="5"/>
      <c r="J263" s="5">
        <f t="shared" si="30"/>
        <v>14.400000000000034</v>
      </c>
      <c r="K263" s="8" t="b">
        <f t="shared" si="31"/>
        <v>1</v>
      </c>
    </row>
    <row r="264" spans="1:11">
      <c r="A264" s="5" t="s">
        <v>78</v>
      </c>
      <c r="B264" s="6">
        <v>44436</v>
      </c>
      <c r="C264" s="7">
        <v>0.7</v>
      </c>
      <c r="D264" s="5">
        <v>8.2899999999999991</v>
      </c>
      <c r="E264" s="5">
        <v>508.6</v>
      </c>
      <c r="F264" s="5">
        <v>517.29999999999995</v>
      </c>
      <c r="G264" s="6">
        <v>44436</v>
      </c>
      <c r="H264" s="5"/>
      <c r="I264" s="5"/>
      <c r="J264" s="5">
        <f t="shared" si="30"/>
        <v>8.6999999999999318</v>
      </c>
      <c r="K264" s="8" t="b">
        <f t="shared" si="31"/>
        <v>1</v>
      </c>
    </row>
    <row r="265" spans="1:11">
      <c r="A265" s="5" t="s">
        <v>76</v>
      </c>
      <c r="B265" s="6">
        <v>44437</v>
      </c>
      <c r="C265" s="7">
        <v>0.4</v>
      </c>
      <c r="D265" s="5">
        <v>14.5</v>
      </c>
      <c r="E265" s="5">
        <v>517.29999999999995</v>
      </c>
      <c r="F265" s="5">
        <v>531.5</v>
      </c>
      <c r="G265" s="6">
        <v>44437</v>
      </c>
      <c r="H265" s="5"/>
      <c r="I265" s="5"/>
      <c r="J265" s="5">
        <f t="shared" si="30"/>
        <v>14.200000000000045</v>
      </c>
      <c r="K265" s="8" t="b">
        <f t="shared" si="31"/>
        <v>1</v>
      </c>
    </row>
    <row r="266" spans="1:11">
      <c r="A266" s="5" t="s">
        <v>81</v>
      </c>
      <c r="B266" s="6">
        <v>44438</v>
      </c>
      <c r="C266" s="7">
        <v>0.7</v>
      </c>
      <c r="D266" s="5">
        <v>8.2899999999999991</v>
      </c>
      <c r="E266" s="5">
        <v>531.5</v>
      </c>
      <c r="F266" s="5">
        <v>540.4</v>
      </c>
      <c r="G266" s="6">
        <v>44438</v>
      </c>
      <c r="H266" s="5"/>
      <c r="I266" s="5"/>
      <c r="J266" s="5">
        <f t="shared" si="30"/>
        <v>8.8999999999999773</v>
      </c>
      <c r="K266" s="8" t="b">
        <f t="shared" si="31"/>
        <v>1</v>
      </c>
    </row>
    <row r="267" spans="1:11">
      <c r="A267" s="5" t="s">
        <v>82</v>
      </c>
      <c r="B267" s="6">
        <v>44439</v>
      </c>
      <c r="C267" s="7">
        <v>0.4</v>
      </c>
      <c r="D267" s="5">
        <v>14.5</v>
      </c>
      <c r="E267" s="5">
        <v>540.4</v>
      </c>
      <c r="F267" s="5">
        <v>554.70000000000005</v>
      </c>
      <c r="G267" s="6">
        <v>44439</v>
      </c>
      <c r="H267" s="5"/>
      <c r="I267" s="5"/>
      <c r="J267" s="5">
        <f t="shared" si="30"/>
        <v>14.300000000000068</v>
      </c>
      <c r="K267" s="8" t="b">
        <f t="shared" si="31"/>
        <v>1</v>
      </c>
    </row>
    <row r="268" spans="1:11">
      <c r="A268" s="5" t="s">
        <v>81</v>
      </c>
      <c r="B268" s="6">
        <v>44440</v>
      </c>
      <c r="C268" s="7">
        <v>0.7</v>
      </c>
      <c r="D268" s="5">
        <v>8.2899999999999991</v>
      </c>
      <c r="E268" s="5">
        <v>554.70000000000005</v>
      </c>
      <c r="F268" s="5">
        <v>562.29999999999995</v>
      </c>
      <c r="G268" s="6">
        <v>44440</v>
      </c>
      <c r="H268" s="5"/>
      <c r="I268" s="5"/>
      <c r="J268" s="5">
        <f t="shared" ref="J268:J274" si="32">F268-E268</f>
        <v>7.5999999999999091</v>
      </c>
      <c r="K268" s="8" t="b">
        <f>F268=E270</f>
        <v>0</v>
      </c>
    </row>
    <row r="269" spans="1:11">
      <c r="A269" s="5" t="s">
        <v>81</v>
      </c>
      <c r="B269" s="6">
        <v>44441</v>
      </c>
      <c r="C269" s="7">
        <v>1</v>
      </c>
      <c r="D269" s="5">
        <v>5.8</v>
      </c>
      <c r="E269" s="5">
        <v>562.29999999999995</v>
      </c>
      <c r="F269" s="5">
        <v>568.29999999999995</v>
      </c>
      <c r="G269" s="6">
        <v>44441</v>
      </c>
      <c r="H269" s="5"/>
      <c r="I269" s="5"/>
      <c r="J269" s="5">
        <f t="shared" si="32"/>
        <v>6</v>
      </c>
      <c r="K269" s="8"/>
    </row>
    <row r="270" spans="1:11">
      <c r="A270" s="5" t="s">
        <v>82</v>
      </c>
      <c r="B270" s="6">
        <v>44441</v>
      </c>
      <c r="C270" s="7">
        <v>0.4</v>
      </c>
      <c r="D270" s="5">
        <v>14.5</v>
      </c>
      <c r="E270" s="5">
        <v>568.29999999999995</v>
      </c>
      <c r="F270" s="5">
        <v>582.6</v>
      </c>
      <c r="G270" s="6">
        <v>44441</v>
      </c>
      <c r="H270" s="5"/>
      <c r="I270" s="5"/>
      <c r="J270" s="5">
        <f t="shared" si="32"/>
        <v>14.300000000000068</v>
      </c>
      <c r="K270" s="8" t="b">
        <f>F270=E271</f>
        <v>1</v>
      </c>
    </row>
    <row r="271" spans="1:11">
      <c r="A271" s="5" t="s">
        <v>81</v>
      </c>
      <c r="B271" s="6">
        <v>44442</v>
      </c>
      <c r="C271" s="7">
        <v>0.7</v>
      </c>
      <c r="D271" s="5">
        <v>8.2899999999999991</v>
      </c>
      <c r="E271" s="5">
        <v>582.6</v>
      </c>
      <c r="F271" s="5">
        <v>590.9</v>
      </c>
      <c r="G271" s="6">
        <v>44442</v>
      </c>
      <c r="H271" s="5"/>
      <c r="I271" s="5"/>
      <c r="J271" s="5">
        <f t="shared" si="32"/>
        <v>8.2999999999999545</v>
      </c>
      <c r="K271" s="8" t="b">
        <f>F271=E272</f>
        <v>1</v>
      </c>
    </row>
    <row r="272" spans="1:11">
      <c r="A272" s="5" t="s">
        <v>82</v>
      </c>
      <c r="B272" s="6">
        <v>44443</v>
      </c>
      <c r="C272" s="7">
        <v>0.4</v>
      </c>
      <c r="D272" s="5">
        <v>14.5</v>
      </c>
      <c r="E272" s="5">
        <v>590.9</v>
      </c>
      <c r="F272" s="5">
        <v>605.1</v>
      </c>
      <c r="G272" s="6">
        <v>44443</v>
      </c>
      <c r="H272" s="5"/>
      <c r="I272" s="5"/>
      <c r="J272" s="5">
        <f t="shared" si="32"/>
        <v>14.200000000000045</v>
      </c>
      <c r="K272" s="8" t="b">
        <f>F272=E273</f>
        <v>1</v>
      </c>
    </row>
    <row r="273" spans="1:11">
      <c r="A273" s="5" t="s">
        <v>81</v>
      </c>
      <c r="B273" s="6">
        <v>44444</v>
      </c>
      <c r="C273" s="7">
        <v>0.6</v>
      </c>
      <c r="D273" s="5">
        <v>9.67</v>
      </c>
      <c r="E273" s="5">
        <v>605.1</v>
      </c>
      <c r="F273" s="5">
        <v>615</v>
      </c>
      <c r="G273" s="6">
        <v>44444</v>
      </c>
      <c r="H273" s="5"/>
      <c r="I273" s="5"/>
      <c r="J273" s="5">
        <f t="shared" si="32"/>
        <v>9.8999999999999773</v>
      </c>
      <c r="K273" s="8" t="b">
        <f>F273=E274</f>
        <v>1</v>
      </c>
    </row>
    <row r="274" spans="1:11">
      <c r="A274" s="5" t="s">
        <v>82</v>
      </c>
      <c r="B274" s="6">
        <v>44445</v>
      </c>
      <c r="C274" s="7">
        <v>0.4</v>
      </c>
      <c r="D274" s="5">
        <v>14.5</v>
      </c>
      <c r="E274" s="5">
        <v>615</v>
      </c>
      <c r="F274" s="5">
        <v>629.70000000000005</v>
      </c>
      <c r="G274" s="6">
        <v>44445</v>
      </c>
      <c r="H274" s="5"/>
      <c r="I274" s="5"/>
      <c r="J274" s="5">
        <f t="shared" si="32"/>
        <v>14.700000000000045</v>
      </c>
      <c r="K274" s="8" t="b">
        <f>F274=E275</f>
        <v>1</v>
      </c>
    </row>
    <row r="275" spans="1:11">
      <c r="A275" s="5" t="s">
        <v>81</v>
      </c>
      <c r="B275" s="6">
        <v>44446</v>
      </c>
      <c r="C275" s="7">
        <v>0.6</v>
      </c>
      <c r="D275" s="5">
        <v>9.67</v>
      </c>
      <c r="E275" s="5">
        <v>629.70000000000005</v>
      </c>
      <c r="F275" s="5">
        <v>639.4</v>
      </c>
      <c r="G275" s="6">
        <v>44446</v>
      </c>
      <c r="H275" s="5"/>
      <c r="I275" s="5"/>
      <c r="J275" s="5">
        <f t="shared" ref="J275:J293" si="33">F275-E275</f>
        <v>9.6999999999999318</v>
      </c>
      <c r="K275" s="8" t="b">
        <f t="shared" ref="K275:K293" si="34">F275=E276</f>
        <v>1</v>
      </c>
    </row>
    <row r="276" spans="1:11">
      <c r="A276" s="5" t="s">
        <v>82</v>
      </c>
      <c r="B276" s="6">
        <v>44447</v>
      </c>
      <c r="C276" s="7">
        <v>0.4</v>
      </c>
      <c r="D276" s="5">
        <v>14.5</v>
      </c>
      <c r="E276" s="5">
        <v>639.4</v>
      </c>
      <c r="F276" s="5">
        <v>653.70000000000005</v>
      </c>
      <c r="G276" s="6">
        <v>44447</v>
      </c>
      <c r="H276" s="5"/>
      <c r="I276" s="5"/>
      <c r="J276" s="5">
        <f t="shared" si="33"/>
        <v>14.300000000000068</v>
      </c>
      <c r="K276" s="8" t="b">
        <f t="shared" si="34"/>
        <v>0</v>
      </c>
    </row>
    <row r="277" spans="1:11">
      <c r="A277" s="5" t="s">
        <v>81</v>
      </c>
      <c r="B277" s="6">
        <v>44448</v>
      </c>
      <c r="C277" s="7">
        <v>1</v>
      </c>
      <c r="D277" s="5">
        <v>5.8</v>
      </c>
      <c r="E277" s="5">
        <v>653.9</v>
      </c>
      <c r="F277" s="5">
        <v>659.6</v>
      </c>
      <c r="G277" s="6">
        <v>44448</v>
      </c>
      <c r="H277" s="5"/>
      <c r="I277" s="5"/>
      <c r="J277" s="5">
        <f t="shared" si="33"/>
        <v>5.7000000000000455</v>
      </c>
      <c r="K277" s="8" t="b">
        <f t="shared" si="34"/>
        <v>1</v>
      </c>
    </row>
    <row r="278" spans="1:11">
      <c r="A278" s="5" t="s">
        <v>81</v>
      </c>
      <c r="B278" s="6">
        <v>44449</v>
      </c>
      <c r="C278" s="7" t="s">
        <v>83</v>
      </c>
      <c r="D278" s="5">
        <v>22.79</v>
      </c>
      <c r="E278" s="5">
        <v>659.6</v>
      </c>
      <c r="F278" s="5">
        <v>684</v>
      </c>
      <c r="G278" s="6">
        <v>44449</v>
      </c>
      <c r="H278" s="5"/>
      <c r="I278" s="5"/>
      <c r="J278" s="5">
        <f t="shared" si="33"/>
        <v>24.399999999999977</v>
      </c>
      <c r="K278" s="8" t="b">
        <f t="shared" si="34"/>
        <v>1</v>
      </c>
    </row>
    <row r="279" spans="1:11">
      <c r="A279" s="5" t="s">
        <v>82</v>
      </c>
      <c r="B279" s="6">
        <v>44450</v>
      </c>
      <c r="C279" s="7">
        <v>0.4</v>
      </c>
      <c r="D279" s="5">
        <v>14.5</v>
      </c>
      <c r="E279" s="5">
        <v>684</v>
      </c>
      <c r="F279" s="5">
        <v>698.6</v>
      </c>
      <c r="G279" s="6">
        <v>44451</v>
      </c>
      <c r="H279" s="5"/>
      <c r="I279" s="5"/>
      <c r="J279" s="5">
        <f t="shared" si="33"/>
        <v>14.600000000000023</v>
      </c>
      <c r="K279" s="8" t="b">
        <f t="shared" si="34"/>
        <v>1</v>
      </c>
    </row>
    <row r="280" spans="1:11">
      <c r="A280" s="5" t="s">
        <v>81</v>
      </c>
      <c r="B280" s="6">
        <v>44452</v>
      </c>
      <c r="C280" s="7">
        <v>0.4</v>
      </c>
      <c r="D280" s="5">
        <v>14.5</v>
      </c>
      <c r="E280" s="5">
        <v>698.6</v>
      </c>
      <c r="F280" s="5">
        <v>713.1</v>
      </c>
      <c r="G280" s="6">
        <v>44452</v>
      </c>
      <c r="H280" s="5"/>
      <c r="I280" s="5"/>
      <c r="J280" s="5">
        <f t="shared" si="33"/>
        <v>14.5</v>
      </c>
      <c r="K280" s="8" t="b">
        <f t="shared" si="34"/>
        <v>1</v>
      </c>
    </row>
    <row r="281" spans="1:11">
      <c r="A281" s="5" t="s">
        <v>84</v>
      </c>
      <c r="B281" s="6">
        <v>44453</v>
      </c>
      <c r="C281" s="7">
        <v>0.4</v>
      </c>
      <c r="D281" s="5">
        <v>14.5</v>
      </c>
      <c r="E281" s="5">
        <v>713.1</v>
      </c>
      <c r="F281" s="5">
        <v>727.8</v>
      </c>
      <c r="G281" s="6">
        <v>44453</v>
      </c>
      <c r="H281" s="5"/>
      <c r="I281" s="5"/>
      <c r="J281" s="5">
        <f t="shared" si="33"/>
        <v>14.699999999999932</v>
      </c>
      <c r="K281" s="8" t="b">
        <f t="shared" si="34"/>
        <v>1</v>
      </c>
    </row>
    <row r="282" spans="1:11">
      <c r="A282" s="5" t="s">
        <v>81</v>
      </c>
      <c r="B282" s="6">
        <v>44454</v>
      </c>
      <c r="C282" s="7">
        <v>0.4</v>
      </c>
      <c r="D282" s="5">
        <v>14.5</v>
      </c>
      <c r="E282" s="5">
        <v>727.8</v>
      </c>
      <c r="F282" s="5">
        <v>742.5</v>
      </c>
      <c r="G282" s="6">
        <v>44454</v>
      </c>
      <c r="H282" s="5"/>
      <c r="I282" s="5"/>
      <c r="J282" s="5">
        <f t="shared" si="33"/>
        <v>14.700000000000045</v>
      </c>
      <c r="K282" s="8" t="b">
        <f t="shared" si="34"/>
        <v>1</v>
      </c>
    </row>
    <row r="283" spans="1:11">
      <c r="A283" s="5" t="s">
        <v>82</v>
      </c>
      <c r="B283" s="6">
        <v>44455</v>
      </c>
      <c r="C283" s="7">
        <v>0.4</v>
      </c>
      <c r="D283" s="5">
        <v>14.5</v>
      </c>
      <c r="E283" s="5">
        <v>742.5</v>
      </c>
      <c r="F283" s="5">
        <v>757</v>
      </c>
      <c r="G283" s="6">
        <v>44455</v>
      </c>
      <c r="H283" s="5"/>
      <c r="I283" s="5"/>
      <c r="J283" s="5">
        <f t="shared" si="33"/>
        <v>14.5</v>
      </c>
      <c r="K283" s="8" t="b">
        <f t="shared" si="34"/>
        <v>1</v>
      </c>
    </row>
    <row r="284" spans="1:11">
      <c r="A284" s="5" t="s">
        <v>81</v>
      </c>
      <c r="B284" s="6">
        <v>44456</v>
      </c>
      <c r="C284" s="7">
        <v>0.4</v>
      </c>
      <c r="D284" s="5">
        <v>14.5</v>
      </c>
      <c r="E284" s="5">
        <v>757</v>
      </c>
      <c r="F284" s="5">
        <v>771.7</v>
      </c>
      <c r="G284" s="6">
        <v>44456</v>
      </c>
      <c r="H284" s="5"/>
      <c r="I284" s="5"/>
      <c r="J284" s="5">
        <f t="shared" si="33"/>
        <v>14.700000000000045</v>
      </c>
      <c r="K284" s="8" t="b">
        <f t="shared" si="34"/>
        <v>1</v>
      </c>
    </row>
    <row r="285" spans="1:11">
      <c r="A285" s="5" t="s">
        <v>82</v>
      </c>
      <c r="B285" s="6">
        <v>44457</v>
      </c>
      <c r="C285" s="7">
        <v>0.4</v>
      </c>
      <c r="D285" s="5">
        <v>14.5</v>
      </c>
      <c r="E285" s="5">
        <v>771.7</v>
      </c>
      <c r="F285" s="5">
        <v>786</v>
      </c>
      <c r="G285" s="6">
        <v>44457</v>
      </c>
      <c r="H285" s="5"/>
      <c r="I285" s="5"/>
      <c r="J285" s="5">
        <f t="shared" si="33"/>
        <v>14.299999999999955</v>
      </c>
      <c r="K285" s="8" t="b">
        <f t="shared" si="34"/>
        <v>1</v>
      </c>
    </row>
    <row r="286" spans="1:11">
      <c r="A286" s="5" t="s">
        <v>81</v>
      </c>
      <c r="B286" s="6">
        <v>44458</v>
      </c>
      <c r="C286" s="7">
        <v>0.4</v>
      </c>
      <c r="D286" s="5">
        <v>14.5</v>
      </c>
      <c r="E286" s="5">
        <v>786</v>
      </c>
      <c r="F286" s="5">
        <v>800.4</v>
      </c>
      <c r="G286" s="6">
        <v>44458</v>
      </c>
      <c r="H286" s="5"/>
      <c r="I286" s="5"/>
      <c r="J286" s="5">
        <f t="shared" si="33"/>
        <v>14.399999999999977</v>
      </c>
      <c r="K286" s="8" t="b">
        <f t="shared" si="34"/>
        <v>1</v>
      </c>
    </row>
    <row r="287" spans="1:11">
      <c r="A287" s="5" t="s">
        <v>82</v>
      </c>
      <c r="B287" s="6">
        <v>44459</v>
      </c>
      <c r="C287" s="7">
        <v>0.4</v>
      </c>
      <c r="D287" s="5">
        <v>14.5</v>
      </c>
      <c r="E287" s="5">
        <v>800.4</v>
      </c>
      <c r="F287" s="5">
        <v>812.8</v>
      </c>
      <c r="G287" s="6">
        <v>44459</v>
      </c>
      <c r="H287" s="5"/>
      <c r="I287" s="5"/>
      <c r="J287" s="5">
        <f t="shared" si="33"/>
        <v>12.399999999999977</v>
      </c>
      <c r="K287" s="8" t="b">
        <f t="shared" si="34"/>
        <v>1</v>
      </c>
    </row>
    <row r="288" spans="1:11">
      <c r="A288" s="5" t="s">
        <v>81</v>
      </c>
      <c r="B288" s="6">
        <v>44459</v>
      </c>
      <c r="C288" s="7">
        <v>1</v>
      </c>
      <c r="D288" s="5">
        <v>5.8</v>
      </c>
      <c r="E288" s="5">
        <v>812.8</v>
      </c>
      <c r="F288" s="5">
        <v>818.8</v>
      </c>
      <c r="G288" s="6">
        <v>44459</v>
      </c>
      <c r="H288" s="5"/>
      <c r="I288" s="5"/>
      <c r="J288" s="5">
        <f t="shared" si="33"/>
        <v>6</v>
      </c>
      <c r="K288" s="8" t="b">
        <f t="shared" si="34"/>
        <v>1</v>
      </c>
    </row>
    <row r="289" spans="1:11">
      <c r="A289" s="5" t="s">
        <v>81</v>
      </c>
      <c r="B289" s="6">
        <v>44460</v>
      </c>
      <c r="C289" s="7">
        <v>1</v>
      </c>
      <c r="D289" s="5">
        <v>5.8</v>
      </c>
      <c r="E289" s="5">
        <v>818.8</v>
      </c>
      <c r="F289" s="5">
        <v>828.3</v>
      </c>
      <c r="G289" s="6">
        <v>44460</v>
      </c>
      <c r="H289" s="5"/>
      <c r="I289" s="5"/>
      <c r="J289" s="5">
        <f t="shared" si="33"/>
        <v>9.5</v>
      </c>
      <c r="K289" s="8" t="b">
        <f t="shared" si="34"/>
        <v>1</v>
      </c>
    </row>
    <row r="290" spans="1:11">
      <c r="A290" s="5" t="s">
        <v>82</v>
      </c>
      <c r="B290" s="6">
        <v>44461</v>
      </c>
      <c r="C290" s="7">
        <v>0.4</v>
      </c>
      <c r="D290" s="5">
        <v>14.5</v>
      </c>
      <c r="E290" s="5">
        <v>828.3</v>
      </c>
      <c r="F290" s="5">
        <v>842.8</v>
      </c>
      <c r="G290" s="6">
        <v>44461</v>
      </c>
      <c r="H290" s="5"/>
      <c r="I290" s="5"/>
      <c r="J290" s="5">
        <f t="shared" si="33"/>
        <v>14.5</v>
      </c>
      <c r="K290" s="8" t="b">
        <f t="shared" si="34"/>
        <v>1</v>
      </c>
    </row>
    <row r="291" spans="1:11">
      <c r="A291" s="5" t="s">
        <v>81</v>
      </c>
      <c r="B291" s="6">
        <v>44462</v>
      </c>
      <c r="C291" s="7">
        <v>0.4</v>
      </c>
      <c r="D291" s="5">
        <v>14.5</v>
      </c>
      <c r="E291" s="5">
        <v>842.8</v>
      </c>
      <c r="F291" s="5">
        <v>857.3</v>
      </c>
      <c r="G291" s="6">
        <v>44462</v>
      </c>
      <c r="H291" s="5"/>
      <c r="I291" s="5"/>
      <c r="J291" s="5">
        <f t="shared" si="33"/>
        <v>14.5</v>
      </c>
      <c r="K291" s="8" t="b">
        <f t="shared" si="34"/>
        <v>1</v>
      </c>
    </row>
    <row r="292" spans="1:11">
      <c r="A292" s="5" t="s">
        <v>82</v>
      </c>
      <c r="B292" s="6">
        <v>44463</v>
      </c>
      <c r="C292" s="7">
        <v>0.4</v>
      </c>
      <c r="D292" s="5">
        <v>14.5</v>
      </c>
      <c r="E292" s="5">
        <v>857.3</v>
      </c>
      <c r="F292" s="5">
        <v>871.8</v>
      </c>
      <c r="G292" s="6">
        <v>44463</v>
      </c>
      <c r="H292" s="5"/>
      <c r="I292" s="5"/>
      <c r="J292" s="5">
        <f t="shared" si="33"/>
        <v>14.5</v>
      </c>
      <c r="K292" s="8" t="b">
        <f t="shared" si="34"/>
        <v>1</v>
      </c>
    </row>
    <row r="293" spans="1:11">
      <c r="A293" s="5" t="s">
        <v>85</v>
      </c>
      <c r="B293" s="6">
        <v>44464</v>
      </c>
      <c r="C293" s="7">
        <v>0.4</v>
      </c>
      <c r="D293" s="5">
        <v>14.5</v>
      </c>
      <c r="E293" s="5">
        <v>871.8</v>
      </c>
      <c r="F293" s="5">
        <v>886.8</v>
      </c>
      <c r="G293" s="6">
        <v>44464</v>
      </c>
      <c r="H293" s="5"/>
      <c r="I293" s="5"/>
      <c r="J293" s="5">
        <f t="shared" si="33"/>
        <v>15</v>
      </c>
      <c r="K293" s="8" t="b">
        <f t="shared" si="34"/>
        <v>1</v>
      </c>
    </row>
    <row r="294" spans="1:11">
      <c r="A294" s="5" t="s">
        <v>82</v>
      </c>
      <c r="B294" s="6">
        <v>44465</v>
      </c>
      <c r="C294" s="7">
        <v>0.4</v>
      </c>
      <c r="D294" s="5">
        <v>14.5</v>
      </c>
      <c r="E294" s="5">
        <v>886.8</v>
      </c>
      <c r="F294" s="5">
        <v>900.7</v>
      </c>
      <c r="G294" s="6">
        <v>44465</v>
      </c>
      <c r="H294" s="5"/>
      <c r="I294" s="5"/>
      <c r="J294" s="5">
        <f t="shared" ref="J294:J303" si="35">F294-E294</f>
        <v>13.900000000000091</v>
      </c>
      <c r="K294" s="8" t="b">
        <f t="shared" ref="K294:K303" si="36">F294=E295</f>
        <v>1</v>
      </c>
    </row>
    <row r="295" spans="1:11">
      <c r="A295" s="5" t="s">
        <v>81</v>
      </c>
      <c r="B295" s="6">
        <v>44466</v>
      </c>
      <c r="C295" s="7">
        <v>0.4</v>
      </c>
      <c r="D295" s="5">
        <v>14.5</v>
      </c>
      <c r="E295" s="5">
        <v>900.7</v>
      </c>
      <c r="F295" s="5">
        <v>906.8</v>
      </c>
      <c r="G295" s="6">
        <v>44466</v>
      </c>
      <c r="H295" s="5"/>
      <c r="I295" s="5"/>
      <c r="J295" s="5">
        <f t="shared" si="35"/>
        <v>6.0999999999999091</v>
      </c>
      <c r="K295" s="8" t="b">
        <f t="shared" si="36"/>
        <v>1</v>
      </c>
    </row>
    <row r="296" spans="1:11">
      <c r="A296" s="5" t="s">
        <v>82</v>
      </c>
      <c r="B296" s="6">
        <v>44467</v>
      </c>
      <c r="C296" s="7">
        <v>0.4</v>
      </c>
      <c r="D296" s="5">
        <v>14.5</v>
      </c>
      <c r="E296" s="5">
        <v>906.8</v>
      </c>
      <c r="F296" s="5">
        <v>918.3</v>
      </c>
      <c r="G296" s="6">
        <v>44467</v>
      </c>
      <c r="H296" s="5"/>
      <c r="I296" s="5"/>
      <c r="J296" s="5">
        <f t="shared" si="35"/>
        <v>11.5</v>
      </c>
      <c r="K296" s="8" t="b">
        <f t="shared" si="36"/>
        <v>1</v>
      </c>
    </row>
    <row r="297" spans="1:11">
      <c r="A297" s="5" t="s">
        <v>81</v>
      </c>
      <c r="B297" s="6">
        <v>44468</v>
      </c>
      <c r="C297" s="7">
        <v>0.4</v>
      </c>
      <c r="D297" s="5">
        <v>14.5</v>
      </c>
      <c r="E297" s="5">
        <v>918.3</v>
      </c>
      <c r="F297" s="5">
        <v>933.3</v>
      </c>
      <c r="G297" s="6">
        <v>44468</v>
      </c>
      <c r="H297" s="5"/>
      <c r="I297" s="5"/>
      <c r="J297" s="5">
        <f t="shared" si="35"/>
        <v>15</v>
      </c>
      <c r="K297" s="8" t="b">
        <f t="shared" si="36"/>
        <v>1</v>
      </c>
    </row>
    <row r="298" spans="1:11">
      <c r="A298" s="5" t="s">
        <v>82</v>
      </c>
      <c r="B298" s="6">
        <v>44469</v>
      </c>
      <c r="C298" s="7">
        <v>0.4</v>
      </c>
      <c r="D298" s="5">
        <v>14.5</v>
      </c>
      <c r="E298" s="5">
        <v>933.3</v>
      </c>
      <c r="F298" s="5">
        <v>947.7</v>
      </c>
      <c r="G298" s="6">
        <v>44469</v>
      </c>
      <c r="H298" s="5"/>
      <c r="I298" s="5"/>
      <c r="J298" s="5">
        <f t="shared" si="35"/>
        <v>14.400000000000091</v>
      </c>
      <c r="K298" s="8" t="b">
        <f t="shared" si="36"/>
        <v>1</v>
      </c>
    </row>
    <row r="299" spans="1:11">
      <c r="A299" s="5" t="s">
        <v>81</v>
      </c>
      <c r="B299" s="6">
        <v>44470</v>
      </c>
      <c r="C299" s="7">
        <v>0.4</v>
      </c>
      <c r="D299" s="5">
        <v>14.5</v>
      </c>
      <c r="E299" s="5">
        <v>947.7</v>
      </c>
      <c r="F299" s="5">
        <v>961.5</v>
      </c>
      <c r="G299" s="6">
        <v>44470</v>
      </c>
      <c r="H299" s="5"/>
      <c r="I299" s="5"/>
      <c r="J299" s="5">
        <f t="shared" si="35"/>
        <v>13.799999999999955</v>
      </c>
      <c r="K299" s="8" t="b">
        <f t="shared" si="36"/>
        <v>1</v>
      </c>
    </row>
    <row r="300" spans="1:11">
      <c r="A300" s="5" t="s">
        <v>82</v>
      </c>
      <c r="B300" s="6">
        <v>44471</v>
      </c>
      <c r="C300" s="7">
        <v>0.4</v>
      </c>
      <c r="D300" s="5">
        <v>14.5</v>
      </c>
      <c r="E300" s="5">
        <v>961.5</v>
      </c>
      <c r="F300" s="5">
        <v>975.9</v>
      </c>
      <c r="G300" s="6">
        <v>44471</v>
      </c>
      <c r="H300" s="5"/>
      <c r="I300" s="5"/>
      <c r="J300" s="5">
        <f t="shared" si="35"/>
        <v>14.399999999999977</v>
      </c>
      <c r="K300" s="8" t="b">
        <f t="shared" si="36"/>
        <v>1</v>
      </c>
    </row>
    <row r="301" spans="1:11">
      <c r="A301" s="5" t="s">
        <v>85</v>
      </c>
      <c r="B301" s="6">
        <v>44472</v>
      </c>
      <c r="C301" s="7">
        <v>0.4</v>
      </c>
      <c r="D301" s="5">
        <v>14.5</v>
      </c>
      <c r="E301" s="5">
        <v>975.9</v>
      </c>
      <c r="F301" s="5">
        <v>990.3</v>
      </c>
      <c r="G301" s="6">
        <v>44472</v>
      </c>
      <c r="H301" s="5"/>
      <c r="I301" s="5"/>
      <c r="J301" s="5">
        <f t="shared" si="35"/>
        <v>14.399999999999977</v>
      </c>
      <c r="K301" s="8" t="b">
        <f t="shared" si="36"/>
        <v>1</v>
      </c>
    </row>
    <row r="302" spans="1:11">
      <c r="A302" s="5" t="s">
        <v>82</v>
      </c>
      <c r="B302" s="6">
        <v>44473</v>
      </c>
      <c r="C302" s="7">
        <v>0.4</v>
      </c>
      <c r="D302" s="5">
        <v>14.5</v>
      </c>
      <c r="E302" s="5">
        <v>990.3</v>
      </c>
      <c r="F302" s="5">
        <v>1004.4</v>
      </c>
      <c r="G302" s="6">
        <v>44473</v>
      </c>
      <c r="H302" s="5"/>
      <c r="I302" s="5"/>
      <c r="J302" s="5">
        <f t="shared" si="35"/>
        <v>14.100000000000023</v>
      </c>
      <c r="K302" s="8" t="b">
        <f t="shared" si="36"/>
        <v>1</v>
      </c>
    </row>
    <row r="303" spans="1:11">
      <c r="A303" s="5" t="s">
        <v>85</v>
      </c>
      <c r="B303" s="6">
        <v>44474</v>
      </c>
      <c r="C303" s="7">
        <v>0.4</v>
      </c>
      <c r="D303" s="5">
        <v>14.5</v>
      </c>
      <c r="E303" s="5">
        <v>1004.4</v>
      </c>
      <c r="F303" s="5">
        <v>1019.2</v>
      </c>
      <c r="G303" s="6">
        <v>44474</v>
      </c>
      <c r="H303" s="5"/>
      <c r="I303" s="5"/>
      <c r="J303" s="5">
        <f t="shared" si="35"/>
        <v>14.800000000000068</v>
      </c>
      <c r="K303" s="8" t="b">
        <f t="shared" si="36"/>
        <v>1</v>
      </c>
    </row>
    <row r="304" spans="1:11">
      <c r="A304" s="5" t="s">
        <v>85</v>
      </c>
      <c r="B304" s="6">
        <v>44476</v>
      </c>
      <c r="C304" s="7">
        <v>0.4</v>
      </c>
      <c r="D304" s="5">
        <v>14.5</v>
      </c>
      <c r="E304" s="5">
        <v>1019.2</v>
      </c>
      <c r="F304" s="5">
        <v>1033.5999999999999</v>
      </c>
      <c r="G304" s="6">
        <v>44476</v>
      </c>
      <c r="H304" s="5"/>
      <c r="I304" s="5"/>
      <c r="J304" s="5">
        <f t="shared" ref="J304:J310" si="37">F304-E304</f>
        <v>14.399999999999864</v>
      </c>
      <c r="K304" s="8" t="b">
        <f t="shared" ref="K304:K310" si="38">F304=E305</f>
        <v>1</v>
      </c>
    </row>
    <row r="305" spans="1:11">
      <c r="A305" s="5" t="s">
        <v>81</v>
      </c>
      <c r="B305" s="6">
        <v>44477</v>
      </c>
      <c r="C305" s="7">
        <v>1</v>
      </c>
      <c r="D305" s="5">
        <v>5.8</v>
      </c>
      <c r="E305" s="5">
        <v>1033.5999999999999</v>
      </c>
      <c r="F305" s="5">
        <v>1040.2</v>
      </c>
      <c r="G305" s="6">
        <v>44477</v>
      </c>
      <c r="H305" s="5"/>
      <c r="I305" s="5"/>
      <c r="J305" s="5">
        <f t="shared" si="37"/>
        <v>6.6000000000001364</v>
      </c>
      <c r="K305" s="8" t="b">
        <f t="shared" si="38"/>
        <v>1</v>
      </c>
    </row>
    <row r="306" spans="1:11">
      <c r="A306" s="5" t="s">
        <v>81</v>
      </c>
      <c r="B306" s="6">
        <v>44478</v>
      </c>
      <c r="C306" s="7">
        <v>0.4</v>
      </c>
      <c r="D306" s="5">
        <v>14.5</v>
      </c>
      <c r="E306" s="5">
        <v>1040.2</v>
      </c>
      <c r="F306" s="5">
        <v>1054.2</v>
      </c>
      <c r="G306" s="6">
        <v>44478</v>
      </c>
      <c r="H306" s="5"/>
      <c r="I306" s="5"/>
      <c r="J306" s="5">
        <f t="shared" si="37"/>
        <v>14</v>
      </c>
      <c r="K306" s="8" t="b">
        <f t="shared" si="38"/>
        <v>0</v>
      </c>
    </row>
    <row r="307" spans="1:11">
      <c r="A307" s="5" t="s">
        <v>81</v>
      </c>
      <c r="B307" s="6">
        <v>44479</v>
      </c>
      <c r="C307" s="7">
        <v>0.4</v>
      </c>
      <c r="D307" s="5">
        <v>14.5</v>
      </c>
      <c r="E307" s="5">
        <v>1054</v>
      </c>
      <c r="F307" s="5">
        <v>1068.8</v>
      </c>
      <c r="G307" s="6">
        <v>44479</v>
      </c>
      <c r="H307" s="5"/>
      <c r="I307" s="5"/>
      <c r="J307" s="5">
        <f t="shared" si="37"/>
        <v>14.799999999999955</v>
      </c>
      <c r="K307" s="8" t="b">
        <f t="shared" si="38"/>
        <v>1</v>
      </c>
    </row>
    <row r="308" spans="1:11">
      <c r="A308" s="5" t="s">
        <v>81</v>
      </c>
      <c r="B308" s="6">
        <v>44480</v>
      </c>
      <c r="C308" s="7">
        <v>0.4</v>
      </c>
      <c r="D308" s="5">
        <v>14.5</v>
      </c>
      <c r="E308" s="5">
        <v>1068.8</v>
      </c>
      <c r="F308" s="5">
        <v>1079.7</v>
      </c>
      <c r="G308" s="6">
        <v>44479</v>
      </c>
      <c r="H308" s="5"/>
      <c r="I308" s="5"/>
      <c r="J308" s="5">
        <f t="shared" si="37"/>
        <v>10.900000000000091</v>
      </c>
      <c r="K308" s="8" t="b">
        <f t="shared" si="38"/>
        <v>1</v>
      </c>
    </row>
    <row r="309" spans="1:11">
      <c r="A309" s="5" t="s">
        <v>81</v>
      </c>
      <c r="B309" s="6">
        <v>44482</v>
      </c>
      <c r="C309" s="7">
        <v>0.4</v>
      </c>
      <c r="D309" s="5">
        <v>14.5</v>
      </c>
      <c r="E309" s="5">
        <v>1079.7</v>
      </c>
      <c r="F309" s="5">
        <v>1094.3</v>
      </c>
      <c r="G309" s="6">
        <v>44482</v>
      </c>
      <c r="H309" s="5"/>
      <c r="I309" s="5"/>
      <c r="J309" s="5">
        <f t="shared" si="37"/>
        <v>14.599999999999909</v>
      </c>
      <c r="K309" s="8" t="b">
        <f t="shared" si="38"/>
        <v>1</v>
      </c>
    </row>
    <row r="310" spans="1:11">
      <c r="A310" s="5" t="s">
        <v>81</v>
      </c>
      <c r="B310" s="6">
        <v>44483</v>
      </c>
      <c r="C310" s="7">
        <v>0.4</v>
      </c>
      <c r="D310" s="5">
        <v>14.5</v>
      </c>
      <c r="E310" s="5">
        <v>1094.3</v>
      </c>
      <c r="F310" s="5">
        <v>1096.5</v>
      </c>
      <c r="G310" s="6">
        <v>44483</v>
      </c>
      <c r="H310" s="5"/>
      <c r="I310" s="5"/>
      <c r="J310" s="5">
        <f t="shared" si="37"/>
        <v>2.2000000000000455</v>
      </c>
      <c r="K310" s="8" t="b">
        <f t="shared" si="38"/>
        <v>1</v>
      </c>
    </row>
    <row r="311" spans="1:11">
      <c r="A311" s="5" t="s">
        <v>81</v>
      </c>
      <c r="B311" s="6">
        <v>44486</v>
      </c>
      <c r="C311" s="7">
        <v>0.6</v>
      </c>
      <c r="D311" s="5">
        <v>9.67</v>
      </c>
      <c r="E311" s="5">
        <v>1096.5</v>
      </c>
      <c r="F311" s="5">
        <v>1105.5</v>
      </c>
      <c r="G311" s="6">
        <v>44486</v>
      </c>
      <c r="H311" s="5"/>
      <c r="I311" s="5"/>
      <c r="J311" s="5">
        <f t="shared" ref="J311:J317" si="39">F311-E311</f>
        <v>9</v>
      </c>
      <c r="K311" s="8" t="b">
        <f t="shared" ref="K311:K317" si="40">F311=E312</f>
        <v>1</v>
      </c>
    </row>
    <row r="312" spans="1:11">
      <c r="A312" s="5" t="s">
        <v>81</v>
      </c>
      <c r="B312" s="6">
        <v>44487</v>
      </c>
      <c r="C312" s="7">
        <v>0.6</v>
      </c>
      <c r="D312" s="5">
        <v>9.67</v>
      </c>
      <c r="E312" s="5">
        <v>1105.5</v>
      </c>
      <c r="F312" s="5">
        <v>1115.3</v>
      </c>
      <c r="G312" s="6">
        <v>44487</v>
      </c>
      <c r="H312" s="5"/>
      <c r="I312" s="5"/>
      <c r="J312" s="5">
        <f t="shared" si="39"/>
        <v>9.7999999999999545</v>
      </c>
      <c r="K312" s="8" t="b">
        <f t="shared" si="40"/>
        <v>1</v>
      </c>
    </row>
    <row r="313" spans="1:11">
      <c r="A313" s="5" t="s">
        <v>81</v>
      </c>
      <c r="B313" s="6">
        <v>44488</v>
      </c>
      <c r="C313" s="7">
        <v>0.6</v>
      </c>
      <c r="D313" s="5">
        <v>9.67</v>
      </c>
      <c r="E313" s="5">
        <v>1115.3</v>
      </c>
      <c r="F313" s="5">
        <v>1125.2</v>
      </c>
      <c r="G313" s="6">
        <v>44488</v>
      </c>
      <c r="H313" s="5"/>
      <c r="I313" s="5"/>
      <c r="J313" s="5">
        <f t="shared" si="39"/>
        <v>9.9000000000000909</v>
      </c>
      <c r="K313" s="8" t="b">
        <f t="shared" si="40"/>
        <v>1</v>
      </c>
    </row>
    <row r="314" spans="1:11">
      <c r="A314" s="5" t="s">
        <v>81</v>
      </c>
      <c r="B314" s="6">
        <v>44489</v>
      </c>
      <c r="C314" s="7">
        <v>0.4</v>
      </c>
      <c r="D314" s="5">
        <v>14.5</v>
      </c>
      <c r="E314" s="5">
        <v>1125.2</v>
      </c>
      <c r="F314" s="5">
        <v>1139.8</v>
      </c>
      <c r="G314" s="6">
        <v>44489</v>
      </c>
      <c r="H314" s="5"/>
      <c r="I314" s="5"/>
      <c r="J314" s="5">
        <f t="shared" si="39"/>
        <v>14.599999999999909</v>
      </c>
      <c r="K314" s="8" t="b">
        <f t="shared" si="40"/>
        <v>1</v>
      </c>
    </row>
    <row r="315" spans="1:11">
      <c r="A315" s="5" t="s">
        <v>81</v>
      </c>
      <c r="B315" s="6">
        <v>44497</v>
      </c>
      <c r="C315" s="7">
        <v>0.7</v>
      </c>
      <c r="D315" s="5">
        <v>8.2899999999999991</v>
      </c>
      <c r="E315" s="5">
        <v>1139.8</v>
      </c>
      <c r="F315" s="5">
        <v>1148.5999999999999</v>
      </c>
      <c r="G315" s="6">
        <v>44490</v>
      </c>
      <c r="H315" s="5"/>
      <c r="I315" s="5"/>
      <c r="J315" s="5">
        <f t="shared" si="39"/>
        <v>8.7999999999999545</v>
      </c>
      <c r="K315" s="8" t="b">
        <f t="shared" si="40"/>
        <v>1</v>
      </c>
    </row>
    <row r="316" spans="1:11">
      <c r="A316" s="5" t="s">
        <v>81</v>
      </c>
      <c r="B316" s="6">
        <v>44498</v>
      </c>
      <c r="C316" s="7">
        <v>0.7</v>
      </c>
      <c r="D316" s="5">
        <v>8.2899999999999991</v>
      </c>
      <c r="E316" s="5">
        <v>1148.5999999999999</v>
      </c>
      <c r="F316" s="5">
        <v>1157</v>
      </c>
      <c r="G316" s="6">
        <v>44498</v>
      </c>
      <c r="H316" s="5"/>
      <c r="I316" s="5"/>
      <c r="J316" s="5">
        <f t="shared" si="39"/>
        <v>8.4000000000000909</v>
      </c>
      <c r="K316" s="8" t="b">
        <f t="shared" si="40"/>
        <v>1</v>
      </c>
    </row>
    <row r="317" spans="1:11">
      <c r="A317" s="5" t="s">
        <v>81</v>
      </c>
      <c r="B317" s="6">
        <v>44499</v>
      </c>
      <c r="C317" s="7">
        <v>0.7</v>
      </c>
      <c r="D317" s="5">
        <v>8.2899999999999991</v>
      </c>
      <c r="E317" s="5">
        <v>1157</v>
      </c>
      <c r="F317" s="5">
        <v>1165.4000000000001</v>
      </c>
      <c r="G317" s="6">
        <v>44499</v>
      </c>
      <c r="H317" s="5"/>
      <c r="I317" s="5"/>
      <c r="J317" s="5">
        <f t="shared" si="39"/>
        <v>8.4000000000000909</v>
      </c>
      <c r="K317" s="8" t="b">
        <f t="shared" si="40"/>
        <v>1</v>
      </c>
    </row>
    <row r="318" spans="1:11">
      <c r="A318" s="5" t="s">
        <v>81</v>
      </c>
      <c r="B318" s="6">
        <v>44500</v>
      </c>
      <c r="C318" s="7">
        <v>1</v>
      </c>
      <c r="D318" s="5">
        <v>5.8</v>
      </c>
      <c r="E318" s="5">
        <v>1165.4000000000001</v>
      </c>
      <c r="F318" s="5">
        <v>1171.3</v>
      </c>
      <c r="G318" s="6">
        <v>44500</v>
      </c>
      <c r="H318" s="5"/>
      <c r="I318" s="5"/>
      <c r="J318" s="5">
        <f t="shared" ref="J318:J323" si="41">F318-E318</f>
        <v>5.8999999999998636</v>
      </c>
      <c r="K318" s="8" t="b">
        <f t="shared" ref="K318:K323" si="42">F318=E319</f>
        <v>0</v>
      </c>
    </row>
    <row r="319" spans="1:11">
      <c r="A319" s="5" t="s">
        <v>81</v>
      </c>
      <c r="B319" s="6"/>
      <c r="C319" s="7"/>
      <c r="D319" s="5"/>
      <c r="E319" s="5"/>
      <c r="F319" s="5"/>
      <c r="G319" s="6"/>
      <c r="H319" s="5"/>
      <c r="I319" s="5"/>
      <c r="J319" s="5">
        <f t="shared" si="41"/>
        <v>0</v>
      </c>
      <c r="K319" s="8" t="b">
        <f t="shared" si="42"/>
        <v>1</v>
      </c>
    </row>
    <row r="320" spans="1:11">
      <c r="A320" s="5" t="s">
        <v>81</v>
      </c>
      <c r="B320" s="6"/>
      <c r="C320" s="7"/>
      <c r="D320" s="5"/>
      <c r="E320" s="5"/>
      <c r="F320" s="5"/>
      <c r="G320" s="6"/>
      <c r="H320" s="5"/>
      <c r="I320" s="5"/>
      <c r="J320" s="5">
        <f t="shared" si="41"/>
        <v>0</v>
      </c>
      <c r="K320" s="8" t="b">
        <f t="shared" si="42"/>
        <v>1</v>
      </c>
    </row>
    <row r="321" spans="1:11">
      <c r="A321" s="5" t="s">
        <v>81</v>
      </c>
      <c r="B321" s="6"/>
      <c r="C321" s="7"/>
      <c r="D321" s="5"/>
      <c r="E321" s="5"/>
      <c r="F321" s="5"/>
      <c r="G321" s="6"/>
      <c r="H321" s="5"/>
      <c r="I321" s="5"/>
      <c r="J321" s="5">
        <f t="shared" si="41"/>
        <v>0</v>
      </c>
      <c r="K321" s="8" t="b">
        <f t="shared" si="42"/>
        <v>1</v>
      </c>
    </row>
    <row r="322" spans="1:11">
      <c r="A322" s="5" t="s">
        <v>81</v>
      </c>
      <c r="B322" s="6"/>
      <c r="C322" s="7"/>
      <c r="D322" s="5"/>
      <c r="E322" s="5"/>
      <c r="F322" s="5"/>
      <c r="G322" s="6"/>
      <c r="H322" s="5"/>
      <c r="I322" s="5"/>
      <c r="J322" s="5">
        <f t="shared" si="41"/>
        <v>0</v>
      </c>
      <c r="K322" s="8" t="b">
        <f t="shared" si="42"/>
        <v>1</v>
      </c>
    </row>
    <row r="323" spans="1:11">
      <c r="A323" s="5" t="s">
        <v>81</v>
      </c>
      <c r="B323" s="6"/>
      <c r="C323" s="7"/>
      <c r="D323" s="5"/>
      <c r="E323" s="5"/>
      <c r="F323" s="5"/>
      <c r="G323" s="6"/>
      <c r="H323" s="5"/>
      <c r="I323" s="5"/>
      <c r="J323" s="5">
        <f t="shared" si="41"/>
        <v>0</v>
      </c>
      <c r="K323" s="8" t="b">
        <f t="shared" si="42"/>
        <v>1</v>
      </c>
    </row>
    <row r="325" spans="1:11" ht="26.25">
      <c r="A325" s="138" t="s">
        <v>72</v>
      </c>
      <c r="B325" s="159"/>
      <c r="C325" s="159"/>
      <c r="D325" s="159"/>
      <c r="E325" s="159"/>
      <c r="F325" s="159"/>
      <c r="G325" s="159"/>
      <c r="H325" s="159"/>
      <c r="I325" s="159"/>
      <c r="J325" s="159"/>
      <c r="K325" s="160"/>
    </row>
    <row r="326" spans="1:11" ht="26.25">
      <c r="A326" s="138" t="s">
        <v>86</v>
      </c>
      <c r="B326" s="159"/>
      <c r="C326" s="159"/>
      <c r="D326" s="159"/>
      <c r="E326" s="159"/>
      <c r="F326" s="159"/>
      <c r="G326" s="159"/>
      <c r="H326" s="159"/>
      <c r="I326" s="159"/>
      <c r="J326" s="159"/>
      <c r="K326" s="160"/>
    </row>
    <row r="327" spans="1:11" ht="15.75" thickBot="1"/>
    <row r="328" spans="1:11" ht="15.75" thickBot="1">
      <c r="A328" s="132" t="s">
        <v>2</v>
      </c>
      <c r="B328" s="133"/>
      <c r="C328" s="133"/>
      <c r="D328" s="133"/>
      <c r="E328" s="133"/>
      <c r="F328" s="133"/>
      <c r="G328" s="133"/>
      <c r="H328" s="133"/>
      <c r="I328" s="133"/>
      <c r="J328" s="133"/>
      <c r="K328" s="134"/>
    </row>
    <row r="330" spans="1:11" ht="19.5" thickBot="1">
      <c r="A330" s="1" t="s">
        <v>3</v>
      </c>
      <c r="B330" s="1"/>
      <c r="C330" s="1"/>
      <c r="D330" s="1"/>
      <c r="E330" s="1"/>
      <c r="F330" s="1"/>
      <c r="G330" s="1"/>
      <c r="H330" s="1"/>
      <c r="I330" s="1"/>
    </row>
    <row r="331" spans="1:11" ht="30.75" thickBot="1">
      <c r="A331" s="2" t="s">
        <v>4</v>
      </c>
      <c r="B331" s="3" t="s">
        <v>5</v>
      </c>
      <c r="C331" s="3" t="s">
        <v>6</v>
      </c>
      <c r="D331" s="3" t="s">
        <v>7</v>
      </c>
      <c r="E331" s="3" t="s">
        <v>8</v>
      </c>
      <c r="F331" s="3" t="s">
        <v>9</v>
      </c>
      <c r="G331" s="3" t="s">
        <v>10</v>
      </c>
      <c r="H331" s="3" t="s">
        <v>21</v>
      </c>
      <c r="I331" s="4" t="s">
        <v>22</v>
      </c>
      <c r="J331" s="4" t="s">
        <v>11</v>
      </c>
      <c r="K331" s="4" t="s">
        <v>12</v>
      </c>
    </row>
    <row r="332" spans="1:11">
      <c r="A332" s="5" t="s">
        <v>76</v>
      </c>
      <c r="B332" s="6">
        <v>44517</v>
      </c>
      <c r="C332" s="7">
        <v>1</v>
      </c>
      <c r="D332" s="5">
        <v>5.8</v>
      </c>
      <c r="E332" s="5">
        <v>1171.3</v>
      </c>
      <c r="F332" s="5">
        <v>1179.3</v>
      </c>
      <c r="G332" s="6">
        <v>44517</v>
      </c>
      <c r="H332" s="5"/>
      <c r="I332" s="5"/>
      <c r="J332" s="5">
        <f t="shared" ref="J332:J337" si="43">F332-E332</f>
        <v>8</v>
      </c>
      <c r="K332" s="8" t="b">
        <f>F332=E333</f>
        <v>1</v>
      </c>
    </row>
    <row r="333" spans="1:11">
      <c r="A333" s="5" t="s">
        <v>76</v>
      </c>
      <c r="B333" s="6">
        <v>44518</v>
      </c>
      <c r="C333" s="7">
        <v>1</v>
      </c>
      <c r="D333" s="5">
        <v>5.8</v>
      </c>
      <c r="E333" s="5">
        <v>1179.3</v>
      </c>
      <c r="F333" s="5">
        <v>1187</v>
      </c>
      <c r="G333" s="6">
        <v>44518</v>
      </c>
      <c r="H333" s="5"/>
      <c r="I333" s="5"/>
      <c r="J333" s="5">
        <f t="shared" si="43"/>
        <v>7.7000000000000455</v>
      </c>
      <c r="K333" s="8" t="b">
        <f>F333=E336</f>
        <v>0</v>
      </c>
    </row>
    <row r="334" spans="1:11">
      <c r="A334" s="5" t="s">
        <v>76</v>
      </c>
      <c r="B334" s="6">
        <v>44882</v>
      </c>
      <c r="C334" s="7">
        <v>0.7</v>
      </c>
      <c r="D334" s="5">
        <v>8.2899999999999991</v>
      </c>
      <c r="E334" s="5">
        <v>1232.5</v>
      </c>
      <c r="F334" s="5">
        <v>1240.0999999999999</v>
      </c>
      <c r="G334" s="6">
        <v>44578</v>
      </c>
      <c r="H334" s="5"/>
      <c r="I334" s="5"/>
      <c r="J334" s="5">
        <f t="shared" si="43"/>
        <v>7.5999999999999091</v>
      </c>
      <c r="K334" s="8" t="b">
        <f>F334=E335</f>
        <v>1</v>
      </c>
    </row>
    <row r="335" spans="1:11">
      <c r="A335" s="5" t="s">
        <v>76</v>
      </c>
      <c r="B335" s="6">
        <v>44580</v>
      </c>
      <c r="C335" s="7">
        <v>0.7</v>
      </c>
      <c r="D335" s="5">
        <v>8.2899999999999991</v>
      </c>
      <c r="E335" s="5">
        <v>1240.0999999999999</v>
      </c>
      <c r="F335" s="5">
        <v>1249.2</v>
      </c>
      <c r="G335" s="6">
        <v>44580</v>
      </c>
      <c r="H335" s="5"/>
      <c r="I335" s="5"/>
      <c r="J335" s="5">
        <f t="shared" si="43"/>
        <v>9.1000000000001364</v>
      </c>
      <c r="K335" s="8" t="b">
        <f>F335=E363</f>
        <v>0</v>
      </c>
    </row>
    <row r="336" spans="1:11">
      <c r="A336" s="5" t="s">
        <v>76</v>
      </c>
      <c r="B336" s="6">
        <v>44582</v>
      </c>
      <c r="C336" s="7">
        <v>0.7</v>
      </c>
      <c r="D336" s="5">
        <v>8.2899999999999991</v>
      </c>
      <c r="E336" s="5">
        <v>1258.8</v>
      </c>
      <c r="F336" s="5">
        <v>1266.2</v>
      </c>
      <c r="G336" s="6">
        <v>44582</v>
      </c>
      <c r="H336" s="5"/>
      <c r="I336" s="5"/>
      <c r="J336" s="5">
        <f t="shared" si="43"/>
        <v>7.4000000000000909</v>
      </c>
      <c r="K336" s="8" t="b">
        <f>F336=E337</f>
        <v>0</v>
      </c>
    </row>
    <row r="337" spans="1:11">
      <c r="A337" s="5" t="s">
        <v>76</v>
      </c>
      <c r="B337" s="6">
        <v>44584</v>
      </c>
      <c r="C337" s="7">
        <v>0.7</v>
      </c>
      <c r="D337" s="5">
        <v>8.2899999999999991</v>
      </c>
      <c r="E337" s="5">
        <v>1278.2</v>
      </c>
      <c r="F337" s="5">
        <v>1287</v>
      </c>
      <c r="G337" s="6">
        <v>44583</v>
      </c>
      <c r="H337" s="5"/>
      <c r="I337" s="5"/>
      <c r="J337" s="5">
        <f t="shared" si="43"/>
        <v>8.7999999999999545</v>
      </c>
      <c r="K337" s="8" t="b">
        <f t="shared" ref="K337:K342" si="44">F337=E363</f>
        <v>0</v>
      </c>
    </row>
    <row r="338" spans="1:11">
      <c r="A338" s="5" t="s">
        <v>76</v>
      </c>
      <c r="B338" s="6">
        <v>44586</v>
      </c>
      <c r="C338" s="7">
        <v>0.7</v>
      </c>
      <c r="D338" s="5">
        <v>8.2899999999999991</v>
      </c>
      <c r="E338" s="5">
        <v>1305.0999999999999</v>
      </c>
      <c r="F338" s="5">
        <v>1315.1</v>
      </c>
      <c r="G338" s="6">
        <v>44586</v>
      </c>
      <c r="H338" s="5"/>
      <c r="I338" s="5"/>
      <c r="J338" s="5">
        <f t="shared" ref="J338:J351" si="45">F338-E338</f>
        <v>10</v>
      </c>
      <c r="K338" s="8" t="b">
        <f t="shared" si="44"/>
        <v>0</v>
      </c>
    </row>
    <row r="339" spans="1:11">
      <c r="A339" s="5" t="s">
        <v>76</v>
      </c>
      <c r="B339" s="6">
        <v>44590</v>
      </c>
      <c r="C339" s="7">
        <v>0.7</v>
      </c>
      <c r="D339" s="5">
        <v>8.2899999999999991</v>
      </c>
      <c r="E339" s="5">
        <v>1315.1</v>
      </c>
      <c r="F339" s="5">
        <v>1324.2</v>
      </c>
      <c r="G339" s="6">
        <v>44590</v>
      </c>
      <c r="H339" s="5"/>
      <c r="I339" s="5"/>
      <c r="J339" s="5">
        <f t="shared" si="45"/>
        <v>9.1000000000001364</v>
      </c>
      <c r="K339" s="8" t="b">
        <f t="shared" si="44"/>
        <v>0</v>
      </c>
    </row>
    <row r="340" spans="1:11">
      <c r="A340" s="5" t="s">
        <v>76</v>
      </c>
      <c r="B340" s="6">
        <v>44592</v>
      </c>
      <c r="C340" s="7">
        <v>0.7</v>
      </c>
      <c r="D340" s="5">
        <v>8.2899999999999991</v>
      </c>
      <c r="E340" s="5">
        <v>1333.3</v>
      </c>
      <c r="F340" s="5">
        <v>1342.4</v>
      </c>
      <c r="G340" s="6">
        <v>44592</v>
      </c>
      <c r="H340" s="5"/>
      <c r="I340" s="5"/>
      <c r="J340" s="5">
        <f t="shared" si="45"/>
        <v>9.1000000000001364</v>
      </c>
      <c r="K340" s="8" t="b">
        <f t="shared" si="44"/>
        <v>0</v>
      </c>
    </row>
    <row r="341" spans="1:11">
      <c r="A341" s="5" t="s">
        <v>76</v>
      </c>
      <c r="B341" s="6">
        <v>44594</v>
      </c>
      <c r="C341" s="7">
        <v>0.7</v>
      </c>
      <c r="D341" s="5">
        <v>8.2899999999999991</v>
      </c>
      <c r="E341" s="5">
        <v>1342.4</v>
      </c>
      <c r="F341" s="5">
        <v>1351.5</v>
      </c>
      <c r="G341" s="6">
        <v>44594</v>
      </c>
      <c r="H341" s="5"/>
      <c r="I341" s="5"/>
      <c r="J341" s="5">
        <f t="shared" si="45"/>
        <v>9.0999999999999091</v>
      </c>
      <c r="K341" s="8" t="b">
        <f t="shared" si="44"/>
        <v>0</v>
      </c>
    </row>
    <row r="342" spans="1:11">
      <c r="A342" s="5" t="s">
        <v>76</v>
      </c>
      <c r="B342" s="6">
        <v>44596</v>
      </c>
      <c r="C342" s="7">
        <v>0.7</v>
      </c>
      <c r="D342" s="5">
        <v>8.2899999999999991</v>
      </c>
      <c r="E342" s="5">
        <v>1360.6</v>
      </c>
      <c r="F342" s="5">
        <v>1369.7</v>
      </c>
      <c r="G342" s="6">
        <v>44596</v>
      </c>
      <c r="H342" s="5"/>
      <c r="I342" s="5"/>
      <c r="J342" s="5">
        <f t="shared" si="45"/>
        <v>9.1000000000001364</v>
      </c>
      <c r="K342" s="8" t="b">
        <f t="shared" si="44"/>
        <v>0</v>
      </c>
    </row>
    <row r="343" spans="1:11">
      <c r="A343" s="5" t="s">
        <v>76</v>
      </c>
      <c r="B343" s="6">
        <v>44598</v>
      </c>
      <c r="C343" s="7">
        <v>0.7</v>
      </c>
      <c r="D343" s="5">
        <v>8.2899999999999991</v>
      </c>
      <c r="E343" s="5">
        <f>F381</f>
        <v>8.8000000000000007</v>
      </c>
      <c r="F343" s="5">
        <v>16.2</v>
      </c>
      <c r="G343" s="6">
        <v>44598</v>
      </c>
      <c r="H343" s="5"/>
      <c r="I343" s="5"/>
      <c r="J343" s="5">
        <f t="shared" si="45"/>
        <v>7.3999999999999986</v>
      </c>
      <c r="K343" s="8" t="b">
        <f>F381=E343</f>
        <v>1</v>
      </c>
    </row>
    <row r="344" spans="1:11">
      <c r="A344" s="5" t="s">
        <v>76</v>
      </c>
      <c r="B344" s="6">
        <v>44618</v>
      </c>
      <c r="C344" s="7">
        <v>0.7</v>
      </c>
      <c r="D344" s="5">
        <v>8.2899999999999991</v>
      </c>
      <c r="E344" s="5">
        <v>29.5</v>
      </c>
      <c r="F344" s="5">
        <v>39.6</v>
      </c>
      <c r="G344" s="6">
        <v>44618</v>
      </c>
      <c r="H344" s="5"/>
      <c r="I344" s="5"/>
      <c r="J344" s="5">
        <f t="shared" si="45"/>
        <v>10.100000000000001</v>
      </c>
      <c r="K344" s="8" t="b">
        <f t="shared" ref="K344:K351" si="46">F344=E370</f>
        <v>0</v>
      </c>
    </row>
    <row r="345" spans="1:11">
      <c r="A345" s="5" t="s">
        <v>76</v>
      </c>
      <c r="B345" s="6">
        <v>44620</v>
      </c>
      <c r="C345" s="7">
        <v>0.7</v>
      </c>
      <c r="D345" s="5">
        <v>8.2899999999999991</v>
      </c>
      <c r="E345" s="5">
        <v>49.9</v>
      </c>
      <c r="F345" s="5">
        <v>55.2</v>
      </c>
      <c r="G345" s="6">
        <v>44620</v>
      </c>
      <c r="H345" s="5"/>
      <c r="I345" s="5"/>
      <c r="J345" s="5">
        <f t="shared" si="45"/>
        <v>5.3000000000000043</v>
      </c>
      <c r="K345" s="8" t="b">
        <f t="shared" si="46"/>
        <v>0</v>
      </c>
    </row>
    <row r="346" spans="1:11">
      <c r="A346" s="5" t="s">
        <v>76</v>
      </c>
      <c r="B346" s="6">
        <v>44622</v>
      </c>
      <c r="C346" s="7">
        <v>0.8</v>
      </c>
      <c r="D346" s="5">
        <v>7.25</v>
      </c>
      <c r="E346" s="5">
        <v>65.099999999999994</v>
      </c>
      <c r="F346" s="5">
        <v>71</v>
      </c>
      <c r="G346" s="6">
        <v>44622</v>
      </c>
      <c r="H346" s="5"/>
      <c r="I346" s="5"/>
      <c r="J346" s="5">
        <f t="shared" si="45"/>
        <v>5.9000000000000057</v>
      </c>
      <c r="K346" s="8" t="b">
        <f t="shared" si="46"/>
        <v>0</v>
      </c>
    </row>
    <row r="347" spans="1:11">
      <c r="A347" s="5" t="s">
        <v>76</v>
      </c>
      <c r="B347" s="6">
        <v>44624</v>
      </c>
      <c r="C347" s="7">
        <v>0.7</v>
      </c>
      <c r="D347" s="5">
        <v>8.2899999999999991</v>
      </c>
      <c r="E347" s="5">
        <v>71</v>
      </c>
      <c r="F347" s="5">
        <v>79.7</v>
      </c>
      <c r="G347" s="6">
        <v>44624</v>
      </c>
      <c r="H347" s="5"/>
      <c r="I347" s="5"/>
      <c r="J347" s="5">
        <f t="shared" si="45"/>
        <v>8.7000000000000028</v>
      </c>
      <c r="K347" s="8" t="b">
        <f t="shared" si="46"/>
        <v>0</v>
      </c>
    </row>
    <row r="348" spans="1:11">
      <c r="A348" s="5" t="s">
        <v>76</v>
      </c>
      <c r="B348" s="6">
        <v>44626</v>
      </c>
      <c r="C348" s="7">
        <v>0.7</v>
      </c>
      <c r="D348" s="5">
        <v>8.2899999999999991</v>
      </c>
      <c r="E348" s="5">
        <v>86.2</v>
      </c>
      <c r="F348" s="5">
        <v>94.3</v>
      </c>
      <c r="G348" s="6">
        <v>44626</v>
      </c>
      <c r="H348" s="5"/>
      <c r="I348" s="5"/>
      <c r="J348" s="5">
        <f t="shared" si="45"/>
        <v>8.0999999999999943</v>
      </c>
      <c r="K348" s="8" t="b">
        <f t="shared" si="46"/>
        <v>0</v>
      </c>
    </row>
    <row r="349" spans="1:11">
      <c r="A349" s="5" t="s">
        <v>76</v>
      </c>
      <c r="B349" s="6">
        <v>44628</v>
      </c>
      <c r="C349" s="7">
        <v>0.7</v>
      </c>
      <c r="D349" s="5">
        <v>8.2899999999999991</v>
      </c>
      <c r="E349" s="5">
        <v>101.3</v>
      </c>
      <c r="F349" s="5">
        <v>109</v>
      </c>
      <c r="G349" s="6">
        <v>44628</v>
      </c>
      <c r="H349" s="5"/>
      <c r="I349" s="5"/>
      <c r="J349" s="5">
        <f t="shared" si="45"/>
        <v>7.7000000000000028</v>
      </c>
      <c r="K349" s="8" t="b">
        <f t="shared" si="46"/>
        <v>0</v>
      </c>
    </row>
    <row r="350" spans="1:11">
      <c r="A350" s="5" t="s">
        <v>76</v>
      </c>
      <c r="B350" s="6">
        <v>44630</v>
      </c>
      <c r="C350" s="7">
        <v>0.7</v>
      </c>
      <c r="D350" s="5">
        <v>8.2899999999999991</v>
      </c>
      <c r="E350" s="5">
        <v>109</v>
      </c>
      <c r="F350" s="5">
        <v>117.4</v>
      </c>
      <c r="G350" s="6">
        <v>44630</v>
      </c>
      <c r="H350" s="5"/>
      <c r="I350" s="5"/>
      <c r="J350" s="5">
        <f t="shared" si="45"/>
        <v>8.4000000000000057</v>
      </c>
      <c r="K350" s="8" t="b">
        <f t="shared" si="46"/>
        <v>0</v>
      </c>
    </row>
    <row r="351" spans="1:11">
      <c r="A351" s="5" t="s">
        <v>76</v>
      </c>
      <c r="B351" s="6"/>
      <c r="C351" s="7"/>
      <c r="D351" s="5"/>
      <c r="E351" s="5"/>
      <c r="F351" s="5"/>
      <c r="G351" s="6"/>
      <c r="H351" s="5"/>
      <c r="I351" s="5"/>
      <c r="J351" s="5">
        <f t="shared" si="45"/>
        <v>0</v>
      </c>
      <c r="K351" s="8" t="b">
        <f t="shared" si="46"/>
        <v>0</v>
      </c>
    </row>
    <row r="352" spans="1:11">
      <c r="A352" s="5" t="s">
        <v>76</v>
      </c>
      <c r="B352" s="6"/>
      <c r="C352" s="7"/>
      <c r="D352" s="5"/>
      <c r="E352" s="5"/>
      <c r="F352" s="5"/>
      <c r="G352" s="6"/>
      <c r="H352" s="5"/>
      <c r="I352" s="5"/>
      <c r="J352" s="5">
        <f t="shared" ref="J352:J361" si="47">F352-E352</f>
        <v>0</v>
      </c>
      <c r="K352" s="8" t="b">
        <f t="shared" ref="K352:K361" si="48">F352=E378</f>
        <v>0</v>
      </c>
    </row>
    <row r="353" spans="1:11">
      <c r="A353" s="5" t="s">
        <v>76</v>
      </c>
      <c r="B353" s="6"/>
      <c r="C353" s="7"/>
      <c r="D353" s="5"/>
      <c r="E353" s="5"/>
      <c r="F353" s="5"/>
      <c r="G353" s="6"/>
      <c r="H353" s="5"/>
      <c r="I353" s="5"/>
      <c r="J353" s="5">
        <f t="shared" si="47"/>
        <v>0</v>
      </c>
      <c r="K353" s="8" t="b">
        <f t="shared" si="48"/>
        <v>0</v>
      </c>
    </row>
    <row r="354" spans="1:11">
      <c r="A354" s="5" t="s">
        <v>76</v>
      </c>
      <c r="B354" s="6"/>
      <c r="C354" s="7"/>
      <c r="D354" s="5"/>
      <c r="E354" s="5"/>
      <c r="F354" s="5"/>
      <c r="G354" s="6"/>
      <c r="H354" s="5"/>
      <c r="I354" s="5"/>
      <c r="J354" s="5">
        <f t="shared" si="47"/>
        <v>0</v>
      </c>
      <c r="K354" s="8" t="b">
        <f t="shared" si="48"/>
        <v>0</v>
      </c>
    </row>
    <row r="355" spans="1:11">
      <c r="A355" s="5" t="s">
        <v>76</v>
      </c>
      <c r="B355" s="6"/>
      <c r="C355" s="7"/>
      <c r="D355" s="5"/>
      <c r="E355" s="5"/>
      <c r="F355" s="5"/>
      <c r="G355" s="6"/>
      <c r="H355" s="5"/>
      <c r="I355" s="5"/>
      <c r="J355" s="5">
        <f t="shared" si="47"/>
        <v>0</v>
      </c>
      <c r="K355" s="8" t="b">
        <f t="shared" si="48"/>
        <v>1</v>
      </c>
    </row>
    <row r="356" spans="1:11">
      <c r="A356" s="5" t="s">
        <v>76</v>
      </c>
      <c r="B356" s="6"/>
      <c r="C356" s="7"/>
      <c r="D356" s="5"/>
      <c r="E356" s="5"/>
      <c r="F356" s="5"/>
      <c r="G356" s="6"/>
      <c r="H356" s="5"/>
      <c r="I356" s="5"/>
      <c r="J356" s="5">
        <f t="shared" si="47"/>
        <v>0</v>
      </c>
      <c r="K356" s="8" t="b">
        <f t="shared" si="48"/>
        <v>0</v>
      </c>
    </row>
    <row r="357" spans="1:11">
      <c r="A357" s="5" t="s">
        <v>76</v>
      </c>
      <c r="B357" s="6"/>
      <c r="C357" s="7"/>
      <c r="D357" s="5"/>
      <c r="E357" s="5"/>
      <c r="F357" s="5"/>
      <c r="G357" s="6"/>
      <c r="H357" s="5"/>
      <c r="I357" s="5"/>
      <c r="J357" s="5">
        <f t="shared" si="47"/>
        <v>0</v>
      </c>
      <c r="K357" s="8" t="b">
        <f t="shared" si="48"/>
        <v>0</v>
      </c>
    </row>
    <row r="358" spans="1:11">
      <c r="A358" s="5" t="s">
        <v>76</v>
      </c>
      <c r="B358" s="6"/>
      <c r="C358" s="7"/>
      <c r="D358" s="5"/>
      <c r="E358" s="5"/>
      <c r="F358" s="5"/>
      <c r="G358" s="6"/>
      <c r="H358" s="5"/>
      <c r="I358" s="5"/>
      <c r="J358" s="5">
        <f t="shared" si="47"/>
        <v>0</v>
      </c>
      <c r="K358" s="8" t="b">
        <f t="shared" si="48"/>
        <v>0</v>
      </c>
    </row>
    <row r="359" spans="1:11">
      <c r="A359" s="5" t="s">
        <v>76</v>
      </c>
      <c r="B359" s="6"/>
      <c r="C359" s="7"/>
      <c r="D359" s="5"/>
      <c r="E359" s="5"/>
      <c r="F359" s="5"/>
      <c r="G359" s="6"/>
      <c r="H359" s="5"/>
      <c r="I359" s="5"/>
      <c r="J359" s="5">
        <f t="shared" si="47"/>
        <v>0</v>
      </c>
      <c r="K359" s="8" t="b">
        <f t="shared" si="48"/>
        <v>0</v>
      </c>
    </row>
    <row r="360" spans="1:11">
      <c r="A360" s="5" t="s">
        <v>76</v>
      </c>
      <c r="B360" s="6"/>
      <c r="C360" s="7"/>
      <c r="D360" s="5"/>
      <c r="E360" s="5"/>
      <c r="F360" s="5"/>
      <c r="G360" s="6"/>
      <c r="H360" s="5"/>
      <c r="I360" s="5"/>
      <c r="J360" s="5">
        <f t="shared" si="47"/>
        <v>0</v>
      </c>
      <c r="K360" s="8" t="b">
        <f t="shared" si="48"/>
        <v>0</v>
      </c>
    </row>
    <row r="361" spans="1:11">
      <c r="A361" s="5" t="s">
        <v>76</v>
      </c>
      <c r="B361" s="6"/>
      <c r="C361" s="7"/>
      <c r="D361" s="5"/>
      <c r="E361" s="5"/>
      <c r="F361" s="5"/>
      <c r="G361" s="6"/>
      <c r="H361" s="5"/>
      <c r="I361" s="5"/>
      <c r="J361" s="5">
        <f t="shared" si="47"/>
        <v>0</v>
      </c>
      <c r="K361" s="8" t="b">
        <f t="shared" si="48"/>
        <v>0</v>
      </c>
    </row>
    <row r="362" spans="1:11">
      <c r="A362" s="15"/>
      <c r="B362" s="12"/>
      <c r="C362" s="13"/>
      <c r="D362" s="15"/>
      <c r="E362" s="15"/>
      <c r="F362" s="15"/>
      <c r="G362" s="12"/>
      <c r="H362" s="15"/>
      <c r="I362" s="15"/>
      <c r="J362" s="15"/>
      <c r="K362" s="15"/>
    </row>
    <row r="364" spans="1:11" ht="26.25">
      <c r="A364" s="129" t="s">
        <v>72</v>
      </c>
      <c r="B364" s="164"/>
      <c r="C364" s="164"/>
      <c r="D364" s="164"/>
      <c r="E364" s="164"/>
      <c r="F364" s="164"/>
      <c r="G364" s="164"/>
      <c r="H364" s="164"/>
      <c r="I364" s="164"/>
      <c r="J364" s="164"/>
      <c r="K364" s="165"/>
    </row>
    <row r="365" spans="1:11" ht="26.25">
      <c r="A365" s="129" t="s">
        <v>87</v>
      </c>
      <c r="B365" s="164"/>
      <c r="C365" s="164"/>
      <c r="D365" s="164"/>
      <c r="E365" s="164"/>
      <c r="F365" s="164"/>
      <c r="G365" s="164"/>
      <c r="H365" s="164"/>
      <c r="I365" s="164"/>
      <c r="J365" s="164"/>
      <c r="K365" s="165"/>
    </row>
    <row r="366" spans="1:11" ht="15.75" thickBot="1"/>
    <row r="367" spans="1:11" ht="15.75" thickBot="1">
      <c r="A367" s="132" t="s">
        <v>2</v>
      </c>
      <c r="B367" s="133"/>
      <c r="C367" s="133"/>
      <c r="D367" s="133"/>
      <c r="E367" s="133"/>
      <c r="F367" s="133"/>
      <c r="G367" s="133"/>
      <c r="H367" s="133"/>
      <c r="I367" s="133"/>
      <c r="J367" s="133"/>
      <c r="K367" s="134"/>
    </row>
    <row r="369" spans="1:11" ht="19.5" thickBot="1">
      <c r="A369" s="1" t="s">
        <v>3</v>
      </c>
      <c r="B369" s="1"/>
      <c r="C369" s="1"/>
      <c r="D369" s="1"/>
      <c r="E369" s="1"/>
      <c r="F369" s="1"/>
      <c r="G369" s="1"/>
      <c r="H369" s="1"/>
      <c r="I369" s="1"/>
    </row>
    <row r="370" spans="1:11" ht="30.75" thickBot="1">
      <c r="A370" s="2" t="s">
        <v>4</v>
      </c>
      <c r="B370" s="3" t="s">
        <v>5</v>
      </c>
      <c r="C370" s="3" t="s">
        <v>6</v>
      </c>
      <c r="D370" s="3" t="s">
        <v>7</v>
      </c>
      <c r="E370" s="3" t="s">
        <v>8</v>
      </c>
      <c r="F370" s="3" t="s">
        <v>9</v>
      </c>
      <c r="G370" s="3" t="s">
        <v>10</v>
      </c>
      <c r="H370" s="3" t="s">
        <v>21</v>
      </c>
      <c r="I370" s="4" t="s">
        <v>22</v>
      </c>
      <c r="J370" s="4" t="s">
        <v>11</v>
      </c>
      <c r="K370" s="4" t="s">
        <v>12</v>
      </c>
    </row>
    <row r="371" spans="1:11">
      <c r="A371" s="25" t="s">
        <v>78</v>
      </c>
      <c r="B371" s="26">
        <v>44568</v>
      </c>
      <c r="C371" s="27">
        <v>1</v>
      </c>
      <c r="D371" s="25">
        <v>5.8</v>
      </c>
      <c r="E371" s="25">
        <v>1226.3</v>
      </c>
      <c r="F371" s="25">
        <v>1232.5</v>
      </c>
      <c r="G371" s="26">
        <v>44568</v>
      </c>
      <c r="H371" s="25"/>
      <c r="I371" s="25"/>
      <c r="J371" s="25">
        <f>F371-E371</f>
        <v>6.2000000000000455</v>
      </c>
      <c r="K371" s="8" t="b">
        <f>F371=E372</f>
        <v>0</v>
      </c>
    </row>
    <row r="372" spans="1:11">
      <c r="A372" s="5" t="s">
        <v>78</v>
      </c>
      <c r="B372" s="6">
        <v>44581</v>
      </c>
      <c r="C372" s="7">
        <v>0.6</v>
      </c>
      <c r="D372" s="5">
        <v>9.67</v>
      </c>
      <c r="E372" s="5">
        <v>1249.2</v>
      </c>
      <c r="F372" s="5">
        <v>1258.8</v>
      </c>
      <c r="G372" s="6">
        <v>44581</v>
      </c>
      <c r="H372" s="5"/>
      <c r="I372" s="5"/>
      <c r="J372" s="5">
        <f>F372-E372</f>
        <v>9.5999999999999091</v>
      </c>
      <c r="K372" s="8" t="b">
        <f>E372=F371</f>
        <v>0</v>
      </c>
    </row>
    <row r="373" spans="1:11">
      <c r="A373" s="5" t="s">
        <v>78</v>
      </c>
      <c r="B373" s="6">
        <v>44582</v>
      </c>
      <c r="C373" s="7">
        <v>1</v>
      </c>
      <c r="D373" s="5">
        <v>5.8</v>
      </c>
      <c r="E373" s="5">
        <v>1266.3</v>
      </c>
      <c r="F373" s="5">
        <v>1272.8</v>
      </c>
      <c r="G373" s="6">
        <v>44582</v>
      </c>
      <c r="H373" s="5"/>
      <c r="I373" s="5"/>
      <c r="J373" s="5">
        <f>F373-E373</f>
        <v>6.5</v>
      </c>
      <c r="K373" s="8" t="b">
        <f t="shared" ref="K373:K415" si="49">E373=F372</f>
        <v>0</v>
      </c>
    </row>
    <row r="374" spans="1:11">
      <c r="A374" s="5" t="s">
        <v>78</v>
      </c>
      <c r="B374" s="6">
        <v>44583</v>
      </c>
      <c r="C374" s="7">
        <v>1</v>
      </c>
      <c r="D374" s="5">
        <v>5.8</v>
      </c>
      <c r="E374" s="5">
        <v>1272.8</v>
      </c>
      <c r="F374" s="5">
        <v>1278.2</v>
      </c>
      <c r="G374" s="6">
        <v>44583</v>
      </c>
      <c r="H374" s="5"/>
      <c r="I374" s="5"/>
      <c r="J374" s="5">
        <f>F374-E374</f>
        <v>5.4000000000000909</v>
      </c>
      <c r="K374" s="8" t="b">
        <f t="shared" si="49"/>
        <v>1</v>
      </c>
    </row>
    <row r="375" spans="1:11">
      <c r="A375" s="5" t="s">
        <v>78</v>
      </c>
      <c r="B375" s="6">
        <v>44584</v>
      </c>
      <c r="C375" s="7">
        <v>1</v>
      </c>
      <c r="D375" s="5">
        <v>5.8</v>
      </c>
      <c r="E375" s="5">
        <v>1283</v>
      </c>
      <c r="F375" s="5">
        <v>1292.4000000000001</v>
      </c>
      <c r="G375" s="6">
        <v>44584</v>
      </c>
      <c r="H375" s="5"/>
      <c r="I375" s="5"/>
      <c r="J375" s="5">
        <f>F375-E375</f>
        <v>9.4000000000000909</v>
      </c>
      <c r="K375" s="8" t="b">
        <f t="shared" si="49"/>
        <v>0</v>
      </c>
    </row>
    <row r="376" spans="1:11">
      <c r="A376" s="5" t="s">
        <v>78</v>
      </c>
      <c r="B376" s="6">
        <v>44585</v>
      </c>
      <c r="C376" s="7">
        <v>1</v>
      </c>
      <c r="D376" s="5">
        <v>5.8</v>
      </c>
      <c r="E376" s="5">
        <v>1292.4000000000001</v>
      </c>
      <c r="F376" s="5">
        <v>1305.0999999999999</v>
      </c>
      <c r="G376" s="6">
        <v>44585</v>
      </c>
      <c r="H376" s="5"/>
      <c r="I376" s="5"/>
      <c r="J376" s="5">
        <f t="shared" ref="J376:J382" si="50">F376-E376</f>
        <v>12.699999999999818</v>
      </c>
      <c r="K376" s="8" t="b">
        <f t="shared" si="49"/>
        <v>1</v>
      </c>
    </row>
    <row r="377" spans="1:11">
      <c r="A377" s="5" t="s">
        <v>78</v>
      </c>
      <c r="B377" s="6">
        <v>44586</v>
      </c>
      <c r="C377" s="7">
        <v>1</v>
      </c>
      <c r="D377" s="5">
        <v>5.8</v>
      </c>
      <c r="E377" s="5">
        <v>1315.1</v>
      </c>
      <c r="F377" s="5">
        <v>1322.8</v>
      </c>
      <c r="G377" s="6">
        <v>44586</v>
      </c>
      <c r="H377" s="5"/>
      <c r="I377" s="5"/>
      <c r="J377" s="5">
        <f t="shared" si="50"/>
        <v>7.7000000000000455</v>
      </c>
      <c r="K377" s="8" t="b">
        <f t="shared" si="49"/>
        <v>0</v>
      </c>
    </row>
    <row r="378" spans="1:11">
      <c r="A378" s="5" t="s">
        <v>78</v>
      </c>
      <c r="B378" s="6">
        <v>44587</v>
      </c>
      <c r="C378" s="7">
        <v>1</v>
      </c>
      <c r="D378" s="5">
        <v>5.8</v>
      </c>
      <c r="E378" s="5">
        <v>1322.8</v>
      </c>
      <c r="F378" s="5">
        <v>1328.9</v>
      </c>
      <c r="G378" s="6">
        <v>44587</v>
      </c>
      <c r="H378" s="5"/>
      <c r="I378" s="5"/>
      <c r="J378" s="5">
        <f t="shared" si="50"/>
        <v>6.1000000000001364</v>
      </c>
      <c r="K378" s="8" t="b">
        <f t="shared" si="49"/>
        <v>1</v>
      </c>
    </row>
    <row r="379" spans="1:11">
      <c r="A379" s="5" t="s">
        <v>78</v>
      </c>
      <c r="B379" s="6">
        <v>44591</v>
      </c>
      <c r="C379" s="7">
        <v>0.7</v>
      </c>
      <c r="D379" s="5">
        <v>8.2899999999999991</v>
      </c>
      <c r="E379" s="5">
        <v>1324.2</v>
      </c>
      <c r="F379" s="5">
        <v>1333.3</v>
      </c>
      <c r="G379" s="6">
        <v>44591</v>
      </c>
      <c r="H379" s="5"/>
      <c r="I379" s="5"/>
      <c r="J379" s="5">
        <f t="shared" si="50"/>
        <v>9.0999999999999091</v>
      </c>
      <c r="K379" s="8" t="b">
        <f t="shared" si="49"/>
        <v>0</v>
      </c>
    </row>
    <row r="380" spans="1:11">
      <c r="A380" s="5" t="s">
        <v>78</v>
      </c>
      <c r="B380" s="6">
        <v>44595</v>
      </c>
      <c r="C380" s="7">
        <v>0.7</v>
      </c>
      <c r="D380" s="5">
        <v>8.2899999999999991</v>
      </c>
      <c r="E380" s="5">
        <v>1351.5</v>
      </c>
      <c r="F380" s="5">
        <v>1360.6</v>
      </c>
      <c r="G380" s="6">
        <v>44595</v>
      </c>
      <c r="H380" s="5"/>
      <c r="I380" s="5"/>
      <c r="J380" s="5">
        <f t="shared" si="50"/>
        <v>9.0999999999999091</v>
      </c>
      <c r="K380" s="8" t="b">
        <f t="shared" si="49"/>
        <v>0</v>
      </c>
    </row>
    <row r="381" spans="1:11">
      <c r="A381" s="5" t="s">
        <v>78</v>
      </c>
      <c r="B381" s="6">
        <v>44598</v>
      </c>
      <c r="C381" s="7">
        <v>0.7</v>
      </c>
      <c r="D381" s="5">
        <v>8.2899999999999991</v>
      </c>
      <c r="E381" s="5">
        <v>0</v>
      </c>
      <c r="F381" s="5">
        <v>8.8000000000000007</v>
      </c>
      <c r="G381" s="6">
        <v>44598</v>
      </c>
      <c r="H381" s="5"/>
      <c r="I381" s="5"/>
      <c r="J381" s="5">
        <f t="shared" si="50"/>
        <v>8.8000000000000007</v>
      </c>
      <c r="K381" s="8" t="b">
        <f t="shared" si="49"/>
        <v>0</v>
      </c>
    </row>
    <row r="382" spans="1:11">
      <c r="A382" s="25" t="s">
        <v>78</v>
      </c>
      <c r="B382" s="26">
        <v>44606</v>
      </c>
      <c r="C382" s="27">
        <v>1</v>
      </c>
      <c r="D382" s="25">
        <v>5.8</v>
      </c>
      <c r="E382" s="25">
        <v>16.2</v>
      </c>
      <c r="F382" s="25">
        <v>22.9</v>
      </c>
      <c r="G382" s="26">
        <v>44606</v>
      </c>
      <c r="H382" s="25"/>
      <c r="I382" s="25"/>
      <c r="J382" s="25">
        <f t="shared" si="50"/>
        <v>6.6999999999999993</v>
      </c>
      <c r="K382" s="8" t="b">
        <f t="shared" si="49"/>
        <v>0</v>
      </c>
    </row>
    <row r="383" spans="1:11">
      <c r="A383" s="5" t="s">
        <v>78</v>
      </c>
      <c r="B383" s="6">
        <v>44616</v>
      </c>
      <c r="C383" s="7">
        <v>1</v>
      </c>
      <c r="D383" s="5">
        <v>5.8</v>
      </c>
      <c r="E383" s="5">
        <v>22.9</v>
      </c>
      <c r="F383" s="5">
        <v>29.5</v>
      </c>
      <c r="G383" s="6">
        <v>44616</v>
      </c>
      <c r="H383" s="5"/>
      <c r="I383" s="5"/>
      <c r="J383" s="5">
        <f t="shared" ref="J383:J390" si="51">F383-E383</f>
        <v>6.6000000000000014</v>
      </c>
      <c r="K383" s="8" t="b">
        <f t="shared" si="49"/>
        <v>1</v>
      </c>
    </row>
    <row r="384" spans="1:11">
      <c r="A384" s="5" t="s">
        <v>78</v>
      </c>
      <c r="B384" s="6">
        <v>44618</v>
      </c>
      <c r="C384" s="7">
        <v>0.7</v>
      </c>
      <c r="D384" s="5">
        <v>8.2899999999999991</v>
      </c>
      <c r="E384" s="5">
        <v>29.5</v>
      </c>
      <c r="F384" s="5">
        <v>39.6</v>
      </c>
      <c r="G384" s="6">
        <v>44618</v>
      </c>
      <c r="H384" s="5"/>
      <c r="I384" s="5"/>
      <c r="J384" s="5">
        <f t="shared" si="51"/>
        <v>10.100000000000001</v>
      </c>
      <c r="K384" s="8" t="b">
        <f t="shared" si="49"/>
        <v>1</v>
      </c>
    </row>
    <row r="385" spans="1:11">
      <c r="A385" s="5" t="s">
        <v>78</v>
      </c>
      <c r="B385" s="6">
        <v>44619</v>
      </c>
      <c r="C385" s="7">
        <v>0.8</v>
      </c>
      <c r="D385" s="5">
        <v>7.25</v>
      </c>
      <c r="E385" s="5">
        <v>39.6</v>
      </c>
      <c r="F385" s="5">
        <v>49.9</v>
      </c>
      <c r="G385" s="6">
        <v>44619</v>
      </c>
      <c r="H385" s="5"/>
      <c r="I385" s="5"/>
      <c r="J385" s="5">
        <f t="shared" si="51"/>
        <v>10.299999999999997</v>
      </c>
      <c r="K385" s="8" t="b">
        <f t="shared" si="49"/>
        <v>1</v>
      </c>
    </row>
    <row r="386" spans="1:11">
      <c r="A386" s="5" t="s">
        <v>78</v>
      </c>
      <c r="B386" s="6">
        <v>44622</v>
      </c>
      <c r="C386" s="7">
        <v>0.7</v>
      </c>
      <c r="D386" s="5">
        <v>8.2899999999999991</v>
      </c>
      <c r="E386" s="5">
        <v>55.2</v>
      </c>
      <c r="F386" s="5">
        <v>65.099999999999994</v>
      </c>
      <c r="G386" s="6">
        <v>44622</v>
      </c>
      <c r="H386" s="5"/>
      <c r="I386" s="5"/>
      <c r="J386" s="5">
        <f t="shared" si="51"/>
        <v>9.8999999999999915</v>
      </c>
      <c r="K386" s="8" t="b">
        <f t="shared" si="49"/>
        <v>0</v>
      </c>
    </row>
    <row r="387" spans="1:11">
      <c r="A387" s="5" t="s">
        <v>78</v>
      </c>
      <c r="B387" s="6">
        <v>44625</v>
      </c>
      <c r="C387" s="7">
        <v>0.8</v>
      </c>
      <c r="D387" s="5">
        <v>7.25</v>
      </c>
      <c r="E387" s="5">
        <v>79.900000000000006</v>
      </c>
      <c r="F387" s="5">
        <v>86.2</v>
      </c>
      <c r="G387" s="6">
        <v>44625</v>
      </c>
      <c r="H387" s="5"/>
      <c r="I387" s="5"/>
      <c r="J387" s="5">
        <f t="shared" si="51"/>
        <v>6.2999999999999972</v>
      </c>
      <c r="K387" s="8" t="b">
        <f t="shared" si="49"/>
        <v>0</v>
      </c>
    </row>
    <row r="388" spans="1:11">
      <c r="A388" s="5" t="s">
        <v>78</v>
      </c>
      <c r="B388" s="6">
        <v>44627</v>
      </c>
      <c r="C388" s="7">
        <v>0.8</v>
      </c>
      <c r="D388" s="5">
        <v>7.25</v>
      </c>
      <c r="E388" s="5">
        <v>94.3</v>
      </c>
      <c r="F388" s="5">
        <v>101.3</v>
      </c>
      <c r="G388" s="6">
        <v>44628</v>
      </c>
      <c r="H388" s="5"/>
      <c r="I388" s="5"/>
      <c r="J388" s="5">
        <f t="shared" si="51"/>
        <v>7</v>
      </c>
      <c r="K388" s="8" t="b">
        <f t="shared" si="49"/>
        <v>0</v>
      </c>
    </row>
    <row r="389" spans="1:11">
      <c r="A389" s="5" t="s">
        <v>78</v>
      </c>
      <c r="B389" s="6">
        <v>44638</v>
      </c>
      <c r="C389" s="7">
        <v>0.7</v>
      </c>
      <c r="D389" s="5">
        <v>8.2899999999999991</v>
      </c>
      <c r="E389" s="5">
        <v>159.5</v>
      </c>
      <c r="F389" s="5">
        <v>169.3</v>
      </c>
      <c r="G389" s="6">
        <v>44638</v>
      </c>
      <c r="H389" s="5"/>
      <c r="I389" s="5"/>
      <c r="J389" s="5">
        <f t="shared" si="51"/>
        <v>9.8000000000000114</v>
      </c>
      <c r="K389" s="8" t="b">
        <f t="shared" si="49"/>
        <v>0</v>
      </c>
    </row>
    <row r="390" spans="1:11">
      <c r="A390" s="5" t="s">
        <v>78</v>
      </c>
      <c r="B390" s="6">
        <v>44641</v>
      </c>
      <c r="C390" s="7">
        <v>0.7</v>
      </c>
      <c r="D390" s="5">
        <v>8.2899999999999991</v>
      </c>
      <c r="E390" s="5">
        <v>169.3</v>
      </c>
      <c r="F390" s="5">
        <v>176.3</v>
      </c>
      <c r="G390" s="6">
        <v>44641</v>
      </c>
      <c r="H390" s="5"/>
      <c r="I390" s="5"/>
      <c r="J390" s="5">
        <f t="shared" si="51"/>
        <v>7</v>
      </c>
      <c r="K390" s="8" t="b">
        <f t="shared" si="49"/>
        <v>1</v>
      </c>
    </row>
    <row r="391" spans="1:11">
      <c r="A391" s="5" t="s">
        <v>78</v>
      </c>
      <c r="B391" s="6">
        <v>44644</v>
      </c>
      <c r="C391" s="7">
        <v>0.7</v>
      </c>
      <c r="D391" s="5">
        <v>8.2899999999999991</v>
      </c>
      <c r="E391" s="5">
        <v>176.3</v>
      </c>
      <c r="F391" s="5">
        <v>185.1</v>
      </c>
      <c r="G391" s="6">
        <v>44644</v>
      </c>
      <c r="H391" s="5"/>
      <c r="I391" s="5"/>
      <c r="J391" s="5">
        <f t="shared" ref="J391:J398" si="52">F391-E391</f>
        <v>8.7999999999999829</v>
      </c>
      <c r="K391" s="8" t="b">
        <f t="shared" si="49"/>
        <v>1</v>
      </c>
    </row>
    <row r="392" spans="1:11">
      <c r="A392" s="5" t="s">
        <v>78</v>
      </c>
      <c r="B392" s="6">
        <v>44645</v>
      </c>
      <c r="C392" s="7">
        <v>1</v>
      </c>
      <c r="D392" s="5">
        <v>5.8</v>
      </c>
      <c r="E392" s="5">
        <v>185.1</v>
      </c>
      <c r="F392" s="5">
        <v>190.8</v>
      </c>
      <c r="G392" s="6">
        <v>44645</v>
      </c>
      <c r="H392" s="5"/>
      <c r="I392" s="5"/>
      <c r="J392" s="5">
        <f t="shared" si="52"/>
        <v>5.7000000000000171</v>
      </c>
      <c r="K392" s="8" t="b">
        <f t="shared" si="49"/>
        <v>1</v>
      </c>
    </row>
    <row r="393" spans="1:11">
      <c r="A393" s="5" t="s">
        <v>78</v>
      </c>
      <c r="B393" s="6">
        <v>44647</v>
      </c>
      <c r="C393" s="7">
        <v>0.7</v>
      </c>
      <c r="D393" s="5">
        <v>8.2899999999999991</v>
      </c>
      <c r="E393" s="5">
        <v>190.8</v>
      </c>
      <c r="F393" s="5">
        <v>198.9</v>
      </c>
      <c r="G393" s="6">
        <v>44647</v>
      </c>
      <c r="H393" s="5"/>
      <c r="I393" s="5"/>
      <c r="J393" s="5">
        <f t="shared" si="52"/>
        <v>8.0999999999999943</v>
      </c>
      <c r="K393" s="8" t="b">
        <f t="shared" si="49"/>
        <v>1</v>
      </c>
    </row>
    <row r="394" spans="1:11">
      <c r="A394" s="39" t="s">
        <v>78</v>
      </c>
      <c r="B394" s="40"/>
      <c r="C394" s="41"/>
      <c r="D394" s="39"/>
      <c r="E394" s="39"/>
      <c r="F394" s="39"/>
      <c r="G394" s="40"/>
      <c r="H394" s="39"/>
      <c r="I394" s="39"/>
      <c r="J394" s="39">
        <f t="shared" si="52"/>
        <v>0</v>
      </c>
      <c r="K394" s="8" t="b">
        <f t="shared" si="49"/>
        <v>0</v>
      </c>
    </row>
    <row r="395" spans="1:11">
      <c r="A395" s="39" t="s">
        <v>78</v>
      </c>
      <c r="B395" s="40"/>
      <c r="C395" s="41"/>
      <c r="D395" s="39"/>
      <c r="E395" s="39"/>
      <c r="F395" s="39"/>
      <c r="G395" s="40"/>
      <c r="H395" s="39"/>
      <c r="I395" s="39"/>
      <c r="J395" s="39">
        <f t="shared" si="52"/>
        <v>0</v>
      </c>
      <c r="K395" s="8" t="b">
        <f t="shared" si="49"/>
        <v>1</v>
      </c>
    </row>
    <row r="396" spans="1:11">
      <c r="A396" s="39" t="s">
        <v>78</v>
      </c>
      <c r="B396" s="40"/>
      <c r="C396" s="41"/>
      <c r="D396" s="39"/>
      <c r="E396" s="39"/>
      <c r="F396" s="39"/>
      <c r="G396" s="40"/>
      <c r="H396" s="39"/>
      <c r="I396" s="39"/>
      <c r="J396" s="39">
        <f t="shared" si="52"/>
        <v>0</v>
      </c>
      <c r="K396" s="8" t="b">
        <f t="shared" si="49"/>
        <v>1</v>
      </c>
    </row>
    <row r="397" spans="1:11">
      <c r="A397" s="39" t="s">
        <v>78</v>
      </c>
      <c r="B397" s="40"/>
      <c r="C397" s="41"/>
      <c r="D397" s="39"/>
      <c r="E397" s="39"/>
      <c r="F397" s="39"/>
      <c r="G397" s="40"/>
      <c r="H397" s="39"/>
      <c r="I397" s="39"/>
      <c r="J397" s="39">
        <f t="shared" si="52"/>
        <v>0</v>
      </c>
      <c r="K397" s="8" t="b">
        <f t="shared" si="49"/>
        <v>1</v>
      </c>
    </row>
    <row r="398" spans="1:11">
      <c r="A398" s="39" t="s">
        <v>78</v>
      </c>
      <c r="B398" s="40"/>
      <c r="C398" s="41"/>
      <c r="D398" s="39"/>
      <c r="E398" s="39"/>
      <c r="F398" s="39"/>
      <c r="G398" s="40"/>
      <c r="H398" s="39"/>
      <c r="I398" s="39"/>
      <c r="J398" s="39">
        <f t="shared" si="52"/>
        <v>0</v>
      </c>
      <c r="K398" s="8" t="b">
        <f t="shared" si="49"/>
        <v>1</v>
      </c>
    </row>
    <row r="399" spans="1:11">
      <c r="A399" s="5" t="s">
        <v>78</v>
      </c>
      <c r="B399" s="6">
        <v>44674</v>
      </c>
      <c r="C399" s="7">
        <v>0.55000000000000004</v>
      </c>
      <c r="D399" s="5">
        <v>10.55</v>
      </c>
      <c r="E399" s="5">
        <v>400.9</v>
      </c>
      <c r="F399" s="5">
        <v>411</v>
      </c>
      <c r="G399" s="6">
        <v>44674</v>
      </c>
      <c r="H399" s="5"/>
      <c r="I399" s="5"/>
      <c r="J399" s="5">
        <f t="shared" ref="J399:J422" si="53">F399-E399</f>
        <v>10.100000000000023</v>
      </c>
      <c r="K399" s="8" t="b">
        <f>E399=F398</f>
        <v>0</v>
      </c>
    </row>
    <row r="400" spans="1:11">
      <c r="A400" s="5" t="s">
        <v>78</v>
      </c>
      <c r="B400" s="6">
        <v>44677</v>
      </c>
      <c r="C400" s="7">
        <v>0.55000000000000004</v>
      </c>
      <c r="D400" s="5">
        <v>10.55</v>
      </c>
      <c r="E400" s="5">
        <v>425.6</v>
      </c>
      <c r="F400" s="5">
        <v>436.8</v>
      </c>
      <c r="G400" s="6">
        <v>44677</v>
      </c>
      <c r="H400" s="5"/>
      <c r="I400" s="5"/>
      <c r="J400" s="5">
        <f t="shared" si="53"/>
        <v>11.199999999999989</v>
      </c>
      <c r="K400" s="8" t="b">
        <f t="shared" si="49"/>
        <v>0</v>
      </c>
    </row>
    <row r="401" spans="1:11">
      <c r="A401" s="5" t="s">
        <v>78</v>
      </c>
      <c r="B401" s="6">
        <v>44680</v>
      </c>
      <c r="C401" s="7">
        <v>0.55000000000000004</v>
      </c>
      <c r="D401" s="5">
        <v>10.55</v>
      </c>
      <c r="E401" s="5">
        <v>436.8</v>
      </c>
      <c r="F401" s="5">
        <v>454.4</v>
      </c>
      <c r="G401" s="6">
        <v>44680</v>
      </c>
      <c r="H401" s="5"/>
      <c r="I401" s="5"/>
      <c r="J401" s="5">
        <f t="shared" si="53"/>
        <v>17.599999999999966</v>
      </c>
      <c r="K401" s="8" t="b">
        <f t="shared" si="49"/>
        <v>1</v>
      </c>
    </row>
    <row r="402" spans="1:11">
      <c r="A402" s="5" t="s">
        <v>78</v>
      </c>
      <c r="B402" s="6">
        <v>44683</v>
      </c>
      <c r="C402" s="7">
        <v>0.55000000000000004</v>
      </c>
      <c r="D402" s="5">
        <v>10.55</v>
      </c>
      <c r="E402" s="5">
        <v>468.9</v>
      </c>
      <c r="F402" s="5">
        <v>479</v>
      </c>
      <c r="G402" s="6">
        <v>44683</v>
      </c>
      <c r="H402" s="5"/>
      <c r="I402" s="5"/>
      <c r="J402" s="5">
        <f t="shared" si="53"/>
        <v>10.100000000000023</v>
      </c>
      <c r="K402" s="8" t="b">
        <f t="shared" si="49"/>
        <v>0</v>
      </c>
    </row>
    <row r="403" spans="1:11">
      <c r="A403" s="5" t="s">
        <v>78</v>
      </c>
      <c r="B403" s="6">
        <v>44686</v>
      </c>
      <c r="C403" s="7">
        <v>0.55000000000000004</v>
      </c>
      <c r="D403" s="5">
        <v>10.55</v>
      </c>
      <c r="E403" s="5">
        <v>487.6</v>
      </c>
      <c r="F403" s="5">
        <v>497.6</v>
      </c>
      <c r="G403" s="6">
        <v>44686</v>
      </c>
      <c r="H403" s="5"/>
      <c r="I403" s="5"/>
      <c r="J403" s="5">
        <f t="shared" si="53"/>
        <v>10</v>
      </c>
      <c r="K403" s="8" t="b">
        <f t="shared" si="49"/>
        <v>0</v>
      </c>
    </row>
    <row r="404" spans="1:11">
      <c r="A404" s="5" t="s">
        <v>78</v>
      </c>
      <c r="B404" s="6">
        <v>44690</v>
      </c>
      <c r="C404" s="7">
        <v>0.55000000000000004</v>
      </c>
      <c r="D404" s="5">
        <v>10.55</v>
      </c>
      <c r="E404" s="5">
        <v>506.4</v>
      </c>
      <c r="F404" s="5">
        <v>516</v>
      </c>
      <c r="G404" s="6">
        <v>44690</v>
      </c>
      <c r="H404" s="5"/>
      <c r="I404" s="5"/>
      <c r="J404" s="5">
        <f t="shared" si="53"/>
        <v>9.6000000000000227</v>
      </c>
      <c r="K404" s="8" t="b">
        <f t="shared" si="49"/>
        <v>0</v>
      </c>
    </row>
    <row r="405" spans="1:11">
      <c r="A405" s="5" t="s">
        <v>78</v>
      </c>
      <c r="B405" s="6">
        <v>44693</v>
      </c>
      <c r="C405" s="7">
        <v>0.5</v>
      </c>
      <c r="D405" s="5">
        <v>11.6</v>
      </c>
      <c r="E405" s="5">
        <v>526.6</v>
      </c>
      <c r="F405" s="5">
        <v>543.29999999999995</v>
      </c>
      <c r="G405" s="6">
        <v>44693</v>
      </c>
      <c r="H405" s="5"/>
      <c r="I405" s="5"/>
      <c r="J405" s="5">
        <f t="shared" si="53"/>
        <v>16.699999999999932</v>
      </c>
      <c r="K405" s="8" t="b">
        <f t="shared" si="49"/>
        <v>0</v>
      </c>
    </row>
    <row r="406" spans="1:11">
      <c r="A406" s="5" t="s">
        <v>78</v>
      </c>
      <c r="B406" s="6">
        <v>44696</v>
      </c>
      <c r="C406" s="7">
        <v>0.7</v>
      </c>
      <c r="D406" s="5">
        <v>8.2899999999999991</v>
      </c>
      <c r="E406" s="5">
        <v>469.1</v>
      </c>
      <c r="F406" s="5">
        <v>476.9</v>
      </c>
      <c r="G406" s="6">
        <v>44696</v>
      </c>
      <c r="H406" s="5"/>
      <c r="I406" s="5"/>
      <c r="J406" s="5">
        <f t="shared" si="53"/>
        <v>7.7999999999999545</v>
      </c>
      <c r="K406" s="8" t="b">
        <f t="shared" si="49"/>
        <v>0</v>
      </c>
    </row>
    <row r="407" spans="1:11">
      <c r="A407" s="5" t="s">
        <v>78</v>
      </c>
      <c r="B407" s="6">
        <v>44698</v>
      </c>
      <c r="C407" s="7">
        <v>0.7</v>
      </c>
      <c r="D407" s="5">
        <v>8.2899999999999991</v>
      </c>
      <c r="E407" s="5">
        <v>485.5</v>
      </c>
      <c r="F407" s="5">
        <v>493.7</v>
      </c>
      <c r="G407" s="6">
        <v>44698</v>
      </c>
      <c r="H407" s="5"/>
      <c r="I407" s="5"/>
      <c r="J407" s="5">
        <f t="shared" si="53"/>
        <v>8.1999999999999886</v>
      </c>
      <c r="K407" s="8" t="b">
        <f t="shared" si="49"/>
        <v>0</v>
      </c>
    </row>
    <row r="408" spans="1:11">
      <c r="A408" s="5" t="s">
        <v>78</v>
      </c>
      <c r="B408" s="6">
        <v>44700</v>
      </c>
      <c r="C408" s="7">
        <v>0.7</v>
      </c>
      <c r="D408" s="5">
        <v>8.2899999999999991</v>
      </c>
      <c r="E408" s="5">
        <v>505.6</v>
      </c>
      <c r="F408" s="5">
        <v>513.20000000000005</v>
      </c>
      <c r="G408" s="6">
        <v>44700</v>
      </c>
      <c r="H408" s="5"/>
      <c r="I408" s="5"/>
      <c r="J408" s="5">
        <f t="shared" si="53"/>
        <v>7.6000000000000227</v>
      </c>
      <c r="K408" s="8" t="b">
        <f t="shared" si="49"/>
        <v>0</v>
      </c>
    </row>
    <row r="409" spans="1:11">
      <c r="A409" s="5" t="s">
        <v>78</v>
      </c>
      <c r="B409" s="6">
        <v>44703</v>
      </c>
      <c r="C409" s="7">
        <v>0.7</v>
      </c>
      <c r="D409" s="5">
        <v>8.2899999999999991</v>
      </c>
      <c r="E409" s="5">
        <v>519.4</v>
      </c>
      <c r="F409" s="5">
        <v>527.79999999999995</v>
      </c>
      <c r="G409" s="6">
        <v>44703</v>
      </c>
      <c r="H409" s="5"/>
      <c r="I409" s="5"/>
      <c r="J409" s="5">
        <f t="shared" si="53"/>
        <v>8.3999999999999773</v>
      </c>
      <c r="K409" s="8" t="b">
        <f t="shared" si="49"/>
        <v>0</v>
      </c>
    </row>
    <row r="410" spans="1:11">
      <c r="A410" s="5" t="s">
        <v>78</v>
      </c>
      <c r="B410" s="6">
        <v>44705</v>
      </c>
      <c r="C410" s="7">
        <v>0.7</v>
      </c>
      <c r="D410" s="5">
        <v>8.2899999999999991</v>
      </c>
      <c r="E410" s="5">
        <v>539</v>
      </c>
      <c r="F410" s="5">
        <v>542.70000000000005</v>
      </c>
      <c r="G410" s="6">
        <v>44705</v>
      </c>
      <c r="H410" s="5"/>
      <c r="I410" s="5"/>
      <c r="J410" s="5">
        <f t="shared" si="53"/>
        <v>3.7000000000000455</v>
      </c>
      <c r="K410" s="8" t="b">
        <f t="shared" si="49"/>
        <v>0</v>
      </c>
    </row>
    <row r="411" spans="1:11">
      <c r="A411" s="5" t="s">
        <v>78</v>
      </c>
      <c r="B411" s="6">
        <v>44707</v>
      </c>
      <c r="C411" s="7">
        <v>0.7</v>
      </c>
      <c r="D411" s="5">
        <v>8.2899999999999991</v>
      </c>
      <c r="E411" s="5">
        <v>547.6</v>
      </c>
      <c r="F411" s="5">
        <v>554.6</v>
      </c>
      <c r="G411" s="6">
        <v>44707</v>
      </c>
      <c r="H411" s="5"/>
      <c r="I411" s="5"/>
      <c r="J411" s="5">
        <f t="shared" si="53"/>
        <v>7</v>
      </c>
      <c r="K411" s="8" t="b">
        <f t="shared" si="49"/>
        <v>0</v>
      </c>
    </row>
    <row r="412" spans="1:11">
      <c r="A412" s="5" t="s">
        <v>78</v>
      </c>
      <c r="B412" s="6">
        <v>44709</v>
      </c>
      <c r="C412" s="7">
        <v>0.7</v>
      </c>
      <c r="D412" s="5">
        <v>8.2899999999999991</v>
      </c>
      <c r="E412" s="5">
        <v>560.4</v>
      </c>
      <c r="F412" s="5">
        <v>568.79999999999995</v>
      </c>
      <c r="G412" s="6">
        <v>44709</v>
      </c>
      <c r="H412" s="5"/>
      <c r="I412" s="5"/>
      <c r="J412" s="5">
        <f t="shared" si="53"/>
        <v>8.3999999999999773</v>
      </c>
      <c r="K412" s="8" t="b">
        <f t="shared" si="49"/>
        <v>0</v>
      </c>
    </row>
    <row r="413" spans="1:11">
      <c r="A413" s="5" t="s">
        <v>78</v>
      </c>
      <c r="B413" s="6">
        <v>44711</v>
      </c>
      <c r="C413" s="7">
        <v>0.7</v>
      </c>
      <c r="D413" s="5">
        <v>8.2899999999999991</v>
      </c>
      <c r="E413" s="5">
        <v>580.20000000000005</v>
      </c>
      <c r="F413" s="5">
        <v>590.20000000000005</v>
      </c>
      <c r="G413" s="6">
        <v>44711</v>
      </c>
      <c r="H413" s="5"/>
      <c r="I413" s="5"/>
      <c r="J413" s="5">
        <f t="shared" si="53"/>
        <v>10</v>
      </c>
      <c r="K413" s="8" t="b">
        <f t="shared" si="49"/>
        <v>0</v>
      </c>
    </row>
    <row r="414" spans="1:11">
      <c r="A414" s="5" t="s">
        <v>78</v>
      </c>
      <c r="B414" s="6">
        <v>44713</v>
      </c>
      <c r="C414" s="7">
        <v>0.7</v>
      </c>
      <c r="D414" s="5">
        <v>8.2899999999999991</v>
      </c>
      <c r="E414" s="5">
        <v>598</v>
      </c>
      <c r="F414" s="5">
        <v>606.20000000000005</v>
      </c>
      <c r="G414" s="6">
        <v>44713</v>
      </c>
      <c r="H414" s="5"/>
      <c r="I414" s="5"/>
      <c r="J414" s="5">
        <f t="shared" si="53"/>
        <v>8.2000000000000455</v>
      </c>
      <c r="K414" s="8" t="b">
        <f t="shared" si="49"/>
        <v>0</v>
      </c>
    </row>
    <row r="415" spans="1:11">
      <c r="A415" s="5" t="s">
        <v>78</v>
      </c>
      <c r="B415" s="6">
        <v>44715</v>
      </c>
      <c r="C415" s="7">
        <v>0.7</v>
      </c>
      <c r="D415" s="5">
        <v>8.2899999999999991</v>
      </c>
      <c r="E415" s="5">
        <v>614.1</v>
      </c>
      <c r="F415" s="5">
        <v>622.6</v>
      </c>
      <c r="G415" s="6">
        <v>44715</v>
      </c>
      <c r="H415" s="5"/>
      <c r="I415" s="5"/>
      <c r="J415" s="5">
        <f t="shared" si="53"/>
        <v>8.5</v>
      </c>
      <c r="K415" s="8" t="b">
        <f t="shared" si="49"/>
        <v>0</v>
      </c>
    </row>
    <row r="416" spans="1:11">
      <c r="A416" s="5" t="s">
        <v>78</v>
      </c>
      <c r="B416" s="6">
        <v>44717</v>
      </c>
      <c r="C416" s="7">
        <v>0.7</v>
      </c>
      <c r="D416" s="5">
        <v>8.2899999999999991</v>
      </c>
      <c r="E416" s="5">
        <v>630.70000000000005</v>
      </c>
      <c r="F416" s="5">
        <v>639</v>
      </c>
      <c r="G416" s="6">
        <v>44717</v>
      </c>
      <c r="H416" s="5"/>
      <c r="I416" s="5"/>
      <c r="J416" s="5">
        <f t="shared" si="53"/>
        <v>8.2999999999999545</v>
      </c>
      <c r="K416" s="8" t="b">
        <f t="shared" ref="K416:K422" si="54">E416=F415</f>
        <v>0</v>
      </c>
    </row>
    <row r="417" spans="1:11">
      <c r="A417" s="5" t="s">
        <v>78</v>
      </c>
      <c r="B417" s="6">
        <v>44719</v>
      </c>
      <c r="C417" s="7">
        <v>0.7</v>
      </c>
      <c r="D417" s="5">
        <v>8.2899999999999991</v>
      </c>
      <c r="E417" s="5">
        <v>649.1</v>
      </c>
      <c r="F417" s="5">
        <v>656.4</v>
      </c>
      <c r="G417" s="6">
        <v>44719</v>
      </c>
      <c r="H417" s="5"/>
      <c r="I417" s="5"/>
      <c r="J417" s="5">
        <f t="shared" si="53"/>
        <v>7.2999999999999545</v>
      </c>
      <c r="K417" s="8" t="b">
        <f t="shared" si="54"/>
        <v>0</v>
      </c>
    </row>
    <row r="418" spans="1:11">
      <c r="A418" s="5" t="s">
        <v>78</v>
      </c>
      <c r="B418" s="6">
        <v>44724</v>
      </c>
      <c r="C418" s="7">
        <v>0.6</v>
      </c>
      <c r="D418" s="5">
        <v>9.67</v>
      </c>
      <c r="E418" s="5">
        <v>678.6</v>
      </c>
      <c r="F418" s="5">
        <v>688.6</v>
      </c>
      <c r="G418" s="6">
        <v>44724</v>
      </c>
      <c r="H418" s="5"/>
      <c r="I418" s="5"/>
      <c r="J418" s="5">
        <f t="shared" si="53"/>
        <v>10</v>
      </c>
      <c r="K418" s="8" t="b">
        <f t="shared" si="54"/>
        <v>0</v>
      </c>
    </row>
    <row r="419" spans="1:11">
      <c r="A419" s="5" t="s">
        <v>78</v>
      </c>
      <c r="B419" s="6">
        <v>44727</v>
      </c>
      <c r="C419" s="7">
        <v>0.6</v>
      </c>
      <c r="D419" s="5">
        <v>9.67</v>
      </c>
      <c r="E419" s="5">
        <v>698.5</v>
      </c>
      <c r="F419" s="5">
        <v>701.6</v>
      </c>
      <c r="G419" s="6">
        <v>44727</v>
      </c>
      <c r="H419" s="5"/>
      <c r="I419" s="5"/>
      <c r="J419" s="5">
        <f t="shared" si="53"/>
        <v>3.1000000000000227</v>
      </c>
      <c r="K419" s="8" t="b">
        <f t="shared" si="54"/>
        <v>0</v>
      </c>
    </row>
    <row r="420" spans="1:11">
      <c r="A420" s="5" t="s">
        <v>78</v>
      </c>
      <c r="B420" s="6">
        <v>44731</v>
      </c>
      <c r="C420" s="7">
        <v>0.6</v>
      </c>
      <c r="D420" s="5">
        <v>9.67</v>
      </c>
      <c r="E420" s="5">
        <v>722.2</v>
      </c>
      <c r="F420" s="5">
        <v>733</v>
      </c>
      <c r="G420" s="6">
        <v>44731</v>
      </c>
      <c r="H420" s="5"/>
      <c r="I420" s="5"/>
      <c r="J420" s="5">
        <f t="shared" si="53"/>
        <v>10.799999999999955</v>
      </c>
      <c r="K420" s="8" t="b">
        <f t="shared" si="54"/>
        <v>0</v>
      </c>
    </row>
    <row r="421" spans="1:11">
      <c r="A421" s="5" t="s">
        <v>78</v>
      </c>
      <c r="B421" s="6"/>
      <c r="C421" s="7"/>
      <c r="D421" s="5"/>
      <c r="E421" s="5"/>
      <c r="F421" s="5"/>
      <c r="G421" s="6"/>
      <c r="H421" s="5"/>
      <c r="I421" s="5"/>
      <c r="J421" s="5">
        <f t="shared" si="53"/>
        <v>0</v>
      </c>
      <c r="K421" s="8" t="b">
        <f t="shared" si="54"/>
        <v>0</v>
      </c>
    </row>
    <row r="422" spans="1:11">
      <c r="A422" s="5" t="s">
        <v>78</v>
      </c>
      <c r="B422" s="6"/>
      <c r="C422" s="7"/>
      <c r="D422" s="5"/>
      <c r="E422" s="5"/>
      <c r="F422" s="5"/>
      <c r="G422" s="6"/>
      <c r="H422" s="5"/>
      <c r="I422" s="5"/>
      <c r="J422" s="5">
        <f t="shared" si="53"/>
        <v>0</v>
      </c>
      <c r="K422" s="8" t="b">
        <f t="shared" si="54"/>
        <v>1</v>
      </c>
    </row>
    <row r="425" spans="1:11" ht="26.25">
      <c r="A425" s="138" t="s">
        <v>72</v>
      </c>
      <c r="B425" s="159"/>
      <c r="C425" s="159"/>
      <c r="D425" s="159"/>
      <c r="E425" s="159"/>
      <c r="F425" s="159"/>
      <c r="G425" s="159"/>
      <c r="H425" s="159"/>
      <c r="I425" s="159"/>
      <c r="J425" s="159"/>
      <c r="K425" s="160"/>
    </row>
    <row r="426" spans="1:11" ht="26.25">
      <c r="A426" s="138" t="s">
        <v>88</v>
      </c>
      <c r="B426" s="159"/>
      <c r="C426" s="159"/>
      <c r="D426" s="159"/>
      <c r="E426" s="159"/>
      <c r="F426" s="159"/>
      <c r="G426" s="159"/>
      <c r="H426" s="159"/>
      <c r="I426" s="159"/>
      <c r="J426" s="159"/>
      <c r="K426" s="160"/>
    </row>
    <row r="428" spans="1:11">
      <c r="A428" s="132" t="s">
        <v>2</v>
      </c>
      <c r="B428" s="133"/>
      <c r="C428" s="133"/>
      <c r="D428" s="133"/>
      <c r="E428" s="133"/>
      <c r="F428" s="133"/>
      <c r="G428" s="133"/>
      <c r="H428" s="133"/>
      <c r="I428" s="133"/>
      <c r="J428" s="133"/>
      <c r="K428" s="134"/>
    </row>
    <row r="430" spans="1:11" ht="18.75">
      <c r="A430" s="1" t="s">
        <v>3</v>
      </c>
      <c r="B430" s="1"/>
      <c r="C430" s="1"/>
      <c r="D430" s="1"/>
      <c r="E430" s="1"/>
      <c r="F430" s="1"/>
      <c r="G430" s="1"/>
      <c r="H430" s="1"/>
      <c r="I430" s="1"/>
    </row>
    <row r="431" spans="1:11" ht="30">
      <c r="A431" s="2" t="s">
        <v>4</v>
      </c>
      <c r="B431" s="3" t="s">
        <v>5</v>
      </c>
      <c r="C431" s="3" t="s">
        <v>6</v>
      </c>
      <c r="D431" s="3" t="s">
        <v>7</v>
      </c>
      <c r="E431" s="3" t="s">
        <v>8</v>
      </c>
      <c r="F431" s="3" t="s">
        <v>9</v>
      </c>
      <c r="G431" s="3" t="s">
        <v>10</v>
      </c>
      <c r="H431" s="3" t="s">
        <v>21</v>
      </c>
      <c r="I431" s="4" t="s">
        <v>22</v>
      </c>
      <c r="J431" s="4" t="s">
        <v>11</v>
      </c>
      <c r="K431" s="4" t="s">
        <v>12</v>
      </c>
    </row>
    <row r="432" spans="1:11">
      <c r="A432" s="5" t="s">
        <v>76</v>
      </c>
      <c r="B432" s="6">
        <v>44676</v>
      </c>
      <c r="C432" s="7">
        <v>0.7</v>
      </c>
      <c r="D432" s="5">
        <v>8.2899999999999991</v>
      </c>
      <c r="E432" s="5">
        <v>411</v>
      </c>
      <c r="F432" s="5">
        <v>419.3</v>
      </c>
      <c r="G432" s="6">
        <v>44676</v>
      </c>
      <c r="H432" s="5"/>
      <c r="I432" s="5"/>
      <c r="J432" s="5">
        <f>F432-E432</f>
        <v>8.3000000000000114</v>
      </c>
      <c r="K432" s="8" t="b">
        <f>F432=E433</f>
        <v>1</v>
      </c>
    </row>
    <row r="433" spans="1:11">
      <c r="A433" s="36" t="s">
        <v>76</v>
      </c>
      <c r="B433" s="37">
        <v>44677</v>
      </c>
      <c r="C433" s="38">
        <v>1</v>
      </c>
      <c r="D433" s="36">
        <v>5.8</v>
      </c>
      <c r="E433" s="36">
        <v>419.3</v>
      </c>
      <c r="F433" s="36">
        <v>425.6</v>
      </c>
      <c r="G433" s="37">
        <v>44677</v>
      </c>
      <c r="H433" s="36"/>
      <c r="I433" s="36"/>
      <c r="J433" s="36">
        <f>F433-E433</f>
        <v>6.3000000000000114</v>
      </c>
      <c r="K433" s="8" t="b">
        <f>E433=F432</f>
        <v>1</v>
      </c>
    </row>
    <row r="434" spans="1:11">
      <c r="A434" s="5" t="s">
        <v>76</v>
      </c>
      <c r="B434" s="6">
        <v>44676</v>
      </c>
      <c r="C434" s="7">
        <v>0.7</v>
      </c>
      <c r="D434" s="5">
        <v>8.2899999999999991</v>
      </c>
      <c r="E434" s="5">
        <v>436</v>
      </c>
      <c r="F434" s="5">
        <v>444</v>
      </c>
      <c r="G434" s="6">
        <v>44676</v>
      </c>
      <c r="H434" s="5"/>
      <c r="I434" s="5"/>
      <c r="J434" s="5">
        <f>F434-E434</f>
        <v>8</v>
      </c>
      <c r="K434" s="8" t="b">
        <f>E434=F433</f>
        <v>0</v>
      </c>
    </row>
    <row r="435" spans="1:11">
      <c r="A435" s="5" t="s">
        <v>76</v>
      </c>
      <c r="B435" s="6">
        <v>44679</v>
      </c>
      <c r="C435" s="7">
        <v>0.7</v>
      </c>
      <c r="D435" s="5">
        <v>8.2899999999999991</v>
      </c>
      <c r="E435" s="5">
        <v>436</v>
      </c>
      <c r="F435" s="5">
        <v>444</v>
      </c>
      <c r="G435" s="6">
        <v>44679</v>
      </c>
      <c r="H435" s="5"/>
      <c r="I435" s="5"/>
      <c r="J435" s="5">
        <f t="shared" ref="J435:J465" si="55">F435-E435</f>
        <v>8</v>
      </c>
      <c r="K435" s="8" t="b">
        <f>E435=F434</f>
        <v>0</v>
      </c>
    </row>
    <row r="436" spans="1:11">
      <c r="A436" s="5" t="s">
        <v>76</v>
      </c>
      <c r="B436" s="6">
        <v>44682</v>
      </c>
      <c r="C436" s="7">
        <v>0.7</v>
      </c>
      <c r="D436" s="5">
        <v>8.2899999999999991</v>
      </c>
      <c r="E436" s="5">
        <v>454.4</v>
      </c>
      <c r="F436" s="5">
        <v>462.8</v>
      </c>
      <c r="G436" s="6">
        <v>44682</v>
      </c>
      <c r="H436" s="5"/>
      <c r="I436" s="5"/>
      <c r="J436" s="5">
        <f t="shared" si="55"/>
        <v>8.4000000000000341</v>
      </c>
      <c r="K436" s="8" t="b">
        <f t="shared" ref="K436:K465" si="56">E436=F435</f>
        <v>0</v>
      </c>
    </row>
    <row r="437" spans="1:11">
      <c r="A437" s="25" t="s">
        <v>76</v>
      </c>
      <c r="B437" s="26">
        <v>44683</v>
      </c>
      <c r="C437" s="27">
        <v>1</v>
      </c>
      <c r="D437" s="25">
        <v>5.8</v>
      </c>
      <c r="E437" s="25">
        <v>462.8</v>
      </c>
      <c r="F437" s="25">
        <v>468.9</v>
      </c>
      <c r="G437" s="26">
        <v>44683</v>
      </c>
      <c r="H437" s="25"/>
      <c r="I437" s="25"/>
      <c r="J437" s="25">
        <f t="shared" si="55"/>
        <v>6.0999999999999659</v>
      </c>
      <c r="K437" s="28" t="b">
        <f t="shared" si="56"/>
        <v>1</v>
      </c>
    </row>
    <row r="438" spans="1:11">
      <c r="A438" s="5" t="s">
        <v>76</v>
      </c>
      <c r="B438" s="6">
        <v>44685</v>
      </c>
      <c r="C438" s="7">
        <v>0.7</v>
      </c>
      <c r="D438" s="5">
        <v>8.2899999999999991</v>
      </c>
      <c r="E438" s="5">
        <v>479</v>
      </c>
      <c r="F438" s="5">
        <v>487.6</v>
      </c>
      <c r="G438" s="6">
        <v>44685</v>
      </c>
      <c r="H438" s="5"/>
      <c r="I438" s="5"/>
      <c r="J438" s="5">
        <f t="shared" si="55"/>
        <v>8.6000000000000227</v>
      </c>
      <c r="K438" s="8" t="b">
        <f t="shared" si="56"/>
        <v>0</v>
      </c>
    </row>
    <row r="439" spans="1:11">
      <c r="A439" s="5" t="s">
        <v>76</v>
      </c>
      <c r="B439" s="6">
        <v>44688</v>
      </c>
      <c r="C439" s="7">
        <v>0.7</v>
      </c>
      <c r="D439" s="5">
        <v>8.2899999999999991</v>
      </c>
      <c r="E439" s="5">
        <v>497.6</v>
      </c>
      <c r="F439" s="5">
        <v>506.9</v>
      </c>
      <c r="G439" s="6">
        <v>44688</v>
      </c>
      <c r="H439" s="5"/>
      <c r="I439" s="5"/>
      <c r="J439" s="5">
        <f t="shared" si="55"/>
        <v>9.2999999999999545</v>
      </c>
      <c r="K439" s="8" t="b">
        <f t="shared" si="56"/>
        <v>0</v>
      </c>
    </row>
    <row r="440" spans="1:11">
      <c r="A440" s="5" t="s">
        <v>76</v>
      </c>
      <c r="B440" s="6">
        <v>44691</v>
      </c>
      <c r="C440" s="7">
        <v>0.7</v>
      </c>
      <c r="D440" s="5">
        <v>8.2899999999999991</v>
      </c>
      <c r="E440" s="5">
        <v>516</v>
      </c>
      <c r="F440" s="5">
        <v>526.6</v>
      </c>
      <c r="G440" s="6">
        <v>44691</v>
      </c>
      <c r="H440" s="5"/>
      <c r="I440" s="5"/>
      <c r="J440" s="5">
        <f t="shared" si="55"/>
        <v>10.600000000000023</v>
      </c>
      <c r="K440" s="8" t="b">
        <f t="shared" si="56"/>
        <v>0</v>
      </c>
    </row>
    <row r="441" spans="1:11">
      <c r="A441" s="5" t="s">
        <v>76</v>
      </c>
      <c r="B441" s="6">
        <v>44694</v>
      </c>
      <c r="C441" s="7">
        <v>0.7</v>
      </c>
      <c r="D441" s="5">
        <v>8.2899999999999991</v>
      </c>
      <c r="E441" s="5">
        <v>541.5</v>
      </c>
      <c r="F441" s="5">
        <v>569.1</v>
      </c>
      <c r="G441" s="6">
        <v>44694</v>
      </c>
      <c r="H441" s="5"/>
      <c r="I441" s="5"/>
      <c r="J441" s="5">
        <f t="shared" si="55"/>
        <v>27.600000000000023</v>
      </c>
      <c r="K441" s="8" t="b">
        <f t="shared" si="56"/>
        <v>0</v>
      </c>
    </row>
    <row r="442" spans="1:11">
      <c r="A442" s="5" t="s">
        <v>76</v>
      </c>
      <c r="B442" s="6">
        <v>44697</v>
      </c>
      <c r="C442" s="7">
        <v>0.7</v>
      </c>
      <c r="D442" s="5">
        <v>8.2899999999999991</v>
      </c>
      <c r="E442" s="5">
        <v>471.9</v>
      </c>
      <c r="F442" s="5">
        <v>485.5</v>
      </c>
      <c r="G442" s="6">
        <v>44697</v>
      </c>
      <c r="H442" s="5"/>
      <c r="I442" s="5"/>
      <c r="J442" s="5">
        <f t="shared" si="55"/>
        <v>13.600000000000023</v>
      </c>
      <c r="K442" s="8" t="b">
        <f t="shared" si="56"/>
        <v>0</v>
      </c>
    </row>
    <row r="443" spans="1:11">
      <c r="A443" s="5" t="s">
        <v>76</v>
      </c>
      <c r="B443" s="6">
        <v>44699</v>
      </c>
      <c r="C443" s="7">
        <v>0.5</v>
      </c>
      <c r="D443" s="5">
        <v>11.6</v>
      </c>
      <c r="E443" s="5">
        <v>493.7</v>
      </c>
      <c r="F443" s="5">
        <v>505.6</v>
      </c>
      <c r="G443" s="6">
        <v>44699</v>
      </c>
      <c r="H443" s="5"/>
      <c r="I443" s="5"/>
      <c r="J443" s="5">
        <f t="shared" si="55"/>
        <v>11.900000000000034</v>
      </c>
      <c r="K443" s="8" t="b">
        <f t="shared" si="56"/>
        <v>0</v>
      </c>
    </row>
    <row r="444" spans="1:11">
      <c r="A444" s="5" t="s">
        <v>76</v>
      </c>
      <c r="B444" s="6">
        <v>44701</v>
      </c>
      <c r="C444" s="7">
        <v>1</v>
      </c>
      <c r="D444" s="5">
        <v>5.8</v>
      </c>
      <c r="E444" s="5">
        <v>513.20000000000005</v>
      </c>
      <c r="F444" s="5">
        <v>519.4</v>
      </c>
      <c r="G444" s="6">
        <v>44701</v>
      </c>
      <c r="H444" s="5"/>
      <c r="I444" s="5"/>
      <c r="J444" s="5">
        <f t="shared" si="55"/>
        <v>6.1999999999999318</v>
      </c>
      <c r="K444" s="8" t="b">
        <f t="shared" si="56"/>
        <v>0</v>
      </c>
    </row>
    <row r="445" spans="1:11">
      <c r="A445" s="5" t="s">
        <v>76</v>
      </c>
      <c r="B445" s="6">
        <v>44704</v>
      </c>
      <c r="C445" s="7">
        <v>0.5</v>
      </c>
      <c r="D445" s="5">
        <v>11.6</v>
      </c>
      <c r="E445" s="5">
        <v>527.79999999999995</v>
      </c>
      <c r="F445" s="5">
        <v>539.20000000000005</v>
      </c>
      <c r="G445" s="6">
        <v>44704</v>
      </c>
      <c r="H445" s="5"/>
      <c r="I445" s="5"/>
      <c r="J445" s="5">
        <f t="shared" si="55"/>
        <v>11.400000000000091</v>
      </c>
      <c r="K445" s="8" t="b">
        <f t="shared" si="56"/>
        <v>0</v>
      </c>
    </row>
    <row r="446" spans="1:11">
      <c r="A446" s="25" t="s">
        <v>76</v>
      </c>
      <c r="B446" s="26">
        <v>44708</v>
      </c>
      <c r="C446" s="27">
        <v>1</v>
      </c>
      <c r="D446" s="25">
        <v>5.8</v>
      </c>
      <c r="E446" s="25">
        <v>554.6</v>
      </c>
      <c r="F446" s="25">
        <v>560.4</v>
      </c>
      <c r="G446" s="26">
        <v>44708</v>
      </c>
      <c r="H446" s="25"/>
      <c r="I446" s="25"/>
      <c r="J446" s="25">
        <f t="shared" si="55"/>
        <v>5.7999999999999545</v>
      </c>
      <c r="K446" s="28" t="b">
        <f>E446=F445</f>
        <v>0</v>
      </c>
    </row>
    <row r="447" spans="1:11">
      <c r="A447" s="5" t="s">
        <v>76</v>
      </c>
      <c r="B447" s="6">
        <v>44710</v>
      </c>
      <c r="C447" s="7">
        <v>0.5</v>
      </c>
      <c r="D447" s="5">
        <v>11.6</v>
      </c>
      <c r="E447" s="5">
        <v>581.1</v>
      </c>
      <c r="F447" s="5">
        <v>597.9</v>
      </c>
      <c r="G447" s="6">
        <v>44710</v>
      </c>
      <c r="H447" s="5"/>
      <c r="I447" s="5"/>
      <c r="J447" s="5">
        <f t="shared" si="55"/>
        <v>16.799999999999955</v>
      </c>
      <c r="K447" s="8" t="b">
        <f t="shared" si="56"/>
        <v>0</v>
      </c>
    </row>
    <row r="448" spans="1:11">
      <c r="A448" s="5" t="s">
        <v>76</v>
      </c>
      <c r="B448" s="6">
        <v>44712</v>
      </c>
      <c r="C448" s="7">
        <v>0.7</v>
      </c>
      <c r="D448" s="5">
        <v>8.2899999999999991</v>
      </c>
      <c r="E448" s="5">
        <v>590.20000000000005</v>
      </c>
      <c r="F448" s="5">
        <v>598</v>
      </c>
      <c r="G448" s="6">
        <v>44712</v>
      </c>
      <c r="H448" s="5"/>
      <c r="I448" s="5"/>
      <c r="J448" s="5">
        <f t="shared" si="55"/>
        <v>7.7999999999999545</v>
      </c>
      <c r="K448" s="8" t="b">
        <f t="shared" si="56"/>
        <v>0</v>
      </c>
    </row>
    <row r="449" spans="1:11">
      <c r="A449" s="5" t="s">
        <v>76</v>
      </c>
      <c r="B449" s="6">
        <v>44714</v>
      </c>
      <c r="C449" s="7">
        <v>0.7</v>
      </c>
      <c r="D449" s="5">
        <v>8.2899999999999991</v>
      </c>
      <c r="E449" s="5">
        <v>606.20000000000005</v>
      </c>
      <c r="F449" s="5">
        <v>614.29999999999995</v>
      </c>
      <c r="G449" s="6">
        <v>44714</v>
      </c>
      <c r="H449" s="5"/>
      <c r="I449" s="5"/>
      <c r="J449" s="5">
        <f t="shared" si="55"/>
        <v>8.0999999999999091</v>
      </c>
      <c r="K449" s="8" t="b">
        <f t="shared" si="56"/>
        <v>0</v>
      </c>
    </row>
    <row r="450" spans="1:11">
      <c r="A450" s="5" t="s">
        <v>76</v>
      </c>
      <c r="B450" s="6">
        <v>44716</v>
      </c>
      <c r="C450" s="7">
        <v>0.7</v>
      </c>
      <c r="D450" s="5">
        <v>8.2899999999999991</v>
      </c>
      <c r="E450" s="5">
        <v>622.6</v>
      </c>
      <c r="F450" s="5">
        <v>630.70000000000005</v>
      </c>
      <c r="G450" s="6">
        <v>44716</v>
      </c>
      <c r="H450" s="5"/>
      <c r="I450" s="5"/>
      <c r="J450" s="5">
        <f t="shared" si="55"/>
        <v>8.1000000000000227</v>
      </c>
      <c r="K450" s="8" t="b">
        <f t="shared" si="56"/>
        <v>0</v>
      </c>
    </row>
    <row r="451" spans="1:11">
      <c r="A451" s="5" t="s">
        <v>76</v>
      </c>
      <c r="B451" s="6">
        <v>44719</v>
      </c>
      <c r="C451" s="7">
        <v>0.6</v>
      </c>
      <c r="D451" s="5">
        <v>9.67</v>
      </c>
      <c r="E451" s="5">
        <v>639</v>
      </c>
      <c r="F451" s="5">
        <v>649.1</v>
      </c>
      <c r="G451" s="6">
        <v>44719</v>
      </c>
      <c r="H451" s="5"/>
      <c r="I451" s="5"/>
      <c r="J451" s="5">
        <f t="shared" si="55"/>
        <v>10.100000000000023</v>
      </c>
      <c r="K451" s="8" t="b">
        <f t="shared" si="56"/>
        <v>0</v>
      </c>
    </row>
    <row r="452" spans="1:11">
      <c r="A452" s="25" t="s">
        <v>76</v>
      </c>
      <c r="B452" s="26">
        <v>44722</v>
      </c>
      <c r="C452" s="27">
        <v>1</v>
      </c>
      <c r="D452" s="25">
        <v>5.8</v>
      </c>
      <c r="E452" s="25">
        <v>649.1</v>
      </c>
      <c r="F452" s="25">
        <v>670.4</v>
      </c>
      <c r="G452" s="26">
        <v>44783</v>
      </c>
      <c r="H452" s="25"/>
      <c r="I452" s="25"/>
      <c r="J452" s="25">
        <f t="shared" si="55"/>
        <v>21.299999999999955</v>
      </c>
      <c r="K452" s="28" t="b">
        <f t="shared" si="56"/>
        <v>1</v>
      </c>
    </row>
    <row r="453" spans="1:11">
      <c r="A453" s="5" t="s">
        <v>76</v>
      </c>
      <c r="B453" s="6">
        <v>44724</v>
      </c>
      <c r="C453" s="7">
        <v>0.7</v>
      </c>
      <c r="D453" s="5">
        <v>8.2899999999999991</v>
      </c>
      <c r="E453" s="5">
        <v>670.4</v>
      </c>
      <c r="F453" s="5">
        <v>678.6</v>
      </c>
      <c r="G453" s="6">
        <v>44724</v>
      </c>
      <c r="H453" s="5"/>
      <c r="I453" s="5"/>
      <c r="J453" s="5">
        <f t="shared" si="55"/>
        <v>8.2000000000000455</v>
      </c>
      <c r="K453" s="8" t="b">
        <f t="shared" si="56"/>
        <v>1</v>
      </c>
    </row>
    <row r="454" spans="1:11">
      <c r="A454" s="5" t="s">
        <v>76</v>
      </c>
      <c r="B454" s="6">
        <v>44727</v>
      </c>
      <c r="C454" s="7">
        <v>0.6</v>
      </c>
      <c r="D454" s="5">
        <v>9.67</v>
      </c>
      <c r="E454" s="5">
        <v>688.6</v>
      </c>
      <c r="F454" s="5">
        <v>698.5</v>
      </c>
      <c r="G454" s="6">
        <v>44727</v>
      </c>
      <c r="H454" s="5"/>
      <c r="I454" s="5"/>
      <c r="J454" s="5">
        <f t="shared" si="55"/>
        <v>9.8999999999999773</v>
      </c>
      <c r="K454" s="8" t="b">
        <f t="shared" si="56"/>
        <v>0</v>
      </c>
    </row>
    <row r="455" spans="1:11">
      <c r="A455" s="5" t="s">
        <v>76</v>
      </c>
      <c r="B455" s="6">
        <v>44729</v>
      </c>
      <c r="C455" s="7">
        <v>0.8</v>
      </c>
      <c r="D455" s="5">
        <v>7.34</v>
      </c>
      <c r="E455" s="5">
        <v>701.6</v>
      </c>
      <c r="F455" s="5">
        <v>713.4</v>
      </c>
      <c r="G455" s="6">
        <v>44729</v>
      </c>
      <c r="H455" s="5"/>
      <c r="I455" s="5"/>
      <c r="J455" s="5">
        <f t="shared" si="55"/>
        <v>11.799999999999955</v>
      </c>
      <c r="K455" s="8" t="b">
        <f t="shared" si="56"/>
        <v>0</v>
      </c>
    </row>
    <row r="456" spans="1:11">
      <c r="A456" s="5" t="s">
        <v>76</v>
      </c>
      <c r="B456" s="6">
        <v>44731</v>
      </c>
      <c r="C456" s="7">
        <v>0.8</v>
      </c>
      <c r="D456" s="5">
        <v>7.34</v>
      </c>
      <c r="E456" s="5">
        <v>713.4</v>
      </c>
      <c r="F456" s="5">
        <v>722.2</v>
      </c>
      <c r="G456" s="6">
        <v>44823</v>
      </c>
      <c r="H456" s="5"/>
      <c r="I456" s="5"/>
      <c r="J456" s="5">
        <f t="shared" si="55"/>
        <v>8.8000000000000682</v>
      </c>
      <c r="K456" s="8" t="b">
        <f t="shared" si="56"/>
        <v>1</v>
      </c>
    </row>
    <row r="457" spans="1:11">
      <c r="A457" s="5" t="s">
        <v>76</v>
      </c>
      <c r="B457" s="6">
        <v>44736</v>
      </c>
      <c r="C457" s="7">
        <v>0.6</v>
      </c>
      <c r="D457" s="5">
        <v>9.67</v>
      </c>
      <c r="E457" s="5">
        <v>733</v>
      </c>
      <c r="F457" s="5">
        <v>743</v>
      </c>
      <c r="G457" s="6">
        <v>44736</v>
      </c>
      <c r="H457" s="5"/>
      <c r="I457" s="5"/>
      <c r="J457" s="5">
        <f t="shared" si="55"/>
        <v>10</v>
      </c>
      <c r="K457" s="8" t="b">
        <f t="shared" si="56"/>
        <v>0</v>
      </c>
    </row>
    <row r="458" spans="1:11">
      <c r="A458" s="5" t="s">
        <v>76</v>
      </c>
      <c r="B458" s="6">
        <v>44739</v>
      </c>
      <c r="C458" s="7">
        <v>0.6</v>
      </c>
      <c r="D458" s="5">
        <v>9.67</v>
      </c>
      <c r="E458" s="5">
        <v>743</v>
      </c>
      <c r="F458" s="5">
        <v>753.2</v>
      </c>
      <c r="G458" s="6">
        <v>44729</v>
      </c>
      <c r="H458" s="5"/>
      <c r="I458" s="5"/>
      <c r="J458" s="5">
        <f t="shared" si="55"/>
        <v>10.200000000000045</v>
      </c>
      <c r="K458" s="8" t="b">
        <f t="shared" si="56"/>
        <v>1</v>
      </c>
    </row>
    <row r="459" spans="1:11">
      <c r="A459" s="5" t="s">
        <v>76</v>
      </c>
      <c r="B459" s="6">
        <v>44744</v>
      </c>
      <c r="C459" s="7">
        <v>0.6</v>
      </c>
      <c r="D459" s="5">
        <v>9.67</v>
      </c>
      <c r="E459" s="5">
        <v>753.2</v>
      </c>
      <c r="F459" s="5">
        <v>763.8</v>
      </c>
      <c r="G459" s="6">
        <v>44744</v>
      </c>
      <c r="H459" s="5"/>
      <c r="I459" s="5"/>
      <c r="J459" s="5">
        <f t="shared" si="55"/>
        <v>10.599999999999909</v>
      </c>
      <c r="K459" s="8" t="b">
        <f t="shared" si="56"/>
        <v>1</v>
      </c>
    </row>
    <row r="460" spans="1:11">
      <c r="A460" s="5" t="s">
        <v>76</v>
      </c>
      <c r="B460" s="6">
        <v>44747</v>
      </c>
      <c r="C460" s="7">
        <v>0.6</v>
      </c>
      <c r="D460" s="5">
        <v>9.67</v>
      </c>
      <c r="E460" s="5">
        <v>763.8</v>
      </c>
      <c r="F460" s="5">
        <v>777.4</v>
      </c>
      <c r="G460" s="6">
        <v>44747</v>
      </c>
      <c r="H460" s="5"/>
      <c r="I460" s="5"/>
      <c r="J460" s="5">
        <f t="shared" si="55"/>
        <v>13.600000000000023</v>
      </c>
      <c r="K460" s="8" t="b">
        <f t="shared" si="56"/>
        <v>1</v>
      </c>
    </row>
    <row r="461" spans="1:11">
      <c r="A461" s="5" t="s">
        <v>76</v>
      </c>
      <c r="B461" s="6">
        <v>44752</v>
      </c>
      <c r="C461" s="7">
        <v>0.6</v>
      </c>
      <c r="D461" s="5">
        <v>9.67</v>
      </c>
      <c r="E461" s="5">
        <v>777.4</v>
      </c>
      <c r="F461" s="5">
        <v>787.4</v>
      </c>
      <c r="G461" s="6">
        <v>44752</v>
      </c>
      <c r="H461" s="5"/>
      <c r="I461" s="5"/>
      <c r="J461" s="5">
        <f t="shared" si="55"/>
        <v>10</v>
      </c>
      <c r="K461" s="8" t="b">
        <f t="shared" si="56"/>
        <v>1</v>
      </c>
    </row>
    <row r="462" spans="1:11">
      <c r="A462" s="5" t="s">
        <v>76</v>
      </c>
      <c r="B462" s="6">
        <v>44756</v>
      </c>
      <c r="C462" s="7">
        <v>0.6</v>
      </c>
      <c r="D462" s="5">
        <v>9.67</v>
      </c>
      <c r="E462" s="5">
        <v>787.4</v>
      </c>
      <c r="F462" s="5">
        <v>797.3</v>
      </c>
      <c r="G462" s="6">
        <v>44756</v>
      </c>
      <c r="H462" s="5"/>
      <c r="I462" s="5"/>
      <c r="J462" s="5">
        <f t="shared" si="55"/>
        <v>9.8999999999999773</v>
      </c>
      <c r="K462" s="8" t="b">
        <f t="shared" si="56"/>
        <v>1</v>
      </c>
    </row>
    <row r="463" spans="1:11">
      <c r="A463" s="5" t="s">
        <v>76</v>
      </c>
      <c r="B463" s="6">
        <v>44759</v>
      </c>
      <c r="C463" s="7">
        <v>0.5</v>
      </c>
      <c r="D463" s="5">
        <v>11.6</v>
      </c>
      <c r="E463" s="5">
        <v>797.9</v>
      </c>
      <c r="F463" s="5">
        <v>810.9</v>
      </c>
      <c r="G463" s="6">
        <v>44759</v>
      </c>
      <c r="H463" s="5"/>
      <c r="I463" s="5"/>
      <c r="J463" s="5">
        <f t="shared" si="55"/>
        <v>13</v>
      </c>
      <c r="K463" s="8" t="b">
        <f>E463=F462</f>
        <v>0</v>
      </c>
    </row>
    <row r="464" spans="1:11">
      <c r="A464" s="5" t="s">
        <v>76</v>
      </c>
      <c r="B464" s="6"/>
      <c r="C464" s="7"/>
      <c r="D464" s="5"/>
      <c r="E464" s="5"/>
      <c r="F464" s="5"/>
      <c r="G464" s="6"/>
      <c r="H464" s="5"/>
      <c r="I464" s="5"/>
      <c r="J464" s="5">
        <f t="shared" si="55"/>
        <v>0</v>
      </c>
      <c r="K464" s="8" t="b">
        <f t="shared" si="56"/>
        <v>0</v>
      </c>
    </row>
    <row r="465" spans="1:11">
      <c r="A465" s="5" t="s">
        <v>76</v>
      </c>
      <c r="B465" s="6"/>
      <c r="C465" s="7"/>
      <c r="D465" s="5"/>
      <c r="E465" s="5"/>
      <c r="F465" s="5"/>
      <c r="G465" s="6"/>
      <c r="H465" s="5"/>
      <c r="I465" s="5"/>
      <c r="J465" s="5">
        <f t="shared" si="55"/>
        <v>0</v>
      </c>
      <c r="K465" s="8" t="b">
        <f t="shared" si="56"/>
        <v>1</v>
      </c>
    </row>
    <row r="468" spans="1:11" ht="26.25">
      <c r="A468" s="138" t="s">
        <v>72</v>
      </c>
      <c r="B468" s="159"/>
      <c r="C468" s="159"/>
      <c r="D468" s="159"/>
      <c r="E468" s="159"/>
      <c r="F468" s="159"/>
      <c r="G468" s="159"/>
      <c r="H468" s="159"/>
      <c r="I468" s="159"/>
      <c r="J468" s="159"/>
      <c r="K468" s="160"/>
    </row>
    <row r="469" spans="1:11" ht="26.25">
      <c r="A469" s="138" t="s">
        <v>69</v>
      </c>
      <c r="B469" s="159"/>
      <c r="C469" s="159"/>
      <c r="D469" s="159"/>
      <c r="E469" s="159"/>
      <c r="F469" s="159"/>
      <c r="G469" s="159"/>
      <c r="H469" s="159"/>
      <c r="I469" s="159"/>
      <c r="J469" s="159"/>
      <c r="K469" s="160"/>
    </row>
    <row r="470" spans="1:11" ht="15.75" thickBot="1"/>
    <row r="471" spans="1:11" ht="15.75" thickBot="1">
      <c r="A471" s="132" t="s">
        <v>2</v>
      </c>
      <c r="B471" s="133"/>
      <c r="C471" s="133"/>
      <c r="D471" s="133"/>
      <c r="E471" s="133"/>
      <c r="F471" s="133"/>
      <c r="G471" s="133"/>
      <c r="H471" s="133"/>
      <c r="I471" s="133"/>
      <c r="J471" s="133"/>
      <c r="K471" s="134"/>
    </row>
    <row r="473" spans="1:11" ht="19.5" thickBot="1">
      <c r="A473" s="1" t="s">
        <v>3</v>
      </c>
      <c r="B473" s="1"/>
      <c r="C473" s="1"/>
      <c r="D473" s="1"/>
      <c r="E473" s="1"/>
      <c r="F473" s="1"/>
      <c r="G473" s="1"/>
      <c r="H473" s="1"/>
      <c r="I473" s="1"/>
    </row>
    <row r="474" spans="1:11" ht="30.75" thickBot="1">
      <c r="A474" s="2" t="s">
        <v>4</v>
      </c>
      <c r="B474" s="3" t="s">
        <v>5</v>
      </c>
      <c r="C474" s="3" t="s">
        <v>6</v>
      </c>
      <c r="D474" s="3" t="s">
        <v>7</v>
      </c>
      <c r="E474" s="3" t="s">
        <v>8</v>
      </c>
      <c r="F474" s="3" t="s">
        <v>9</v>
      </c>
      <c r="G474" s="3" t="s">
        <v>10</v>
      </c>
      <c r="H474" s="3" t="s">
        <v>21</v>
      </c>
      <c r="I474" s="4" t="s">
        <v>22</v>
      </c>
      <c r="J474" s="4" t="s">
        <v>11</v>
      </c>
      <c r="K474" s="4" t="s">
        <v>12</v>
      </c>
    </row>
    <row r="475" spans="1:11">
      <c r="A475" s="5" t="s">
        <v>89</v>
      </c>
      <c r="B475" s="6">
        <v>44814</v>
      </c>
      <c r="C475" s="7">
        <v>0.5</v>
      </c>
      <c r="D475" s="5">
        <v>11.6</v>
      </c>
      <c r="E475" s="5">
        <v>814.3</v>
      </c>
      <c r="F475" s="5">
        <v>825.7</v>
      </c>
      <c r="G475" s="6">
        <v>44814</v>
      </c>
      <c r="H475" s="5"/>
      <c r="I475" s="5"/>
      <c r="J475" s="5">
        <f>F475-E475</f>
        <v>11.400000000000091</v>
      </c>
      <c r="K475" s="8" t="b">
        <f>E475=F463</f>
        <v>0</v>
      </c>
    </row>
    <row r="476" spans="1:11">
      <c r="A476" s="5" t="s">
        <v>89</v>
      </c>
      <c r="B476" s="6">
        <v>44816</v>
      </c>
      <c r="C476" s="7">
        <v>0.55000000000000004</v>
      </c>
      <c r="D476" s="5">
        <v>10.55</v>
      </c>
      <c r="E476" s="5">
        <v>825.7</v>
      </c>
      <c r="F476" s="5">
        <v>840.5</v>
      </c>
      <c r="G476" s="6">
        <v>44816</v>
      </c>
      <c r="H476" s="5"/>
      <c r="I476" s="5"/>
      <c r="J476" s="5">
        <f>F476-E476</f>
        <v>14.799999999999955</v>
      </c>
      <c r="K476" s="8" t="b">
        <f>E476=F475</f>
        <v>1</v>
      </c>
    </row>
    <row r="477" spans="1:11">
      <c r="A477" s="5" t="s">
        <v>89</v>
      </c>
      <c r="B477" s="6">
        <v>44817</v>
      </c>
      <c r="C477" s="7">
        <v>0.7</v>
      </c>
      <c r="D477" s="5">
        <v>8.2899999999999991</v>
      </c>
      <c r="E477" s="5">
        <v>840.5</v>
      </c>
      <c r="F477" s="5">
        <v>849.2</v>
      </c>
      <c r="G477" s="6">
        <v>44817</v>
      </c>
      <c r="H477" s="5"/>
      <c r="I477" s="5"/>
      <c r="J477" s="5">
        <f>F477-E477</f>
        <v>8.7000000000000455</v>
      </c>
      <c r="K477" s="8" t="b">
        <f t="shared" ref="K477:K512" si="57">E477=F476</f>
        <v>1</v>
      </c>
    </row>
    <row r="478" spans="1:11">
      <c r="A478" s="5" t="s">
        <v>89</v>
      </c>
      <c r="B478" s="6">
        <v>44841</v>
      </c>
      <c r="C478" s="7">
        <v>0.5</v>
      </c>
      <c r="D478" s="5">
        <v>11.6</v>
      </c>
      <c r="E478" s="5">
        <v>849.2</v>
      </c>
      <c r="F478" s="5">
        <v>873.3</v>
      </c>
      <c r="G478" s="6">
        <v>44841</v>
      </c>
      <c r="H478" s="5"/>
      <c r="I478" s="5"/>
      <c r="J478" s="5">
        <f>F478-E478</f>
        <v>24.099999999999909</v>
      </c>
      <c r="K478" s="8" t="b">
        <f t="shared" si="57"/>
        <v>1</v>
      </c>
    </row>
    <row r="479" spans="1:11">
      <c r="A479" s="5" t="s">
        <v>89</v>
      </c>
      <c r="B479" s="6">
        <v>44843</v>
      </c>
      <c r="C479" s="7">
        <v>1</v>
      </c>
      <c r="D479" s="5">
        <v>5.8</v>
      </c>
      <c r="E479" s="5">
        <v>873.3</v>
      </c>
      <c r="F479" s="5">
        <v>884.8</v>
      </c>
      <c r="G479" s="6">
        <v>44843</v>
      </c>
      <c r="H479" s="5"/>
      <c r="I479" s="5"/>
      <c r="J479" s="5">
        <f t="shared" ref="J479:J493" si="58">F479-E479</f>
        <v>11.5</v>
      </c>
      <c r="K479" s="8" t="b">
        <f t="shared" si="57"/>
        <v>1</v>
      </c>
    </row>
    <row r="480" spans="1:11">
      <c r="A480" s="5" t="s">
        <v>89</v>
      </c>
      <c r="B480" s="6">
        <v>44844</v>
      </c>
      <c r="C480" s="7">
        <v>1</v>
      </c>
      <c r="D480" s="5">
        <v>5.8</v>
      </c>
      <c r="E480" s="5">
        <v>884.8</v>
      </c>
      <c r="F480" s="5">
        <v>897.4</v>
      </c>
      <c r="G480" s="6">
        <v>44844</v>
      </c>
      <c r="H480" s="5"/>
      <c r="I480" s="5"/>
      <c r="J480" s="5">
        <f t="shared" si="58"/>
        <v>12.600000000000023</v>
      </c>
      <c r="K480" s="8" t="b">
        <f t="shared" si="57"/>
        <v>1</v>
      </c>
    </row>
    <row r="481" spans="1:11">
      <c r="A481" s="5" t="s">
        <v>89</v>
      </c>
      <c r="B481" s="6">
        <v>44845</v>
      </c>
      <c r="C481" s="7">
        <v>1</v>
      </c>
      <c r="D481" s="5">
        <v>5.8</v>
      </c>
      <c r="E481" s="5">
        <v>897.4</v>
      </c>
      <c r="F481" s="5">
        <v>909.5</v>
      </c>
      <c r="G481" s="6">
        <v>44845</v>
      </c>
      <c r="H481" s="5"/>
      <c r="I481" s="5"/>
      <c r="J481" s="5">
        <f t="shared" si="58"/>
        <v>12.100000000000023</v>
      </c>
      <c r="K481" s="8" t="b">
        <f t="shared" si="57"/>
        <v>1</v>
      </c>
    </row>
    <row r="482" spans="1:11">
      <c r="A482" s="5" t="s">
        <v>89</v>
      </c>
      <c r="B482" s="6">
        <v>44846</v>
      </c>
      <c r="C482" s="7">
        <v>1</v>
      </c>
      <c r="D482" s="5">
        <v>5.8</v>
      </c>
      <c r="E482" s="5">
        <v>909.5</v>
      </c>
      <c r="F482" s="5">
        <v>921.8</v>
      </c>
      <c r="G482" s="6">
        <v>44846</v>
      </c>
      <c r="H482" s="5"/>
      <c r="I482" s="5"/>
      <c r="J482" s="5">
        <f t="shared" si="58"/>
        <v>12.299999999999955</v>
      </c>
      <c r="K482" s="8" t="b">
        <f t="shared" si="57"/>
        <v>1</v>
      </c>
    </row>
    <row r="483" spans="1:11">
      <c r="A483" s="5" t="s">
        <v>89</v>
      </c>
      <c r="B483" s="6">
        <v>44847</v>
      </c>
      <c r="C483" s="7">
        <v>1</v>
      </c>
      <c r="D483" s="5">
        <v>5.8</v>
      </c>
      <c r="E483" s="5">
        <v>921.8</v>
      </c>
      <c r="F483" s="5">
        <v>937.8</v>
      </c>
      <c r="G483" s="6">
        <v>44847</v>
      </c>
      <c r="H483" s="5"/>
      <c r="I483" s="5"/>
      <c r="J483" s="5">
        <f t="shared" si="58"/>
        <v>16</v>
      </c>
      <c r="K483" s="8" t="b">
        <f t="shared" si="57"/>
        <v>1</v>
      </c>
    </row>
    <row r="484" spans="1:11">
      <c r="A484" s="5" t="s">
        <v>89</v>
      </c>
      <c r="B484" s="6">
        <v>44848</v>
      </c>
      <c r="C484" s="7">
        <v>1</v>
      </c>
      <c r="D484" s="5">
        <v>5.8</v>
      </c>
      <c r="E484" s="5">
        <v>0.1</v>
      </c>
      <c r="F484" s="5">
        <v>14.5</v>
      </c>
      <c r="G484" s="6">
        <v>44848</v>
      </c>
      <c r="H484" s="5"/>
      <c r="I484" s="5"/>
      <c r="J484" s="5">
        <f t="shared" si="58"/>
        <v>14.4</v>
      </c>
      <c r="K484" s="8" t="b">
        <f t="shared" si="57"/>
        <v>0</v>
      </c>
    </row>
    <row r="485" spans="1:11">
      <c r="A485" s="5" t="s">
        <v>89</v>
      </c>
      <c r="B485" s="6">
        <v>44849</v>
      </c>
      <c r="C485" s="7">
        <v>1</v>
      </c>
      <c r="D485" s="5">
        <v>5.8</v>
      </c>
      <c r="E485" s="5">
        <v>14.5</v>
      </c>
      <c r="F485" s="5">
        <v>26.3</v>
      </c>
      <c r="G485" s="6">
        <v>44849</v>
      </c>
      <c r="H485" s="5"/>
      <c r="I485" s="5"/>
      <c r="J485" s="5">
        <f t="shared" si="58"/>
        <v>11.8</v>
      </c>
      <c r="K485" s="8" t="b">
        <f t="shared" si="57"/>
        <v>1</v>
      </c>
    </row>
    <row r="486" spans="1:11">
      <c r="A486" s="5" t="s">
        <v>89</v>
      </c>
      <c r="B486" s="6">
        <v>44850</v>
      </c>
      <c r="C486" s="7">
        <v>1</v>
      </c>
      <c r="D486" s="5">
        <v>5.8</v>
      </c>
      <c r="E486" s="5">
        <v>26.3</v>
      </c>
      <c r="F486" s="5">
        <v>38</v>
      </c>
      <c r="G486" s="6">
        <v>44850</v>
      </c>
      <c r="H486" s="5"/>
      <c r="I486" s="5"/>
      <c r="J486" s="5">
        <f t="shared" si="58"/>
        <v>11.7</v>
      </c>
      <c r="K486" s="8" t="b">
        <f t="shared" si="57"/>
        <v>1</v>
      </c>
    </row>
    <row r="487" spans="1:11">
      <c r="A487" s="5" t="s">
        <v>89</v>
      </c>
      <c r="B487" s="6">
        <v>44851</v>
      </c>
      <c r="C487" s="7">
        <v>1</v>
      </c>
      <c r="D487" s="5">
        <v>5.8</v>
      </c>
      <c r="E487" s="5">
        <v>38</v>
      </c>
      <c r="F487" s="5">
        <v>49.6</v>
      </c>
      <c r="G487" s="6">
        <v>44851</v>
      </c>
      <c r="H487" s="5"/>
      <c r="I487" s="5"/>
      <c r="J487" s="5">
        <f t="shared" si="58"/>
        <v>11.600000000000001</v>
      </c>
      <c r="K487" s="8" t="b">
        <f t="shared" si="57"/>
        <v>1</v>
      </c>
    </row>
    <row r="488" spans="1:11">
      <c r="A488" s="5" t="s">
        <v>89</v>
      </c>
      <c r="B488" s="6">
        <v>44852</v>
      </c>
      <c r="C488" s="7">
        <v>1</v>
      </c>
      <c r="D488" s="5">
        <v>5.8</v>
      </c>
      <c r="E488" s="5">
        <v>49.6</v>
      </c>
      <c r="F488" s="5">
        <v>62.6</v>
      </c>
      <c r="G488" s="6">
        <v>44852</v>
      </c>
      <c r="H488" s="5"/>
      <c r="I488" s="5"/>
      <c r="J488" s="5">
        <f t="shared" si="58"/>
        <v>13</v>
      </c>
      <c r="K488" s="8" t="b">
        <f t="shared" si="57"/>
        <v>1</v>
      </c>
    </row>
    <row r="489" spans="1:11">
      <c r="A489" s="5" t="s">
        <v>89</v>
      </c>
      <c r="B489" s="6">
        <v>44854</v>
      </c>
      <c r="C489" s="7">
        <v>1</v>
      </c>
      <c r="D489" s="5">
        <v>5.8</v>
      </c>
      <c r="E489" s="5">
        <v>62.6</v>
      </c>
      <c r="F489" s="5">
        <v>78.599999999999994</v>
      </c>
      <c r="G489" s="6">
        <v>44854</v>
      </c>
      <c r="H489" s="5"/>
      <c r="I489" s="5"/>
      <c r="J489" s="5">
        <f t="shared" si="58"/>
        <v>15.999999999999993</v>
      </c>
      <c r="K489" s="8" t="b">
        <f t="shared" si="57"/>
        <v>1</v>
      </c>
    </row>
    <row r="490" spans="1:11">
      <c r="A490" s="5" t="s">
        <v>89</v>
      </c>
      <c r="B490" s="6">
        <v>44856</v>
      </c>
      <c r="C490" s="7">
        <v>0.7</v>
      </c>
      <c r="D490" s="5">
        <v>8.2899999999999991</v>
      </c>
      <c r="E490" s="5">
        <v>78.599999999999994</v>
      </c>
      <c r="F490" s="5">
        <v>95.4</v>
      </c>
      <c r="G490" s="6">
        <v>44856</v>
      </c>
      <c r="H490" s="5"/>
      <c r="I490" s="5"/>
      <c r="J490" s="5">
        <f t="shared" si="58"/>
        <v>16.800000000000011</v>
      </c>
      <c r="K490" s="8" t="b">
        <f t="shared" si="57"/>
        <v>1</v>
      </c>
    </row>
    <row r="491" spans="1:11">
      <c r="A491" s="5" t="s">
        <v>89</v>
      </c>
      <c r="B491" s="6">
        <v>44858</v>
      </c>
      <c r="C491" s="7">
        <v>0.7</v>
      </c>
      <c r="D491" s="5">
        <v>8.2899999999999991</v>
      </c>
      <c r="E491" s="5">
        <v>95.4</v>
      </c>
      <c r="F491" s="5">
        <v>112.4</v>
      </c>
      <c r="G491" s="6">
        <v>44858</v>
      </c>
      <c r="H491" s="5"/>
      <c r="I491" s="5"/>
      <c r="J491" s="5">
        <f t="shared" si="58"/>
        <v>17</v>
      </c>
      <c r="K491" s="8" t="b">
        <f t="shared" si="57"/>
        <v>1</v>
      </c>
    </row>
    <row r="492" spans="1:11">
      <c r="A492" s="5" t="s">
        <v>89</v>
      </c>
      <c r="B492" s="6">
        <v>44860</v>
      </c>
      <c r="C492" s="7">
        <v>0.7</v>
      </c>
      <c r="D492" s="5">
        <v>8.2899999999999991</v>
      </c>
      <c r="E492" s="5">
        <v>112.4</v>
      </c>
      <c r="F492" s="5">
        <v>129.4</v>
      </c>
      <c r="G492" s="6">
        <v>44860</v>
      </c>
      <c r="H492" s="5"/>
      <c r="I492" s="5"/>
      <c r="J492" s="5">
        <f t="shared" si="58"/>
        <v>17</v>
      </c>
      <c r="K492" s="8" t="b">
        <f t="shared" si="57"/>
        <v>1</v>
      </c>
    </row>
    <row r="493" spans="1:11">
      <c r="A493" s="5" t="s">
        <v>89</v>
      </c>
      <c r="B493" s="6">
        <v>44862</v>
      </c>
      <c r="C493" s="7">
        <v>0.7</v>
      </c>
      <c r="D493" s="5">
        <v>8.2899999999999991</v>
      </c>
      <c r="E493" s="5">
        <v>129.4</v>
      </c>
      <c r="F493" s="5">
        <v>138.4</v>
      </c>
      <c r="G493" s="6">
        <v>44862</v>
      </c>
      <c r="H493" s="5"/>
      <c r="I493" s="5"/>
      <c r="J493" s="5">
        <f t="shared" si="58"/>
        <v>9</v>
      </c>
      <c r="K493" s="8" t="b">
        <f t="shared" si="57"/>
        <v>1</v>
      </c>
    </row>
    <row r="494" spans="1:11">
      <c r="A494" s="5" t="s">
        <v>89</v>
      </c>
      <c r="B494" s="6">
        <v>44863</v>
      </c>
      <c r="C494" s="7">
        <v>1</v>
      </c>
      <c r="D494" s="5">
        <v>5.8</v>
      </c>
      <c r="E494" s="5">
        <v>138.4</v>
      </c>
      <c r="F494" s="5">
        <v>149.30000000000001</v>
      </c>
      <c r="G494" s="6">
        <v>44863</v>
      </c>
      <c r="H494" s="5"/>
      <c r="I494" s="5"/>
      <c r="J494" s="5">
        <f t="shared" ref="J494:J512" si="59">F494-E494</f>
        <v>10.900000000000006</v>
      </c>
      <c r="K494" s="8" t="b">
        <f t="shared" si="57"/>
        <v>1</v>
      </c>
    </row>
    <row r="495" spans="1:11">
      <c r="A495" s="5" t="s">
        <v>89</v>
      </c>
      <c r="B495" s="6">
        <v>44864</v>
      </c>
      <c r="C495" s="7">
        <v>0.7</v>
      </c>
      <c r="D495" s="5">
        <v>8.2899999999999991</v>
      </c>
      <c r="E495" s="5">
        <v>149.30000000000001</v>
      </c>
      <c r="F495" s="5">
        <v>166.8</v>
      </c>
      <c r="G495" s="6">
        <v>44864</v>
      </c>
      <c r="H495" s="5"/>
      <c r="I495" s="5"/>
      <c r="J495" s="5">
        <f t="shared" si="59"/>
        <v>17.5</v>
      </c>
      <c r="K495" s="8" t="b">
        <f t="shared" si="57"/>
        <v>1</v>
      </c>
    </row>
    <row r="496" spans="1:11">
      <c r="A496" s="5" t="s">
        <v>89</v>
      </c>
      <c r="B496" s="6">
        <v>44872</v>
      </c>
      <c r="C496" s="7">
        <v>0.7</v>
      </c>
      <c r="D496" s="5">
        <v>8.2899999999999991</v>
      </c>
      <c r="E496" s="5">
        <v>166.8</v>
      </c>
      <c r="F496" s="5">
        <v>183.3</v>
      </c>
      <c r="G496" s="6">
        <v>44872</v>
      </c>
      <c r="H496" s="5"/>
      <c r="I496" s="5"/>
      <c r="J496" s="5">
        <f t="shared" si="59"/>
        <v>16.5</v>
      </c>
      <c r="K496" s="8" t="b">
        <f t="shared" si="57"/>
        <v>1</v>
      </c>
    </row>
    <row r="497" spans="1:11">
      <c r="A497" s="5" t="s">
        <v>89</v>
      </c>
      <c r="B497" s="6">
        <v>44874</v>
      </c>
      <c r="C497" s="7">
        <v>0.7</v>
      </c>
      <c r="D497" s="5">
        <v>8.2899999999999991</v>
      </c>
      <c r="E497" s="5">
        <v>183.3</v>
      </c>
      <c r="F497" s="5">
        <v>199.8</v>
      </c>
      <c r="G497" s="6">
        <v>44874</v>
      </c>
      <c r="H497" s="5"/>
      <c r="I497" s="5"/>
      <c r="J497" s="5">
        <f t="shared" si="59"/>
        <v>16.5</v>
      </c>
      <c r="K497" s="8" t="b">
        <f t="shared" si="57"/>
        <v>1</v>
      </c>
    </row>
    <row r="498" spans="1:11">
      <c r="A498" s="5" t="s">
        <v>89</v>
      </c>
      <c r="B498" s="6">
        <v>44876</v>
      </c>
      <c r="C498" s="7">
        <v>0.7</v>
      </c>
      <c r="D498" s="5">
        <v>8.2899999999999991</v>
      </c>
      <c r="E498" s="5">
        <v>199.8</v>
      </c>
      <c r="F498" s="5">
        <v>216.6</v>
      </c>
      <c r="G498" s="6">
        <v>44876</v>
      </c>
      <c r="H498" s="5"/>
      <c r="I498" s="5"/>
      <c r="J498" s="5">
        <f t="shared" si="59"/>
        <v>16.799999999999983</v>
      </c>
      <c r="K498" s="8" t="b">
        <f t="shared" si="57"/>
        <v>1</v>
      </c>
    </row>
    <row r="499" spans="1:11">
      <c r="A499" s="49" t="s">
        <v>89</v>
      </c>
      <c r="B499" s="50">
        <v>44880</v>
      </c>
      <c r="C499" s="51">
        <v>1</v>
      </c>
      <c r="D499" s="49">
        <v>5.8</v>
      </c>
      <c r="E499" s="49">
        <v>233.1</v>
      </c>
      <c r="F499" s="49">
        <v>245.5</v>
      </c>
      <c r="G499" s="50">
        <v>44881</v>
      </c>
      <c r="H499" s="49"/>
      <c r="I499" s="49"/>
      <c r="J499" s="49">
        <f t="shared" si="59"/>
        <v>12.400000000000006</v>
      </c>
      <c r="K499" s="8" t="b">
        <f t="shared" si="57"/>
        <v>0</v>
      </c>
    </row>
    <row r="500" spans="1:11">
      <c r="A500" s="5" t="s">
        <v>89</v>
      </c>
      <c r="B500" s="6">
        <v>44896</v>
      </c>
      <c r="C500" s="7">
        <v>1</v>
      </c>
      <c r="D500" s="5">
        <v>5.8</v>
      </c>
      <c r="E500" s="5">
        <v>257.8</v>
      </c>
      <c r="F500" s="5">
        <v>260.10000000000002</v>
      </c>
      <c r="G500" s="6">
        <v>44896</v>
      </c>
      <c r="H500" s="5"/>
      <c r="I500" s="5"/>
      <c r="J500" s="5">
        <f t="shared" si="59"/>
        <v>2.3000000000000114</v>
      </c>
      <c r="K500" s="8" t="b">
        <f t="shared" si="57"/>
        <v>0</v>
      </c>
    </row>
    <row r="501" spans="1:11">
      <c r="A501" s="5" t="s">
        <v>89</v>
      </c>
      <c r="B501" s="6">
        <v>44897</v>
      </c>
      <c r="C501" s="7">
        <v>1</v>
      </c>
      <c r="D501" s="5">
        <v>5.8</v>
      </c>
      <c r="E501" s="5">
        <v>260.10000000000002</v>
      </c>
      <c r="F501" s="5">
        <v>267.7</v>
      </c>
      <c r="G501" s="6">
        <v>44897</v>
      </c>
      <c r="H501" s="5"/>
      <c r="I501" s="5"/>
      <c r="J501" s="5">
        <f t="shared" si="59"/>
        <v>7.5999999999999659</v>
      </c>
      <c r="K501" s="8" t="b">
        <f t="shared" si="57"/>
        <v>1</v>
      </c>
    </row>
    <row r="502" spans="1:11">
      <c r="A502" s="5" t="s">
        <v>89</v>
      </c>
      <c r="B502" s="6">
        <v>44900</v>
      </c>
      <c r="C502" s="7">
        <v>1</v>
      </c>
      <c r="D502" s="5">
        <v>5.8</v>
      </c>
      <c r="E502" s="5">
        <v>267.7</v>
      </c>
      <c r="F502" s="5">
        <v>282.10000000000002</v>
      </c>
      <c r="G502" s="6">
        <v>44900</v>
      </c>
      <c r="H502" s="5"/>
      <c r="I502" s="5"/>
      <c r="J502" s="5">
        <f t="shared" si="59"/>
        <v>14.400000000000034</v>
      </c>
      <c r="K502" s="8" t="b">
        <f t="shared" si="57"/>
        <v>1</v>
      </c>
    </row>
    <row r="503" spans="1:11">
      <c r="A503" s="5" t="s">
        <v>89</v>
      </c>
      <c r="B503" s="6">
        <v>44928</v>
      </c>
      <c r="C503" s="7">
        <v>0.7</v>
      </c>
      <c r="D503" s="5">
        <v>8.2899999999999991</v>
      </c>
      <c r="E503" s="5">
        <v>282.10000000000002</v>
      </c>
      <c r="F503" s="5">
        <v>299.3</v>
      </c>
      <c r="G503" s="6">
        <v>44929</v>
      </c>
      <c r="H503" s="5"/>
      <c r="I503" s="5"/>
      <c r="J503" s="5">
        <f t="shared" si="59"/>
        <v>17.199999999999989</v>
      </c>
      <c r="K503" s="8" t="b">
        <f t="shared" si="57"/>
        <v>1</v>
      </c>
    </row>
    <row r="504" spans="1:11">
      <c r="A504" s="5" t="s">
        <v>89</v>
      </c>
      <c r="B504" s="6">
        <v>44945</v>
      </c>
      <c r="C504" s="7">
        <v>0.7</v>
      </c>
      <c r="D504" s="5">
        <v>8.2899999999999991</v>
      </c>
      <c r="E504" s="5">
        <v>299.3</v>
      </c>
      <c r="F504" s="5">
        <v>316</v>
      </c>
      <c r="G504" s="6">
        <v>44946</v>
      </c>
      <c r="H504" s="5"/>
      <c r="I504" s="5"/>
      <c r="J504" s="5">
        <f t="shared" si="59"/>
        <v>16.699999999999989</v>
      </c>
      <c r="K504" s="8" t="b">
        <f t="shared" si="57"/>
        <v>1</v>
      </c>
    </row>
    <row r="505" spans="1:11">
      <c r="A505" s="5" t="s">
        <v>89</v>
      </c>
      <c r="B505" s="6"/>
      <c r="C505" s="7"/>
      <c r="D505" s="5"/>
      <c r="E505" s="5"/>
      <c r="F505" s="5"/>
      <c r="G505" s="6"/>
      <c r="H505" s="5"/>
      <c r="I505" s="5"/>
      <c r="J505" s="5">
        <f t="shared" si="59"/>
        <v>0</v>
      </c>
      <c r="K505" s="8" t="b">
        <f t="shared" si="57"/>
        <v>0</v>
      </c>
    </row>
    <row r="506" spans="1:11">
      <c r="A506" s="5" t="s">
        <v>89</v>
      </c>
      <c r="B506" s="6"/>
      <c r="C506" s="7"/>
      <c r="D506" s="5"/>
      <c r="E506" s="5"/>
      <c r="F506" s="5"/>
      <c r="G506" s="6"/>
      <c r="H506" s="5"/>
      <c r="I506" s="5"/>
      <c r="J506" s="5">
        <f t="shared" si="59"/>
        <v>0</v>
      </c>
      <c r="K506" s="8" t="b">
        <f t="shared" si="57"/>
        <v>1</v>
      </c>
    </row>
    <row r="507" spans="1:11">
      <c r="A507" s="5" t="s">
        <v>89</v>
      </c>
      <c r="B507" s="6"/>
      <c r="C507" s="7"/>
      <c r="D507" s="5"/>
      <c r="E507" s="5"/>
      <c r="F507" s="5"/>
      <c r="G507" s="6"/>
      <c r="H507" s="5"/>
      <c r="I507" s="5"/>
      <c r="J507" s="5">
        <f t="shared" si="59"/>
        <v>0</v>
      </c>
      <c r="K507" s="8" t="b">
        <f t="shared" si="57"/>
        <v>1</v>
      </c>
    </row>
    <row r="508" spans="1:11">
      <c r="A508" s="5" t="s">
        <v>89</v>
      </c>
      <c r="B508" s="6"/>
      <c r="C508" s="7"/>
      <c r="D508" s="5"/>
      <c r="E508" s="5"/>
      <c r="F508" s="5"/>
      <c r="G508" s="6"/>
      <c r="H508" s="5"/>
      <c r="I508" s="5"/>
      <c r="J508" s="5">
        <f t="shared" si="59"/>
        <v>0</v>
      </c>
      <c r="K508" s="8" t="b">
        <f t="shared" si="57"/>
        <v>1</v>
      </c>
    </row>
    <row r="509" spans="1:11">
      <c r="A509" s="5" t="s">
        <v>89</v>
      </c>
      <c r="B509" s="6"/>
      <c r="C509" s="7"/>
      <c r="D509" s="5"/>
      <c r="E509" s="5"/>
      <c r="F509" s="5"/>
      <c r="G509" s="6"/>
      <c r="H509" s="5"/>
      <c r="I509" s="5"/>
      <c r="J509" s="5">
        <f t="shared" si="59"/>
        <v>0</v>
      </c>
      <c r="K509" s="8" t="b">
        <f t="shared" si="57"/>
        <v>1</v>
      </c>
    </row>
    <row r="510" spans="1:11">
      <c r="A510" s="5" t="s">
        <v>89</v>
      </c>
      <c r="B510" s="6"/>
      <c r="C510" s="7"/>
      <c r="D510" s="5"/>
      <c r="E510" s="5"/>
      <c r="F510" s="5"/>
      <c r="G510" s="6"/>
      <c r="H510" s="5"/>
      <c r="I510" s="5"/>
      <c r="J510" s="5">
        <f t="shared" si="59"/>
        <v>0</v>
      </c>
      <c r="K510" s="8" t="b">
        <f t="shared" si="57"/>
        <v>1</v>
      </c>
    </row>
    <row r="511" spans="1:11">
      <c r="A511" s="5" t="s">
        <v>89</v>
      </c>
      <c r="B511" s="6"/>
      <c r="C511" s="7"/>
      <c r="D511" s="5"/>
      <c r="E511" s="5"/>
      <c r="F511" s="5"/>
      <c r="G511" s="6"/>
      <c r="H511" s="5"/>
      <c r="I511" s="5"/>
      <c r="J511" s="5">
        <f t="shared" si="59"/>
        <v>0</v>
      </c>
      <c r="K511" s="8" t="b">
        <f t="shared" si="57"/>
        <v>1</v>
      </c>
    </row>
    <row r="512" spans="1:11">
      <c r="A512" s="5" t="s">
        <v>89</v>
      </c>
      <c r="B512" s="6"/>
      <c r="C512" s="7"/>
      <c r="D512" s="5"/>
      <c r="E512" s="5"/>
      <c r="F512" s="5"/>
      <c r="G512" s="6"/>
      <c r="H512" s="5"/>
      <c r="I512" s="5"/>
      <c r="J512" s="5">
        <f t="shared" si="59"/>
        <v>0</v>
      </c>
      <c r="K512" s="8" t="b">
        <f t="shared" si="57"/>
        <v>1</v>
      </c>
    </row>
    <row r="514" spans="1:11" ht="26.25">
      <c r="A514" s="181" t="s">
        <v>72</v>
      </c>
      <c r="B514" s="182"/>
      <c r="C514" s="182"/>
      <c r="D514" s="182"/>
      <c r="E514" s="182"/>
      <c r="F514" s="182"/>
      <c r="G514" s="182"/>
      <c r="H514" s="182"/>
      <c r="I514" s="182"/>
      <c r="J514" s="182"/>
      <c r="K514" s="183"/>
    </row>
    <row r="515" spans="1:11" ht="26.25">
      <c r="A515" s="181" t="s">
        <v>17</v>
      </c>
      <c r="B515" s="182"/>
      <c r="C515" s="182"/>
      <c r="D515" s="182"/>
      <c r="E515" s="182"/>
      <c r="F515" s="182"/>
      <c r="G515" s="182"/>
      <c r="H515" s="182"/>
      <c r="I515" s="182"/>
      <c r="J515" s="182"/>
      <c r="K515" s="183"/>
    </row>
    <row r="516" spans="1:11" ht="15.75" thickBo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</row>
    <row r="517" spans="1:11" ht="15.75" thickBot="1">
      <c r="A517" s="132" t="s">
        <v>2</v>
      </c>
      <c r="B517" s="133"/>
      <c r="C517" s="133"/>
      <c r="D517" s="133"/>
      <c r="E517" s="133"/>
      <c r="F517" s="133"/>
      <c r="G517" s="133"/>
      <c r="H517" s="133"/>
      <c r="I517" s="133"/>
      <c r="J517" s="133"/>
      <c r="K517" s="134"/>
    </row>
    <row r="519" spans="1:11" ht="19.5" thickBot="1">
      <c r="A519" s="1" t="s">
        <v>3</v>
      </c>
      <c r="B519" s="1"/>
      <c r="C519" s="1"/>
      <c r="D519" s="1"/>
      <c r="E519" s="1"/>
      <c r="F519" s="1"/>
      <c r="G519" s="1"/>
      <c r="H519" s="1"/>
      <c r="I519" s="1"/>
    </row>
    <row r="520" spans="1:11" ht="30.75" thickBot="1">
      <c r="A520" s="2" t="s">
        <v>4</v>
      </c>
      <c r="B520" s="3" t="s">
        <v>5</v>
      </c>
      <c r="C520" s="3" t="s">
        <v>6</v>
      </c>
      <c r="D520" s="3" t="s">
        <v>7</v>
      </c>
      <c r="E520" s="3" t="s">
        <v>8</v>
      </c>
      <c r="F520" s="3" t="s">
        <v>9</v>
      </c>
      <c r="G520" s="3" t="s">
        <v>10</v>
      </c>
      <c r="H520" s="3" t="s">
        <v>21</v>
      </c>
      <c r="I520" s="4" t="s">
        <v>22</v>
      </c>
      <c r="J520" s="4" t="s">
        <v>11</v>
      </c>
      <c r="K520" s="4" t="s">
        <v>12</v>
      </c>
    </row>
    <row r="521" spans="1:11">
      <c r="A521" s="5" t="s">
        <v>89</v>
      </c>
      <c r="B521" s="6">
        <v>44961</v>
      </c>
      <c r="C521" s="7">
        <v>0.5</v>
      </c>
      <c r="D521" s="5">
        <v>11.6</v>
      </c>
      <c r="E521" s="5">
        <v>0</v>
      </c>
      <c r="F521" s="5">
        <v>24.2</v>
      </c>
      <c r="G521" s="6">
        <v>44961</v>
      </c>
      <c r="H521" s="5"/>
      <c r="I521" s="5"/>
      <c r="J521" s="5">
        <f>F521-E521</f>
        <v>24.2</v>
      </c>
      <c r="K521" s="8" t="b">
        <f>E521=F509</f>
        <v>1</v>
      </c>
    </row>
    <row r="522" spans="1:11">
      <c r="A522" s="5" t="s">
        <v>89</v>
      </c>
      <c r="B522" s="6">
        <v>44962</v>
      </c>
      <c r="C522" s="7">
        <v>0.7</v>
      </c>
      <c r="D522" s="5">
        <v>8.2899999999999991</v>
      </c>
      <c r="E522" s="5">
        <v>24.2</v>
      </c>
      <c r="F522" s="5">
        <v>41.3</v>
      </c>
      <c r="G522" s="6">
        <v>44962</v>
      </c>
      <c r="H522" s="5"/>
      <c r="I522" s="5"/>
      <c r="J522" s="5">
        <f>F522-E522</f>
        <v>17.099999999999998</v>
      </c>
      <c r="K522" s="8" t="b">
        <f>E522=F521</f>
        <v>1</v>
      </c>
    </row>
    <row r="523" spans="1:11">
      <c r="A523" s="5" t="s">
        <v>89</v>
      </c>
      <c r="B523" s="6">
        <v>44963</v>
      </c>
      <c r="C523" s="7">
        <v>1</v>
      </c>
      <c r="D523" s="5">
        <v>5.8</v>
      </c>
      <c r="E523" s="5">
        <v>41.3</v>
      </c>
      <c r="F523" s="5">
        <v>52.9</v>
      </c>
      <c r="G523" s="6">
        <v>44963</v>
      </c>
      <c r="H523" s="5"/>
      <c r="I523" s="5"/>
      <c r="J523" s="5">
        <f>F523-E523</f>
        <v>11.600000000000001</v>
      </c>
      <c r="K523" s="8" t="b">
        <f t="shared" ref="K523" si="60">E523=F522</f>
        <v>1</v>
      </c>
    </row>
    <row r="524" spans="1:11">
      <c r="A524" s="5" t="s">
        <v>89</v>
      </c>
      <c r="B524" s="6">
        <v>44964</v>
      </c>
      <c r="C524" s="7">
        <v>1</v>
      </c>
      <c r="D524" s="5">
        <v>5.8</v>
      </c>
      <c r="E524" s="5">
        <v>52.9</v>
      </c>
      <c r="F524" s="5">
        <v>64.599999999999994</v>
      </c>
      <c r="G524" s="6">
        <v>44964</v>
      </c>
      <c r="H524" s="5"/>
      <c r="I524" s="5"/>
      <c r="J524" s="5">
        <f t="shared" ref="J524:J532" si="61">F524-E524</f>
        <v>11.699999999999996</v>
      </c>
      <c r="K524" s="8" t="b">
        <f t="shared" ref="K524:K532" si="62">E524=F523</f>
        <v>1</v>
      </c>
    </row>
    <row r="525" spans="1:11">
      <c r="A525" s="5" t="s">
        <v>89</v>
      </c>
      <c r="B525" s="6">
        <v>44965</v>
      </c>
      <c r="C525" s="7">
        <v>1</v>
      </c>
      <c r="D525" s="5">
        <v>5.8</v>
      </c>
      <c r="E525" s="5">
        <v>64.599999999999994</v>
      </c>
      <c r="F525" s="5">
        <v>75.7</v>
      </c>
      <c r="G525" s="6">
        <v>44965</v>
      </c>
      <c r="H525" s="5"/>
      <c r="I525" s="5"/>
      <c r="J525" s="5">
        <f t="shared" si="61"/>
        <v>11.100000000000009</v>
      </c>
      <c r="K525" s="8" t="b">
        <f t="shared" si="62"/>
        <v>1</v>
      </c>
    </row>
    <row r="526" spans="1:11">
      <c r="A526" s="5" t="s">
        <v>89</v>
      </c>
      <c r="B526" s="6" t="s">
        <v>90</v>
      </c>
      <c r="C526" s="7">
        <v>0.8</v>
      </c>
      <c r="D526" s="5">
        <v>7.25</v>
      </c>
      <c r="E526" s="5">
        <v>75.7</v>
      </c>
      <c r="F526" s="5">
        <v>91.2</v>
      </c>
      <c r="G526" s="6">
        <v>44967</v>
      </c>
      <c r="H526" s="5"/>
      <c r="I526" s="5"/>
      <c r="J526" s="5">
        <f t="shared" si="61"/>
        <v>15.5</v>
      </c>
      <c r="K526" s="8" t="b">
        <f t="shared" si="62"/>
        <v>1</v>
      </c>
    </row>
    <row r="527" spans="1:11">
      <c r="A527" s="5" t="s">
        <v>89</v>
      </c>
      <c r="B527" s="6"/>
      <c r="C527" s="7"/>
      <c r="D527" s="5"/>
      <c r="E527" s="5"/>
      <c r="F527" s="5"/>
      <c r="G527" s="6"/>
      <c r="H527" s="5"/>
      <c r="I527" s="5"/>
      <c r="J527" s="5">
        <f t="shared" si="61"/>
        <v>0</v>
      </c>
      <c r="K527" s="8" t="b">
        <f t="shared" si="62"/>
        <v>0</v>
      </c>
    </row>
    <row r="528" spans="1:11">
      <c r="A528" s="5" t="s">
        <v>89</v>
      </c>
      <c r="B528" s="6">
        <v>44970</v>
      </c>
      <c r="C528" s="7">
        <v>0.8</v>
      </c>
      <c r="D528" s="5">
        <v>7.25</v>
      </c>
      <c r="E528" s="5">
        <v>67.8</v>
      </c>
      <c r="F528" s="5">
        <v>82.3</v>
      </c>
      <c r="G528" s="6">
        <v>44970</v>
      </c>
      <c r="H528" s="5"/>
      <c r="I528" s="5"/>
      <c r="J528" s="5">
        <f t="shared" si="61"/>
        <v>14.5</v>
      </c>
      <c r="K528" s="8" t="b">
        <f t="shared" si="62"/>
        <v>0</v>
      </c>
    </row>
    <row r="529" spans="1:11">
      <c r="A529" s="5" t="s">
        <v>89</v>
      </c>
      <c r="B529" s="6">
        <v>44973</v>
      </c>
      <c r="C529" s="7">
        <v>0.8</v>
      </c>
      <c r="D529" s="5">
        <v>7.25</v>
      </c>
      <c r="E529" s="5">
        <v>82.3</v>
      </c>
      <c r="F529" s="5">
        <v>96.7</v>
      </c>
      <c r="G529" s="6">
        <v>44973</v>
      </c>
      <c r="H529" s="5"/>
      <c r="I529" s="5"/>
      <c r="J529" s="5">
        <f t="shared" si="61"/>
        <v>14.400000000000006</v>
      </c>
      <c r="K529" s="8" t="b">
        <f t="shared" si="62"/>
        <v>1</v>
      </c>
    </row>
    <row r="530" spans="1:11">
      <c r="A530" s="5" t="s">
        <v>89</v>
      </c>
      <c r="B530" s="6">
        <v>44976</v>
      </c>
      <c r="C530" s="7">
        <v>0.8</v>
      </c>
      <c r="D530" s="5">
        <v>7.25</v>
      </c>
      <c r="E530" s="5">
        <v>96.7</v>
      </c>
      <c r="F530" s="5">
        <v>111.1</v>
      </c>
      <c r="G530" s="6">
        <v>44976</v>
      </c>
      <c r="H530" s="5"/>
      <c r="I530" s="5"/>
      <c r="J530" s="5">
        <f t="shared" si="61"/>
        <v>14.399999999999991</v>
      </c>
      <c r="K530" s="8" t="b">
        <f t="shared" si="62"/>
        <v>1</v>
      </c>
    </row>
    <row r="531" spans="1:11">
      <c r="A531" s="5" t="s">
        <v>89</v>
      </c>
      <c r="B531" s="6">
        <v>44979</v>
      </c>
      <c r="C531" s="7">
        <v>0.8</v>
      </c>
      <c r="D531" s="5">
        <v>7.25</v>
      </c>
      <c r="E531" s="5">
        <v>111.1</v>
      </c>
      <c r="F531" s="5">
        <v>125.5</v>
      </c>
      <c r="G531" s="6">
        <v>44979</v>
      </c>
      <c r="H531" s="5"/>
      <c r="I531" s="5"/>
      <c r="J531" s="5">
        <f t="shared" si="61"/>
        <v>14.400000000000006</v>
      </c>
      <c r="K531" s="8" t="b">
        <f t="shared" si="62"/>
        <v>1</v>
      </c>
    </row>
    <row r="532" spans="1:11">
      <c r="A532" s="5" t="s">
        <v>89</v>
      </c>
      <c r="B532" s="6">
        <v>44988</v>
      </c>
      <c r="C532" s="7">
        <v>0.6</v>
      </c>
      <c r="D532" s="5">
        <v>9.67</v>
      </c>
      <c r="E532" s="5">
        <v>125.5</v>
      </c>
      <c r="F532" s="5">
        <v>145.5</v>
      </c>
      <c r="G532" s="6">
        <v>44988</v>
      </c>
      <c r="H532" s="5"/>
      <c r="I532" s="5"/>
      <c r="J532" s="5">
        <f t="shared" si="61"/>
        <v>20</v>
      </c>
      <c r="K532" s="8" t="b">
        <f t="shared" si="62"/>
        <v>1</v>
      </c>
    </row>
    <row r="533" spans="1:11">
      <c r="A533" s="5" t="s">
        <v>89</v>
      </c>
      <c r="B533" s="6">
        <v>44991</v>
      </c>
      <c r="C533" s="7">
        <v>0.7</v>
      </c>
      <c r="D533" s="5">
        <v>8.2899999999999991</v>
      </c>
      <c r="E533" s="5">
        <v>145.5</v>
      </c>
      <c r="F533" s="5">
        <v>162</v>
      </c>
      <c r="G533" s="6">
        <v>44991</v>
      </c>
      <c r="H533" s="5"/>
      <c r="I533" s="5"/>
      <c r="J533" s="5">
        <f t="shared" ref="J533:J541" si="63">F533-E533</f>
        <v>16.5</v>
      </c>
      <c r="K533" s="8" t="b">
        <f t="shared" ref="K533:K541" si="64">E533=F532</f>
        <v>1</v>
      </c>
    </row>
    <row r="534" spans="1:11">
      <c r="A534" s="5" t="s">
        <v>89</v>
      </c>
      <c r="B534" s="6">
        <v>44994</v>
      </c>
      <c r="C534" s="7">
        <v>0.6</v>
      </c>
      <c r="D534" s="5">
        <v>9.67</v>
      </c>
      <c r="E534" s="5">
        <v>162</v>
      </c>
      <c r="F534" s="5">
        <v>181.1</v>
      </c>
      <c r="G534" s="6">
        <v>44994</v>
      </c>
      <c r="H534" s="5"/>
      <c r="I534" s="5"/>
      <c r="J534" s="5">
        <f t="shared" si="63"/>
        <v>19.099999999999994</v>
      </c>
      <c r="K534" s="8" t="b">
        <f t="shared" si="64"/>
        <v>1</v>
      </c>
    </row>
    <row r="535" spans="1:11">
      <c r="A535" s="5" t="s">
        <v>89</v>
      </c>
      <c r="B535" s="6">
        <v>44997</v>
      </c>
      <c r="C535" s="7">
        <v>0.7</v>
      </c>
      <c r="D535" s="5">
        <v>8.2899999999999991</v>
      </c>
      <c r="E535" s="5">
        <v>181.1</v>
      </c>
      <c r="F535" s="5">
        <v>197.4</v>
      </c>
      <c r="G535" s="6">
        <v>44997</v>
      </c>
      <c r="H535" s="5"/>
      <c r="I535" s="5"/>
      <c r="J535" s="5">
        <f t="shared" si="63"/>
        <v>16.300000000000011</v>
      </c>
      <c r="K535" s="8" t="b">
        <f t="shared" si="64"/>
        <v>1</v>
      </c>
    </row>
    <row r="536" spans="1:11">
      <c r="A536" s="5" t="s">
        <v>89</v>
      </c>
      <c r="B536" s="6">
        <v>45000</v>
      </c>
      <c r="C536" s="7">
        <v>0.7</v>
      </c>
      <c r="D536" s="5">
        <v>8.2899999999999991</v>
      </c>
      <c r="E536" s="5">
        <v>197.4</v>
      </c>
      <c r="F536" s="5">
        <v>214.4</v>
      </c>
      <c r="G536" s="6">
        <v>45000</v>
      </c>
      <c r="H536" s="5"/>
      <c r="I536" s="5"/>
      <c r="J536" s="5">
        <f t="shared" si="63"/>
        <v>17</v>
      </c>
      <c r="K536" s="8" t="b">
        <f t="shared" si="64"/>
        <v>1</v>
      </c>
    </row>
    <row r="537" spans="1:11">
      <c r="A537" s="5" t="s">
        <v>89</v>
      </c>
      <c r="B537" s="6">
        <v>45003</v>
      </c>
      <c r="C537" s="7">
        <v>0.6</v>
      </c>
      <c r="D537" s="5">
        <v>9.67</v>
      </c>
      <c r="E537" s="5">
        <v>214.4</v>
      </c>
      <c r="F537" s="5">
        <v>233.4</v>
      </c>
      <c r="G537" s="6">
        <v>45003</v>
      </c>
      <c r="H537" s="5"/>
      <c r="I537" s="5"/>
      <c r="J537" s="5">
        <f t="shared" si="63"/>
        <v>19</v>
      </c>
      <c r="K537" s="8" t="b">
        <f t="shared" si="64"/>
        <v>1</v>
      </c>
    </row>
    <row r="538" spans="1:11">
      <c r="A538" s="5" t="s">
        <v>89</v>
      </c>
      <c r="B538" s="6">
        <v>45005</v>
      </c>
      <c r="C538" s="7">
        <v>0.6</v>
      </c>
      <c r="D538" s="5">
        <v>9.67</v>
      </c>
      <c r="E538" s="5">
        <v>233.4</v>
      </c>
      <c r="F538" s="5">
        <v>252.7</v>
      </c>
      <c r="G538" s="6">
        <v>45005</v>
      </c>
      <c r="H538" s="5"/>
      <c r="I538" s="5"/>
      <c r="J538" s="5">
        <f t="shared" si="63"/>
        <v>19.299999999999983</v>
      </c>
      <c r="K538" s="8" t="b">
        <f t="shared" si="64"/>
        <v>1</v>
      </c>
    </row>
    <row r="539" spans="1:11">
      <c r="A539" s="5" t="s">
        <v>89</v>
      </c>
      <c r="B539" s="6">
        <v>45007</v>
      </c>
      <c r="C539" s="7">
        <v>1</v>
      </c>
      <c r="D539" s="5">
        <v>5.8</v>
      </c>
      <c r="E539" s="5">
        <v>252.7</v>
      </c>
      <c r="F539" s="5">
        <v>265.10000000000002</v>
      </c>
      <c r="G539" s="6">
        <v>45007</v>
      </c>
      <c r="H539" s="5"/>
      <c r="I539" s="5"/>
      <c r="J539" s="5">
        <f t="shared" si="63"/>
        <v>12.400000000000034</v>
      </c>
      <c r="K539" s="8" t="b">
        <f t="shared" si="64"/>
        <v>1</v>
      </c>
    </row>
    <row r="540" spans="1:11">
      <c r="A540" s="5" t="s">
        <v>89</v>
      </c>
      <c r="B540" s="6">
        <v>45010</v>
      </c>
      <c r="C540" s="7">
        <v>0.6</v>
      </c>
      <c r="D540" s="5">
        <v>9.67</v>
      </c>
      <c r="E540" s="5">
        <v>265.10000000000002</v>
      </c>
      <c r="F540" s="5">
        <v>284.60000000000002</v>
      </c>
      <c r="G540" s="6">
        <v>45010</v>
      </c>
      <c r="H540" s="5"/>
      <c r="I540" s="5"/>
      <c r="J540" s="5">
        <f t="shared" si="63"/>
        <v>19.5</v>
      </c>
      <c r="K540" s="8" t="b">
        <f t="shared" si="64"/>
        <v>1</v>
      </c>
    </row>
    <row r="541" spans="1:11">
      <c r="A541" s="5" t="s">
        <v>89</v>
      </c>
      <c r="B541" s="6">
        <v>45012</v>
      </c>
      <c r="C541" s="7">
        <v>0.8</v>
      </c>
      <c r="D541" s="5">
        <v>7.25</v>
      </c>
      <c r="E541" s="5">
        <v>284.60000000000002</v>
      </c>
      <c r="F541" s="5">
        <v>299.2</v>
      </c>
      <c r="G541" s="6">
        <v>45012</v>
      </c>
      <c r="H541" s="5"/>
      <c r="I541" s="5"/>
      <c r="J541" s="5">
        <f t="shared" si="63"/>
        <v>14.599999999999966</v>
      </c>
      <c r="K541" s="8" t="b">
        <f t="shared" si="64"/>
        <v>1</v>
      </c>
    </row>
    <row r="542" spans="1:11">
      <c r="A542" s="5" t="s">
        <v>89</v>
      </c>
      <c r="B542" s="6">
        <v>45015</v>
      </c>
      <c r="C542" s="7">
        <v>0.6</v>
      </c>
      <c r="D542" s="5">
        <v>9.67</v>
      </c>
      <c r="E542" s="5">
        <v>299.2</v>
      </c>
      <c r="F542" s="5">
        <v>319.2</v>
      </c>
      <c r="G542" s="6">
        <v>45015</v>
      </c>
      <c r="H542" s="5"/>
      <c r="I542" s="5"/>
      <c r="J542" s="5">
        <f t="shared" ref="J542:J551" si="65">F542-E542</f>
        <v>20</v>
      </c>
      <c r="K542" s="8" t="b">
        <f t="shared" ref="K542:K551" si="66">E542=F541</f>
        <v>1</v>
      </c>
    </row>
    <row r="543" spans="1:11">
      <c r="A543" s="5" t="s">
        <v>89</v>
      </c>
      <c r="B543" s="6">
        <v>45019</v>
      </c>
      <c r="C543" s="7">
        <v>0.6</v>
      </c>
      <c r="D543" s="5">
        <v>9.67</v>
      </c>
      <c r="E543" s="5">
        <v>319.2</v>
      </c>
      <c r="F543" s="5">
        <v>338.7</v>
      </c>
      <c r="G543" s="6">
        <v>45019</v>
      </c>
      <c r="H543" s="5"/>
      <c r="I543" s="5"/>
      <c r="J543" s="5">
        <f t="shared" si="65"/>
        <v>19.5</v>
      </c>
      <c r="K543" s="8" t="b">
        <f t="shared" si="66"/>
        <v>1</v>
      </c>
    </row>
    <row r="544" spans="1:11">
      <c r="A544" s="5" t="s">
        <v>89</v>
      </c>
      <c r="B544" s="6">
        <v>45025</v>
      </c>
      <c r="C544" s="7">
        <v>0.6</v>
      </c>
      <c r="D544" s="5">
        <v>9.67</v>
      </c>
      <c r="E544" s="5">
        <v>338.7</v>
      </c>
      <c r="F544" s="5">
        <v>359</v>
      </c>
      <c r="G544" s="6">
        <v>45025</v>
      </c>
      <c r="H544" s="5"/>
      <c r="I544" s="5"/>
      <c r="J544" s="5">
        <f t="shared" si="65"/>
        <v>20.300000000000011</v>
      </c>
      <c r="K544" s="8" t="b">
        <f t="shared" si="66"/>
        <v>1</v>
      </c>
    </row>
    <row r="545" spans="1:11">
      <c r="A545" s="5" t="s">
        <v>89</v>
      </c>
      <c r="B545" s="6">
        <v>45028</v>
      </c>
      <c r="C545" s="7">
        <v>0.8</v>
      </c>
      <c r="D545" s="5">
        <v>7.25</v>
      </c>
      <c r="E545" s="5">
        <v>359</v>
      </c>
      <c r="F545" s="5">
        <v>374</v>
      </c>
      <c r="G545" s="6">
        <v>45028</v>
      </c>
      <c r="H545" s="5"/>
      <c r="I545" s="5"/>
      <c r="J545" s="5">
        <f t="shared" si="65"/>
        <v>15</v>
      </c>
      <c r="K545" s="8" t="b">
        <f t="shared" si="66"/>
        <v>1</v>
      </c>
    </row>
    <row r="546" spans="1:11">
      <c r="A546" s="5" t="s">
        <v>89</v>
      </c>
      <c r="B546" s="6">
        <v>45031</v>
      </c>
      <c r="C546" s="7">
        <v>0.6</v>
      </c>
      <c r="D546" s="5">
        <v>9.67</v>
      </c>
      <c r="E546" s="5">
        <v>374</v>
      </c>
      <c r="F546" s="5">
        <v>394.2</v>
      </c>
      <c r="G546" s="6">
        <v>45031</v>
      </c>
      <c r="H546" s="5"/>
      <c r="I546" s="5"/>
      <c r="J546" s="5">
        <f t="shared" si="65"/>
        <v>20.199999999999989</v>
      </c>
      <c r="K546" s="8" t="b">
        <f t="shared" si="66"/>
        <v>1</v>
      </c>
    </row>
    <row r="547" spans="1:11">
      <c r="A547" s="5" t="s">
        <v>89</v>
      </c>
      <c r="B547" s="6">
        <v>45034</v>
      </c>
      <c r="C547" s="7">
        <v>0.8</v>
      </c>
      <c r="D547" s="5">
        <v>7.25</v>
      </c>
      <c r="E547" s="5">
        <v>394.2</v>
      </c>
      <c r="F547" s="5">
        <v>408.6</v>
      </c>
      <c r="G547" s="6">
        <v>45034</v>
      </c>
      <c r="H547" s="5"/>
      <c r="I547" s="5"/>
      <c r="J547" s="5">
        <f t="shared" si="65"/>
        <v>14.400000000000034</v>
      </c>
      <c r="K547" s="8" t="b">
        <f t="shared" si="66"/>
        <v>1</v>
      </c>
    </row>
    <row r="548" spans="1:11">
      <c r="A548" s="5" t="s">
        <v>89</v>
      </c>
      <c r="B548" s="6">
        <v>45037</v>
      </c>
      <c r="C548" s="7">
        <v>0.7</v>
      </c>
      <c r="D548" s="5">
        <v>8.2899999999999991</v>
      </c>
      <c r="E548" s="5">
        <v>408.6</v>
      </c>
      <c r="F548" s="5">
        <v>425.1</v>
      </c>
      <c r="G548" s="6">
        <v>45037</v>
      </c>
      <c r="H548" s="5"/>
      <c r="I548" s="5"/>
      <c r="J548" s="5">
        <f t="shared" si="65"/>
        <v>16.5</v>
      </c>
      <c r="K548" s="8" t="b">
        <f t="shared" si="66"/>
        <v>1</v>
      </c>
    </row>
    <row r="549" spans="1:11">
      <c r="A549" s="25" t="s">
        <v>89</v>
      </c>
      <c r="B549" s="26">
        <v>45041</v>
      </c>
      <c r="C549" s="27">
        <v>1</v>
      </c>
      <c r="D549" s="25">
        <v>5.8</v>
      </c>
      <c r="E549" s="25">
        <v>425.1</v>
      </c>
      <c r="F549" s="25">
        <v>436.9</v>
      </c>
      <c r="G549" s="26">
        <v>45041</v>
      </c>
      <c r="H549" s="25"/>
      <c r="I549" s="25"/>
      <c r="J549" s="25">
        <f t="shared" si="65"/>
        <v>11.799999999999955</v>
      </c>
      <c r="K549" s="8" t="b">
        <f t="shared" si="66"/>
        <v>1</v>
      </c>
    </row>
    <row r="550" spans="1:11">
      <c r="A550" s="5" t="s">
        <v>89</v>
      </c>
      <c r="B550" s="6">
        <v>45046</v>
      </c>
      <c r="C550" s="7">
        <v>0.7</v>
      </c>
      <c r="D550" s="5">
        <v>8.2899999999999991</v>
      </c>
      <c r="E550" s="5">
        <v>436.9</v>
      </c>
      <c r="F550" s="5">
        <v>454.9</v>
      </c>
      <c r="G550" s="6">
        <v>45046</v>
      </c>
      <c r="H550" s="5"/>
      <c r="I550" s="5"/>
      <c r="J550" s="5">
        <f t="shared" si="65"/>
        <v>18</v>
      </c>
      <c r="K550" s="8" t="b">
        <f t="shared" si="66"/>
        <v>1</v>
      </c>
    </row>
    <row r="551" spans="1:11">
      <c r="A551" s="5" t="s">
        <v>89</v>
      </c>
      <c r="B551" s="6">
        <v>45049</v>
      </c>
      <c r="C551" s="7">
        <v>0.7</v>
      </c>
      <c r="D551" s="5">
        <v>8.2899999999999991</v>
      </c>
      <c r="E551" s="5">
        <v>454.9</v>
      </c>
      <c r="F551" s="5">
        <v>470.3</v>
      </c>
      <c r="G551" s="6">
        <v>45049</v>
      </c>
      <c r="H551" s="5"/>
      <c r="I551" s="5"/>
      <c r="J551" s="5">
        <f t="shared" si="65"/>
        <v>15.400000000000034</v>
      </c>
      <c r="K551" s="8" t="b">
        <f t="shared" si="66"/>
        <v>1</v>
      </c>
    </row>
    <row r="552" spans="1:11">
      <c r="A552" s="5" t="s">
        <v>89</v>
      </c>
      <c r="B552" s="6">
        <v>45054</v>
      </c>
      <c r="C552" s="7">
        <v>0.6</v>
      </c>
      <c r="D552" s="5">
        <v>9.67</v>
      </c>
      <c r="E552" s="5">
        <v>470.3</v>
      </c>
      <c r="F552" s="5">
        <v>489.8</v>
      </c>
      <c r="G552" s="6">
        <v>45054</v>
      </c>
      <c r="H552" s="5"/>
      <c r="I552" s="5"/>
      <c r="J552" s="5">
        <f t="shared" ref="J552:J570" si="67">F552-E552</f>
        <v>19.5</v>
      </c>
      <c r="K552" s="8" t="b">
        <f t="shared" ref="K552:K570" si="68">E552=F551</f>
        <v>1</v>
      </c>
    </row>
    <row r="553" spans="1:11">
      <c r="A553" s="5" t="s">
        <v>89</v>
      </c>
      <c r="B553" s="6">
        <v>45059</v>
      </c>
      <c r="C553" s="7">
        <v>0.4</v>
      </c>
      <c r="D553" s="5">
        <v>14.5</v>
      </c>
      <c r="E553" s="5">
        <v>489.8</v>
      </c>
      <c r="F553" s="5">
        <v>504.4</v>
      </c>
      <c r="G553" s="6">
        <v>45059</v>
      </c>
      <c r="H553" s="5"/>
      <c r="I553" s="5"/>
      <c r="J553" s="5">
        <f t="shared" si="67"/>
        <v>14.599999999999966</v>
      </c>
      <c r="K553" s="8" t="b">
        <f t="shared" si="68"/>
        <v>1</v>
      </c>
    </row>
    <row r="554" spans="1:11">
      <c r="A554" s="5" t="s">
        <v>89</v>
      </c>
      <c r="B554" s="6">
        <v>45060</v>
      </c>
      <c r="C554" s="7">
        <v>0.4</v>
      </c>
      <c r="D554" s="5">
        <v>14.5</v>
      </c>
      <c r="E554" s="5">
        <v>504.4</v>
      </c>
      <c r="F554" s="5">
        <v>519.5</v>
      </c>
      <c r="G554" s="6">
        <v>45060</v>
      </c>
      <c r="H554" s="5"/>
      <c r="I554" s="5"/>
      <c r="J554" s="5">
        <f t="shared" si="67"/>
        <v>15.100000000000023</v>
      </c>
      <c r="K554" s="8" t="b">
        <f t="shared" si="68"/>
        <v>1</v>
      </c>
    </row>
    <row r="555" spans="1:11">
      <c r="A555" s="5" t="s">
        <v>89</v>
      </c>
      <c r="B555" s="6">
        <v>45065</v>
      </c>
      <c r="C555" s="7">
        <v>0.4</v>
      </c>
      <c r="D555" s="5">
        <v>14.5</v>
      </c>
      <c r="E555" s="5">
        <v>519.5</v>
      </c>
      <c r="F555" s="5">
        <v>533.20000000000005</v>
      </c>
      <c r="G555" s="6">
        <v>45065</v>
      </c>
      <c r="H555" s="5"/>
      <c r="I555" s="5"/>
      <c r="J555" s="5">
        <f t="shared" si="67"/>
        <v>13.700000000000045</v>
      </c>
      <c r="K555" s="8" t="b">
        <f t="shared" si="68"/>
        <v>1</v>
      </c>
    </row>
    <row r="556" spans="1:11">
      <c r="A556" s="5" t="s">
        <v>89</v>
      </c>
      <c r="B556" s="6">
        <v>45066</v>
      </c>
      <c r="C556" s="7">
        <v>0.4</v>
      </c>
      <c r="D556" s="5">
        <v>14.5</v>
      </c>
      <c r="E556" s="5">
        <v>533.20000000000005</v>
      </c>
      <c r="F556" s="5">
        <v>548.5</v>
      </c>
      <c r="G556" s="6">
        <v>45066</v>
      </c>
      <c r="H556" s="5"/>
      <c r="I556" s="5"/>
      <c r="J556" s="5">
        <f t="shared" si="67"/>
        <v>15.299999999999955</v>
      </c>
      <c r="K556" s="8" t="b">
        <f t="shared" si="68"/>
        <v>1</v>
      </c>
    </row>
    <row r="557" spans="1:11">
      <c r="A557" s="5" t="s">
        <v>89</v>
      </c>
      <c r="B557" s="6" t="s">
        <v>70</v>
      </c>
      <c r="C557" s="7">
        <v>0.4</v>
      </c>
      <c r="D557" s="5">
        <v>14.5</v>
      </c>
      <c r="E557" s="5">
        <v>548.5</v>
      </c>
      <c r="F557" s="5">
        <v>562.5</v>
      </c>
      <c r="G557" s="6" t="s">
        <v>70</v>
      </c>
      <c r="H557" s="5"/>
      <c r="I557" s="5"/>
      <c r="J557" s="5">
        <f t="shared" si="67"/>
        <v>14</v>
      </c>
      <c r="K557" s="8" t="b">
        <f t="shared" si="68"/>
        <v>1</v>
      </c>
    </row>
    <row r="558" spans="1:11">
      <c r="A558" s="5" t="s">
        <v>89</v>
      </c>
      <c r="B558" s="6" t="s">
        <v>71</v>
      </c>
      <c r="C558" s="7">
        <v>0.4</v>
      </c>
      <c r="D558" s="5">
        <v>14.5</v>
      </c>
      <c r="E558" s="5">
        <v>562.5</v>
      </c>
      <c r="F558" s="5">
        <v>577.1</v>
      </c>
      <c r="G558" s="6" t="s">
        <v>71</v>
      </c>
      <c r="H558" s="5"/>
      <c r="I558" s="5"/>
      <c r="J558" s="5">
        <f t="shared" si="67"/>
        <v>14.600000000000023</v>
      </c>
      <c r="K558" s="8" t="b">
        <f t="shared" si="68"/>
        <v>1</v>
      </c>
    </row>
    <row r="559" spans="1:11">
      <c r="A559" s="5" t="s">
        <v>89</v>
      </c>
      <c r="B559" s="6">
        <v>45077</v>
      </c>
      <c r="C559" s="7">
        <v>0.4</v>
      </c>
      <c r="D559" s="5">
        <v>14.5</v>
      </c>
      <c r="E559" s="5">
        <v>577.1</v>
      </c>
      <c r="F559" s="5">
        <v>591.4</v>
      </c>
      <c r="G559" s="6">
        <v>45077</v>
      </c>
      <c r="H559" s="5"/>
      <c r="I559" s="5"/>
      <c r="J559" s="5">
        <f t="shared" si="67"/>
        <v>14.299999999999955</v>
      </c>
      <c r="K559" s="8" t="b">
        <f t="shared" si="68"/>
        <v>1</v>
      </c>
    </row>
    <row r="560" spans="1:11">
      <c r="A560" s="5" t="s">
        <v>89</v>
      </c>
      <c r="B560" s="6">
        <v>45078</v>
      </c>
      <c r="C560" s="7">
        <v>0.4</v>
      </c>
      <c r="D560" s="5">
        <v>14.5</v>
      </c>
      <c r="E560" s="5">
        <v>591.4</v>
      </c>
      <c r="F560" s="5">
        <v>606.1</v>
      </c>
      <c r="G560" s="6">
        <v>45078</v>
      </c>
      <c r="H560" s="5"/>
      <c r="I560" s="5"/>
      <c r="J560" s="5">
        <f t="shared" si="67"/>
        <v>14.700000000000045</v>
      </c>
      <c r="K560" s="8" t="b">
        <f t="shared" si="68"/>
        <v>1</v>
      </c>
    </row>
    <row r="561" spans="1:11">
      <c r="A561" s="5" t="s">
        <v>89</v>
      </c>
      <c r="B561" s="6">
        <v>45085</v>
      </c>
      <c r="C561" s="7">
        <v>0.4</v>
      </c>
      <c r="D561" s="5">
        <v>14.5</v>
      </c>
      <c r="E561" s="5">
        <v>606.1</v>
      </c>
      <c r="F561" s="5">
        <v>623.5</v>
      </c>
      <c r="G561" s="6">
        <v>45085</v>
      </c>
      <c r="H561" s="5"/>
      <c r="I561" s="5"/>
      <c r="J561" s="5">
        <f t="shared" si="67"/>
        <v>17.399999999999977</v>
      </c>
      <c r="K561" s="8" t="b">
        <f t="shared" si="68"/>
        <v>1</v>
      </c>
    </row>
    <row r="562" spans="1:11">
      <c r="A562" s="5" t="s">
        <v>89</v>
      </c>
      <c r="B562" s="6">
        <v>45086</v>
      </c>
      <c r="C562" s="7">
        <v>0.4</v>
      </c>
      <c r="D562" s="5">
        <v>14.5</v>
      </c>
      <c r="E562" s="5">
        <v>623.5</v>
      </c>
      <c r="F562" s="5">
        <v>637.9</v>
      </c>
      <c r="G562" s="6">
        <v>45086</v>
      </c>
      <c r="H562" s="5"/>
      <c r="I562" s="5"/>
      <c r="J562" s="5">
        <f t="shared" si="67"/>
        <v>14.399999999999977</v>
      </c>
      <c r="K562" s="8" t="b">
        <f t="shared" si="68"/>
        <v>1</v>
      </c>
    </row>
    <row r="563" spans="1:11">
      <c r="A563" s="5" t="s">
        <v>89</v>
      </c>
      <c r="B563" s="6">
        <v>45096</v>
      </c>
      <c r="C563" s="7">
        <v>0.6</v>
      </c>
      <c r="D563" s="5">
        <v>9.67</v>
      </c>
      <c r="E563" s="5">
        <v>637.9</v>
      </c>
      <c r="F563" s="5">
        <v>657.4</v>
      </c>
      <c r="G563" s="6">
        <v>45096</v>
      </c>
      <c r="H563" s="5"/>
      <c r="I563" s="5"/>
      <c r="J563" s="5">
        <f t="shared" si="67"/>
        <v>19.5</v>
      </c>
      <c r="K563" s="8" t="b">
        <f t="shared" si="68"/>
        <v>1</v>
      </c>
    </row>
    <row r="564" spans="1:11">
      <c r="A564" s="5" t="s">
        <v>89</v>
      </c>
      <c r="B564" s="6">
        <v>45098</v>
      </c>
      <c r="C564" s="7">
        <v>0.6</v>
      </c>
      <c r="D564" s="5">
        <v>9.67</v>
      </c>
      <c r="E564" s="5">
        <v>657.4</v>
      </c>
      <c r="F564" s="5">
        <v>676.8</v>
      </c>
      <c r="G564" s="6">
        <v>45098</v>
      </c>
      <c r="H564" s="5"/>
      <c r="I564" s="5"/>
      <c r="J564" s="5">
        <f t="shared" si="67"/>
        <v>19.399999999999977</v>
      </c>
      <c r="K564" s="8" t="b">
        <f t="shared" si="68"/>
        <v>1</v>
      </c>
    </row>
    <row r="565" spans="1:11">
      <c r="A565" s="5" t="s">
        <v>89</v>
      </c>
      <c r="B565" s="6">
        <v>45101</v>
      </c>
      <c r="C565" s="7">
        <v>0.6</v>
      </c>
      <c r="D565" s="5">
        <v>9.67</v>
      </c>
      <c r="E565" s="5">
        <v>676.8</v>
      </c>
      <c r="F565" s="5">
        <v>696.2</v>
      </c>
      <c r="G565" s="6">
        <v>45101</v>
      </c>
      <c r="H565" s="5"/>
      <c r="I565" s="5"/>
      <c r="J565" s="5">
        <f t="shared" si="67"/>
        <v>19.400000000000091</v>
      </c>
      <c r="K565" s="8" t="b">
        <f t="shared" si="68"/>
        <v>1</v>
      </c>
    </row>
    <row r="566" spans="1:11">
      <c r="A566" s="5" t="s">
        <v>89</v>
      </c>
      <c r="B566" s="6">
        <v>45104</v>
      </c>
      <c r="C566" s="7">
        <v>0.6</v>
      </c>
      <c r="D566" s="5">
        <v>9.67</v>
      </c>
      <c r="E566" s="5">
        <v>696.2</v>
      </c>
      <c r="F566" s="5">
        <v>715.5</v>
      </c>
      <c r="G566" s="6">
        <v>45104</v>
      </c>
      <c r="H566" s="5"/>
      <c r="I566" s="5"/>
      <c r="J566" s="5">
        <f t="shared" si="67"/>
        <v>19.299999999999955</v>
      </c>
      <c r="K566" s="8" t="b">
        <f t="shared" si="68"/>
        <v>1</v>
      </c>
    </row>
    <row r="567" spans="1:11">
      <c r="A567" s="5" t="s">
        <v>89</v>
      </c>
      <c r="B567" s="6">
        <v>45105</v>
      </c>
      <c r="C567" s="7">
        <v>0.6</v>
      </c>
      <c r="D567" s="5">
        <v>9.67</v>
      </c>
      <c r="E567" s="5">
        <v>715.5</v>
      </c>
      <c r="F567" s="5">
        <v>721.8</v>
      </c>
      <c r="G567" s="6">
        <v>45105</v>
      </c>
      <c r="H567" s="5"/>
      <c r="I567" s="5"/>
      <c r="J567" s="5">
        <f t="shared" si="67"/>
        <v>6.2999999999999545</v>
      </c>
      <c r="K567" s="8" t="b">
        <f t="shared" si="68"/>
        <v>1</v>
      </c>
    </row>
    <row r="568" spans="1:11">
      <c r="A568" s="39" t="s">
        <v>89</v>
      </c>
      <c r="B568" s="40">
        <v>45108</v>
      </c>
      <c r="C568" s="41">
        <v>0.6</v>
      </c>
      <c r="D568" s="39">
        <v>9.67</v>
      </c>
      <c r="E568" s="39">
        <v>721.8</v>
      </c>
      <c r="F568" s="39"/>
      <c r="G568" s="40"/>
      <c r="H568" s="39"/>
      <c r="I568" s="39"/>
      <c r="J568" s="39">
        <f t="shared" si="67"/>
        <v>-721.8</v>
      </c>
      <c r="K568" s="8" t="b">
        <f t="shared" si="68"/>
        <v>1</v>
      </c>
    </row>
    <row r="569" spans="1:11">
      <c r="A569" s="5" t="s">
        <v>89</v>
      </c>
      <c r="B569" s="6">
        <v>45114</v>
      </c>
      <c r="C569" s="7">
        <v>0.6</v>
      </c>
      <c r="D569" s="5">
        <v>9.67</v>
      </c>
      <c r="E569" s="5">
        <v>721.8</v>
      </c>
      <c r="F569" s="5">
        <v>760.4</v>
      </c>
      <c r="G569" s="6">
        <v>45114</v>
      </c>
      <c r="H569" s="5"/>
      <c r="I569" s="5"/>
      <c r="J569" s="5">
        <f t="shared" si="67"/>
        <v>38.600000000000023</v>
      </c>
      <c r="K569" s="8" t="b">
        <f t="shared" si="68"/>
        <v>0</v>
      </c>
    </row>
    <row r="570" spans="1:11">
      <c r="A570" s="5" t="s">
        <v>89</v>
      </c>
      <c r="B570" s="6">
        <v>45119</v>
      </c>
      <c r="C570" s="7">
        <v>0.6</v>
      </c>
      <c r="D570" s="5">
        <v>9.67</v>
      </c>
      <c r="E570" s="5">
        <v>760.4</v>
      </c>
      <c r="F570" s="5">
        <v>779.8</v>
      </c>
      <c r="G570" s="6">
        <v>45119</v>
      </c>
      <c r="H570" s="5"/>
      <c r="I570" s="5"/>
      <c r="J570" s="5">
        <f t="shared" si="67"/>
        <v>19.399999999999977</v>
      </c>
      <c r="K570" s="8" t="b">
        <f t="shared" si="68"/>
        <v>1</v>
      </c>
    </row>
    <row r="571" spans="1:11">
      <c r="A571" s="11"/>
      <c r="B571" s="12"/>
      <c r="C571" s="13"/>
      <c r="D571" s="15"/>
      <c r="E571" s="15"/>
      <c r="F571" s="15"/>
      <c r="G571" s="12"/>
      <c r="H571" s="15"/>
      <c r="I571" s="15"/>
      <c r="J571" s="15"/>
      <c r="K571" s="16"/>
    </row>
    <row r="572" spans="1:11" ht="26.25">
      <c r="A572" s="181" t="s">
        <v>72</v>
      </c>
      <c r="B572" s="182"/>
      <c r="C572" s="182"/>
      <c r="D572" s="182"/>
      <c r="E572" s="182"/>
      <c r="F572" s="182"/>
      <c r="G572" s="182"/>
      <c r="H572" s="182"/>
      <c r="I572" s="182"/>
      <c r="J572" s="182"/>
      <c r="K572" s="183"/>
    </row>
    <row r="573" spans="1:11" ht="27" thickBot="1">
      <c r="A573" s="181" t="s">
        <v>48</v>
      </c>
      <c r="B573" s="182"/>
      <c r="C573" s="182"/>
      <c r="D573" s="182"/>
      <c r="E573" s="182"/>
      <c r="F573" s="182"/>
      <c r="G573" s="182"/>
      <c r="H573" s="182"/>
      <c r="I573" s="182"/>
      <c r="J573" s="182"/>
      <c r="K573" s="183"/>
    </row>
    <row r="574" spans="1:11" ht="15.75" thickBot="1">
      <c r="A574" s="132" t="s">
        <v>2</v>
      </c>
      <c r="B574" s="133"/>
      <c r="C574" s="133"/>
      <c r="D574" s="133"/>
      <c r="E574" s="133"/>
      <c r="F574" s="133"/>
      <c r="G574" s="133"/>
      <c r="H574" s="133"/>
      <c r="I574" s="133"/>
      <c r="J574" s="133"/>
      <c r="K574" s="134"/>
    </row>
    <row r="576" spans="1:11" ht="19.5" thickBot="1">
      <c r="A576" s="1" t="s">
        <v>3</v>
      </c>
      <c r="B576" s="1"/>
      <c r="C576" s="1"/>
      <c r="D576" s="1"/>
      <c r="E576" s="1"/>
      <c r="F576" s="1"/>
      <c r="G576" s="1"/>
      <c r="H576" s="1"/>
      <c r="I576" s="1"/>
    </row>
    <row r="577" spans="1:11" ht="30.75" thickBot="1">
      <c r="A577" s="2" t="s">
        <v>4</v>
      </c>
      <c r="B577" s="3" t="s">
        <v>5</v>
      </c>
      <c r="C577" s="3" t="s">
        <v>6</v>
      </c>
      <c r="D577" s="3" t="s">
        <v>7</v>
      </c>
      <c r="E577" s="3" t="s">
        <v>8</v>
      </c>
      <c r="F577" s="3" t="s">
        <v>9</v>
      </c>
      <c r="G577" s="3" t="s">
        <v>10</v>
      </c>
      <c r="H577" s="3" t="s">
        <v>21</v>
      </c>
      <c r="I577" s="4" t="s">
        <v>22</v>
      </c>
      <c r="J577" s="4" t="s">
        <v>11</v>
      </c>
      <c r="K577" s="4" t="s">
        <v>12</v>
      </c>
    </row>
    <row r="578" spans="1:11">
      <c r="A578" s="5" t="s">
        <v>89</v>
      </c>
      <c r="B578" s="6">
        <v>45188</v>
      </c>
      <c r="C578" s="7">
        <v>0.5</v>
      </c>
      <c r="D578" s="5">
        <v>11.6</v>
      </c>
      <c r="E578" s="5">
        <v>779.8</v>
      </c>
      <c r="F578" s="5">
        <v>791.4</v>
      </c>
      <c r="G578" s="6">
        <v>45188</v>
      </c>
      <c r="H578" s="5"/>
      <c r="I578" s="5"/>
      <c r="J578" s="5">
        <f>F578-E578</f>
        <v>11.600000000000023</v>
      </c>
      <c r="K578" s="8" t="b">
        <f t="shared" ref="K578:K585" si="69">E578=F577</f>
        <v>0</v>
      </c>
    </row>
    <row r="579" spans="1:11">
      <c r="A579" s="5" t="s">
        <v>89</v>
      </c>
      <c r="B579" s="6">
        <v>45189</v>
      </c>
      <c r="C579" s="7">
        <v>0.5</v>
      </c>
      <c r="D579" s="5">
        <v>11.6</v>
      </c>
      <c r="E579" s="5">
        <v>791.4</v>
      </c>
      <c r="F579" s="5">
        <v>803.2</v>
      </c>
      <c r="G579" s="6">
        <v>45189</v>
      </c>
      <c r="H579" s="5"/>
      <c r="I579" s="5"/>
      <c r="J579" s="5">
        <f t="shared" ref="J579:J585" si="70">F579-E579</f>
        <v>11.800000000000068</v>
      </c>
      <c r="K579" s="8" t="b">
        <f t="shared" si="69"/>
        <v>1</v>
      </c>
    </row>
    <row r="580" spans="1:11">
      <c r="A580" s="5" t="s">
        <v>89</v>
      </c>
      <c r="B580" s="6">
        <v>45191</v>
      </c>
      <c r="C580" s="7">
        <v>0.6</v>
      </c>
      <c r="D580" s="5">
        <v>9.67</v>
      </c>
      <c r="E580" s="5">
        <v>879.8</v>
      </c>
      <c r="F580" s="5">
        <v>889.6</v>
      </c>
      <c r="G580" s="6">
        <v>45191</v>
      </c>
      <c r="H580" s="5"/>
      <c r="I580" s="5"/>
      <c r="J580" s="5">
        <f t="shared" si="70"/>
        <v>9.8000000000000682</v>
      </c>
      <c r="K580" s="8" t="b">
        <f t="shared" si="69"/>
        <v>0</v>
      </c>
    </row>
    <row r="581" spans="1:11">
      <c r="A581" s="5" t="s">
        <v>89</v>
      </c>
      <c r="B581" s="6">
        <v>45192</v>
      </c>
      <c r="C581" s="7">
        <v>0.6</v>
      </c>
      <c r="D581" s="5">
        <v>9.67</v>
      </c>
      <c r="E581" s="5">
        <v>889.6</v>
      </c>
      <c r="F581" s="5">
        <v>899.7</v>
      </c>
      <c r="G581" s="6">
        <v>45192</v>
      </c>
      <c r="H581" s="5"/>
      <c r="I581" s="5"/>
      <c r="J581" s="5">
        <f t="shared" si="70"/>
        <v>10.100000000000023</v>
      </c>
      <c r="K581" s="8" t="b">
        <f t="shared" si="69"/>
        <v>1</v>
      </c>
    </row>
    <row r="582" spans="1:11">
      <c r="A582" s="5" t="s">
        <v>89</v>
      </c>
      <c r="B582" s="6">
        <v>45201</v>
      </c>
      <c r="C582" s="7">
        <v>0.5</v>
      </c>
      <c r="D582" s="5">
        <v>11.6</v>
      </c>
      <c r="E582" s="5">
        <v>899.7</v>
      </c>
      <c r="F582" s="5">
        <v>922</v>
      </c>
      <c r="G582" s="6">
        <v>45202</v>
      </c>
      <c r="H582" s="5"/>
      <c r="I582" s="5"/>
      <c r="J582" s="5">
        <f t="shared" si="70"/>
        <v>22.299999999999955</v>
      </c>
      <c r="K582" s="8" t="b">
        <f t="shared" si="69"/>
        <v>1</v>
      </c>
    </row>
    <row r="583" spans="1:11">
      <c r="A583" s="5" t="s">
        <v>89</v>
      </c>
      <c r="B583" s="6">
        <v>45210</v>
      </c>
      <c r="C583" s="7">
        <v>0.5</v>
      </c>
      <c r="D583" s="5">
        <v>11.16</v>
      </c>
      <c r="E583" s="5">
        <v>922</v>
      </c>
      <c r="F583" s="5">
        <v>945.1</v>
      </c>
      <c r="G583" s="6">
        <v>45210</v>
      </c>
      <c r="H583" s="5"/>
      <c r="I583" s="5"/>
      <c r="J583" s="5">
        <f t="shared" si="70"/>
        <v>23.100000000000023</v>
      </c>
      <c r="K583" s="8" t="b">
        <f t="shared" si="69"/>
        <v>1</v>
      </c>
    </row>
    <row r="584" spans="1:11">
      <c r="A584" s="5" t="s">
        <v>89</v>
      </c>
      <c r="B584" s="6">
        <v>45211</v>
      </c>
      <c r="C584" s="7">
        <v>1</v>
      </c>
      <c r="D584" s="5">
        <v>5.8</v>
      </c>
      <c r="E584" s="5">
        <v>945.1</v>
      </c>
      <c r="F584" s="5">
        <v>957.2</v>
      </c>
      <c r="G584" s="6">
        <v>45211</v>
      </c>
      <c r="H584" s="5"/>
      <c r="I584" s="5"/>
      <c r="J584" s="5">
        <f t="shared" si="70"/>
        <v>12.100000000000023</v>
      </c>
      <c r="K584" s="8" t="b">
        <f t="shared" si="69"/>
        <v>1</v>
      </c>
    </row>
    <row r="585" spans="1:11">
      <c r="A585" s="5" t="s">
        <v>89</v>
      </c>
      <c r="B585" s="6">
        <v>45212</v>
      </c>
      <c r="C585" s="7">
        <v>1</v>
      </c>
      <c r="D585" s="5">
        <v>5.8</v>
      </c>
      <c r="E585" s="5">
        <v>957.2</v>
      </c>
      <c r="F585" s="5">
        <v>969.1</v>
      </c>
      <c r="G585" s="6">
        <v>45212</v>
      </c>
      <c r="H585" s="5"/>
      <c r="I585" s="5"/>
      <c r="J585" s="5">
        <f t="shared" si="70"/>
        <v>11.899999999999977</v>
      </c>
      <c r="K585" s="8" t="b">
        <f t="shared" si="69"/>
        <v>1</v>
      </c>
    </row>
    <row r="586" spans="1:11">
      <c r="A586" s="5" t="s">
        <v>89</v>
      </c>
      <c r="B586" s="6">
        <v>45213</v>
      </c>
      <c r="C586" s="7">
        <v>1</v>
      </c>
      <c r="D586" s="5">
        <v>5.8</v>
      </c>
      <c r="E586" s="5">
        <v>969.1</v>
      </c>
      <c r="F586" s="5">
        <v>981.1</v>
      </c>
      <c r="G586" s="6">
        <v>45213</v>
      </c>
      <c r="H586" s="5"/>
      <c r="I586" s="5"/>
      <c r="J586" s="5">
        <f t="shared" ref="J586:J591" si="71">F586-E586</f>
        <v>12</v>
      </c>
      <c r="K586" s="8" t="b">
        <f t="shared" ref="K586:K591" si="72">E586=F585</f>
        <v>1</v>
      </c>
    </row>
    <row r="587" spans="1:11">
      <c r="A587" s="5" t="s">
        <v>89</v>
      </c>
      <c r="B587" s="6">
        <v>45214</v>
      </c>
      <c r="C587" s="7">
        <v>1</v>
      </c>
      <c r="D587" s="5">
        <v>5.8</v>
      </c>
      <c r="E587" s="5">
        <v>981.1</v>
      </c>
      <c r="F587" s="5">
        <v>992.7</v>
      </c>
      <c r="G587" s="6">
        <v>45214</v>
      </c>
      <c r="H587" s="5"/>
      <c r="I587" s="5"/>
      <c r="J587" s="5">
        <f t="shared" si="71"/>
        <v>11.600000000000023</v>
      </c>
      <c r="K587" s="8" t="b">
        <f t="shared" si="72"/>
        <v>1</v>
      </c>
    </row>
    <row r="588" spans="1:11">
      <c r="A588" s="5" t="s">
        <v>89</v>
      </c>
      <c r="B588" s="6">
        <v>45215</v>
      </c>
      <c r="C588" s="7">
        <v>1</v>
      </c>
      <c r="D588" s="5">
        <v>5.8</v>
      </c>
      <c r="E588" s="5">
        <v>992.7</v>
      </c>
      <c r="F588" s="5">
        <v>1004.2</v>
      </c>
      <c r="G588" s="6">
        <v>45215</v>
      </c>
      <c r="H588" s="5"/>
      <c r="I588" s="5"/>
      <c r="J588" s="5">
        <f t="shared" si="71"/>
        <v>11.5</v>
      </c>
      <c r="K588" s="8" t="b">
        <f t="shared" si="72"/>
        <v>1</v>
      </c>
    </row>
    <row r="589" spans="1:11">
      <c r="A589" s="5" t="s">
        <v>89</v>
      </c>
      <c r="B589" s="6">
        <v>45216</v>
      </c>
      <c r="C589" s="7">
        <v>1</v>
      </c>
      <c r="D589" s="5">
        <v>5.8</v>
      </c>
      <c r="E589" s="5">
        <v>1004.2</v>
      </c>
      <c r="F589" s="5">
        <v>1015.8</v>
      </c>
      <c r="G589" s="6">
        <v>45216</v>
      </c>
      <c r="H589" s="5"/>
      <c r="I589" s="5"/>
      <c r="J589" s="5">
        <f t="shared" si="71"/>
        <v>11.599999999999909</v>
      </c>
      <c r="K589" s="8" t="b">
        <f t="shared" si="72"/>
        <v>1</v>
      </c>
    </row>
    <row r="590" spans="1:11">
      <c r="A590" s="5" t="s">
        <v>89</v>
      </c>
      <c r="B590" s="6">
        <v>45217</v>
      </c>
      <c r="C590" s="7">
        <v>1</v>
      </c>
      <c r="D590" s="5">
        <v>5.8</v>
      </c>
      <c r="E590" s="5">
        <v>1015.8</v>
      </c>
      <c r="F590" s="5">
        <v>1027.4000000000001</v>
      </c>
      <c r="G590" s="6">
        <v>45217</v>
      </c>
      <c r="H590" s="5"/>
      <c r="I590" s="5"/>
      <c r="J590" s="5">
        <f t="shared" si="71"/>
        <v>11.600000000000136</v>
      </c>
      <c r="K590" s="8" t="b">
        <f t="shared" si="72"/>
        <v>1</v>
      </c>
    </row>
    <row r="591" spans="1:11">
      <c r="A591" s="5" t="s">
        <v>89</v>
      </c>
      <c r="B591" s="6">
        <v>45218</v>
      </c>
      <c r="C591" s="7">
        <v>1</v>
      </c>
      <c r="D591" s="5">
        <v>5.8</v>
      </c>
      <c r="E591" s="5">
        <v>1027.4000000000001</v>
      </c>
      <c r="F591" s="5">
        <v>1039.0999999999999</v>
      </c>
      <c r="G591" s="6">
        <v>45218</v>
      </c>
      <c r="H591" s="5"/>
      <c r="I591" s="5"/>
      <c r="J591" s="5">
        <f t="shared" si="71"/>
        <v>11.699999999999818</v>
      </c>
      <c r="K591" s="8" t="b">
        <f t="shared" si="72"/>
        <v>1</v>
      </c>
    </row>
    <row r="592" spans="1:11">
      <c r="A592" s="5" t="s">
        <v>89</v>
      </c>
      <c r="B592" s="6">
        <v>45219</v>
      </c>
      <c r="C592" s="7">
        <v>1</v>
      </c>
      <c r="D592" s="5">
        <v>5.8</v>
      </c>
      <c r="E592" s="5">
        <v>1039.0999999999999</v>
      </c>
      <c r="F592" s="5">
        <v>1050.8</v>
      </c>
      <c r="G592" s="6">
        <v>45219</v>
      </c>
      <c r="H592" s="5"/>
      <c r="I592" s="5"/>
      <c r="J592" s="5">
        <f t="shared" ref="J592:J601" si="73">F592-E592</f>
        <v>11.700000000000045</v>
      </c>
      <c r="K592" s="8" t="b">
        <f t="shared" ref="K592:K601" si="74">E592=F591</f>
        <v>1</v>
      </c>
    </row>
    <row r="593" spans="1:11">
      <c r="A593" s="5" t="s">
        <v>89</v>
      </c>
      <c r="B593" s="6">
        <v>45220</v>
      </c>
      <c r="C593" s="7">
        <v>1</v>
      </c>
      <c r="D593" s="5">
        <v>5.8</v>
      </c>
      <c r="E593" s="5">
        <v>1050.8</v>
      </c>
      <c r="F593" s="5">
        <v>1062.5</v>
      </c>
      <c r="G593" s="6">
        <v>45220</v>
      </c>
      <c r="H593" s="5"/>
      <c r="I593" s="5"/>
      <c r="J593" s="5">
        <f t="shared" si="73"/>
        <v>11.700000000000045</v>
      </c>
      <c r="K593" s="8" t="b">
        <f t="shared" si="74"/>
        <v>1</v>
      </c>
    </row>
    <row r="594" spans="1:11">
      <c r="A594" s="5" t="s">
        <v>89</v>
      </c>
      <c r="B594" s="6">
        <v>45221</v>
      </c>
      <c r="C594" s="7">
        <v>1</v>
      </c>
      <c r="D594" s="5">
        <v>5.8</v>
      </c>
      <c r="E594" s="5">
        <v>1062.5</v>
      </c>
      <c r="F594" s="5">
        <v>1074.0999999999999</v>
      </c>
      <c r="G594" s="6">
        <v>45221</v>
      </c>
      <c r="H594" s="5"/>
      <c r="I594" s="5"/>
      <c r="J594" s="5">
        <f t="shared" si="73"/>
        <v>11.599999999999909</v>
      </c>
      <c r="K594" s="8" t="b">
        <f t="shared" si="74"/>
        <v>1</v>
      </c>
    </row>
    <row r="595" spans="1:11">
      <c r="A595" s="5" t="s">
        <v>89</v>
      </c>
      <c r="B595" s="6">
        <v>45222</v>
      </c>
      <c r="C595" s="7">
        <v>1</v>
      </c>
      <c r="D595" s="5">
        <v>5.8</v>
      </c>
      <c r="E595" s="5">
        <v>1074.0999999999999</v>
      </c>
      <c r="F595" s="5">
        <v>1085.8</v>
      </c>
      <c r="G595" s="6">
        <v>45222</v>
      </c>
      <c r="H595" s="5"/>
      <c r="I595" s="5"/>
      <c r="J595" s="5">
        <f t="shared" si="73"/>
        <v>11.700000000000045</v>
      </c>
      <c r="K595" s="8" t="b">
        <f t="shared" si="74"/>
        <v>1</v>
      </c>
    </row>
    <row r="596" spans="1:11">
      <c r="A596" s="5" t="s">
        <v>89</v>
      </c>
      <c r="B596" s="6">
        <v>45224</v>
      </c>
      <c r="C596" s="7">
        <v>1</v>
      </c>
      <c r="D596" s="5">
        <v>5.8</v>
      </c>
      <c r="E596" s="5">
        <v>1085.8</v>
      </c>
      <c r="F596" s="5">
        <v>1097.5</v>
      </c>
      <c r="G596" s="6">
        <v>45224</v>
      </c>
      <c r="H596" s="5"/>
      <c r="I596" s="5"/>
      <c r="J596" s="5">
        <f t="shared" si="73"/>
        <v>11.700000000000045</v>
      </c>
      <c r="K596" s="8" t="b">
        <f t="shared" si="74"/>
        <v>1</v>
      </c>
    </row>
    <row r="597" spans="1:11">
      <c r="A597" s="5" t="s">
        <v>89</v>
      </c>
      <c r="B597" s="6">
        <v>45227</v>
      </c>
      <c r="C597" s="7">
        <v>0.8</v>
      </c>
      <c r="D597" s="5">
        <v>7.25</v>
      </c>
      <c r="E597" s="5">
        <v>1097.5</v>
      </c>
      <c r="F597" s="5">
        <v>1111.8</v>
      </c>
      <c r="G597" s="6">
        <v>45227</v>
      </c>
      <c r="H597" s="5"/>
      <c r="I597" s="5"/>
      <c r="J597" s="5">
        <f t="shared" si="73"/>
        <v>14.299999999999955</v>
      </c>
      <c r="K597" s="8" t="b">
        <f t="shared" si="74"/>
        <v>1</v>
      </c>
    </row>
    <row r="598" spans="1:11">
      <c r="A598" s="5" t="s">
        <v>89</v>
      </c>
      <c r="B598" s="6">
        <v>45229</v>
      </c>
      <c r="C598" s="7">
        <v>0.8</v>
      </c>
      <c r="D598" s="5">
        <v>7.25</v>
      </c>
      <c r="E598" s="5">
        <v>1111.8</v>
      </c>
      <c r="F598" s="5">
        <v>1126.4000000000001</v>
      </c>
      <c r="G598" s="6">
        <v>45229</v>
      </c>
      <c r="H598" s="5"/>
      <c r="I598" s="5"/>
      <c r="J598" s="5">
        <f t="shared" si="73"/>
        <v>14.600000000000136</v>
      </c>
      <c r="K598" s="8" t="b">
        <f t="shared" si="74"/>
        <v>1</v>
      </c>
    </row>
    <row r="599" spans="1:11">
      <c r="A599" s="5" t="s">
        <v>89</v>
      </c>
      <c r="B599" s="6">
        <v>45230</v>
      </c>
      <c r="C599" s="7">
        <v>0.55000000000000004</v>
      </c>
      <c r="D599" s="5">
        <v>10.55</v>
      </c>
      <c r="E599" s="5">
        <v>1126.4000000000001</v>
      </c>
      <c r="F599" s="5">
        <v>1129.2</v>
      </c>
      <c r="G599" s="6">
        <v>45230</v>
      </c>
      <c r="H599" s="5"/>
      <c r="I599" s="5"/>
      <c r="J599" s="5">
        <f t="shared" si="73"/>
        <v>2.7999999999999545</v>
      </c>
      <c r="K599" s="8" t="b">
        <f t="shared" si="74"/>
        <v>1</v>
      </c>
    </row>
    <row r="600" spans="1:11">
      <c r="A600" s="80" t="s">
        <v>89</v>
      </c>
      <c r="B600" s="81">
        <v>45231</v>
      </c>
      <c r="C600" s="82">
        <v>1</v>
      </c>
      <c r="D600" s="80">
        <v>5.8</v>
      </c>
      <c r="E600" s="80">
        <v>1129.2</v>
      </c>
      <c r="F600" s="80">
        <v>1140.9000000000001</v>
      </c>
      <c r="G600" s="81">
        <v>45231</v>
      </c>
      <c r="H600" s="80"/>
      <c r="I600" s="80"/>
      <c r="J600" s="80">
        <f t="shared" si="73"/>
        <v>11.700000000000045</v>
      </c>
      <c r="K600" s="8" t="b">
        <f t="shared" si="74"/>
        <v>1</v>
      </c>
    </row>
    <row r="601" spans="1:11">
      <c r="A601" s="5" t="s">
        <v>89</v>
      </c>
      <c r="B601" s="6">
        <v>45234</v>
      </c>
      <c r="C601" s="7">
        <v>0.8</v>
      </c>
      <c r="D601" s="5">
        <v>7.25</v>
      </c>
      <c r="E601" s="5">
        <v>1140.9000000000001</v>
      </c>
      <c r="F601" s="5">
        <v>1152.2</v>
      </c>
      <c r="G601" s="6">
        <v>45234</v>
      </c>
      <c r="H601" s="5"/>
      <c r="I601" s="5"/>
      <c r="J601" s="5">
        <f t="shared" si="73"/>
        <v>11.299999999999955</v>
      </c>
      <c r="K601" s="8" t="b">
        <f t="shared" si="74"/>
        <v>1</v>
      </c>
    </row>
    <row r="602" spans="1:11">
      <c r="A602" s="5" t="s">
        <v>89</v>
      </c>
      <c r="B602" s="6">
        <v>45236</v>
      </c>
      <c r="C602" s="7">
        <v>0.8</v>
      </c>
      <c r="D602" s="5">
        <v>7.25</v>
      </c>
      <c r="E602" s="5">
        <v>1152.2</v>
      </c>
      <c r="F602" s="5">
        <v>1167.4000000000001</v>
      </c>
      <c r="G602" s="6">
        <v>45236</v>
      </c>
      <c r="H602" s="5"/>
      <c r="I602" s="5"/>
      <c r="J602" s="5">
        <f t="shared" ref="J602:J617" si="75">F602-E602</f>
        <v>15.200000000000045</v>
      </c>
      <c r="K602" s="8" t="b">
        <f t="shared" ref="K602:K617" si="76">E602=F601</f>
        <v>1</v>
      </c>
    </row>
    <row r="603" spans="1:11">
      <c r="A603" s="5" t="s">
        <v>89</v>
      </c>
      <c r="B603" s="6">
        <v>45238</v>
      </c>
      <c r="C603" s="7">
        <v>1</v>
      </c>
      <c r="D603" s="5">
        <v>5.8</v>
      </c>
      <c r="E603" s="5">
        <v>1167.4000000000001</v>
      </c>
      <c r="F603" s="5">
        <v>1179</v>
      </c>
      <c r="G603" s="6">
        <v>45238</v>
      </c>
      <c r="H603" s="5"/>
      <c r="I603" s="5"/>
      <c r="J603" s="5">
        <f t="shared" si="75"/>
        <v>11.599999999999909</v>
      </c>
      <c r="K603" s="8" t="b">
        <f t="shared" si="76"/>
        <v>1</v>
      </c>
    </row>
    <row r="604" spans="1:11">
      <c r="A604" s="5" t="s">
        <v>89</v>
      </c>
      <c r="B604" s="6">
        <v>45240</v>
      </c>
      <c r="C604" s="7">
        <v>0.8</v>
      </c>
      <c r="D604" s="5">
        <v>7.25</v>
      </c>
      <c r="E604" s="5">
        <v>1179</v>
      </c>
      <c r="F604" s="5">
        <v>1193.5999999999999</v>
      </c>
      <c r="G604" s="6">
        <v>45240</v>
      </c>
      <c r="H604" s="5"/>
      <c r="I604" s="5"/>
      <c r="J604" s="5">
        <f t="shared" si="75"/>
        <v>14.599999999999909</v>
      </c>
      <c r="K604" s="8" t="b">
        <f t="shared" si="76"/>
        <v>1</v>
      </c>
    </row>
    <row r="605" spans="1:11">
      <c r="A605" s="5" t="s">
        <v>89</v>
      </c>
      <c r="B605" s="6">
        <v>45242</v>
      </c>
      <c r="C605" s="7">
        <v>0.8</v>
      </c>
      <c r="D605" s="5">
        <v>7.25</v>
      </c>
      <c r="E605" s="5">
        <v>1193.5999999999999</v>
      </c>
      <c r="F605" s="5">
        <v>1208</v>
      </c>
      <c r="G605" s="6">
        <v>45242</v>
      </c>
      <c r="H605" s="5"/>
      <c r="I605" s="5"/>
      <c r="J605" s="5">
        <f t="shared" si="75"/>
        <v>14.400000000000091</v>
      </c>
      <c r="K605" s="8" t="b">
        <f t="shared" si="76"/>
        <v>1</v>
      </c>
    </row>
    <row r="606" spans="1:11">
      <c r="A606" s="5" t="s">
        <v>89</v>
      </c>
      <c r="B606" s="6">
        <v>45244</v>
      </c>
      <c r="C606" s="7">
        <v>0.7</v>
      </c>
      <c r="D606" s="5">
        <v>8.2899999999999991</v>
      </c>
      <c r="E606" s="5">
        <v>1208</v>
      </c>
      <c r="F606" s="5">
        <v>1224.4000000000001</v>
      </c>
      <c r="G606" s="6">
        <v>45244</v>
      </c>
      <c r="H606" s="5"/>
      <c r="I606" s="5"/>
      <c r="J606" s="5">
        <f t="shared" si="75"/>
        <v>16.400000000000091</v>
      </c>
      <c r="K606" s="8" t="b">
        <f t="shared" si="76"/>
        <v>1</v>
      </c>
    </row>
    <row r="607" spans="1:11">
      <c r="A607" s="5" t="s">
        <v>89</v>
      </c>
      <c r="B607" s="6">
        <v>45246</v>
      </c>
      <c r="C607" s="7">
        <v>0.6</v>
      </c>
      <c r="D607" s="5">
        <v>9.67</v>
      </c>
      <c r="E607" s="5">
        <v>1224.4000000000001</v>
      </c>
      <c r="F607" s="5">
        <v>1243.5</v>
      </c>
      <c r="G607" s="6">
        <v>45246</v>
      </c>
      <c r="H607" s="5"/>
      <c r="I607" s="5"/>
      <c r="J607" s="5">
        <f t="shared" si="75"/>
        <v>19.099999999999909</v>
      </c>
      <c r="K607" s="8" t="b">
        <f t="shared" si="76"/>
        <v>1</v>
      </c>
    </row>
    <row r="608" spans="1:11">
      <c r="A608" s="5" t="s">
        <v>89</v>
      </c>
      <c r="B608" s="6">
        <v>45247</v>
      </c>
      <c r="C608" s="7">
        <v>0.7</v>
      </c>
      <c r="D608" s="5">
        <v>8.2899999999999991</v>
      </c>
      <c r="E608" s="5">
        <v>1243.5</v>
      </c>
      <c r="F608" s="5">
        <v>1262.5</v>
      </c>
      <c r="G608" s="6">
        <v>45247</v>
      </c>
      <c r="H608" s="5"/>
      <c r="I608" s="5"/>
      <c r="J608" s="5">
        <f t="shared" si="75"/>
        <v>19</v>
      </c>
      <c r="K608" s="8" t="b">
        <f t="shared" si="76"/>
        <v>1</v>
      </c>
    </row>
    <row r="609" spans="1:11">
      <c r="A609" s="5" t="s">
        <v>89</v>
      </c>
      <c r="B609" s="6">
        <v>45250</v>
      </c>
      <c r="C609" s="7">
        <v>0.6</v>
      </c>
      <c r="D609" s="5">
        <v>9.67</v>
      </c>
      <c r="E609" s="5">
        <v>1262.5</v>
      </c>
      <c r="F609" s="5">
        <v>1281.5999999999999</v>
      </c>
      <c r="G609" s="6">
        <v>45250</v>
      </c>
      <c r="H609" s="5"/>
      <c r="I609" s="5"/>
      <c r="J609" s="5">
        <f t="shared" si="75"/>
        <v>19.099999999999909</v>
      </c>
      <c r="K609" s="8" t="b">
        <f t="shared" si="76"/>
        <v>1</v>
      </c>
    </row>
    <row r="610" spans="1:11">
      <c r="A610" s="5" t="s">
        <v>89</v>
      </c>
      <c r="B610" s="6">
        <v>45252</v>
      </c>
      <c r="C610" s="7">
        <v>0.6</v>
      </c>
      <c r="D610" s="5">
        <v>9.67</v>
      </c>
      <c r="E610" s="5">
        <v>1281.5999999999999</v>
      </c>
      <c r="F610" s="5">
        <v>1300.5</v>
      </c>
      <c r="G610" s="6">
        <v>45252</v>
      </c>
      <c r="H610" s="5"/>
      <c r="I610" s="5"/>
      <c r="J610" s="5">
        <f t="shared" si="75"/>
        <v>18.900000000000091</v>
      </c>
      <c r="K610" s="8" t="b">
        <f t="shared" si="76"/>
        <v>1</v>
      </c>
    </row>
    <row r="611" spans="1:11">
      <c r="A611" s="5" t="s">
        <v>89</v>
      </c>
      <c r="B611" s="6">
        <v>45254</v>
      </c>
      <c r="C611" s="7">
        <v>0.6</v>
      </c>
      <c r="D611" s="5">
        <v>9.67</v>
      </c>
      <c r="E611" s="5">
        <v>1300.5</v>
      </c>
      <c r="F611" s="5">
        <v>1320.1</v>
      </c>
      <c r="G611" s="6">
        <v>45254</v>
      </c>
      <c r="H611" s="5"/>
      <c r="I611" s="5"/>
      <c r="J611" s="5">
        <f t="shared" si="75"/>
        <v>19.599999999999909</v>
      </c>
      <c r="K611" s="8" t="b">
        <f t="shared" si="76"/>
        <v>1</v>
      </c>
    </row>
    <row r="612" spans="1:11">
      <c r="A612" s="5" t="s">
        <v>89</v>
      </c>
      <c r="B612" s="6">
        <v>45256</v>
      </c>
      <c r="C612" s="7">
        <v>0.6</v>
      </c>
      <c r="D612" s="5">
        <v>9.67</v>
      </c>
      <c r="E612" s="5">
        <v>1320.1</v>
      </c>
      <c r="F612" s="5">
        <v>1340.2</v>
      </c>
      <c r="G612" s="6">
        <v>45256</v>
      </c>
      <c r="H612" s="5"/>
      <c r="I612" s="5"/>
      <c r="J612" s="5">
        <f t="shared" si="75"/>
        <v>20.100000000000136</v>
      </c>
      <c r="K612" s="8" t="b">
        <f t="shared" si="76"/>
        <v>1</v>
      </c>
    </row>
    <row r="613" spans="1:11">
      <c r="A613" s="5" t="s">
        <v>89</v>
      </c>
      <c r="B613" s="6">
        <v>45258</v>
      </c>
      <c r="C613" s="7">
        <v>0.6</v>
      </c>
      <c r="D613" s="5">
        <v>9.67</v>
      </c>
      <c r="E613" s="5">
        <v>1340.2</v>
      </c>
      <c r="F613" s="5">
        <v>1359.3</v>
      </c>
      <c r="G613" s="6">
        <v>45258</v>
      </c>
      <c r="H613" s="5"/>
      <c r="I613" s="5"/>
      <c r="J613" s="5">
        <f t="shared" si="75"/>
        <v>19.099999999999909</v>
      </c>
      <c r="K613" s="8" t="b">
        <f t="shared" si="76"/>
        <v>1</v>
      </c>
    </row>
    <row r="614" spans="1:11">
      <c r="A614" s="5" t="s">
        <v>89</v>
      </c>
      <c r="B614" s="6">
        <v>45260</v>
      </c>
      <c r="C614" s="7">
        <v>0.6</v>
      </c>
      <c r="D614" s="5">
        <v>9.67</v>
      </c>
      <c r="E614" s="5">
        <v>1359.3</v>
      </c>
      <c r="F614" s="5">
        <v>1378.5</v>
      </c>
      <c r="G614" s="6">
        <v>45260</v>
      </c>
      <c r="H614" s="5"/>
      <c r="I614" s="5"/>
      <c r="J614" s="5">
        <f t="shared" si="75"/>
        <v>19.200000000000045</v>
      </c>
      <c r="K614" s="8" t="b">
        <f t="shared" si="76"/>
        <v>1</v>
      </c>
    </row>
    <row r="615" spans="1:11">
      <c r="A615" s="5" t="s">
        <v>89</v>
      </c>
      <c r="B615" s="6">
        <v>45262</v>
      </c>
      <c r="C615" s="7">
        <v>0.45</v>
      </c>
      <c r="D615" s="5">
        <v>12.89</v>
      </c>
      <c r="E615" s="5">
        <v>1378.5</v>
      </c>
      <c r="F615" s="5">
        <v>1404.7</v>
      </c>
      <c r="G615" s="6">
        <v>45262</v>
      </c>
      <c r="H615" s="5"/>
      <c r="I615" s="5"/>
      <c r="J615" s="5">
        <f t="shared" si="75"/>
        <v>26.200000000000045</v>
      </c>
      <c r="K615" s="8" t="b">
        <f t="shared" si="76"/>
        <v>1</v>
      </c>
    </row>
    <row r="616" spans="1:11">
      <c r="A616" s="5" t="s">
        <v>89</v>
      </c>
      <c r="B616" s="6">
        <v>45264</v>
      </c>
      <c r="C616" s="7">
        <v>0.7</v>
      </c>
      <c r="D616" s="5">
        <v>8.2899999999999991</v>
      </c>
      <c r="E616" s="5">
        <v>1404.7</v>
      </c>
      <c r="F616" s="5">
        <v>1421.8</v>
      </c>
      <c r="G616" s="6">
        <v>45264</v>
      </c>
      <c r="H616" s="5"/>
      <c r="I616" s="5"/>
      <c r="J616" s="5">
        <f t="shared" si="75"/>
        <v>17.099999999999909</v>
      </c>
      <c r="K616" s="8" t="b">
        <f t="shared" si="76"/>
        <v>1</v>
      </c>
    </row>
    <row r="617" spans="1:11">
      <c r="A617" s="5" t="s">
        <v>89</v>
      </c>
      <c r="B617" s="6">
        <v>45266</v>
      </c>
      <c r="C617" s="7">
        <v>0.6</v>
      </c>
      <c r="D617" s="5">
        <v>9.67</v>
      </c>
      <c r="E617" s="5">
        <v>1421.8</v>
      </c>
      <c r="F617" s="5">
        <v>1441.8</v>
      </c>
      <c r="G617" s="6">
        <v>45266</v>
      </c>
      <c r="H617" s="5"/>
      <c r="I617" s="5"/>
      <c r="J617" s="5">
        <f t="shared" si="75"/>
        <v>20</v>
      </c>
      <c r="K617" s="8" t="b">
        <f t="shared" si="76"/>
        <v>1</v>
      </c>
    </row>
    <row r="618" spans="1:11">
      <c r="A618" s="5" t="s">
        <v>89</v>
      </c>
      <c r="B618" s="6">
        <v>45268</v>
      </c>
      <c r="C618" s="7">
        <v>0.6</v>
      </c>
      <c r="D618" s="5">
        <v>9.67</v>
      </c>
      <c r="E618" s="5">
        <v>1441.8</v>
      </c>
      <c r="F618" s="5">
        <v>1461.8</v>
      </c>
      <c r="G618" s="6">
        <v>45268</v>
      </c>
      <c r="H618" s="5"/>
      <c r="I618" s="5"/>
      <c r="J618" s="5">
        <f t="shared" ref="J618:J661" si="77">F618-E618</f>
        <v>20</v>
      </c>
      <c r="K618" s="8" t="b">
        <f t="shared" ref="K618:K681" si="78">E618=F617</f>
        <v>1</v>
      </c>
    </row>
    <row r="619" spans="1:11">
      <c r="A619" s="5" t="s">
        <v>89</v>
      </c>
      <c r="B619" s="6">
        <v>45270</v>
      </c>
      <c r="C619" s="7">
        <v>0.6</v>
      </c>
      <c r="D619" s="5">
        <v>9.67</v>
      </c>
      <c r="E619" s="5">
        <v>1461.8</v>
      </c>
      <c r="F619" s="5">
        <v>1480.4</v>
      </c>
      <c r="G619" s="6">
        <v>45270</v>
      </c>
      <c r="H619" s="5"/>
      <c r="I619" s="5"/>
      <c r="J619" s="5">
        <f t="shared" si="77"/>
        <v>18.600000000000136</v>
      </c>
      <c r="K619" s="8" t="b">
        <f t="shared" si="78"/>
        <v>1</v>
      </c>
    </row>
    <row r="620" spans="1:11">
      <c r="A620" s="5" t="s">
        <v>89</v>
      </c>
      <c r="B620" s="6">
        <v>45272</v>
      </c>
      <c r="C620" s="7">
        <v>0.6</v>
      </c>
      <c r="D620" s="5">
        <v>9.67</v>
      </c>
      <c r="E620" s="5">
        <v>1480.4</v>
      </c>
      <c r="F620" s="5">
        <v>1499.5</v>
      </c>
      <c r="G620" s="6">
        <v>45272</v>
      </c>
      <c r="H620" s="5"/>
      <c r="I620" s="5"/>
      <c r="J620" s="5">
        <f t="shared" si="77"/>
        <v>19.099999999999909</v>
      </c>
      <c r="K620" s="8" t="b">
        <f t="shared" si="78"/>
        <v>1</v>
      </c>
    </row>
    <row r="621" spans="1:11">
      <c r="A621" s="5" t="s">
        <v>89</v>
      </c>
      <c r="B621" s="6">
        <v>45274</v>
      </c>
      <c r="C621" s="7">
        <v>0.6</v>
      </c>
      <c r="D621" s="5">
        <v>9.67</v>
      </c>
      <c r="E621" s="5">
        <v>1499.5</v>
      </c>
      <c r="F621" s="5">
        <v>1518.6</v>
      </c>
      <c r="G621" s="6">
        <v>45274</v>
      </c>
      <c r="H621" s="5"/>
      <c r="I621" s="5"/>
      <c r="J621" s="5">
        <f t="shared" si="77"/>
        <v>19.099999999999909</v>
      </c>
      <c r="K621" s="8" t="b">
        <f t="shared" si="78"/>
        <v>1</v>
      </c>
    </row>
    <row r="622" spans="1:11">
      <c r="A622" s="5" t="s">
        <v>89</v>
      </c>
      <c r="B622" s="6">
        <v>45276</v>
      </c>
      <c r="C622" s="7">
        <v>0.5</v>
      </c>
      <c r="D622" s="5">
        <v>11.8</v>
      </c>
      <c r="E622" s="5">
        <v>1518.6</v>
      </c>
      <c r="F622" s="5">
        <v>1542.2</v>
      </c>
      <c r="G622" s="6">
        <v>45276</v>
      </c>
      <c r="H622" s="5"/>
      <c r="I622" s="5"/>
      <c r="J622" s="5">
        <f t="shared" si="77"/>
        <v>23.600000000000136</v>
      </c>
      <c r="K622" s="8" t="b">
        <f t="shared" si="78"/>
        <v>1</v>
      </c>
    </row>
    <row r="623" spans="1:11">
      <c r="A623" s="101" t="s">
        <v>89</v>
      </c>
      <c r="B623" s="102">
        <v>45280</v>
      </c>
      <c r="C623" s="103">
        <v>0.6</v>
      </c>
      <c r="D623" s="101">
        <v>9.67</v>
      </c>
      <c r="E623" s="101">
        <v>1542.2</v>
      </c>
      <c r="F623" s="101">
        <v>1550.4</v>
      </c>
      <c r="G623" s="102">
        <v>45280</v>
      </c>
      <c r="H623" s="101"/>
      <c r="I623" s="101"/>
      <c r="J623" s="101">
        <f t="shared" si="77"/>
        <v>8.2000000000000455</v>
      </c>
      <c r="K623" s="8" t="b">
        <f t="shared" si="78"/>
        <v>1</v>
      </c>
    </row>
    <row r="624" spans="1:11">
      <c r="A624" s="101" t="s">
        <v>89</v>
      </c>
      <c r="B624" s="102">
        <v>45282</v>
      </c>
      <c r="C624" s="103">
        <v>1</v>
      </c>
      <c r="D624" s="101">
        <v>5.8</v>
      </c>
      <c r="E624" s="101">
        <v>1550.4</v>
      </c>
      <c r="F624" s="101">
        <v>1560.7</v>
      </c>
      <c r="G624" s="102">
        <v>45282</v>
      </c>
      <c r="H624" s="101"/>
      <c r="I624" s="101"/>
      <c r="J624" s="101">
        <f t="shared" si="77"/>
        <v>10.299999999999955</v>
      </c>
      <c r="K624" s="8" t="b">
        <f t="shared" si="78"/>
        <v>1</v>
      </c>
    </row>
    <row r="625" spans="1:11">
      <c r="A625" s="5" t="s">
        <v>89</v>
      </c>
      <c r="B625" s="6">
        <v>45286</v>
      </c>
      <c r="C625" s="7">
        <v>0.6</v>
      </c>
      <c r="D625" s="5">
        <v>9.67</v>
      </c>
      <c r="E625" s="5">
        <v>1560.7</v>
      </c>
      <c r="F625" s="5">
        <v>1579.8</v>
      </c>
      <c r="G625" s="6">
        <v>45286</v>
      </c>
      <c r="H625" s="5"/>
      <c r="I625" s="5"/>
      <c r="J625" s="5">
        <f t="shared" si="77"/>
        <v>19.099999999999909</v>
      </c>
      <c r="K625" s="8" t="b">
        <f t="shared" si="78"/>
        <v>1</v>
      </c>
    </row>
    <row r="626" spans="1:11">
      <c r="A626" s="5" t="s">
        <v>89</v>
      </c>
      <c r="B626" s="6">
        <v>45288</v>
      </c>
      <c r="C626" s="7">
        <v>0.7</v>
      </c>
      <c r="D626" s="5">
        <v>8.2899999999999991</v>
      </c>
      <c r="E626" s="5">
        <v>1579.8</v>
      </c>
      <c r="F626" s="5">
        <v>1596.2</v>
      </c>
      <c r="G626" s="6">
        <v>45288</v>
      </c>
      <c r="H626" s="5"/>
      <c r="I626" s="5"/>
      <c r="J626" s="5">
        <f t="shared" si="77"/>
        <v>16.400000000000091</v>
      </c>
      <c r="K626" s="8" t="b">
        <f t="shared" si="78"/>
        <v>1</v>
      </c>
    </row>
    <row r="627" spans="1:11">
      <c r="A627" s="5" t="s">
        <v>89</v>
      </c>
      <c r="B627" s="6">
        <v>45290</v>
      </c>
      <c r="C627" s="7">
        <v>0.7</v>
      </c>
      <c r="D627" s="5">
        <v>8.2899999999999991</v>
      </c>
      <c r="E627" s="5">
        <v>1596.2</v>
      </c>
      <c r="F627" s="5">
        <v>1612.6</v>
      </c>
      <c r="G627" s="6">
        <v>45290</v>
      </c>
      <c r="H627" s="5"/>
      <c r="I627" s="5"/>
      <c r="J627" s="5">
        <f t="shared" si="77"/>
        <v>16.399999999999864</v>
      </c>
      <c r="K627" s="8" t="b">
        <f t="shared" si="78"/>
        <v>1</v>
      </c>
    </row>
    <row r="628" spans="1:11">
      <c r="A628" s="5" t="s">
        <v>89</v>
      </c>
      <c r="B628" s="6">
        <v>45293</v>
      </c>
      <c r="C628" s="7">
        <v>0.7</v>
      </c>
      <c r="D628" s="5">
        <v>8.2899999999999991</v>
      </c>
      <c r="E628" s="5">
        <v>1612.6</v>
      </c>
      <c r="F628" s="5">
        <v>1628.9</v>
      </c>
      <c r="G628" s="6">
        <v>45293</v>
      </c>
      <c r="H628" s="5"/>
      <c r="I628" s="5"/>
      <c r="J628" s="5">
        <f t="shared" si="77"/>
        <v>16.300000000000182</v>
      </c>
      <c r="K628" s="8" t="b">
        <f t="shared" si="78"/>
        <v>1</v>
      </c>
    </row>
    <row r="629" spans="1:11">
      <c r="A629" s="5" t="s">
        <v>89</v>
      </c>
      <c r="B629" s="6">
        <v>45302</v>
      </c>
      <c r="C629" s="7">
        <v>1</v>
      </c>
      <c r="D629" s="5">
        <v>5.8</v>
      </c>
      <c r="E629" s="5">
        <v>1628.9</v>
      </c>
      <c r="F629" s="5">
        <v>1640.6</v>
      </c>
      <c r="G629" s="6">
        <v>45302</v>
      </c>
      <c r="H629" s="5"/>
      <c r="I629" s="5"/>
      <c r="J629" s="5">
        <f t="shared" si="77"/>
        <v>11.699999999999818</v>
      </c>
      <c r="K629" s="8" t="b">
        <f t="shared" si="78"/>
        <v>1</v>
      </c>
    </row>
    <row r="630" spans="1:11">
      <c r="A630" s="5" t="s">
        <v>89</v>
      </c>
      <c r="B630" s="6">
        <v>45308</v>
      </c>
      <c r="C630" s="7">
        <v>0.6</v>
      </c>
      <c r="D630" s="5">
        <v>9.9700000000000006</v>
      </c>
      <c r="E630" s="5">
        <v>1640.6</v>
      </c>
      <c r="F630" s="5">
        <v>1660.7</v>
      </c>
      <c r="G630" s="6">
        <v>45308</v>
      </c>
      <c r="H630" s="5"/>
      <c r="I630" s="5"/>
      <c r="J630" s="5">
        <f t="shared" si="77"/>
        <v>20.100000000000136</v>
      </c>
      <c r="K630" s="8" t="b">
        <f t="shared" si="78"/>
        <v>1</v>
      </c>
    </row>
    <row r="631" spans="1:11">
      <c r="A631" s="5" t="s">
        <v>89</v>
      </c>
      <c r="B631" s="6">
        <v>45310</v>
      </c>
      <c r="C631" s="7">
        <v>0.6</v>
      </c>
      <c r="D631" s="5">
        <v>9.9700000000000006</v>
      </c>
      <c r="E631" s="5">
        <v>1660.7</v>
      </c>
      <c r="F631" s="5">
        <v>1673.8</v>
      </c>
      <c r="G631" s="6">
        <v>45310</v>
      </c>
      <c r="H631" s="5"/>
      <c r="I631" s="5"/>
      <c r="J631" s="5">
        <f t="shared" si="77"/>
        <v>13.099999999999909</v>
      </c>
      <c r="K631" s="8" t="b">
        <f t="shared" si="78"/>
        <v>1</v>
      </c>
    </row>
    <row r="632" spans="1:11" ht="26.25">
      <c r="A632" s="181" t="s">
        <v>72</v>
      </c>
      <c r="B632" s="182"/>
      <c r="C632" s="182"/>
      <c r="D632" s="182"/>
      <c r="E632" s="182"/>
      <c r="F632" s="182"/>
      <c r="G632" s="182"/>
      <c r="H632" s="182"/>
      <c r="I632" s="182"/>
      <c r="J632" s="182"/>
      <c r="K632" s="183"/>
    </row>
    <row r="633" spans="1:11" ht="26.25" customHeight="1">
      <c r="A633" s="184" t="s">
        <v>19</v>
      </c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</row>
    <row r="634" spans="1:11" ht="15.75" thickBo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</row>
    <row r="635" spans="1:11" ht="15.75" thickBot="1">
      <c r="A635" s="132" t="s">
        <v>2</v>
      </c>
      <c r="B635" s="133"/>
      <c r="C635" s="133"/>
      <c r="D635" s="133"/>
      <c r="E635" s="133"/>
      <c r="F635" s="133"/>
      <c r="G635" s="133"/>
      <c r="H635" s="133"/>
      <c r="I635" s="133"/>
      <c r="J635" s="133"/>
      <c r="K635" s="134"/>
    </row>
    <row r="637" spans="1:11" ht="19.5" thickBot="1">
      <c r="A637" s="1" t="s">
        <v>3</v>
      </c>
      <c r="B637" s="1"/>
      <c r="C637" s="1"/>
      <c r="D637" s="1"/>
      <c r="E637" s="1"/>
      <c r="F637" s="1"/>
      <c r="G637" s="1"/>
      <c r="H637" s="1"/>
      <c r="I637" s="1"/>
    </row>
    <row r="638" spans="1:11" ht="30.75" thickBot="1">
      <c r="A638" s="2" t="s">
        <v>4</v>
      </c>
      <c r="B638" s="3" t="s">
        <v>5</v>
      </c>
      <c r="C638" s="3" t="s">
        <v>6</v>
      </c>
      <c r="D638" s="3" t="s">
        <v>7</v>
      </c>
      <c r="E638" s="3" t="s">
        <v>8</v>
      </c>
      <c r="F638" s="3" t="s">
        <v>9</v>
      </c>
      <c r="G638" s="3" t="s">
        <v>10</v>
      </c>
      <c r="H638" s="3" t="s">
        <v>21</v>
      </c>
      <c r="I638" s="4" t="s">
        <v>22</v>
      </c>
      <c r="J638" s="4" t="s">
        <v>11</v>
      </c>
      <c r="K638" s="4" t="s">
        <v>12</v>
      </c>
    </row>
    <row r="639" spans="1:11">
      <c r="A639" s="5" t="s">
        <v>89</v>
      </c>
      <c r="B639" s="6">
        <v>45325</v>
      </c>
      <c r="C639" s="7">
        <v>0.6</v>
      </c>
      <c r="D639" s="5">
        <v>9.9700000000000006</v>
      </c>
      <c r="E639" s="5">
        <v>1679.8</v>
      </c>
      <c r="F639" s="5">
        <v>1696.8</v>
      </c>
      <c r="G639" s="6">
        <v>45325</v>
      </c>
      <c r="H639" s="5"/>
      <c r="I639" s="5"/>
      <c r="J639" s="5">
        <f t="shared" si="77"/>
        <v>17</v>
      </c>
      <c r="K639" s="8" t="b">
        <f t="shared" si="78"/>
        <v>0</v>
      </c>
    </row>
    <row r="640" spans="1:11">
      <c r="A640" s="5" t="s">
        <v>89</v>
      </c>
      <c r="B640" s="6">
        <v>45326</v>
      </c>
      <c r="C640" s="7">
        <v>1</v>
      </c>
      <c r="D640" s="5">
        <v>5.8</v>
      </c>
      <c r="E640" s="5">
        <v>1696.8</v>
      </c>
      <c r="F640" s="5">
        <v>1710.5</v>
      </c>
      <c r="G640" s="6">
        <v>45326</v>
      </c>
      <c r="H640" s="5"/>
      <c r="I640" s="5"/>
      <c r="J640" s="5">
        <f t="shared" si="77"/>
        <v>13.700000000000045</v>
      </c>
      <c r="K640" s="8" t="b">
        <f t="shared" si="78"/>
        <v>1</v>
      </c>
    </row>
    <row r="641" spans="1:11">
      <c r="A641" s="5" t="s">
        <v>89</v>
      </c>
      <c r="B641" s="6">
        <v>45328</v>
      </c>
      <c r="C641" s="7">
        <v>1</v>
      </c>
      <c r="D641" s="5">
        <v>5.8</v>
      </c>
      <c r="E641" s="5">
        <v>1710.5</v>
      </c>
      <c r="F641" s="5">
        <v>1722.2</v>
      </c>
      <c r="G641" s="6">
        <v>45328</v>
      </c>
      <c r="H641" s="5"/>
      <c r="I641" s="5"/>
      <c r="J641" s="5">
        <f t="shared" si="77"/>
        <v>11.700000000000045</v>
      </c>
      <c r="K641" s="8" t="b">
        <f t="shared" si="78"/>
        <v>1</v>
      </c>
    </row>
    <row r="642" spans="1:11">
      <c r="A642" s="5" t="s">
        <v>89</v>
      </c>
      <c r="B642" s="6">
        <v>45329</v>
      </c>
      <c r="C642" s="7">
        <v>1</v>
      </c>
      <c r="D642" s="5">
        <v>5.8</v>
      </c>
      <c r="E642" s="5">
        <v>1722.2</v>
      </c>
      <c r="F642" s="5">
        <v>1733.8</v>
      </c>
      <c r="G642" s="6">
        <v>45329</v>
      </c>
      <c r="H642" s="5"/>
      <c r="I642" s="5"/>
      <c r="J642" s="5">
        <f t="shared" si="77"/>
        <v>11.599999999999909</v>
      </c>
      <c r="K642" s="8" t="b">
        <f t="shared" si="78"/>
        <v>1</v>
      </c>
    </row>
    <row r="643" spans="1:11">
      <c r="A643" s="5" t="s">
        <v>89</v>
      </c>
      <c r="B643" s="6">
        <v>45330</v>
      </c>
      <c r="C643" s="7">
        <v>1</v>
      </c>
      <c r="D643" s="5">
        <v>5.8</v>
      </c>
      <c r="E643" s="5">
        <v>1733.8</v>
      </c>
      <c r="F643" s="5">
        <v>1745.4</v>
      </c>
      <c r="G643" s="6">
        <v>45330</v>
      </c>
      <c r="H643" s="5"/>
      <c r="I643" s="5"/>
      <c r="J643" s="5">
        <f t="shared" si="77"/>
        <v>11.600000000000136</v>
      </c>
      <c r="K643" s="8" t="b">
        <f t="shared" si="78"/>
        <v>1</v>
      </c>
    </row>
    <row r="644" spans="1:11">
      <c r="A644" s="5" t="s">
        <v>89</v>
      </c>
      <c r="B644" s="6">
        <v>45336</v>
      </c>
      <c r="C644" s="7">
        <v>1</v>
      </c>
      <c r="D644" s="5">
        <v>5.8</v>
      </c>
      <c r="E644" s="5">
        <v>1745.4</v>
      </c>
      <c r="F644" s="5">
        <v>1754.4</v>
      </c>
      <c r="G644" s="6">
        <v>45336</v>
      </c>
      <c r="H644" s="5"/>
      <c r="I644" s="5"/>
      <c r="J644" s="5">
        <f t="shared" si="77"/>
        <v>9</v>
      </c>
      <c r="K644" s="8" t="b">
        <f t="shared" si="78"/>
        <v>1</v>
      </c>
    </row>
    <row r="645" spans="1:11">
      <c r="A645" s="5" t="s">
        <v>89</v>
      </c>
      <c r="B645" s="6">
        <v>45349</v>
      </c>
      <c r="C645" s="7">
        <v>1</v>
      </c>
      <c r="D645" s="5">
        <v>5.8</v>
      </c>
      <c r="E645" s="5">
        <v>1754.4</v>
      </c>
      <c r="F645" s="5">
        <v>1757.4</v>
      </c>
      <c r="G645" s="6">
        <v>45349</v>
      </c>
      <c r="H645" s="5"/>
      <c r="I645" s="5"/>
      <c r="J645" s="5">
        <f t="shared" si="77"/>
        <v>3</v>
      </c>
      <c r="K645" s="8" t="b">
        <f t="shared" si="78"/>
        <v>1</v>
      </c>
    </row>
    <row r="646" spans="1:11">
      <c r="A646" s="5" t="s">
        <v>89</v>
      </c>
      <c r="B646" s="6">
        <v>45350</v>
      </c>
      <c r="C646" s="7">
        <v>1</v>
      </c>
      <c r="D646" s="5">
        <v>5.8</v>
      </c>
      <c r="E646" s="5">
        <v>1757.4</v>
      </c>
      <c r="F646" s="5">
        <v>1768.6</v>
      </c>
      <c r="G646" s="6">
        <v>45350</v>
      </c>
      <c r="H646" s="5"/>
      <c r="I646" s="5"/>
      <c r="J646" s="5">
        <f t="shared" si="77"/>
        <v>11.199999999999818</v>
      </c>
      <c r="K646" s="8" t="b">
        <f t="shared" si="78"/>
        <v>1</v>
      </c>
    </row>
    <row r="647" spans="1:11">
      <c r="A647" s="5" t="s">
        <v>89</v>
      </c>
      <c r="B647" s="6">
        <v>45354</v>
      </c>
      <c r="C647" s="7">
        <v>0.5</v>
      </c>
      <c r="D647" s="5">
        <v>11.8</v>
      </c>
      <c r="E647" s="5">
        <v>1768.6</v>
      </c>
      <c r="F647" s="5">
        <v>1780.4</v>
      </c>
      <c r="G647" s="6">
        <v>45354</v>
      </c>
      <c r="H647" s="5"/>
      <c r="I647" s="5"/>
      <c r="J647" s="5">
        <f t="shared" si="77"/>
        <v>11.800000000000182</v>
      </c>
      <c r="K647" s="8" t="b">
        <f t="shared" si="78"/>
        <v>1</v>
      </c>
    </row>
    <row r="648" spans="1:11">
      <c r="A648" s="5" t="s">
        <v>89</v>
      </c>
      <c r="B648" s="6">
        <v>45356</v>
      </c>
      <c r="C648" s="7">
        <v>1</v>
      </c>
      <c r="D648" s="5">
        <v>5.8</v>
      </c>
      <c r="E648" s="5">
        <v>1780.4</v>
      </c>
      <c r="F648" s="5">
        <v>1792.4</v>
      </c>
      <c r="G648" s="6">
        <v>45356</v>
      </c>
      <c r="H648" s="5"/>
      <c r="I648" s="5"/>
      <c r="J648" s="5">
        <f t="shared" si="77"/>
        <v>12</v>
      </c>
      <c r="K648" s="8" t="b">
        <f t="shared" si="78"/>
        <v>1</v>
      </c>
    </row>
    <row r="649" spans="1:11">
      <c r="A649" s="5" t="s">
        <v>89</v>
      </c>
      <c r="B649" s="6">
        <v>45360</v>
      </c>
      <c r="C649" s="7">
        <v>0.6</v>
      </c>
      <c r="D649" s="5">
        <v>9.9700000000000006</v>
      </c>
      <c r="E649" s="5">
        <v>1792.4</v>
      </c>
      <c r="F649" s="5">
        <v>1811.5</v>
      </c>
      <c r="G649" s="6">
        <v>45360</v>
      </c>
      <c r="H649" s="5"/>
      <c r="I649" s="5"/>
      <c r="J649" s="5">
        <f t="shared" si="77"/>
        <v>19.099999999999909</v>
      </c>
      <c r="K649" s="8" t="b">
        <f t="shared" si="78"/>
        <v>1</v>
      </c>
    </row>
    <row r="650" spans="1:11">
      <c r="A650" s="5" t="s">
        <v>89</v>
      </c>
      <c r="B650" s="6">
        <v>45363</v>
      </c>
      <c r="C650" s="7">
        <v>0.8</v>
      </c>
      <c r="D650" s="5">
        <v>7.25</v>
      </c>
      <c r="E650" s="5">
        <v>1811.5</v>
      </c>
      <c r="F650" s="5">
        <v>1825.8</v>
      </c>
      <c r="G650" s="6">
        <v>45363</v>
      </c>
      <c r="H650" s="5"/>
      <c r="I650" s="5"/>
      <c r="J650" s="5">
        <f t="shared" si="77"/>
        <v>14.299999999999955</v>
      </c>
      <c r="K650" s="8" t="b">
        <f t="shared" si="78"/>
        <v>1</v>
      </c>
    </row>
    <row r="651" spans="1:11">
      <c r="A651" s="5" t="s">
        <v>89</v>
      </c>
      <c r="B651" s="6">
        <v>45365</v>
      </c>
      <c r="C651" s="7">
        <v>0.7</v>
      </c>
      <c r="D651" s="5">
        <v>8.2899999999999991</v>
      </c>
      <c r="E651" s="5">
        <v>1825.8</v>
      </c>
      <c r="F651" s="5">
        <v>1842.1</v>
      </c>
      <c r="G651" s="6">
        <v>45365</v>
      </c>
      <c r="H651" s="5"/>
      <c r="I651" s="5"/>
      <c r="J651" s="5">
        <f t="shared" si="77"/>
        <v>16.299999999999955</v>
      </c>
      <c r="K651" s="8" t="b">
        <f t="shared" si="78"/>
        <v>1</v>
      </c>
    </row>
    <row r="652" spans="1:11">
      <c r="A652" s="5" t="s">
        <v>89</v>
      </c>
      <c r="B652" s="6">
        <v>45367</v>
      </c>
      <c r="C652" s="7">
        <v>0.8</v>
      </c>
      <c r="D652" s="5">
        <v>7.25</v>
      </c>
      <c r="E652" s="5">
        <v>1842.1</v>
      </c>
      <c r="F652" s="5">
        <v>1856.5</v>
      </c>
      <c r="G652" s="6">
        <v>45367</v>
      </c>
      <c r="H652" s="5"/>
      <c r="I652" s="5"/>
      <c r="J652" s="5">
        <f t="shared" si="77"/>
        <v>14.400000000000091</v>
      </c>
      <c r="K652" s="8" t="b">
        <f t="shared" si="78"/>
        <v>1</v>
      </c>
    </row>
    <row r="653" spans="1:11">
      <c r="A653" s="5" t="s">
        <v>89</v>
      </c>
      <c r="B653" s="6">
        <v>45369</v>
      </c>
      <c r="C653" s="7">
        <v>0.7</v>
      </c>
      <c r="D653" s="5">
        <v>8.2899999999999991</v>
      </c>
      <c r="E653" s="5">
        <v>1856.5</v>
      </c>
      <c r="F653" s="5">
        <v>1872.9</v>
      </c>
      <c r="G653" s="6">
        <v>45369</v>
      </c>
      <c r="H653" s="5"/>
      <c r="I653" s="5"/>
      <c r="J653" s="5">
        <f t="shared" si="77"/>
        <v>16.400000000000091</v>
      </c>
      <c r="K653" s="8" t="b">
        <f t="shared" si="78"/>
        <v>1</v>
      </c>
    </row>
    <row r="654" spans="1:11">
      <c r="A654" s="5" t="s">
        <v>89</v>
      </c>
      <c r="B654" s="6">
        <v>45378</v>
      </c>
      <c r="C654" s="7">
        <v>0.9</v>
      </c>
      <c r="D654" s="5">
        <v>6.44</v>
      </c>
      <c r="E654" s="5">
        <v>1887.6</v>
      </c>
      <c r="F654" s="5">
        <v>1896.8</v>
      </c>
      <c r="G654" s="6">
        <v>45378</v>
      </c>
      <c r="H654" s="5"/>
      <c r="I654" s="5"/>
      <c r="J654" s="5">
        <f t="shared" si="77"/>
        <v>9.2000000000000455</v>
      </c>
      <c r="K654" s="8" t="b">
        <f t="shared" si="78"/>
        <v>0</v>
      </c>
    </row>
    <row r="655" spans="1:11">
      <c r="A655" s="5" t="s">
        <v>89</v>
      </c>
      <c r="B655" s="6">
        <v>45380</v>
      </c>
      <c r="C655" s="7">
        <v>0.7</v>
      </c>
      <c r="D655" s="5">
        <v>8.2899999999999991</v>
      </c>
      <c r="E655" s="5">
        <v>1896.8</v>
      </c>
      <c r="F655" s="5">
        <v>1913.7</v>
      </c>
      <c r="G655" s="6">
        <v>45380</v>
      </c>
      <c r="H655" s="5"/>
      <c r="I655" s="5"/>
      <c r="J655" s="5">
        <f t="shared" si="77"/>
        <v>16.900000000000091</v>
      </c>
      <c r="K655" s="8" t="b">
        <f t="shared" si="78"/>
        <v>1</v>
      </c>
    </row>
    <row r="656" spans="1:11">
      <c r="A656" s="5" t="s">
        <v>89</v>
      </c>
      <c r="B656" s="6">
        <v>45382</v>
      </c>
      <c r="C656" s="7">
        <v>0.6</v>
      </c>
      <c r="D656" s="5">
        <v>9.9700000000000006</v>
      </c>
      <c r="E656" s="5">
        <v>1913.7</v>
      </c>
      <c r="F656" s="5">
        <v>1932.9</v>
      </c>
      <c r="G656" s="6">
        <v>45382</v>
      </c>
      <c r="H656" s="5"/>
      <c r="I656" s="5"/>
      <c r="J656" s="5">
        <f t="shared" si="77"/>
        <v>19.200000000000045</v>
      </c>
      <c r="K656" s="8" t="b">
        <f t="shared" si="78"/>
        <v>1</v>
      </c>
    </row>
    <row r="657" spans="1:11">
      <c r="A657" s="5" t="s">
        <v>89</v>
      </c>
      <c r="B657" s="6">
        <v>45400</v>
      </c>
      <c r="C657" s="7">
        <v>0.7</v>
      </c>
      <c r="D657" s="5">
        <v>8.2899999999999991</v>
      </c>
      <c r="E657" s="5">
        <v>1932.9</v>
      </c>
      <c r="F657" s="5">
        <v>1941.6</v>
      </c>
      <c r="G657" s="6">
        <v>45400</v>
      </c>
      <c r="H657" s="5" t="s">
        <v>91</v>
      </c>
      <c r="I657" s="5"/>
      <c r="J657" s="5">
        <f t="shared" si="77"/>
        <v>8.6999999999998181</v>
      </c>
      <c r="K657" s="8" t="b">
        <f t="shared" si="78"/>
        <v>1</v>
      </c>
    </row>
    <row r="658" spans="1:11">
      <c r="A658" s="5" t="s">
        <v>89</v>
      </c>
      <c r="B658" s="6">
        <v>45400</v>
      </c>
      <c r="C658" s="7">
        <v>1</v>
      </c>
      <c r="D658" s="5">
        <v>5.8</v>
      </c>
      <c r="E658" s="5">
        <v>1941.6</v>
      </c>
      <c r="F658" s="5">
        <v>1947.2</v>
      </c>
      <c r="G658" s="6">
        <v>45400</v>
      </c>
      <c r="H658" s="5"/>
      <c r="I658" s="5"/>
      <c r="J658" s="5">
        <f t="shared" si="77"/>
        <v>5.6000000000001364</v>
      </c>
      <c r="K658" s="8" t="b">
        <f t="shared" si="78"/>
        <v>1</v>
      </c>
    </row>
    <row r="659" spans="1:11">
      <c r="A659" s="5" t="s">
        <v>89</v>
      </c>
      <c r="B659" s="6">
        <v>45403</v>
      </c>
      <c r="C659" s="7">
        <v>0.7</v>
      </c>
      <c r="D659" s="5">
        <v>8.2899999999999991</v>
      </c>
      <c r="E659" s="5">
        <v>1947.2</v>
      </c>
      <c r="F659" s="5">
        <v>1963.6</v>
      </c>
      <c r="G659" s="6">
        <v>45403</v>
      </c>
      <c r="H659" s="5"/>
      <c r="I659" s="5"/>
      <c r="J659" s="5">
        <f t="shared" si="77"/>
        <v>16.399999999999864</v>
      </c>
      <c r="K659" s="8" t="b">
        <f t="shared" si="78"/>
        <v>1</v>
      </c>
    </row>
    <row r="660" spans="1:11">
      <c r="A660" s="5" t="s">
        <v>89</v>
      </c>
      <c r="B660" s="6">
        <v>45406</v>
      </c>
      <c r="C660" s="7">
        <v>0.7</v>
      </c>
      <c r="D660" s="5">
        <v>8.2899999999999991</v>
      </c>
      <c r="E660" s="5">
        <v>1963.6</v>
      </c>
      <c r="F660" s="5">
        <v>1980.1</v>
      </c>
      <c r="G660" s="6">
        <v>45406</v>
      </c>
      <c r="H660" s="5"/>
      <c r="I660" s="5"/>
      <c r="J660" s="5">
        <f t="shared" si="77"/>
        <v>16.5</v>
      </c>
      <c r="K660" s="8" t="b">
        <f t="shared" si="78"/>
        <v>1</v>
      </c>
    </row>
    <row r="661" spans="1:11">
      <c r="A661" s="5" t="s">
        <v>89</v>
      </c>
      <c r="B661" s="6">
        <v>45409</v>
      </c>
      <c r="C661" s="7">
        <v>0.7</v>
      </c>
      <c r="D661" s="5">
        <v>8.2899999999999991</v>
      </c>
      <c r="E661" s="5">
        <v>1980.1</v>
      </c>
      <c r="F661" s="5">
        <v>1996.9</v>
      </c>
      <c r="G661" s="6">
        <v>45409</v>
      </c>
      <c r="H661" s="5"/>
      <c r="I661" s="5"/>
      <c r="J661" s="5">
        <f t="shared" si="77"/>
        <v>16.800000000000182</v>
      </c>
      <c r="K661" s="8" t="b">
        <f t="shared" si="78"/>
        <v>1</v>
      </c>
    </row>
    <row r="662" spans="1:11">
      <c r="A662" s="5" t="s">
        <v>89</v>
      </c>
      <c r="B662" s="6">
        <v>45412</v>
      </c>
      <c r="C662" s="7">
        <v>0.7</v>
      </c>
      <c r="D662" s="5">
        <v>8.2899999999999991</v>
      </c>
      <c r="E662" s="5">
        <v>1996.9</v>
      </c>
      <c r="F662" s="5">
        <v>2013.4</v>
      </c>
      <c r="G662" s="6">
        <v>45412</v>
      </c>
      <c r="H662" s="5"/>
      <c r="I662" s="5"/>
      <c r="J662" s="5">
        <f t="shared" ref="J662:J695" si="79">F662-E662</f>
        <v>16.5</v>
      </c>
      <c r="K662" s="8" t="b">
        <f t="shared" si="78"/>
        <v>1</v>
      </c>
    </row>
    <row r="663" spans="1:11">
      <c r="A663" s="5" t="s">
        <v>89</v>
      </c>
      <c r="B663" s="6">
        <v>45418</v>
      </c>
      <c r="C663" s="7">
        <v>0.7</v>
      </c>
      <c r="D663" s="5">
        <v>8.2899999999999991</v>
      </c>
      <c r="E663" s="5">
        <v>2013.4</v>
      </c>
      <c r="F663" s="5">
        <v>2029.9</v>
      </c>
      <c r="G663" s="6">
        <v>45418</v>
      </c>
      <c r="H663" s="5"/>
      <c r="I663" s="5"/>
      <c r="J663" s="5">
        <f t="shared" si="79"/>
        <v>16.5</v>
      </c>
      <c r="K663" s="8" t="b">
        <f t="shared" si="78"/>
        <v>1</v>
      </c>
    </row>
    <row r="664" spans="1:11">
      <c r="A664" s="5" t="s">
        <v>89</v>
      </c>
      <c r="B664" s="6">
        <v>45422</v>
      </c>
      <c r="C664" s="7">
        <v>0.7</v>
      </c>
      <c r="D664" s="5">
        <v>8.2899999999999991</v>
      </c>
      <c r="E664" s="5">
        <v>2029.9</v>
      </c>
      <c r="F664" s="5">
        <v>2046.3</v>
      </c>
      <c r="G664" s="6">
        <v>45422</v>
      </c>
      <c r="H664" s="5"/>
      <c r="I664" s="5"/>
      <c r="J664" s="5">
        <f t="shared" si="79"/>
        <v>16.399999999999864</v>
      </c>
      <c r="K664" s="8" t="b">
        <f t="shared" si="78"/>
        <v>1</v>
      </c>
    </row>
    <row r="665" spans="1:11">
      <c r="A665" s="5" t="s">
        <v>89</v>
      </c>
      <c r="B665" s="6">
        <v>45426</v>
      </c>
      <c r="C665" s="7">
        <v>0.7</v>
      </c>
      <c r="D665" s="5">
        <v>8.2899999999999991</v>
      </c>
      <c r="E665" s="5">
        <v>2046.3</v>
      </c>
      <c r="F665" s="5">
        <v>2063.1</v>
      </c>
      <c r="G665" s="6">
        <v>45426</v>
      </c>
      <c r="H665" s="5"/>
      <c r="I665" s="5"/>
      <c r="J665" s="5">
        <f t="shared" si="79"/>
        <v>16.799999999999955</v>
      </c>
      <c r="K665" s="8" t="b">
        <f t="shared" si="78"/>
        <v>1</v>
      </c>
    </row>
    <row r="666" spans="1:11">
      <c r="A666" s="5" t="s">
        <v>89</v>
      </c>
      <c r="B666" s="6">
        <v>45429</v>
      </c>
      <c r="C666" s="7">
        <v>0.6</v>
      </c>
      <c r="D666" s="5">
        <v>9.9700000000000006</v>
      </c>
      <c r="E666" s="5">
        <v>2063.1</v>
      </c>
      <c r="F666" s="5">
        <v>2082.3000000000002</v>
      </c>
      <c r="G666" s="6">
        <v>45429</v>
      </c>
      <c r="H666" s="5"/>
      <c r="I666" s="5"/>
      <c r="J666" s="5">
        <f t="shared" si="79"/>
        <v>19.200000000000273</v>
      </c>
      <c r="K666" s="8" t="b">
        <f t="shared" si="78"/>
        <v>1</v>
      </c>
    </row>
    <row r="667" spans="1:11">
      <c r="A667" s="5" t="s">
        <v>89</v>
      </c>
      <c r="B667" s="6">
        <v>45432</v>
      </c>
      <c r="C667" s="7">
        <v>0.7</v>
      </c>
      <c r="D667" s="5">
        <v>8.2899999999999991</v>
      </c>
      <c r="E667" s="5">
        <v>2082.3000000000002</v>
      </c>
      <c r="F667" s="5">
        <v>2098.8000000000002</v>
      </c>
      <c r="G667" s="6">
        <v>45432</v>
      </c>
      <c r="H667" s="5"/>
      <c r="I667" s="5"/>
      <c r="J667" s="5">
        <f t="shared" si="79"/>
        <v>16.5</v>
      </c>
      <c r="K667" s="8" t="b">
        <f t="shared" si="78"/>
        <v>1</v>
      </c>
    </row>
    <row r="668" spans="1:11">
      <c r="A668" s="5" t="s">
        <v>89</v>
      </c>
      <c r="B668" s="6">
        <v>45437</v>
      </c>
      <c r="C668" s="7">
        <v>0.6</v>
      </c>
      <c r="D668" s="5">
        <v>9.9700000000000006</v>
      </c>
      <c r="E668" s="5">
        <v>2098.8000000000002</v>
      </c>
      <c r="F668" s="5">
        <v>2117.6</v>
      </c>
      <c r="G668" s="6">
        <v>45437</v>
      </c>
      <c r="H668" s="5"/>
      <c r="I668" s="5"/>
      <c r="J668" s="5">
        <f t="shared" si="79"/>
        <v>18.799999999999727</v>
      </c>
      <c r="K668" s="8" t="b">
        <f t="shared" si="78"/>
        <v>1</v>
      </c>
    </row>
    <row r="669" spans="1:11">
      <c r="A669" s="5" t="s">
        <v>89</v>
      </c>
      <c r="B669" s="6">
        <v>45440</v>
      </c>
      <c r="C669" s="7">
        <v>0.7</v>
      </c>
      <c r="D669" s="5">
        <v>8.2899999999999991</v>
      </c>
      <c r="E669" s="5">
        <v>2117.6</v>
      </c>
      <c r="F669" s="5">
        <v>2134.1</v>
      </c>
      <c r="G669" s="6">
        <v>2805</v>
      </c>
      <c r="H669" s="5"/>
      <c r="I669" s="5"/>
      <c r="J669" s="5">
        <f t="shared" si="79"/>
        <v>16.5</v>
      </c>
      <c r="K669" s="8" t="b">
        <f t="shared" si="78"/>
        <v>1</v>
      </c>
    </row>
    <row r="670" spans="1:11">
      <c r="A670" s="5" t="s">
        <v>89</v>
      </c>
      <c r="B670" s="6">
        <v>45443</v>
      </c>
      <c r="C670" s="7">
        <v>0.6</v>
      </c>
      <c r="D670" s="5">
        <v>9.9700000000000006</v>
      </c>
      <c r="E670" s="5">
        <v>2134.1</v>
      </c>
      <c r="F670" s="5">
        <v>2153.4</v>
      </c>
      <c r="G670" s="6">
        <v>45443</v>
      </c>
      <c r="H670" s="5"/>
      <c r="I670" s="5"/>
      <c r="J670" s="5">
        <f t="shared" si="79"/>
        <v>19.300000000000182</v>
      </c>
      <c r="K670" s="8" t="b">
        <f t="shared" si="78"/>
        <v>1</v>
      </c>
    </row>
    <row r="671" spans="1:11">
      <c r="A671" s="5" t="s">
        <v>89</v>
      </c>
      <c r="B671" s="6">
        <v>45446</v>
      </c>
      <c r="C671" s="7">
        <v>0.6</v>
      </c>
      <c r="D671" s="5">
        <v>9.9700000000000006</v>
      </c>
      <c r="E671" s="5">
        <v>2153.4</v>
      </c>
      <c r="F671" s="5">
        <v>2172.5</v>
      </c>
      <c r="G671" s="6">
        <v>45446</v>
      </c>
      <c r="H671" s="5"/>
      <c r="I671" s="5"/>
      <c r="J671" s="5">
        <f t="shared" si="79"/>
        <v>19.099999999999909</v>
      </c>
      <c r="K671" s="8" t="b">
        <f t="shared" si="78"/>
        <v>1</v>
      </c>
    </row>
    <row r="672" spans="1:11">
      <c r="A672" s="5" t="s">
        <v>89</v>
      </c>
      <c r="B672" s="6">
        <v>45449</v>
      </c>
      <c r="C672" s="7">
        <v>1</v>
      </c>
      <c r="D672" s="5">
        <v>5.8</v>
      </c>
      <c r="E672" s="5">
        <v>2172.5</v>
      </c>
      <c r="F672" s="5">
        <v>2184.1999999999998</v>
      </c>
      <c r="G672" s="6">
        <v>45449</v>
      </c>
      <c r="H672" s="5"/>
      <c r="I672" s="5"/>
      <c r="J672" s="5">
        <f t="shared" si="79"/>
        <v>11.699999999999818</v>
      </c>
      <c r="K672" s="8" t="b">
        <f t="shared" si="78"/>
        <v>1</v>
      </c>
    </row>
    <row r="673" spans="1:11">
      <c r="A673" s="5" t="s">
        <v>89</v>
      </c>
      <c r="B673" s="6">
        <v>45453</v>
      </c>
      <c r="C673" s="7">
        <v>0.6</v>
      </c>
      <c r="D673" s="5">
        <v>9.9700000000000006</v>
      </c>
      <c r="E673" s="5">
        <v>2184.1999999999998</v>
      </c>
      <c r="F673" s="5">
        <v>2203.5</v>
      </c>
      <c r="G673" s="6">
        <v>45453</v>
      </c>
      <c r="H673" s="5"/>
      <c r="I673" s="5"/>
      <c r="J673" s="5">
        <f t="shared" si="79"/>
        <v>19.300000000000182</v>
      </c>
      <c r="K673" s="8" t="b">
        <f t="shared" si="78"/>
        <v>1</v>
      </c>
    </row>
    <row r="674" spans="1:11">
      <c r="A674" s="5" t="s">
        <v>89</v>
      </c>
      <c r="B674" s="6">
        <v>45455</v>
      </c>
      <c r="C674" s="7">
        <v>0.6</v>
      </c>
      <c r="D674" s="5">
        <v>9.9700000000000006</v>
      </c>
      <c r="E674" s="5">
        <v>2203.5</v>
      </c>
      <c r="F674" s="5">
        <v>2222.8000000000002</v>
      </c>
      <c r="G674" s="6">
        <v>45456</v>
      </c>
      <c r="H674" s="5"/>
      <c r="I674" s="5"/>
      <c r="J674" s="5">
        <f t="shared" si="79"/>
        <v>19.300000000000182</v>
      </c>
      <c r="K674" s="8" t="b">
        <f t="shared" si="78"/>
        <v>1</v>
      </c>
    </row>
    <row r="675" spans="1:11">
      <c r="A675" s="5" t="s">
        <v>89</v>
      </c>
      <c r="B675" s="6">
        <v>45459</v>
      </c>
      <c r="C675" s="7">
        <v>0.6</v>
      </c>
      <c r="D675" s="5">
        <v>9.9700000000000006</v>
      </c>
      <c r="E675" s="5">
        <v>2222.8000000000002</v>
      </c>
      <c r="F675" s="5">
        <v>2241.9</v>
      </c>
      <c r="G675" s="6">
        <v>45459</v>
      </c>
      <c r="H675" s="5"/>
      <c r="I675" s="5"/>
      <c r="J675" s="5">
        <f t="shared" si="79"/>
        <v>19.099999999999909</v>
      </c>
      <c r="K675" s="8" t="b">
        <f t="shared" si="78"/>
        <v>1</v>
      </c>
    </row>
    <row r="676" spans="1:11">
      <c r="A676" s="5" t="s">
        <v>89</v>
      </c>
      <c r="B676" s="6">
        <v>45462</v>
      </c>
      <c r="C676" s="7">
        <v>0.6</v>
      </c>
      <c r="D676" s="5">
        <v>9.9700000000000006</v>
      </c>
      <c r="E676" s="5">
        <v>2241.9</v>
      </c>
      <c r="F676" s="5">
        <v>2261.1999999999998</v>
      </c>
      <c r="G676" s="6">
        <v>45462</v>
      </c>
      <c r="H676" s="5"/>
      <c r="I676" s="5"/>
      <c r="J676" s="5">
        <f t="shared" si="79"/>
        <v>19.299999999999727</v>
      </c>
      <c r="K676" s="8" t="b">
        <f t="shared" si="78"/>
        <v>1</v>
      </c>
    </row>
    <row r="677" spans="1:11">
      <c r="A677" s="5" t="s">
        <v>89</v>
      </c>
      <c r="B677" s="6">
        <v>45466</v>
      </c>
      <c r="C677" s="7">
        <v>0.5</v>
      </c>
      <c r="D677" s="5">
        <v>11.6</v>
      </c>
      <c r="E677" s="5">
        <v>2261.1999999999998</v>
      </c>
      <c r="F677" s="5">
        <v>2272.6999999999998</v>
      </c>
      <c r="G677" s="6">
        <v>45466</v>
      </c>
      <c r="H677" s="5"/>
      <c r="I677" s="5"/>
      <c r="J677" s="5">
        <f t="shared" si="79"/>
        <v>11.5</v>
      </c>
      <c r="K677" s="8" t="b">
        <f t="shared" si="78"/>
        <v>1</v>
      </c>
    </row>
    <row r="678" spans="1:11">
      <c r="A678" s="5" t="s">
        <v>89</v>
      </c>
      <c r="B678" s="6">
        <v>45467</v>
      </c>
      <c r="C678" s="7">
        <v>0.5</v>
      </c>
      <c r="D678" s="5">
        <v>11.6</v>
      </c>
      <c r="E678" s="5">
        <v>2272.6999999999998</v>
      </c>
      <c r="F678" s="5">
        <v>2285.5</v>
      </c>
      <c r="G678" s="6">
        <v>45467</v>
      </c>
      <c r="H678" s="5"/>
      <c r="I678" s="5"/>
      <c r="J678" s="5">
        <f t="shared" si="79"/>
        <v>12.800000000000182</v>
      </c>
      <c r="K678" s="8" t="b">
        <f t="shared" si="78"/>
        <v>1</v>
      </c>
    </row>
    <row r="679" spans="1:11">
      <c r="A679" s="5" t="s">
        <v>89</v>
      </c>
      <c r="B679" s="6">
        <v>45474</v>
      </c>
      <c r="C679" s="7">
        <v>0.5</v>
      </c>
      <c r="D679" s="5">
        <v>11.6</v>
      </c>
      <c r="E679" s="5">
        <v>2285.5</v>
      </c>
      <c r="F679" s="5">
        <v>2297</v>
      </c>
      <c r="G679" s="6">
        <v>45474</v>
      </c>
      <c r="H679" s="5"/>
      <c r="I679" s="5"/>
      <c r="J679" s="5">
        <f t="shared" si="79"/>
        <v>11.5</v>
      </c>
      <c r="K679" s="8" t="b">
        <f t="shared" si="78"/>
        <v>1</v>
      </c>
    </row>
    <row r="680" spans="1:11">
      <c r="A680" s="5" t="s">
        <v>89</v>
      </c>
      <c r="B680" s="6">
        <v>45475</v>
      </c>
      <c r="C680" s="7">
        <v>0.5</v>
      </c>
      <c r="D680" s="5">
        <v>11.6</v>
      </c>
      <c r="E680" s="5">
        <v>2297</v>
      </c>
      <c r="F680" s="5">
        <v>2308.5</v>
      </c>
      <c r="G680" s="6">
        <v>45475</v>
      </c>
      <c r="H680" s="5"/>
      <c r="I680" s="5"/>
      <c r="J680" s="5">
        <f t="shared" si="79"/>
        <v>11.5</v>
      </c>
      <c r="K680" s="8" t="b">
        <f t="shared" si="78"/>
        <v>1</v>
      </c>
    </row>
    <row r="681" spans="1:11">
      <c r="A681" s="5" t="s">
        <v>89</v>
      </c>
      <c r="B681" s="6">
        <v>45483</v>
      </c>
      <c r="C681" s="7">
        <v>0.7</v>
      </c>
      <c r="D681" s="5">
        <v>8.2899999999999991</v>
      </c>
      <c r="E681" s="5">
        <v>2308.5</v>
      </c>
      <c r="F681" s="5">
        <v>2325.5</v>
      </c>
      <c r="G681" s="6">
        <v>45483</v>
      </c>
      <c r="H681" s="5"/>
      <c r="I681" s="5"/>
      <c r="J681" s="5">
        <f t="shared" si="79"/>
        <v>17</v>
      </c>
      <c r="K681" s="8" t="b">
        <f t="shared" si="78"/>
        <v>1</v>
      </c>
    </row>
    <row r="682" spans="1:11">
      <c r="A682" s="5" t="s">
        <v>89</v>
      </c>
      <c r="B682" s="6"/>
      <c r="C682" s="7"/>
      <c r="D682" s="5"/>
      <c r="E682" s="5"/>
      <c r="F682" s="5"/>
      <c r="G682" s="6"/>
      <c r="H682" s="5"/>
      <c r="I682" s="5"/>
      <c r="J682" s="5">
        <f t="shared" si="79"/>
        <v>0</v>
      </c>
      <c r="K682" s="8" t="b">
        <f t="shared" ref="K682:K695" si="80">E682=F681</f>
        <v>0</v>
      </c>
    </row>
    <row r="683" spans="1:11" ht="26.25">
      <c r="A683" s="181" t="s">
        <v>72</v>
      </c>
      <c r="B683" s="182"/>
      <c r="C683" s="182"/>
      <c r="D683" s="182"/>
      <c r="E683" s="182"/>
      <c r="F683" s="182"/>
      <c r="G683" s="182"/>
      <c r="H683" s="182"/>
      <c r="I683" s="182"/>
      <c r="J683" s="182"/>
      <c r="K683" s="183"/>
    </row>
    <row r="684" spans="1:11">
      <c r="A684" s="184" t="s">
        <v>48</v>
      </c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</row>
    <row r="685" spans="1:11" ht="15.75" thickBo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</row>
    <row r="686" spans="1:11" ht="15.75" thickBot="1">
      <c r="A686" s="132" t="s">
        <v>2</v>
      </c>
      <c r="B686" s="133"/>
      <c r="C686" s="133"/>
      <c r="D686" s="133"/>
      <c r="E686" s="133"/>
      <c r="F686" s="133"/>
      <c r="G686" s="133"/>
      <c r="H686" s="133"/>
      <c r="I686" s="133"/>
      <c r="J686" s="133"/>
      <c r="K686" s="134"/>
    </row>
    <row r="688" spans="1:11" ht="19.5" thickBot="1">
      <c r="A688" s="1" t="s">
        <v>3</v>
      </c>
      <c r="B688" s="1"/>
      <c r="C688" s="1"/>
      <c r="D688" s="1"/>
      <c r="E688" s="1"/>
      <c r="F688" s="1"/>
      <c r="G688" s="1"/>
      <c r="H688" s="1"/>
      <c r="I688" s="1"/>
    </row>
    <row r="689" spans="1:11" ht="30.75" thickBot="1">
      <c r="A689" s="2" t="s">
        <v>4</v>
      </c>
      <c r="B689" s="3" t="s">
        <v>5</v>
      </c>
      <c r="C689" s="3" t="s">
        <v>6</v>
      </c>
      <c r="D689" s="3" t="s">
        <v>7</v>
      </c>
      <c r="E689" s="3" t="s">
        <v>8</v>
      </c>
      <c r="F689" s="3" t="s">
        <v>9</v>
      </c>
      <c r="G689" s="3" t="s">
        <v>10</v>
      </c>
      <c r="H689" s="3" t="s">
        <v>21</v>
      </c>
      <c r="I689" s="4" t="s">
        <v>22</v>
      </c>
      <c r="J689" s="4" t="s">
        <v>11</v>
      </c>
      <c r="K689" s="4" t="s">
        <v>12</v>
      </c>
    </row>
    <row r="690" spans="1:11">
      <c r="A690" s="5" t="s">
        <v>89</v>
      </c>
      <c r="B690" s="6">
        <v>45567</v>
      </c>
      <c r="C690" s="7">
        <v>0.5</v>
      </c>
      <c r="D690" s="5">
        <v>11.6</v>
      </c>
      <c r="E690" s="5">
        <v>0</v>
      </c>
      <c r="F690" s="5">
        <v>23.9</v>
      </c>
      <c r="G690" s="6">
        <v>45567</v>
      </c>
      <c r="H690" s="5"/>
      <c r="I690" s="5"/>
      <c r="J690" s="5">
        <f t="shared" ref="J690" si="81">F690-E690</f>
        <v>23.9</v>
      </c>
      <c r="K690" s="8" t="b">
        <f t="shared" ref="K690" si="82">E690=F689</f>
        <v>0</v>
      </c>
    </row>
    <row r="691" spans="1:11">
      <c r="A691" s="5" t="s">
        <v>89</v>
      </c>
      <c r="B691" s="6">
        <v>45568</v>
      </c>
      <c r="C691" s="7">
        <v>0.5</v>
      </c>
      <c r="D691" s="5">
        <v>11.6</v>
      </c>
      <c r="E691" s="5">
        <v>23.9</v>
      </c>
      <c r="F691" s="5">
        <v>46.8</v>
      </c>
      <c r="G691" s="6">
        <v>45568</v>
      </c>
      <c r="H691" s="5"/>
      <c r="I691" s="5"/>
      <c r="J691" s="5">
        <f t="shared" si="79"/>
        <v>22.9</v>
      </c>
      <c r="K691" s="8" t="b">
        <f t="shared" si="80"/>
        <v>1</v>
      </c>
    </row>
    <row r="692" spans="1:11">
      <c r="A692" s="5" t="s">
        <v>89</v>
      </c>
      <c r="B692" s="6">
        <v>45570</v>
      </c>
      <c r="C692" s="7">
        <v>0.4</v>
      </c>
      <c r="D692" s="5">
        <v>14.5</v>
      </c>
      <c r="E692" s="5">
        <v>46.8</v>
      </c>
      <c r="F692" s="5">
        <v>75</v>
      </c>
      <c r="G692" s="6">
        <v>45570</v>
      </c>
      <c r="H692" s="5"/>
      <c r="I692" s="5"/>
      <c r="J692" s="5">
        <f t="shared" si="79"/>
        <v>28.200000000000003</v>
      </c>
      <c r="K692" s="8" t="b">
        <f t="shared" si="80"/>
        <v>1</v>
      </c>
    </row>
    <row r="693" spans="1:11">
      <c r="A693" s="5" t="s">
        <v>89</v>
      </c>
      <c r="B693" s="6">
        <v>45572</v>
      </c>
      <c r="C693" s="7">
        <v>0.7</v>
      </c>
      <c r="D693" s="5">
        <v>8.2899999999999991</v>
      </c>
      <c r="E693" s="5">
        <v>75</v>
      </c>
      <c r="F693" s="5">
        <v>91.4</v>
      </c>
      <c r="G693" s="6">
        <v>45572</v>
      </c>
      <c r="H693" s="5"/>
      <c r="I693" s="5"/>
      <c r="J693" s="5">
        <f t="shared" si="79"/>
        <v>16.400000000000006</v>
      </c>
      <c r="K693" s="8" t="b">
        <f t="shared" si="80"/>
        <v>1</v>
      </c>
    </row>
    <row r="694" spans="1:11">
      <c r="A694" s="5" t="s">
        <v>89</v>
      </c>
      <c r="B694" s="6">
        <v>45573</v>
      </c>
      <c r="C694" s="7">
        <v>0.7</v>
      </c>
      <c r="D694" s="5">
        <v>8.2899999999999991</v>
      </c>
      <c r="E694" s="5">
        <v>91.4</v>
      </c>
      <c r="F694" s="5">
        <v>107.8</v>
      </c>
      <c r="G694" s="6">
        <v>45573</v>
      </c>
      <c r="H694" s="5"/>
      <c r="I694" s="5"/>
      <c r="J694" s="5">
        <f t="shared" si="79"/>
        <v>16.399999999999991</v>
      </c>
      <c r="K694" s="8" t="b">
        <f t="shared" si="80"/>
        <v>1</v>
      </c>
    </row>
    <row r="695" spans="1:11">
      <c r="A695" s="5" t="s">
        <v>89</v>
      </c>
      <c r="B695" s="6">
        <v>45579</v>
      </c>
      <c r="C695" s="7">
        <v>1</v>
      </c>
      <c r="D695" s="5">
        <v>5.8</v>
      </c>
      <c r="E695" s="5">
        <v>107.8</v>
      </c>
      <c r="F695" s="5">
        <v>119.3</v>
      </c>
      <c r="G695" s="6">
        <v>45579</v>
      </c>
      <c r="H695" s="5"/>
      <c r="I695" s="5"/>
      <c r="J695" s="5">
        <f t="shared" si="79"/>
        <v>11.5</v>
      </c>
      <c r="K695" s="8" t="b">
        <f t="shared" si="80"/>
        <v>1</v>
      </c>
    </row>
    <row r="696" spans="1:11">
      <c r="A696" s="5" t="s">
        <v>89</v>
      </c>
      <c r="B696" s="6">
        <v>45580</v>
      </c>
      <c r="C696" s="7">
        <v>1</v>
      </c>
      <c r="D696" s="5">
        <v>5.8</v>
      </c>
      <c r="E696" s="5">
        <v>119.3</v>
      </c>
      <c r="F696" s="5">
        <v>126.3</v>
      </c>
      <c r="G696" s="6">
        <v>45580</v>
      </c>
      <c r="H696" s="5"/>
      <c r="I696" s="5"/>
      <c r="J696" s="5">
        <f t="shared" ref="J696:J724" si="83">F696-E696</f>
        <v>7</v>
      </c>
      <c r="K696" s="8" t="b">
        <f t="shared" ref="K696:K724" si="84">E696=F695</f>
        <v>1</v>
      </c>
    </row>
    <row r="697" spans="1:11">
      <c r="A697" s="5" t="s">
        <v>89</v>
      </c>
      <c r="B697" s="6"/>
      <c r="C697" s="7"/>
      <c r="D697" s="5"/>
      <c r="E697" s="5"/>
      <c r="F697" s="5"/>
      <c r="G697" s="6"/>
      <c r="H697" s="5"/>
      <c r="I697" s="5"/>
      <c r="J697" s="5">
        <f t="shared" si="83"/>
        <v>0</v>
      </c>
      <c r="K697" s="8" t="b">
        <f t="shared" si="84"/>
        <v>0</v>
      </c>
    </row>
    <row r="698" spans="1:11">
      <c r="A698" s="5" t="s">
        <v>89</v>
      </c>
      <c r="B698" s="6"/>
      <c r="C698" s="7"/>
      <c r="D698" s="5"/>
      <c r="E698" s="5"/>
      <c r="F698" s="5"/>
      <c r="G698" s="6"/>
      <c r="H698" s="5"/>
      <c r="I698" s="5"/>
      <c r="J698" s="5">
        <f t="shared" si="83"/>
        <v>0</v>
      </c>
      <c r="K698" s="8" t="b">
        <f t="shared" si="84"/>
        <v>1</v>
      </c>
    </row>
    <row r="699" spans="1:11">
      <c r="A699" s="5" t="s">
        <v>89</v>
      </c>
      <c r="B699" s="6"/>
      <c r="C699" s="7"/>
      <c r="D699" s="5"/>
      <c r="E699" s="5"/>
      <c r="F699" s="5"/>
      <c r="G699" s="6"/>
      <c r="H699" s="5"/>
      <c r="I699" s="5"/>
      <c r="J699" s="5">
        <f t="shared" si="83"/>
        <v>0</v>
      </c>
      <c r="K699" s="8" t="b">
        <f t="shared" si="84"/>
        <v>1</v>
      </c>
    </row>
    <row r="700" spans="1:11">
      <c r="A700" s="5" t="s">
        <v>89</v>
      </c>
      <c r="B700" s="6"/>
      <c r="C700" s="7"/>
      <c r="D700" s="5"/>
      <c r="E700" s="5"/>
      <c r="F700" s="5"/>
      <c r="G700" s="6"/>
      <c r="H700" s="5"/>
      <c r="I700" s="5"/>
      <c r="J700" s="5">
        <f t="shared" si="83"/>
        <v>0</v>
      </c>
      <c r="K700" s="8" t="b">
        <f t="shared" si="84"/>
        <v>1</v>
      </c>
    </row>
    <row r="701" spans="1:11">
      <c r="A701" s="5" t="s">
        <v>89</v>
      </c>
      <c r="B701" s="6"/>
      <c r="C701" s="7"/>
      <c r="D701" s="5"/>
      <c r="E701" s="5"/>
      <c r="F701" s="5"/>
      <c r="G701" s="6"/>
      <c r="H701" s="5"/>
      <c r="I701" s="5"/>
      <c r="J701" s="5">
        <f t="shared" si="83"/>
        <v>0</v>
      </c>
      <c r="K701" s="8" t="b">
        <f t="shared" si="84"/>
        <v>1</v>
      </c>
    </row>
    <row r="702" spans="1:11">
      <c r="A702" s="5" t="s">
        <v>89</v>
      </c>
      <c r="B702" s="6"/>
      <c r="C702" s="7"/>
      <c r="D702" s="5"/>
      <c r="E702" s="5"/>
      <c r="F702" s="5"/>
      <c r="G702" s="6"/>
      <c r="H702" s="5"/>
      <c r="I702" s="5"/>
      <c r="J702" s="5">
        <f t="shared" si="83"/>
        <v>0</v>
      </c>
      <c r="K702" s="8" t="b">
        <f t="shared" si="84"/>
        <v>1</v>
      </c>
    </row>
    <row r="703" spans="1:11">
      <c r="A703" s="5" t="s">
        <v>89</v>
      </c>
      <c r="B703" s="6"/>
      <c r="C703" s="7"/>
      <c r="D703" s="5"/>
      <c r="E703" s="5"/>
      <c r="F703" s="5"/>
      <c r="G703" s="6"/>
      <c r="H703" s="5"/>
      <c r="I703" s="5"/>
      <c r="J703" s="5">
        <f t="shared" si="83"/>
        <v>0</v>
      </c>
      <c r="K703" s="8" t="b">
        <f t="shared" si="84"/>
        <v>1</v>
      </c>
    </row>
    <row r="704" spans="1:11">
      <c r="A704" s="5" t="s">
        <v>89</v>
      </c>
      <c r="B704" s="6"/>
      <c r="C704" s="7"/>
      <c r="D704" s="5"/>
      <c r="E704" s="5"/>
      <c r="F704" s="5"/>
      <c r="G704" s="6"/>
      <c r="H704" s="5"/>
      <c r="I704" s="5"/>
      <c r="J704" s="5">
        <f t="shared" si="83"/>
        <v>0</v>
      </c>
      <c r="K704" s="8" t="b">
        <f t="shared" si="84"/>
        <v>1</v>
      </c>
    </row>
    <row r="705" spans="1:11">
      <c r="A705" s="5" t="s">
        <v>89</v>
      </c>
      <c r="B705" s="6"/>
      <c r="C705" s="7"/>
      <c r="D705" s="5"/>
      <c r="E705" s="5"/>
      <c r="F705" s="5"/>
      <c r="G705" s="6"/>
      <c r="H705" s="5"/>
      <c r="I705" s="5"/>
      <c r="J705" s="5">
        <f t="shared" si="83"/>
        <v>0</v>
      </c>
      <c r="K705" s="8" t="b">
        <f t="shared" si="84"/>
        <v>1</v>
      </c>
    </row>
    <row r="706" spans="1:11">
      <c r="A706" s="5" t="s">
        <v>89</v>
      </c>
      <c r="B706" s="6"/>
      <c r="C706" s="7"/>
      <c r="D706" s="5"/>
      <c r="E706" s="5"/>
      <c r="F706" s="5"/>
      <c r="G706" s="6"/>
      <c r="H706" s="5"/>
      <c r="I706" s="5"/>
      <c r="J706" s="5">
        <f t="shared" si="83"/>
        <v>0</v>
      </c>
      <c r="K706" s="8" t="b">
        <f t="shared" si="84"/>
        <v>1</v>
      </c>
    </row>
    <row r="707" spans="1:11">
      <c r="A707" s="5" t="s">
        <v>89</v>
      </c>
      <c r="B707" s="6"/>
      <c r="C707" s="7"/>
      <c r="D707" s="5"/>
      <c r="E707" s="5"/>
      <c r="F707" s="5"/>
      <c r="G707" s="6"/>
      <c r="H707" s="5"/>
      <c r="I707" s="5"/>
      <c r="J707" s="5">
        <f t="shared" si="83"/>
        <v>0</v>
      </c>
      <c r="K707" s="8" t="b">
        <f t="shared" si="84"/>
        <v>1</v>
      </c>
    </row>
    <row r="708" spans="1:11">
      <c r="A708" s="5" t="s">
        <v>89</v>
      </c>
      <c r="B708" s="6"/>
      <c r="C708" s="7"/>
      <c r="D708" s="5"/>
      <c r="E708" s="5"/>
      <c r="F708" s="5"/>
      <c r="G708" s="6"/>
      <c r="H708" s="5"/>
      <c r="I708" s="5"/>
      <c r="J708" s="5">
        <f t="shared" si="83"/>
        <v>0</v>
      </c>
      <c r="K708" s="8" t="b">
        <f t="shared" si="84"/>
        <v>1</v>
      </c>
    </row>
    <row r="709" spans="1:11">
      <c r="A709" s="5" t="s">
        <v>89</v>
      </c>
      <c r="B709" s="6"/>
      <c r="C709" s="7"/>
      <c r="D709" s="5"/>
      <c r="E709" s="5"/>
      <c r="F709" s="5"/>
      <c r="G709" s="6"/>
      <c r="H709" s="5"/>
      <c r="I709" s="5"/>
      <c r="J709" s="5">
        <f t="shared" si="83"/>
        <v>0</v>
      </c>
      <c r="K709" s="8" t="b">
        <f t="shared" si="84"/>
        <v>1</v>
      </c>
    </row>
    <row r="710" spans="1:11">
      <c r="A710" s="5" t="s">
        <v>89</v>
      </c>
      <c r="B710" s="6"/>
      <c r="C710" s="7"/>
      <c r="D710" s="5"/>
      <c r="E710" s="5"/>
      <c r="F710" s="5"/>
      <c r="G710" s="6"/>
      <c r="H710" s="5"/>
      <c r="I710" s="5"/>
      <c r="J710" s="5">
        <f t="shared" si="83"/>
        <v>0</v>
      </c>
      <c r="K710" s="8" t="b">
        <f t="shared" si="84"/>
        <v>1</v>
      </c>
    </row>
    <row r="711" spans="1:11">
      <c r="A711" s="5" t="s">
        <v>89</v>
      </c>
      <c r="B711" s="6"/>
      <c r="C711" s="7"/>
      <c r="D711" s="5"/>
      <c r="E711" s="5"/>
      <c r="F711" s="5"/>
      <c r="G711" s="6"/>
      <c r="H711" s="5"/>
      <c r="I711" s="5"/>
      <c r="J711" s="5">
        <f t="shared" si="83"/>
        <v>0</v>
      </c>
      <c r="K711" s="8" t="b">
        <f t="shared" si="84"/>
        <v>1</v>
      </c>
    </row>
    <row r="712" spans="1:11">
      <c r="A712" s="5" t="s">
        <v>89</v>
      </c>
      <c r="B712" s="6"/>
      <c r="C712" s="7"/>
      <c r="D712" s="5"/>
      <c r="E712" s="5"/>
      <c r="F712" s="5"/>
      <c r="G712" s="6"/>
      <c r="H712" s="5"/>
      <c r="I712" s="5"/>
      <c r="J712" s="5">
        <f t="shared" si="83"/>
        <v>0</v>
      </c>
      <c r="K712" s="8" t="b">
        <f t="shared" si="84"/>
        <v>1</v>
      </c>
    </row>
    <row r="713" spans="1:11">
      <c r="A713" s="5" t="s">
        <v>89</v>
      </c>
      <c r="B713" s="6"/>
      <c r="C713" s="7"/>
      <c r="D713" s="5"/>
      <c r="E713" s="5"/>
      <c r="F713" s="5"/>
      <c r="G713" s="6"/>
      <c r="H713" s="5"/>
      <c r="I713" s="5"/>
      <c r="J713" s="5">
        <f t="shared" si="83"/>
        <v>0</v>
      </c>
      <c r="K713" s="8" t="b">
        <f t="shared" si="84"/>
        <v>1</v>
      </c>
    </row>
    <row r="714" spans="1:11">
      <c r="A714" s="5" t="s">
        <v>89</v>
      </c>
      <c r="B714" s="6"/>
      <c r="C714" s="7"/>
      <c r="D714" s="5"/>
      <c r="E714" s="5"/>
      <c r="F714" s="5"/>
      <c r="G714" s="6"/>
      <c r="H714" s="5"/>
      <c r="I714" s="5"/>
      <c r="J714" s="5">
        <f t="shared" si="83"/>
        <v>0</v>
      </c>
      <c r="K714" s="8" t="b">
        <f t="shared" si="84"/>
        <v>1</v>
      </c>
    </row>
    <row r="715" spans="1:11">
      <c r="A715" s="5" t="s">
        <v>89</v>
      </c>
      <c r="B715" s="6"/>
      <c r="C715" s="7"/>
      <c r="D715" s="5"/>
      <c r="E715" s="5"/>
      <c r="F715" s="5"/>
      <c r="G715" s="6"/>
      <c r="H715" s="5"/>
      <c r="I715" s="5"/>
      <c r="J715" s="5">
        <f t="shared" si="83"/>
        <v>0</v>
      </c>
      <c r="K715" s="8" t="b">
        <f t="shared" si="84"/>
        <v>1</v>
      </c>
    </row>
    <row r="716" spans="1:11">
      <c r="A716" s="5" t="s">
        <v>89</v>
      </c>
      <c r="B716" s="6"/>
      <c r="C716" s="7"/>
      <c r="D716" s="5"/>
      <c r="E716" s="5"/>
      <c r="F716" s="5"/>
      <c r="G716" s="6"/>
      <c r="H716" s="5"/>
      <c r="I716" s="5"/>
      <c r="J716" s="5">
        <f t="shared" si="83"/>
        <v>0</v>
      </c>
      <c r="K716" s="8" t="b">
        <f t="shared" si="84"/>
        <v>1</v>
      </c>
    </row>
    <row r="717" spans="1:11">
      <c r="A717" s="5" t="s">
        <v>89</v>
      </c>
      <c r="B717" s="6"/>
      <c r="C717" s="7"/>
      <c r="D717" s="5"/>
      <c r="E717" s="5"/>
      <c r="F717" s="5"/>
      <c r="G717" s="6"/>
      <c r="H717" s="5"/>
      <c r="I717" s="5"/>
      <c r="J717" s="5">
        <f t="shared" si="83"/>
        <v>0</v>
      </c>
      <c r="K717" s="8" t="b">
        <f t="shared" si="84"/>
        <v>1</v>
      </c>
    </row>
    <row r="718" spans="1:11">
      <c r="A718" s="5" t="s">
        <v>89</v>
      </c>
      <c r="B718" s="6"/>
      <c r="C718" s="7"/>
      <c r="D718" s="5"/>
      <c r="E718" s="5"/>
      <c r="F718" s="5"/>
      <c r="G718" s="6"/>
      <c r="H718" s="5"/>
      <c r="I718" s="5"/>
      <c r="J718" s="5">
        <f t="shared" si="83"/>
        <v>0</v>
      </c>
      <c r="K718" s="8" t="b">
        <f t="shared" si="84"/>
        <v>1</v>
      </c>
    </row>
    <row r="719" spans="1:11">
      <c r="A719" s="5" t="s">
        <v>89</v>
      </c>
      <c r="B719" s="6"/>
      <c r="C719" s="7"/>
      <c r="D719" s="5"/>
      <c r="E719" s="5"/>
      <c r="F719" s="5"/>
      <c r="G719" s="6"/>
      <c r="H719" s="5"/>
      <c r="I719" s="5"/>
      <c r="J719" s="5">
        <f t="shared" si="83"/>
        <v>0</v>
      </c>
      <c r="K719" s="8" t="b">
        <f t="shared" si="84"/>
        <v>1</v>
      </c>
    </row>
    <row r="720" spans="1:11">
      <c r="A720" s="5" t="s">
        <v>89</v>
      </c>
      <c r="B720" s="6"/>
      <c r="C720" s="7"/>
      <c r="D720" s="5"/>
      <c r="E720" s="5"/>
      <c r="F720" s="5"/>
      <c r="G720" s="6"/>
      <c r="H720" s="5"/>
      <c r="I720" s="5"/>
      <c r="J720" s="5">
        <f t="shared" si="83"/>
        <v>0</v>
      </c>
      <c r="K720" s="8" t="b">
        <f t="shared" si="84"/>
        <v>1</v>
      </c>
    </row>
    <row r="721" spans="1:11">
      <c r="A721" s="5" t="s">
        <v>89</v>
      </c>
      <c r="B721" s="6"/>
      <c r="C721" s="7"/>
      <c r="D721" s="5"/>
      <c r="E721" s="5"/>
      <c r="F721" s="5"/>
      <c r="G721" s="6"/>
      <c r="H721" s="5"/>
      <c r="I721" s="5"/>
      <c r="J721" s="5">
        <f t="shared" si="83"/>
        <v>0</v>
      </c>
      <c r="K721" s="8" t="b">
        <f t="shared" si="84"/>
        <v>1</v>
      </c>
    </row>
    <row r="722" spans="1:11">
      <c r="A722" s="5" t="s">
        <v>89</v>
      </c>
      <c r="B722" s="6"/>
      <c r="C722" s="7"/>
      <c r="D722" s="5"/>
      <c r="E722" s="5"/>
      <c r="F722" s="5"/>
      <c r="G722" s="6"/>
      <c r="H722" s="5"/>
      <c r="I722" s="5"/>
      <c r="J722" s="5">
        <f t="shared" si="83"/>
        <v>0</v>
      </c>
      <c r="K722" s="8" t="b">
        <f t="shared" si="84"/>
        <v>1</v>
      </c>
    </row>
    <row r="723" spans="1:11">
      <c r="A723" s="5" t="s">
        <v>89</v>
      </c>
      <c r="B723" s="6"/>
      <c r="C723" s="7"/>
      <c r="D723" s="5"/>
      <c r="E723" s="5"/>
      <c r="F723" s="5"/>
      <c r="G723" s="6"/>
      <c r="H723" s="5"/>
      <c r="I723" s="5"/>
      <c r="J723" s="5">
        <f t="shared" si="83"/>
        <v>0</v>
      </c>
      <c r="K723" s="8" t="b">
        <f t="shared" si="84"/>
        <v>1</v>
      </c>
    </row>
    <row r="724" spans="1:11">
      <c r="A724" s="5" t="s">
        <v>89</v>
      </c>
      <c r="B724" s="6"/>
      <c r="C724" s="7"/>
      <c r="D724" s="5"/>
      <c r="E724" s="5"/>
      <c r="F724" s="5"/>
      <c r="G724" s="6"/>
      <c r="H724" s="5"/>
      <c r="I724" s="5"/>
      <c r="J724" s="5">
        <f t="shared" si="83"/>
        <v>0</v>
      </c>
      <c r="K724" s="8" t="b">
        <f t="shared" si="84"/>
        <v>1</v>
      </c>
    </row>
  </sheetData>
  <mergeCells count="36">
    <mergeCell ref="A428:K428"/>
    <mergeCell ref="A514:K514"/>
    <mergeCell ref="A515:K515"/>
    <mergeCell ref="A49:K49"/>
    <mergeCell ref="A1:K1"/>
    <mergeCell ref="A2:K2"/>
    <mergeCell ref="A4:K4"/>
    <mergeCell ref="A46:K46"/>
    <mergeCell ref="A47:K47"/>
    <mergeCell ref="A182:K182"/>
    <mergeCell ref="A183:K183"/>
    <mergeCell ref="A185:K185"/>
    <mergeCell ref="A128:K128"/>
    <mergeCell ref="A129:K129"/>
    <mergeCell ref="A131:K131"/>
    <mergeCell ref="A325:K325"/>
    <mergeCell ref="A326:K326"/>
    <mergeCell ref="A328:K328"/>
    <mergeCell ref="A425:K425"/>
    <mergeCell ref="A426:K426"/>
    <mergeCell ref="A364:K364"/>
    <mergeCell ref="A365:K365"/>
    <mergeCell ref="A367:K367"/>
    <mergeCell ref="A572:K572"/>
    <mergeCell ref="A573:K573"/>
    <mergeCell ref="A574:K574"/>
    <mergeCell ref="A517:K517"/>
    <mergeCell ref="A468:K468"/>
    <mergeCell ref="A469:K469"/>
    <mergeCell ref="A471:K471"/>
    <mergeCell ref="A683:K683"/>
    <mergeCell ref="A684:K685"/>
    <mergeCell ref="A686:K686"/>
    <mergeCell ref="A632:K632"/>
    <mergeCell ref="A635:K635"/>
    <mergeCell ref="A633:K634"/>
  </mergeCells>
  <phoneticPr fontId="6" type="noConversion"/>
  <conditionalFormatting sqref="K1:K187 K189:K330 K332:K369 K371:K430 K432:K473 K475:K519 K521:K576 K578:K632 K635:K637 K639:K683 K686:K688 K690:K1048576">
    <cfRule type="containsText" dxfId="91" priority="1" operator="containsText" text="FALSO">
      <formula>NOT(ISERROR(SEARCH("FALSO",K1)))</formula>
    </cfRule>
    <cfRule type="containsText" dxfId="90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60A7-9C55-4CC5-AAF7-A0AEDA9CAC1C}">
  <sheetPr codeName="Planilha7"/>
  <dimension ref="A1:K575"/>
  <sheetViews>
    <sheetView topLeftCell="A519" zoomScaleNormal="100" workbookViewId="0">
      <selection activeCell="J545" sqref="J545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7" customWidth="1"/>
    <col min="11" max="11" width="12.42578125" bestFit="1" customWidth="1"/>
  </cols>
  <sheetData>
    <row r="1" spans="1:11" ht="26.25">
      <c r="A1" s="144" t="s">
        <v>92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107</v>
      </c>
      <c r="B8" s="6">
        <v>43753</v>
      </c>
      <c r="C8" s="7">
        <v>0.7</v>
      </c>
      <c r="D8" s="5">
        <v>8.2899999999999991</v>
      </c>
      <c r="E8" s="5">
        <v>224.9</v>
      </c>
      <c r="F8" s="5">
        <v>243.4</v>
      </c>
      <c r="G8" s="6">
        <v>43753</v>
      </c>
      <c r="H8" s="5" t="s">
        <v>56</v>
      </c>
      <c r="I8" s="5" t="s">
        <v>57</v>
      </c>
      <c r="J8" s="5">
        <f t="shared" ref="J8:J31" si="0">F8-E8</f>
        <v>18.5</v>
      </c>
      <c r="K8" s="8" t="b">
        <f t="shared" ref="K8:K31" si="1">F8=E9</f>
        <v>1</v>
      </c>
    </row>
    <row r="9" spans="1:11">
      <c r="A9" s="5">
        <v>107</v>
      </c>
      <c r="B9" s="6">
        <v>43755</v>
      </c>
      <c r="C9" s="7">
        <v>0.7</v>
      </c>
      <c r="D9" s="5">
        <v>8.2899999999999991</v>
      </c>
      <c r="E9" s="5">
        <v>243.4</v>
      </c>
      <c r="F9" s="5">
        <v>252.2</v>
      </c>
      <c r="G9" s="6">
        <v>43755</v>
      </c>
      <c r="H9" s="5" t="s">
        <v>56</v>
      </c>
      <c r="I9" s="5" t="s">
        <v>57</v>
      </c>
      <c r="J9" s="5">
        <f t="shared" si="0"/>
        <v>8.7999999999999829</v>
      </c>
      <c r="K9" s="8" t="b">
        <f t="shared" si="1"/>
        <v>1</v>
      </c>
    </row>
    <row r="10" spans="1:11">
      <c r="A10" s="5">
        <v>107</v>
      </c>
      <c r="B10" s="6">
        <v>43756</v>
      </c>
      <c r="C10" s="7">
        <v>0.4</v>
      </c>
      <c r="D10" s="5">
        <v>11.3</v>
      </c>
      <c r="E10" s="5">
        <v>252.2</v>
      </c>
      <c r="F10" s="5">
        <v>267</v>
      </c>
      <c r="G10" s="6">
        <v>43756</v>
      </c>
      <c r="H10" s="5" t="s">
        <v>56</v>
      </c>
      <c r="I10" s="5" t="s">
        <v>57</v>
      </c>
      <c r="J10" s="5">
        <f t="shared" si="0"/>
        <v>14.800000000000011</v>
      </c>
      <c r="K10" s="8" t="b">
        <f t="shared" si="1"/>
        <v>1</v>
      </c>
    </row>
    <row r="11" spans="1:11">
      <c r="A11" s="5">
        <v>107</v>
      </c>
      <c r="B11" s="6">
        <v>43757</v>
      </c>
      <c r="C11" s="7">
        <v>0.4</v>
      </c>
      <c r="D11" s="5">
        <v>11.3</v>
      </c>
      <c r="E11" s="5">
        <v>267</v>
      </c>
      <c r="F11" s="5">
        <v>281.39999999999998</v>
      </c>
      <c r="G11" s="6">
        <v>43757</v>
      </c>
      <c r="H11" s="5" t="s">
        <v>56</v>
      </c>
      <c r="I11" s="5" t="s">
        <v>57</v>
      </c>
      <c r="J11" s="5">
        <f t="shared" si="0"/>
        <v>14.399999999999977</v>
      </c>
      <c r="K11" s="8" t="b">
        <f t="shared" si="1"/>
        <v>1</v>
      </c>
    </row>
    <row r="12" spans="1:11">
      <c r="A12" s="5">
        <v>107</v>
      </c>
      <c r="B12" s="6">
        <v>43758</v>
      </c>
      <c r="C12" s="7">
        <v>1</v>
      </c>
      <c r="D12" s="5">
        <v>5.8</v>
      </c>
      <c r="E12" s="5">
        <v>281.39999999999998</v>
      </c>
      <c r="F12" s="5">
        <v>293</v>
      </c>
      <c r="G12" s="6">
        <v>43758</v>
      </c>
      <c r="H12" s="5" t="s">
        <v>56</v>
      </c>
      <c r="I12" s="5" t="s">
        <v>57</v>
      </c>
      <c r="J12" s="5">
        <f t="shared" si="0"/>
        <v>11.600000000000023</v>
      </c>
      <c r="K12" s="8" t="b">
        <f t="shared" si="1"/>
        <v>1</v>
      </c>
    </row>
    <row r="13" spans="1:11">
      <c r="A13" s="5">
        <v>107</v>
      </c>
      <c r="B13" s="6">
        <v>43759</v>
      </c>
      <c r="C13" s="7">
        <v>1</v>
      </c>
      <c r="D13" s="5">
        <v>5.8</v>
      </c>
      <c r="E13" s="5">
        <v>293</v>
      </c>
      <c r="F13" s="5">
        <v>305.10000000000002</v>
      </c>
      <c r="G13" s="6">
        <v>43759</v>
      </c>
      <c r="H13" s="5" t="s">
        <v>58</v>
      </c>
      <c r="I13" s="5" t="s">
        <v>57</v>
      </c>
      <c r="J13" s="5">
        <f t="shared" si="0"/>
        <v>12.100000000000023</v>
      </c>
      <c r="K13" s="8" t="b">
        <f t="shared" si="1"/>
        <v>1</v>
      </c>
    </row>
    <row r="14" spans="1:11">
      <c r="A14" s="5">
        <v>107</v>
      </c>
      <c r="B14" s="6">
        <v>43760</v>
      </c>
      <c r="C14" s="7">
        <v>1</v>
      </c>
      <c r="D14" s="5">
        <v>5.8</v>
      </c>
      <c r="E14" s="5">
        <v>305.10000000000002</v>
      </c>
      <c r="F14" s="5">
        <v>316.7</v>
      </c>
      <c r="G14" s="6">
        <v>43760</v>
      </c>
      <c r="H14" s="5" t="s">
        <v>58</v>
      </c>
      <c r="I14" s="5" t="s">
        <v>57</v>
      </c>
      <c r="J14" s="5">
        <f t="shared" si="0"/>
        <v>11.599999999999966</v>
      </c>
      <c r="K14" s="8" t="b">
        <f t="shared" si="1"/>
        <v>1</v>
      </c>
    </row>
    <row r="15" spans="1:11">
      <c r="A15" s="5">
        <v>107</v>
      </c>
      <c r="B15" s="6">
        <v>43766</v>
      </c>
      <c r="C15" s="7">
        <v>0.8</v>
      </c>
      <c r="D15" s="5">
        <v>5.33</v>
      </c>
      <c r="E15" s="5">
        <v>316.7</v>
      </c>
      <c r="F15" s="5">
        <v>332.9</v>
      </c>
      <c r="G15" s="6">
        <v>43766</v>
      </c>
      <c r="H15" s="5" t="s">
        <v>58</v>
      </c>
      <c r="I15" s="5" t="s">
        <v>57</v>
      </c>
      <c r="J15" s="5">
        <f t="shared" si="0"/>
        <v>16.199999999999989</v>
      </c>
      <c r="K15" s="8" t="b">
        <f t="shared" si="1"/>
        <v>1</v>
      </c>
    </row>
    <row r="16" spans="1:11">
      <c r="A16" s="5">
        <v>107</v>
      </c>
      <c r="B16" s="6">
        <v>43768</v>
      </c>
      <c r="C16" s="7">
        <v>0.8</v>
      </c>
      <c r="D16" s="5">
        <v>5.33</v>
      </c>
      <c r="E16" s="5">
        <v>332.9</v>
      </c>
      <c r="F16" s="5">
        <v>346.6</v>
      </c>
      <c r="G16" s="6">
        <v>43768</v>
      </c>
      <c r="H16" s="5" t="s">
        <v>59</v>
      </c>
      <c r="I16" s="5" t="s">
        <v>57</v>
      </c>
      <c r="J16" s="5">
        <f t="shared" si="0"/>
        <v>13.700000000000045</v>
      </c>
      <c r="K16" s="8" t="b">
        <f t="shared" si="1"/>
        <v>1</v>
      </c>
    </row>
    <row r="17" spans="1:11">
      <c r="A17" s="5">
        <v>107</v>
      </c>
      <c r="B17" s="6">
        <v>43774</v>
      </c>
      <c r="C17" s="7">
        <v>0.8</v>
      </c>
      <c r="D17" s="5">
        <v>5.33</v>
      </c>
      <c r="E17" s="5">
        <v>346.6</v>
      </c>
      <c r="F17" s="5">
        <v>375.1</v>
      </c>
      <c r="G17" s="6">
        <v>43774</v>
      </c>
      <c r="H17" s="5" t="s">
        <v>60</v>
      </c>
      <c r="I17" s="5" t="s">
        <v>57</v>
      </c>
      <c r="J17" s="5">
        <f t="shared" si="0"/>
        <v>28.5</v>
      </c>
      <c r="K17" s="8" t="b">
        <f t="shared" si="1"/>
        <v>1</v>
      </c>
    </row>
    <row r="18" spans="1:11">
      <c r="A18" s="5">
        <v>107</v>
      </c>
      <c r="B18" s="6">
        <v>43776</v>
      </c>
      <c r="C18" s="7">
        <v>0.8</v>
      </c>
      <c r="D18" s="5">
        <v>5.33</v>
      </c>
      <c r="E18" s="5">
        <v>375.1</v>
      </c>
      <c r="F18" s="5">
        <v>390.1</v>
      </c>
      <c r="G18" s="6">
        <v>43776</v>
      </c>
      <c r="H18" s="5" t="s">
        <v>59</v>
      </c>
      <c r="I18" s="5" t="s">
        <v>57</v>
      </c>
      <c r="J18" s="5">
        <f t="shared" si="0"/>
        <v>15</v>
      </c>
      <c r="K18" s="8" t="b">
        <f t="shared" si="1"/>
        <v>1</v>
      </c>
    </row>
    <row r="19" spans="1:11">
      <c r="A19" s="5">
        <v>107</v>
      </c>
      <c r="B19" s="6">
        <v>43779</v>
      </c>
      <c r="C19" s="7">
        <v>0.65</v>
      </c>
      <c r="D19" s="5">
        <v>8.9499999999999993</v>
      </c>
      <c r="E19" s="5">
        <v>390.1</v>
      </c>
      <c r="F19" s="5">
        <v>408.2</v>
      </c>
      <c r="G19" s="6">
        <v>43779</v>
      </c>
      <c r="H19" s="5" t="s">
        <v>58</v>
      </c>
      <c r="I19" s="5" t="s">
        <v>57</v>
      </c>
      <c r="J19" s="5">
        <f t="shared" si="0"/>
        <v>18.099999999999966</v>
      </c>
      <c r="K19" s="8" t="b">
        <f t="shared" si="1"/>
        <v>1</v>
      </c>
    </row>
    <row r="20" spans="1:11">
      <c r="A20" s="5">
        <v>107</v>
      </c>
      <c r="B20" s="6">
        <v>43782</v>
      </c>
      <c r="C20" s="7">
        <v>0.65</v>
      </c>
      <c r="D20" s="5">
        <v>8.9499999999999993</v>
      </c>
      <c r="E20" s="5">
        <v>408.2</v>
      </c>
      <c r="F20" s="5">
        <v>426.6</v>
      </c>
      <c r="G20" s="6">
        <v>43782</v>
      </c>
      <c r="H20" s="5" t="s">
        <v>60</v>
      </c>
      <c r="I20" s="5" t="s">
        <v>57</v>
      </c>
      <c r="J20" s="5">
        <f t="shared" si="0"/>
        <v>18.400000000000034</v>
      </c>
      <c r="K20" s="8" t="b">
        <f t="shared" si="1"/>
        <v>1</v>
      </c>
    </row>
    <row r="21" spans="1:11">
      <c r="A21" s="5">
        <v>107</v>
      </c>
      <c r="B21" s="6">
        <v>43784</v>
      </c>
      <c r="C21" s="7">
        <v>1</v>
      </c>
      <c r="D21" s="5">
        <v>5.8</v>
      </c>
      <c r="E21" s="5">
        <v>426.6</v>
      </c>
      <c r="F21" s="5">
        <v>438.6</v>
      </c>
      <c r="G21" s="6">
        <v>43784</v>
      </c>
      <c r="H21" s="5" t="s">
        <v>61</v>
      </c>
      <c r="I21" s="5" t="s">
        <v>57</v>
      </c>
      <c r="J21" s="5">
        <f t="shared" si="0"/>
        <v>12</v>
      </c>
      <c r="K21" s="8" t="b">
        <f t="shared" si="1"/>
        <v>1</v>
      </c>
    </row>
    <row r="22" spans="1:11">
      <c r="A22" s="5">
        <v>107</v>
      </c>
      <c r="B22" s="6">
        <v>43785</v>
      </c>
      <c r="C22" s="7">
        <v>0.65</v>
      </c>
      <c r="D22" s="5">
        <v>6.95</v>
      </c>
      <c r="E22" s="5">
        <v>438.6</v>
      </c>
      <c r="F22" s="5">
        <v>453.3</v>
      </c>
      <c r="G22" s="6">
        <v>43785</v>
      </c>
      <c r="H22" s="5" t="s">
        <v>61</v>
      </c>
      <c r="I22" s="5" t="s">
        <v>57</v>
      </c>
      <c r="J22" s="5">
        <f t="shared" si="0"/>
        <v>14.699999999999989</v>
      </c>
      <c r="K22" s="8" t="b">
        <f t="shared" si="1"/>
        <v>1</v>
      </c>
    </row>
    <row r="23" spans="1:11">
      <c r="A23" s="5">
        <v>107</v>
      </c>
      <c r="B23" s="6">
        <v>43791</v>
      </c>
      <c r="C23" s="7">
        <v>0.8</v>
      </c>
      <c r="D23" s="5">
        <v>5.33</v>
      </c>
      <c r="E23" s="5">
        <v>453.3</v>
      </c>
      <c r="F23" s="5">
        <v>467</v>
      </c>
      <c r="G23" s="6">
        <v>43791</v>
      </c>
      <c r="H23" s="5" t="s">
        <v>61</v>
      </c>
      <c r="I23" s="5" t="s">
        <v>57</v>
      </c>
      <c r="J23" s="5">
        <f t="shared" si="0"/>
        <v>13.699999999999989</v>
      </c>
      <c r="K23" s="8" t="b">
        <f t="shared" si="1"/>
        <v>1</v>
      </c>
    </row>
    <row r="24" spans="1:11">
      <c r="A24" s="5">
        <v>107</v>
      </c>
      <c r="B24" s="6">
        <v>43793</v>
      </c>
      <c r="C24" s="7">
        <v>0.8</v>
      </c>
      <c r="D24" s="5">
        <v>5.33</v>
      </c>
      <c r="E24" s="5">
        <v>467</v>
      </c>
      <c r="F24" s="5">
        <v>479.5</v>
      </c>
      <c r="G24" s="6">
        <v>43793</v>
      </c>
      <c r="H24" s="5" t="s">
        <v>61</v>
      </c>
      <c r="I24" s="5" t="s">
        <v>57</v>
      </c>
      <c r="J24" s="5">
        <f t="shared" si="0"/>
        <v>12.5</v>
      </c>
      <c r="K24" s="8" t="b">
        <f t="shared" si="1"/>
        <v>1</v>
      </c>
    </row>
    <row r="25" spans="1:11">
      <c r="A25" s="5">
        <v>107</v>
      </c>
      <c r="B25" s="6">
        <v>43797</v>
      </c>
      <c r="C25" s="7">
        <v>0.8</v>
      </c>
      <c r="D25" s="5">
        <v>5.33</v>
      </c>
      <c r="E25" s="5">
        <v>479.5</v>
      </c>
      <c r="F25" s="5">
        <v>498.4</v>
      </c>
      <c r="G25" s="6">
        <v>43797</v>
      </c>
      <c r="H25" s="5" t="s">
        <v>60</v>
      </c>
      <c r="I25" s="5" t="s">
        <v>57</v>
      </c>
      <c r="J25" s="5">
        <f t="shared" si="0"/>
        <v>18.899999999999977</v>
      </c>
      <c r="K25" s="8" t="b">
        <f t="shared" si="1"/>
        <v>1</v>
      </c>
    </row>
    <row r="26" spans="1:11">
      <c r="A26" s="5">
        <v>107</v>
      </c>
      <c r="B26" s="6">
        <v>43806</v>
      </c>
      <c r="C26" s="7">
        <v>1</v>
      </c>
      <c r="D26" s="5">
        <v>5.8</v>
      </c>
      <c r="E26" s="5">
        <v>498.4</v>
      </c>
      <c r="F26" s="5">
        <v>510.8</v>
      </c>
      <c r="G26" s="6">
        <v>43806</v>
      </c>
      <c r="H26" s="5" t="s">
        <v>59</v>
      </c>
      <c r="I26" s="5" t="s">
        <v>57</v>
      </c>
      <c r="J26" s="5">
        <f t="shared" si="0"/>
        <v>12.400000000000034</v>
      </c>
      <c r="K26" s="8" t="b">
        <f t="shared" si="1"/>
        <v>1</v>
      </c>
    </row>
    <row r="27" spans="1:11">
      <c r="A27" s="5">
        <v>107</v>
      </c>
      <c r="B27" s="6">
        <v>43809</v>
      </c>
      <c r="C27" s="7">
        <v>0.7</v>
      </c>
      <c r="D27" s="5">
        <v>8.2899999999999991</v>
      </c>
      <c r="E27" s="5">
        <v>510.8</v>
      </c>
      <c r="F27" s="5">
        <v>540.20000000000005</v>
      </c>
      <c r="G27" s="6">
        <v>43809</v>
      </c>
      <c r="H27" s="5"/>
      <c r="I27" s="5"/>
      <c r="J27" s="5">
        <f t="shared" si="0"/>
        <v>29.400000000000034</v>
      </c>
      <c r="K27" s="8" t="b">
        <f t="shared" si="1"/>
        <v>1</v>
      </c>
    </row>
    <row r="28" spans="1:11">
      <c r="A28" s="5">
        <v>107</v>
      </c>
      <c r="B28" s="6">
        <v>43811</v>
      </c>
      <c r="C28" s="7">
        <v>0.7</v>
      </c>
      <c r="D28" s="5">
        <v>8.2899999999999991</v>
      </c>
      <c r="E28" s="5">
        <v>540.20000000000005</v>
      </c>
      <c r="F28" s="5">
        <v>557.6</v>
      </c>
      <c r="G28" s="6">
        <v>43811</v>
      </c>
      <c r="H28" s="5"/>
      <c r="I28" s="5"/>
      <c r="J28" s="5">
        <f t="shared" si="0"/>
        <v>17.399999999999977</v>
      </c>
      <c r="K28" s="8" t="b">
        <f t="shared" si="1"/>
        <v>1</v>
      </c>
    </row>
    <row r="29" spans="1:11">
      <c r="A29" s="5">
        <v>107</v>
      </c>
      <c r="B29" s="6">
        <v>43812</v>
      </c>
      <c r="C29" s="7">
        <v>0.7</v>
      </c>
      <c r="D29" s="5">
        <v>8.2899999999999991</v>
      </c>
      <c r="E29" s="5">
        <v>557.6</v>
      </c>
      <c r="F29" s="5">
        <v>575.29999999999995</v>
      </c>
      <c r="G29" s="6">
        <v>43812</v>
      </c>
      <c r="H29" s="5"/>
      <c r="I29" s="5"/>
      <c r="J29" s="5">
        <f t="shared" si="0"/>
        <v>17.699999999999932</v>
      </c>
      <c r="K29" s="8" t="b">
        <f t="shared" si="1"/>
        <v>1</v>
      </c>
    </row>
    <row r="30" spans="1:11">
      <c r="A30" s="5">
        <v>107</v>
      </c>
      <c r="B30" s="6">
        <v>43819</v>
      </c>
      <c r="C30" s="7">
        <v>0.7</v>
      </c>
      <c r="D30" s="5">
        <v>8.2899999999999991</v>
      </c>
      <c r="E30" s="5">
        <v>575.29999999999995</v>
      </c>
      <c r="F30" s="5">
        <v>611.1</v>
      </c>
      <c r="G30" s="6">
        <v>43819</v>
      </c>
      <c r="H30" s="5"/>
      <c r="I30" s="5"/>
      <c r="J30" s="5">
        <f t="shared" si="0"/>
        <v>35.800000000000068</v>
      </c>
      <c r="K30" s="8" t="b">
        <f t="shared" si="1"/>
        <v>1</v>
      </c>
    </row>
    <row r="31" spans="1:11">
      <c r="A31" s="5">
        <v>107</v>
      </c>
      <c r="B31" s="6">
        <v>43820</v>
      </c>
      <c r="C31" s="7">
        <v>0.7</v>
      </c>
      <c r="D31" s="5">
        <v>8.2899999999999991</v>
      </c>
      <c r="E31" s="5">
        <v>611.1</v>
      </c>
      <c r="F31" s="5">
        <v>626</v>
      </c>
      <c r="G31" s="6">
        <v>43820</v>
      </c>
      <c r="H31" s="5"/>
      <c r="I31" s="5"/>
      <c r="J31" s="5">
        <f t="shared" si="0"/>
        <v>14.899999999999977</v>
      </c>
      <c r="K31" s="8" t="b">
        <f t="shared" si="1"/>
        <v>1</v>
      </c>
    </row>
    <row r="32" spans="1:11">
      <c r="A32" s="5">
        <v>107</v>
      </c>
      <c r="B32" s="6">
        <v>43822</v>
      </c>
      <c r="C32" s="7">
        <v>0.7</v>
      </c>
      <c r="D32" s="5">
        <v>8.2899999999999991</v>
      </c>
      <c r="E32" s="5">
        <v>626</v>
      </c>
      <c r="F32" s="5">
        <v>643</v>
      </c>
      <c r="G32" s="6">
        <v>43822</v>
      </c>
      <c r="H32" s="5"/>
      <c r="I32" s="5"/>
      <c r="J32" s="5">
        <f t="shared" ref="J32:J37" si="2">F32-E32</f>
        <v>17</v>
      </c>
      <c r="K32" s="8" t="b">
        <f t="shared" ref="K32:K37" si="3">F32=E33</f>
        <v>1</v>
      </c>
    </row>
    <row r="33" spans="1:11">
      <c r="A33" s="5">
        <v>107</v>
      </c>
      <c r="B33" s="6">
        <v>43825</v>
      </c>
      <c r="C33" s="7">
        <v>1</v>
      </c>
      <c r="D33" s="5">
        <v>5.8</v>
      </c>
      <c r="E33" s="5">
        <v>643</v>
      </c>
      <c r="F33" s="5">
        <v>659</v>
      </c>
      <c r="G33" s="6">
        <v>43825</v>
      </c>
      <c r="H33" s="5"/>
      <c r="I33" s="5"/>
      <c r="J33" s="5">
        <f t="shared" si="2"/>
        <v>16</v>
      </c>
      <c r="K33" s="8" t="b">
        <f t="shared" si="3"/>
        <v>1</v>
      </c>
    </row>
    <row r="34" spans="1:11">
      <c r="A34" s="5">
        <v>107</v>
      </c>
      <c r="B34" s="6">
        <v>43827</v>
      </c>
      <c r="C34" s="7">
        <v>0.7</v>
      </c>
      <c r="D34" s="5">
        <v>8.2899999999999991</v>
      </c>
      <c r="E34" s="5">
        <v>659</v>
      </c>
      <c r="F34" s="5">
        <v>677.8</v>
      </c>
      <c r="G34" s="6">
        <v>43827</v>
      </c>
      <c r="H34" s="5"/>
      <c r="I34" s="5"/>
      <c r="J34" s="5">
        <f t="shared" si="2"/>
        <v>18.799999999999955</v>
      </c>
      <c r="K34" s="8" t="b">
        <f t="shared" si="3"/>
        <v>1</v>
      </c>
    </row>
    <row r="35" spans="1:11">
      <c r="A35" s="5">
        <v>107</v>
      </c>
      <c r="B35" s="6" t="s">
        <v>93</v>
      </c>
      <c r="C35" s="7">
        <v>0.7</v>
      </c>
      <c r="D35" s="5">
        <v>8.2899999999999991</v>
      </c>
      <c r="E35" s="5">
        <v>677.8</v>
      </c>
      <c r="F35" s="5">
        <v>694.7</v>
      </c>
      <c r="G35" s="6">
        <v>43829</v>
      </c>
      <c r="H35" s="5"/>
      <c r="I35" s="5"/>
      <c r="J35" s="5">
        <f t="shared" si="2"/>
        <v>16.900000000000091</v>
      </c>
      <c r="K35" s="8" t="b">
        <f t="shared" si="3"/>
        <v>0</v>
      </c>
    </row>
    <row r="36" spans="1:11">
      <c r="A36" s="5">
        <v>107</v>
      </c>
      <c r="B36" s="6">
        <v>43478</v>
      </c>
      <c r="C36" s="7">
        <v>1</v>
      </c>
      <c r="D36" s="5">
        <v>5.8</v>
      </c>
      <c r="E36" s="5">
        <v>1</v>
      </c>
      <c r="F36" s="5">
        <v>12</v>
      </c>
      <c r="G36" s="6">
        <v>43812</v>
      </c>
      <c r="H36" s="5"/>
      <c r="I36" s="5"/>
      <c r="J36" s="5">
        <f t="shared" si="2"/>
        <v>11</v>
      </c>
      <c r="K36" s="8" t="b">
        <f t="shared" si="3"/>
        <v>1</v>
      </c>
    </row>
    <row r="37" spans="1:11">
      <c r="A37" s="5">
        <v>107</v>
      </c>
      <c r="B37" s="6">
        <v>43845</v>
      </c>
      <c r="C37" s="7">
        <v>0.7</v>
      </c>
      <c r="D37" s="5">
        <v>8.2899999999999991</v>
      </c>
      <c r="E37" s="5">
        <v>12</v>
      </c>
      <c r="F37" s="5">
        <v>30.6</v>
      </c>
      <c r="G37" s="6">
        <v>43845</v>
      </c>
      <c r="H37" s="5"/>
      <c r="I37" s="5"/>
      <c r="J37" s="5">
        <f t="shared" si="2"/>
        <v>18.600000000000001</v>
      </c>
      <c r="K37" s="8" t="b">
        <f t="shared" si="3"/>
        <v>1</v>
      </c>
    </row>
    <row r="38" spans="1:11">
      <c r="A38" s="5">
        <v>107</v>
      </c>
      <c r="B38" s="6">
        <v>43847</v>
      </c>
      <c r="C38" s="7">
        <v>0.7</v>
      </c>
      <c r="D38" s="5">
        <v>8.2899999999999991</v>
      </c>
      <c r="E38" s="5">
        <v>30.6</v>
      </c>
      <c r="F38" s="5">
        <v>46.6</v>
      </c>
      <c r="G38" s="6">
        <v>43846</v>
      </c>
      <c r="H38" s="5"/>
      <c r="I38" s="5"/>
      <c r="J38" s="5">
        <f>F38-E38</f>
        <v>16</v>
      </c>
      <c r="K38" s="8" t="b">
        <f t="shared" ref="K38:K58" si="4">F38=E39</f>
        <v>1</v>
      </c>
    </row>
    <row r="39" spans="1:11">
      <c r="A39" s="5">
        <v>107</v>
      </c>
      <c r="B39" s="6">
        <v>43849</v>
      </c>
      <c r="C39" s="7">
        <v>0.7</v>
      </c>
      <c r="D39" s="5">
        <v>8.2899999999999991</v>
      </c>
      <c r="E39" s="5">
        <v>46.6</v>
      </c>
      <c r="F39" s="5">
        <v>54.4</v>
      </c>
      <c r="G39" s="6">
        <v>43849</v>
      </c>
      <c r="H39" s="5"/>
      <c r="I39" s="5"/>
      <c r="J39" s="5">
        <f>F39-E39</f>
        <v>7.7999999999999972</v>
      </c>
      <c r="K39" s="8" t="b">
        <f t="shared" si="4"/>
        <v>1</v>
      </c>
    </row>
    <row r="40" spans="1:11">
      <c r="A40" s="5">
        <v>107</v>
      </c>
      <c r="B40" s="6">
        <v>43850</v>
      </c>
      <c r="C40" s="7">
        <v>0.7</v>
      </c>
      <c r="D40" s="5">
        <v>8.2899999999999991</v>
      </c>
      <c r="E40" s="5">
        <v>54.4</v>
      </c>
      <c r="F40" s="5">
        <v>82.3</v>
      </c>
      <c r="G40" s="6">
        <v>43850</v>
      </c>
      <c r="H40" s="5"/>
      <c r="I40" s="5"/>
      <c r="J40" s="5">
        <f>F40-E40</f>
        <v>27.9</v>
      </c>
      <c r="K40" s="8" t="b">
        <f t="shared" si="4"/>
        <v>1</v>
      </c>
    </row>
    <row r="41" spans="1:11">
      <c r="A41" s="5">
        <v>107</v>
      </c>
      <c r="B41" s="6">
        <v>43851</v>
      </c>
      <c r="C41" s="7">
        <v>0.7</v>
      </c>
      <c r="D41" s="5">
        <v>8.2899999999999991</v>
      </c>
      <c r="E41" s="5">
        <v>82.3</v>
      </c>
      <c r="F41" s="5">
        <v>87.3</v>
      </c>
      <c r="G41" s="6">
        <v>43851</v>
      </c>
      <c r="H41" s="5"/>
      <c r="I41" s="5"/>
      <c r="J41" s="5">
        <f>F41-E41</f>
        <v>5</v>
      </c>
      <c r="K41" s="8" t="b">
        <f>F41=E45</f>
        <v>0</v>
      </c>
    </row>
    <row r="42" spans="1:11">
      <c r="A42" s="5"/>
      <c r="B42" s="6"/>
      <c r="C42" s="7"/>
      <c r="D42" s="5"/>
      <c r="E42" s="5"/>
      <c r="F42" s="5"/>
      <c r="G42" s="6"/>
      <c r="H42" s="5"/>
      <c r="I42" s="5"/>
      <c r="J42" s="5"/>
      <c r="K42" s="8"/>
    </row>
    <row r="43" spans="1:11" ht="26.25">
      <c r="A43" s="144" t="s">
        <v>92</v>
      </c>
      <c r="B43" s="166"/>
      <c r="C43" s="166"/>
      <c r="D43" s="166"/>
      <c r="E43" s="166"/>
      <c r="F43" s="166"/>
      <c r="G43" s="166"/>
      <c r="H43" s="166"/>
      <c r="I43" s="166"/>
      <c r="J43" s="166"/>
      <c r="K43" s="167"/>
    </row>
    <row r="44" spans="1:11" ht="26.25">
      <c r="A44" s="144" t="s">
        <v>51</v>
      </c>
      <c r="B44" s="166"/>
      <c r="C44" s="166"/>
      <c r="D44" s="166"/>
      <c r="E44" s="166"/>
      <c r="F44" s="166"/>
      <c r="G44" s="166"/>
      <c r="H44" s="166"/>
      <c r="I44" s="166"/>
      <c r="J44" s="166"/>
      <c r="K44" s="167"/>
    </row>
    <row r="45" spans="1:11" ht="15.75" thickBot="1"/>
    <row r="46" spans="1:11" ht="15.75" thickBot="1">
      <c r="A46" s="132" t="s">
        <v>2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4"/>
    </row>
    <row r="48" spans="1:11" ht="19.5" thickBot="1">
      <c r="A48" s="1" t="s">
        <v>3</v>
      </c>
      <c r="B48" s="1"/>
      <c r="C48" s="1"/>
      <c r="D48" s="1"/>
      <c r="E48" s="1"/>
      <c r="F48" s="1"/>
      <c r="G48" s="1"/>
      <c r="H48" s="1"/>
      <c r="I48" s="1"/>
    </row>
    <row r="49" spans="1:11" ht="30.75" thickBot="1">
      <c r="A49" s="2" t="s">
        <v>4</v>
      </c>
      <c r="B49" s="3" t="s">
        <v>5</v>
      </c>
      <c r="C49" s="3" t="s">
        <v>6</v>
      </c>
      <c r="D49" s="3" t="s">
        <v>7</v>
      </c>
      <c r="E49" s="3" t="s">
        <v>8</v>
      </c>
      <c r="F49" s="3" t="s">
        <v>9</v>
      </c>
      <c r="G49" s="3" t="s">
        <v>10</v>
      </c>
      <c r="H49" s="3" t="s">
        <v>21</v>
      </c>
      <c r="I49" s="4" t="s">
        <v>22</v>
      </c>
      <c r="J49" s="4" t="s">
        <v>11</v>
      </c>
      <c r="K49" s="4" t="s">
        <v>12</v>
      </c>
    </row>
    <row r="50" spans="1:11">
      <c r="A50" s="5">
        <v>107</v>
      </c>
      <c r="B50" s="6">
        <v>43887</v>
      </c>
      <c r="C50" s="7">
        <v>1</v>
      </c>
      <c r="D50" s="5">
        <v>5.8</v>
      </c>
      <c r="E50" s="5">
        <v>179</v>
      </c>
      <c r="F50" s="5">
        <v>191</v>
      </c>
      <c r="G50" s="6">
        <v>43887</v>
      </c>
      <c r="H50" s="5"/>
      <c r="I50" s="5"/>
      <c r="J50" s="5">
        <f>F50-E50</f>
        <v>12</v>
      </c>
      <c r="K50" s="8" t="b">
        <f t="shared" si="4"/>
        <v>0</v>
      </c>
    </row>
    <row r="51" spans="1:11">
      <c r="A51" s="5">
        <v>107</v>
      </c>
      <c r="B51" s="6">
        <v>43900</v>
      </c>
      <c r="C51" s="7">
        <v>1</v>
      </c>
      <c r="D51" s="5">
        <v>5.8</v>
      </c>
      <c r="E51" s="5">
        <v>219</v>
      </c>
      <c r="F51" s="5">
        <v>231.7</v>
      </c>
      <c r="G51" s="6">
        <v>43901</v>
      </c>
      <c r="H51" s="5"/>
      <c r="I51" s="5"/>
      <c r="J51" s="5">
        <f>F51-E51</f>
        <v>12.699999999999989</v>
      </c>
      <c r="K51" s="8" t="b">
        <f t="shared" si="4"/>
        <v>0</v>
      </c>
    </row>
    <row r="52" spans="1:11">
      <c r="A52" s="5">
        <v>107</v>
      </c>
      <c r="B52" s="6">
        <v>43909</v>
      </c>
      <c r="C52" s="7">
        <v>0.8</v>
      </c>
      <c r="D52" s="5">
        <v>5.33</v>
      </c>
      <c r="E52" s="5">
        <v>0</v>
      </c>
      <c r="F52" s="5">
        <v>18.2</v>
      </c>
      <c r="G52" s="6">
        <v>43909</v>
      </c>
      <c r="H52" s="5"/>
      <c r="I52" s="5"/>
      <c r="J52" s="5">
        <f>F52-E52</f>
        <v>18.2</v>
      </c>
      <c r="K52" s="8" t="b">
        <f t="shared" si="4"/>
        <v>1</v>
      </c>
    </row>
    <row r="53" spans="1:11">
      <c r="A53" s="5">
        <v>107</v>
      </c>
      <c r="B53" s="6">
        <v>43912</v>
      </c>
      <c r="C53" s="7">
        <v>0.8</v>
      </c>
      <c r="D53" s="5">
        <v>5.33</v>
      </c>
      <c r="E53" s="5">
        <v>18.2</v>
      </c>
      <c r="F53" s="5">
        <v>34.200000000000003</v>
      </c>
      <c r="G53" s="6">
        <v>43912</v>
      </c>
      <c r="H53" s="5"/>
      <c r="I53" s="5"/>
      <c r="J53" s="5">
        <f>F53-E53</f>
        <v>16.000000000000004</v>
      </c>
      <c r="K53" s="8" t="b">
        <f t="shared" si="4"/>
        <v>1</v>
      </c>
    </row>
    <row r="54" spans="1:11">
      <c r="A54" s="5">
        <v>107</v>
      </c>
      <c r="B54" s="6">
        <v>43922</v>
      </c>
      <c r="C54" s="7">
        <v>1</v>
      </c>
      <c r="D54" s="5">
        <v>5.8</v>
      </c>
      <c r="E54" s="5">
        <v>34.200000000000003</v>
      </c>
      <c r="F54" s="5">
        <v>50</v>
      </c>
      <c r="G54" s="6">
        <v>43922</v>
      </c>
      <c r="H54" s="5"/>
      <c r="I54" s="5"/>
      <c r="J54" s="5">
        <f t="shared" ref="J54:J59" si="5">F54-E54</f>
        <v>15.799999999999997</v>
      </c>
      <c r="K54" s="8" t="b">
        <f t="shared" si="4"/>
        <v>1</v>
      </c>
    </row>
    <row r="55" spans="1:11">
      <c r="A55" s="5">
        <v>107</v>
      </c>
      <c r="B55" s="6">
        <v>43923</v>
      </c>
      <c r="C55" s="7">
        <v>1</v>
      </c>
      <c r="D55" s="5">
        <v>5.8</v>
      </c>
      <c r="E55" s="5">
        <v>50</v>
      </c>
      <c r="F55" s="5">
        <v>56</v>
      </c>
      <c r="G55" s="6">
        <v>43923</v>
      </c>
      <c r="H55" s="5"/>
      <c r="I55" s="5"/>
      <c r="J55" s="5">
        <f t="shared" si="5"/>
        <v>6</v>
      </c>
      <c r="K55" s="8" t="b">
        <f t="shared" si="4"/>
        <v>1</v>
      </c>
    </row>
    <row r="56" spans="1:11">
      <c r="A56" s="5">
        <v>107</v>
      </c>
      <c r="B56" s="6">
        <v>43924</v>
      </c>
      <c r="C56" s="7">
        <v>1</v>
      </c>
      <c r="D56" s="5">
        <v>5.8</v>
      </c>
      <c r="E56" s="5">
        <v>56</v>
      </c>
      <c r="F56" s="5">
        <v>70</v>
      </c>
      <c r="G56" s="6">
        <v>43924</v>
      </c>
      <c r="H56" s="5"/>
      <c r="I56" s="5"/>
      <c r="J56" s="5">
        <f t="shared" si="5"/>
        <v>14</v>
      </c>
      <c r="K56" s="8" t="b">
        <f t="shared" si="4"/>
        <v>1</v>
      </c>
    </row>
    <row r="57" spans="1:11">
      <c r="A57" s="5">
        <v>107</v>
      </c>
      <c r="B57" s="6">
        <v>43928</v>
      </c>
      <c r="C57" s="7">
        <v>0.8</v>
      </c>
      <c r="D57" s="5">
        <v>7.25</v>
      </c>
      <c r="E57" s="5">
        <v>70</v>
      </c>
      <c r="F57" s="5">
        <v>86</v>
      </c>
      <c r="G57" s="6">
        <v>43925</v>
      </c>
      <c r="H57" s="5"/>
      <c r="I57" s="5"/>
      <c r="J57" s="5">
        <f t="shared" si="5"/>
        <v>16</v>
      </c>
      <c r="K57" s="8" t="b">
        <f t="shared" si="4"/>
        <v>0</v>
      </c>
    </row>
    <row r="58" spans="1:11">
      <c r="A58" s="5">
        <v>107</v>
      </c>
      <c r="B58" s="6">
        <v>43932</v>
      </c>
      <c r="C58" s="7">
        <v>0.8</v>
      </c>
      <c r="D58" s="5">
        <v>7.25</v>
      </c>
      <c r="E58" s="5">
        <v>112</v>
      </c>
      <c r="F58" s="5">
        <v>129</v>
      </c>
      <c r="G58" s="6">
        <v>43932</v>
      </c>
      <c r="H58" s="5"/>
      <c r="I58" s="5"/>
      <c r="J58" s="5">
        <f t="shared" si="5"/>
        <v>17</v>
      </c>
      <c r="K58" s="8" t="b">
        <f t="shared" si="4"/>
        <v>0</v>
      </c>
    </row>
    <row r="59" spans="1:11">
      <c r="A59" s="5">
        <v>107</v>
      </c>
      <c r="B59" s="6">
        <v>43943</v>
      </c>
      <c r="C59" s="7">
        <v>0.8</v>
      </c>
      <c r="D59" s="5">
        <v>7.25</v>
      </c>
      <c r="E59" s="5">
        <v>143</v>
      </c>
      <c r="F59" s="5">
        <v>159</v>
      </c>
      <c r="G59" s="6">
        <v>43943</v>
      </c>
      <c r="H59" s="5"/>
      <c r="I59" s="5"/>
      <c r="J59" s="5">
        <f t="shared" si="5"/>
        <v>16</v>
      </c>
      <c r="K59" s="8" t="b">
        <f>F59=E60</f>
        <v>1</v>
      </c>
    </row>
    <row r="60" spans="1:11">
      <c r="A60" s="5">
        <v>107</v>
      </c>
      <c r="B60" s="6">
        <v>43947</v>
      </c>
      <c r="C60" s="7">
        <v>0.8</v>
      </c>
      <c r="D60" s="5">
        <v>7.25</v>
      </c>
      <c r="E60" s="5">
        <v>159</v>
      </c>
      <c r="F60" s="5">
        <v>174</v>
      </c>
      <c r="G60" s="6">
        <v>43947</v>
      </c>
      <c r="H60" s="5"/>
      <c r="I60" s="5"/>
      <c r="J60" s="5">
        <f t="shared" ref="J60:J93" si="6">F60-E60</f>
        <v>15</v>
      </c>
      <c r="K60" s="8" t="b">
        <f t="shared" ref="K60:K93" si="7">F60=E61</f>
        <v>1</v>
      </c>
    </row>
    <row r="61" spans="1:11">
      <c r="A61" s="5">
        <v>107</v>
      </c>
      <c r="B61" s="6">
        <v>43949</v>
      </c>
      <c r="C61" s="7">
        <v>0.8</v>
      </c>
      <c r="D61" s="5">
        <v>7.25</v>
      </c>
      <c r="E61" s="5">
        <v>174</v>
      </c>
      <c r="F61" s="5">
        <v>184</v>
      </c>
      <c r="G61" s="6">
        <v>43948</v>
      </c>
      <c r="H61" s="5"/>
      <c r="I61" s="5"/>
      <c r="J61" s="5">
        <f t="shared" si="6"/>
        <v>10</v>
      </c>
      <c r="K61" s="8" t="b">
        <f t="shared" si="7"/>
        <v>0</v>
      </c>
    </row>
    <row r="62" spans="1:11">
      <c r="A62" s="5">
        <v>107</v>
      </c>
      <c r="B62" s="6">
        <v>43955</v>
      </c>
      <c r="C62" s="7">
        <v>0.8</v>
      </c>
      <c r="D62" s="5">
        <v>7.25</v>
      </c>
      <c r="E62" s="5">
        <v>200</v>
      </c>
      <c r="F62" s="5">
        <v>216</v>
      </c>
      <c r="G62" s="6">
        <v>43955</v>
      </c>
      <c r="H62" s="5"/>
      <c r="I62" s="5"/>
      <c r="J62" s="5">
        <f t="shared" si="6"/>
        <v>16</v>
      </c>
      <c r="K62" s="8" t="b">
        <f t="shared" si="7"/>
        <v>0</v>
      </c>
    </row>
    <row r="63" spans="1:11">
      <c r="A63" s="5">
        <v>107</v>
      </c>
      <c r="B63" s="6">
        <v>43963</v>
      </c>
      <c r="C63" s="7">
        <v>1</v>
      </c>
      <c r="D63" s="5">
        <v>5.8</v>
      </c>
      <c r="E63" s="5">
        <v>0</v>
      </c>
      <c r="F63" s="5">
        <v>12.2</v>
      </c>
      <c r="G63" s="6">
        <v>43963</v>
      </c>
      <c r="H63" s="5"/>
      <c r="I63" s="5"/>
      <c r="J63" s="5">
        <f t="shared" si="6"/>
        <v>12.2</v>
      </c>
      <c r="K63" s="8" t="b">
        <f t="shared" si="7"/>
        <v>1</v>
      </c>
    </row>
    <row r="64" spans="1:11">
      <c r="A64" s="5">
        <v>107</v>
      </c>
      <c r="B64" s="6">
        <v>43972</v>
      </c>
      <c r="C64" s="7">
        <v>0.8</v>
      </c>
      <c r="D64" s="5">
        <v>7.25</v>
      </c>
      <c r="E64" s="5">
        <v>12.2</v>
      </c>
      <c r="F64" s="5">
        <v>29.3</v>
      </c>
      <c r="G64" s="6">
        <v>43972</v>
      </c>
      <c r="H64" s="5"/>
      <c r="I64" s="5"/>
      <c r="J64" s="5">
        <f t="shared" si="6"/>
        <v>17.100000000000001</v>
      </c>
      <c r="K64" s="8" t="b">
        <f t="shared" si="7"/>
        <v>1</v>
      </c>
    </row>
    <row r="65" spans="1:11">
      <c r="A65" s="5">
        <v>107</v>
      </c>
      <c r="B65" s="6">
        <v>43974</v>
      </c>
      <c r="C65" s="7">
        <v>0.8</v>
      </c>
      <c r="D65" s="5">
        <v>7.25</v>
      </c>
      <c r="E65" s="5">
        <v>29.3</v>
      </c>
      <c r="F65" s="5">
        <v>44.2</v>
      </c>
      <c r="G65" s="6">
        <v>43974</v>
      </c>
      <c r="H65" s="5"/>
      <c r="I65" s="5"/>
      <c r="J65" s="5">
        <f t="shared" si="6"/>
        <v>14.900000000000002</v>
      </c>
      <c r="K65" s="8" t="b">
        <f t="shared" si="7"/>
        <v>1</v>
      </c>
    </row>
    <row r="66" spans="1:11">
      <c r="A66" s="5">
        <v>107</v>
      </c>
      <c r="B66" s="6">
        <v>43983</v>
      </c>
      <c r="C66" s="7">
        <v>0.8</v>
      </c>
      <c r="D66" s="5">
        <v>7.25</v>
      </c>
      <c r="E66" s="5">
        <v>44.2</v>
      </c>
      <c r="F66" s="5">
        <v>62.2</v>
      </c>
      <c r="G66" s="6">
        <v>43983</v>
      </c>
      <c r="H66" s="5"/>
      <c r="I66" s="5"/>
      <c r="J66" s="5">
        <f t="shared" si="6"/>
        <v>18</v>
      </c>
      <c r="K66" s="8" t="b">
        <f t="shared" si="7"/>
        <v>0</v>
      </c>
    </row>
    <row r="67" spans="1:11">
      <c r="A67" s="5">
        <v>107</v>
      </c>
      <c r="B67" s="6">
        <v>43991</v>
      </c>
      <c r="C67" s="7">
        <v>0.7</v>
      </c>
      <c r="D67" s="5">
        <v>8.2899999999999991</v>
      </c>
      <c r="E67" s="5">
        <v>79</v>
      </c>
      <c r="F67" s="5">
        <v>97</v>
      </c>
      <c r="G67" s="6">
        <v>43991</v>
      </c>
      <c r="H67" s="5"/>
      <c r="I67" s="5"/>
      <c r="J67" s="5">
        <f t="shared" si="6"/>
        <v>18</v>
      </c>
      <c r="K67" s="8" t="b">
        <f t="shared" si="7"/>
        <v>1</v>
      </c>
    </row>
    <row r="68" spans="1:11">
      <c r="A68" s="5">
        <v>107</v>
      </c>
      <c r="B68" s="6">
        <v>43995</v>
      </c>
      <c r="C68" s="7">
        <v>0.7</v>
      </c>
      <c r="D68" s="5">
        <v>8.2899999999999991</v>
      </c>
      <c r="E68" s="5">
        <v>97</v>
      </c>
      <c r="F68" s="5">
        <v>114</v>
      </c>
      <c r="G68" s="6">
        <v>43995</v>
      </c>
      <c r="H68" s="5"/>
      <c r="I68" s="5"/>
      <c r="J68" s="5">
        <f t="shared" si="6"/>
        <v>17</v>
      </c>
      <c r="K68" s="8" t="b">
        <f t="shared" si="7"/>
        <v>1</v>
      </c>
    </row>
    <row r="69" spans="1:11">
      <c r="A69" s="5">
        <v>107</v>
      </c>
      <c r="B69" s="6">
        <v>44000</v>
      </c>
      <c r="C69" s="7">
        <v>0.7</v>
      </c>
      <c r="D69" s="5">
        <v>8.2899999999999991</v>
      </c>
      <c r="E69" s="5">
        <v>114</v>
      </c>
      <c r="F69" s="5">
        <v>131.9</v>
      </c>
      <c r="G69" s="6">
        <v>44000</v>
      </c>
      <c r="H69" s="5"/>
      <c r="I69" s="5"/>
      <c r="J69" s="5">
        <f t="shared" si="6"/>
        <v>17.900000000000006</v>
      </c>
      <c r="K69" s="8" t="b">
        <f t="shared" si="7"/>
        <v>1</v>
      </c>
    </row>
    <row r="70" spans="1:11">
      <c r="A70" s="5">
        <v>107</v>
      </c>
      <c r="B70" s="6">
        <v>44007</v>
      </c>
      <c r="C70" s="7">
        <v>0.7</v>
      </c>
      <c r="D70" s="5">
        <v>8.2899999999999991</v>
      </c>
      <c r="E70" s="5">
        <v>131.9</v>
      </c>
      <c r="F70" s="5">
        <v>149.30000000000001</v>
      </c>
      <c r="G70" s="6">
        <v>44007</v>
      </c>
      <c r="H70" s="5"/>
      <c r="I70" s="5"/>
      <c r="J70" s="5">
        <f t="shared" si="6"/>
        <v>17.400000000000006</v>
      </c>
      <c r="K70" s="8" t="b">
        <f t="shared" si="7"/>
        <v>1</v>
      </c>
    </row>
    <row r="71" spans="1:11">
      <c r="A71" s="5">
        <v>107</v>
      </c>
      <c r="B71" s="6">
        <v>44013</v>
      </c>
      <c r="C71" s="7">
        <v>0.7</v>
      </c>
      <c r="D71" s="5">
        <v>8.2899999999999991</v>
      </c>
      <c r="E71" s="5">
        <v>149.30000000000001</v>
      </c>
      <c r="F71" s="5">
        <v>165</v>
      </c>
      <c r="G71" s="6">
        <v>44013</v>
      </c>
      <c r="H71" s="5"/>
      <c r="I71" s="5"/>
      <c r="J71" s="5">
        <f t="shared" si="6"/>
        <v>15.699999999999989</v>
      </c>
      <c r="K71" s="8" t="b">
        <f t="shared" si="7"/>
        <v>1</v>
      </c>
    </row>
    <row r="72" spans="1:11">
      <c r="A72" s="5">
        <v>107</v>
      </c>
      <c r="B72" s="6">
        <v>44021</v>
      </c>
      <c r="C72" s="7">
        <v>0.4</v>
      </c>
      <c r="D72" s="5">
        <v>14.5</v>
      </c>
      <c r="E72" s="5">
        <v>165</v>
      </c>
      <c r="F72" s="5">
        <v>179</v>
      </c>
      <c r="G72" s="6">
        <v>44021</v>
      </c>
      <c r="H72" s="5"/>
      <c r="I72" s="5"/>
      <c r="J72" s="5">
        <f t="shared" si="6"/>
        <v>14</v>
      </c>
      <c r="K72" s="8" t="b">
        <f t="shared" si="7"/>
        <v>1</v>
      </c>
    </row>
    <row r="73" spans="1:11">
      <c r="A73" s="5">
        <v>107</v>
      </c>
      <c r="B73" s="6">
        <v>44022</v>
      </c>
      <c r="C73" s="7">
        <v>0.4</v>
      </c>
      <c r="D73" s="5">
        <v>14.5</v>
      </c>
      <c r="E73" s="5">
        <v>179</v>
      </c>
      <c r="F73" s="5">
        <v>194</v>
      </c>
      <c r="G73" s="6">
        <v>44022</v>
      </c>
      <c r="H73" s="5"/>
      <c r="I73" s="5"/>
      <c r="J73" s="5">
        <f t="shared" si="6"/>
        <v>15</v>
      </c>
      <c r="K73" s="8" t="b">
        <f t="shared" si="7"/>
        <v>1</v>
      </c>
    </row>
    <row r="74" spans="1:11">
      <c r="A74" s="5">
        <v>107</v>
      </c>
      <c r="B74" s="6">
        <v>44028</v>
      </c>
      <c r="C74" s="7">
        <v>0.4</v>
      </c>
      <c r="D74" s="5">
        <v>14.5</v>
      </c>
      <c r="E74" s="5">
        <v>194</v>
      </c>
      <c r="F74" s="5">
        <v>208</v>
      </c>
      <c r="G74" s="6">
        <v>44028</v>
      </c>
      <c r="H74" s="5"/>
      <c r="I74" s="5"/>
      <c r="J74" s="5">
        <f t="shared" si="6"/>
        <v>14</v>
      </c>
      <c r="K74" s="8" t="b">
        <f t="shared" si="7"/>
        <v>1</v>
      </c>
    </row>
    <row r="75" spans="1:11">
      <c r="A75" s="5">
        <v>107</v>
      </c>
      <c r="B75" s="6">
        <v>44029</v>
      </c>
      <c r="C75" s="7">
        <v>0.4</v>
      </c>
      <c r="D75" s="5">
        <v>14.5</v>
      </c>
      <c r="E75" s="5">
        <v>208</v>
      </c>
      <c r="F75" s="5">
        <v>222.4</v>
      </c>
      <c r="G75" s="6">
        <v>44029</v>
      </c>
      <c r="H75" s="5"/>
      <c r="I75" s="5"/>
      <c r="J75" s="5">
        <f t="shared" si="6"/>
        <v>14.400000000000006</v>
      </c>
      <c r="K75" s="8" t="b">
        <f t="shared" si="7"/>
        <v>1</v>
      </c>
    </row>
    <row r="76" spans="1:11">
      <c r="A76" s="5">
        <v>107</v>
      </c>
      <c r="B76" s="6">
        <v>44035</v>
      </c>
      <c r="C76" s="7">
        <v>0.4</v>
      </c>
      <c r="D76" s="5">
        <v>14.5</v>
      </c>
      <c r="E76" s="5">
        <v>222.4</v>
      </c>
      <c r="F76" s="5">
        <v>237</v>
      </c>
      <c r="G76" s="6">
        <v>44035</v>
      </c>
      <c r="H76" s="5"/>
      <c r="I76" s="5"/>
      <c r="J76" s="5">
        <f t="shared" si="6"/>
        <v>14.599999999999994</v>
      </c>
      <c r="K76" s="8" t="b">
        <f t="shared" si="7"/>
        <v>1</v>
      </c>
    </row>
    <row r="77" spans="1:11">
      <c r="A77" s="5">
        <v>107</v>
      </c>
      <c r="B77" s="6">
        <v>44036</v>
      </c>
      <c r="C77" s="7">
        <v>0.4</v>
      </c>
      <c r="D77" s="5">
        <v>14.5</v>
      </c>
      <c r="E77" s="5">
        <v>237</v>
      </c>
      <c r="F77" s="5">
        <v>253</v>
      </c>
      <c r="G77" s="6">
        <v>44036</v>
      </c>
      <c r="H77" s="5"/>
      <c r="I77" s="5"/>
      <c r="J77" s="5">
        <f t="shared" si="6"/>
        <v>16</v>
      </c>
      <c r="K77" s="8" t="b">
        <f t="shared" si="7"/>
        <v>1</v>
      </c>
    </row>
    <row r="78" spans="1:11">
      <c r="A78" s="5">
        <v>107</v>
      </c>
      <c r="B78" s="6">
        <v>44042</v>
      </c>
      <c r="C78" s="7">
        <v>0.5</v>
      </c>
      <c r="D78" s="5">
        <v>13.02</v>
      </c>
      <c r="E78" s="5">
        <v>253</v>
      </c>
      <c r="F78" s="5">
        <v>268</v>
      </c>
      <c r="G78" s="6">
        <v>44042</v>
      </c>
      <c r="H78" s="5"/>
      <c r="I78" s="5"/>
      <c r="J78" s="5">
        <f t="shared" si="6"/>
        <v>15</v>
      </c>
      <c r="K78" s="8" t="b">
        <f t="shared" si="7"/>
        <v>1</v>
      </c>
    </row>
    <row r="79" spans="1:11">
      <c r="A79" s="5">
        <v>107</v>
      </c>
      <c r="B79" s="6">
        <v>44043</v>
      </c>
      <c r="C79" s="7">
        <v>0.5</v>
      </c>
      <c r="D79" s="5">
        <v>13.02</v>
      </c>
      <c r="E79" s="5">
        <v>268</v>
      </c>
      <c r="F79" s="5">
        <v>282</v>
      </c>
      <c r="G79" s="6">
        <v>44043</v>
      </c>
      <c r="H79" s="5"/>
      <c r="I79" s="5"/>
      <c r="J79" s="5">
        <f t="shared" si="6"/>
        <v>14</v>
      </c>
      <c r="K79" s="8" t="b">
        <f t="shared" si="7"/>
        <v>1</v>
      </c>
    </row>
    <row r="80" spans="1:11">
      <c r="A80" s="5">
        <v>107</v>
      </c>
      <c r="B80" s="6">
        <v>44049</v>
      </c>
      <c r="C80" s="7">
        <v>0.4</v>
      </c>
      <c r="D80" s="5">
        <v>13.02</v>
      </c>
      <c r="E80" s="5">
        <v>282</v>
      </c>
      <c r="F80" s="5">
        <v>296</v>
      </c>
      <c r="G80" s="6">
        <v>44049</v>
      </c>
      <c r="H80" s="5"/>
      <c r="I80" s="5"/>
      <c r="J80" s="5">
        <f t="shared" si="6"/>
        <v>14</v>
      </c>
      <c r="K80" s="8" t="b">
        <f t="shared" si="7"/>
        <v>1</v>
      </c>
    </row>
    <row r="81" spans="1:11">
      <c r="A81" s="5">
        <v>107</v>
      </c>
      <c r="B81" s="6">
        <v>44050</v>
      </c>
      <c r="C81" s="7">
        <v>0.4</v>
      </c>
      <c r="D81" s="5">
        <v>13.02</v>
      </c>
      <c r="E81" s="5">
        <v>296</v>
      </c>
      <c r="F81" s="5">
        <v>310</v>
      </c>
      <c r="G81" s="6">
        <v>44050</v>
      </c>
      <c r="H81" s="5"/>
      <c r="I81" s="5"/>
      <c r="J81" s="5">
        <f t="shared" si="6"/>
        <v>14</v>
      </c>
      <c r="K81" s="8" t="b">
        <f t="shared" si="7"/>
        <v>1</v>
      </c>
    </row>
    <row r="82" spans="1:11">
      <c r="A82" s="5">
        <v>107</v>
      </c>
      <c r="B82" s="6">
        <v>44055</v>
      </c>
      <c r="C82" s="7">
        <v>0.4</v>
      </c>
      <c r="D82" s="5">
        <v>13.02</v>
      </c>
      <c r="E82" s="5">
        <v>310</v>
      </c>
      <c r="F82" s="5">
        <v>325</v>
      </c>
      <c r="G82" s="6">
        <v>44055</v>
      </c>
      <c r="H82" s="5"/>
      <c r="I82" s="5"/>
      <c r="J82" s="5">
        <f t="shared" si="6"/>
        <v>15</v>
      </c>
      <c r="K82" s="8" t="b">
        <f t="shared" si="7"/>
        <v>1</v>
      </c>
    </row>
    <row r="83" spans="1:11">
      <c r="A83" s="5">
        <v>107</v>
      </c>
      <c r="B83" s="6">
        <v>44056</v>
      </c>
      <c r="C83" s="7">
        <v>0.4</v>
      </c>
      <c r="D83" s="5">
        <v>13.02</v>
      </c>
      <c r="E83" s="5">
        <v>325</v>
      </c>
      <c r="F83" s="5">
        <v>340</v>
      </c>
      <c r="G83" s="6">
        <v>44056</v>
      </c>
      <c r="H83" s="5"/>
      <c r="I83" s="5"/>
      <c r="J83" s="5">
        <f t="shared" si="6"/>
        <v>15</v>
      </c>
      <c r="K83" s="8" t="b">
        <f t="shared" si="7"/>
        <v>0</v>
      </c>
    </row>
    <row r="84" spans="1:11">
      <c r="A84" s="5">
        <v>107</v>
      </c>
      <c r="B84" s="6"/>
      <c r="C84" s="7"/>
      <c r="D84" s="5"/>
      <c r="E84" s="5"/>
      <c r="F84" s="5"/>
      <c r="G84" s="6"/>
      <c r="H84" s="5"/>
      <c r="I84" s="5"/>
      <c r="J84" s="5">
        <f t="shared" si="6"/>
        <v>0</v>
      </c>
      <c r="K84" s="8" t="b">
        <f t="shared" si="7"/>
        <v>1</v>
      </c>
    </row>
    <row r="85" spans="1:11">
      <c r="A85" s="5">
        <v>107</v>
      </c>
      <c r="B85" s="6"/>
      <c r="C85" s="7"/>
      <c r="D85" s="5"/>
      <c r="E85" s="5"/>
      <c r="F85" s="5"/>
      <c r="G85" s="6"/>
      <c r="H85" s="5"/>
      <c r="I85" s="5"/>
      <c r="J85" s="5">
        <f t="shared" si="6"/>
        <v>0</v>
      </c>
      <c r="K85" s="8" t="b">
        <f t="shared" si="7"/>
        <v>1</v>
      </c>
    </row>
    <row r="86" spans="1:11">
      <c r="A86" s="5">
        <v>107</v>
      </c>
      <c r="B86" s="6"/>
      <c r="C86" s="7"/>
      <c r="D86" s="5"/>
      <c r="E86" s="5"/>
      <c r="F86" s="5"/>
      <c r="G86" s="6"/>
      <c r="H86" s="5"/>
      <c r="I86" s="5"/>
      <c r="J86" s="5">
        <f t="shared" si="6"/>
        <v>0</v>
      </c>
      <c r="K86" s="8" t="b">
        <f t="shared" si="7"/>
        <v>1</v>
      </c>
    </row>
    <row r="87" spans="1:11">
      <c r="A87" s="5">
        <v>107</v>
      </c>
      <c r="B87" s="6"/>
      <c r="C87" s="7"/>
      <c r="D87" s="5"/>
      <c r="E87" s="5"/>
      <c r="F87" s="5"/>
      <c r="G87" s="6"/>
      <c r="H87" s="5"/>
      <c r="I87" s="5"/>
      <c r="J87" s="5">
        <f t="shared" si="6"/>
        <v>0</v>
      </c>
      <c r="K87" s="8" t="b">
        <f t="shared" si="7"/>
        <v>1</v>
      </c>
    </row>
    <row r="88" spans="1:11">
      <c r="A88" s="5">
        <v>107</v>
      </c>
      <c r="B88" s="6"/>
      <c r="C88" s="7"/>
      <c r="D88" s="5"/>
      <c r="E88" s="5"/>
      <c r="F88" s="5"/>
      <c r="G88" s="6"/>
      <c r="H88" s="5"/>
      <c r="I88" s="5"/>
      <c r="J88" s="5">
        <f t="shared" si="6"/>
        <v>0</v>
      </c>
      <c r="K88" s="8" t="b">
        <f t="shared" si="7"/>
        <v>1</v>
      </c>
    </row>
    <row r="89" spans="1:11">
      <c r="A89" s="5">
        <v>107</v>
      </c>
      <c r="B89" s="6"/>
      <c r="C89" s="7"/>
      <c r="D89" s="5"/>
      <c r="E89" s="5"/>
      <c r="F89" s="5"/>
      <c r="G89" s="6"/>
      <c r="H89" s="5"/>
      <c r="I89" s="5"/>
      <c r="J89" s="5">
        <f t="shared" si="6"/>
        <v>0</v>
      </c>
      <c r="K89" s="8" t="b">
        <f t="shared" si="7"/>
        <v>1</v>
      </c>
    </row>
    <row r="90" spans="1:11">
      <c r="A90" s="5">
        <v>107</v>
      </c>
      <c r="B90" s="6"/>
      <c r="C90" s="7"/>
      <c r="D90" s="5"/>
      <c r="E90" s="5"/>
      <c r="F90" s="5"/>
      <c r="G90" s="6"/>
      <c r="H90" s="5"/>
      <c r="I90" s="5"/>
      <c r="J90" s="5">
        <f t="shared" si="6"/>
        <v>0</v>
      </c>
      <c r="K90" s="8" t="b">
        <f t="shared" si="7"/>
        <v>1</v>
      </c>
    </row>
    <row r="91" spans="1:11">
      <c r="A91" s="5">
        <v>107</v>
      </c>
      <c r="B91" s="6"/>
      <c r="C91" s="7"/>
      <c r="D91" s="5"/>
      <c r="E91" s="5"/>
      <c r="F91" s="5"/>
      <c r="G91" s="6"/>
      <c r="H91" s="5"/>
      <c r="I91" s="5"/>
      <c r="J91" s="5">
        <f t="shared" si="6"/>
        <v>0</v>
      </c>
      <c r="K91" s="8" t="b">
        <f t="shared" si="7"/>
        <v>1</v>
      </c>
    </row>
    <row r="92" spans="1:11">
      <c r="A92" s="5">
        <v>107</v>
      </c>
      <c r="B92" s="6"/>
      <c r="C92" s="7"/>
      <c r="D92" s="5"/>
      <c r="E92" s="5"/>
      <c r="F92" s="5"/>
      <c r="G92" s="6"/>
      <c r="H92" s="5"/>
      <c r="I92" s="5"/>
      <c r="J92" s="5">
        <f t="shared" si="6"/>
        <v>0</v>
      </c>
      <c r="K92" s="8" t="b">
        <f t="shared" si="7"/>
        <v>1</v>
      </c>
    </row>
    <row r="93" spans="1:11">
      <c r="A93" s="5">
        <v>107</v>
      </c>
      <c r="B93" s="6"/>
      <c r="C93" s="7"/>
      <c r="D93" s="5"/>
      <c r="E93" s="5"/>
      <c r="F93" s="5"/>
      <c r="G93" s="6"/>
      <c r="H93" s="5"/>
      <c r="I93" s="5"/>
      <c r="J93" s="5">
        <f t="shared" si="6"/>
        <v>0</v>
      </c>
      <c r="K93" s="8" t="b">
        <f t="shared" si="7"/>
        <v>1</v>
      </c>
    </row>
    <row r="94" spans="1:11">
      <c r="A94" s="5">
        <v>107</v>
      </c>
      <c r="B94" s="6"/>
      <c r="C94" s="7"/>
      <c r="D94" s="5"/>
      <c r="E94" s="5"/>
      <c r="F94" s="5"/>
      <c r="G94" s="6"/>
      <c r="H94" s="5"/>
      <c r="I94" s="5"/>
      <c r="J94" s="5">
        <f t="shared" ref="J94:J100" si="8">F94-E94</f>
        <v>0</v>
      </c>
      <c r="K94" s="8" t="b">
        <f t="shared" ref="K94:K100" si="9">F94=E95</f>
        <v>1</v>
      </c>
    </row>
    <row r="95" spans="1:11">
      <c r="A95" s="5">
        <v>107</v>
      </c>
      <c r="B95" s="6"/>
      <c r="C95" s="7"/>
      <c r="D95" s="5"/>
      <c r="E95" s="5"/>
      <c r="F95" s="5"/>
      <c r="G95" s="6"/>
      <c r="H95" s="5"/>
      <c r="I95" s="5"/>
      <c r="J95" s="5">
        <f t="shared" si="8"/>
        <v>0</v>
      </c>
      <c r="K95" s="8" t="b">
        <f t="shared" si="9"/>
        <v>1</v>
      </c>
    </row>
    <row r="96" spans="1:11">
      <c r="A96" s="5">
        <v>107</v>
      </c>
      <c r="B96" s="6"/>
      <c r="C96" s="7"/>
      <c r="D96" s="5"/>
      <c r="E96" s="5"/>
      <c r="F96" s="5"/>
      <c r="G96" s="6"/>
      <c r="H96" s="5"/>
      <c r="I96" s="5"/>
      <c r="J96" s="5">
        <f t="shared" si="8"/>
        <v>0</v>
      </c>
      <c r="K96" s="8" t="b">
        <f t="shared" si="9"/>
        <v>1</v>
      </c>
    </row>
    <row r="97" spans="1:11">
      <c r="A97" s="5">
        <v>107</v>
      </c>
      <c r="B97" s="6"/>
      <c r="C97" s="7"/>
      <c r="D97" s="5"/>
      <c r="E97" s="5"/>
      <c r="F97" s="5"/>
      <c r="G97" s="6"/>
      <c r="H97" s="5"/>
      <c r="I97" s="5"/>
      <c r="J97" s="5">
        <f t="shared" si="8"/>
        <v>0</v>
      </c>
      <c r="K97" s="8" t="b">
        <f t="shared" si="9"/>
        <v>1</v>
      </c>
    </row>
    <row r="98" spans="1:11">
      <c r="A98" s="5">
        <v>107</v>
      </c>
      <c r="B98" s="6"/>
      <c r="C98" s="7"/>
      <c r="D98" s="5"/>
      <c r="E98" s="5"/>
      <c r="F98" s="5"/>
      <c r="G98" s="6"/>
      <c r="H98" s="5"/>
      <c r="I98" s="5"/>
      <c r="J98" s="5">
        <f t="shared" si="8"/>
        <v>0</v>
      </c>
      <c r="K98" s="8" t="b">
        <f t="shared" si="9"/>
        <v>1</v>
      </c>
    </row>
    <row r="99" spans="1:11">
      <c r="A99" s="5">
        <v>107</v>
      </c>
      <c r="B99" s="6"/>
      <c r="C99" s="7"/>
      <c r="D99" s="5"/>
      <c r="E99" s="5"/>
      <c r="F99" s="5"/>
      <c r="G99" s="6"/>
      <c r="H99" s="5"/>
      <c r="I99" s="5"/>
      <c r="J99" s="5">
        <f t="shared" si="8"/>
        <v>0</v>
      </c>
      <c r="K99" s="8" t="b">
        <f t="shared" si="9"/>
        <v>1</v>
      </c>
    </row>
    <row r="100" spans="1:11">
      <c r="A100" s="5">
        <v>107</v>
      </c>
      <c r="B100" s="6"/>
      <c r="C100" s="7"/>
      <c r="D100" s="5"/>
      <c r="E100" s="5"/>
      <c r="F100" s="5"/>
      <c r="G100" s="6"/>
      <c r="H100" s="5"/>
      <c r="I100" s="5"/>
      <c r="J100" s="5">
        <f t="shared" si="8"/>
        <v>0</v>
      </c>
      <c r="K100" s="8" t="b">
        <f t="shared" si="9"/>
        <v>1</v>
      </c>
    </row>
    <row r="102" spans="1:11" ht="26.25">
      <c r="A102" s="138" t="s">
        <v>92</v>
      </c>
      <c r="B102" s="159"/>
      <c r="C102" s="159"/>
      <c r="D102" s="159"/>
      <c r="E102" s="159"/>
      <c r="F102" s="159"/>
      <c r="G102" s="159"/>
      <c r="H102" s="159"/>
      <c r="I102" s="159"/>
      <c r="J102" s="159"/>
      <c r="K102" s="160"/>
    </row>
    <row r="103" spans="1:11" ht="26.25">
      <c r="A103" s="138" t="s">
        <v>13</v>
      </c>
      <c r="B103" s="159"/>
      <c r="C103" s="159"/>
      <c r="D103" s="159"/>
      <c r="E103" s="159"/>
      <c r="F103" s="159"/>
      <c r="G103" s="159"/>
      <c r="H103" s="159"/>
      <c r="I103" s="159"/>
      <c r="J103" s="159"/>
      <c r="K103" s="160"/>
    </row>
    <row r="104" spans="1:11" ht="15.75" thickBot="1"/>
    <row r="105" spans="1:11" ht="15.75" thickBot="1">
      <c r="A105" s="132" t="s">
        <v>2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4"/>
    </row>
    <row r="107" spans="1:11" ht="19.5" thickBot="1">
      <c r="A107" s="1" t="s">
        <v>3</v>
      </c>
      <c r="B107" s="1"/>
      <c r="C107" s="1"/>
      <c r="D107" s="1"/>
      <c r="E107" s="1"/>
      <c r="F107" s="1"/>
      <c r="G107" s="1"/>
      <c r="H107" s="1"/>
      <c r="I107" s="1"/>
    </row>
    <row r="108" spans="1:11" ht="30.75" thickBot="1">
      <c r="A108" s="2" t="s">
        <v>4</v>
      </c>
      <c r="B108" s="3" t="s">
        <v>5</v>
      </c>
      <c r="C108" s="3" t="s">
        <v>6</v>
      </c>
      <c r="D108" s="3" t="s">
        <v>7</v>
      </c>
      <c r="E108" s="3" t="s">
        <v>8</v>
      </c>
      <c r="F108" s="3" t="s">
        <v>9</v>
      </c>
      <c r="G108" s="3" t="s">
        <v>10</v>
      </c>
      <c r="H108" s="3" t="s">
        <v>21</v>
      </c>
      <c r="I108" s="4" t="s">
        <v>22</v>
      </c>
      <c r="J108" s="4" t="s">
        <v>11</v>
      </c>
      <c r="K108" s="4" t="s">
        <v>12</v>
      </c>
    </row>
    <row r="109" spans="1:11">
      <c r="A109" s="5">
        <v>107</v>
      </c>
      <c r="B109" s="6" t="s">
        <v>94</v>
      </c>
      <c r="C109" s="7">
        <v>0.4</v>
      </c>
      <c r="D109" s="5">
        <v>13.02</v>
      </c>
      <c r="E109" s="5">
        <v>340</v>
      </c>
      <c r="F109" s="5">
        <v>367</v>
      </c>
      <c r="G109" s="6">
        <v>44100</v>
      </c>
      <c r="H109" s="5"/>
      <c r="I109" s="5"/>
      <c r="J109" s="5">
        <f>F109-E109</f>
        <v>27</v>
      </c>
      <c r="K109" s="8" t="b">
        <f t="shared" ref="K109:K128" si="10">F111=E112</f>
        <v>1</v>
      </c>
    </row>
    <row r="110" spans="1:11">
      <c r="A110" s="5">
        <v>107</v>
      </c>
      <c r="B110" s="6">
        <v>44102</v>
      </c>
      <c r="C110" s="7">
        <v>0.4</v>
      </c>
      <c r="D110" s="5">
        <v>13.02</v>
      </c>
      <c r="E110" s="5">
        <v>409</v>
      </c>
      <c r="F110" s="5">
        <v>439</v>
      </c>
      <c r="G110" s="6">
        <v>44102</v>
      </c>
      <c r="H110" s="5"/>
      <c r="I110" s="5"/>
      <c r="J110" s="5">
        <f t="shared" ref="J110:J119" si="11">F110-E110</f>
        <v>30</v>
      </c>
      <c r="K110" s="8" t="b">
        <f t="shared" si="10"/>
        <v>1</v>
      </c>
    </row>
    <row r="111" spans="1:11">
      <c r="A111" s="5">
        <v>107</v>
      </c>
      <c r="B111" s="6">
        <v>44105</v>
      </c>
      <c r="C111" s="7">
        <v>0.4</v>
      </c>
      <c r="D111" s="5">
        <v>13.02</v>
      </c>
      <c r="E111" s="5">
        <v>439</v>
      </c>
      <c r="F111" s="5">
        <v>454</v>
      </c>
      <c r="G111" s="6">
        <v>44105</v>
      </c>
      <c r="H111" s="5"/>
      <c r="I111" s="5"/>
      <c r="J111" s="5">
        <f t="shared" si="11"/>
        <v>15</v>
      </c>
      <c r="K111" s="8" t="b">
        <f t="shared" si="10"/>
        <v>1</v>
      </c>
    </row>
    <row r="112" spans="1:11">
      <c r="A112" s="5">
        <v>107</v>
      </c>
      <c r="B112" s="6">
        <v>44115</v>
      </c>
      <c r="C112" s="7">
        <v>1</v>
      </c>
      <c r="D112" s="5">
        <v>5.8</v>
      </c>
      <c r="E112" s="5">
        <v>454</v>
      </c>
      <c r="F112" s="5">
        <v>472</v>
      </c>
      <c r="G112" s="6">
        <v>44115</v>
      </c>
      <c r="H112" s="5"/>
      <c r="I112" s="5"/>
      <c r="J112" s="5">
        <f t="shared" si="11"/>
        <v>18</v>
      </c>
      <c r="K112" s="8" t="b">
        <f t="shared" si="10"/>
        <v>1</v>
      </c>
    </row>
    <row r="113" spans="1:11">
      <c r="A113" s="5">
        <v>107</v>
      </c>
      <c r="B113" s="6">
        <v>44116</v>
      </c>
      <c r="C113" s="7">
        <v>1</v>
      </c>
      <c r="D113" s="5">
        <v>5.8</v>
      </c>
      <c r="E113" s="5">
        <v>472</v>
      </c>
      <c r="F113" s="5">
        <v>482</v>
      </c>
      <c r="G113" s="6">
        <v>44116</v>
      </c>
      <c r="H113" s="5"/>
      <c r="I113" s="5"/>
      <c r="J113" s="5">
        <f t="shared" si="11"/>
        <v>10</v>
      </c>
      <c r="K113" s="8" t="b">
        <f t="shared" si="10"/>
        <v>1</v>
      </c>
    </row>
    <row r="114" spans="1:11">
      <c r="A114" s="5">
        <v>107</v>
      </c>
      <c r="B114" s="6">
        <v>44119</v>
      </c>
      <c r="C114" s="7">
        <v>1</v>
      </c>
      <c r="D114" s="5">
        <v>5.8</v>
      </c>
      <c r="E114" s="5">
        <v>482</v>
      </c>
      <c r="F114" s="5">
        <v>506</v>
      </c>
      <c r="G114" s="6">
        <v>44119</v>
      </c>
      <c r="H114" s="5"/>
      <c r="I114" s="5"/>
      <c r="J114" s="5">
        <f t="shared" si="11"/>
        <v>24</v>
      </c>
      <c r="K114" s="8" t="b">
        <f t="shared" si="10"/>
        <v>1</v>
      </c>
    </row>
    <row r="115" spans="1:11">
      <c r="A115" s="5">
        <v>107</v>
      </c>
      <c r="B115" s="6">
        <v>44120</v>
      </c>
      <c r="C115" s="7">
        <v>1</v>
      </c>
      <c r="D115" s="5">
        <v>5.8</v>
      </c>
      <c r="E115" s="5">
        <v>506</v>
      </c>
      <c r="F115" s="5">
        <v>518</v>
      </c>
      <c r="G115" s="6">
        <v>44120</v>
      </c>
      <c r="H115" s="5"/>
      <c r="I115" s="5"/>
      <c r="J115" s="5">
        <f t="shared" si="11"/>
        <v>12</v>
      </c>
      <c r="K115" s="8" t="b">
        <f t="shared" si="10"/>
        <v>1</v>
      </c>
    </row>
    <row r="116" spans="1:11">
      <c r="A116" s="5">
        <v>107</v>
      </c>
      <c r="B116" s="6">
        <v>44121</v>
      </c>
      <c r="C116" s="7">
        <v>1</v>
      </c>
      <c r="D116" s="5">
        <v>5.8</v>
      </c>
      <c r="E116" s="5">
        <v>518</v>
      </c>
      <c r="F116" s="5">
        <v>528</v>
      </c>
      <c r="G116" s="6">
        <v>44121</v>
      </c>
      <c r="H116" s="5"/>
      <c r="I116" s="5"/>
      <c r="J116" s="5">
        <f t="shared" si="11"/>
        <v>10</v>
      </c>
      <c r="K116" s="8" t="b">
        <f t="shared" si="10"/>
        <v>1</v>
      </c>
    </row>
    <row r="117" spans="1:11">
      <c r="A117" s="5">
        <v>107</v>
      </c>
      <c r="B117" s="6">
        <v>44122</v>
      </c>
      <c r="C117" s="7">
        <v>1</v>
      </c>
      <c r="D117" s="5">
        <v>5.8</v>
      </c>
      <c r="E117" s="5">
        <v>528</v>
      </c>
      <c r="F117" s="5">
        <v>540</v>
      </c>
      <c r="G117" s="6">
        <v>44122</v>
      </c>
      <c r="H117" s="5"/>
      <c r="I117" s="5"/>
      <c r="J117" s="5">
        <f t="shared" si="11"/>
        <v>12</v>
      </c>
      <c r="K117" s="8" t="b">
        <f t="shared" si="10"/>
        <v>1</v>
      </c>
    </row>
    <row r="118" spans="1:11">
      <c r="A118" s="5">
        <v>107</v>
      </c>
      <c r="B118" s="6">
        <v>44123</v>
      </c>
      <c r="C118" s="7">
        <v>1</v>
      </c>
      <c r="D118" s="5">
        <v>5.8</v>
      </c>
      <c r="E118" s="5">
        <v>540</v>
      </c>
      <c r="F118" s="5">
        <v>552</v>
      </c>
      <c r="G118" s="6">
        <v>44123</v>
      </c>
      <c r="H118" s="5"/>
      <c r="I118" s="5"/>
      <c r="J118" s="5">
        <f t="shared" si="11"/>
        <v>12</v>
      </c>
      <c r="K118" s="8" t="b">
        <f t="shared" si="10"/>
        <v>1</v>
      </c>
    </row>
    <row r="119" spans="1:11">
      <c r="A119" s="5">
        <v>107</v>
      </c>
      <c r="B119" s="6">
        <v>44124</v>
      </c>
      <c r="C119" s="7">
        <v>1</v>
      </c>
      <c r="D119" s="5">
        <v>5.8</v>
      </c>
      <c r="E119" s="5">
        <v>552</v>
      </c>
      <c r="F119" s="5">
        <v>564</v>
      </c>
      <c r="G119" s="6">
        <v>44124</v>
      </c>
      <c r="H119" s="5"/>
      <c r="I119" s="5"/>
      <c r="J119" s="5">
        <f t="shared" si="11"/>
        <v>12</v>
      </c>
      <c r="K119" s="8" t="b">
        <f t="shared" si="10"/>
        <v>1</v>
      </c>
    </row>
    <row r="120" spans="1:11">
      <c r="A120" s="5">
        <v>107</v>
      </c>
      <c r="B120" s="6">
        <v>44125</v>
      </c>
      <c r="C120" s="7">
        <v>1</v>
      </c>
      <c r="D120" s="5">
        <v>5.8</v>
      </c>
      <c r="E120" s="5">
        <v>564</v>
      </c>
      <c r="F120" s="5">
        <v>576</v>
      </c>
      <c r="G120" s="6">
        <v>44125</v>
      </c>
      <c r="H120" s="5"/>
      <c r="I120" s="5"/>
      <c r="J120" s="5">
        <f t="shared" ref="J120:J128" si="12">F120-E120</f>
        <v>12</v>
      </c>
      <c r="K120" s="8" t="b">
        <f t="shared" si="10"/>
        <v>1</v>
      </c>
    </row>
    <row r="121" spans="1:11">
      <c r="A121" s="5">
        <v>107</v>
      </c>
      <c r="B121" s="6">
        <v>44126</v>
      </c>
      <c r="C121" s="7">
        <v>1</v>
      </c>
      <c r="D121" s="5">
        <v>5.8</v>
      </c>
      <c r="E121" s="5">
        <v>576</v>
      </c>
      <c r="F121" s="5">
        <v>598</v>
      </c>
      <c r="G121" s="6">
        <v>44126</v>
      </c>
      <c r="H121" s="5"/>
      <c r="I121" s="5"/>
      <c r="J121" s="5">
        <f t="shared" si="12"/>
        <v>22</v>
      </c>
      <c r="K121" s="8" t="b">
        <f t="shared" si="10"/>
        <v>1</v>
      </c>
    </row>
    <row r="122" spans="1:11">
      <c r="A122" s="5">
        <v>107</v>
      </c>
      <c r="B122" s="6">
        <v>44129</v>
      </c>
      <c r="C122" s="7">
        <v>1</v>
      </c>
      <c r="D122" s="5">
        <v>5.8</v>
      </c>
      <c r="E122" s="5">
        <v>598</v>
      </c>
      <c r="F122" s="5">
        <v>610</v>
      </c>
      <c r="G122" s="6">
        <v>44129</v>
      </c>
      <c r="H122" s="5"/>
      <c r="I122" s="5"/>
      <c r="J122" s="5">
        <f t="shared" si="12"/>
        <v>12</v>
      </c>
      <c r="K122" s="8" t="b">
        <f t="shared" si="10"/>
        <v>0</v>
      </c>
    </row>
    <row r="123" spans="1:11">
      <c r="A123" s="5">
        <v>107</v>
      </c>
      <c r="B123" s="6">
        <v>44131</v>
      </c>
      <c r="C123" s="7">
        <v>1</v>
      </c>
      <c r="D123" s="5">
        <v>5.8</v>
      </c>
      <c r="E123" s="5">
        <v>610</v>
      </c>
      <c r="F123" s="5">
        <v>622</v>
      </c>
      <c r="G123" s="6">
        <v>44131</v>
      </c>
      <c r="H123" s="5"/>
      <c r="I123" s="5"/>
      <c r="J123" s="5">
        <f t="shared" si="12"/>
        <v>12</v>
      </c>
      <c r="K123" s="8" t="b">
        <f t="shared" si="10"/>
        <v>1</v>
      </c>
    </row>
    <row r="124" spans="1:11">
      <c r="A124" s="5">
        <v>107</v>
      </c>
      <c r="B124" s="6">
        <v>44143</v>
      </c>
      <c r="C124" s="7">
        <v>1</v>
      </c>
      <c r="D124" s="5">
        <v>5.8</v>
      </c>
      <c r="E124" s="5">
        <v>622</v>
      </c>
      <c r="F124" s="5">
        <v>635</v>
      </c>
      <c r="G124" s="6">
        <v>44143</v>
      </c>
      <c r="H124" s="5"/>
      <c r="I124" s="5"/>
      <c r="J124" s="5">
        <f t="shared" si="12"/>
        <v>13</v>
      </c>
      <c r="K124" s="8" t="b">
        <f t="shared" si="10"/>
        <v>1</v>
      </c>
    </row>
    <row r="125" spans="1:11">
      <c r="A125" s="5">
        <v>107</v>
      </c>
      <c r="B125" s="6">
        <v>44161</v>
      </c>
      <c r="C125" s="7">
        <v>0.8</v>
      </c>
      <c r="D125" s="5">
        <v>7.25</v>
      </c>
      <c r="E125" s="5">
        <v>711</v>
      </c>
      <c r="F125" s="5">
        <v>726</v>
      </c>
      <c r="G125" s="6">
        <v>44161</v>
      </c>
      <c r="H125" s="5"/>
      <c r="I125" s="5"/>
      <c r="J125" s="5">
        <f t="shared" si="12"/>
        <v>15</v>
      </c>
      <c r="K125" s="8" t="b">
        <f t="shared" si="10"/>
        <v>1</v>
      </c>
    </row>
    <row r="126" spans="1:11">
      <c r="A126" s="5">
        <v>107</v>
      </c>
      <c r="B126" s="6">
        <v>44163</v>
      </c>
      <c r="C126" s="7">
        <v>0.8</v>
      </c>
      <c r="D126" s="5">
        <v>7.25</v>
      </c>
      <c r="E126" s="5">
        <v>726</v>
      </c>
      <c r="F126" s="5">
        <v>741</v>
      </c>
      <c r="G126" s="6">
        <v>44163</v>
      </c>
      <c r="H126" s="5"/>
      <c r="I126" s="5"/>
      <c r="J126" s="5">
        <f t="shared" si="12"/>
        <v>15</v>
      </c>
      <c r="K126" s="8" t="b">
        <f t="shared" si="10"/>
        <v>1</v>
      </c>
    </row>
    <row r="127" spans="1:11">
      <c r="A127" s="5">
        <v>107</v>
      </c>
      <c r="B127" s="6">
        <v>44164</v>
      </c>
      <c r="C127" s="7">
        <v>0.8</v>
      </c>
      <c r="D127" s="5">
        <v>7.25</v>
      </c>
      <c r="E127" s="5">
        <v>741</v>
      </c>
      <c r="F127" s="5">
        <v>756</v>
      </c>
      <c r="G127" s="6">
        <v>44164</v>
      </c>
      <c r="H127" s="5"/>
      <c r="I127" s="5"/>
      <c r="J127" s="5">
        <f t="shared" si="12"/>
        <v>15</v>
      </c>
      <c r="K127" s="8" t="b">
        <f t="shared" si="10"/>
        <v>0</v>
      </c>
    </row>
    <row r="128" spans="1:11">
      <c r="A128" s="5">
        <v>107</v>
      </c>
      <c r="B128" s="6">
        <v>44165</v>
      </c>
      <c r="C128" s="7">
        <v>0.8</v>
      </c>
      <c r="D128" s="5">
        <v>7.25</v>
      </c>
      <c r="E128" s="5">
        <v>756</v>
      </c>
      <c r="F128" s="5">
        <v>770</v>
      </c>
      <c r="G128" s="6">
        <v>44165</v>
      </c>
      <c r="H128" s="5"/>
      <c r="I128" s="5"/>
      <c r="J128" s="5">
        <f t="shared" si="12"/>
        <v>14</v>
      </c>
      <c r="K128" s="8" t="b">
        <f t="shared" si="10"/>
        <v>0</v>
      </c>
    </row>
    <row r="129" spans="1:11">
      <c r="A129" s="5">
        <v>107</v>
      </c>
      <c r="B129" s="6">
        <v>44166</v>
      </c>
      <c r="C129" s="7">
        <v>0.4</v>
      </c>
      <c r="D129" s="5">
        <v>14.5</v>
      </c>
      <c r="E129" s="5">
        <v>770</v>
      </c>
      <c r="F129" s="5">
        <v>799</v>
      </c>
      <c r="G129" s="6">
        <v>44166</v>
      </c>
      <c r="H129" s="5"/>
      <c r="I129" s="5"/>
      <c r="J129" s="5">
        <f t="shared" ref="J129:J147" si="13">F129-E129</f>
        <v>29</v>
      </c>
      <c r="K129" s="8" t="b">
        <f t="shared" ref="K129:K147" si="14">F131=E132</f>
        <v>0</v>
      </c>
    </row>
    <row r="130" spans="1:11">
      <c r="A130" s="5">
        <v>107</v>
      </c>
      <c r="B130" s="6">
        <v>44204</v>
      </c>
      <c r="C130" s="7">
        <v>0.6</v>
      </c>
      <c r="D130" s="5">
        <v>9.67</v>
      </c>
      <c r="E130" s="5">
        <v>0</v>
      </c>
      <c r="F130" s="5">
        <v>20.399999999999999</v>
      </c>
      <c r="G130" s="6"/>
      <c r="H130" s="5"/>
      <c r="I130" s="5"/>
      <c r="J130" s="5">
        <f t="shared" si="13"/>
        <v>20.399999999999999</v>
      </c>
      <c r="K130" s="8" t="b">
        <f t="shared" si="14"/>
        <v>1</v>
      </c>
    </row>
    <row r="131" spans="1:11">
      <c r="A131" s="5">
        <v>107</v>
      </c>
      <c r="B131" s="6">
        <v>44230</v>
      </c>
      <c r="C131" s="7">
        <v>0.6</v>
      </c>
      <c r="D131" s="5">
        <v>9.67</v>
      </c>
      <c r="E131" s="5">
        <v>0</v>
      </c>
      <c r="F131" s="5">
        <v>20.3</v>
      </c>
      <c r="G131" s="6"/>
      <c r="H131" s="5"/>
      <c r="I131" s="5"/>
      <c r="J131" s="5">
        <f t="shared" si="13"/>
        <v>20.3</v>
      </c>
      <c r="K131" s="8" t="b">
        <f t="shared" si="14"/>
        <v>1</v>
      </c>
    </row>
    <row r="132" spans="1:11">
      <c r="A132" s="5">
        <v>107</v>
      </c>
      <c r="B132" s="6"/>
      <c r="C132" s="7"/>
      <c r="D132" s="5"/>
      <c r="E132" s="5"/>
      <c r="F132" s="5"/>
      <c r="G132" s="6"/>
      <c r="H132" s="5"/>
      <c r="I132" s="5"/>
      <c r="J132" s="5">
        <f t="shared" si="13"/>
        <v>0</v>
      </c>
      <c r="K132" s="8" t="b">
        <f t="shared" si="14"/>
        <v>1</v>
      </c>
    </row>
    <row r="133" spans="1:11">
      <c r="A133" s="5">
        <v>107</v>
      </c>
      <c r="B133" s="6"/>
      <c r="C133" s="7"/>
      <c r="D133" s="5"/>
      <c r="E133" s="5"/>
      <c r="F133" s="5"/>
      <c r="G133" s="6"/>
      <c r="H133" s="5"/>
      <c r="I133" s="5"/>
      <c r="J133" s="5">
        <f t="shared" si="13"/>
        <v>0</v>
      </c>
      <c r="K133" s="8" t="b">
        <f t="shared" si="14"/>
        <v>1</v>
      </c>
    </row>
    <row r="134" spans="1:11">
      <c r="A134" s="5">
        <v>107</v>
      </c>
      <c r="B134" s="6"/>
      <c r="C134" s="7"/>
      <c r="D134" s="5"/>
      <c r="E134" s="5"/>
      <c r="F134" s="5"/>
      <c r="G134" s="6"/>
      <c r="H134" s="5"/>
      <c r="I134" s="5"/>
      <c r="J134" s="5">
        <f t="shared" si="13"/>
        <v>0</v>
      </c>
      <c r="K134" s="8" t="b">
        <f t="shared" si="14"/>
        <v>1</v>
      </c>
    </row>
    <row r="135" spans="1:11">
      <c r="A135" s="5">
        <v>107</v>
      </c>
      <c r="B135" s="6"/>
      <c r="C135" s="7"/>
      <c r="D135" s="5"/>
      <c r="E135" s="5"/>
      <c r="F135" s="5"/>
      <c r="G135" s="6"/>
      <c r="H135" s="5"/>
      <c r="I135" s="5"/>
      <c r="J135" s="5">
        <f t="shared" si="13"/>
        <v>0</v>
      </c>
      <c r="K135" s="8" t="b">
        <f t="shared" si="14"/>
        <v>1</v>
      </c>
    </row>
    <row r="136" spans="1:11">
      <c r="A136" s="5">
        <v>107</v>
      </c>
      <c r="B136" s="6"/>
      <c r="C136" s="7"/>
      <c r="D136" s="5"/>
      <c r="E136" s="5"/>
      <c r="F136" s="5"/>
      <c r="G136" s="6"/>
      <c r="H136" s="5"/>
      <c r="I136" s="5"/>
      <c r="J136" s="5">
        <f t="shared" si="13"/>
        <v>0</v>
      </c>
      <c r="K136" s="8" t="b">
        <f t="shared" si="14"/>
        <v>1</v>
      </c>
    </row>
    <row r="137" spans="1:11">
      <c r="A137" s="5">
        <v>107</v>
      </c>
      <c r="B137" s="6"/>
      <c r="C137" s="7"/>
      <c r="D137" s="5"/>
      <c r="E137" s="5"/>
      <c r="F137" s="5"/>
      <c r="G137" s="6"/>
      <c r="H137" s="5"/>
      <c r="I137" s="5"/>
      <c r="J137" s="5">
        <f t="shared" si="13"/>
        <v>0</v>
      </c>
      <c r="K137" s="8" t="b">
        <f t="shared" si="14"/>
        <v>1</v>
      </c>
    </row>
    <row r="138" spans="1:11">
      <c r="A138" s="5">
        <v>107</v>
      </c>
      <c r="B138" s="6"/>
      <c r="C138" s="7"/>
      <c r="D138" s="5"/>
      <c r="E138" s="5"/>
      <c r="F138" s="5"/>
      <c r="G138" s="6"/>
      <c r="H138" s="5"/>
      <c r="I138" s="5"/>
      <c r="J138" s="5">
        <f t="shared" si="13"/>
        <v>0</v>
      </c>
      <c r="K138" s="8" t="b">
        <f t="shared" si="14"/>
        <v>1</v>
      </c>
    </row>
    <row r="139" spans="1:11">
      <c r="A139" s="5">
        <v>107</v>
      </c>
      <c r="B139" s="6"/>
      <c r="C139" s="7"/>
      <c r="D139" s="5"/>
      <c r="E139" s="5"/>
      <c r="F139" s="5"/>
      <c r="G139" s="6"/>
      <c r="H139" s="5"/>
      <c r="I139" s="5"/>
      <c r="J139" s="5">
        <f t="shared" si="13"/>
        <v>0</v>
      </c>
      <c r="K139" s="8" t="b">
        <f t="shared" si="14"/>
        <v>1</v>
      </c>
    </row>
    <row r="140" spans="1:11">
      <c r="A140" s="5">
        <v>107</v>
      </c>
      <c r="B140" s="6"/>
      <c r="C140" s="7"/>
      <c r="D140" s="5"/>
      <c r="E140" s="5"/>
      <c r="F140" s="5"/>
      <c r="G140" s="6"/>
      <c r="H140" s="5"/>
      <c r="I140" s="5"/>
      <c r="J140" s="5">
        <f t="shared" si="13"/>
        <v>0</v>
      </c>
      <c r="K140" s="8" t="b">
        <f t="shared" si="14"/>
        <v>1</v>
      </c>
    </row>
    <row r="141" spans="1:11">
      <c r="A141" s="5">
        <v>107</v>
      </c>
      <c r="B141" s="6"/>
      <c r="C141" s="7"/>
      <c r="D141" s="5"/>
      <c r="E141" s="5"/>
      <c r="F141" s="5"/>
      <c r="G141" s="6"/>
      <c r="H141" s="5"/>
      <c r="I141" s="5"/>
      <c r="J141" s="5">
        <f t="shared" si="13"/>
        <v>0</v>
      </c>
      <c r="K141" s="8" t="b">
        <f t="shared" si="14"/>
        <v>1</v>
      </c>
    </row>
    <row r="142" spans="1:11">
      <c r="A142" s="5">
        <v>107</v>
      </c>
      <c r="B142" s="6"/>
      <c r="C142" s="7"/>
      <c r="D142" s="5"/>
      <c r="E142" s="5"/>
      <c r="F142" s="5"/>
      <c r="G142" s="6"/>
      <c r="H142" s="5"/>
      <c r="I142" s="5"/>
      <c r="J142" s="5">
        <f t="shared" si="13"/>
        <v>0</v>
      </c>
      <c r="K142" s="8" t="b">
        <f t="shared" si="14"/>
        <v>1</v>
      </c>
    </row>
    <row r="143" spans="1:11">
      <c r="A143" s="5">
        <v>107</v>
      </c>
      <c r="B143" s="6"/>
      <c r="C143" s="7"/>
      <c r="D143" s="5"/>
      <c r="E143" s="5"/>
      <c r="F143" s="5"/>
      <c r="G143" s="6"/>
      <c r="H143" s="5"/>
      <c r="I143" s="5"/>
      <c r="J143" s="5">
        <f t="shared" si="13"/>
        <v>0</v>
      </c>
      <c r="K143" s="8" t="b">
        <f t="shared" si="14"/>
        <v>1</v>
      </c>
    </row>
    <row r="144" spans="1:11">
      <c r="A144" s="5">
        <v>107</v>
      </c>
      <c r="B144" s="6"/>
      <c r="C144" s="7"/>
      <c r="D144" s="5"/>
      <c r="E144" s="5"/>
      <c r="F144" s="5"/>
      <c r="G144" s="6"/>
      <c r="H144" s="5"/>
      <c r="I144" s="5"/>
      <c r="J144" s="5">
        <f t="shared" si="13"/>
        <v>0</v>
      </c>
      <c r="K144" s="8" t="b">
        <f t="shared" si="14"/>
        <v>1</v>
      </c>
    </row>
    <row r="145" spans="1:11">
      <c r="A145" s="5">
        <v>107</v>
      </c>
      <c r="B145" s="6"/>
      <c r="C145" s="7"/>
      <c r="D145" s="5"/>
      <c r="E145" s="5"/>
      <c r="F145" s="5"/>
      <c r="G145" s="6"/>
      <c r="H145" s="5"/>
      <c r="I145" s="5"/>
      <c r="J145" s="5">
        <f t="shared" si="13"/>
        <v>0</v>
      </c>
      <c r="K145" s="8" t="b">
        <f t="shared" si="14"/>
        <v>1</v>
      </c>
    </row>
    <row r="146" spans="1:11">
      <c r="A146" s="5">
        <v>107</v>
      </c>
      <c r="B146" s="6"/>
      <c r="C146" s="7"/>
      <c r="D146" s="5"/>
      <c r="E146" s="5"/>
      <c r="F146" s="5"/>
      <c r="G146" s="6"/>
      <c r="H146" s="5"/>
      <c r="I146" s="5"/>
      <c r="J146" s="5">
        <f t="shared" si="13"/>
        <v>0</v>
      </c>
      <c r="K146" s="8" t="b">
        <f t="shared" si="14"/>
        <v>1</v>
      </c>
    </row>
    <row r="147" spans="1:11">
      <c r="A147" s="5">
        <v>107</v>
      </c>
      <c r="B147" s="6"/>
      <c r="C147" s="7"/>
      <c r="D147" s="5"/>
      <c r="E147" s="5"/>
      <c r="F147" s="5"/>
      <c r="G147" s="6"/>
      <c r="H147" s="5"/>
      <c r="I147" s="5"/>
      <c r="J147" s="5">
        <f t="shared" si="13"/>
        <v>0</v>
      </c>
      <c r="K147" s="8" t="b">
        <f t="shared" si="14"/>
        <v>1</v>
      </c>
    </row>
    <row r="148" spans="1:11">
      <c r="A148" s="5">
        <v>107</v>
      </c>
    </row>
    <row r="150" spans="1:11" ht="26.25">
      <c r="A150" s="150" t="s">
        <v>92</v>
      </c>
      <c r="B150" s="174"/>
      <c r="C150" s="174"/>
      <c r="D150" s="174"/>
      <c r="E150" s="174"/>
      <c r="F150" s="174"/>
      <c r="G150" s="174"/>
      <c r="H150" s="174"/>
      <c r="I150" s="174"/>
      <c r="J150" s="174"/>
      <c r="K150" s="175"/>
    </row>
    <row r="151" spans="1:11" ht="26.25">
      <c r="A151" s="150" t="s">
        <v>14</v>
      </c>
      <c r="B151" s="174"/>
      <c r="C151" s="174"/>
      <c r="D151" s="174"/>
      <c r="E151" s="174"/>
      <c r="F151" s="174"/>
      <c r="G151" s="174"/>
      <c r="H151" s="174"/>
      <c r="I151" s="174"/>
      <c r="J151" s="174"/>
      <c r="K151" s="175"/>
    </row>
    <row r="152" spans="1:11" ht="15.75" thickBot="1"/>
    <row r="153" spans="1:11" ht="15.75" thickBot="1">
      <c r="A153" s="132" t="s">
        <v>2</v>
      </c>
      <c r="B153" s="133"/>
      <c r="C153" s="133"/>
      <c r="D153" s="133"/>
      <c r="E153" s="133"/>
      <c r="F153" s="133"/>
      <c r="G153" s="133"/>
      <c r="H153" s="133"/>
      <c r="I153" s="133"/>
      <c r="J153" s="133"/>
      <c r="K153" s="134"/>
    </row>
    <row r="155" spans="1:11" ht="19.5" thickBot="1">
      <c r="A155" s="1" t="s">
        <v>3</v>
      </c>
      <c r="B155" s="1"/>
      <c r="C155" s="1"/>
      <c r="D155" s="1"/>
      <c r="E155" s="1"/>
      <c r="F155" s="1"/>
      <c r="G155" s="1"/>
      <c r="H155" s="1"/>
      <c r="I155" s="1"/>
    </row>
    <row r="156" spans="1:11" ht="30.75" thickBot="1">
      <c r="A156" s="2" t="s">
        <v>4</v>
      </c>
      <c r="B156" s="3" t="s">
        <v>5</v>
      </c>
      <c r="C156" s="3" t="s">
        <v>6</v>
      </c>
      <c r="D156" s="3" t="s">
        <v>7</v>
      </c>
      <c r="E156" s="3" t="s">
        <v>8</v>
      </c>
      <c r="F156" s="3" t="s">
        <v>9</v>
      </c>
      <c r="G156" s="3" t="s">
        <v>10</v>
      </c>
      <c r="H156" s="3" t="s">
        <v>21</v>
      </c>
      <c r="I156" s="4" t="s">
        <v>22</v>
      </c>
      <c r="J156" s="4" t="s">
        <v>11</v>
      </c>
      <c r="K156" s="4" t="s">
        <v>12</v>
      </c>
    </row>
    <row r="157" spans="1:11">
      <c r="A157" s="5">
        <v>107</v>
      </c>
      <c r="B157" s="6">
        <v>44232</v>
      </c>
      <c r="C157" s="7">
        <v>1</v>
      </c>
      <c r="D157" s="5">
        <v>5.8</v>
      </c>
      <c r="E157" s="5">
        <v>35.6</v>
      </c>
      <c r="F157" s="5">
        <v>49.7</v>
      </c>
      <c r="G157" s="6">
        <v>44232</v>
      </c>
      <c r="H157" s="5"/>
      <c r="I157" s="5"/>
      <c r="J157" s="5">
        <f>F157-E157</f>
        <v>14.100000000000001</v>
      </c>
      <c r="K157" s="8" t="b">
        <f t="shared" ref="K157:K163" si="15">F159=E160</f>
        <v>1</v>
      </c>
    </row>
    <row r="158" spans="1:11">
      <c r="A158" s="5">
        <v>107</v>
      </c>
      <c r="B158" s="6">
        <v>44233</v>
      </c>
      <c r="C158" s="7">
        <v>1</v>
      </c>
      <c r="D158" s="5">
        <v>5.8</v>
      </c>
      <c r="E158" s="5">
        <v>47.7</v>
      </c>
      <c r="F158" s="5">
        <v>50.2</v>
      </c>
      <c r="G158" s="6">
        <v>44233</v>
      </c>
      <c r="H158" s="5"/>
      <c r="I158" s="5"/>
      <c r="J158" s="5">
        <f t="shared" ref="J158:J163" si="16">F158-E158</f>
        <v>2.5</v>
      </c>
      <c r="K158" s="8" t="b">
        <f t="shared" si="15"/>
        <v>1</v>
      </c>
    </row>
    <row r="159" spans="1:11">
      <c r="A159" s="5">
        <v>107</v>
      </c>
      <c r="B159" s="6">
        <v>44240</v>
      </c>
      <c r="C159" s="7">
        <v>1</v>
      </c>
      <c r="D159" s="5">
        <v>5.8</v>
      </c>
      <c r="E159" s="5">
        <v>50.7</v>
      </c>
      <c r="F159" s="5">
        <v>61.8</v>
      </c>
      <c r="G159" s="6">
        <v>44240</v>
      </c>
      <c r="H159" s="5"/>
      <c r="I159" s="5"/>
      <c r="J159" s="5">
        <f t="shared" si="16"/>
        <v>11.099999999999994</v>
      </c>
      <c r="K159" s="8" t="b">
        <f t="shared" si="15"/>
        <v>1</v>
      </c>
    </row>
    <row r="160" spans="1:11">
      <c r="A160" s="5">
        <v>107</v>
      </c>
      <c r="B160" s="6">
        <v>44259</v>
      </c>
      <c r="C160" s="7">
        <v>1</v>
      </c>
      <c r="D160" s="5">
        <v>5.8</v>
      </c>
      <c r="E160" s="5">
        <v>61.8</v>
      </c>
      <c r="F160" s="5">
        <v>73.5</v>
      </c>
      <c r="G160" s="6">
        <v>44259</v>
      </c>
      <c r="H160" s="5"/>
      <c r="I160" s="5"/>
      <c r="J160" s="5">
        <f t="shared" si="16"/>
        <v>11.700000000000003</v>
      </c>
      <c r="K160" s="8" t="b">
        <f t="shared" si="15"/>
        <v>0</v>
      </c>
    </row>
    <row r="161" spans="1:11">
      <c r="A161" s="5">
        <v>107</v>
      </c>
      <c r="B161" s="6">
        <v>44261</v>
      </c>
      <c r="C161" s="7">
        <v>1</v>
      </c>
      <c r="D161" s="5">
        <v>5.8</v>
      </c>
      <c r="E161" s="5">
        <v>73.5</v>
      </c>
      <c r="F161" s="5">
        <v>79.400000000000006</v>
      </c>
      <c r="G161" s="6">
        <v>44233</v>
      </c>
      <c r="H161" s="5"/>
      <c r="I161" s="5"/>
      <c r="J161" s="5">
        <f t="shared" si="16"/>
        <v>5.9000000000000057</v>
      </c>
      <c r="K161" s="8" t="b">
        <f t="shared" si="15"/>
        <v>1</v>
      </c>
    </row>
    <row r="162" spans="1:11">
      <c r="A162" s="5">
        <v>107</v>
      </c>
      <c r="B162" s="6">
        <v>44271</v>
      </c>
      <c r="C162" s="7">
        <v>0.7</v>
      </c>
      <c r="D162" s="5">
        <v>8.2899999999999991</v>
      </c>
      <c r="E162" s="5">
        <v>79.400000000000006</v>
      </c>
      <c r="F162" s="5">
        <v>96.8</v>
      </c>
      <c r="G162" s="6">
        <v>44271</v>
      </c>
      <c r="H162" s="5"/>
      <c r="I162" s="5"/>
      <c r="J162" s="5">
        <f t="shared" si="16"/>
        <v>17.399999999999991</v>
      </c>
      <c r="K162" s="8" t="b">
        <f t="shared" si="15"/>
        <v>1</v>
      </c>
    </row>
    <row r="163" spans="1:11">
      <c r="A163" s="5">
        <v>107</v>
      </c>
      <c r="B163" s="6">
        <v>44275</v>
      </c>
      <c r="C163" s="7">
        <v>0.7</v>
      </c>
      <c r="D163" s="5">
        <v>8.2899999999999991</v>
      </c>
      <c r="E163" s="5">
        <v>96.1</v>
      </c>
      <c r="F163" s="5">
        <v>112.7</v>
      </c>
      <c r="G163" s="6">
        <v>44275</v>
      </c>
      <c r="H163" s="5"/>
      <c r="I163" s="5"/>
      <c r="J163" s="5">
        <f t="shared" si="16"/>
        <v>16.600000000000009</v>
      </c>
      <c r="K163" s="8" t="b">
        <f t="shared" si="15"/>
        <v>1</v>
      </c>
    </row>
    <row r="164" spans="1:11">
      <c r="A164" s="5">
        <v>107</v>
      </c>
      <c r="B164" s="6">
        <v>44278</v>
      </c>
      <c r="C164" s="7">
        <v>0.7</v>
      </c>
      <c r="D164" s="5">
        <v>8.2899999999999991</v>
      </c>
      <c r="E164" s="5">
        <v>112.7</v>
      </c>
      <c r="F164" s="5">
        <v>129.19999999999999</v>
      </c>
      <c r="G164" s="6">
        <v>44278</v>
      </c>
      <c r="H164" s="5"/>
      <c r="I164" s="5"/>
      <c r="J164" s="5">
        <f t="shared" ref="J164:J173" si="17">F164-E164</f>
        <v>16.499999999999986</v>
      </c>
      <c r="K164" s="8" t="b">
        <f t="shared" ref="K164:K173" si="18">F166=E167</f>
        <v>0</v>
      </c>
    </row>
    <row r="165" spans="1:11">
      <c r="A165" s="5">
        <v>107</v>
      </c>
      <c r="B165" s="6">
        <v>44281</v>
      </c>
      <c r="C165" s="7">
        <v>0.7</v>
      </c>
      <c r="D165" s="5">
        <v>8.2899999999999991</v>
      </c>
      <c r="E165" s="5">
        <v>129.19999999999999</v>
      </c>
      <c r="F165" s="5">
        <v>145.6</v>
      </c>
      <c r="G165" s="6">
        <v>44281</v>
      </c>
      <c r="H165" s="5"/>
      <c r="I165" s="5"/>
      <c r="J165" s="5">
        <f t="shared" si="17"/>
        <v>16.400000000000006</v>
      </c>
      <c r="K165" s="8" t="b">
        <f t="shared" si="18"/>
        <v>1</v>
      </c>
    </row>
    <row r="166" spans="1:11">
      <c r="A166" s="5">
        <v>107</v>
      </c>
      <c r="B166" s="6">
        <v>44284</v>
      </c>
      <c r="C166" s="7">
        <v>1</v>
      </c>
      <c r="D166" s="5">
        <v>5.8</v>
      </c>
      <c r="E166" s="5">
        <v>145.6</v>
      </c>
      <c r="F166" s="5">
        <v>166.1</v>
      </c>
      <c r="G166" s="6">
        <v>44284</v>
      </c>
      <c r="H166" s="5"/>
      <c r="I166" s="5"/>
      <c r="J166" s="5">
        <f t="shared" si="17"/>
        <v>20.5</v>
      </c>
      <c r="K166" s="8" t="b">
        <f t="shared" si="18"/>
        <v>1</v>
      </c>
    </row>
    <row r="167" spans="1:11">
      <c r="A167" s="5">
        <v>107</v>
      </c>
      <c r="B167" s="6">
        <v>44289</v>
      </c>
      <c r="C167" s="7">
        <v>0.7</v>
      </c>
      <c r="D167" s="5">
        <v>8.2899999999999991</v>
      </c>
      <c r="E167" s="5">
        <v>178</v>
      </c>
      <c r="F167" s="5">
        <v>194.6</v>
      </c>
      <c r="G167" s="6">
        <v>44289</v>
      </c>
      <c r="H167" s="5"/>
      <c r="I167" s="5"/>
      <c r="J167" s="5">
        <f t="shared" si="17"/>
        <v>16.599999999999994</v>
      </c>
      <c r="K167" s="8" t="b">
        <f t="shared" si="18"/>
        <v>0</v>
      </c>
    </row>
    <row r="168" spans="1:11">
      <c r="A168" s="5">
        <v>107</v>
      </c>
      <c r="B168" s="6">
        <v>44292</v>
      </c>
      <c r="C168" s="7">
        <v>0.7</v>
      </c>
      <c r="D168" s="5">
        <v>8.2899999999999991</v>
      </c>
      <c r="E168" s="5">
        <v>194.6</v>
      </c>
      <c r="F168" s="5">
        <v>211.1</v>
      </c>
      <c r="G168" s="6">
        <v>44292</v>
      </c>
      <c r="H168" s="5"/>
      <c r="I168" s="5"/>
      <c r="J168" s="5">
        <f t="shared" si="17"/>
        <v>16.5</v>
      </c>
      <c r="K168" s="8" t="b">
        <f t="shared" si="18"/>
        <v>1</v>
      </c>
    </row>
    <row r="169" spans="1:11">
      <c r="A169" s="5">
        <v>107</v>
      </c>
      <c r="B169" s="6">
        <v>44297</v>
      </c>
      <c r="C169" s="7">
        <v>0.7</v>
      </c>
      <c r="D169" s="5">
        <v>8.2899999999999991</v>
      </c>
      <c r="E169" s="5">
        <v>211.1</v>
      </c>
      <c r="F169" s="5">
        <v>221.6</v>
      </c>
      <c r="G169" s="6">
        <v>44297</v>
      </c>
      <c r="H169" s="5"/>
      <c r="I169" s="5"/>
      <c r="J169" s="5">
        <f t="shared" si="17"/>
        <v>10.5</v>
      </c>
      <c r="K169" s="8" t="b">
        <f t="shared" si="18"/>
        <v>1</v>
      </c>
    </row>
    <row r="170" spans="1:11">
      <c r="A170" s="5">
        <v>107</v>
      </c>
      <c r="B170" s="6">
        <v>44300</v>
      </c>
      <c r="C170" s="7">
        <v>0.7</v>
      </c>
      <c r="D170" s="5">
        <v>8.2899999999999991</v>
      </c>
      <c r="E170" s="5">
        <v>227.6</v>
      </c>
      <c r="F170" s="5">
        <v>244</v>
      </c>
      <c r="G170" s="6">
        <v>44300</v>
      </c>
      <c r="H170" s="5"/>
      <c r="I170" s="5"/>
      <c r="J170" s="5">
        <f t="shared" si="17"/>
        <v>16.400000000000006</v>
      </c>
      <c r="K170" s="8" t="b">
        <f t="shared" si="18"/>
        <v>1</v>
      </c>
    </row>
    <row r="171" spans="1:11">
      <c r="A171" s="5">
        <v>107</v>
      </c>
      <c r="B171" s="6">
        <v>44301</v>
      </c>
      <c r="C171" s="7">
        <v>1</v>
      </c>
      <c r="D171" s="5">
        <v>5.8</v>
      </c>
      <c r="E171" s="5">
        <v>244</v>
      </c>
      <c r="F171" s="5">
        <v>255.7</v>
      </c>
      <c r="G171" s="6">
        <v>44301</v>
      </c>
      <c r="H171" s="5"/>
      <c r="I171" s="5"/>
      <c r="J171" s="5">
        <f t="shared" si="17"/>
        <v>11.699999999999989</v>
      </c>
      <c r="K171" s="8" t="b">
        <f t="shared" si="18"/>
        <v>1</v>
      </c>
    </row>
    <row r="172" spans="1:11">
      <c r="A172" s="5">
        <v>107</v>
      </c>
      <c r="B172" s="6">
        <v>44305</v>
      </c>
      <c r="C172" s="7">
        <v>0.7</v>
      </c>
      <c r="D172" s="5">
        <v>8.2899999999999991</v>
      </c>
      <c r="E172" s="5">
        <v>255.7</v>
      </c>
      <c r="F172" s="5">
        <v>272.2</v>
      </c>
      <c r="G172" s="6">
        <v>44305</v>
      </c>
      <c r="H172" s="5"/>
      <c r="I172" s="5"/>
      <c r="J172" s="5">
        <f t="shared" si="17"/>
        <v>16.5</v>
      </c>
      <c r="K172" s="8" t="b">
        <f t="shared" si="18"/>
        <v>1</v>
      </c>
    </row>
    <row r="173" spans="1:11">
      <c r="A173" s="5">
        <v>107</v>
      </c>
      <c r="B173" s="6">
        <v>44312</v>
      </c>
      <c r="C173" s="7">
        <v>0.7</v>
      </c>
      <c r="D173" s="5">
        <v>8.2899999999999991</v>
      </c>
      <c r="E173" s="5">
        <v>272.2</v>
      </c>
      <c r="F173" s="5">
        <v>288.7</v>
      </c>
      <c r="G173" s="6">
        <v>44312</v>
      </c>
      <c r="H173" s="5"/>
      <c r="I173" s="5"/>
      <c r="J173" s="5">
        <f t="shared" si="17"/>
        <v>16.5</v>
      </c>
      <c r="K173" s="8" t="b">
        <f t="shared" si="18"/>
        <v>1</v>
      </c>
    </row>
    <row r="174" spans="1:11">
      <c r="A174" s="5">
        <v>107</v>
      </c>
      <c r="B174" s="6">
        <v>44319</v>
      </c>
      <c r="C174" s="7">
        <v>0.7</v>
      </c>
      <c r="D174" s="5">
        <v>8.2899999999999991</v>
      </c>
      <c r="E174" s="5">
        <v>288.7</v>
      </c>
      <c r="F174" s="5">
        <v>305.2</v>
      </c>
      <c r="G174" s="6">
        <v>44319</v>
      </c>
      <c r="H174" s="5"/>
      <c r="I174" s="5"/>
      <c r="J174" s="5">
        <f t="shared" ref="J174:J179" si="19">F174-E174</f>
        <v>16.5</v>
      </c>
      <c r="K174" s="8" t="b">
        <f t="shared" ref="K174:K179" si="20">F176=E177</f>
        <v>0</v>
      </c>
    </row>
    <row r="175" spans="1:11">
      <c r="A175" s="5">
        <v>107</v>
      </c>
      <c r="B175" s="6">
        <v>44322</v>
      </c>
      <c r="C175" s="7">
        <v>0.7</v>
      </c>
      <c r="D175" s="5">
        <v>8.2899999999999991</v>
      </c>
      <c r="E175" s="5">
        <v>305.2</v>
      </c>
      <c r="F175" s="5">
        <v>321.7</v>
      </c>
      <c r="G175" s="6">
        <v>44322</v>
      </c>
      <c r="H175" s="5"/>
      <c r="I175" s="5"/>
      <c r="J175" s="5">
        <f t="shared" si="19"/>
        <v>16.5</v>
      </c>
      <c r="K175" s="8" t="b">
        <f t="shared" si="20"/>
        <v>0</v>
      </c>
    </row>
    <row r="176" spans="1:11">
      <c r="A176" s="5">
        <v>107</v>
      </c>
      <c r="B176" s="6">
        <v>44325</v>
      </c>
      <c r="C176" s="7">
        <v>0.7</v>
      </c>
      <c r="D176" s="5">
        <v>8.2899999999999991</v>
      </c>
      <c r="E176" s="5">
        <v>321.7</v>
      </c>
      <c r="F176" s="5">
        <v>338.7</v>
      </c>
      <c r="G176" s="6">
        <v>44325</v>
      </c>
      <c r="H176" s="5"/>
      <c r="I176" s="5"/>
      <c r="J176" s="5">
        <f t="shared" si="19"/>
        <v>17</v>
      </c>
      <c r="K176" s="8" t="b">
        <f t="shared" si="20"/>
        <v>1</v>
      </c>
    </row>
    <row r="177" spans="1:11">
      <c r="A177" s="5">
        <v>107</v>
      </c>
      <c r="B177" s="6">
        <v>44328</v>
      </c>
      <c r="C177" s="7">
        <v>0.7</v>
      </c>
      <c r="D177" s="5">
        <v>8.2899999999999991</v>
      </c>
      <c r="E177" s="5">
        <v>338.2</v>
      </c>
      <c r="F177" s="5">
        <v>355.1</v>
      </c>
      <c r="G177" s="6">
        <v>44328</v>
      </c>
      <c r="H177" s="5"/>
      <c r="I177" s="5"/>
      <c r="J177" s="5">
        <f t="shared" si="19"/>
        <v>16.900000000000034</v>
      </c>
      <c r="K177" s="8" t="b">
        <f t="shared" si="20"/>
        <v>1</v>
      </c>
    </row>
    <row r="178" spans="1:11">
      <c r="A178" s="5">
        <v>107</v>
      </c>
      <c r="B178" s="6">
        <v>44332</v>
      </c>
      <c r="C178" s="7">
        <v>0.5</v>
      </c>
      <c r="D178" s="5">
        <v>11.6</v>
      </c>
      <c r="E178" s="5">
        <v>0</v>
      </c>
      <c r="F178" s="5">
        <v>11</v>
      </c>
      <c r="G178" s="6">
        <v>44332</v>
      </c>
      <c r="H178" s="5"/>
      <c r="I178" s="5"/>
      <c r="J178" s="5">
        <f t="shared" si="19"/>
        <v>11</v>
      </c>
      <c r="K178" s="8" t="b">
        <f t="shared" si="20"/>
        <v>1</v>
      </c>
    </row>
    <row r="179" spans="1:11">
      <c r="A179" s="5">
        <v>107</v>
      </c>
      <c r="B179" s="6">
        <v>44333</v>
      </c>
      <c r="C179" s="7">
        <v>0.5</v>
      </c>
      <c r="D179" s="5">
        <v>11.6</v>
      </c>
      <c r="E179" s="5">
        <v>11</v>
      </c>
      <c r="F179" s="5">
        <v>23.3</v>
      </c>
      <c r="G179" s="6">
        <v>44333</v>
      </c>
      <c r="H179" s="5"/>
      <c r="I179" s="5"/>
      <c r="J179" s="5">
        <f t="shared" si="19"/>
        <v>12.3</v>
      </c>
      <c r="K179" s="8" t="b">
        <f t="shared" si="20"/>
        <v>1</v>
      </c>
    </row>
    <row r="180" spans="1:11">
      <c r="A180" s="5">
        <v>107</v>
      </c>
      <c r="B180" s="6">
        <v>44336</v>
      </c>
      <c r="C180" s="7">
        <v>0.5</v>
      </c>
      <c r="D180" s="5">
        <v>11.6</v>
      </c>
      <c r="E180" s="5">
        <v>23.3</v>
      </c>
      <c r="F180" s="5">
        <v>34</v>
      </c>
      <c r="G180" s="6">
        <v>44336</v>
      </c>
      <c r="H180" s="5"/>
      <c r="I180" s="5"/>
      <c r="J180" s="5">
        <f t="shared" ref="J180:J188" si="21">F180-E180</f>
        <v>10.7</v>
      </c>
      <c r="K180" s="8" t="b">
        <f t="shared" ref="K180:K188" si="22">F182=E183</f>
        <v>1</v>
      </c>
    </row>
    <row r="181" spans="1:11">
      <c r="A181" s="5">
        <v>107</v>
      </c>
      <c r="B181" s="6">
        <v>44337</v>
      </c>
      <c r="C181" s="7">
        <v>0.5</v>
      </c>
      <c r="D181" s="5">
        <v>11.6</v>
      </c>
      <c r="E181" s="5">
        <v>34</v>
      </c>
      <c r="F181" s="5">
        <v>46.7</v>
      </c>
      <c r="G181" s="6">
        <v>44337</v>
      </c>
      <c r="H181" s="5"/>
      <c r="I181" s="5"/>
      <c r="J181" s="5">
        <f t="shared" si="21"/>
        <v>12.700000000000003</v>
      </c>
      <c r="K181" s="8" t="b">
        <f t="shared" si="22"/>
        <v>1</v>
      </c>
    </row>
    <row r="182" spans="1:11">
      <c r="A182" s="5">
        <v>107</v>
      </c>
      <c r="B182" s="6">
        <v>44341</v>
      </c>
      <c r="C182" s="7">
        <v>0.5</v>
      </c>
      <c r="D182" s="5">
        <v>11.6</v>
      </c>
      <c r="E182" s="5">
        <v>46.7</v>
      </c>
      <c r="F182" s="5">
        <v>59.5</v>
      </c>
      <c r="G182" s="6">
        <v>44341</v>
      </c>
      <c r="H182" s="5"/>
      <c r="I182" s="5"/>
      <c r="J182" s="5">
        <f t="shared" si="21"/>
        <v>12.799999999999997</v>
      </c>
      <c r="K182" s="8" t="b">
        <f t="shared" si="22"/>
        <v>1</v>
      </c>
    </row>
    <row r="183" spans="1:11">
      <c r="A183" s="5">
        <v>107</v>
      </c>
      <c r="B183" s="6">
        <v>44342</v>
      </c>
      <c r="C183" s="7">
        <v>0.5</v>
      </c>
      <c r="D183" s="5">
        <v>11.6</v>
      </c>
      <c r="E183" s="5">
        <v>59.5</v>
      </c>
      <c r="F183" s="5">
        <v>71.3</v>
      </c>
      <c r="G183" s="6">
        <v>44342</v>
      </c>
      <c r="H183" s="5"/>
      <c r="I183" s="5"/>
      <c r="J183" s="5">
        <f t="shared" si="21"/>
        <v>11.799999999999997</v>
      </c>
      <c r="K183" s="8" t="b">
        <f t="shared" si="22"/>
        <v>1</v>
      </c>
    </row>
    <row r="184" spans="1:11">
      <c r="A184" s="5">
        <v>107</v>
      </c>
      <c r="B184" s="6">
        <v>44346</v>
      </c>
      <c r="C184" s="7">
        <v>0.5</v>
      </c>
      <c r="D184" s="5">
        <v>11.6</v>
      </c>
      <c r="E184" s="5">
        <v>71.3</v>
      </c>
      <c r="F184" s="5">
        <v>82.5</v>
      </c>
      <c r="G184" s="6">
        <v>44346</v>
      </c>
      <c r="H184" s="5"/>
      <c r="I184" s="5"/>
      <c r="J184" s="5">
        <f t="shared" si="21"/>
        <v>11.200000000000003</v>
      </c>
      <c r="K184" s="8" t="b">
        <f t="shared" si="22"/>
        <v>1</v>
      </c>
    </row>
    <row r="185" spans="1:11">
      <c r="A185" s="5">
        <v>107</v>
      </c>
      <c r="B185" s="6">
        <v>44347</v>
      </c>
      <c r="C185" s="7">
        <v>0.5</v>
      </c>
      <c r="D185" s="5">
        <v>11.6</v>
      </c>
      <c r="E185" s="5">
        <v>82.5</v>
      </c>
      <c r="F185" s="5">
        <v>94.8</v>
      </c>
      <c r="G185" s="6">
        <v>44347</v>
      </c>
      <c r="H185" s="5"/>
      <c r="I185" s="5"/>
      <c r="J185" s="5">
        <f t="shared" si="21"/>
        <v>12.299999999999997</v>
      </c>
      <c r="K185" s="8" t="b">
        <f t="shared" si="22"/>
        <v>0</v>
      </c>
    </row>
    <row r="186" spans="1:11">
      <c r="A186" s="5">
        <v>107</v>
      </c>
      <c r="B186" s="6">
        <v>44351</v>
      </c>
      <c r="C186" s="7">
        <v>0.5</v>
      </c>
      <c r="D186" s="5">
        <v>11.6</v>
      </c>
      <c r="E186" s="5">
        <v>94.8</v>
      </c>
      <c r="F186" s="5">
        <v>106.5</v>
      </c>
      <c r="G186" s="6">
        <v>44351</v>
      </c>
      <c r="H186" s="5"/>
      <c r="I186" s="5"/>
      <c r="J186" s="5">
        <f t="shared" si="21"/>
        <v>11.700000000000003</v>
      </c>
      <c r="K186" s="8" t="b">
        <f t="shared" si="22"/>
        <v>1</v>
      </c>
    </row>
    <row r="187" spans="1:11">
      <c r="A187" s="5">
        <v>107</v>
      </c>
      <c r="B187" s="6">
        <v>44352</v>
      </c>
      <c r="C187" s="7">
        <v>0.5</v>
      </c>
      <c r="D187" s="5">
        <v>11.6</v>
      </c>
      <c r="E187" s="5">
        <v>106.5</v>
      </c>
      <c r="F187" s="5">
        <v>118</v>
      </c>
      <c r="G187" s="6">
        <v>44352</v>
      </c>
      <c r="H187" s="5"/>
      <c r="I187" s="5"/>
      <c r="J187" s="5">
        <f t="shared" si="21"/>
        <v>11.5</v>
      </c>
      <c r="K187" s="8" t="b">
        <f t="shared" si="22"/>
        <v>0</v>
      </c>
    </row>
    <row r="188" spans="1:11">
      <c r="A188" s="5">
        <v>107</v>
      </c>
      <c r="B188" s="6">
        <v>44356</v>
      </c>
      <c r="C188" s="7">
        <v>0.5</v>
      </c>
      <c r="D188" s="5">
        <v>11.6</v>
      </c>
      <c r="E188" s="5">
        <v>118.1</v>
      </c>
      <c r="F188" s="5">
        <v>128.69999999999999</v>
      </c>
      <c r="G188" s="6">
        <v>44356</v>
      </c>
      <c r="H188" s="5"/>
      <c r="I188" s="5"/>
      <c r="J188" s="5">
        <f t="shared" si="21"/>
        <v>10.599999999999994</v>
      </c>
      <c r="K188" s="8" t="b">
        <f t="shared" si="22"/>
        <v>1</v>
      </c>
    </row>
    <row r="189" spans="1:11">
      <c r="A189" s="5">
        <v>107</v>
      </c>
      <c r="B189" s="6">
        <v>44357</v>
      </c>
      <c r="C189" s="7">
        <v>0.5</v>
      </c>
      <c r="D189" s="5">
        <v>11.6</v>
      </c>
      <c r="E189" s="5">
        <v>128.69999999999999</v>
      </c>
      <c r="F189" s="5">
        <v>141.19999999999999</v>
      </c>
      <c r="G189" s="6">
        <v>44357</v>
      </c>
      <c r="H189" s="5"/>
      <c r="I189" s="5"/>
      <c r="J189" s="5">
        <f t="shared" ref="J189:J197" si="23">F189-E189</f>
        <v>12.5</v>
      </c>
      <c r="K189" s="8" t="b">
        <f t="shared" ref="K189:K197" si="24">F191=E192</f>
        <v>1</v>
      </c>
    </row>
    <row r="190" spans="1:11">
      <c r="A190" s="5">
        <v>107</v>
      </c>
      <c r="B190" s="6">
        <v>44361</v>
      </c>
      <c r="C190" s="7">
        <v>0.5</v>
      </c>
      <c r="D190" s="5">
        <v>11.6</v>
      </c>
      <c r="E190" s="5">
        <v>141.1</v>
      </c>
      <c r="F190" s="5">
        <v>151.9</v>
      </c>
      <c r="G190" s="6">
        <v>44361</v>
      </c>
      <c r="H190" s="5"/>
      <c r="I190" s="5"/>
      <c r="J190" s="5">
        <f t="shared" si="23"/>
        <v>10.800000000000011</v>
      </c>
      <c r="K190" s="8" t="b">
        <f t="shared" si="24"/>
        <v>1</v>
      </c>
    </row>
    <row r="191" spans="1:11">
      <c r="A191" s="5">
        <v>107</v>
      </c>
      <c r="B191" s="6">
        <v>44362</v>
      </c>
      <c r="C191" s="7">
        <v>0.5</v>
      </c>
      <c r="D191" s="5">
        <v>11.6</v>
      </c>
      <c r="E191" s="5">
        <v>151.9</v>
      </c>
      <c r="F191" s="5">
        <v>159.19999999999999</v>
      </c>
      <c r="G191" s="6">
        <v>44362</v>
      </c>
      <c r="H191" s="5"/>
      <c r="I191" s="5"/>
      <c r="J191" s="5">
        <f t="shared" si="23"/>
        <v>7.2999999999999829</v>
      </c>
      <c r="K191" s="8" t="b">
        <f t="shared" si="24"/>
        <v>1</v>
      </c>
    </row>
    <row r="192" spans="1:11">
      <c r="A192" s="5">
        <v>107</v>
      </c>
      <c r="B192" s="6">
        <v>44366</v>
      </c>
      <c r="C192" s="7">
        <v>0.5</v>
      </c>
      <c r="D192" s="5">
        <v>11.6</v>
      </c>
      <c r="E192" s="5">
        <v>159.19999999999999</v>
      </c>
      <c r="F192" s="5">
        <v>169.8</v>
      </c>
      <c r="G192" s="6">
        <v>44366</v>
      </c>
      <c r="H192" s="5"/>
      <c r="I192" s="5"/>
      <c r="J192" s="5">
        <f t="shared" si="23"/>
        <v>10.600000000000023</v>
      </c>
      <c r="K192" s="8" t="b">
        <f t="shared" si="24"/>
        <v>1</v>
      </c>
    </row>
    <row r="193" spans="1:11">
      <c r="A193" s="5">
        <v>107</v>
      </c>
      <c r="B193" s="6">
        <v>44367</v>
      </c>
      <c r="C193" s="7">
        <v>0.5</v>
      </c>
      <c r="D193" s="5">
        <v>11.6</v>
      </c>
      <c r="E193" s="5">
        <v>169.8</v>
      </c>
      <c r="F193" s="5">
        <v>182.3</v>
      </c>
      <c r="G193" s="6">
        <v>44367</v>
      </c>
      <c r="H193" s="5"/>
      <c r="I193" s="5"/>
      <c r="J193" s="5">
        <f t="shared" si="23"/>
        <v>12.5</v>
      </c>
      <c r="K193" s="8" t="b">
        <f t="shared" si="24"/>
        <v>1</v>
      </c>
    </row>
    <row r="194" spans="1:11">
      <c r="A194" s="5">
        <v>107</v>
      </c>
      <c r="B194" s="6">
        <v>44371</v>
      </c>
      <c r="C194" s="7">
        <v>0.5</v>
      </c>
      <c r="D194" s="5">
        <v>11.6</v>
      </c>
      <c r="E194" s="5">
        <v>182.3</v>
      </c>
      <c r="F194" s="5">
        <v>193</v>
      </c>
      <c r="G194" s="6">
        <v>44371</v>
      </c>
      <c r="H194" s="5"/>
      <c r="I194" s="5"/>
      <c r="J194" s="5">
        <f t="shared" si="23"/>
        <v>10.699999999999989</v>
      </c>
      <c r="K194" s="8" t="b">
        <f t="shared" si="24"/>
        <v>1</v>
      </c>
    </row>
    <row r="195" spans="1:11">
      <c r="A195" s="5">
        <v>107</v>
      </c>
      <c r="B195" s="6">
        <v>44372</v>
      </c>
      <c r="C195" s="7">
        <v>0.5</v>
      </c>
      <c r="D195" s="5">
        <v>11.6</v>
      </c>
      <c r="E195" s="5">
        <v>193</v>
      </c>
      <c r="F195" s="5">
        <v>204.2</v>
      </c>
      <c r="G195" s="6">
        <v>44372</v>
      </c>
      <c r="H195" s="5"/>
      <c r="I195" s="5"/>
      <c r="J195" s="5">
        <f t="shared" si="23"/>
        <v>11.199999999999989</v>
      </c>
      <c r="K195" s="8" t="b">
        <f t="shared" si="24"/>
        <v>1</v>
      </c>
    </row>
    <row r="196" spans="1:11">
      <c r="A196" s="5">
        <v>107</v>
      </c>
      <c r="B196" s="6">
        <v>44376</v>
      </c>
      <c r="C196" s="7">
        <v>0.5</v>
      </c>
      <c r="D196" s="5">
        <v>11.6</v>
      </c>
      <c r="E196" s="5">
        <v>204.2</v>
      </c>
      <c r="F196" s="5">
        <v>216.1</v>
      </c>
      <c r="G196" s="6">
        <v>44376</v>
      </c>
      <c r="H196" s="5"/>
      <c r="I196" s="5"/>
      <c r="J196" s="5">
        <f t="shared" si="23"/>
        <v>11.900000000000006</v>
      </c>
      <c r="K196" s="8" t="b">
        <f t="shared" si="24"/>
        <v>1</v>
      </c>
    </row>
    <row r="197" spans="1:11">
      <c r="A197" s="5">
        <v>107</v>
      </c>
      <c r="B197" s="6">
        <v>44377</v>
      </c>
      <c r="C197" s="7">
        <v>0.5</v>
      </c>
      <c r="D197" s="5">
        <v>11.6</v>
      </c>
      <c r="E197" s="5">
        <v>216.1</v>
      </c>
      <c r="F197" s="5">
        <v>228.6</v>
      </c>
      <c r="G197" s="6">
        <v>44377</v>
      </c>
      <c r="H197" s="5"/>
      <c r="I197" s="5"/>
      <c r="J197" s="5">
        <f t="shared" si="23"/>
        <v>12.5</v>
      </c>
      <c r="K197" s="8" t="b">
        <f t="shared" si="24"/>
        <v>1</v>
      </c>
    </row>
    <row r="198" spans="1:11">
      <c r="A198" s="5">
        <v>107</v>
      </c>
      <c r="B198" s="6">
        <v>44380</v>
      </c>
      <c r="C198" s="7">
        <v>0.5</v>
      </c>
      <c r="D198" s="5">
        <v>11.6</v>
      </c>
      <c r="E198" s="5">
        <v>228.6</v>
      </c>
      <c r="F198" s="5">
        <v>239.3</v>
      </c>
      <c r="G198" s="6">
        <v>44380</v>
      </c>
      <c r="H198" s="5"/>
      <c r="I198" s="5"/>
      <c r="J198" s="5">
        <f t="shared" ref="J198:J203" si="25">F198-E198</f>
        <v>10.700000000000017</v>
      </c>
      <c r="K198" s="8" t="b">
        <f t="shared" ref="K198:K203" si="26">F200=E201</f>
        <v>1</v>
      </c>
    </row>
    <row r="199" spans="1:11">
      <c r="A199" s="5">
        <v>107</v>
      </c>
      <c r="B199" s="6">
        <v>44381</v>
      </c>
      <c r="C199" s="7">
        <v>0.5</v>
      </c>
      <c r="D199" s="5">
        <v>11.6</v>
      </c>
      <c r="E199" s="5">
        <v>239.3</v>
      </c>
      <c r="F199" s="5">
        <v>251.8</v>
      </c>
      <c r="G199" s="6">
        <v>44381</v>
      </c>
      <c r="H199" s="5"/>
      <c r="I199" s="5"/>
      <c r="J199" s="5">
        <f t="shared" si="25"/>
        <v>12.5</v>
      </c>
      <c r="K199" s="8" t="b">
        <f t="shared" si="26"/>
        <v>1</v>
      </c>
    </row>
    <row r="200" spans="1:11">
      <c r="A200" s="5">
        <v>107</v>
      </c>
      <c r="B200" s="6">
        <v>44384</v>
      </c>
      <c r="C200" s="7">
        <v>0.5</v>
      </c>
      <c r="D200" s="5">
        <v>11.6</v>
      </c>
      <c r="E200" s="5">
        <v>251.8</v>
      </c>
      <c r="F200" s="5">
        <v>262.39999999999998</v>
      </c>
      <c r="G200" s="6">
        <v>44384</v>
      </c>
      <c r="H200" s="5"/>
      <c r="I200" s="5"/>
      <c r="J200" s="5">
        <f t="shared" si="25"/>
        <v>10.599999999999966</v>
      </c>
      <c r="K200" s="8" t="b">
        <f t="shared" si="26"/>
        <v>1</v>
      </c>
    </row>
    <row r="201" spans="1:11">
      <c r="A201" s="5">
        <v>107</v>
      </c>
      <c r="B201" s="6">
        <v>44385</v>
      </c>
      <c r="C201" s="7">
        <v>0.5</v>
      </c>
      <c r="D201" s="5">
        <v>11.6</v>
      </c>
      <c r="E201" s="5">
        <v>262.39999999999998</v>
      </c>
      <c r="F201" s="5">
        <v>274.89999999999998</v>
      </c>
      <c r="G201" s="6">
        <v>44385</v>
      </c>
      <c r="H201" s="5"/>
      <c r="I201" s="5"/>
      <c r="J201" s="5">
        <f t="shared" si="25"/>
        <v>12.5</v>
      </c>
      <c r="K201" s="8" t="b">
        <f t="shared" si="26"/>
        <v>1</v>
      </c>
    </row>
    <row r="202" spans="1:11">
      <c r="A202" s="5">
        <v>107</v>
      </c>
      <c r="B202" s="6">
        <v>44387</v>
      </c>
      <c r="C202" s="7">
        <v>0.5</v>
      </c>
      <c r="D202" s="5">
        <v>11.6</v>
      </c>
      <c r="E202" s="5">
        <v>274.89999999999998</v>
      </c>
      <c r="F202" s="5">
        <v>284.60000000000002</v>
      </c>
      <c r="G202" s="6">
        <v>44387</v>
      </c>
      <c r="H202" s="5"/>
      <c r="I202" s="5"/>
      <c r="J202" s="5">
        <f t="shared" si="25"/>
        <v>9.7000000000000455</v>
      </c>
      <c r="K202" s="8" t="b">
        <f t="shared" si="26"/>
        <v>1</v>
      </c>
    </row>
    <row r="203" spans="1:11">
      <c r="A203" s="5">
        <v>107</v>
      </c>
      <c r="B203" s="6">
        <v>44389</v>
      </c>
      <c r="C203" s="7">
        <v>0.5</v>
      </c>
      <c r="D203" s="5">
        <v>11.6</v>
      </c>
      <c r="E203" s="5">
        <v>284.60000000000002</v>
      </c>
      <c r="F203" s="5">
        <v>297.2</v>
      </c>
      <c r="G203" s="6">
        <v>44389</v>
      </c>
      <c r="H203" s="5"/>
      <c r="I203" s="5"/>
      <c r="J203" s="5">
        <f t="shared" si="25"/>
        <v>12.599999999999966</v>
      </c>
      <c r="K203" s="8" t="b">
        <f t="shared" si="26"/>
        <v>1</v>
      </c>
    </row>
    <row r="204" spans="1:11">
      <c r="A204" s="5">
        <v>107</v>
      </c>
      <c r="B204" s="6">
        <v>44390</v>
      </c>
      <c r="C204" s="7">
        <v>0.5</v>
      </c>
      <c r="D204" s="5">
        <v>11.6</v>
      </c>
      <c r="E204" s="5">
        <v>297.2</v>
      </c>
      <c r="F204" s="5">
        <v>308.8</v>
      </c>
      <c r="G204" s="6">
        <v>44390</v>
      </c>
      <c r="H204" s="5"/>
      <c r="I204" s="5"/>
      <c r="J204" s="5">
        <f>F204-E204</f>
        <v>11.600000000000023</v>
      </c>
      <c r="K204" s="8" t="b">
        <f>F206=E207</f>
        <v>0</v>
      </c>
    </row>
    <row r="205" spans="1:11">
      <c r="A205" s="5">
        <v>107</v>
      </c>
      <c r="B205" s="6">
        <v>44393</v>
      </c>
      <c r="C205" s="7">
        <v>0.5</v>
      </c>
      <c r="D205" s="5">
        <v>11.6</v>
      </c>
      <c r="E205" s="5">
        <v>308.8</v>
      </c>
      <c r="F205" s="5">
        <v>321.3</v>
      </c>
      <c r="G205" s="6">
        <v>44393</v>
      </c>
      <c r="H205" s="5"/>
      <c r="I205" s="5"/>
      <c r="J205" s="5">
        <f>F205-E205</f>
        <v>12.5</v>
      </c>
      <c r="K205" s="8" t="b">
        <f>F207=E208</f>
        <v>0</v>
      </c>
    </row>
    <row r="206" spans="1:11">
      <c r="A206" s="5">
        <v>107</v>
      </c>
      <c r="B206" s="6">
        <v>44394</v>
      </c>
      <c r="C206" s="7">
        <v>0.5</v>
      </c>
      <c r="D206" s="5">
        <v>11.6</v>
      </c>
      <c r="E206" s="5">
        <v>321.3</v>
      </c>
      <c r="F206" s="5">
        <v>331.9</v>
      </c>
      <c r="G206" s="6">
        <v>44394</v>
      </c>
      <c r="H206" s="5"/>
      <c r="I206" s="5"/>
      <c r="J206" s="5">
        <f>F206-E206</f>
        <v>10.599999999999966</v>
      </c>
      <c r="K206" s="8" t="e">
        <f>F208=#REF!</f>
        <v>#REF!</v>
      </c>
    </row>
    <row r="207" spans="1:11">
      <c r="A207" s="5">
        <v>107</v>
      </c>
      <c r="B207" s="6">
        <v>44398</v>
      </c>
      <c r="C207" s="7">
        <v>0.5</v>
      </c>
      <c r="D207" s="5">
        <v>11.6</v>
      </c>
      <c r="E207" s="5">
        <v>331.6</v>
      </c>
      <c r="F207" s="5">
        <v>344</v>
      </c>
      <c r="G207" s="6">
        <v>44398</v>
      </c>
      <c r="H207" s="5"/>
      <c r="I207" s="5"/>
      <c r="J207" s="5">
        <f>F207-E207</f>
        <v>12.399999999999977</v>
      </c>
      <c r="K207" s="8" t="e">
        <f>#REF!=#REF!</f>
        <v>#REF!</v>
      </c>
    </row>
    <row r="208" spans="1:11">
      <c r="A208" s="5">
        <v>107</v>
      </c>
      <c r="B208" s="6"/>
      <c r="C208" s="7"/>
      <c r="D208" s="5"/>
      <c r="E208" s="5"/>
      <c r="F208" s="5"/>
      <c r="G208" s="6"/>
      <c r="H208" s="5"/>
      <c r="I208" s="5"/>
      <c r="J208" s="5">
        <f>F208-E208</f>
        <v>0</v>
      </c>
      <c r="K208" s="8" t="e">
        <f>#REF!=#REF!</f>
        <v>#REF!</v>
      </c>
    </row>
    <row r="210" spans="1:11" ht="26.25">
      <c r="A210" s="138" t="s">
        <v>92</v>
      </c>
      <c r="B210" s="159"/>
      <c r="C210" s="159"/>
      <c r="D210" s="159"/>
      <c r="E210" s="159"/>
      <c r="F210" s="159"/>
      <c r="G210" s="159"/>
      <c r="H210" s="159"/>
      <c r="I210" s="159"/>
      <c r="J210" s="159"/>
      <c r="K210" s="160"/>
    </row>
    <row r="211" spans="1:11" ht="26.25">
      <c r="A211" s="138" t="s">
        <v>68</v>
      </c>
      <c r="B211" s="159"/>
      <c r="C211" s="159"/>
      <c r="D211" s="159"/>
      <c r="E211" s="159"/>
      <c r="F211" s="159"/>
      <c r="G211" s="159"/>
      <c r="H211" s="159"/>
      <c r="I211" s="159"/>
      <c r="J211" s="159"/>
      <c r="K211" s="160"/>
    </row>
    <row r="212" spans="1:11" ht="15.75" thickBot="1"/>
    <row r="213" spans="1:11" ht="15.75" thickBot="1">
      <c r="A213" s="132" t="s">
        <v>2</v>
      </c>
      <c r="B213" s="133"/>
      <c r="C213" s="133"/>
      <c r="D213" s="133"/>
      <c r="E213" s="133"/>
      <c r="F213" s="133"/>
      <c r="G213" s="133"/>
      <c r="H213" s="133"/>
      <c r="I213" s="133"/>
      <c r="J213" s="133"/>
      <c r="K213" s="134"/>
    </row>
    <row r="215" spans="1:11" ht="19.5" thickBot="1">
      <c r="A215" s="1" t="s">
        <v>3</v>
      </c>
      <c r="B215" s="1"/>
      <c r="C215" s="1"/>
      <c r="D215" s="1"/>
      <c r="E215" s="1"/>
      <c r="F215" s="1"/>
      <c r="G215" s="1"/>
      <c r="H215" s="1"/>
      <c r="I215" s="1"/>
    </row>
    <row r="216" spans="1:11" ht="30.75" thickBot="1">
      <c r="A216" s="2" t="s">
        <v>4</v>
      </c>
      <c r="B216" s="3" t="s">
        <v>5</v>
      </c>
      <c r="C216" s="3" t="s">
        <v>6</v>
      </c>
      <c r="D216" s="3" t="s">
        <v>7</v>
      </c>
      <c r="E216" s="3" t="s">
        <v>8</v>
      </c>
      <c r="F216" s="3" t="s">
        <v>9</v>
      </c>
      <c r="G216" s="3" t="s">
        <v>10</v>
      </c>
      <c r="H216" s="3" t="s">
        <v>21</v>
      </c>
      <c r="I216" s="4" t="s">
        <v>22</v>
      </c>
      <c r="J216" s="4" t="s">
        <v>11</v>
      </c>
      <c r="K216" s="4" t="s">
        <v>12</v>
      </c>
    </row>
    <row r="217" spans="1:11">
      <c r="A217" s="5">
        <v>107</v>
      </c>
      <c r="B217" s="6">
        <v>44456</v>
      </c>
      <c r="C217" s="7">
        <v>0.4</v>
      </c>
      <c r="D217" s="5">
        <v>14.5</v>
      </c>
      <c r="E217" s="5">
        <v>0.1</v>
      </c>
      <c r="F217" s="5">
        <v>28.9</v>
      </c>
      <c r="G217" s="6">
        <v>44456</v>
      </c>
      <c r="H217" s="5"/>
      <c r="I217" s="5"/>
      <c r="J217" s="5">
        <f>F217-E217</f>
        <v>28.799999999999997</v>
      </c>
      <c r="K217" s="8" t="b">
        <f>E217=F207</f>
        <v>0</v>
      </c>
    </row>
    <row r="218" spans="1:11">
      <c r="A218" s="5">
        <v>107</v>
      </c>
      <c r="B218" s="6">
        <v>44460</v>
      </c>
      <c r="C218" s="7">
        <v>0.7</v>
      </c>
      <c r="D218" s="5">
        <v>9.01</v>
      </c>
      <c r="E218" s="5">
        <v>28.9</v>
      </c>
      <c r="F218" s="5">
        <v>45.6</v>
      </c>
      <c r="G218" s="6">
        <v>44460</v>
      </c>
      <c r="H218" s="5"/>
      <c r="I218" s="5"/>
      <c r="J218" s="5">
        <f>F218-E218</f>
        <v>16.700000000000003</v>
      </c>
      <c r="K218" s="8" t="b">
        <f>E218=F217</f>
        <v>1</v>
      </c>
    </row>
    <row r="219" spans="1:11">
      <c r="A219" s="5">
        <v>107</v>
      </c>
      <c r="B219" s="6">
        <v>44464</v>
      </c>
      <c r="C219" s="7">
        <v>0.7</v>
      </c>
      <c r="D219" s="5">
        <v>9.01</v>
      </c>
      <c r="E219" s="5">
        <v>45.6</v>
      </c>
      <c r="F219" s="5">
        <v>62</v>
      </c>
      <c r="G219" s="6">
        <v>44464</v>
      </c>
      <c r="H219" s="5"/>
      <c r="I219" s="5"/>
      <c r="J219" s="5">
        <f>F219-E219</f>
        <v>16.399999999999999</v>
      </c>
      <c r="K219" s="8" t="b">
        <f t="shared" ref="K219:K233" si="27">E219=F218</f>
        <v>1</v>
      </c>
    </row>
    <row r="220" spans="1:11">
      <c r="A220" s="5">
        <v>107</v>
      </c>
      <c r="B220" s="6">
        <v>44465</v>
      </c>
      <c r="C220" s="7">
        <v>0.7</v>
      </c>
      <c r="D220" s="5">
        <v>9.01</v>
      </c>
      <c r="E220" s="5">
        <v>62</v>
      </c>
      <c r="F220" s="5">
        <v>78.599999999999994</v>
      </c>
      <c r="G220" s="6">
        <v>44465</v>
      </c>
      <c r="H220" s="5"/>
      <c r="I220" s="5"/>
      <c r="J220" s="5">
        <f>F220-E220</f>
        <v>16.599999999999994</v>
      </c>
      <c r="K220" s="8" t="b">
        <f t="shared" si="27"/>
        <v>1</v>
      </c>
    </row>
    <row r="221" spans="1:11">
      <c r="A221" s="5">
        <v>107</v>
      </c>
      <c r="B221" s="6">
        <v>44469</v>
      </c>
      <c r="C221" s="7">
        <v>0.7</v>
      </c>
      <c r="D221" s="5">
        <v>9.01</v>
      </c>
      <c r="E221" s="5">
        <v>87.2</v>
      </c>
      <c r="F221" s="5">
        <v>103.4</v>
      </c>
      <c r="G221" s="6">
        <v>44469</v>
      </c>
      <c r="H221" s="5"/>
      <c r="I221" s="5"/>
      <c r="J221" s="5">
        <f t="shared" ref="J221:J233" si="28">F221-E221</f>
        <v>16.200000000000003</v>
      </c>
      <c r="K221" s="8" t="b">
        <f t="shared" si="27"/>
        <v>0</v>
      </c>
    </row>
    <row r="222" spans="1:11">
      <c r="A222" s="5">
        <v>107</v>
      </c>
      <c r="B222" s="6">
        <v>44471</v>
      </c>
      <c r="C222" s="7">
        <v>0.8</v>
      </c>
      <c r="D222" s="5">
        <v>7.89</v>
      </c>
      <c r="E222" s="5">
        <v>103.4</v>
      </c>
      <c r="F222" s="5">
        <v>119.5</v>
      </c>
      <c r="G222" s="6">
        <v>44470</v>
      </c>
      <c r="H222" s="5"/>
      <c r="I222" s="5"/>
      <c r="J222" s="5">
        <f t="shared" si="28"/>
        <v>16.099999999999994</v>
      </c>
      <c r="K222" s="8" t="b">
        <f t="shared" si="27"/>
        <v>1</v>
      </c>
    </row>
    <row r="223" spans="1:11">
      <c r="A223" s="5">
        <v>107</v>
      </c>
      <c r="B223" s="6">
        <v>44472</v>
      </c>
      <c r="C223" s="7">
        <v>0.8</v>
      </c>
      <c r="D223" s="5">
        <v>7.89</v>
      </c>
      <c r="E223" s="5">
        <v>119.5</v>
      </c>
      <c r="F223" s="5">
        <v>134.1</v>
      </c>
      <c r="G223" s="6">
        <v>44472</v>
      </c>
      <c r="H223" s="5"/>
      <c r="I223" s="5"/>
      <c r="J223" s="5">
        <f t="shared" si="28"/>
        <v>14.599999999999994</v>
      </c>
      <c r="K223" s="8" t="b">
        <f t="shared" si="27"/>
        <v>1</v>
      </c>
    </row>
    <row r="224" spans="1:11">
      <c r="A224" s="5">
        <v>107</v>
      </c>
      <c r="B224" s="6">
        <v>44473</v>
      </c>
      <c r="C224" s="7">
        <v>0.8</v>
      </c>
      <c r="D224" s="5">
        <v>7.89</v>
      </c>
      <c r="E224" s="5">
        <v>134.1</v>
      </c>
      <c r="F224" s="5">
        <v>148.69999999999999</v>
      </c>
      <c r="G224" s="6">
        <v>44473</v>
      </c>
      <c r="H224" s="5"/>
      <c r="I224" s="5"/>
      <c r="J224" s="5">
        <f t="shared" si="28"/>
        <v>14.599999999999994</v>
      </c>
      <c r="K224" s="8" t="b">
        <f t="shared" si="27"/>
        <v>1</v>
      </c>
    </row>
    <row r="225" spans="1:11">
      <c r="A225" s="5">
        <v>107</v>
      </c>
      <c r="B225" s="6">
        <v>44474</v>
      </c>
      <c r="C225" s="7">
        <v>0.8</v>
      </c>
      <c r="D225" s="5">
        <v>7.89</v>
      </c>
      <c r="E225" s="5">
        <v>148.69999999999999</v>
      </c>
      <c r="F225" s="5">
        <v>161.9</v>
      </c>
      <c r="G225" s="6">
        <v>44474</v>
      </c>
      <c r="H225" s="5"/>
      <c r="I225" s="5"/>
      <c r="J225" s="5">
        <f t="shared" si="28"/>
        <v>13.200000000000017</v>
      </c>
      <c r="K225" s="8" t="b">
        <f t="shared" si="27"/>
        <v>1</v>
      </c>
    </row>
    <row r="226" spans="1:11">
      <c r="A226" s="5">
        <v>107</v>
      </c>
      <c r="B226" s="6">
        <v>44479</v>
      </c>
      <c r="C226" s="7">
        <v>0.5</v>
      </c>
      <c r="D226" s="5">
        <v>11.6</v>
      </c>
      <c r="E226" s="5">
        <v>161.9</v>
      </c>
      <c r="F226" s="5">
        <v>185.4</v>
      </c>
      <c r="G226" s="6">
        <v>44479</v>
      </c>
      <c r="H226" s="5"/>
      <c r="I226" s="5"/>
      <c r="J226" s="5">
        <f t="shared" si="28"/>
        <v>23.5</v>
      </c>
      <c r="K226" s="8" t="b">
        <f t="shared" si="27"/>
        <v>1</v>
      </c>
    </row>
    <row r="227" spans="1:11">
      <c r="A227" s="5">
        <v>107</v>
      </c>
      <c r="B227" s="6">
        <v>44480</v>
      </c>
      <c r="C227" s="7">
        <v>0.8</v>
      </c>
      <c r="D227" s="5">
        <v>7.25</v>
      </c>
      <c r="E227" s="5">
        <v>185.4</v>
      </c>
      <c r="F227" s="5">
        <v>201.3</v>
      </c>
      <c r="G227" s="6">
        <v>44480</v>
      </c>
      <c r="H227" s="5"/>
      <c r="I227" s="5"/>
      <c r="J227" s="5">
        <f t="shared" si="28"/>
        <v>15.900000000000006</v>
      </c>
      <c r="K227" s="8" t="b">
        <f t="shared" si="27"/>
        <v>1</v>
      </c>
    </row>
    <row r="228" spans="1:11">
      <c r="A228" s="5">
        <v>107</v>
      </c>
      <c r="B228" s="6">
        <v>44481</v>
      </c>
      <c r="C228" s="7">
        <v>0.8</v>
      </c>
      <c r="D228" s="5">
        <v>7.25</v>
      </c>
      <c r="E228" s="5">
        <v>201.3</v>
      </c>
      <c r="F228" s="5">
        <v>215.9</v>
      </c>
      <c r="G228" s="6">
        <v>44481</v>
      </c>
      <c r="H228" s="5"/>
      <c r="I228" s="5"/>
      <c r="J228" s="5">
        <f t="shared" si="28"/>
        <v>14.599999999999994</v>
      </c>
      <c r="K228" s="8" t="b">
        <f t="shared" si="27"/>
        <v>1</v>
      </c>
    </row>
    <row r="229" spans="1:11">
      <c r="A229" s="5">
        <v>107</v>
      </c>
      <c r="B229" s="6">
        <v>44482</v>
      </c>
      <c r="C229" s="7">
        <v>0.8</v>
      </c>
      <c r="D229" s="5">
        <v>7.25</v>
      </c>
      <c r="E229" s="5">
        <v>215.8</v>
      </c>
      <c r="F229" s="5">
        <v>229.1</v>
      </c>
      <c r="G229" s="6">
        <v>44482</v>
      </c>
      <c r="H229" s="5"/>
      <c r="I229" s="5"/>
      <c r="J229" s="5">
        <f t="shared" si="28"/>
        <v>13.299999999999983</v>
      </c>
      <c r="K229" s="8" t="b">
        <f t="shared" si="27"/>
        <v>0</v>
      </c>
    </row>
    <row r="230" spans="1:11">
      <c r="A230" s="5">
        <v>107</v>
      </c>
      <c r="B230" s="6">
        <v>44483</v>
      </c>
      <c r="C230" s="7">
        <v>0.8</v>
      </c>
      <c r="D230" s="5">
        <v>7.25</v>
      </c>
      <c r="E230" s="5">
        <v>229.1</v>
      </c>
      <c r="F230" s="5">
        <v>230.9</v>
      </c>
      <c r="G230" s="6">
        <v>44483</v>
      </c>
      <c r="H230" s="5"/>
      <c r="I230" s="5"/>
      <c r="J230" s="5">
        <f t="shared" si="28"/>
        <v>1.8000000000000114</v>
      </c>
      <c r="K230" s="8" t="b">
        <f t="shared" si="27"/>
        <v>1</v>
      </c>
    </row>
    <row r="231" spans="1:11">
      <c r="A231" s="5">
        <v>107</v>
      </c>
      <c r="B231" s="6">
        <v>44484</v>
      </c>
      <c r="C231" s="7">
        <v>1</v>
      </c>
      <c r="D231" s="5">
        <v>5.8</v>
      </c>
      <c r="E231" s="5">
        <v>230.9</v>
      </c>
      <c r="F231" s="5">
        <v>247.9</v>
      </c>
      <c r="G231" s="6">
        <v>44484</v>
      </c>
      <c r="H231" s="5"/>
      <c r="I231" s="5"/>
      <c r="J231" s="5">
        <f t="shared" si="28"/>
        <v>17</v>
      </c>
      <c r="K231" s="8" t="b">
        <f t="shared" si="27"/>
        <v>1</v>
      </c>
    </row>
    <row r="232" spans="1:11">
      <c r="A232" s="5">
        <v>107</v>
      </c>
      <c r="B232" s="6">
        <v>44486</v>
      </c>
      <c r="C232" s="7">
        <v>1</v>
      </c>
      <c r="D232" s="5">
        <v>5.8</v>
      </c>
      <c r="E232" s="5">
        <v>247.9</v>
      </c>
      <c r="F232" s="5">
        <v>253.7</v>
      </c>
      <c r="G232" s="6">
        <v>44486</v>
      </c>
      <c r="H232" s="5"/>
      <c r="I232" s="5"/>
      <c r="J232" s="5">
        <f t="shared" si="28"/>
        <v>5.7999999999999829</v>
      </c>
      <c r="K232" s="8" t="b">
        <f t="shared" si="27"/>
        <v>1</v>
      </c>
    </row>
    <row r="233" spans="1:11">
      <c r="A233" s="5">
        <v>107</v>
      </c>
      <c r="B233" s="6">
        <v>44487</v>
      </c>
      <c r="C233" s="7">
        <v>1</v>
      </c>
      <c r="D233" s="5">
        <v>5.8</v>
      </c>
      <c r="E233" s="5">
        <v>253.7</v>
      </c>
      <c r="F233" s="5">
        <v>265.39999999999998</v>
      </c>
      <c r="G233" s="6">
        <v>44487</v>
      </c>
      <c r="H233" s="5"/>
      <c r="I233" s="5"/>
      <c r="J233" s="5">
        <f t="shared" si="28"/>
        <v>11.699999999999989</v>
      </c>
      <c r="K233" s="8" t="b">
        <f t="shared" si="27"/>
        <v>1</v>
      </c>
    </row>
    <row r="234" spans="1:11">
      <c r="A234" s="5">
        <v>107</v>
      </c>
      <c r="B234" s="6">
        <v>44488</v>
      </c>
      <c r="C234" s="7">
        <v>1</v>
      </c>
      <c r="D234" s="5">
        <v>5.8</v>
      </c>
      <c r="E234" s="5">
        <v>265.39999999999998</v>
      </c>
      <c r="F234" s="5">
        <v>277.2</v>
      </c>
      <c r="G234" s="6">
        <v>44488</v>
      </c>
      <c r="H234" s="5"/>
      <c r="I234" s="5"/>
      <c r="J234" s="5">
        <f t="shared" ref="J234:J240" si="29">F234-E234</f>
        <v>11.800000000000011</v>
      </c>
      <c r="K234" s="8" t="b">
        <f t="shared" ref="K234:K240" si="30">E234=F233</f>
        <v>1</v>
      </c>
    </row>
    <row r="235" spans="1:11">
      <c r="A235" s="5">
        <v>107</v>
      </c>
      <c r="B235" s="6">
        <v>44490</v>
      </c>
      <c r="C235" s="7">
        <v>1</v>
      </c>
      <c r="D235" s="5">
        <v>5.8</v>
      </c>
      <c r="E235" s="5">
        <v>277.2</v>
      </c>
      <c r="F235" s="5">
        <v>286.39999999999998</v>
      </c>
      <c r="G235" s="6">
        <v>44490</v>
      </c>
      <c r="H235" s="5"/>
      <c r="I235" s="5"/>
      <c r="J235" s="5">
        <f t="shared" si="29"/>
        <v>9.1999999999999886</v>
      </c>
      <c r="K235" s="8" t="b">
        <f t="shared" si="30"/>
        <v>1</v>
      </c>
    </row>
    <row r="236" spans="1:11">
      <c r="A236" s="5">
        <v>107</v>
      </c>
      <c r="B236" s="6">
        <v>44496</v>
      </c>
      <c r="C236" s="7">
        <v>1</v>
      </c>
      <c r="D236" s="5">
        <v>5.8</v>
      </c>
      <c r="E236" s="5">
        <v>286.39999999999998</v>
      </c>
      <c r="F236" s="5">
        <v>298.7</v>
      </c>
      <c r="G236" s="6">
        <v>44496</v>
      </c>
      <c r="H236" s="5"/>
      <c r="I236" s="5"/>
      <c r="J236" s="5">
        <f t="shared" si="29"/>
        <v>12.300000000000011</v>
      </c>
      <c r="K236" s="8" t="b">
        <f t="shared" si="30"/>
        <v>1</v>
      </c>
    </row>
    <row r="237" spans="1:11">
      <c r="A237" s="5">
        <v>107</v>
      </c>
      <c r="B237" s="6">
        <v>44497</v>
      </c>
      <c r="C237" s="7">
        <v>1</v>
      </c>
      <c r="D237" s="5">
        <v>5.8</v>
      </c>
      <c r="E237" s="5">
        <v>0.1</v>
      </c>
      <c r="F237" s="5">
        <v>11.7</v>
      </c>
      <c r="G237" s="6">
        <v>44497</v>
      </c>
      <c r="H237" s="5"/>
      <c r="I237" s="5"/>
      <c r="J237" s="5">
        <f t="shared" si="29"/>
        <v>11.6</v>
      </c>
      <c r="K237" s="8" t="b">
        <f t="shared" si="30"/>
        <v>0</v>
      </c>
    </row>
    <row r="238" spans="1:11">
      <c r="A238" s="5">
        <v>107</v>
      </c>
      <c r="B238" s="6">
        <v>44498</v>
      </c>
      <c r="C238" s="7">
        <v>1</v>
      </c>
      <c r="D238" s="5">
        <v>5.8</v>
      </c>
      <c r="E238" s="5">
        <v>11.7</v>
      </c>
      <c r="F238" s="5">
        <v>23.4</v>
      </c>
      <c r="G238" s="6">
        <v>44498</v>
      </c>
      <c r="H238" s="5"/>
      <c r="I238" s="5"/>
      <c r="J238" s="5">
        <f t="shared" si="29"/>
        <v>11.7</v>
      </c>
      <c r="K238" s="8" t="b">
        <f t="shared" si="30"/>
        <v>1</v>
      </c>
    </row>
    <row r="239" spans="1:11">
      <c r="A239" s="5">
        <v>107</v>
      </c>
      <c r="B239" s="6"/>
      <c r="C239" s="7"/>
      <c r="D239" s="5"/>
      <c r="E239" s="5"/>
      <c r="F239" s="5"/>
      <c r="G239" s="6"/>
      <c r="H239" s="5"/>
      <c r="I239" s="5"/>
      <c r="J239" s="5">
        <f t="shared" si="29"/>
        <v>0</v>
      </c>
      <c r="K239" s="8" t="b">
        <f t="shared" si="30"/>
        <v>0</v>
      </c>
    </row>
    <row r="240" spans="1:11">
      <c r="A240" s="5">
        <v>107</v>
      </c>
      <c r="B240" s="6"/>
      <c r="C240" s="7"/>
      <c r="D240" s="5"/>
      <c r="E240" s="5"/>
      <c r="F240" s="5"/>
      <c r="G240" s="6"/>
      <c r="H240" s="5"/>
      <c r="I240" s="5"/>
      <c r="J240" s="5">
        <f t="shared" si="29"/>
        <v>0</v>
      </c>
      <c r="K240" s="8" t="b">
        <f t="shared" si="30"/>
        <v>1</v>
      </c>
    </row>
    <row r="243" spans="1:11" ht="26.25">
      <c r="A243" s="129" t="s">
        <v>92</v>
      </c>
      <c r="B243" s="164"/>
      <c r="C243" s="164"/>
      <c r="D243" s="164"/>
      <c r="E243" s="164"/>
      <c r="F243" s="164"/>
      <c r="G243" s="164"/>
      <c r="H243" s="164"/>
      <c r="I243" s="164"/>
      <c r="J243" s="164"/>
      <c r="K243" s="165"/>
    </row>
    <row r="244" spans="1:11" ht="26.25">
      <c r="A244" s="129" t="s">
        <v>15</v>
      </c>
      <c r="B244" s="164"/>
      <c r="C244" s="164"/>
      <c r="D244" s="164"/>
      <c r="E244" s="164"/>
      <c r="F244" s="164"/>
      <c r="G244" s="164"/>
      <c r="H244" s="164"/>
      <c r="I244" s="164"/>
      <c r="J244" s="164"/>
      <c r="K244" s="165"/>
    </row>
    <row r="245" spans="1:11" ht="15.75" thickBot="1"/>
    <row r="246" spans="1:11" ht="15.75" thickBot="1">
      <c r="A246" s="132" t="s">
        <v>2</v>
      </c>
      <c r="B246" s="133"/>
      <c r="C246" s="133"/>
      <c r="D246" s="133"/>
      <c r="E246" s="133"/>
      <c r="F246" s="133"/>
      <c r="G246" s="133"/>
      <c r="H246" s="133"/>
      <c r="I246" s="133"/>
      <c r="J246" s="133"/>
      <c r="K246" s="134"/>
    </row>
    <row r="248" spans="1:11" ht="19.5" thickBot="1">
      <c r="A248" s="1" t="s">
        <v>3</v>
      </c>
      <c r="B248" s="1"/>
      <c r="C248" s="1"/>
      <c r="D248" s="1"/>
      <c r="E248" s="1"/>
      <c r="F248" s="1"/>
      <c r="G248" s="1"/>
      <c r="H248" s="1"/>
      <c r="I248" s="1"/>
    </row>
    <row r="249" spans="1:11" ht="30.75" thickBot="1">
      <c r="A249" s="2" t="s">
        <v>4</v>
      </c>
      <c r="B249" s="3" t="s">
        <v>5</v>
      </c>
      <c r="C249" s="3" t="s">
        <v>6</v>
      </c>
      <c r="D249" s="3" t="s">
        <v>7</v>
      </c>
      <c r="E249" s="3" t="s">
        <v>8</v>
      </c>
      <c r="F249" s="3" t="s">
        <v>9</v>
      </c>
      <c r="G249" s="3" t="s">
        <v>10</v>
      </c>
      <c r="H249" s="3" t="s">
        <v>21</v>
      </c>
      <c r="I249" s="4" t="s">
        <v>22</v>
      </c>
      <c r="J249" s="4" t="s">
        <v>11</v>
      </c>
      <c r="K249" s="4" t="s">
        <v>12</v>
      </c>
    </row>
    <row r="250" spans="1:11">
      <c r="A250" s="5">
        <v>107</v>
      </c>
      <c r="B250" s="6">
        <v>44590</v>
      </c>
      <c r="C250" s="7">
        <v>0.7</v>
      </c>
      <c r="D250" s="5">
        <v>8.2899999999999991</v>
      </c>
      <c r="E250" s="5">
        <v>23.4</v>
      </c>
      <c r="F250" s="5">
        <v>41.6</v>
      </c>
      <c r="G250" s="6">
        <v>44590</v>
      </c>
      <c r="H250" s="5"/>
      <c r="I250" s="5"/>
      <c r="J250" s="5">
        <f t="shared" ref="J250:J255" si="31">F250-E250</f>
        <v>18.200000000000003</v>
      </c>
      <c r="K250" s="8" t="b">
        <f>E250=F240</f>
        <v>0</v>
      </c>
    </row>
    <row r="251" spans="1:11">
      <c r="A251" s="5">
        <v>107</v>
      </c>
      <c r="B251" s="6">
        <v>44591</v>
      </c>
      <c r="C251" s="7">
        <v>1</v>
      </c>
      <c r="D251" s="5">
        <v>5.8</v>
      </c>
      <c r="E251" s="5">
        <v>41.6</v>
      </c>
      <c r="F251" s="5">
        <v>53.9</v>
      </c>
      <c r="G251" s="6">
        <v>44591</v>
      </c>
      <c r="H251" s="5"/>
      <c r="I251" s="5"/>
      <c r="J251" s="5">
        <f t="shared" si="31"/>
        <v>12.299999999999997</v>
      </c>
      <c r="K251" s="8" t="b">
        <f>E251=F250</f>
        <v>1</v>
      </c>
    </row>
    <row r="252" spans="1:11">
      <c r="A252" s="5">
        <v>107</v>
      </c>
      <c r="B252" s="6">
        <v>44592</v>
      </c>
      <c r="C252" s="7">
        <v>1</v>
      </c>
      <c r="D252" s="5">
        <v>5.8</v>
      </c>
      <c r="E252" s="5">
        <v>53.9</v>
      </c>
      <c r="F252" s="5">
        <v>66.2</v>
      </c>
      <c r="G252" s="6">
        <v>44592</v>
      </c>
      <c r="H252" s="5"/>
      <c r="I252" s="5"/>
      <c r="J252" s="5">
        <f t="shared" si="31"/>
        <v>12.300000000000004</v>
      </c>
      <c r="K252" s="8" t="b">
        <f>E252=F251</f>
        <v>1</v>
      </c>
    </row>
    <row r="253" spans="1:11">
      <c r="A253" s="5">
        <v>107</v>
      </c>
      <c r="B253" s="6">
        <v>44593</v>
      </c>
      <c r="C253" s="7">
        <v>1</v>
      </c>
      <c r="D253" s="5">
        <v>5.8</v>
      </c>
      <c r="E253" s="5">
        <v>66.2</v>
      </c>
      <c r="F253" s="5">
        <v>78.5</v>
      </c>
      <c r="G253" s="6">
        <v>44593</v>
      </c>
      <c r="H253" s="5"/>
      <c r="I253" s="5"/>
      <c r="J253" s="5">
        <f t="shared" si="31"/>
        <v>12.299999999999997</v>
      </c>
      <c r="K253" s="8" t="b">
        <f>E253=F252</f>
        <v>1</v>
      </c>
    </row>
    <row r="254" spans="1:11">
      <c r="A254" s="5">
        <v>107</v>
      </c>
      <c r="B254" s="6">
        <v>44596</v>
      </c>
      <c r="C254" s="7">
        <v>1</v>
      </c>
      <c r="D254" s="5">
        <v>5.8</v>
      </c>
      <c r="E254" s="5">
        <v>78.5</v>
      </c>
      <c r="F254" s="5">
        <v>90.8</v>
      </c>
      <c r="G254" s="6">
        <v>44596</v>
      </c>
      <c r="H254" s="5"/>
      <c r="I254" s="5"/>
      <c r="J254" s="5">
        <f t="shared" si="31"/>
        <v>12.299999999999997</v>
      </c>
      <c r="K254" s="8" t="b">
        <f>E254=F253</f>
        <v>1</v>
      </c>
    </row>
    <row r="255" spans="1:11">
      <c r="A255" s="5">
        <v>107</v>
      </c>
      <c r="B255" s="6">
        <v>44597</v>
      </c>
      <c r="C255" s="7">
        <v>1</v>
      </c>
      <c r="D255" s="5">
        <v>5.8</v>
      </c>
      <c r="E255" s="5">
        <v>90.8</v>
      </c>
      <c r="F255" s="5">
        <v>103.1</v>
      </c>
      <c r="G255" s="6">
        <v>44597</v>
      </c>
      <c r="H255" s="5"/>
      <c r="I255" s="5"/>
      <c r="J255" s="5">
        <f t="shared" si="31"/>
        <v>12.299999999999997</v>
      </c>
      <c r="K255" s="8" t="b">
        <f>E255=F254</f>
        <v>1</v>
      </c>
    </row>
    <row r="256" spans="1:11">
      <c r="A256" s="25">
        <v>107</v>
      </c>
      <c r="B256" s="26">
        <v>44609</v>
      </c>
      <c r="C256" s="27">
        <v>1</v>
      </c>
      <c r="D256" s="25">
        <v>5.8</v>
      </c>
      <c r="E256" s="25">
        <v>0.1</v>
      </c>
      <c r="F256" s="25">
        <v>12.2</v>
      </c>
      <c r="G256" s="26">
        <v>44609</v>
      </c>
      <c r="H256" s="25"/>
      <c r="I256" s="25"/>
      <c r="J256" s="25">
        <f t="shared" ref="J256:J263" si="32">F256-E256</f>
        <v>12.1</v>
      </c>
      <c r="K256" s="28" t="b">
        <f t="shared" ref="K256:K263" si="33">E256=F255</f>
        <v>0</v>
      </c>
    </row>
    <row r="257" spans="1:11">
      <c r="A257" s="5">
        <v>107</v>
      </c>
      <c r="B257" s="6">
        <v>44617</v>
      </c>
      <c r="C257" s="7">
        <v>0.8</v>
      </c>
      <c r="D257" s="5">
        <v>7.25</v>
      </c>
      <c r="E257" s="5">
        <v>12.2</v>
      </c>
      <c r="F257" s="5">
        <v>27.3</v>
      </c>
      <c r="G257" s="6">
        <v>44617</v>
      </c>
      <c r="H257" s="5"/>
      <c r="I257" s="5"/>
      <c r="J257" s="5">
        <f t="shared" si="32"/>
        <v>15.100000000000001</v>
      </c>
      <c r="K257" s="8" t="b">
        <f t="shared" si="33"/>
        <v>1</v>
      </c>
    </row>
    <row r="258" spans="1:11">
      <c r="A258" s="5">
        <v>107</v>
      </c>
      <c r="B258" s="6">
        <v>44620</v>
      </c>
      <c r="C258" s="7">
        <v>0.8</v>
      </c>
      <c r="D258" s="5">
        <v>7.25</v>
      </c>
      <c r="E258" s="5">
        <v>27.3</v>
      </c>
      <c r="F258" s="5">
        <v>42.3</v>
      </c>
      <c r="G258" s="6">
        <v>44620</v>
      </c>
      <c r="H258" s="5"/>
      <c r="I258" s="5"/>
      <c r="J258" s="5">
        <f t="shared" si="32"/>
        <v>14.999999999999996</v>
      </c>
      <c r="K258" s="8" t="b">
        <f t="shared" si="33"/>
        <v>1</v>
      </c>
    </row>
    <row r="259" spans="1:11">
      <c r="A259" s="5">
        <v>107</v>
      </c>
      <c r="B259" s="6">
        <v>44623</v>
      </c>
      <c r="C259" s="7">
        <v>0.8</v>
      </c>
      <c r="D259" s="5">
        <v>7.25</v>
      </c>
      <c r="E259" s="5">
        <v>42.3</v>
      </c>
      <c r="F259" s="5">
        <v>58.4</v>
      </c>
      <c r="G259" s="6">
        <v>44623</v>
      </c>
      <c r="H259" s="5"/>
      <c r="I259" s="5"/>
      <c r="J259" s="5">
        <f t="shared" si="32"/>
        <v>16.100000000000001</v>
      </c>
      <c r="K259" s="8" t="b">
        <f t="shared" si="33"/>
        <v>1</v>
      </c>
    </row>
    <row r="260" spans="1:11">
      <c r="A260" s="5">
        <v>107</v>
      </c>
      <c r="B260" s="6">
        <v>44625</v>
      </c>
      <c r="C260" s="7">
        <v>0.8</v>
      </c>
      <c r="D260" s="5">
        <v>7.25</v>
      </c>
      <c r="E260" s="5">
        <v>58.4</v>
      </c>
      <c r="F260" s="5">
        <v>73.5</v>
      </c>
      <c r="G260" s="6">
        <v>44625</v>
      </c>
      <c r="H260" s="5"/>
      <c r="I260" s="5"/>
      <c r="J260" s="5">
        <f t="shared" si="32"/>
        <v>15.100000000000001</v>
      </c>
      <c r="K260" s="8" t="b">
        <f t="shared" si="33"/>
        <v>1</v>
      </c>
    </row>
    <row r="261" spans="1:11">
      <c r="A261" s="5">
        <v>107</v>
      </c>
      <c r="B261" s="6">
        <v>44640</v>
      </c>
      <c r="C261" s="7">
        <v>0.7</v>
      </c>
      <c r="D261" s="5">
        <v>8.2899999999999991</v>
      </c>
      <c r="E261" s="5">
        <v>116.7</v>
      </c>
      <c r="F261" s="5">
        <v>133.19999999999999</v>
      </c>
      <c r="G261" s="6">
        <v>44640</v>
      </c>
      <c r="H261" s="5"/>
      <c r="I261" s="5"/>
      <c r="J261" s="5">
        <f t="shared" si="32"/>
        <v>16.499999999999986</v>
      </c>
      <c r="K261" s="8" t="b">
        <f t="shared" si="33"/>
        <v>0</v>
      </c>
    </row>
    <row r="262" spans="1:11">
      <c r="A262" s="5">
        <v>107</v>
      </c>
      <c r="B262" s="6">
        <v>44643</v>
      </c>
      <c r="C262" s="7">
        <v>0.7</v>
      </c>
      <c r="D262" s="5">
        <v>8.2899999999999991</v>
      </c>
      <c r="E262" s="5">
        <v>133.19999999999999</v>
      </c>
      <c r="F262" s="5">
        <v>150.19999999999999</v>
      </c>
      <c r="G262" s="6">
        <v>44643</v>
      </c>
      <c r="H262" s="5"/>
      <c r="I262" s="5"/>
      <c r="J262" s="5">
        <f t="shared" si="32"/>
        <v>17</v>
      </c>
      <c r="K262" s="8" t="b">
        <f t="shared" si="33"/>
        <v>1</v>
      </c>
    </row>
    <row r="263" spans="1:11">
      <c r="A263" s="5">
        <v>107</v>
      </c>
      <c r="B263" s="6">
        <v>44646</v>
      </c>
      <c r="C263" s="7">
        <v>0.7</v>
      </c>
      <c r="D263" s="5">
        <v>8.2899999999999991</v>
      </c>
      <c r="E263" s="5">
        <v>150.19999999999999</v>
      </c>
      <c r="F263" s="5">
        <v>166.6</v>
      </c>
      <c r="G263" s="6">
        <v>44646</v>
      </c>
      <c r="H263" s="5"/>
      <c r="I263" s="5"/>
      <c r="J263" s="5">
        <f t="shared" si="32"/>
        <v>16.400000000000006</v>
      </c>
      <c r="K263" s="8" t="b">
        <f t="shared" si="33"/>
        <v>1</v>
      </c>
    </row>
    <row r="264" spans="1:11">
      <c r="A264" s="5">
        <v>107</v>
      </c>
      <c r="B264" s="6">
        <v>44649</v>
      </c>
      <c r="C264" s="7">
        <v>0.7</v>
      </c>
      <c r="D264" s="5">
        <v>8.2899999999999991</v>
      </c>
      <c r="E264" s="5">
        <v>166.6</v>
      </c>
      <c r="F264" s="5">
        <v>188</v>
      </c>
      <c r="G264" s="6">
        <v>44649</v>
      </c>
      <c r="H264" s="5"/>
      <c r="I264" s="5"/>
      <c r="J264" s="5">
        <f t="shared" ref="J264:J270" si="34">F264-E264</f>
        <v>21.400000000000006</v>
      </c>
      <c r="K264" s="8" t="b">
        <f>E264=F263</f>
        <v>1</v>
      </c>
    </row>
    <row r="265" spans="1:11">
      <c r="A265" s="39">
        <v>107</v>
      </c>
      <c r="B265" s="40"/>
      <c r="C265" s="41"/>
      <c r="D265" s="39"/>
      <c r="E265" s="39"/>
      <c r="F265" s="39"/>
      <c r="G265" s="40"/>
      <c r="H265" s="39"/>
      <c r="I265" s="39"/>
      <c r="J265" s="39">
        <f t="shared" si="34"/>
        <v>0</v>
      </c>
      <c r="K265" s="8" t="b">
        <f>E265=F264</f>
        <v>0</v>
      </c>
    </row>
    <row r="266" spans="1:11">
      <c r="A266" s="39">
        <v>107</v>
      </c>
      <c r="B266" s="40"/>
      <c r="C266" s="41"/>
      <c r="D266" s="39"/>
      <c r="E266" s="39"/>
      <c r="F266" s="39"/>
      <c r="G266" s="40"/>
      <c r="H266" s="39"/>
      <c r="I266" s="39"/>
      <c r="J266" s="39">
        <f t="shared" si="34"/>
        <v>0</v>
      </c>
      <c r="K266" s="8" t="b">
        <f t="shared" ref="K266:K302" si="35">E266=F265</f>
        <v>1</v>
      </c>
    </row>
    <row r="267" spans="1:11">
      <c r="A267" s="39">
        <v>107</v>
      </c>
      <c r="B267" s="40"/>
      <c r="C267" s="41"/>
      <c r="D267" s="39"/>
      <c r="E267" s="39"/>
      <c r="F267" s="39"/>
      <c r="G267" s="40"/>
      <c r="H267" s="39"/>
      <c r="I267" s="39"/>
      <c r="J267" s="39">
        <f t="shared" si="34"/>
        <v>0</v>
      </c>
      <c r="K267" s="8" t="b">
        <f t="shared" si="35"/>
        <v>1</v>
      </c>
    </row>
    <row r="268" spans="1:11">
      <c r="A268" s="39">
        <v>107</v>
      </c>
      <c r="B268" s="40"/>
      <c r="C268" s="41"/>
      <c r="D268" s="39"/>
      <c r="E268" s="39"/>
      <c r="F268" s="39"/>
      <c r="G268" s="40"/>
      <c r="H268" s="39"/>
      <c r="I268" s="39"/>
      <c r="J268" s="39">
        <f t="shared" si="34"/>
        <v>0</v>
      </c>
      <c r="K268" s="8" t="b">
        <f t="shared" si="35"/>
        <v>1</v>
      </c>
    </row>
    <row r="269" spans="1:11">
      <c r="A269" s="39">
        <v>107</v>
      </c>
      <c r="B269" s="40"/>
      <c r="C269" s="41"/>
      <c r="D269" s="39"/>
      <c r="E269" s="39"/>
      <c r="F269" s="39"/>
      <c r="G269" s="40"/>
      <c r="H269" s="39"/>
      <c r="I269" s="39"/>
      <c r="J269" s="39">
        <f t="shared" si="34"/>
        <v>0</v>
      </c>
      <c r="K269" s="8" t="b">
        <f t="shared" si="35"/>
        <v>1</v>
      </c>
    </row>
    <row r="270" spans="1:11">
      <c r="A270" s="5">
        <v>107</v>
      </c>
      <c r="B270" s="6">
        <v>44674</v>
      </c>
      <c r="C270" s="7">
        <v>0.55000000000000004</v>
      </c>
      <c r="D270" s="5">
        <v>10.55</v>
      </c>
      <c r="E270" s="5">
        <v>330.8</v>
      </c>
      <c r="F270" s="5">
        <v>340.6</v>
      </c>
      <c r="G270" s="6">
        <v>44674</v>
      </c>
      <c r="H270" s="5"/>
      <c r="I270" s="5"/>
      <c r="J270" s="5">
        <f t="shared" si="34"/>
        <v>9.8000000000000114</v>
      </c>
      <c r="K270" s="8" t="b">
        <f t="shared" si="35"/>
        <v>0</v>
      </c>
    </row>
    <row r="271" spans="1:11">
      <c r="A271" s="5">
        <v>107</v>
      </c>
      <c r="B271" s="6">
        <v>44676</v>
      </c>
      <c r="C271" s="7">
        <v>0.55000000000000004</v>
      </c>
      <c r="D271" s="5">
        <v>10.55</v>
      </c>
      <c r="E271" s="5">
        <v>340.6</v>
      </c>
      <c r="F271" s="5">
        <v>350.8</v>
      </c>
      <c r="G271" s="6">
        <v>44676</v>
      </c>
      <c r="H271" s="5"/>
      <c r="I271" s="5"/>
      <c r="J271" s="5">
        <f t="shared" ref="J271:J302" si="36">F271-E271</f>
        <v>10.199999999999989</v>
      </c>
      <c r="K271" s="8" t="b">
        <f t="shared" si="35"/>
        <v>1</v>
      </c>
    </row>
    <row r="272" spans="1:11">
      <c r="A272" s="5">
        <v>107</v>
      </c>
      <c r="B272" s="6">
        <v>44677</v>
      </c>
      <c r="C272" s="7">
        <v>0.55000000000000004</v>
      </c>
      <c r="D272" s="5">
        <v>10.55</v>
      </c>
      <c r="E272" s="5">
        <v>350.8</v>
      </c>
      <c r="F272" s="5">
        <v>367.7</v>
      </c>
      <c r="G272" s="6">
        <v>44677</v>
      </c>
      <c r="H272" s="5"/>
      <c r="I272" s="5"/>
      <c r="J272" s="5">
        <f t="shared" si="36"/>
        <v>16.899999999999977</v>
      </c>
      <c r="K272" s="8" t="b">
        <f t="shared" si="35"/>
        <v>1</v>
      </c>
    </row>
    <row r="273" spans="1:11">
      <c r="A273" s="5">
        <v>107</v>
      </c>
      <c r="B273" s="6">
        <v>44679</v>
      </c>
      <c r="C273" s="7">
        <v>0.55000000000000004</v>
      </c>
      <c r="D273" s="5">
        <v>10.55</v>
      </c>
      <c r="E273" s="5">
        <v>367.7</v>
      </c>
      <c r="F273" s="5">
        <v>372.9</v>
      </c>
      <c r="G273" s="6">
        <v>44679</v>
      </c>
      <c r="H273" s="5"/>
      <c r="I273" s="5"/>
      <c r="J273" s="5">
        <f t="shared" si="36"/>
        <v>5.1999999999999886</v>
      </c>
      <c r="K273" s="8" t="b">
        <f t="shared" si="35"/>
        <v>1</v>
      </c>
    </row>
    <row r="274" spans="1:11">
      <c r="A274" s="5">
        <v>107</v>
      </c>
      <c r="B274" s="6">
        <v>44680</v>
      </c>
      <c r="C274" s="7">
        <v>0.55000000000000004</v>
      </c>
      <c r="D274" s="5">
        <v>10.55</v>
      </c>
      <c r="E274" s="5">
        <v>372.9</v>
      </c>
      <c r="F274" s="5">
        <v>382.8</v>
      </c>
      <c r="G274" s="6">
        <v>44680</v>
      </c>
      <c r="H274" s="5"/>
      <c r="I274" s="5"/>
      <c r="J274" s="5">
        <f t="shared" si="36"/>
        <v>9.9000000000000341</v>
      </c>
      <c r="K274" s="8" t="b">
        <f t="shared" si="35"/>
        <v>1</v>
      </c>
    </row>
    <row r="275" spans="1:11">
      <c r="A275" s="5">
        <v>107</v>
      </c>
      <c r="B275" s="6">
        <v>44682</v>
      </c>
      <c r="C275" s="7">
        <v>0.55000000000000004</v>
      </c>
      <c r="D275" s="5">
        <v>10.55</v>
      </c>
      <c r="E275" s="5">
        <v>382.8</v>
      </c>
      <c r="F275" s="5">
        <v>394.1</v>
      </c>
      <c r="G275" s="6">
        <v>44682</v>
      </c>
      <c r="H275" s="5"/>
      <c r="I275" s="5"/>
      <c r="J275" s="5">
        <f t="shared" si="36"/>
        <v>11.300000000000011</v>
      </c>
      <c r="K275" s="8" t="b">
        <f t="shared" si="35"/>
        <v>1</v>
      </c>
    </row>
    <row r="276" spans="1:11">
      <c r="A276" s="5">
        <v>107</v>
      </c>
      <c r="B276" s="6">
        <v>44683</v>
      </c>
      <c r="C276" s="7">
        <v>0.55000000000000004</v>
      </c>
      <c r="D276" s="5">
        <v>10.55</v>
      </c>
      <c r="E276" s="5">
        <v>394.1</v>
      </c>
      <c r="F276" s="5">
        <v>404.3</v>
      </c>
      <c r="G276" s="6">
        <v>44683</v>
      </c>
      <c r="H276" s="5"/>
      <c r="I276" s="5"/>
      <c r="J276" s="5">
        <f t="shared" si="36"/>
        <v>10.199999999999989</v>
      </c>
      <c r="K276" s="8" t="b">
        <f t="shared" si="35"/>
        <v>1</v>
      </c>
    </row>
    <row r="277" spans="1:11">
      <c r="A277" s="5">
        <v>107</v>
      </c>
      <c r="B277" s="6">
        <v>44685</v>
      </c>
      <c r="C277" s="7">
        <v>0.55000000000000004</v>
      </c>
      <c r="D277" s="5">
        <v>10.55</v>
      </c>
      <c r="E277" s="5">
        <v>404.3</v>
      </c>
      <c r="F277" s="5">
        <v>415.4</v>
      </c>
      <c r="G277" s="6">
        <v>44685</v>
      </c>
      <c r="H277" s="5"/>
      <c r="I277" s="5"/>
      <c r="J277" s="5">
        <f t="shared" si="36"/>
        <v>11.099999999999966</v>
      </c>
      <c r="K277" s="8" t="b">
        <f t="shared" si="35"/>
        <v>1</v>
      </c>
    </row>
    <row r="278" spans="1:11">
      <c r="A278" s="5">
        <v>107</v>
      </c>
      <c r="B278" s="6">
        <v>44686</v>
      </c>
      <c r="C278" s="7">
        <v>0.55000000000000004</v>
      </c>
      <c r="D278" s="5">
        <v>10.55</v>
      </c>
      <c r="E278" s="5">
        <v>415.4</v>
      </c>
      <c r="F278" s="5">
        <v>425.4</v>
      </c>
      <c r="G278" s="6">
        <v>44686</v>
      </c>
      <c r="H278" s="5"/>
      <c r="I278" s="5"/>
      <c r="J278" s="5">
        <f t="shared" si="36"/>
        <v>10</v>
      </c>
      <c r="K278" s="8" t="b">
        <f t="shared" si="35"/>
        <v>1</v>
      </c>
    </row>
    <row r="279" spans="1:11">
      <c r="A279" s="5">
        <v>107</v>
      </c>
      <c r="B279" s="6">
        <v>44688</v>
      </c>
      <c r="C279" s="7">
        <v>0.55000000000000004</v>
      </c>
      <c r="D279" s="5">
        <v>10.55</v>
      </c>
      <c r="E279" s="5">
        <v>425.4</v>
      </c>
      <c r="F279" s="5">
        <v>436.5</v>
      </c>
      <c r="G279" s="6">
        <v>44688</v>
      </c>
      <c r="H279" s="5"/>
      <c r="I279" s="5"/>
      <c r="J279" s="5">
        <f t="shared" si="36"/>
        <v>11.100000000000023</v>
      </c>
      <c r="K279" s="8" t="b">
        <f t="shared" si="35"/>
        <v>1</v>
      </c>
    </row>
    <row r="280" spans="1:11">
      <c r="A280" s="5">
        <v>107</v>
      </c>
      <c r="B280" s="6">
        <v>44690</v>
      </c>
      <c r="C280" s="7">
        <v>0.55000000000000004</v>
      </c>
      <c r="D280" s="5">
        <v>10.55</v>
      </c>
      <c r="E280" s="5">
        <v>436.5</v>
      </c>
      <c r="F280" s="5">
        <v>446.4</v>
      </c>
      <c r="G280" s="6">
        <v>44690</v>
      </c>
      <c r="H280" s="5"/>
      <c r="I280" s="5"/>
      <c r="J280" s="5">
        <f t="shared" si="36"/>
        <v>9.8999999999999773</v>
      </c>
      <c r="K280" s="8" t="b">
        <f t="shared" si="35"/>
        <v>1</v>
      </c>
    </row>
    <row r="281" spans="1:11">
      <c r="A281" s="5">
        <v>107</v>
      </c>
      <c r="B281" s="6">
        <v>44692</v>
      </c>
      <c r="C281" s="7">
        <v>0.55000000000000004</v>
      </c>
      <c r="D281" s="5">
        <v>10.55</v>
      </c>
      <c r="E281" s="5">
        <v>446.4</v>
      </c>
      <c r="F281" s="5">
        <v>458.8</v>
      </c>
      <c r="G281" s="6">
        <v>44692</v>
      </c>
      <c r="H281" s="5"/>
      <c r="I281" s="5"/>
      <c r="J281" s="5">
        <f t="shared" si="36"/>
        <v>12.400000000000034</v>
      </c>
      <c r="K281" s="8" t="b">
        <f t="shared" si="35"/>
        <v>1</v>
      </c>
    </row>
    <row r="282" spans="1:11">
      <c r="A282" s="5">
        <v>107</v>
      </c>
      <c r="B282" s="6">
        <v>44693</v>
      </c>
      <c r="C282" s="7">
        <v>0.55000000000000004</v>
      </c>
      <c r="D282" s="5">
        <v>10.55</v>
      </c>
      <c r="E282" s="5">
        <v>458.5</v>
      </c>
      <c r="F282" s="5">
        <v>468.7</v>
      </c>
      <c r="G282" s="6">
        <v>44693</v>
      </c>
      <c r="H282" s="5"/>
      <c r="I282" s="5"/>
      <c r="J282" s="5">
        <f t="shared" si="36"/>
        <v>10.199999999999989</v>
      </c>
      <c r="K282" s="8" t="b">
        <f t="shared" si="35"/>
        <v>0</v>
      </c>
    </row>
    <row r="283" spans="1:11">
      <c r="A283" s="5">
        <v>107</v>
      </c>
      <c r="B283" s="6">
        <v>44695</v>
      </c>
      <c r="C283" s="7">
        <v>0.7</v>
      </c>
      <c r="D283" s="5">
        <v>8.2899999999999991</v>
      </c>
      <c r="E283" s="5">
        <v>468.7</v>
      </c>
      <c r="F283" s="5">
        <v>486.9</v>
      </c>
      <c r="G283" s="6">
        <v>44695</v>
      </c>
      <c r="H283" s="5"/>
      <c r="I283" s="5"/>
      <c r="J283" s="5">
        <f t="shared" si="36"/>
        <v>18.199999999999989</v>
      </c>
      <c r="K283" s="8" t="b">
        <f t="shared" si="35"/>
        <v>1</v>
      </c>
    </row>
    <row r="284" spans="1:11">
      <c r="A284" s="5">
        <v>107</v>
      </c>
      <c r="B284" s="6">
        <v>44697</v>
      </c>
      <c r="C284" s="7">
        <v>0.7</v>
      </c>
      <c r="D284" s="5">
        <v>8.2899999999999991</v>
      </c>
      <c r="E284" s="5">
        <v>486.9</v>
      </c>
      <c r="F284" s="5">
        <v>502.9</v>
      </c>
      <c r="G284" s="6">
        <v>44697</v>
      </c>
      <c r="H284" s="5"/>
      <c r="I284" s="5"/>
      <c r="J284" s="5">
        <f t="shared" si="36"/>
        <v>16</v>
      </c>
      <c r="K284" s="8" t="b">
        <f t="shared" si="35"/>
        <v>1</v>
      </c>
    </row>
    <row r="285" spans="1:11">
      <c r="A285" s="5">
        <v>107</v>
      </c>
      <c r="B285" s="6">
        <v>44699</v>
      </c>
      <c r="C285" s="7">
        <v>0.7</v>
      </c>
      <c r="D285" s="5">
        <v>8.2899999999999991</v>
      </c>
      <c r="E285" s="5">
        <v>502.9</v>
      </c>
      <c r="F285" s="5">
        <v>519.4</v>
      </c>
      <c r="G285" s="6">
        <v>44699</v>
      </c>
      <c r="H285" s="5"/>
      <c r="I285" s="5"/>
      <c r="J285" s="5">
        <f t="shared" si="36"/>
        <v>16.5</v>
      </c>
      <c r="K285" s="8" t="b">
        <f t="shared" si="35"/>
        <v>1</v>
      </c>
    </row>
    <row r="286" spans="1:11">
      <c r="A286" s="5">
        <v>107</v>
      </c>
      <c r="B286" s="6">
        <v>44702</v>
      </c>
      <c r="C286" s="7">
        <v>0.7</v>
      </c>
      <c r="D286" s="5">
        <v>8.2899999999999991</v>
      </c>
      <c r="E286" s="5">
        <v>519.4</v>
      </c>
      <c r="F286" s="5">
        <v>536</v>
      </c>
      <c r="G286" s="6">
        <v>44702</v>
      </c>
      <c r="H286" s="5"/>
      <c r="I286" s="5"/>
      <c r="J286" s="5">
        <f t="shared" si="36"/>
        <v>16.600000000000023</v>
      </c>
      <c r="K286" s="8" t="b">
        <f t="shared" si="35"/>
        <v>1</v>
      </c>
    </row>
    <row r="287" spans="1:11">
      <c r="A287" s="5">
        <v>107</v>
      </c>
      <c r="B287" s="6">
        <v>44705</v>
      </c>
      <c r="C287" s="7">
        <v>1</v>
      </c>
      <c r="D287" s="5">
        <v>5.8</v>
      </c>
      <c r="E287" s="5">
        <v>536</v>
      </c>
      <c r="F287" s="5">
        <v>547.70000000000005</v>
      </c>
      <c r="G287" s="6">
        <v>44705</v>
      </c>
      <c r="H287" s="5"/>
      <c r="I287" s="5"/>
      <c r="J287" s="5">
        <f t="shared" si="36"/>
        <v>11.700000000000045</v>
      </c>
      <c r="K287" s="8" t="b">
        <f t="shared" si="35"/>
        <v>1</v>
      </c>
    </row>
    <row r="288" spans="1:11">
      <c r="A288" s="5">
        <v>107</v>
      </c>
      <c r="B288" s="6">
        <v>44706</v>
      </c>
      <c r="C288" s="7">
        <v>0.7</v>
      </c>
      <c r="D288" s="5">
        <v>8.2899999999999991</v>
      </c>
      <c r="E288" s="5">
        <v>547.70000000000005</v>
      </c>
      <c r="F288" s="5">
        <v>564.5</v>
      </c>
      <c r="G288" s="6">
        <v>44706</v>
      </c>
      <c r="H288" s="5"/>
      <c r="I288" s="5"/>
      <c r="J288" s="5">
        <f t="shared" si="36"/>
        <v>16.799999999999955</v>
      </c>
      <c r="K288" s="8" t="b">
        <f t="shared" si="35"/>
        <v>1</v>
      </c>
    </row>
    <row r="289" spans="1:11">
      <c r="A289" s="5">
        <v>107</v>
      </c>
      <c r="B289" s="6">
        <v>44708</v>
      </c>
      <c r="C289" s="7">
        <v>0.7</v>
      </c>
      <c r="D289" s="5">
        <v>8.2899999999999991</v>
      </c>
      <c r="E289" s="5">
        <v>564.5</v>
      </c>
      <c r="F289" s="5">
        <v>581.1</v>
      </c>
      <c r="G289" s="6">
        <v>44708</v>
      </c>
      <c r="H289" s="5"/>
      <c r="I289" s="5"/>
      <c r="J289" s="5">
        <f t="shared" si="36"/>
        <v>16.600000000000023</v>
      </c>
      <c r="K289" s="8" t="b">
        <f t="shared" si="35"/>
        <v>1</v>
      </c>
    </row>
    <row r="290" spans="1:11">
      <c r="A290" s="5">
        <v>107</v>
      </c>
      <c r="B290" s="6">
        <v>44710</v>
      </c>
      <c r="C290" s="7">
        <v>0.7</v>
      </c>
      <c r="D290" s="5">
        <v>8.2899999999999991</v>
      </c>
      <c r="E290" s="5">
        <v>581.1</v>
      </c>
      <c r="F290" s="5">
        <v>597.6</v>
      </c>
      <c r="G290" s="6">
        <v>44710</v>
      </c>
      <c r="H290" s="5"/>
      <c r="I290" s="5"/>
      <c r="J290" s="5">
        <f t="shared" si="36"/>
        <v>16.5</v>
      </c>
      <c r="K290" s="8" t="b">
        <f t="shared" si="35"/>
        <v>1</v>
      </c>
    </row>
    <row r="291" spans="1:11">
      <c r="A291" s="5">
        <v>107</v>
      </c>
      <c r="B291" s="6">
        <v>44712</v>
      </c>
      <c r="C291" s="7">
        <v>0.7</v>
      </c>
      <c r="D291" s="5">
        <v>8.2899999999999991</v>
      </c>
      <c r="E291" s="5">
        <v>597.6</v>
      </c>
      <c r="F291" s="5">
        <v>614.1</v>
      </c>
      <c r="G291" s="6">
        <v>44712</v>
      </c>
      <c r="H291" s="5"/>
      <c r="I291" s="5"/>
      <c r="J291" s="5">
        <f t="shared" si="36"/>
        <v>16.5</v>
      </c>
      <c r="K291" s="8" t="b">
        <f t="shared" si="35"/>
        <v>1</v>
      </c>
    </row>
    <row r="292" spans="1:11">
      <c r="A292" s="5">
        <v>107</v>
      </c>
      <c r="B292" s="6">
        <v>44714</v>
      </c>
      <c r="C292" s="7">
        <v>0.7</v>
      </c>
      <c r="D292" s="5">
        <v>8.2899999999999991</v>
      </c>
      <c r="E292" s="5">
        <v>614.1</v>
      </c>
      <c r="F292" s="5">
        <v>630.70000000000005</v>
      </c>
      <c r="G292" s="6">
        <v>44714</v>
      </c>
      <c r="H292" s="5"/>
      <c r="I292" s="5"/>
      <c r="J292" s="5">
        <f t="shared" si="36"/>
        <v>16.600000000000023</v>
      </c>
      <c r="K292" s="8" t="b">
        <f t="shared" si="35"/>
        <v>1</v>
      </c>
    </row>
    <row r="293" spans="1:11">
      <c r="A293" s="5">
        <v>107</v>
      </c>
      <c r="B293" s="6">
        <v>44716</v>
      </c>
      <c r="C293" s="7">
        <v>0.7</v>
      </c>
      <c r="D293" s="5">
        <v>8.2899999999999991</v>
      </c>
      <c r="E293" s="5">
        <v>630.70000000000005</v>
      </c>
      <c r="F293" s="5">
        <v>647.29999999999995</v>
      </c>
      <c r="G293" s="6">
        <v>44716</v>
      </c>
      <c r="H293" s="5"/>
      <c r="I293" s="5"/>
      <c r="J293" s="5">
        <f t="shared" si="36"/>
        <v>16.599999999999909</v>
      </c>
      <c r="K293" s="8" t="b">
        <f t="shared" si="35"/>
        <v>1</v>
      </c>
    </row>
    <row r="294" spans="1:11">
      <c r="A294" s="5">
        <v>107</v>
      </c>
      <c r="B294" s="6">
        <v>44718</v>
      </c>
      <c r="C294" s="7">
        <v>0.7</v>
      </c>
      <c r="D294" s="5">
        <v>8.2899999999999991</v>
      </c>
      <c r="E294" s="5">
        <v>647.29999999999995</v>
      </c>
      <c r="F294" s="5">
        <v>664</v>
      </c>
      <c r="G294" s="6">
        <v>44718</v>
      </c>
      <c r="H294" s="5"/>
      <c r="I294" s="5"/>
      <c r="J294" s="5">
        <f t="shared" si="36"/>
        <v>16.700000000000045</v>
      </c>
      <c r="K294" s="8" t="b">
        <f t="shared" si="35"/>
        <v>1</v>
      </c>
    </row>
    <row r="295" spans="1:11">
      <c r="A295" s="5">
        <v>107</v>
      </c>
      <c r="B295" s="6">
        <v>44720</v>
      </c>
      <c r="C295" s="7">
        <v>0.7</v>
      </c>
      <c r="D295" s="5">
        <v>8.2899999999999991</v>
      </c>
      <c r="E295" s="5">
        <v>664</v>
      </c>
      <c r="F295" s="5">
        <v>683.1</v>
      </c>
      <c r="G295" s="6">
        <v>44720</v>
      </c>
      <c r="H295" s="5"/>
      <c r="I295" s="5"/>
      <c r="J295" s="5">
        <f t="shared" si="36"/>
        <v>19.100000000000023</v>
      </c>
      <c r="K295" s="8" t="b">
        <f t="shared" si="35"/>
        <v>1</v>
      </c>
    </row>
    <row r="296" spans="1:11">
      <c r="A296" s="5">
        <v>107</v>
      </c>
      <c r="B296" s="6">
        <v>44723</v>
      </c>
      <c r="C296" s="7">
        <v>0.6</v>
      </c>
      <c r="D296" s="5">
        <v>9.67</v>
      </c>
      <c r="E296" s="5">
        <v>683.1</v>
      </c>
      <c r="F296" s="5">
        <v>702.4</v>
      </c>
      <c r="G296" s="6">
        <v>44723</v>
      </c>
      <c r="H296" s="5"/>
      <c r="I296" s="5"/>
      <c r="J296" s="5">
        <f t="shared" si="36"/>
        <v>19.299999999999955</v>
      </c>
      <c r="K296" s="8" t="b">
        <f t="shared" si="35"/>
        <v>1</v>
      </c>
    </row>
    <row r="297" spans="1:11">
      <c r="A297" s="5">
        <v>107</v>
      </c>
      <c r="B297" s="6">
        <v>44726</v>
      </c>
      <c r="C297" s="7">
        <v>0.6</v>
      </c>
      <c r="D297" s="5">
        <v>9.67</v>
      </c>
      <c r="E297" s="5">
        <v>702.4</v>
      </c>
      <c r="F297" s="5">
        <v>721.6</v>
      </c>
      <c r="G297" s="6">
        <v>44726</v>
      </c>
      <c r="H297" s="5"/>
      <c r="I297" s="5"/>
      <c r="J297" s="5">
        <f t="shared" si="36"/>
        <v>19.200000000000045</v>
      </c>
      <c r="K297" s="8" t="b">
        <f t="shared" si="35"/>
        <v>1</v>
      </c>
    </row>
    <row r="298" spans="1:11">
      <c r="A298" s="5">
        <v>107</v>
      </c>
      <c r="B298" s="6">
        <v>44729</v>
      </c>
      <c r="C298" s="7">
        <v>0.6</v>
      </c>
      <c r="D298" s="5">
        <v>9.67</v>
      </c>
      <c r="E298" s="5">
        <v>721.6</v>
      </c>
      <c r="F298" s="5">
        <v>740.9</v>
      </c>
      <c r="G298" s="6">
        <v>44729</v>
      </c>
      <c r="H298" s="5"/>
      <c r="I298" s="5"/>
      <c r="J298" s="5">
        <f t="shared" si="36"/>
        <v>19.299999999999955</v>
      </c>
      <c r="K298" s="8" t="b">
        <f t="shared" si="35"/>
        <v>1</v>
      </c>
    </row>
    <row r="299" spans="1:11">
      <c r="A299" s="5">
        <v>107</v>
      </c>
      <c r="B299" s="6">
        <v>44733</v>
      </c>
      <c r="C299" s="7">
        <v>0.6</v>
      </c>
      <c r="D299" s="5">
        <v>9.67</v>
      </c>
      <c r="E299" s="5">
        <v>740.9</v>
      </c>
      <c r="F299" s="5">
        <v>760</v>
      </c>
      <c r="G299" s="6">
        <v>44733</v>
      </c>
      <c r="H299" s="5"/>
      <c r="I299" s="5"/>
      <c r="J299" s="5">
        <f t="shared" si="36"/>
        <v>19.100000000000023</v>
      </c>
      <c r="K299" s="8" t="b">
        <f t="shared" si="35"/>
        <v>1</v>
      </c>
    </row>
    <row r="300" spans="1:11">
      <c r="A300" s="5">
        <v>107</v>
      </c>
      <c r="B300" s="6">
        <v>44738</v>
      </c>
      <c r="C300" s="7">
        <v>0.6</v>
      </c>
      <c r="D300" s="5">
        <v>9.67</v>
      </c>
      <c r="E300" s="5">
        <v>760</v>
      </c>
      <c r="F300" s="5">
        <v>779.5</v>
      </c>
      <c r="G300" s="6">
        <v>44738</v>
      </c>
      <c r="H300" s="5"/>
      <c r="I300" s="5"/>
      <c r="J300" s="5">
        <f t="shared" si="36"/>
        <v>19.5</v>
      </c>
      <c r="K300" s="8" t="b">
        <f>E300=F299</f>
        <v>1</v>
      </c>
    </row>
    <row r="301" spans="1:11">
      <c r="A301" s="5">
        <v>107</v>
      </c>
      <c r="B301" s="6"/>
      <c r="C301" s="7"/>
      <c r="D301" s="5"/>
      <c r="E301" s="5"/>
      <c r="F301" s="5"/>
      <c r="G301" s="6"/>
      <c r="H301" s="5"/>
      <c r="I301" s="5"/>
      <c r="J301" s="5">
        <f t="shared" si="36"/>
        <v>0</v>
      </c>
      <c r="K301" s="8" t="b">
        <f t="shared" si="35"/>
        <v>0</v>
      </c>
    </row>
    <row r="302" spans="1:11">
      <c r="A302" s="5">
        <v>107</v>
      </c>
      <c r="B302" s="6"/>
      <c r="C302" s="7"/>
      <c r="D302" s="5"/>
      <c r="E302" s="5"/>
      <c r="F302" s="5"/>
      <c r="G302" s="6"/>
      <c r="H302" s="5"/>
      <c r="I302" s="5"/>
      <c r="J302" s="5">
        <f t="shared" si="36"/>
        <v>0</v>
      </c>
      <c r="K302" s="8" t="b">
        <f t="shared" si="35"/>
        <v>1</v>
      </c>
    </row>
    <row r="305" spans="1:11" ht="26.25">
      <c r="A305" s="138" t="s">
        <v>92</v>
      </c>
      <c r="B305" s="159"/>
      <c r="C305" s="159"/>
      <c r="D305" s="159"/>
      <c r="E305" s="159"/>
      <c r="F305" s="159"/>
      <c r="G305" s="159"/>
      <c r="H305" s="159"/>
      <c r="I305" s="159"/>
      <c r="J305" s="159"/>
      <c r="K305" s="160"/>
    </row>
    <row r="306" spans="1:11" ht="26.25">
      <c r="A306" s="138" t="s">
        <v>69</v>
      </c>
      <c r="B306" s="159"/>
      <c r="C306" s="159"/>
      <c r="D306" s="159"/>
      <c r="E306" s="159"/>
      <c r="F306" s="159"/>
      <c r="G306" s="159"/>
      <c r="H306" s="159"/>
      <c r="I306" s="159"/>
      <c r="J306" s="159"/>
      <c r="K306" s="160"/>
    </row>
    <row r="307" spans="1:11" ht="15.75" thickBot="1"/>
    <row r="308" spans="1:11" ht="15.75" thickBot="1">
      <c r="A308" s="132" t="s">
        <v>2</v>
      </c>
      <c r="B308" s="133"/>
      <c r="C308" s="133"/>
      <c r="D308" s="133"/>
      <c r="E308" s="133"/>
      <c r="F308" s="133"/>
      <c r="G308" s="133"/>
      <c r="H308" s="133"/>
      <c r="I308" s="133"/>
      <c r="J308" s="133"/>
      <c r="K308" s="134"/>
    </row>
    <row r="310" spans="1:11" ht="19.5" thickBot="1">
      <c r="A310" s="1" t="s">
        <v>3</v>
      </c>
      <c r="B310" s="1"/>
      <c r="C310" s="1"/>
      <c r="D310" s="1"/>
      <c r="E310" s="1"/>
      <c r="F310" s="1"/>
      <c r="G310" s="1"/>
      <c r="H310" s="1"/>
      <c r="I310" s="1"/>
    </row>
    <row r="311" spans="1:11" ht="30.75" thickBot="1">
      <c r="A311" s="2" t="s">
        <v>4</v>
      </c>
      <c r="B311" s="3" t="s">
        <v>5</v>
      </c>
      <c r="C311" s="3" t="s">
        <v>6</v>
      </c>
      <c r="D311" s="3" t="s">
        <v>7</v>
      </c>
      <c r="E311" s="3" t="s">
        <v>8</v>
      </c>
      <c r="F311" s="3" t="s">
        <v>9</v>
      </c>
      <c r="G311" s="3" t="s">
        <v>10</v>
      </c>
      <c r="H311" s="3" t="s">
        <v>21</v>
      </c>
      <c r="I311" s="4" t="s">
        <v>22</v>
      </c>
      <c r="J311" s="4" t="s">
        <v>11</v>
      </c>
      <c r="K311" s="4" t="s">
        <v>12</v>
      </c>
    </row>
    <row r="312" spans="1:11">
      <c r="A312" s="5">
        <v>107</v>
      </c>
      <c r="B312" s="6">
        <v>44826</v>
      </c>
      <c r="C312" s="7">
        <v>0.5</v>
      </c>
      <c r="D312" s="5">
        <v>11.6</v>
      </c>
      <c r="E312" s="5">
        <v>779.5</v>
      </c>
      <c r="F312" s="5">
        <v>802.7</v>
      </c>
      <c r="G312" s="6">
        <v>44826</v>
      </c>
      <c r="H312" s="5"/>
      <c r="I312" s="5"/>
      <c r="J312" s="5">
        <f>F312-E312</f>
        <v>23.200000000000045</v>
      </c>
      <c r="K312" s="8" t="b">
        <f>E312=F300</f>
        <v>1</v>
      </c>
    </row>
    <row r="313" spans="1:11">
      <c r="A313" s="5">
        <v>107</v>
      </c>
      <c r="B313" s="6">
        <v>44827</v>
      </c>
      <c r="C313" s="7">
        <v>0.5</v>
      </c>
      <c r="D313" s="5">
        <v>11.6</v>
      </c>
      <c r="E313" s="5">
        <v>802.7</v>
      </c>
      <c r="F313" s="5">
        <v>826</v>
      </c>
      <c r="G313" s="6">
        <v>44827</v>
      </c>
      <c r="H313" s="5"/>
      <c r="I313" s="5"/>
      <c r="J313" s="5">
        <f>F313-E313</f>
        <v>23.299999999999955</v>
      </c>
      <c r="K313" s="8" t="b">
        <f>E313=F312</f>
        <v>1</v>
      </c>
    </row>
    <row r="314" spans="1:11">
      <c r="A314" s="5">
        <v>107</v>
      </c>
      <c r="B314" s="6">
        <v>44828</v>
      </c>
      <c r="C314" s="7">
        <v>0.5</v>
      </c>
      <c r="D314" s="5">
        <v>11.6</v>
      </c>
      <c r="E314" s="5">
        <v>826</v>
      </c>
      <c r="F314" s="5">
        <v>840.2</v>
      </c>
      <c r="G314" s="6">
        <v>44828</v>
      </c>
      <c r="H314" s="5"/>
      <c r="I314" s="5"/>
      <c r="J314" s="5">
        <f>F314-E314</f>
        <v>14.200000000000045</v>
      </c>
      <c r="K314" s="8" t="b">
        <f>E314=F313</f>
        <v>1</v>
      </c>
    </row>
    <row r="315" spans="1:11">
      <c r="A315" s="5">
        <v>107</v>
      </c>
      <c r="B315" s="6">
        <v>44846</v>
      </c>
      <c r="C315" s="7">
        <v>0.5</v>
      </c>
      <c r="D315" s="5">
        <v>11.6</v>
      </c>
      <c r="E315" s="5">
        <v>840.2</v>
      </c>
      <c r="F315" s="5">
        <v>863.8</v>
      </c>
      <c r="G315" s="6">
        <v>44846</v>
      </c>
      <c r="H315" s="5"/>
      <c r="I315" s="5"/>
      <c r="J315" s="5">
        <f>F315-E315</f>
        <v>23.599999999999909</v>
      </c>
      <c r="K315" s="8" t="b">
        <f>E315=F314</f>
        <v>1</v>
      </c>
    </row>
    <row r="316" spans="1:11">
      <c r="A316" s="5">
        <v>107</v>
      </c>
      <c r="B316" s="6">
        <v>44847</v>
      </c>
      <c r="C316" s="7">
        <v>1</v>
      </c>
      <c r="D316" s="5">
        <v>5.8</v>
      </c>
      <c r="E316" s="5">
        <v>863.8</v>
      </c>
      <c r="F316" s="5">
        <v>875.5</v>
      </c>
      <c r="G316" s="6">
        <v>44847</v>
      </c>
      <c r="H316" s="5"/>
      <c r="I316" s="5"/>
      <c r="J316" s="5">
        <f>F316-E316</f>
        <v>11.700000000000045</v>
      </c>
      <c r="K316" s="8" t="b">
        <f>E316=F315</f>
        <v>1</v>
      </c>
    </row>
    <row r="317" spans="1:11">
      <c r="A317" s="5">
        <v>107</v>
      </c>
      <c r="B317" s="6">
        <v>44848</v>
      </c>
      <c r="C317" s="7">
        <v>1</v>
      </c>
      <c r="D317" s="5">
        <v>5.8</v>
      </c>
      <c r="E317" s="5">
        <v>875.5</v>
      </c>
      <c r="F317" s="5">
        <v>887.3</v>
      </c>
      <c r="G317" s="6">
        <v>44848</v>
      </c>
      <c r="H317" s="5"/>
      <c r="I317" s="5"/>
      <c r="J317" s="5">
        <f t="shared" ref="J317:J328" si="37">F317-E317</f>
        <v>11.799999999999955</v>
      </c>
      <c r="K317" s="8" t="b">
        <f t="shared" ref="K317:K328" si="38">E317=F316</f>
        <v>1</v>
      </c>
    </row>
    <row r="318" spans="1:11">
      <c r="A318" s="5">
        <v>107</v>
      </c>
      <c r="B318" s="6">
        <v>44849</v>
      </c>
      <c r="C318" s="7">
        <v>1</v>
      </c>
      <c r="D318" s="5">
        <v>5.8</v>
      </c>
      <c r="E318" s="5">
        <v>887.3</v>
      </c>
      <c r="F318" s="5">
        <v>899</v>
      </c>
      <c r="G318" s="6">
        <v>44849</v>
      </c>
      <c r="H318" s="5"/>
      <c r="I318" s="5"/>
      <c r="J318" s="5">
        <f t="shared" si="37"/>
        <v>11.700000000000045</v>
      </c>
      <c r="K318" s="8" t="b">
        <f t="shared" si="38"/>
        <v>1</v>
      </c>
    </row>
    <row r="319" spans="1:11">
      <c r="A319" s="5">
        <v>107</v>
      </c>
      <c r="B319" s="6">
        <v>44850</v>
      </c>
      <c r="C319" s="7">
        <v>1</v>
      </c>
      <c r="D319" s="5">
        <v>5.8</v>
      </c>
      <c r="E319" s="5">
        <v>899</v>
      </c>
      <c r="F319" s="5">
        <v>910.7</v>
      </c>
      <c r="G319" s="6">
        <v>44850</v>
      </c>
      <c r="H319" s="5"/>
      <c r="I319" s="5"/>
      <c r="J319" s="5">
        <f t="shared" si="37"/>
        <v>11.700000000000045</v>
      </c>
      <c r="K319" s="8" t="b">
        <f t="shared" si="38"/>
        <v>1</v>
      </c>
    </row>
    <row r="320" spans="1:11">
      <c r="A320" s="5">
        <v>107</v>
      </c>
      <c r="B320" s="6">
        <v>44851</v>
      </c>
      <c r="C320" s="7">
        <v>1</v>
      </c>
      <c r="D320" s="5">
        <v>5.8</v>
      </c>
      <c r="E320" s="5">
        <v>910.7</v>
      </c>
      <c r="F320" s="5">
        <v>923.2</v>
      </c>
      <c r="G320" s="6">
        <v>44851</v>
      </c>
      <c r="H320" s="5"/>
      <c r="I320" s="5"/>
      <c r="J320" s="5">
        <f t="shared" si="37"/>
        <v>12.5</v>
      </c>
      <c r="K320" s="8" t="b">
        <f t="shared" si="38"/>
        <v>1</v>
      </c>
    </row>
    <row r="321" spans="1:11">
      <c r="A321" s="5">
        <v>107</v>
      </c>
      <c r="B321" s="6">
        <v>44852</v>
      </c>
      <c r="C321" s="7">
        <v>1</v>
      </c>
      <c r="D321" s="5">
        <v>5.8</v>
      </c>
      <c r="E321" s="5">
        <v>923.2</v>
      </c>
      <c r="F321" s="5">
        <v>935.2</v>
      </c>
      <c r="G321" s="6">
        <v>44852</v>
      </c>
      <c r="H321" s="5"/>
      <c r="I321" s="5"/>
      <c r="J321" s="5">
        <f t="shared" si="37"/>
        <v>12</v>
      </c>
      <c r="K321" s="8" t="b">
        <f t="shared" si="38"/>
        <v>1</v>
      </c>
    </row>
    <row r="322" spans="1:11">
      <c r="A322" s="5">
        <v>107</v>
      </c>
      <c r="B322" s="6">
        <v>44853</v>
      </c>
      <c r="C322" s="7">
        <v>1</v>
      </c>
      <c r="D322" s="5">
        <v>5.8</v>
      </c>
      <c r="E322" s="5">
        <v>935.2</v>
      </c>
      <c r="F322" s="5">
        <v>947.2</v>
      </c>
      <c r="G322" s="6">
        <v>44853</v>
      </c>
      <c r="H322" s="5"/>
      <c r="I322" s="5"/>
      <c r="J322" s="5">
        <f t="shared" si="37"/>
        <v>12</v>
      </c>
      <c r="K322" s="8" t="b">
        <f t="shared" si="38"/>
        <v>1</v>
      </c>
    </row>
    <row r="323" spans="1:11">
      <c r="A323" s="5">
        <v>107</v>
      </c>
      <c r="B323" s="6">
        <v>44854</v>
      </c>
      <c r="C323" s="7">
        <v>1</v>
      </c>
      <c r="D323" s="5">
        <v>5.8</v>
      </c>
      <c r="E323" s="5">
        <v>947.2</v>
      </c>
      <c r="F323" s="5">
        <v>959.2</v>
      </c>
      <c r="G323" s="6">
        <v>44854</v>
      </c>
      <c r="H323" s="5"/>
      <c r="I323" s="5"/>
      <c r="J323" s="5">
        <f t="shared" si="37"/>
        <v>12</v>
      </c>
      <c r="K323" s="8" t="b">
        <f t="shared" si="38"/>
        <v>1</v>
      </c>
    </row>
    <row r="324" spans="1:11">
      <c r="A324" s="5">
        <v>107</v>
      </c>
      <c r="B324" s="6">
        <v>44855</v>
      </c>
      <c r="C324" s="7">
        <v>1</v>
      </c>
      <c r="D324" s="5">
        <v>5.8</v>
      </c>
      <c r="E324" s="5">
        <v>959.2</v>
      </c>
      <c r="F324" s="5">
        <v>971.2</v>
      </c>
      <c r="G324" s="6">
        <v>44855</v>
      </c>
      <c r="H324" s="5"/>
      <c r="I324" s="5"/>
      <c r="J324" s="5">
        <f t="shared" si="37"/>
        <v>12</v>
      </c>
      <c r="K324" s="8" t="b">
        <f t="shared" si="38"/>
        <v>1</v>
      </c>
    </row>
    <row r="325" spans="1:11">
      <c r="A325" s="5">
        <v>107</v>
      </c>
      <c r="B325" s="6">
        <v>44856</v>
      </c>
      <c r="C325" s="7">
        <v>1</v>
      </c>
      <c r="D325" s="5">
        <v>5.8</v>
      </c>
      <c r="E325" s="5">
        <v>971.2</v>
      </c>
      <c r="F325" s="5">
        <v>983.2</v>
      </c>
      <c r="G325" s="6">
        <v>44856</v>
      </c>
      <c r="H325" s="5"/>
      <c r="I325" s="5"/>
      <c r="J325" s="5">
        <f t="shared" si="37"/>
        <v>12</v>
      </c>
      <c r="K325" s="8" t="b">
        <f t="shared" si="38"/>
        <v>1</v>
      </c>
    </row>
    <row r="326" spans="1:11">
      <c r="A326" s="5">
        <v>107</v>
      </c>
      <c r="B326" s="6">
        <v>44858</v>
      </c>
      <c r="C326" s="7">
        <v>0.7</v>
      </c>
      <c r="D326" s="5">
        <v>8.2899999999999991</v>
      </c>
      <c r="E326" s="5">
        <v>983.2</v>
      </c>
      <c r="F326" s="5">
        <v>1000.2</v>
      </c>
      <c r="G326" s="6">
        <v>44858</v>
      </c>
      <c r="H326" s="5"/>
      <c r="I326" s="5"/>
      <c r="J326" s="5">
        <f t="shared" si="37"/>
        <v>17</v>
      </c>
      <c r="K326" s="8" t="b">
        <f t="shared" si="38"/>
        <v>1</v>
      </c>
    </row>
    <row r="327" spans="1:11">
      <c r="A327" s="5">
        <v>107</v>
      </c>
      <c r="B327" s="6">
        <v>44860</v>
      </c>
      <c r="C327" s="7">
        <v>0.7</v>
      </c>
      <c r="D327" s="5">
        <v>8.2899999999999991</v>
      </c>
      <c r="E327" s="5">
        <v>1000.2</v>
      </c>
      <c r="F327" s="5">
        <v>1017.2</v>
      </c>
      <c r="G327" s="6">
        <v>44860</v>
      </c>
      <c r="H327" s="5"/>
      <c r="I327" s="5"/>
      <c r="J327" s="5">
        <f t="shared" si="37"/>
        <v>17</v>
      </c>
      <c r="K327" s="8" t="b">
        <f t="shared" si="38"/>
        <v>1</v>
      </c>
    </row>
    <row r="328" spans="1:11">
      <c r="A328" s="5">
        <v>107</v>
      </c>
      <c r="B328" s="6">
        <v>44862</v>
      </c>
      <c r="C328" s="7">
        <v>0.7</v>
      </c>
      <c r="D328" s="5">
        <v>8.2899999999999991</v>
      </c>
      <c r="E328" s="5">
        <v>1017.2</v>
      </c>
      <c r="F328" s="5">
        <v>1025.7</v>
      </c>
      <c r="G328" s="6">
        <v>44862</v>
      </c>
      <c r="H328" s="5"/>
      <c r="I328" s="5"/>
      <c r="J328" s="5">
        <f t="shared" si="37"/>
        <v>8.5</v>
      </c>
      <c r="K328" s="8" t="b">
        <f t="shared" si="38"/>
        <v>1</v>
      </c>
    </row>
    <row r="329" spans="1:11">
      <c r="A329" s="5">
        <v>107</v>
      </c>
      <c r="B329" s="6">
        <v>44863</v>
      </c>
      <c r="C329" s="7">
        <v>1</v>
      </c>
      <c r="D329" s="5">
        <v>5.8</v>
      </c>
      <c r="E329" s="5">
        <v>1025.7</v>
      </c>
      <c r="F329" s="5">
        <v>1038</v>
      </c>
      <c r="G329" s="6">
        <v>44863</v>
      </c>
      <c r="H329" s="5"/>
      <c r="I329" s="5"/>
      <c r="J329" s="5">
        <f t="shared" ref="J329:J334" si="39">F329-E329</f>
        <v>12.299999999999955</v>
      </c>
      <c r="K329" s="8" t="b">
        <f t="shared" ref="K329:K334" si="40">E329=F328</f>
        <v>1</v>
      </c>
    </row>
    <row r="330" spans="1:11">
      <c r="A330" s="5">
        <v>107</v>
      </c>
      <c r="B330" s="6">
        <v>44864</v>
      </c>
      <c r="C330" s="7">
        <v>0.7</v>
      </c>
      <c r="D330" s="5">
        <v>8.2899999999999991</v>
      </c>
      <c r="E330" s="5">
        <v>1038</v>
      </c>
      <c r="F330" s="5">
        <v>1056</v>
      </c>
      <c r="G330" s="6">
        <v>44864</v>
      </c>
      <c r="H330" s="5"/>
      <c r="I330" s="5"/>
      <c r="J330" s="5">
        <f t="shared" si="39"/>
        <v>18</v>
      </c>
      <c r="K330" s="8" t="b">
        <f t="shared" si="40"/>
        <v>1</v>
      </c>
    </row>
    <row r="331" spans="1:11">
      <c r="A331" s="42">
        <v>107</v>
      </c>
      <c r="B331" s="43">
        <v>44869</v>
      </c>
      <c r="C331" s="44">
        <v>1</v>
      </c>
      <c r="D331" s="42">
        <v>5.8</v>
      </c>
      <c r="E331" s="42">
        <v>1056</v>
      </c>
      <c r="F331" s="42">
        <v>1068</v>
      </c>
      <c r="G331" s="43">
        <v>44869</v>
      </c>
      <c r="H331" s="42"/>
      <c r="I331" s="42"/>
      <c r="J331" s="42">
        <f t="shared" si="39"/>
        <v>12</v>
      </c>
      <c r="K331" s="45" t="b">
        <f t="shared" si="40"/>
        <v>1</v>
      </c>
    </row>
    <row r="332" spans="1:11">
      <c r="A332" s="5">
        <v>107</v>
      </c>
      <c r="B332" s="6">
        <v>44871</v>
      </c>
      <c r="C332" s="7">
        <v>0.8</v>
      </c>
      <c r="D332" s="5">
        <v>7.34</v>
      </c>
      <c r="E332" s="5">
        <v>1068</v>
      </c>
      <c r="F332" s="5">
        <v>1081.4000000000001</v>
      </c>
      <c r="G332" s="6">
        <v>44871</v>
      </c>
      <c r="H332" s="5"/>
      <c r="I332" s="5"/>
      <c r="J332" s="5">
        <f t="shared" si="39"/>
        <v>13.400000000000091</v>
      </c>
      <c r="K332" s="8" t="b">
        <f t="shared" si="40"/>
        <v>1</v>
      </c>
    </row>
    <row r="333" spans="1:11">
      <c r="A333" s="5">
        <v>107</v>
      </c>
      <c r="B333" s="6">
        <v>44872</v>
      </c>
      <c r="C333" s="7">
        <v>0.8</v>
      </c>
      <c r="D333" s="5">
        <v>7.34</v>
      </c>
      <c r="E333" s="5">
        <v>1081.4000000000001</v>
      </c>
      <c r="F333" s="5">
        <v>1095.9000000000001</v>
      </c>
      <c r="G333" s="6">
        <v>44872</v>
      </c>
      <c r="H333" s="5"/>
      <c r="I333" s="5"/>
      <c r="J333" s="5">
        <f t="shared" si="39"/>
        <v>14.5</v>
      </c>
      <c r="K333" s="8" t="b">
        <f t="shared" si="40"/>
        <v>1</v>
      </c>
    </row>
    <row r="334" spans="1:11">
      <c r="A334" s="5">
        <v>107</v>
      </c>
      <c r="B334" s="6">
        <v>44874</v>
      </c>
      <c r="C334" s="7">
        <v>0.7</v>
      </c>
      <c r="D334" s="5">
        <v>8.2899999999999991</v>
      </c>
      <c r="E334" s="5">
        <v>1095.9000000000001</v>
      </c>
      <c r="F334" s="5">
        <v>1110.5999999999999</v>
      </c>
      <c r="G334" s="6">
        <v>44874</v>
      </c>
      <c r="H334" s="5"/>
      <c r="I334" s="5"/>
      <c r="J334" s="5">
        <f t="shared" si="39"/>
        <v>14.699999999999818</v>
      </c>
      <c r="K334" s="8" t="b">
        <f t="shared" si="40"/>
        <v>1</v>
      </c>
    </row>
    <row r="335" spans="1:11">
      <c r="A335" s="5">
        <v>107</v>
      </c>
      <c r="B335" s="6">
        <v>44876</v>
      </c>
      <c r="C335" s="7">
        <v>0.7</v>
      </c>
      <c r="D335" s="5">
        <v>8.2899999999999991</v>
      </c>
      <c r="E335" s="5">
        <v>1110.5999999999999</v>
      </c>
      <c r="F335" s="5">
        <v>1127.2</v>
      </c>
      <c r="G335" s="6">
        <v>44876</v>
      </c>
      <c r="H335" s="5"/>
      <c r="I335" s="5"/>
      <c r="J335" s="5">
        <f t="shared" ref="J335:J347" si="41">F335-E335</f>
        <v>16.600000000000136</v>
      </c>
      <c r="K335" s="8" t="b">
        <f t="shared" ref="K335:K347" si="42">E335=F334</f>
        <v>1</v>
      </c>
    </row>
    <row r="336" spans="1:11">
      <c r="A336" s="5">
        <v>107</v>
      </c>
      <c r="B336" s="6">
        <v>44880</v>
      </c>
      <c r="C336" s="7">
        <v>0.55000000000000004</v>
      </c>
      <c r="D336" s="5">
        <v>10.55</v>
      </c>
      <c r="E336" s="5">
        <v>1127.2</v>
      </c>
      <c r="F336" s="5">
        <v>1148</v>
      </c>
      <c r="G336" s="6">
        <v>44880</v>
      </c>
      <c r="H336" s="5"/>
      <c r="I336" s="5"/>
      <c r="J336" s="5">
        <f t="shared" si="41"/>
        <v>20.799999999999955</v>
      </c>
      <c r="K336" s="8" t="b">
        <f t="shared" si="42"/>
        <v>1</v>
      </c>
    </row>
    <row r="337" spans="1:11">
      <c r="A337" s="5">
        <v>107</v>
      </c>
      <c r="B337" s="6">
        <v>44886</v>
      </c>
      <c r="C337" s="7">
        <v>0.7</v>
      </c>
      <c r="D337" s="5">
        <v>8.2899999999999991</v>
      </c>
      <c r="E337" s="5">
        <v>1148</v>
      </c>
      <c r="F337" s="5">
        <v>1164.7</v>
      </c>
      <c r="G337" s="6">
        <v>44886</v>
      </c>
      <c r="H337" s="5"/>
      <c r="I337" s="5"/>
      <c r="J337" s="5">
        <f t="shared" si="41"/>
        <v>16.700000000000045</v>
      </c>
      <c r="K337" s="8" t="b">
        <f t="shared" si="42"/>
        <v>1</v>
      </c>
    </row>
    <row r="338" spans="1:11">
      <c r="A338" s="5">
        <v>107</v>
      </c>
      <c r="B338" s="6">
        <v>44896</v>
      </c>
      <c r="C338" s="7">
        <v>1</v>
      </c>
      <c r="D338" s="5">
        <v>5.8</v>
      </c>
      <c r="E338" s="5">
        <v>1164.7</v>
      </c>
      <c r="F338" s="5">
        <v>1171.0999999999999</v>
      </c>
      <c r="G338" s="6">
        <v>44896</v>
      </c>
      <c r="H338" s="5"/>
      <c r="I338" s="5"/>
      <c r="J338" s="5">
        <f t="shared" si="41"/>
        <v>6.3999999999998636</v>
      </c>
      <c r="K338" s="8" t="b">
        <f t="shared" si="42"/>
        <v>1</v>
      </c>
    </row>
    <row r="339" spans="1:11">
      <c r="A339" s="5">
        <v>107</v>
      </c>
      <c r="B339" s="6">
        <v>44897</v>
      </c>
      <c r="C339" s="7">
        <v>1</v>
      </c>
      <c r="D339" s="5">
        <v>5.8</v>
      </c>
      <c r="E339" s="5">
        <v>1171.0999999999999</v>
      </c>
      <c r="F339" s="5">
        <v>1179.7</v>
      </c>
      <c r="G339" s="6">
        <v>44897</v>
      </c>
      <c r="H339" s="5"/>
      <c r="I339" s="5"/>
      <c r="J339" s="5">
        <f t="shared" si="41"/>
        <v>8.6000000000001364</v>
      </c>
      <c r="K339" s="8" t="b">
        <f t="shared" si="42"/>
        <v>1</v>
      </c>
    </row>
    <row r="340" spans="1:11">
      <c r="A340" s="5">
        <v>107</v>
      </c>
      <c r="B340" s="6">
        <v>44899</v>
      </c>
      <c r="C340" s="7">
        <v>1</v>
      </c>
      <c r="D340" s="5">
        <v>5.8</v>
      </c>
      <c r="E340" s="5">
        <v>1179.7</v>
      </c>
      <c r="F340" s="5">
        <v>1192.5</v>
      </c>
      <c r="G340" s="6">
        <v>44899</v>
      </c>
      <c r="H340" s="5"/>
      <c r="I340" s="5"/>
      <c r="J340" s="5">
        <f t="shared" si="41"/>
        <v>12.799999999999955</v>
      </c>
      <c r="K340" s="8" t="b">
        <f t="shared" si="42"/>
        <v>1</v>
      </c>
    </row>
    <row r="341" spans="1:11">
      <c r="A341" s="5">
        <v>107</v>
      </c>
      <c r="B341" s="6">
        <v>44900</v>
      </c>
      <c r="C341" s="7">
        <v>1</v>
      </c>
      <c r="D341" s="5">
        <v>5.8</v>
      </c>
      <c r="E341" s="5">
        <v>1192.5</v>
      </c>
      <c r="F341" s="5">
        <v>1203.2</v>
      </c>
      <c r="G341" s="6">
        <v>44900</v>
      </c>
      <c r="H341" s="5"/>
      <c r="I341" s="5"/>
      <c r="J341" s="5">
        <f t="shared" si="41"/>
        <v>10.700000000000045</v>
      </c>
      <c r="K341" s="8" t="b">
        <f t="shared" si="42"/>
        <v>1</v>
      </c>
    </row>
    <row r="342" spans="1:11">
      <c r="A342" s="5">
        <v>107</v>
      </c>
      <c r="B342" s="6">
        <v>44901</v>
      </c>
      <c r="C342" s="7">
        <v>1</v>
      </c>
      <c r="D342" s="5">
        <v>5.8</v>
      </c>
      <c r="E342" s="5">
        <v>1203.2</v>
      </c>
      <c r="F342" s="5">
        <v>1213.4000000000001</v>
      </c>
      <c r="G342" s="6">
        <v>44901</v>
      </c>
      <c r="H342" s="5"/>
      <c r="I342" s="5"/>
      <c r="J342" s="5">
        <f t="shared" si="41"/>
        <v>10.200000000000045</v>
      </c>
      <c r="K342" s="8" t="b">
        <f t="shared" si="42"/>
        <v>1</v>
      </c>
    </row>
    <row r="343" spans="1:11">
      <c r="A343" s="5">
        <v>107</v>
      </c>
      <c r="B343" s="6">
        <v>44929</v>
      </c>
      <c r="C343" s="7">
        <v>0.7</v>
      </c>
      <c r="D343" s="5">
        <v>8.2899999999999991</v>
      </c>
      <c r="E343" s="5">
        <v>1213.4000000000001</v>
      </c>
      <c r="F343" s="5">
        <v>1231</v>
      </c>
      <c r="G343" s="6">
        <v>44929</v>
      </c>
      <c r="H343" s="5"/>
      <c r="I343" s="5"/>
      <c r="J343" s="5">
        <f t="shared" si="41"/>
        <v>17.599999999999909</v>
      </c>
      <c r="K343" s="8" t="b">
        <f t="shared" si="42"/>
        <v>1</v>
      </c>
    </row>
    <row r="344" spans="1:11">
      <c r="A344" s="5">
        <v>107</v>
      </c>
      <c r="B344" s="6"/>
      <c r="C344" s="7"/>
      <c r="D344" s="5"/>
      <c r="E344" s="5"/>
      <c r="F344" s="5"/>
      <c r="G344" s="6"/>
      <c r="H344" s="5"/>
      <c r="I344" s="5"/>
      <c r="J344" s="5">
        <f t="shared" si="41"/>
        <v>0</v>
      </c>
      <c r="K344" s="8" t="b">
        <f t="shared" si="42"/>
        <v>0</v>
      </c>
    </row>
    <row r="345" spans="1:11">
      <c r="A345" s="5">
        <v>107</v>
      </c>
      <c r="B345" s="6"/>
      <c r="C345" s="7"/>
      <c r="D345" s="5"/>
      <c r="E345" s="5"/>
      <c r="F345" s="5"/>
      <c r="G345" s="6"/>
      <c r="H345" s="5"/>
      <c r="I345" s="5"/>
      <c r="J345" s="5">
        <f t="shared" si="41"/>
        <v>0</v>
      </c>
      <c r="K345" s="8" t="b">
        <f t="shared" si="42"/>
        <v>1</v>
      </c>
    </row>
    <row r="346" spans="1:11">
      <c r="A346" s="5">
        <v>107</v>
      </c>
      <c r="B346" s="6"/>
      <c r="C346" s="7"/>
      <c r="D346" s="5"/>
      <c r="E346" s="5"/>
      <c r="F346" s="5"/>
      <c r="G346" s="6"/>
      <c r="H346" s="5"/>
      <c r="I346" s="5"/>
      <c r="J346" s="5">
        <f t="shared" si="41"/>
        <v>0</v>
      </c>
      <c r="K346" s="8" t="b">
        <f t="shared" si="42"/>
        <v>1</v>
      </c>
    </row>
    <row r="347" spans="1:11">
      <c r="A347" s="5">
        <v>107</v>
      </c>
      <c r="B347" s="6"/>
      <c r="C347" s="7"/>
      <c r="D347" s="5"/>
      <c r="E347" s="5"/>
      <c r="F347" s="5"/>
      <c r="G347" s="6"/>
      <c r="H347" s="5"/>
      <c r="I347" s="5"/>
      <c r="J347" s="5">
        <f t="shared" si="41"/>
        <v>0</v>
      </c>
      <c r="K347" s="8" t="b">
        <f t="shared" si="42"/>
        <v>1</v>
      </c>
    </row>
    <row r="349" spans="1:11" ht="26.25">
      <c r="A349" s="181" t="s">
        <v>92</v>
      </c>
      <c r="B349" s="182"/>
      <c r="C349" s="182"/>
      <c r="D349" s="182"/>
      <c r="E349" s="182"/>
      <c r="F349" s="182"/>
      <c r="G349" s="182"/>
      <c r="H349" s="182"/>
      <c r="I349" s="182"/>
      <c r="J349" s="182"/>
      <c r="K349" s="183"/>
    </row>
    <row r="350" spans="1:11" ht="26.25">
      <c r="A350" s="181" t="s">
        <v>17</v>
      </c>
      <c r="B350" s="182"/>
      <c r="C350" s="182"/>
      <c r="D350" s="182"/>
      <c r="E350" s="182"/>
      <c r="F350" s="182"/>
      <c r="G350" s="182"/>
      <c r="H350" s="182"/>
      <c r="I350" s="182"/>
      <c r="J350" s="182"/>
      <c r="K350" s="183"/>
    </row>
    <row r="351" spans="1:11" ht="15.75" thickBot="1"/>
    <row r="352" spans="1:11" ht="15.75" thickBot="1">
      <c r="A352" s="132" t="s">
        <v>2</v>
      </c>
      <c r="B352" s="133"/>
      <c r="C352" s="133"/>
      <c r="D352" s="133"/>
      <c r="E352" s="133"/>
      <c r="F352" s="133"/>
      <c r="G352" s="133"/>
      <c r="H352" s="133"/>
      <c r="I352" s="133"/>
      <c r="J352" s="133"/>
      <c r="K352" s="134"/>
    </row>
    <row r="354" spans="1:11" ht="19.5" thickBot="1">
      <c r="A354" s="1" t="s">
        <v>3</v>
      </c>
      <c r="B354" s="1"/>
      <c r="C354" s="1"/>
      <c r="D354" s="1"/>
      <c r="E354" s="1"/>
      <c r="F354" s="1"/>
      <c r="G354" s="1"/>
      <c r="H354" s="1"/>
      <c r="I354" s="1"/>
    </row>
    <row r="355" spans="1:11" ht="30.75" thickBot="1">
      <c r="A355" s="2" t="s">
        <v>4</v>
      </c>
      <c r="B355" s="3" t="s">
        <v>5</v>
      </c>
      <c r="C355" s="3" t="s">
        <v>6</v>
      </c>
      <c r="D355" s="3" t="s">
        <v>7</v>
      </c>
      <c r="E355" s="3" t="s">
        <v>8</v>
      </c>
      <c r="F355" s="3" t="s">
        <v>9</v>
      </c>
      <c r="G355" s="3" t="s">
        <v>10</v>
      </c>
      <c r="H355" s="3" t="s">
        <v>21</v>
      </c>
      <c r="I355" s="4" t="s">
        <v>22</v>
      </c>
      <c r="J355" s="4" t="s">
        <v>11</v>
      </c>
      <c r="K355" s="4" t="s">
        <v>12</v>
      </c>
    </row>
    <row r="356" spans="1:11">
      <c r="A356" s="5">
        <v>107</v>
      </c>
      <c r="B356" s="6">
        <v>44961</v>
      </c>
      <c r="C356" s="7">
        <v>0.5</v>
      </c>
      <c r="D356" s="5">
        <v>11.6</v>
      </c>
      <c r="E356" s="5">
        <v>0</v>
      </c>
      <c r="F356" s="5">
        <v>24.2</v>
      </c>
      <c r="G356" s="6">
        <v>44961</v>
      </c>
      <c r="H356" s="5"/>
      <c r="I356" s="5"/>
      <c r="J356" s="5">
        <f>F356-E356</f>
        <v>24.2</v>
      </c>
      <c r="K356" s="8" t="b">
        <f>E356=F344</f>
        <v>1</v>
      </c>
    </row>
    <row r="357" spans="1:11">
      <c r="A357" s="5">
        <v>107</v>
      </c>
      <c r="B357" s="6">
        <v>44962</v>
      </c>
      <c r="C357" s="7">
        <v>0.7</v>
      </c>
      <c r="D357" s="5">
        <v>8.2899999999999991</v>
      </c>
      <c r="E357" s="5">
        <v>24.2</v>
      </c>
      <c r="F357" s="5">
        <v>40.5</v>
      </c>
      <c r="G357" s="6">
        <v>44962</v>
      </c>
      <c r="H357" s="5"/>
      <c r="I357" s="5"/>
      <c r="J357" s="5">
        <f>F357-E357</f>
        <v>16.3</v>
      </c>
      <c r="K357" s="8" t="b">
        <f>E357=F356</f>
        <v>1</v>
      </c>
    </row>
    <row r="358" spans="1:11">
      <c r="A358" s="5">
        <v>107</v>
      </c>
      <c r="B358" s="6">
        <v>44963</v>
      </c>
      <c r="C358" s="7">
        <v>0.7</v>
      </c>
      <c r="D358" s="5">
        <v>8.2899999999999991</v>
      </c>
      <c r="E358" s="5">
        <v>40.5</v>
      </c>
      <c r="F358" s="5">
        <v>56.9</v>
      </c>
      <c r="G358" s="6">
        <v>44963</v>
      </c>
      <c r="H358" s="5"/>
      <c r="I358" s="5"/>
      <c r="J358" s="5">
        <f>F358-E358</f>
        <v>16.399999999999999</v>
      </c>
      <c r="K358" s="8" t="b">
        <f>E358=F357</f>
        <v>1</v>
      </c>
    </row>
    <row r="359" spans="1:11">
      <c r="A359" s="5">
        <v>107</v>
      </c>
      <c r="B359" s="6">
        <v>44964</v>
      </c>
      <c r="C359" s="7">
        <v>1</v>
      </c>
      <c r="D359" s="5">
        <v>5.8</v>
      </c>
      <c r="E359" s="5">
        <v>56.9</v>
      </c>
      <c r="F359" s="5">
        <v>69.7</v>
      </c>
      <c r="G359" s="6">
        <v>44964</v>
      </c>
      <c r="H359" s="5"/>
      <c r="I359" s="5"/>
      <c r="J359" s="5">
        <f>F359-E359</f>
        <v>12.800000000000004</v>
      </c>
      <c r="K359" s="8" t="b">
        <f>E359=F358</f>
        <v>1</v>
      </c>
    </row>
    <row r="360" spans="1:11">
      <c r="A360" s="5">
        <v>107</v>
      </c>
      <c r="B360" s="6">
        <v>44965</v>
      </c>
      <c r="C360" s="7">
        <v>1</v>
      </c>
      <c r="D360" s="5">
        <v>5.8</v>
      </c>
      <c r="E360" s="5">
        <v>69.7</v>
      </c>
      <c r="F360" s="5">
        <v>81.400000000000006</v>
      </c>
      <c r="G360" s="6">
        <v>44965</v>
      </c>
      <c r="H360" s="5"/>
      <c r="I360" s="5"/>
      <c r="J360" s="5">
        <f>F360-E360</f>
        <v>11.700000000000003</v>
      </c>
      <c r="K360" s="8" t="b">
        <f>E360=F359</f>
        <v>1</v>
      </c>
    </row>
    <row r="361" spans="1:11">
      <c r="A361" s="5">
        <v>107</v>
      </c>
      <c r="B361" s="6">
        <v>44966</v>
      </c>
      <c r="C361" s="7">
        <v>1</v>
      </c>
      <c r="D361" s="5">
        <v>5.8</v>
      </c>
      <c r="E361" s="5">
        <v>81.400000000000006</v>
      </c>
      <c r="F361" s="5">
        <v>93.1</v>
      </c>
      <c r="G361" s="6">
        <v>44966</v>
      </c>
      <c r="H361" s="5"/>
      <c r="I361" s="5"/>
      <c r="J361" s="5">
        <f t="shared" ref="J361:J362" si="43">F361-E361</f>
        <v>11.699999999999989</v>
      </c>
      <c r="K361" s="8" t="b">
        <f t="shared" ref="K361:K362" si="44">E361=F360</f>
        <v>1</v>
      </c>
    </row>
    <row r="362" spans="1:11">
      <c r="A362" s="5">
        <v>107</v>
      </c>
      <c r="B362" s="6">
        <v>44967</v>
      </c>
      <c r="C362" s="7">
        <v>1</v>
      </c>
      <c r="D362" s="5">
        <v>5.8</v>
      </c>
      <c r="E362" s="5">
        <v>93.1</v>
      </c>
      <c r="F362" s="5">
        <v>100.3</v>
      </c>
      <c r="G362" s="6">
        <v>44967</v>
      </c>
      <c r="H362" s="5"/>
      <c r="I362" s="5"/>
      <c r="J362" s="5">
        <f t="shared" si="43"/>
        <v>7.2000000000000028</v>
      </c>
      <c r="K362" s="8" t="b">
        <f t="shared" si="44"/>
        <v>1</v>
      </c>
    </row>
    <row r="363" spans="1:11">
      <c r="A363" s="5">
        <v>107</v>
      </c>
      <c r="B363" s="6">
        <v>44969</v>
      </c>
      <c r="C363" s="7">
        <v>0.7</v>
      </c>
      <c r="D363" s="5">
        <v>8.2899999999999991</v>
      </c>
      <c r="E363" s="5">
        <v>100.3</v>
      </c>
      <c r="F363" s="5">
        <v>117</v>
      </c>
      <c r="G363" s="6">
        <v>44969</v>
      </c>
      <c r="H363" s="5"/>
      <c r="I363" s="5"/>
      <c r="J363" s="5">
        <f t="shared" ref="J363:J371" si="45">F363-E363</f>
        <v>16.700000000000003</v>
      </c>
      <c r="K363" s="8" t="b">
        <f t="shared" ref="K363:K371" si="46">E363=F362</f>
        <v>1</v>
      </c>
    </row>
    <row r="364" spans="1:11">
      <c r="A364" s="5">
        <v>107</v>
      </c>
      <c r="B364" s="6">
        <v>44972</v>
      </c>
      <c r="C364" s="7">
        <v>0.8</v>
      </c>
      <c r="D364" s="5">
        <v>7.34</v>
      </c>
      <c r="E364" s="5">
        <v>117</v>
      </c>
      <c r="F364" s="5">
        <v>131.6</v>
      </c>
      <c r="G364" s="6">
        <v>44972</v>
      </c>
      <c r="H364" s="5"/>
      <c r="I364" s="5"/>
      <c r="J364" s="5">
        <f t="shared" si="45"/>
        <v>14.599999999999994</v>
      </c>
      <c r="K364" s="8" t="b">
        <f t="shared" si="46"/>
        <v>1</v>
      </c>
    </row>
    <row r="365" spans="1:11">
      <c r="A365" s="5">
        <v>107</v>
      </c>
      <c r="B365" s="6">
        <v>44975</v>
      </c>
      <c r="C365" s="7">
        <v>0.8</v>
      </c>
      <c r="D365" s="5">
        <v>7.34</v>
      </c>
      <c r="E365" s="5">
        <v>131.6</v>
      </c>
      <c r="F365" s="5">
        <v>146.5</v>
      </c>
      <c r="G365" s="6">
        <v>44975</v>
      </c>
      <c r="H365" s="5"/>
      <c r="I365" s="5"/>
      <c r="J365" s="5">
        <f t="shared" si="45"/>
        <v>14.900000000000006</v>
      </c>
      <c r="K365" s="8" t="b">
        <f t="shared" si="46"/>
        <v>1</v>
      </c>
    </row>
    <row r="366" spans="1:11">
      <c r="A366" s="5">
        <v>107</v>
      </c>
      <c r="B366" s="6">
        <v>44978</v>
      </c>
      <c r="C366" s="7">
        <v>0.8</v>
      </c>
      <c r="D366" s="5">
        <v>7.34</v>
      </c>
      <c r="E366" s="5">
        <v>146.5</v>
      </c>
      <c r="F366" s="5">
        <v>161</v>
      </c>
      <c r="G366" s="6">
        <v>44978</v>
      </c>
      <c r="H366" s="5"/>
      <c r="I366" s="5"/>
      <c r="J366" s="5">
        <f t="shared" si="45"/>
        <v>14.5</v>
      </c>
      <c r="K366" s="8" t="b">
        <f t="shared" si="46"/>
        <v>1</v>
      </c>
    </row>
    <row r="367" spans="1:11">
      <c r="A367" s="5">
        <v>107</v>
      </c>
      <c r="B367" s="6">
        <v>44987</v>
      </c>
      <c r="C367" s="7">
        <v>0.7</v>
      </c>
      <c r="D367" s="5">
        <v>8.2899999999999991</v>
      </c>
      <c r="E367" s="5">
        <v>161</v>
      </c>
      <c r="F367" s="5">
        <v>178.2</v>
      </c>
      <c r="G367" s="6">
        <v>44987</v>
      </c>
      <c r="H367" s="5"/>
      <c r="I367" s="5"/>
      <c r="J367" s="5">
        <f t="shared" si="45"/>
        <v>17.199999999999989</v>
      </c>
      <c r="K367" s="8" t="b">
        <f t="shared" si="46"/>
        <v>1</v>
      </c>
    </row>
    <row r="368" spans="1:11">
      <c r="A368" s="5">
        <v>107</v>
      </c>
      <c r="B368" s="6">
        <v>44989</v>
      </c>
      <c r="C368" s="7">
        <v>0.7</v>
      </c>
      <c r="D368" s="5">
        <v>8.2899999999999991</v>
      </c>
      <c r="E368" s="5">
        <v>178.2</v>
      </c>
      <c r="F368" s="5">
        <v>197.4</v>
      </c>
      <c r="G368" s="6">
        <v>44989</v>
      </c>
      <c r="H368" s="5"/>
      <c r="I368" s="5"/>
      <c r="J368" s="5">
        <f t="shared" si="45"/>
        <v>19.200000000000017</v>
      </c>
      <c r="K368" s="8" t="b">
        <f t="shared" si="46"/>
        <v>1</v>
      </c>
    </row>
    <row r="369" spans="1:11">
      <c r="A369" s="5">
        <v>107</v>
      </c>
      <c r="B369" s="6">
        <v>44992</v>
      </c>
      <c r="C369" s="7">
        <v>0.6</v>
      </c>
      <c r="D369" s="5">
        <v>9.67</v>
      </c>
      <c r="E369" s="5">
        <v>197.4</v>
      </c>
      <c r="F369" s="5">
        <v>211.2</v>
      </c>
      <c r="G369" s="6">
        <v>44992</v>
      </c>
      <c r="H369" s="5"/>
      <c r="I369" s="5"/>
      <c r="J369" s="5">
        <f t="shared" si="45"/>
        <v>13.799999999999983</v>
      </c>
      <c r="K369" s="8" t="b">
        <f t="shared" si="46"/>
        <v>1</v>
      </c>
    </row>
    <row r="370" spans="1:11">
      <c r="A370" s="5">
        <v>107</v>
      </c>
      <c r="B370" s="6">
        <v>44996</v>
      </c>
      <c r="C370" s="7">
        <v>1</v>
      </c>
      <c r="D370" s="5">
        <v>5.8</v>
      </c>
      <c r="E370" s="5">
        <v>211.2</v>
      </c>
      <c r="F370" s="5">
        <v>222.8</v>
      </c>
      <c r="G370" s="6">
        <v>44996</v>
      </c>
      <c r="H370" s="5"/>
      <c r="I370" s="5"/>
      <c r="J370" s="5">
        <f t="shared" si="45"/>
        <v>11.600000000000023</v>
      </c>
      <c r="K370" s="8" t="b">
        <f t="shared" si="46"/>
        <v>1</v>
      </c>
    </row>
    <row r="371" spans="1:11">
      <c r="A371" s="5">
        <v>107</v>
      </c>
      <c r="B371" s="6">
        <v>44998</v>
      </c>
      <c r="C371" s="7">
        <v>0.7</v>
      </c>
      <c r="D371" s="5">
        <v>8.2899999999999991</v>
      </c>
      <c r="E371" s="5">
        <v>222.8</v>
      </c>
      <c r="F371" s="5">
        <v>239.4</v>
      </c>
      <c r="G371" s="6">
        <v>44998</v>
      </c>
      <c r="H371" s="5"/>
      <c r="I371" s="5"/>
      <c r="J371" s="5">
        <f t="shared" si="45"/>
        <v>16.599999999999994</v>
      </c>
      <c r="K371" s="8" t="b">
        <f t="shared" si="46"/>
        <v>1</v>
      </c>
    </row>
    <row r="372" spans="1:11">
      <c r="A372" s="5">
        <v>107</v>
      </c>
      <c r="B372" s="6">
        <v>45001</v>
      </c>
      <c r="C372" s="7">
        <v>0.7</v>
      </c>
      <c r="D372" s="5">
        <v>8.2899999999999991</v>
      </c>
      <c r="E372" s="5">
        <v>239.4</v>
      </c>
      <c r="F372" s="5">
        <v>256.10000000000002</v>
      </c>
      <c r="G372" s="6">
        <v>45001</v>
      </c>
      <c r="H372" s="5"/>
      <c r="I372" s="5"/>
      <c r="J372" s="5">
        <f t="shared" ref="J372:J380" si="47">F372-E372</f>
        <v>16.700000000000017</v>
      </c>
      <c r="K372" s="8" t="b">
        <f t="shared" ref="K372:K380" si="48">E372=F371</f>
        <v>1</v>
      </c>
    </row>
    <row r="373" spans="1:11">
      <c r="A373" s="5">
        <v>107</v>
      </c>
      <c r="B373" s="6">
        <v>45005</v>
      </c>
      <c r="C373" s="7">
        <v>0.6</v>
      </c>
      <c r="D373" s="5">
        <v>9.67</v>
      </c>
      <c r="E373" s="5">
        <v>256.10000000000002</v>
      </c>
      <c r="F373" s="5">
        <v>275.5</v>
      </c>
      <c r="G373" s="6">
        <v>45005</v>
      </c>
      <c r="H373" s="5"/>
      <c r="I373" s="5"/>
      <c r="J373" s="5">
        <f t="shared" si="47"/>
        <v>19.399999999999977</v>
      </c>
      <c r="K373" s="8" t="b">
        <f t="shared" si="48"/>
        <v>1</v>
      </c>
    </row>
    <row r="374" spans="1:11">
      <c r="A374" s="5">
        <v>107</v>
      </c>
      <c r="B374" s="6">
        <v>45006</v>
      </c>
      <c r="C374" s="7">
        <v>0.6</v>
      </c>
      <c r="D374" s="5">
        <v>9.67</v>
      </c>
      <c r="E374" s="5">
        <v>275.5</v>
      </c>
      <c r="F374" s="5">
        <v>294.8</v>
      </c>
      <c r="G374" s="6">
        <v>45006</v>
      </c>
      <c r="H374" s="5"/>
      <c r="I374" s="5"/>
      <c r="J374" s="5">
        <f t="shared" si="47"/>
        <v>19.300000000000011</v>
      </c>
      <c r="K374" s="8" t="b">
        <f t="shared" si="48"/>
        <v>1</v>
      </c>
    </row>
    <row r="375" spans="1:11">
      <c r="A375" s="5">
        <v>107</v>
      </c>
      <c r="B375" s="6">
        <v>45008</v>
      </c>
      <c r="C375" s="7">
        <v>1</v>
      </c>
      <c r="D375" s="5">
        <v>5.8</v>
      </c>
      <c r="E375" s="5">
        <v>294.8</v>
      </c>
      <c r="F375" s="5">
        <v>306.7</v>
      </c>
      <c r="G375" s="6">
        <v>45008</v>
      </c>
      <c r="H375" s="5"/>
      <c r="I375" s="5"/>
      <c r="J375" s="5">
        <f t="shared" si="47"/>
        <v>11.899999999999977</v>
      </c>
      <c r="K375" s="8" t="b">
        <f t="shared" si="48"/>
        <v>1</v>
      </c>
    </row>
    <row r="376" spans="1:11">
      <c r="A376" s="5">
        <v>107</v>
      </c>
      <c r="B376" s="6">
        <v>45011</v>
      </c>
      <c r="C376" s="7">
        <v>0.6</v>
      </c>
      <c r="D376" s="5">
        <v>9.67</v>
      </c>
      <c r="E376" s="5">
        <v>306.7</v>
      </c>
      <c r="F376" s="5">
        <v>326.8</v>
      </c>
      <c r="G376" s="6">
        <v>45011</v>
      </c>
      <c r="H376" s="5"/>
      <c r="I376" s="5"/>
      <c r="J376" s="5">
        <f t="shared" si="47"/>
        <v>20.100000000000023</v>
      </c>
      <c r="K376" s="8" t="b">
        <f t="shared" si="48"/>
        <v>1</v>
      </c>
    </row>
    <row r="377" spans="1:11">
      <c r="A377" s="5">
        <v>107</v>
      </c>
      <c r="B377" s="6">
        <v>45014</v>
      </c>
      <c r="C377" s="7">
        <v>0.6</v>
      </c>
      <c r="D377" s="5">
        <v>9.67</v>
      </c>
      <c r="E377" s="5">
        <v>326.8</v>
      </c>
      <c r="F377" s="5">
        <v>345.5</v>
      </c>
      <c r="G377" s="6">
        <v>45014</v>
      </c>
      <c r="H377" s="5"/>
      <c r="I377" s="5"/>
      <c r="J377" s="5">
        <f t="shared" si="47"/>
        <v>18.699999999999989</v>
      </c>
      <c r="K377" s="8" t="b">
        <f t="shared" si="48"/>
        <v>1</v>
      </c>
    </row>
    <row r="378" spans="1:11">
      <c r="A378" s="5">
        <v>107</v>
      </c>
      <c r="B378" s="6">
        <v>45017</v>
      </c>
      <c r="C378" s="7">
        <v>0.6</v>
      </c>
      <c r="D378" s="5">
        <v>9.67</v>
      </c>
      <c r="E378" s="5">
        <v>345.5</v>
      </c>
      <c r="F378" s="5">
        <v>365.5</v>
      </c>
      <c r="G378" s="6">
        <v>45017</v>
      </c>
      <c r="H378" s="5"/>
      <c r="I378" s="5"/>
      <c r="J378" s="5">
        <f t="shared" si="47"/>
        <v>20</v>
      </c>
      <c r="K378" s="8" t="b">
        <f t="shared" si="48"/>
        <v>1</v>
      </c>
    </row>
    <row r="379" spans="1:11">
      <c r="A379" s="5">
        <v>107</v>
      </c>
      <c r="B379" s="6">
        <v>45021</v>
      </c>
      <c r="C379" s="7">
        <v>0.7</v>
      </c>
      <c r="D379" s="5">
        <v>8.2899999999999991</v>
      </c>
      <c r="E379" s="5">
        <v>365.5</v>
      </c>
      <c r="F379" s="5">
        <v>381.6</v>
      </c>
      <c r="G379" s="6">
        <v>45021</v>
      </c>
      <c r="H379" s="5"/>
      <c r="I379" s="5"/>
      <c r="J379" s="5">
        <f t="shared" si="47"/>
        <v>16.100000000000023</v>
      </c>
      <c r="K379" s="8" t="b">
        <f t="shared" si="48"/>
        <v>1</v>
      </c>
    </row>
    <row r="380" spans="1:11">
      <c r="A380" s="5">
        <v>107</v>
      </c>
      <c r="B380" s="6">
        <v>45024</v>
      </c>
      <c r="C380" s="7">
        <v>0.6</v>
      </c>
      <c r="D380" s="5">
        <v>9.67</v>
      </c>
      <c r="E380" s="5">
        <v>381.6</v>
      </c>
      <c r="F380" s="5">
        <v>401</v>
      </c>
      <c r="G380" s="6">
        <v>45024</v>
      </c>
      <c r="H380" s="5"/>
      <c r="I380" s="5"/>
      <c r="J380" s="5">
        <f t="shared" si="47"/>
        <v>19.399999999999977</v>
      </c>
      <c r="K380" s="8" t="b">
        <f t="shared" si="48"/>
        <v>1</v>
      </c>
    </row>
    <row r="381" spans="1:11">
      <c r="A381" s="5">
        <v>107</v>
      </c>
      <c r="B381" s="6">
        <v>45027</v>
      </c>
      <c r="C381" s="7">
        <v>0.6</v>
      </c>
      <c r="D381" s="5">
        <v>9.67</v>
      </c>
      <c r="E381" s="5">
        <v>401</v>
      </c>
      <c r="F381" s="5">
        <v>420.3</v>
      </c>
      <c r="G381" s="6">
        <v>45027</v>
      </c>
      <c r="H381" s="5"/>
      <c r="I381" s="5"/>
      <c r="J381" s="5">
        <f t="shared" ref="J381:J388" si="49">F381-E381</f>
        <v>19.300000000000011</v>
      </c>
      <c r="K381" s="8" t="b">
        <f t="shared" ref="K381:K388" si="50">E381=F380</f>
        <v>1</v>
      </c>
    </row>
    <row r="382" spans="1:11">
      <c r="A382" s="5">
        <v>107</v>
      </c>
      <c r="B382" s="6">
        <v>45030</v>
      </c>
      <c r="C382" s="7">
        <v>0.6</v>
      </c>
      <c r="D382" s="5">
        <v>9.67</v>
      </c>
      <c r="E382" s="5">
        <v>420.3</v>
      </c>
      <c r="F382" s="5">
        <v>439.9</v>
      </c>
      <c r="G382" s="6">
        <v>45030</v>
      </c>
      <c r="H382" s="5"/>
      <c r="I382" s="5"/>
      <c r="J382" s="5">
        <f t="shared" si="49"/>
        <v>19.599999999999966</v>
      </c>
      <c r="K382" s="8" t="b">
        <f t="shared" si="50"/>
        <v>1</v>
      </c>
    </row>
    <row r="383" spans="1:11">
      <c r="A383" s="5">
        <v>107</v>
      </c>
      <c r="B383" s="6">
        <v>45033</v>
      </c>
      <c r="C383" s="7">
        <v>0.6</v>
      </c>
      <c r="D383" s="5">
        <v>9.67</v>
      </c>
      <c r="E383" s="5">
        <v>439.9</v>
      </c>
      <c r="F383" s="5">
        <v>459.2</v>
      </c>
      <c r="G383" s="6">
        <v>45033</v>
      </c>
      <c r="H383" s="5"/>
      <c r="I383" s="5"/>
      <c r="J383" s="5">
        <f t="shared" si="49"/>
        <v>19.300000000000011</v>
      </c>
      <c r="K383" s="8" t="b">
        <f t="shared" si="50"/>
        <v>1</v>
      </c>
    </row>
    <row r="384" spans="1:11">
      <c r="A384" s="5">
        <v>107</v>
      </c>
      <c r="B384" s="6">
        <v>45036</v>
      </c>
      <c r="C384" s="7">
        <v>0.6</v>
      </c>
      <c r="D384" s="5">
        <v>9.67</v>
      </c>
      <c r="E384" s="5">
        <v>459.2</v>
      </c>
      <c r="F384" s="5">
        <v>478.5</v>
      </c>
      <c r="G384" s="6">
        <v>45036</v>
      </c>
      <c r="H384" s="5"/>
      <c r="I384" s="5"/>
      <c r="J384" s="5">
        <f t="shared" si="49"/>
        <v>19.300000000000011</v>
      </c>
      <c r="K384" s="8" t="b">
        <f t="shared" si="50"/>
        <v>1</v>
      </c>
    </row>
    <row r="385" spans="1:11">
      <c r="A385" s="5">
        <v>107</v>
      </c>
      <c r="B385" s="6">
        <v>45039</v>
      </c>
      <c r="C385" s="7">
        <v>0.7</v>
      </c>
      <c r="D385" s="5">
        <v>8.2899999999999991</v>
      </c>
      <c r="E385" s="5">
        <v>478.5</v>
      </c>
      <c r="F385" s="5">
        <v>496</v>
      </c>
      <c r="G385" s="6">
        <v>45039</v>
      </c>
      <c r="H385" s="5"/>
      <c r="I385" s="5"/>
      <c r="J385" s="5">
        <f t="shared" si="49"/>
        <v>17.5</v>
      </c>
      <c r="K385" s="8" t="b">
        <f t="shared" si="50"/>
        <v>1</v>
      </c>
    </row>
    <row r="386" spans="1:11">
      <c r="A386" s="25">
        <v>107</v>
      </c>
      <c r="B386" s="26">
        <v>45042</v>
      </c>
      <c r="C386" s="27">
        <v>1</v>
      </c>
      <c r="D386" s="25">
        <v>5.8</v>
      </c>
      <c r="E386" s="25">
        <v>496</v>
      </c>
      <c r="F386" s="25">
        <v>507.7</v>
      </c>
      <c r="G386" s="26">
        <v>45042</v>
      </c>
      <c r="H386" s="25"/>
      <c r="I386" s="25"/>
      <c r="J386" s="25">
        <f t="shared" si="49"/>
        <v>11.699999999999989</v>
      </c>
      <c r="K386" s="8" t="b">
        <f t="shared" si="50"/>
        <v>1</v>
      </c>
    </row>
    <row r="387" spans="1:11">
      <c r="A387" s="5">
        <v>107</v>
      </c>
      <c r="B387" s="6">
        <v>45045</v>
      </c>
      <c r="C387" s="7">
        <v>0.7</v>
      </c>
      <c r="D387" s="5">
        <v>8.2899999999999991</v>
      </c>
      <c r="E387" s="5">
        <v>507.7</v>
      </c>
      <c r="F387" s="5">
        <v>525.1</v>
      </c>
      <c r="G387" s="6">
        <v>45045</v>
      </c>
      <c r="H387" s="5"/>
      <c r="I387" s="5"/>
      <c r="J387" s="5">
        <f t="shared" si="49"/>
        <v>17.400000000000034</v>
      </c>
      <c r="K387" s="8" t="b">
        <f t="shared" si="50"/>
        <v>1</v>
      </c>
    </row>
    <row r="388" spans="1:11">
      <c r="A388" s="5">
        <v>107</v>
      </c>
      <c r="B388" s="6">
        <v>45048</v>
      </c>
      <c r="C388" s="7">
        <v>0.7</v>
      </c>
      <c r="D388" s="5">
        <v>8.2899999999999991</v>
      </c>
      <c r="E388" s="5">
        <v>525.1</v>
      </c>
      <c r="F388" s="5">
        <v>542.4</v>
      </c>
      <c r="G388" s="6">
        <v>45048</v>
      </c>
      <c r="H388" s="5"/>
      <c r="I388" s="5"/>
      <c r="J388" s="5">
        <f t="shared" si="49"/>
        <v>17.299999999999955</v>
      </c>
      <c r="K388" s="8" t="b">
        <f t="shared" si="50"/>
        <v>1</v>
      </c>
    </row>
    <row r="389" spans="1:11">
      <c r="A389" s="5">
        <v>107</v>
      </c>
      <c r="B389" s="6">
        <v>45053</v>
      </c>
      <c r="C389" s="7">
        <v>0.7</v>
      </c>
      <c r="D389" s="5">
        <v>8.2899999999999991</v>
      </c>
      <c r="E389" s="5">
        <v>542.4</v>
      </c>
      <c r="F389" s="5">
        <v>559</v>
      </c>
      <c r="G389" s="6">
        <v>45053</v>
      </c>
      <c r="H389" s="5"/>
      <c r="I389" s="5"/>
      <c r="J389" s="5">
        <f t="shared" ref="J389:J398" si="51">F389-E389</f>
        <v>16.600000000000023</v>
      </c>
      <c r="K389" s="8" t="b">
        <f t="shared" ref="K389:K398" si="52">E389=F388</f>
        <v>1</v>
      </c>
    </row>
    <row r="390" spans="1:11">
      <c r="A390" s="5">
        <v>107</v>
      </c>
      <c r="B390" s="6">
        <v>45057</v>
      </c>
      <c r="C390" s="7">
        <v>0.4</v>
      </c>
      <c r="D390" s="5">
        <v>14.5</v>
      </c>
      <c r="E390" s="5">
        <v>559</v>
      </c>
      <c r="F390" s="5">
        <v>574.70000000000005</v>
      </c>
      <c r="G390" s="6">
        <v>45057</v>
      </c>
      <c r="H390" s="5"/>
      <c r="I390" s="5"/>
      <c r="J390" s="5">
        <f t="shared" si="51"/>
        <v>15.700000000000045</v>
      </c>
      <c r="K390" s="8" t="b">
        <f t="shared" si="52"/>
        <v>1</v>
      </c>
    </row>
    <row r="391" spans="1:11">
      <c r="A391" s="5">
        <v>107</v>
      </c>
      <c r="B391" s="6">
        <v>45058</v>
      </c>
      <c r="C391" s="7">
        <v>0.4</v>
      </c>
      <c r="D391" s="5">
        <v>14.5</v>
      </c>
      <c r="E391" s="5">
        <v>574.70000000000005</v>
      </c>
      <c r="F391" s="5">
        <v>588.4</v>
      </c>
      <c r="G391" s="6">
        <v>45058</v>
      </c>
      <c r="H391" s="5"/>
      <c r="I391" s="5"/>
      <c r="J391" s="5">
        <f t="shared" si="51"/>
        <v>13.699999999999932</v>
      </c>
      <c r="K391" s="8" t="b">
        <f t="shared" si="52"/>
        <v>1</v>
      </c>
    </row>
    <row r="392" spans="1:11">
      <c r="A392" s="5">
        <v>107</v>
      </c>
      <c r="B392" s="6">
        <v>45063</v>
      </c>
      <c r="C392" s="7">
        <v>0.35</v>
      </c>
      <c r="D392" s="5">
        <v>16.57</v>
      </c>
      <c r="E392" s="5">
        <v>588.4</v>
      </c>
      <c r="F392" s="5">
        <v>605.6</v>
      </c>
      <c r="G392" s="6">
        <v>45063</v>
      </c>
      <c r="H392" s="5"/>
      <c r="I392" s="5"/>
      <c r="J392" s="5">
        <f t="shared" si="51"/>
        <v>17.200000000000045</v>
      </c>
      <c r="K392" s="8" t="b">
        <f t="shared" si="52"/>
        <v>1</v>
      </c>
    </row>
    <row r="393" spans="1:11">
      <c r="A393" s="5">
        <v>107</v>
      </c>
      <c r="B393" s="6">
        <v>45064</v>
      </c>
      <c r="C393" s="7">
        <v>0.35</v>
      </c>
      <c r="D393" s="5">
        <v>16.57</v>
      </c>
      <c r="E393" s="5">
        <v>605.6</v>
      </c>
      <c r="F393" s="5">
        <v>621.29999999999995</v>
      </c>
      <c r="G393" s="6">
        <v>45064</v>
      </c>
      <c r="H393" s="5"/>
      <c r="I393" s="5"/>
      <c r="J393" s="5">
        <f t="shared" si="51"/>
        <v>15.699999999999932</v>
      </c>
      <c r="K393" s="8" t="b">
        <f t="shared" si="52"/>
        <v>1</v>
      </c>
    </row>
    <row r="394" spans="1:11">
      <c r="A394" s="5">
        <v>107</v>
      </c>
      <c r="B394" s="6">
        <v>45069</v>
      </c>
      <c r="C394" s="7">
        <v>0.4</v>
      </c>
      <c r="D394" s="5">
        <v>14.5</v>
      </c>
      <c r="E394" s="5">
        <v>621.29999999999995</v>
      </c>
      <c r="F394" s="5">
        <v>637.20000000000005</v>
      </c>
      <c r="G394" s="6" t="s">
        <v>95</v>
      </c>
      <c r="H394" s="5"/>
      <c r="I394" s="5"/>
      <c r="J394" s="5">
        <f t="shared" si="51"/>
        <v>15.900000000000091</v>
      </c>
      <c r="K394" s="8" t="b">
        <f t="shared" si="52"/>
        <v>1</v>
      </c>
    </row>
    <row r="395" spans="1:11">
      <c r="A395" s="5">
        <v>107</v>
      </c>
      <c r="B395" s="6" t="s">
        <v>96</v>
      </c>
      <c r="C395" s="7">
        <v>0.4</v>
      </c>
      <c r="D395" s="5">
        <v>14.5</v>
      </c>
      <c r="E395" s="5">
        <v>637.20000000000005</v>
      </c>
      <c r="F395" s="5">
        <v>650.9</v>
      </c>
      <c r="G395" s="6" t="s">
        <v>96</v>
      </c>
      <c r="H395" s="5"/>
      <c r="I395" s="5"/>
      <c r="J395" s="5">
        <f t="shared" si="51"/>
        <v>13.699999999999932</v>
      </c>
      <c r="K395" s="8" t="b">
        <f t="shared" si="52"/>
        <v>1</v>
      </c>
    </row>
    <row r="396" spans="1:11">
      <c r="A396" s="5">
        <v>107</v>
      </c>
      <c r="B396" s="6" t="s">
        <v>97</v>
      </c>
      <c r="C396" s="7">
        <v>0.4</v>
      </c>
      <c r="D396" s="5">
        <v>14.5</v>
      </c>
      <c r="E396" s="5">
        <v>650.9</v>
      </c>
      <c r="F396" s="5">
        <v>666.2</v>
      </c>
      <c r="G396" s="6" t="s">
        <v>97</v>
      </c>
      <c r="H396" s="5"/>
      <c r="I396" s="5"/>
      <c r="J396" s="5">
        <f t="shared" si="51"/>
        <v>15.300000000000068</v>
      </c>
      <c r="K396" s="8" t="b">
        <f t="shared" si="52"/>
        <v>1</v>
      </c>
    </row>
    <row r="397" spans="1:11">
      <c r="A397" s="5">
        <v>107</v>
      </c>
      <c r="B397" s="6" t="s">
        <v>98</v>
      </c>
      <c r="C397" s="7">
        <v>0.4</v>
      </c>
      <c r="D397" s="5">
        <v>14.5</v>
      </c>
      <c r="E397" s="5">
        <v>666.2</v>
      </c>
      <c r="F397" s="5">
        <v>680</v>
      </c>
      <c r="G397" s="6" t="s">
        <v>98</v>
      </c>
      <c r="H397" s="5"/>
      <c r="I397" s="5"/>
      <c r="J397" s="5">
        <f t="shared" si="51"/>
        <v>13.799999999999955</v>
      </c>
      <c r="K397" s="8" t="b">
        <f t="shared" si="52"/>
        <v>1</v>
      </c>
    </row>
    <row r="398" spans="1:11">
      <c r="A398" s="5">
        <v>107</v>
      </c>
      <c r="B398" s="6">
        <v>45082</v>
      </c>
      <c r="C398" s="7">
        <v>0.4</v>
      </c>
      <c r="D398" s="5">
        <v>14.5</v>
      </c>
      <c r="E398" s="5">
        <v>680</v>
      </c>
      <c r="F398" s="5">
        <v>695.4</v>
      </c>
      <c r="G398" s="6">
        <v>45082</v>
      </c>
      <c r="H398" s="5"/>
      <c r="I398" s="5"/>
      <c r="J398" s="5">
        <f t="shared" si="51"/>
        <v>15.399999999999977</v>
      </c>
      <c r="K398" s="8" t="b">
        <f t="shared" si="52"/>
        <v>1</v>
      </c>
    </row>
    <row r="399" spans="1:11">
      <c r="A399" s="5">
        <v>107</v>
      </c>
      <c r="B399" s="6">
        <v>45083</v>
      </c>
      <c r="C399" s="7">
        <v>0.4</v>
      </c>
      <c r="D399" s="5">
        <v>14.5</v>
      </c>
      <c r="E399" s="5">
        <v>695.4</v>
      </c>
      <c r="F399" s="5">
        <v>709.2</v>
      </c>
      <c r="G399" s="6">
        <v>45083</v>
      </c>
      <c r="H399" s="5"/>
      <c r="I399" s="5"/>
      <c r="J399" s="5">
        <f t="shared" ref="J399:J407" si="53">F399-E399</f>
        <v>13.800000000000068</v>
      </c>
      <c r="K399" s="8" t="b">
        <f t="shared" ref="K399:K407" si="54">E399=F398</f>
        <v>1</v>
      </c>
    </row>
    <row r="400" spans="1:11">
      <c r="A400" s="5">
        <v>107</v>
      </c>
      <c r="B400" s="6">
        <v>45092</v>
      </c>
      <c r="C400" s="7">
        <v>0.4</v>
      </c>
      <c r="D400" s="5">
        <v>14.5</v>
      </c>
      <c r="E400" s="5">
        <v>709.2</v>
      </c>
      <c r="F400" s="5">
        <v>726.3</v>
      </c>
      <c r="G400" s="6">
        <v>45092</v>
      </c>
      <c r="H400" s="5"/>
      <c r="I400" s="5"/>
      <c r="J400" s="5">
        <f t="shared" si="53"/>
        <v>17.099999999999909</v>
      </c>
      <c r="K400" s="8" t="b">
        <f t="shared" si="54"/>
        <v>1</v>
      </c>
    </row>
    <row r="401" spans="1:11">
      <c r="A401" s="5">
        <v>107</v>
      </c>
      <c r="B401" s="6">
        <v>45093</v>
      </c>
      <c r="C401" s="7">
        <v>0.4</v>
      </c>
      <c r="D401" s="5">
        <v>14.5</v>
      </c>
      <c r="E401" s="5">
        <v>726.3</v>
      </c>
      <c r="F401" s="5">
        <v>741.1</v>
      </c>
      <c r="G401" s="6">
        <v>45093</v>
      </c>
      <c r="H401" s="5"/>
      <c r="I401" s="5"/>
      <c r="J401" s="5">
        <f t="shared" si="53"/>
        <v>14.800000000000068</v>
      </c>
      <c r="K401" s="8" t="b">
        <f t="shared" si="54"/>
        <v>1</v>
      </c>
    </row>
    <row r="402" spans="1:11">
      <c r="A402" s="5">
        <v>107</v>
      </c>
      <c r="B402" s="6">
        <v>45094</v>
      </c>
      <c r="C402" s="7">
        <v>0.5</v>
      </c>
      <c r="D402" s="5">
        <v>11.6</v>
      </c>
      <c r="E402" s="5">
        <v>741.1</v>
      </c>
      <c r="F402" s="5">
        <v>752.8</v>
      </c>
      <c r="G402" s="6">
        <v>45094</v>
      </c>
      <c r="H402" s="5"/>
      <c r="I402" s="5"/>
      <c r="J402" s="5">
        <f t="shared" si="53"/>
        <v>11.699999999999932</v>
      </c>
      <c r="K402" s="8" t="b">
        <f t="shared" si="54"/>
        <v>1</v>
      </c>
    </row>
    <row r="403" spans="1:11">
      <c r="A403" s="77">
        <v>107</v>
      </c>
      <c r="B403" s="78">
        <v>45095</v>
      </c>
      <c r="C403" s="79">
        <v>0.5</v>
      </c>
      <c r="D403" s="77">
        <v>11.6</v>
      </c>
      <c r="E403" s="77">
        <v>752.8</v>
      </c>
      <c r="F403" s="77">
        <v>805.6</v>
      </c>
      <c r="G403" s="78">
        <v>45095</v>
      </c>
      <c r="H403" s="77"/>
      <c r="I403" s="77"/>
      <c r="J403" s="77">
        <f t="shared" si="53"/>
        <v>52.800000000000068</v>
      </c>
      <c r="K403" s="8" t="b">
        <f t="shared" si="54"/>
        <v>1</v>
      </c>
    </row>
    <row r="404" spans="1:11">
      <c r="A404" s="5">
        <v>107</v>
      </c>
      <c r="B404" s="6">
        <v>45096</v>
      </c>
      <c r="C404" s="7">
        <v>0.6</v>
      </c>
      <c r="D404" s="5">
        <v>9.67</v>
      </c>
      <c r="E404" s="5">
        <v>805.6</v>
      </c>
      <c r="F404" s="5">
        <v>825.2</v>
      </c>
      <c r="G404" s="6">
        <v>45096</v>
      </c>
      <c r="H404" s="5"/>
      <c r="I404" s="5"/>
      <c r="J404" s="5">
        <f t="shared" si="53"/>
        <v>19.600000000000023</v>
      </c>
      <c r="K404" s="8" t="b">
        <f t="shared" si="54"/>
        <v>1</v>
      </c>
    </row>
    <row r="405" spans="1:11">
      <c r="A405" s="5">
        <v>107</v>
      </c>
      <c r="B405" s="6">
        <v>45100</v>
      </c>
      <c r="C405" s="7">
        <v>0.6</v>
      </c>
      <c r="D405" s="5">
        <v>9.67</v>
      </c>
      <c r="E405" s="5">
        <v>825.2</v>
      </c>
      <c r="F405" s="5">
        <v>864.3</v>
      </c>
      <c r="G405" s="6">
        <v>45100</v>
      </c>
      <c r="H405" s="5"/>
      <c r="I405" s="5"/>
      <c r="J405" s="5">
        <f t="shared" si="53"/>
        <v>39.099999999999909</v>
      </c>
      <c r="K405" s="8" t="b">
        <f t="shared" si="54"/>
        <v>1</v>
      </c>
    </row>
    <row r="406" spans="1:11">
      <c r="A406" s="5">
        <v>107</v>
      </c>
      <c r="B406" s="6">
        <v>45105</v>
      </c>
      <c r="C406" s="7">
        <v>0.6</v>
      </c>
      <c r="D406" s="5">
        <v>9.67</v>
      </c>
      <c r="E406" s="5">
        <v>864.3</v>
      </c>
      <c r="F406" s="5">
        <v>884.6</v>
      </c>
      <c r="G406" s="6">
        <v>45105</v>
      </c>
      <c r="H406" s="5"/>
      <c r="I406" s="5"/>
      <c r="J406" s="5">
        <f t="shared" si="53"/>
        <v>20.300000000000068</v>
      </c>
      <c r="K406" s="8" t="b">
        <f t="shared" si="54"/>
        <v>1</v>
      </c>
    </row>
    <row r="407" spans="1:11">
      <c r="A407" s="5">
        <v>107</v>
      </c>
      <c r="B407" s="6">
        <v>45107</v>
      </c>
      <c r="C407" s="7">
        <v>0.6</v>
      </c>
      <c r="D407" s="5">
        <v>9.67</v>
      </c>
      <c r="E407" s="5">
        <v>884.6</v>
      </c>
      <c r="F407" s="5">
        <v>904</v>
      </c>
      <c r="G407" s="6">
        <v>45107</v>
      </c>
      <c r="H407" s="5"/>
      <c r="I407" s="5"/>
      <c r="J407" s="5">
        <f t="shared" si="53"/>
        <v>19.399999999999977</v>
      </c>
      <c r="K407" s="8" t="b">
        <f t="shared" si="54"/>
        <v>1</v>
      </c>
    </row>
    <row r="408" spans="1:11">
      <c r="A408" s="11"/>
      <c r="B408" s="12"/>
      <c r="C408" s="13"/>
      <c r="D408" s="15"/>
      <c r="E408" s="15"/>
      <c r="F408" s="15"/>
      <c r="G408" s="12"/>
      <c r="H408" s="15"/>
      <c r="I408" s="15"/>
      <c r="J408" s="15"/>
      <c r="K408" s="16"/>
    </row>
    <row r="409" spans="1:11" ht="26.25">
      <c r="A409" s="181" t="s">
        <v>92</v>
      </c>
      <c r="B409" s="182"/>
      <c r="C409" s="182"/>
      <c r="D409" s="182"/>
      <c r="E409" s="182"/>
      <c r="F409" s="182"/>
      <c r="G409" s="182"/>
      <c r="H409" s="182"/>
      <c r="I409" s="182"/>
      <c r="J409" s="182"/>
      <c r="K409" s="183"/>
    </row>
    <row r="410" spans="1:11" ht="26.25">
      <c r="A410" s="181" t="s">
        <v>48</v>
      </c>
      <c r="B410" s="182"/>
      <c r="C410" s="182"/>
      <c r="D410" s="182"/>
      <c r="E410" s="182"/>
      <c r="F410" s="182"/>
      <c r="G410" s="182"/>
      <c r="H410" s="182"/>
      <c r="I410" s="182"/>
      <c r="J410" s="182"/>
      <c r="K410" s="183"/>
    </row>
    <row r="411" spans="1:11" ht="15.75" thickBot="1"/>
    <row r="412" spans="1:11" ht="15.75" thickBot="1">
      <c r="A412" s="132" t="s">
        <v>2</v>
      </c>
      <c r="B412" s="133"/>
      <c r="C412" s="133"/>
      <c r="D412" s="133"/>
      <c r="E412" s="133"/>
      <c r="F412" s="133"/>
      <c r="G412" s="133"/>
      <c r="H412" s="133"/>
      <c r="I412" s="133"/>
      <c r="J412" s="133"/>
      <c r="K412" s="134"/>
    </row>
    <row r="414" spans="1:11" ht="19.5" thickBot="1">
      <c r="A414" s="1" t="s">
        <v>3</v>
      </c>
      <c r="B414" s="1"/>
      <c r="C414" s="1"/>
      <c r="D414" s="1"/>
      <c r="E414" s="1"/>
      <c r="F414" s="1"/>
      <c r="G414" s="1"/>
      <c r="H414" s="1"/>
      <c r="I414" s="1"/>
    </row>
    <row r="415" spans="1:11" ht="30.75" thickBot="1">
      <c r="A415" s="2" t="s">
        <v>4</v>
      </c>
      <c r="B415" s="3" t="s">
        <v>5</v>
      </c>
      <c r="C415" s="3" t="s">
        <v>6</v>
      </c>
      <c r="D415" s="3" t="s">
        <v>7</v>
      </c>
      <c r="E415" s="3" t="s">
        <v>8</v>
      </c>
      <c r="F415" s="3" t="s">
        <v>9</v>
      </c>
      <c r="G415" s="3" t="s">
        <v>10</v>
      </c>
      <c r="H415" s="3" t="s">
        <v>21</v>
      </c>
      <c r="I415" s="4" t="s">
        <v>22</v>
      </c>
      <c r="J415" s="4" t="s">
        <v>11</v>
      </c>
      <c r="K415" s="4" t="s">
        <v>12</v>
      </c>
    </row>
    <row r="416" spans="1:11">
      <c r="A416" s="5">
        <v>107</v>
      </c>
      <c r="B416" s="6">
        <v>45186</v>
      </c>
      <c r="C416" s="7">
        <v>0.6</v>
      </c>
      <c r="D416" s="5">
        <v>9.67</v>
      </c>
      <c r="E416" s="5">
        <v>904</v>
      </c>
      <c r="F416" s="5">
        <v>923.5</v>
      </c>
      <c r="G416" s="6">
        <v>45186</v>
      </c>
      <c r="H416" s="5"/>
      <c r="I416" s="5"/>
      <c r="J416" s="5">
        <f t="shared" ref="J416:J426" si="55">F416-E416</f>
        <v>19.5</v>
      </c>
      <c r="K416" s="8" t="b">
        <f t="shared" ref="K416:K426" si="56">E416=F415</f>
        <v>0</v>
      </c>
    </row>
    <row r="417" spans="1:11">
      <c r="A417" s="5">
        <v>107</v>
      </c>
      <c r="B417" s="6">
        <v>45189</v>
      </c>
      <c r="C417" s="7">
        <v>0.5</v>
      </c>
      <c r="D417" s="5">
        <v>11.6</v>
      </c>
      <c r="E417" s="5">
        <v>923.5</v>
      </c>
      <c r="F417" s="5">
        <v>935</v>
      </c>
      <c r="G417" s="6">
        <v>45189</v>
      </c>
      <c r="H417" s="5"/>
      <c r="I417" s="5"/>
      <c r="J417" s="5">
        <f t="shared" si="55"/>
        <v>11.5</v>
      </c>
      <c r="K417" s="8" t="b">
        <f t="shared" si="56"/>
        <v>1</v>
      </c>
    </row>
    <row r="418" spans="1:11">
      <c r="A418" s="5">
        <v>107</v>
      </c>
      <c r="B418" s="6">
        <v>45190</v>
      </c>
      <c r="C418" s="7">
        <v>0.5</v>
      </c>
      <c r="D418" s="5">
        <v>11.6</v>
      </c>
      <c r="E418" s="5">
        <v>935</v>
      </c>
      <c r="F418" s="5">
        <v>946.5</v>
      </c>
      <c r="G418" s="6">
        <v>45190</v>
      </c>
      <c r="H418" s="5"/>
      <c r="I418" s="5"/>
      <c r="J418" s="5">
        <f t="shared" si="55"/>
        <v>11.5</v>
      </c>
      <c r="K418" s="8" t="b">
        <f t="shared" si="56"/>
        <v>1</v>
      </c>
    </row>
    <row r="419" spans="1:11">
      <c r="A419" s="5">
        <v>107</v>
      </c>
      <c r="B419" s="6">
        <v>45207</v>
      </c>
      <c r="C419" s="7">
        <v>0.5</v>
      </c>
      <c r="D419" s="5">
        <v>11.6</v>
      </c>
      <c r="E419" s="5">
        <v>946.5</v>
      </c>
      <c r="F419" s="5">
        <v>970.3</v>
      </c>
      <c r="G419" s="6">
        <v>45207</v>
      </c>
      <c r="H419" s="5"/>
      <c r="I419" s="5"/>
      <c r="J419" s="5">
        <f t="shared" si="55"/>
        <v>23.799999999999955</v>
      </c>
      <c r="K419" s="8" t="b">
        <f t="shared" si="56"/>
        <v>1</v>
      </c>
    </row>
    <row r="420" spans="1:11">
      <c r="A420" s="5">
        <v>107</v>
      </c>
      <c r="B420" s="6">
        <v>45208</v>
      </c>
      <c r="C420" s="7">
        <v>1</v>
      </c>
      <c r="D420" s="5">
        <v>4.68</v>
      </c>
      <c r="E420" s="5">
        <v>970.3</v>
      </c>
      <c r="F420" s="5">
        <v>981.9</v>
      </c>
      <c r="G420" s="6">
        <v>45208</v>
      </c>
      <c r="H420" s="5"/>
      <c r="I420" s="5"/>
      <c r="J420" s="5">
        <f t="shared" si="55"/>
        <v>11.600000000000023</v>
      </c>
      <c r="K420" s="8" t="b">
        <f t="shared" si="56"/>
        <v>1</v>
      </c>
    </row>
    <row r="421" spans="1:11">
      <c r="A421" s="5">
        <v>107</v>
      </c>
      <c r="B421" s="6">
        <v>45209</v>
      </c>
      <c r="C421" s="7">
        <v>1</v>
      </c>
      <c r="D421" s="5">
        <v>4.68</v>
      </c>
      <c r="E421" s="5">
        <v>981.9</v>
      </c>
      <c r="F421" s="5">
        <v>994.9</v>
      </c>
      <c r="G421" s="6">
        <v>45209</v>
      </c>
      <c r="H421" s="5"/>
      <c r="I421" s="5"/>
      <c r="J421" s="5">
        <f t="shared" si="55"/>
        <v>13</v>
      </c>
      <c r="K421" s="8" t="b">
        <f t="shared" si="56"/>
        <v>1</v>
      </c>
    </row>
    <row r="422" spans="1:11">
      <c r="A422" s="5">
        <v>107</v>
      </c>
      <c r="B422" s="6">
        <v>45210</v>
      </c>
      <c r="C422" s="7">
        <v>1</v>
      </c>
      <c r="D422" s="5">
        <v>4.68</v>
      </c>
      <c r="E422" s="5">
        <v>994.9</v>
      </c>
      <c r="F422" s="5">
        <v>1006.5</v>
      </c>
      <c r="G422" s="6">
        <v>45210</v>
      </c>
      <c r="H422" s="5"/>
      <c r="I422" s="5"/>
      <c r="J422" s="5">
        <f t="shared" si="55"/>
        <v>11.600000000000023</v>
      </c>
      <c r="K422" s="8" t="b">
        <f t="shared" si="56"/>
        <v>1</v>
      </c>
    </row>
    <row r="423" spans="1:11">
      <c r="A423" s="5">
        <v>107</v>
      </c>
      <c r="B423" s="6">
        <v>45211</v>
      </c>
      <c r="C423" s="7">
        <v>1</v>
      </c>
      <c r="D423" s="5">
        <v>4.68</v>
      </c>
      <c r="E423" s="5">
        <v>1006.5</v>
      </c>
      <c r="F423" s="5">
        <v>1018</v>
      </c>
      <c r="G423" s="6">
        <v>45211</v>
      </c>
      <c r="H423" s="5"/>
      <c r="I423" s="5"/>
      <c r="J423" s="5">
        <f t="shared" si="55"/>
        <v>11.5</v>
      </c>
      <c r="K423" s="8" t="b">
        <f t="shared" si="56"/>
        <v>1</v>
      </c>
    </row>
    <row r="424" spans="1:11">
      <c r="A424" s="5">
        <v>107</v>
      </c>
      <c r="B424" s="6">
        <v>45212</v>
      </c>
      <c r="C424" s="7">
        <v>1</v>
      </c>
      <c r="D424" s="5">
        <v>4.68</v>
      </c>
      <c r="E424" s="5">
        <v>1018</v>
      </c>
      <c r="F424" s="5">
        <v>1029.5</v>
      </c>
      <c r="G424" s="6">
        <v>45212</v>
      </c>
      <c r="H424" s="5"/>
      <c r="I424" s="5"/>
      <c r="J424" s="5">
        <f t="shared" si="55"/>
        <v>11.5</v>
      </c>
      <c r="K424" s="8" t="b">
        <f t="shared" si="56"/>
        <v>1</v>
      </c>
    </row>
    <row r="425" spans="1:11">
      <c r="A425" s="5">
        <v>107</v>
      </c>
      <c r="B425" s="6">
        <v>45213</v>
      </c>
      <c r="C425" s="7">
        <v>1</v>
      </c>
      <c r="D425" s="5">
        <v>4.68</v>
      </c>
      <c r="E425" s="5">
        <v>1029.5</v>
      </c>
      <c r="F425" s="5">
        <v>1041.3</v>
      </c>
      <c r="G425" s="6">
        <v>45213</v>
      </c>
      <c r="H425" s="5"/>
      <c r="I425" s="5"/>
      <c r="J425" s="5">
        <f t="shared" si="55"/>
        <v>11.799999999999955</v>
      </c>
      <c r="K425" s="8" t="b">
        <f t="shared" si="56"/>
        <v>1</v>
      </c>
    </row>
    <row r="426" spans="1:11">
      <c r="A426" s="5">
        <v>107</v>
      </c>
      <c r="B426" s="6">
        <v>45214</v>
      </c>
      <c r="C426" s="7">
        <v>1</v>
      </c>
      <c r="D426" s="5">
        <v>4.68</v>
      </c>
      <c r="E426" s="5">
        <v>1041.3</v>
      </c>
      <c r="F426" s="5">
        <v>1052.4000000000001</v>
      </c>
      <c r="G426" s="6">
        <v>45214</v>
      </c>
      <c r="H426" s="5"/>
      <c r="I426" s="5"/>
      <c r="J426" s="5">
        <f t="shared" si="55"/>
        <v>11.100000000000136</v>
      </c>
      <c r="K426" s="8" t="b">
        <f t="shared" si="56"/>
        <v>1</v>
      </c>
    </row>
    <row r="427" spans="1:11">
      <c r="A427" s="5">
        <v>107</v>
      </c>
      <c r="B427" s="6">
        <v>45215</v>
      </c>
      <c r="C427" s="7">
        <v>1</v>
      </c>
      <c r="D427" s="5">
        <v>4.68</v>
      </c>
      <c r="E427" s="5">
        <v>1052.4000000000001</v>
      </c>
      <c r="F427" s="5">
        <v>1063.9000000000001</v>
      </c>
      <c r="G427" s="6">
        <v>45215</v>
      </c>
      <c r="H427" s="5"/>
      <c r="I427" s="5"/>
      <c r="J427" s="5">
        <f t="shared" ref="J427:J437" si="57">F427-E427</f>
        <v>11.5</v>
      </c>
      <c r="K427" s="8" t="b">
        <f t="shared" ref="K427:K437" si="58">E427=F426</f>
        <v>1</v>
      </c>
    </row>
    <row r="428" spans="1:11">
      <c r="A428" s="5">
        <v>107</v>
      </c>
      <c r="B428" s="6">
        <v>45216</v>
      </c>
      <c r="C428" s="7">
        <v>1</v>
      </c>
      <c r="D428" s="5">
        <v>4.68</v>
      </c>
      <c r="E428" s="5">
        <v>1063.9000000000001</v>
      </c>
      <c r="F428" s="5">
        <v>1075.3</v>
      </c>
      <c r="G428" s="6">
        <v>45216</v>
      </c>
      <c r="H428" s="5"/>
      <c r="I428" s="5"/>
      <c r="J428" s="5">
        <f t="shared" si="57"/>
        <v>11.399999999999864</v>
      </c>
      <c r="K428" s="8" t="b">
        <f t="shared" si="58"/>
        <v>1</v>
      </c>
    </row>
    <row r="429" spans="1:11">
      <c r="A429" s="5">
        <v>107</v>
      </c>
      <c r="B429" s="6">
        <v>45217</v>
      </c>
      <c r="C429" s="7">
        <v>1</v>
      </c>
      <c r="D429" s="5">
        <v>4.68</v>
      </c>
      <c r="E429" s="5">
        <v>1075.3</v>
      </c>
      <c r="F429" s="5">
        <v>1086.8</v>
      </c>
      <c r="G429" s="6">
        <v>45217</v>
      </c>
      <c r="H429" s="5"/>
      <c r="I429" s="5"/>
      <c r="J429" s="5">
        <f t="shared" si="57"/>
        <v>11.5</v>
      </c>
      <c r="K429" s="8" t="b">
        <f t="shared" si="58"/>
        <v>1</v>
      </c>
    </row>
    <row r="430" spans="1:11">
      <c r="A430" s="5">
        <v>107</v>
      </c>
      <c r="B430" s="6">
        <v>45218</v>
      </c>
      <c r="C430" s="7">
        <v>1</v>
      </c>
      <c r="D430" s="5">
        <v>4.68</v>
      </c>
      <c r="E430" s="5">
        <v>1086.8</v>
      </c>
      <c r="F430" s="5">
        <v>1098.3</v>
      </c>
      <c r="G430" s="6">
        <v>45218</v>
      </c>
      <c r="H430" s="5"/>
      <c r="I430" s="5"/>
      <c r="J430" s="5">
        <f t="shared" si="57"/>
        <v>11.5</v>
      </c>
      <c r="K430" s="8" t="b">
        <f t="shared" si="58"/>
        <v>1</v>
      </c>
    </row>
    <row r="431" spans="1:11">
      <c r="A431" s="5">
        <v>107</v>
      </c>
      <c r="B431" s="6">
        <v>45220</v>
      </c>
      <c r="C431" s="7">
        <v>1</v>
      </c>
      <c r="D431" s="5">
        <v>4.68</v>
      </c>
      <c r="E431" s="5">
        <v>1098.3</v>
      </c>
      <c r="F431" s="5">
        <v>1109.7</v>
      </c>
      <c r="G431" s="6">
        <v>45220</v>
      </c>
      <c r="H431" s="5"/>
      <c r="I431" s="5"/>
      <c r="J431" s="5">
        <f t="shared" si="57"/>
        <v>11.400000000000091</v>
      </c>
      <c r="K431" s="8" t="b">
        <f t="shared" si="58"/>
        <v>1</v>
      </c>
    </row>
    <row r="432" spans="1:11">
      <c r="A432" s="5">
        <v>107</v>
      </c>
      <c r="B432" s="6">
        <v>45222</v>
      </c>
      <c r="C432" s="7">
        <v>0.8</v>
      </c>
      <c r="D432" s="5">
        <v>5.85</v>
      </c>
      <c r="E432" s="5">
        <v>1109.7</v>
      </c>
      <c r="F432" s="5">
        <v>1121.2</v>
      </c>
      <c r="G432" s="6">
        <v>45222</v>
      </c>
      <c r="H432" s="5"/>
      <c r="I432" s="5"/>
      <c r="J432" s="5">
        <f t="shared" si="57"/>
        <v>11.5</v>
      </c>
      <c r="K432" s="8" t="b">
        <f t="shared" si="58"/>
        <v>1</v>
      </c>
    </row>
    <row r="433" spans="1:11">
      <c r="A433" s="80">
        <v>107</v>
      </c>
      <c r="B433" s="81">
        <v>45223</v>
      </c>
      <c r="C433" s="82">
        <v>1</v>
      </c>
      <c r="D433" s="80">
        <v>4.68</v>
      </c>
      <c r="E433" s="80">
        <v>1121.2</v>
      </c>
      <c r="F433" s="80">
        <v>1133.2</v>
      </c>
      <c r="G433" s="81">
        <v>45223</v>
      </c>
      <c r="H433" s="80"/>
      <c r="I433" s="80"/>
      <c r="J433" s="80">
        <f t="shared" si="57"/>
        <v>12</v>
      </c>
      <c r="K433" s="8" t="b">
        <f t="shared" si="58"/>
        <v>1</v>
      </c>
    </row>
    <row r="434" spans="1:11">
      <c r="A434" s="5">
        <v>107</v>
      </c>
      <c r="B434" s="6">
        <v>45224</v>
      </c>
      <c r="C434" s="7">
        <v>1</v>
      </c>
      <c r="D434" s="5">
        <v>4.68</v>
      </c>
      <c r="E434" s="5">
        <v>1133.2</v>
      </c>
      <c r="F434" s="5">
        <v>1144.7</v>
      </c>
      <c r="G434" s="6">
        <v>45224</v>
      </c>
      <c r="H434" s="5"/>
      <c r="I434" s="5"/>
      <c r="J434" s="5">
        <f t="shared" si="57"/>
        <v>11.5</v>
      </c>
      <c r="K434" s="8" t="b">
        <f t="shared" si="58"/>
        <v>1</v>
      </c>
    </row>
    <row r="435" spans="1:11">
      <c r="A435" s="5">
        <v>107</v>
      </c>
      <c r="B435" s="6">
        <v>45226</v>
      </c>
      <c r="C435" s="7">
        <v>1</v>
      </c>
      <c r="D435" s="5">
        <v>4.68</v>
      </c>
      <c r="E435" s="5">
        <v>1144.7</v>
      </c>
      <c r="F435" s="5">
        <v>1157.8</v>
      </c>
      <c r="G435" s="6">
        <v>45226</v>
      </c>
      <c r="H435" s="5"/>
      <c r="I435" s="5"/>
      <c r="J435" s="5">
        <f t="shared" si="57"/>
        <v>13.099999999999909</v>
      </c>
      <c r="K435" s="8" t="b">
        <f t="shared" si="58"/>
        <v>1</v>
      </c>
    </row>
    <row r="436" spans="1:11">
      <c r="A436" s="5">
        <v>107</v>
      </c>
      <c r="B436" s="6">
        <v>45228</v>
      </c>
      <c r="C436" s="7">
        <v>0.8</v>
      </c>
      <c r="D436" s="5">
        <v>5.85</v>
      </c>
      <c r="E436" s="5">
        <v>1157.8</v>
      </c>
      <c r="F436" s="5">
        <v>1173.3</v>
      </c>
      <c r="G436" s="6">
        <v>45228</v>
      </c>
      <c r="H436" s="5"/>
      <c r="I436" s="5"/>
      <c r="J436" s="5">
        <f t="shared" si="57"/>
        <v>15.5</v>
      </c>
      <c r="K436" s="8" t="b">
        <f t="shared" si="58"/>
        <v>1</v>
      </c>
    </row>
    <row r="437" spans="1:11">
      <c r="A437" s="5">
        <v>107</v>
      </c>
      <c r="B437" s="6">
        <v>45230</v>
      </c>
      <c r="C437" s="7">
        <v>0.8</v>
      </c>
      <c r="D437" s="5">
        <v>5.85</v>
      </c>
      <c r="E437" s="5">
        <v>1173.3</v>
      </c>
      <c r="F437" s="5">
        <v>1187.7</v>
      </c>
      <c r="G437" s="6">
        <v>45230</v>
      </c>
      <c r="H437" s="5"/>
      <c r="I437" s="5"/>
      <c r="J437" s="5">
        <f t="shared" si="57"/>
        <v>14.400000000000091</v>
      </c>
      <c r="K437" s="8" t="b">
        <f t="shared" si="58"/>
        <v>1</v>
      </c>
    </row>
    <row r="438" spans="1:11">
      <c r="A438" s="5">
        <v>107</v>
      </c>
      <c r="B438" s="6">
        <v>45232</v>
      </c>
      <c r="C438" s="7">
        <v>0.8</v>
      </c>
      <c r="D438" s="5">
        <v>5.85</v>
      </c>
      <c r="E438" s="5">
        <v>1187.7</v>
      </c>
      <c r="F438" s="5">
        <v>1201.9000000000001</v>
      </c>
      <c r="G438" s="6">
        <v>45232</v>
      </c>
      <c r="H438" s="5"/>
      <c r="I438" s="5"/>
      <c r="J438" s="5">
        <f t="shared" ref="J438:J451" si="59">F438-E438</f>
        <v>14.200000000000045</v>
      </c>
      <c r="K438" s="8" t="b">
        <f t="shared" ref="K438:K451" si="60">E438=F437</f>
        <v>1</v>
      </c>
    </row>
    <row r="439" spans="1:11">
      <c r="A439" s="5">
        <v>107</v>
      </c>
      <c r="B439" s="6">
        <v>45237</v>
      </c>
      <c r="C439" s="7">
        <v>0.8</v>
      </c>
      <c r="D439" s="5">
        <v>5.85</v>
      </c>
      <c r="E439" s="5">
        <v>1201.9000000000001</v>
      </c>
      <c r="F439" s="5">
        <v>1216.4000000000001</v>
      </c>
      <c r="G439" s="6">
        <v>45237</v>
      </c>
      <c r="H439" s="5"/>
      <c r="I439" s="5"/>
      <c r="J439" s="5">
        <f t="shared" si="59"/>
        <v>14.5</v>
      </c>
      <c r="K439" s="8" t="b">
        <f t="shared" si="60"/>
        <v>1</v>
      </c>
    </row>
    <row r="440" spans="1:11">
      <c r="A440" s="5">
        <v>107</v>
      </c>
      <c r="B440" s="6">
        <v>45238</v>
      </c>
      <c r="C440" s="7">
        <v>0.8</v>
      </c>
      <c r="D440" s="5">
        <v>5.85</v>
      </c>
      <c r="E440" s="5">
        <v>1216.4000000000001</v>
      </c>
      <c r="F440" s="5">
        <v>1230.5999999999999</v>
      </c>
      <c r="G440" s="6">
        <v>45238</v>
      </c>
      <c r="H440" s="5"/>
      <c r="I440" s="5"/>
      <c r="J440" s="5">
        <f t="shared" si="59"/>
        <v>14.199999999999818</v>
      </c>
      <c r="K440" s="8" t="b">
        <f t="shared" si="60"/>
        <v>1</v>
      </c>
    </row>
    <row r="441" spans="1:11">
      <c r="A441" s="5">
        <v>107</v>
      </c>
      <c r="B441" s="6">
        <v>45241</v>
      </c>
      <c r="C441" s="7">
        <v>0.7</v>
      </c>
      <c r="D441" s="5">
        <v>6.69</v>
      </c>
      <c r="E441" s="5">
        <v>1230.5999999999999</v>
      </c>
      <c r="F441" s="5">
        <v>1247</v>
      </c>
      <c r="G441" s="6">
        <v>45241</v>
      </c>
      <c r="H441" s="5"/>
      <c r="I441" s="5"/>
      <c r="J441" s="5">
        <f t="shared" si="59"/>
        <v>16.400000000000091</v>
      </c>
      <c r="K441" s="8" t="b">
        <f t="shared" si="60"/>
        <v>1</v>
      </c>
    </row>
    <row r="442" spans="1:11">
      <c r="A442" s="5">
        <v>107</v>
      </c>
      <c r="B442" s="6">
        <v>45243</v>
      </c>
      <c r="C442" s="7">
        <v>0.7</v>
      </c>
      <c r="D442" s="5">
        <v>6.69</v>
      </c>
      <c r="E442" s="5">
        <v>1247</v>
      </c>
      <c r="F442" s="5">
        <v>1263.2</v>
      </c>
      <c r="G442" s="6">
        <v>45243</v>
      </c>
      <c r="H442" s="5"/>
      <c r="I442" s="5"/>
      <c r="J442" s="5">
        <f t="shared" si="59"/>
        <v>16.200000000000045</v>
      </c>
      <c r="K442" s="8" t="b">
        <f t="shared" si="60"/>
        <v>1</v>
      </c>
    </row>
    <row r="443" spans="1:11">
      <c r="A443" s="5">
        <v>107</v>
      </c>
      <c r="B443" s="6">
        <v>45245</v>
      </c>
      <c r="C443" s="7">
        <v>0.7</v>
      </c>
      <c r="D443" s="5">
        <v>6.69</v>
      </c>
      <c r="E443" s="5">
        <v>1263.2</v>
      </c>
      <c r="F443" s="5">
        <v>1279.4000000000001</v>
      </c>
      <c r="G443" s="6">
        <v>45245</v>
      </c>
      <c r="H443" s="5"/>
      <c r="I443" s="5"/>
      <c r="J443" s="5">
        <f t="shared" si="59"/>
        <v>16.200000000000045</v>
      </c>
      <c r="K443" s="8" t="b">
        <f t="shared" si="60"/>
        <v>1</v>
      </c>
    </row>
    <row r="444" spans="1:11">
      <c r="A444" s="5">
        <v>107</v>
      </c>
      <c r="B444" s="6">
        <v>45246</v>
      </c>
      <c r="C444" s="7">
        <v>0.6</v>
      </c>
      <c r="D444" s="5">
        <v>7.8</v>
      </c>
      <c r="E444" s="5">
        <v>1279.4000000000001</v>
      </c>
      <c r="F444" s="5">
        <v>1298.3</v>
      </c>
      <c r="G444" s="6">
        <v>45246</v>
      </c>
      <c r="H444" s="5"/>
      <c r="I444" s="5"/>
      <c r="J444" s="5">
        <f t="shared" si="59"/>
        <v>18.899999999999864</v>
      </c>
      <c r="K444" s="8" t="b">
        <f t="shared" si="60"/>
        <v>1</v>
      </c>
    </row>
    <row r="445" spans="1:11">
      <c r="A445" s="5">
        <v>107</v>
      </c>
      <c r="B445" s="6">
        <v>45247</v>
      </c>
      <c r="C445" s="7">
        <v>0.7</v>
      </c>
      <c r="D445" s="5">
        <v>6.69</v>
      </c>
      <c r="E445" s="5">
        <v>1298.3</v>
      </c>
      <c r="F445" s="5">
        <v>1314.6</v>
      </c>
      <c r="G445" s="6">
        <v>45247</v>
      </c>
      <c r="H445" s="5"/>
      <c r="I445" s="5"/>
      <c r="J445" s="5">
        <f t="shared" si="59"/>
        <v>16.299999999999955</v>
      </c>
      <c r="K445" s="8" t="b">
        <f t="shared" si="60"/>
        <v>1</v>
      </c>
    </row>
    <row r="446" spans="1:11">
      <c r="A446" s="5">
        <v>107</v>
      </c>
      <c r="B446" s="6">
        <v>45249</v>
      </c>
      <c r="C446" s="7">
        <v>0.7</v>
      </c>
      <c r="D446" s="5">
        <v>6.69</v>
      </c>
      <c r="E446" s="5">
        <v>1314.6</v>
      </c>
      <c r="F446" s="5">
        <v>1330.9</v>
      </c>
      <c r="G446" s="6">
        <v>45249</v>
      </c>
      <c r="H446" s="5"/>
      <c r="I446" s="5"/>
      <c r="J446" s="5">
        <f t="shared" si="59"/>
        <v>16.300000000000182</v>
      </c>
      <c r="K446" s="8" t="b">
        <f t="shared" si="60"/>
        <v>1</v>
      </c>
    </row>
    <row r="447" spans="1:11">
      <c r="A447" s="5">
        <v>107</v>
      </c>
      <c r="B447" s="6">
        <v>45251</v>
      </c>
      <c r="C447" s="7">
        <v>0.7</v>
      </c>
      <c r="D447" s="5">
        <v>6.69</v>
      </c>
      <c r="E447" s="5">
        <v>1330.9</v>
      </c>
      <c r="F447" s="5">
        <v>1347</v>
      </c>
      <c r="G447" s="6">
        <v>45251</v>
      </c>
      <c r="H447" s="5"/>
      <c r="I447" s="5"/>
      <c r="J447" s="5">
        <f t="shared" si="59"/>
        <v>16.099999999999909</v>
      </c>
      <c r="K447" s="8" t="b">
        <f t="shared" si="60"/>
        <v>1</v>
      </c>
    </row>
    <row r="448" spans="1:11">
      <c r="A448" s="5">
        <v>107</v>
      </c>
      <c r="B448" s="6">
        <v>45253</v>
      </c>
      <c r="C448" s="7">
        <v>0.7</v>
      </c>
      <c r="D448" s="5">
        <v>6.69</v>
      </c>
      <c r="E448" s="5">
        <v>1347</v>
      </c>
      <c r="F448" s="5">
        <v>1363.2</v>
      </c>
      <c r="G448" s="6">
        <v>45253</v>
      </c>
      <c r="H448" s="5"/>
      <c r="I448" s="5"/>
      <c r="J448" s="5">
        <f t="shared" si="59"/>
        <v>16.200000000000045</v>
      </c>
      <c r="K448" s="8" t="b">
        <f t="shared" si="60"/>
        <v>1</v>
      </c>
    </row>
    <row r="449" spans="1:11">
      <c r="A449" s="5">
        <v>107</v>
      </c>
      <c r="B449" s="6">
        <v>45254</v>
      </c>
      <c r="C449" s="7">
        <v>1</v>
      </c>
      <c r="D449" s="5">
        <v>4.68</v>
      </c>
      <c r="E449" s="5">
        <v>1363.2</v>
      </c>
      <c r="F449" s="5">
        <v>1375.6</v>
      </c>
      <c r="G449" s="6">
        <v>45254</v>
      </c>
      <c r="H449" s="5"/>
      <c r="I449" s="5"/>
      <c r="J449" s="5">
        <f t="shared" si="59"/>
        <v>12.399999999999864</v>
      </c>
      <c r="K449" s="8" t="b">
        <f t="shared" si="60"/>
        <v>1</v>
      </c>
    </row>
    <row r="450" spans="1:11">
      <c r="A450" s="5">
        <v>107</v>
      </c>
      <c r="B450" s="6">
        <v>45255</v>
      </c>
      <c r="C450" s="7">
        <v>1</v>
      </c>
      <c r="D450" s="5">
        <v>4.68</v>
      </c>
      <c r="E450" s="5">
        <v>1375.6</v>
      </c>
      <c r="F450" s="5">
        <v>1386.2</v>
      </c>
      <c r="G450" s="6">
        <v>45255</v>
      </c>
      <c r="H450" s="5"/>
      <c r="I450" s="5"/>
      <c r="J450" s="5">
        <f t="shared" si="59"/>
        <v>10.600000000000136</v>
      </c>
      <c r="K450" s="8" t="b">
        <f t="shared" si="60"/>
        <v>1</v>
      </c>
    </row>
    <row r="451" spans="1:11">
      <c r="A451" s="5">
        <v>107</v>
      </c>
      <c r="B451" s="6">
        <v>45257</v>
      </c>
      <c r="C451" s="7">
        <v>0.6</v>
      </c>
      <c r="D451" s="5">
        <v>7.8</v>
      </c>
      <c r="E451" s="5">
        <v>1386.2</v>
      </c>
      <c r="F451" s="5">
        <v>1406.2</v>
      </c>
      <c r="G451" s="6">
        <v>45255</v>
      </c>
      <c r="H451" s="5"/>
      <c r="I451" s="5"/>
      <c r="J451" s="5">
        <f t="shared" si="59"/>
        <v>20</v>
      </c>
      <c r="K451" s="8" t="b">
        <f t="shared" si="60"/>
        <v>1</v>
      </c>
    </row>
    <row r="452" spans="1:11">
      <c r="A452" s="5">
        <v>107</v>
      </c>
      <c r="B452" s="6">
        <v>45259</v>
      </c>
      <c r="C452" s="7">
        <v>0.6</v>
      </c>
      <c r="D452" s="5">
        <v>7.8</v>
      </c>
      <c r="E452" s="5">
        <v>1406.2</v>
      </c>
      <c r="F452" s="5">
        <v>1426.2</v>
      </c>
      <c r="G452" s="6">
        <v>45259</v>
      </c>
      <c r="H452" s="5"/>
      <c r="I452" s="5"/>
      <c r="J452" s="5">
        <f t="shared" ref="J452:J505" si="61">F452-E452</f>
        <v>20</v>
      </c>
      <c r="K452" s="8" t="b">
        <f t="shared" ref="K452:K515" si="62">E452=F451</f>
        <v>1</v>
      </c>
    </row>
    <row r="453" spans="1:11">
      <c r="A453" s="5">
        <v>107</v>
      </c>
      <c r="B453" s="6">
        <v>45260</v>
      </c>
      <c r="C453" s="7">
        <v>1</v>
      </c>
      <c r="D453" s="5">
        <v>4.68</v>
      </c>
      <c r="E453" s="5">
        <v>1426.2</v>
      </c>
      <c r="F453" s="5">
        <v>1438.6</v>
      </c>
      <c r="G453" s="6">
        <v>45260</v>
      </c>
      <c r="H453" s="5"/>
      <c r="I453" s="5"/>
      <c r="J453" s="5">
        <f t="shared" si="61"/>
        <v>12.399999999999864</v>
      </c>
      <c r="K453" s="8" t="b">
        <f t="shared" si="62"/>
        <v>1</v>
      </c>
    </row>
    <row r="454" spans="1:11">
      <c r="A454" s="5">
        <v>107</v>
      </c>
      <c r="B454" s="6">
        <v>45261</v>
      </c>
      <c r="C454" s="7">
        <v>0.6</v>
      </c>
      <c r="D454" s="5">
        <v>7.8</v>
      </c>
      <c r="E454" s="5">
        <v>1438.6</v>
      </c>
      <c r="F454" s="5">
        <v>1459.1</v>
      </c>
      <c r="G454" s="6">
        <v>45261</v>
      </c>
      <c r="H454" s="5"/>
      <c r="I454" s="5"/>
      <c r="J454" s="5">
        <f t="shared" si="61"/>
        <v>20.5</v>
      </c>
      <c r="K454" s="8" t="b">
        <f t="shared" si="62"/>
        <v>1</v>
      </c>
    </row>
    <row r="455" spans="1:11">
      <c r="A455" s="5">
        <v>107</v>
      </c>
      <c r="B455" s="6">
        <v>45262</v>
      </c>
      <c r="C455" s="7">
        <v>1</v>
      </c>
      <c r="D455" s="5">
        <v>4.68</v>
      </c>
      <c r="E455" s="5">
        <v>1459.1</v>
      </c>
      <c r="F455" s="5">
        <v>1471.1</v>
      </c>
      <c r="G455" s="6">
        <v>45262</v>
      </c>
      <c r="H455" s="5"/>
      <c r="I455" s="5"/>
      <c r="J455" s="5">
        <f t="shared" si="61"/>
        <v>12</v>
      </c>
      <c r="K455" s="8" t="b">
        <f t="shared" si="62"/>
        <v>1</v>
      </c>
    </row>
    <row r="456" spans="1:11">
      <c r="A456" s="5">
        <v>107</v>
      </c>
      <c r="B456" s="6">
        <v>45265</v>
      </c>
      <c r="C456" s="7">
        <v>0.6</v>
      </c>
      <c r="D456" s="5">
        <v>7.8</v>
      </c>
      <c r="E456" s="5">
        <v>1471.1</v>
      </c>
      <c r="F456" s="5">
        <v>1491.6</v>
      </c>
      <c r="G456" s="6">
        <v>45265</v>
      </c>
      <c r="H456" s="5"/>
      <c r="I456" s="5"/>
      <c r="J456" s="5">
        <f t="shared" si="61"/>
        <v>20.5</v>
      </c>
      <c r="K456" s="8" t="b">
        <f t="shared" si="62"/>
        <v>1</v>
      </c>
    </row>
    <row r="457" spans="1:11">
      <c r="A457" s="5">
        <v>107</v>
      </c>
      <c r="B457" s="6">
        <v>45267</v>
      </c>
      <c r="C457" s="7">
        <v>0.6</v>
      </c>
      <c r="D457" s="5">
        <v>7.8</v>
      </c>
      <c r="E457" s="5">
        <v>1491.6</v>
      </c>
      <c r="F457" s="5">
        <v>1510.5</v>
      </c>
      <c r="G457" s="6">
        <v>45267</v>
      </c>
      <c r="H457" s="5"/>
      <c r="I457" s="5"/>
      <c r="J457" s="5">
        <f t="shared" si="61"/>
        <v>18.900000000000091</v>
      </c>
      <c r="K457" s="8" t="b">
        <f t="shared" si="62"/>
        <v>1</v>
      </c>
    </row>
    <row r="458" spans="1:11">
      <c r="A458" s="5">
        <v>107</v>
      </c>
      <c r="B458" s="6">
        <v>45269</v>
      </c>
      <c r="C458" s="7">
        <v>0.5</v>
      </c>
      <c r="D458" s="5">
        <v>11.6</v>
      </c>
      <c r="E458" s="5">
        <v>1510.5</v>
      </c>
      <c r="F458" s="5">
        <v>1534.6</v>
      </c>
      <c r="G458" s="6">
        <v>45269</v>
      </c>
      <c r="H458" s="5"/>
      <c r="I458" s="5"/>
      <c r="J458" s="5">
        <f t="shared" si="61"/>
        <v>24.099999999999909</v>
      </c>
      <c r="K458" s="8" t="b">
        <f t="shared" si="62"/>
        <v>1</v>
      </c>
    </row>
    <row r="459" spans="1:11">
      <c r="A459" s="5">
        <v>107</v>
      </c>
      <c r="B459" s="6">
        <v>45271</v>
      </c>
      <c r="C459" s="7">
        <v>0.6</v>
      </c>
      <c r="D459" s="5">
        <v>7.8</v>
      </c>
      <c r="E459" s="5">
        <v>1534.6</v>
      </c>
      <c r="F459" s="5">
        <v>1555.1</v>
      </c>
      <c r="G459" s="6">
        <v>45271</v>
      </c>
      <c r="H459" s="5"/>
      <c r="I459" s="5"/>
      <c r="J459" s="5">
        <f t="shared" si="61"/>
        <v>20.5</v>
      </c>
      <c r="K459" s="8" t="b">
        <f t="shared" si="62"/>
        <v>1</v>
      </c>
    </row>
    <row r="460" spans="1:11">
      <c r="A460" s="5">
        <v>107</v>
      </c>
      <c r="B460" s="6">
        <v>45273</v>
      </c>
      <c r="C460" s="7">
        <v>0.6</v>
      </c>
      <c r="D460" s="5">
        <v>7.8</v>
      </c>
      <c r="E460" s="5">
        <v>1555.1</v>
      </c>
      <c r="F460" s="5">
        <v>1575.8</v>
      </c>
      <c r="G460" s="6">
        <v>45273</v>
      </c>
      <c r="H460" s="5"/>
      <c r="I460" s="5"/>
      <c r="J460" s="5">
        <f t="shared" si="61"/>
        <v>20.700000000000045</v>
      </c>
      <c r="K460" s="8" t="b">
        <f t="shared" si="62"/>
        <v>1</v>
      </c>
    </row>
    <row r="461" spans="1:11">
      <c r="A461" s="5">
        <v>107</v>
      </c>
      <c r="B461" s="6">
        <v>45275</v>
      </c>
      <c r="C461" s="7">
        <v>0.5</v>
      </c>
      <c r="D461" s="5">
        <v>11.6</v>
      </c>
      <c r="E461" s="5">
        <v>1575.8</v>
      </c>
      <c r="F461" s="5">
        <v>1598.4</v>
      </c>
      <c r="G461" s="6">
        <v>45275</v>
      </c>
      <c r="H461" s="5"/>
      <c r="I461" s="5"/>
      <c r="J461" s="5">
        <f t="shared" si="61"/>
        <v>22.600000000000136</v>
      </c>
      <c r="K461" s="8" t="b">
        <f t="shared" si="62"/>
        <v>1</v>
      </c>
    </row>
    <row r="462" spans="1:11">
      <c r="A462" s="5">
        <v>107</v>
      </c>
      <c r="B462" s="6">
        <v>45277</v>
      </c>
      <c r="C462" s="7">
        <v>0.6</v>
      </c>
      <c r="D462" s="5">
        <v>7.8</v>
      </c>
      <c r="E462" s="5">
        <v>1598.4</v>
      </c>
      <c r="F462" s="5">
        <v>1617.3</v>
      </c>
      <c r="G462" s="6">
        <v>45277</v>
      </c>
      <c r="H462" s="5"/>
      <c r="I462" s="5"/>
      <c r="J462" s="5">
        <f t="shared" si="61"/>
        <v>18.899999999999864</v>
      </c>
      <c r="K462" s="8" t="b">
        <f t="shared" si="62"/>
        <v>1</v>
      </c>
    </row>
    <row r="463" spans="1:11">
      <c r="A463" s="5">
        <v>107</v>
      </c>
      <c r="B463" s="6">
        <v>45279</v>
      </c>
      <c r="C463" s="7">
        <v>1</v>
      </c>
      <c r="D463" s="5">
        <v>4.68</v>
      </c>
      <c r="E463" s="5">
        <v>1617.3</v>
      </c>
      <c r="F463" s="5">
        <v>1628.7</v>
      </c>
      <c r="G463" s="6">
        <v>45279</v>
      </c>
      <c r="H463" s="5"/>
      <c r="I463" s="5"/>
      <c r="J463" s="5">
        <f t="shared" si="61"/>
        <v>11.400000000000091</v>
      </c>
      <c r="K463" s="8" t="b">
        <f t="shared" si="62"/>
        <v>1</v>
      </c>
    </row>
    <row r="464" spans="1:11">
      <c r="A464" s="5">
        <v>107</v>
      </c>
      <c r="B464" s="6">
        <v>45285</v>
      </c>
      <c r="C464" s="7">
        <v>0.8</v>
      </c>
      <c r="D464" s="5">
        <v>5.85</v>
      </c>
      <c r="E464" s="5">
        <v>1628.7</v>
      </c>
      <c r="F464" s="5">
        <v>1645.4</v>
      </c>
      <c r="G464" s="6">
        <v>45285</v>
      </c>
      <c r="H464" s="5"/>
      <c r="I464" s="5"/>
      <c r="J464" s="5">
        <f t="shared" si="61"/>
        <v>16.700000000000045</v>
      </c>
      <c r="K464" s="8" t="b">
        <f t="shared" si="62"/>
        <v>1</v>
      </c>
    </row>
    <row r="465" spans="1:11">
      <c r="A465" s="5">
        <v>107</v>
      </c>
      <c r="B465" s="6">
        <v>45287</v>
      </c>
      <c r="C465" s="7">
        <v>0.7</v>
      </c>
      <c r="D465" s="5">
        <v>6.69</v>
      </c>
      <c r="E465" s="5">
        <v>1645.4</v>
      </c>
      <c r="F465" s="5">
        <v>1661.7</v>
      </c>
      <c r="G465" s="6">
        <v>45287</v>
      </c>
      <c r="H465" s="5"/>
      <c r="I465" s="5"/>
      <c r="J465" s="5">
        <f t="shared" si="61"/>
        <v>16.299999999999955</v>
      </c>
      <c r="K465" s="8" t="b">
        <f t="shared" si="62"/>
        <v>1</v>
      </c>
    </row>
    <row r="466" spans="1:11">
      <c r="A466" s="5">
        <v>107</v>
      </c>
      <c r="B466" s="6">
        <v>45289</v>
      </c>
      <c r="C466" s="7">
        <v>0.7</v>
      </c>
      <c r="D466" s="5">
        <v>6.69</v>
      </c>
      <c r="E466" s="5">
        <v>1661.7</v>
      </c>
      <c r="F466" s="5">
        <v>1677.9</v>
      </c>
      <c r="G466" s="6">
        <v>45289</v>
      </c>
      <c r="H466" s="5"/>
      <c r="I466" s="5"/>
      <c r="J466" s="5">
        <f t="shared" si="61"/>
        <v>16.200000000000045</v>
      </c>
      <c r="K466" s="8" t="b">
        <f t="shared" si="62"/>
        <v>1</v>
      </c>
    </row>
    <row r="467" spans="1:11">
      <c r="A467" s="5">
        <v>107</v>
      </c>
      <c r="B467" s="6">
        <v>45291</v>
      </c>
      <c r="C467" s="7">
        <v>0.7</v>
      </c>
      <c r="D467" s="5">
        <v>6.69</v>
      </c>
      <c r="E467" s="5">
        <v>1677.9</v>
      </c>
      <c r="F467" s="5">
        <v>1694.4</v>
      </c>
      <c r="G467" s="6">
        <v>45291</v>
      </c>
      <c r="H467" s="5"/>
      <c r="I467" s="5"/>
      <c r="J467" s="5">
        <f t="shared" si="61"/>
        <v>16.5</v>
      </c>
      <c r="K467" s="8" t="b">
        <f t="shared" si="62"/>
        <v>1</v>
      </c>
    </row>
    <row r="468" spans="1:11">
      <c r="A468" s="5">
        <v>107</v>
      </c>
      <c r="B468" s="6">
        <v>45292</v>
      </c>
      <c r="C468" s="7">
        <v>0.8</v>
      </c>
      <c r="D468" s="5">
        <v>5.85</v>
      </c>
      <c r="E468" s="5">
        <v>1694.4</v>
      </c>
      <c r="F468" s="5">
        <v>1708.5</v>
      </c>
      <c r="G468" s="6">
        <v>45292</v>
      </c>
      <c r="H468" s="5"/>
      <c r="I468" s="5"/>
      <c r="J468" s="5">
        <f t="shared" si="61"/>
        <v>14.099999999999909</v>
      </c>
      <c r="K468" s="8" t="b">
        <f t="shared" si="62"/>
        <v>1</v>
      </c>
    </row>
    <row r="469" spans="1:11" ht="26.25">
      <c r="A469" s="181" t="s">
        <v>92</v>
      </c>
      <c r="B469" s="182"/>
      <c r="C469" s="182"/>
      <c r="D469" s="182"/>
      <c r="E469" s="182"/>
      <c r="F469" s="182"/>
      <c r="G469" s="182"/>
      <c r="H469" s="182"/>
      <c r="I469" s="182"/>
      <c r="J469" s="182"/>
      <c r="K469" s="183"/>
    </row>
    <row r="470" spans="1:11" ht="26.25">
      <c r="A470" s="181" t="s">
        <v>99</v>
      </c>
      <c r="B470" s="182"/>
      <c r="C470" s="182"/>
      <c r="D470" s="182"/>
      <c r="E470" s="182"/>
      <c r="F470" s="182"/>
      <c r="G470" s="182"/>
      <c r="H470" s="182"/>
      <c r="I470" s="182"/>
      <c r="J470" s="182"/>
      <c r="K470" s="183"/>
    </row>
    <row r="471" spans="1:11" ht="15.75" thickBot="1"/>
    <row r="472" spans="1:11" ht="15.75" thickBot="1">
      <c r="A472" s="132" t="s">
        <v>2</v>
      </c>
      <c r="B472" s="133"/>
      <c r="C472" s="133"/>
      <c r="D472" s="133"/>
      <c r="E472" s="133"/>
      <c r="F472" s="133"/>
      <c r="G472" s="133"/>
      <c r="H472" s="133"/>
      <c r="I472" s="133"/>
      <c r="J472" s="133"/>
      <c r="K472" s="134"/>
    </row>
    <row r="474" spans="1:11" ht="19.5" thickBot="1">
      <c r="A474" s="1" t="s">
        <v>3</v>
      </c>
      <c r="B474" s="1"/>
      <c r="C474" s="1"/>
      <c r="D474" s="1"/>
      <c r="E474" s="1"/>
      <c r="F474" s="1"/>
      <c r="G474" s="1"/>
      <c r="H474" s="1"/>
      <c r="I474" s="1"/>
    </row>
    <row r="475" spans="1:11" ht="30.75" thickBot="1">
      <c r="A475" s="2" t="s">
        <v>4</v>
      </c>
      <c r="B475" s="3" t="s">
        <v>5</v>
      </c>
      <c r="C475" s="3" t="s">
        <v>6</v>
      </c>
      <c r="D475" s="3" t="s">
        <v>7</v>
      </c>
      <c r="E475" s="3" t="s">
        <v>8</v>
      </c>
      <c r="F475" s="3" t="s">
        <v>9</v>
      </c>
      <c r="G475" s="3" t="s">
        <v>10</v>
      </c>
      <c r="H475" s="3" t="s">
        <v>21</v>
      </c>
      <c r="I475" s="4" t="s">
        <v>22</v>
      </c>
      <c r="J475" s="4" t="s">
        <v>11</v>
      </c>
      <c r="K475" s="4" t="s">
        <v>12</v>
      </c>
    </row>
    <row r="476" spans="1:11">
      <c r="A476" s="5">
        <v>107</v>
      </c>
      <c r="B476" s="6">
        <v>45324</v>
      </c>
      <c r="C476" s="7">
        <v>1</v>
      </c>
      <c r="D476" s="5">
        <v>4.68</v>
      </c>
      <c r="E476" s="5">
        <v>0</v>
      </c>
      <c r="F476" s="5">
        <v>5.3</v>
      </c>
      <c r="G476" s="6">
        <v>45324</v>
      </c>
      <c r="H476" s="5"/>
      <c r="I476" s="5"/>
      <c r="J476" s="5">
        <f t="shared" si="61"/>
        <v>5.3</v>
      </c>
      <c r="K476" s="8" t="b">
        <f t="shared" si="62"/>
        <v>0</v>
      </c>
    </row>
    <row r="477" spans="1:11">
      <c r="A477" s="5">
        <v>107</v>
      </c>
      <c r="B477" s="6">
        <v>45325</v>
      </c>
      <c r="C477" s="7">
        <v>0.6</v>
      </c>
      <c r="D477" s="5">
        <v>7.8</v>
      </c>
      <c r="E477" s="5">
        <v>5.3</v>
      </c>
      <c r="F477" s="5">
        <v>15.7</v>
      </c>
      <c r="G477" s="6">
        <v>45325</v>
      </c>
      <c r="H477" s="5"/>
      <c r="I477" s="5"/>
      <c r="J477" s="5">
        <f t="shared" si="61"/>
        <v>10.399999999999999</v>
      </c>
      <c r="K477" s="8" t="b">
        <f t="shared" si="62"/>
        <v>1</v>
      </c>
    </row>
    <row r="478" spans="1:11">
      <c r="A478" s="5">
        <v>107</v>
      </c>
      <c r="B478" s="6">
        <v>45326</v>
      </c>
      <c r="C478" s="7">
        <v>1</v>
      </c>
      <c r="D478" s="5">
        <v>4.68</v>
      </c>
      <c r="E478" s="5">
        <v>15.7</v>
      </c>
      <c r="F478" s="5">
        <v>27.2</v>
      </c>
      <c r="G478" s="6">
        <v>45326</v>
      </c>
      <c r="H478" s="5"/>
      <c r="I478" s="5"/>
      <c r="J478" s="5">
        <f t="shared" si="61"/>
        <v>11.5</v>
      </c>
      <c r="K478" s="8" t="b">
        <f t="shared" si="62"/>
        <v>1</v>
      </c>
    </row>
    <row r="479" spans="1:11">
      <c r="A479" s="5">
        <v>107</v>
      </c>
      <c r="B479" s="6">
        <v>45327</v>
      </c>
      <c r="C479" s="7">
        <v>1</v>
      </c>
      <c r="D479" s="5">
        <v>4.68</v>
      </c>
      <c r="E479" s="5">
        <v>27.2</v>
      </c>
      <c r="F479" s="5">
        <v>38.6</v>
      </c>
      <c r="G479" s="6">
        <v>45327</v>
      </c>
      <c r="H479" s="5"/>
      <c r="I479" s="5"/>
      <c r="J479" s="5">
        <f t="shared" si="61"/>
        <v>11.400000000000002</v>
      </c>
      <c r="K479" s="8" t="b">
        <f t="shared" si="62"/>
        <v>1</v>
      </c>
    </row>
    <row r="480" spans="1:11">
      <c r="A480" s="5">
        <v>107</v>
      </c>
      <c r="B480" s="6">
        <v>45328</v>
      </c>
      <c r="C480" s="7">
        <v>1</v>
      </c>
      <c r="D480" s="5">
        <v>4.68</v>
      </c>
      <c r="E480" s="5">
        <v>38.6</v>
      </c>
      <c r="F480" s="5">
        <v>50.1</v>
      </c>
      <c r="G480" s="6">
        <v>45328</v>
      </c>
      <c r="H480" s="5"/>
      <c r="I480" s="5"/>
      <c r="J480" s="5">
        <f t="shared" si="61"/>
        <v>11.5</v>
      </c>
      <c r="K480" s="8" t="b">
        <f t="shared" si="62"/>
        <v>1</v>
      </c>
    </row>
    <row r="481" spans="1:11">
      <c r="A481" s="5">
        <v>107</v>
      </c>
      <c r="B481" s="6">
        <v>45329</v>
      </c>
      <c r="C481" s="7">
        <v>1</v>
      </c>
      <c r="D481" s="5">
        <v>4.68</v>
      </c>
      <c r="E481" s="5">
        <v>50.1</v>
      </c>
      <c r="F481" s="5">
        <v>61.6</v>
      </c>
      <c r="G481" s="6">
        <v>45329</v>
      </c>
      <c r="H481" s="5"/>
      <c r="I481" s="5"/>
      <c r="J481" s="5">
        <f t="shared" si="61"/>
        <v>11.5</v>
      </c>
      <c r="K481" s="8" t="b">
        <f t="shared" si="62"/>
        <v>1</v>
      </c>
    </row>
    <row r="482" spans="1:11">
      <c r="A482" s="101">
        <v>107</v>
      </c>
      <c r="B482" s="102">
        <v>45330</v>
      </c>
      <c r="C482" s="103">
        <v>1</v>
      </c>
      <c r="D482" s="101">
        <v>4.68</v>
      </c>
      <c r="E482" s="101">
        <v>61.6</v>
      </c>
      <c r="F482" s="101">
        <v>68.599999999999994</v>
      </c>
      <c r="G482" s="102">
        <v>45330</v>
      </c>
      <c r="H482" s="101"/>
      <c r="I482" s="101"/>
      <c r="J482" s="101">
        <f t="shared" si="61"/>
        <v>6.9999999999999929</v>
      </c>
      <c r="K482" s="8" t="b">
        <f t="shared" si="62"/>
        <v>1</v>
      </c>
    </row>
    <row r="483" spans="1:11">
      <c r="A483" s="5">
        <v>107</v>
      </c>
      <c r="B483" s="6">
        <v>45338</v>
      </c>
      <c r="C483" s="7">
        <v>1</v>
      </c>
      <c r="D483" s="5">
        <v>4.68</v>
      </c>
      <c r="E483" s="5">
        <v>68.599999999999994</v>
      </c>
      <c r="F483" s="5">
        <v>80.5</v>
      </c>
      <c r="G483" s="6">
        <v>45338</v>
      </c>
      <c r="H483" s="5"/>
      <c r="I483" s="5"/>
      <c r="J483" s="5">
        <f t="shared" si="61"/>
        <v>11.900000000000006</v>
      </c>
      <c r="K483" s="8" t="b">
        <f t="shared" si="62"/>
        <v>1</v>
      </c>
    </row>
    <row r="484" spans="1:11">
      <c r="A484" s="5">
        <v>107</v>
      </c>
      <c r="B484" s="6">
        <v>45342</v>
      </c>
      <c r="C484" s="7">
        <v>1</v>
      </c>
      <c r="D484" s="5">
        <v>4.68</v>
      </c>
      <c r="E484" s="5">
        <v>80.5</v>
      </c>
      <c r="F484" s="5">
        <v>89.9</v>
      </c>
      <c r="G484" s="6">
        <v>45342</v>
      </c>
      <c r="H484" s="5"/>
      <c r="I484" s="5"/>
      <c r="J484" s="5">
        <f t="shared" si="61"/>
        <v>9.4000000000000057</v>
      </c>
      <c r="K484" s="8" t="b">
        <f t="shared" si="62"/>
        <v>1</v>
      </c>
    </row>
    <row r="485" spans="1:11">
      <c r="A485" s="5">
        <v>107</v>
      </c>
      <c r="B485" s="6">
        <v>45350</v>
      </c>
      <c r="C485" s="7">
        <v>0.7</v>
      </c>
      <c r="D485" s="5">
        <v>6.69</v>
      </c>
      <c r="E485" s="5">
        <v>89.9</v>
      </c>
      <c r="F485" s="5">
        <v>113.3</v>
      </c>
      <c r="G485" s="6">
        <v>45350</v>
      </c>
      <c r="H485" s="5"/>
      <c r="I485" s="5"/>
      <c r="J485" s="5">
        <f t="shared" si="61"/>
        <v>23.399999999999991</v>
      </c>
      <c r="K485" s="8" t="b">
        <f t="shared" si="62"/>
        <v>1</v>
      </c>
    </row>
    <row r="486" spans="1:11">
      <c r="A486" s="5">
        <v>107</v>
      </c>
      <c r="B486" s="6">
        <v>45353</v>
      </c>
      <c r="C486" s="7">
        <v>0.6</v>
      </c>
      <c r="D486" s="5">
        <v>7.8</v>
      </c>
      <c r="E486" s="5">
        <v>113.3</v>
      </c>
      <c r="F486" s="5">
        <v>132.30000000000001</v>
      </c>
      <c r="G486" s="6">
        <v>45353</v>
      </c>
      <c r="H486" s="5"/>
      <c r="I486" s="5"/>
      <c r="J486" s="5">
        <f t="shared" si="61"/>
        <v>19.000000000000014</v>
      </c>
      <c r="K486" s="8" t="b">
        <f t="shared" si="62"/>
        <v>1</v>
      </c>
    </row>
    <row r="487" spans="1:11">
      <c r="A487" s="5">
        <v>107</v>
      </c>
      <c r="B487" s="6">
        <v>45361</v>
      </c>
      <c r="C487" s="7">
        <v>1</v>
      </c>
      <c r="D487" s="5">
        <v>4.68</v>
      </c>
      <c r="E487" s="5">
        <v>132.30000000000001</v>
      </c>
      <c r="F487" s="5">
        <v>143.80000000000001</v>
      </c>
      <c r="G487" s="6">
        <v>45361</v>
      </c>
      <c r="H487" s="5"/>
      <c r="I487" s="5"/>
      <c r="J487" s="5">
        <f t="shared" si="61"/>
        <v>11.5</v>
      </c>
      <c r="K487" s="8" t="b">
        <f t="shared" si="62"/>
        <v>1</v>
      </c>
    </row>
    <row r="488" spans="1:11">
      <c r="A488" s="5">
        <v>107</v>
      </c>
      <c r="B488" s="6">
        <v>45364</v>
      </c>
      <c r="C488" s="7">
        <v>1</v>
      </c>
      <c r="D488" s="5">
        <v>4.68</v>
      </c>
      <c r="E488" s="5">
        <v>143.80000000000001</v>
      </c>
      <c r="F488" s="5">
        <v>155.30000000000001</v>
      </c>
      <c r="G488" s="6">
        <v>45364</v>
      </c>
      <c r="H488" s="5"/>
      <c r="I488" s="5"/>
      <c r="J488" s="5">
        <f t="shared" si="61"/>
        <v>11.5</v>
      </c>
      <c r="K488" s="8" t="b">
        <f t="shared" si="62"/>
        <v>1</v>
      </c>
    </row>
    <row r="489" spans="1:11">
      <c r="A489" s="5">
        <v>107</v>
      </c>
      <c r="B489" s="6">
        <v>45366</v>
      </c>
      <c r="C489" s="7">
        <v>0.7</v>
      </c>
      <c r="D489" s="5">
        <v>6.69</v>
      </c>
      <c r="E489" s="5">
        <v>155.30000000000001</v>
      </c>
      <c r="F489" s="5">
        <v>171.6</v>
      </c>
      <c r="G489" s="6">
        <v>45366</v>
      </c>
      <c r="H489" s="5"/>
      <c r="I489" s="5"/>
      <c r="J489" s="5">
        <f t="shared" si="61"/>
        <v>16.299999999999983</v>
      </c>
      <c r="K489" s="8" t="b">
        <f t="shared" si="62"/>
        <v>1</v>
      </c>
    </row>
    <row r="490" spans="1:11">
      <c r="A490" s="5">
        <v>107</v>
      </c>
      <c r="B490" s="6">
        <v>45371</v>
      </c>
      <c r="C490" s="7">
        <v>0.6</v>
      </c>
      <c r="D490" s="5">
        <v>7.8</v>
      </c>
      <c r="E490" s="5">
        <v>171.6</v>
      </c>
      <c r="F490" s="5">
        <v>190.8</v>
      </c>
      <c r="G490" s="6">
        <v>45371</v>
      </c>
      <c r="H490" s="5"/>
      <c r="I490" s="5"/>
      <c r="J490" s="5">
        <f t="shared" si="61"/>
        <v>19.200000000000017</v>
      </c>
      <c r="K490" s="8" t="b">
        <f t="shared" si="62"/>
        <v>1</v>
      </c>
    </row>
    <row r="491" spans="1:11">
      <c r="A491" s="5">
        <v>107</v>
      </c>
      <c r="B491" s="6">
        <v>45377</v>
      </c>
      <c r="C491" s="7">
        <v>1</v>
      </c>
      <c r="D491" s="5">
        <v>4.68</v>
      </c>
      <c r="E491" s="5">
        <v>190.8</v>
      </c>
      <c r="F491" s="5">
        <v>202.6</v>
      </c>
      <c r="G491" s="6">
        <v>45377</v>
      </c>
      <c r="H491" s="5"/>
      <c r="I491" s="5"/>
      <c r="J491" s="5">
        <f t="shared" si="61"/>
        <v>11.799999999999983</v>
      </c>
      <c r="K491" s="8" t="b">
        <f t="shared" si="62"/>
        <v>1</v>
      </c>
    </row>
    <row r="492" spans="1:11">
      <c r="A492" s="5">
        <v>107</v>
      </c>
      <c r="B492" s="6">
        <v>45379</v>
      </c>
      <c r="C492" s="7">
        <v>1</v>
      </c>
      <c r="D492" s="5">
        <v>4.68</v>
      </c>
      <c r="E492" s="5">
        <v>202.6</v>
      </c>
      <c r="F492" s="5">
        <v>214.1</v>
      </c>
      <c r="G492" s="6">
        <v>45379</v>
      </c>
      <c r="H492" s="5"/>
      <c r="I492" s="5"/>
      <c r="J492" s="5">
        <f t="shared" si="61"/>
        <v>11.5</v>
      </c>
      <c r="K492" s="8" t="b">
        <f t="shared" si="62"/>
        <v>1</v>
      </c>
    </row>
    <row r="493" spans="1:11">
      <c r="A493" s="5">
        <v>107</v>
      </c>
      <c r="B493" s="6">
        <v>45381</v>
      </c>
      <c r="C493" s="7">
        <v>0.6</v>
      </c>
      <c r="D493" s="5">
        <v>7.8</v>
      </c>
      <c r="E493" s="5">
        <v>214.1</v>
      </c>
      <c r="F493" s="5">
        <v>233.6</v>
      </c>
      <c r="G493" s="6">
        <v>45381</v>
      </c>
      <c r="H493" s="5"/>
      <c r="I493" s="5"/>
      <c r="J493" s="5">
        <f t="shared" si="61"/>
        <v>19.5</v>
      </c>
      <c r="K493" s="8" t="b">
        <f t="shared" si="62"/>
        <v>1</v>
      </c>
    </row>
    <row r="494" spans="1:11">
      <c r="A494" s="5">
        <v>107</v>
      </c>
      <c r="B494" s="6">
        <v>45385</v>
      </c>
      <c r="C494" s="7">
        <v>1</v>
      </c>
      <c r="D494" s="5">
        <v>4.68</v>
      </c>
      <c r="E494" s="5">
        <v>233.6</v>
      </c>
      <c r="F494" s="5">
        <v>241.2</v>
      </c>
      <c r="G494" s="6">
        <v>45385</v>
      </c>
      <c r="H494" s="5"/>
      <c r="I494" s="5"/>
      <c r="J494" s="5">
        <f t="shared" si="61"/>
        <v>7.5999999999999943</v>
      </c>
      <c r="K494" s="8" t="b">
        <f t="shared" si="62"/>
        <v>1</v>
      </c>
    </row>
    <row r="495" spans="1:11">
      <c r="A495" s="5">
        <v>107</v>
      </c>
      <c r="B495" s="6">
        <v>45391</v>
      </c>
      <c r="C495" s="7">
        <v>0.7</v>
      </c>
      <c r="D495" s="5">
        <v>6.69</v>
      </c>
      <c r="E495" s="5">
        <v>241.2</v>
      </c>
      <c r="F495" s="5">
        <v>253.6</v>
      </c>
      <c r="G495" s="6">
        <v>45391</v>
      </c>
      <c r="H495" s="5"/>
      <c r="I495" s="5"/>
      <c r="J495" s="5">
        <f t="shared" si="61"/>
        <v>12.400000000000006</v>
      </c>
      <c r="K495" s="8" t="b">
        <f t="shared" si="62"/>
        <v>1</v>
      </c>
    </row>
    <row r="496" spans="1:11">
      <c r="A496" s="5">
        <v>107</v>
      </c>
      <c r="B496" s="6">
        <v>45395</v>
      </c>
      <c r="C496" s="7">
        <v>1</v>
      </c>
      <c r="D496" s="5">
        <v>4.68</v>
      </c>
      <c r="E496" s="5">
        <v>253.6</v>
      </c>
      <c r="F496" s="5">
        <v>259.89999999999998</v>
      </c>
      <c r="G496" s="6">
        <v>45395</v>
      </c>
      <c r="H496" s="5"/>
      <c r="I496" s="5"/>
      <c r="J496" s="5">
        <f t="shared" si="61"/>
        <v>6.2999999999999829</v>
      </c>
      <c r="K496" s="8" t="b">
        <f t="shared" si="62"/>
        <v>1</v>
      </c>
    </row>
    <row r="497" spans="1:11">
      <c r="A497" s="5">
        <v>107</v>
      </c>
      <c r="B497" s="6">
        <v>45398</v>
      </c>
      <c r="C497" s="7">
        <v>1</v>
      </c>
      <c r="D497" s="5">
        <v>4.68</v>
      </c>
      <c r="E497" s="5">
        <v>259.89999999999998</v>
      </c>
      <c r="F497" s="5">
        <v>266.8</v>
      </c>
      <c r="G497" s="6">
        <v>45398</v>
      </c>
      <c r="H497" s="5"/>
      <c r="I497" s="5"/>
      <c r="J497" s="5">
        <f t="shared" si="61"/>
        <v>6.9000000000000341</v>
      </c>
      <c r="K497" s="8" t="b">
        <f t="shared" si="62"/>
        <v>1</v>
      </c>
    </row>
    <row r="498" spans="1:11">
      <c r="A498" s="5">
        <v>107</v>
      </c>
      <c r="B498" s="6">
        <v>45400</v>
      </c>
      <c r="C498" s="7">
        <v>1</v>
      </c>
      <c r="D498" s="5">
        <v>4.68</v>
      </c>
      <c r="E498" s="5">
        <v>266.8</v>
      </c>
      <c r="F498" s="5">
        <v>278.8</v>
      </c>
      <c r="G498" s="6">
        <v>45400</v>
      </c>
      <c r="H498" s="5"/>
      <c r="I498" s="5"/>
      <c r="J498" s="5">
        <f t="shared" si="61"/>
        <v>12</v>
      </c>
      <c r="K498" s="8" t="b">
        <f t="shared" si="62"/>
        <v>1</v>
      </c>
    </row>
    <row r="499" spans="1:11">
      <c r="A499" s="5">
        <v>107</v>
      </c>
      <c r="B499" s="6">
        <v>45404</v>
      </c>
      <c r="C499" s="7">
        <v>0.7</v>
      </c>
      <c r="D499" s="5">
        <v>6.69</v>
      </c>
      <c r="E499" s="5">
        <v>278.8</v>
      </c>
      <c r="F499" s="5">
        <v>294.89999999999998</v>
      </c>
      <c r="G499" s="6">
        <v>45404</v>
      </c>
      <c r="H499" s="5"/>
      <c r="I499" s="5"/>
      <c r="J499" s="5">
        <f t="shared" si="61"/>
        <v>16.099999999999966</v>
      </c>
      <c r="K499" s="8" t="b">
        <f t="shared" si="62"/>
        <v>1</v>
      </c>
    </row>
    <row r="500" spans="1:11">
      <c r="A500" s="5">
        <v>107</v>
      </c>
      <c r="B500" s="6">
        <v>45407</v>
      </c>
      <c r="C500" s="7">
        <v>0.7</v>
      </c>
      <c r="D500" s="5">
        <v>6.69</v>
      </c>
      <c r="E500" s="5">
        <v>294.89999999999998</v>
      </c>
      <c r="F500" s="5">
        <v>312.60000000000002</v>
      </c>
      <c r="G500" s="6">
        <v>45407</v>
      </c>
      <c r="H500" s="5"/>
      <c r="I500" s="5"/>
      <c r="J500" s="5">
        <f t="shared" si="61"/>
        <v>17.700000000000045</v>
      </c>
      <c r="K500" s="8" t="b">
        <f t="shared" si="62"/>
        <v>1</v>
      </c>
    </row>
    <row r="501" spans="1:11">
      <c r="A501" s="5">
        <v>107</v>
      </c>
      <c r="B501" s="6">
        <v>45410</v>
      </c>
      <c r="C501" s="7">
        <v>0.7</v>
      </c>
      <c r="D501" s="5">
        <v>6.69</v>
      </c>
      <c r="E501" s="5">
        <v>312.60000000000002</v>
      </c>
      <c r="F501" s="5">
        <v>328.7</v>
      </c>
      <c r="G501" s="6">
        <v>45410</v>
      </c>
      <c r="H501" s="5"/>
      <c r="I501" s="5"/>
      <c r="J501" s="5">
        <f t="shared" si="61"/>
        <v>16.099999999999966</v>
      </c>
      <c r="K501" s="8" t="b">
        <f t="shared" si="62"/>
        <v>1</v>
      </c>
    </row>
    <row r="502" spans="1:11">
      <c r="A502" s="5">
        <v>107</v>
      </c>
      <c r="B502" s="6">
        <v>45413</v>
      </c>
      <c r="C502" s="7">
        <v>0.7</v>
      </c>
      <c r="D502" s="5">
        <v>6.69</v>
      </c>
      <c r="E502" s="5">
        <v>328.7</v>
      </c>
      <c r="F502" s="5">
        <v>345</v>
      </c>
      <c r="G502" s="6">
        <v>45413</v>
      </c>
      <c r="H502" s="5"/>
      <c r="I502" s="5"/>
      <c r="J502" s="5">
        <f t="shared" si="61"/>
        <v>16.300000000000011</v>
      </c>
      <c r="K502" s="8" t="b">
        <f t="shared" si="62"/>
        <v>1</v>
      </c>
    </row>
    <row r="503" spans="1:11">
      <c r="A503" s="5">
        <v>107</v>
      </c>
      <c r="B503" s="6">
        <v>45416</v>
      </c>
      <c r="C503" s="7">
        <v>0.7</v>
      </c>
      <c r="D503" s="5">
        <v>6.69</v>
      </c>
      <c r="E503" s="5">
        <v>345</v>
      </c>
      <c r="F503" s="5">
        <v>361.4</v>
      </c>
      <c r="G503" s="6">
        <v>45416</v>
      </c>
      <c r="H503" s="5"/>
      <c r="I503" s="5"/>
      <c r="J503" s="5">
        <f t="shared" si="61"/>
        <v>16.399999999999977</v>
      </c>
      <c r="K503" s="8" t="b">
        <f t="shared" si="62"/>
        <v>1</v>
      </c>
    </row>
    <row r="504" spans="1:11">
      <c r="A504" s="5">
        <v>107</v>
      </c>
      <c r="B504" s="6">
        <v>45419</v>
      </c>
      <c r="C504" s="7">
        <v>0.7</v>
      </c>
      <c r="D504" s="5">
        <v>6.69</v>
      </c>
      <c r="E504" s="5">
        <v>361.4</v>
      </c>
      <c r="F504" s="5">
        <v>377.6</v>
      </c>
      <c r="G504" s="6">
        <v>45419</v>
      </c>
      <c r="H504" s="5"/>
      <c r="I504" s="5"/>
      <c r="J504" s="5">
        <f t="shared" si="61"/>
        <v>16.200000000000045</v>
      </c>
      <c r="K504" s="8" t="b">
        <f t="shared" si="62"/>
        <v>1</v>
      </c>
    </row>
    <row r="505" spans="1:11">
      <c r="A505" s="5">
        <v>107</v>
      </c>
      <c r="B505" s="6">
        <v>45423</v>
      </c>
      <c r="C505" s="7">
        <v>0.7</v>
      </c>
      <c r="D505" s="5">
        <v>6.69</v>
      </c>
      <c r="E505" s="5">
        <v>377.6</v>
      </c>
      <c r="F505" s="5">
        <v>393.8</v>
      </c>
      <c r="G505" s="6">
        <v>45423</v>
      </c>
      <c r="H505" s="5"/>
      <c r="I505" s="5"/>
      <c r="J505" s="5">
        <f t="shared" si="61"/>
        <v>16.199999999999989</v>
      </c>
      <c r="K505" s="8" t="b">
        <f t="shared" si="62"/>
        <v>1</v>
      </c>
    </row>
    <row r="506" spans="1:11">
      <c r="A506" s="5">
        <v>107</v>
      </c>
      <c r="B506" s="6">
        <v>45427</v>
      </c>
      <c r="C506" s="7">
        <v>0.7</v>
      </c>
      <c r="D506" s="5">
        <v>6.69</v>
      </c>
      <c r="E506" s="5">
        <v>393.8</v>
      </c>
      <c r="F506" s="5">
        <v>410</v>
      </c>
      <c r="G506" s="6">
        <v>45427</v>
      </c>
      <c r="H506" s="5"/>
      <c r="I506" s="5"/>
      <c r="J506" s="5">
        <f t="shared" ref="J506:J540" si="63">F506-E506</f>
        <v>16.199999999999989</v>
      </c>
      <c r="K506" s="8" t="b">
        <f t="shared" si="62"/>
        <v>1</v>
      </c>
    </row>
    <row r="507" spans="1:11">
      <c r="A507" s="5">
        <v>107</v>
      </c>
      <c r="B507" s="6">
        <v>45430</v>
      </c>
      <c r="C507" s="7">
        <v>0.6</v>
      </c>
      <c r="D507" s="5">
        <v>7.8</v>
      </c>
      <c r="E507" s="5">
        <v>410</v>
      </c>
      <c r="F507" s="5">
        <v>428.9</v>
      </c>
      <c r="G507" s="6">
        <v>45430</v>
      </c>
      <c r="H507" s="5"/>
      <c r="I507" s="5"/>
      <c r="J507" s="5">
        <f t="shared" si="63"/>
        <v>18.899999999999977</v>
      </c>
      <c r="K507" s="8" t="b">
        <f t="shared" si="62"/>
        <v>1</v>
      </c>
    </row>
    <row r="508" spans="1:11">
      <c r="A508" s="5">
        <v>107</v>
      </c>
      <c r="B508" s="6">
        <v>45433</v>
      </c>
      <c r="C508" s="7">
        <v>0.7</v>
      </c>
      <c r="D508" s="5">
        <v>6.69</v>
      </c>
      <c r="E508" s="5">
        <v>428.9</v>
      </c>
      <c r="F508" s="5">
        <v>445.4</v>
      </c>
      <c r="G508" s="6">
        <v>45433</v>
      </c>
      <c r="H508" s="5"/>
      <c r="I508" s="5"/>
      <c r="J508" s="5">
        <f t="shared" si="63"/>
        <v>16.5</v>
      </c>
      <c r="K508" s="8" t="b">
        <f t="shared" si="62"/>
        <v>1</v>
      </c>
    </row>
    <row r="509" spans="1:11">
      <c r="A509" s="5">
        <v>107</v>
      </c>
      <c r="B509" s="6">
        <v>45436</v>
      </c>
      <c r="C509" s="7">
        <v>0.7</v>
      </c>
      <c r="D509" s="5">
        <v>6.69</v>
      </c>
      <c r="E509" s="5">
        <v>445.4</v>
      </c>
      <c r="F509" s="5">
        <v>461.7</v>
      </c>
      <c r="G509" s="6">
        <v>45436</v>
      </c>
      <c r="H509" s="5"/>
      <c r="I509" s="5"/>
      <c r="J509" s="5">
        <f t="shared" si="63"/>
        <v>16.300000000000011</v>
      </c>
      <c r="K509" s="8" t="b">
        <f t="shared" si="62"/>
        <v>1</v>
      </c>
    </row>
    <row r="510" spans="1:11">
      <c r="A510" s="5">
        <v>107</v>
      </c>
      <c r="B510" s="6">
        <v>45439</v>
      </c>
      <c r="C510" s="7">
        <v>0.7</v>
      </c>
      <c r="D510" s="5">
        <v>6.69</v>
      </c>
      <c r="E510" s="5">
        <v>461.7</v>
      </c>
      <c r="F510" s="5">
        <v>477.8</v>
      </c>
      <c r="G510" s="6">
        <v>45439</v>
      </c>
      <c r="H510" s="5"/>
      <c r="I510" s="5"/>
      <c r="J510" s="5">
        <f t="shared" si="63"/>
        <v>16.100000000000023</v>
      </c>
      <c r="K510" s="8" t="b">
        <f t="shared" si="62"/>
        <v>1</v>
      </c>
    </row>
    <row r="511" spans="1:11">
      <c r="A511" s="5">
        <v>107</v>
      </c>
      <c r="B511" s="6">
        <v>45442</v>
      </c>
      <c r="C511" s="7">
        <v>0.7</v>
      </c>
      <c r="D511" s="5">
        <v>6.69</v>
      </c>
      <c r="E511" s="5">
        <v>477.8</v>
      </c>
      <c r="F511" s="5">
        <v>494.5</v>
      </c>
      <c r="G511" s="6">
        <v>45442</v>
      </c>
      <c r="H511" s="5"/>
      <c r="I511" s="5"/>
      <c r="J511" s="5">
        <f t="shared" si="63"/>
        <v>16.699999999999989</v>
      </c>
      <c r="K511" s="8" t="b">
        <f t="shared" si="62"/>
        <v>1</v>
      </c>
    </row>
    <row r="512" spans="1:11">
      <c r="A512" s="5">
        <v>107</v>
      </c>
      <c r="B512" s="6">
        <v>45445</v>
      </c>
      <c r="C512" s="7">
        <v>0.7</v>
      </c>
      <c r="D512" s="5">
        <v>8.2799999999999994</v>
      </c>
      <c r="E512" s="5">
        <v>494.5</v>
      </c>
      <c r="F512" s="5">
        <v>511</v>
      </c>
      <c r="G512" s="6">
        <v>45445</v>
      </c>
      <c r="H512" s="5"/>
      <c r="I512" s="5"/>
      <c r="J512" s="5">
        <f t="shared" si="63"/>
        <v>16.5</v>
      </c>
      <c r="K512" s="8" t="b">
        <f t="shared" si="62"/>
        <v>1</v>
      </c>
    </row>
    <row r="513" spans="1:11">
      <c r="A513" s="5">
        <v>107</v>
      </c>
      <c r="B513" s="6">
        <v>45448</v>
      </c>
      <c r="C513" s="7">
        <v>0.7</v>
      </c>
      <c r="D513" s="5">
        <v>8.2799999999999994</v>
      </c>
      <c r="E513" s="5">
        <v>511</v>
      </c>
      <c r="F513" s="5">
        <v>527.29999999999995</v>
      </c>
      <c r="G513" s="6">
        <v>45448</v>
      </c>
      <c r="H513" s="5"/>
      <c r="I513" s="5"/>
      <c r="J513" s="5">
        <f t="shared" si="63"/>
        <v>16.299999999999955</v>
      </c>
      <c r="K513" s="8" t="b">
        <f t="shared" si="62"/>
        <v>1</v>
      </c>
    </row>
    <row r="514" spans="1:11">
      <c r="A514" s="5">
        <v>107</v>
      </c>
      <c r="B514" s="6">
        <v>45449</v>
      </c>
      <c r="C514" s="7">
        <v>1</v>
      </c>
      <c r="D514" s="5">
        <v>5.8</v>
      </c>
      <c r="E514" s="5">
        <v>527.29999999999995</v>
      </c>
      <c r="F514" s="5">
        <v>539</v>
      </c>
      <c r="G514" s="6">
        <v>45449</v>
      </c>
      <c r="H514" s="5"/>
      <c r="I514" s="5"/>
      <c r="J514" s="5">
        <f t="shared" si="63"/>
        <v>11.700000000000045</v>
      </c>
      <c r="K514" s="8" t="b">
        <f t="shared" si="62"/>
        <v>1</v>
      </c>
    </row>
    <row r="515" spans="1:11">
      <c r="A515" s="5">
        <v>107</v>
      </c>
      <c r="B515" s="6">
        <v>45454</v>
      </c>
      <c r="C515" s="7">
        <v>0.7</v>
      </c>
      <c r="D515" s="5">
        <v>8.2799999999999994</v>
      </c>
      <c r="E515" s="5">
        <v>539</v>
      </c>
      <c r="F515" s="5">
        <v>555.4</v>
      </c>
      <c r="G515" s="6">
        <v>45454</v>
      </c>
      <c r="H515" s="5"/>
      <c r="I515" s="5"/>
      <c r="J515" s="5">
        <f t="shared" si="63"/>
        <v>16.399999999999977</v>
      </c>
      <c r="K515" s="8" t="b">
        <f t="shared" si="62"/>
        <v>1</v>
      </c>
    </row>
    <row r="516" spans="1:11">
      <c r="A516" s="5">
        <v>107</v>
      </c>
      <c r="B516" s="6">
        <v>45458</v>
      </c>
      <c r="C516" s="7">
        <v>0.6</v>
      </c>
      <c r="D516" s="5">
        <v>9.67</v>
      </c>
      <c r="E516" s="5">
        <v>555.4</v>
      </c>
      <c r="F516" s="5">
        <v>574.4</v>
      </c>
      <c r="G516" s="6">
        <v>45458</v>
      </c>
      <c r="H516" s="5"/>
      <c r="I516" s="5"/>
      <c r="J516" s="5">
        <f t="shared" si="63"/>
        <v>19</v>
      </c>
      <c r="K516" s="8" t="b">
        <f t="shared" ref="K516:K522" si="64">E516=F515</f>
        <v>1</v>
      </c>
    </row>
    <row r="517" spans="1:11">
      <c r="A517" s="5">
        <v>107</v>
      </c>
      <c r="B517" s="6">
        <v>45461</v>
      </c>
      <c r="C517" s="7">
        <v>0.9</v>
      </c>
      <c r="D517" s="5">
        <v>6.44</v>
      </c>
      <c r="E517" s="5">
        <v>574.4</v>
      </c>
      <c r="F517" s="5">
        <v>587.1</v>
      </c>
      <c r="G517" s="6">
        <v>45461</v>
      </c>
      <c r="H517" s="5"/>
      <c r="I517" s="5"/>
      <c r="J517" s="5">
        <f t="shared" si="63"/>
        <v>12.700000000000045</v>
      </c>
      <c r="K517" s="8" t="b">
        <f t="shared" si="64"/>
        <v>1</v>
      </c>
    </row>
    <row r="518" spans="1:11">
      <c r="A518" s="5">
        <v>107</v>
      </c>
      <c r="B518" s="6">
        <v>45463</v>
      </c>
      <c r="C518" s="7">
        <v>0.9</v>
      </c>
      <c r="D518" s="5">
        <v>6.44</v>
      </c>
      <c r="E518" s="5">
        <v>587.1</v>
      </c>
      <c r="F518" s="5">
        <v>599.70000000000005</v>
      </c>
      <c r="G518" s="6">
        <v>45463</v>
      </c>
      <c r="H518" s="5"/>
      <c r="I518" s="5"/>
      <c r="J518" s="5">
        <f t="shared" si="63"/>
        <v>12.600000000000023</v>
      </c>
      <c r="K518" s="8" t="b">
        <f t="shared" si="64"/>
        <v>1</v>
      </c>
    </row>
    <row r="519" spans="1:11">
      <c r="A519" s="5">
        <v>107</v>
      </c>
      <c r="B519" s="6">
        <v>45468</v>
      </c>
      <c r="C519" s="7">
        <v>0.5</v>
      </c>
      <c r="D519" s="5">
        <v>11.6</v>
      </c>
      <c r="E519" s="5">
        <v>599.70000000000005</v>
      </c>
      <c r="F519" s="5">
        <v>610.29999999999995</v>
      </c>
      <c r="G519" s="6">
        <v>45468</v>
      </c>
      <c r="H519" s="5"/>
      <c r="I519" s="5"/>
      <c r="J519" s="5">
        <f t="shared" si="63"/>
        <v>10.599999999999909</v>
      </c>
      <c r="K519" s="8" t="b">
        <f t="shared" si="64"/>
        <v>1</v>
      </c>
    </row>
    <row r="520" spans="1:11">
      <c r="A520" s="5">
        <v>107</v>
      </c>
      <c r="B520" s="6">
        <v>45469</v>
      </c>
      <c r="C520" s="7">
        <v>0.5</v>
      </c>
      <c r="D520" s="5">
        <v>11.6</v>
      </c>
      <c r="E520" s="5">
        <v>610.29999999999995</v>
      </c>
      <c r="F520" s="5">
        <v>622.29999999999995</v>
      </c>
      <c r="G520" s="6">
        <v>45469</v>
      </c>
      <c r="H520" s="5"/>
      <c r="I520" s="5"/>
      <c r="J520" s="5">
        <f t="shared" si="63"/>
        <v>12</v>
      </c>
      <c r="K520" s="8" t="b">
        <f t="shared" si="64"/>
        <v>1</v>
      </c>
    </row>
    <row r="521" spans="1:11">
      <c r="A521" s="5">
        <v>107</v>
      </c>
      <c r="B521" s="6">
        <v>45533</v>
      </c>
      <c r="C521" s="7">
        <v>0.5</v>
      </c>
      <c r="D521" s="5">
        <v>11.6</v>
      </c>
      <c r="E521" s="5">
        <v>622.29999999999995</v>
      </c>
      <c r="F521" s="5">
        <v>625.6</v>
      </c>
      <c r="G521" s="6">
        <v>45533</v>
      </c>
      <c r="H521" s="5"/>
      <c r="I521" s="5"/>
      <c r="J521" s="5">
        <f t="shared" si="63"/>
        <v>3.3000000000000682</v>
      </c>
      <c r="K521" s="8" t="b">
        <f t="shared" si="64"/>
        <v>1</v>
      </c>
    </row>
    <row r="522" spans="1:11">
      <c r="A522" s="5">
        <v>107</v>
      </c>
      <c r="B522" s="6"/>
      <c r="C522" s="7"/>
      <c r="D522" s="5"/>
      <c r="E522" s="5"/>
      <c r="F522" s="5"/>
      <c r="G522" s="6"/>
      <c r="H522" s="5"/>
      <c r="I522" s="5"/>
      <c r="J522" s="5">
        <f t="shared" si="63"/>
        <v>0</v>
      </c>
      <c r="K522" s="8" t="b">
        <f t="shared" si="64"/>
        <v>0</v>
      </c>
    </row>
    <row r="523" spans="1:11" ht="26.25">
      <c r="A523" s="181" t="s">
        <v>92</v>
      </c>
      <c r="B523" s="182"/>
      <c r="C523" s="182"/>
      <c r="D523" s="182"/>
      <c r="E523" s="182"/>
      <c r="F523" s="182"/>
      <c r="G523" s="182"/>
      <c r="H523" s="182"/>
      <c r="I523" s="182"/>
      <c r="J523" s="182"/>
      <c r="K523" s="183"/>
    </row>
    <row r="524" spans="1:11" ht="26.25">
      <c r="A524" s="181" t="s">
        <v>48</v>
      </c>
      <c r="B524" s="182"/>
      <c r="C524" s="182"/>
      <c r="D524" s="182"/>
      <c r="E524" s="182"/>
      <c r="F524" s="182"/>
      <c r="G524" s="182"/>
      <c r="H524" s="182"/>
      <c r="I524" s="182"/>
      <c r="J524" s="182"/>
      <c r="K524" s="183"/>
    </row>
    <row r="525" spans="1:11" ht="15.75" thickBot="1"/>
    <row r="526" spans="1:11" ht="15.75" thickBot="1">
      <c r="A526" s="132" t="s">
        <v>2</v>
      </c>
      <c r="B526" s="133"/>
      <c r="C526" s="133"/>
      <c r="D526" s="133"/>
      <c r="E526" s="133"/>
      <c r="F526" s="133"/>
      <c r="G526" s="133"/>
      <c r="H526" s="133"/>
      <c r="I526" s="133"/>
      <c r="J526" s="133"/>
      <c r="K526" s="134"/>
    </row>
    <row r="528" spans="1:11" ht="19.5" thickBot="1">
      <c r="A528" s="1" t="s">
        <v>3</v>
      </c>
      <c r="B528" s="1"/>
      <c r="C528" s="1"/>
      <c r="D528" s="1"/>
      <c r="E528" s="1"/>
      <c r="F528" s="1"/>
      <c r="G528" s="1"/>
      <c r="H528" s="1"/>
      <c r="I528" s="1"/>
    </row>
    <row r="529" spans="1:11" ht="30.75" thickBot="1">
      <c r="A529" s="2" t="s">
        <v>4</v>
      </c>
      <c r="B529" s="3" t="s">
        <v>5</v>
      </c>
      <c r="C529" s="3" t="s">
        <v>6</v>
      </c>
      <c r="D529" s="3" t="s">
        <v>7</v>
      </c>
      <c r="E529" s="3" t="s">
        <v>8</v>
      </c>
      <c r="F529" s="3" t="s">
        <v>9</v>
      </c>
      <c r="G529" s="3" t="s">
        <v>10</v>
      </c>
      <c r="H529" s="3" t="s">
        <v>21</v>
      </c>
      <c r="I529" s="4" t="s">
        <v>22</v>
      </c>
      <c r="J529" s="4" t="s">
        <v>11</v>
      </c>
      <c r="K529" s="4" t="s">
        <v>12</v>
      </c>
    </row>
    <row r="530" spans="1:11">
      <c r="A530" s="5">
        <v>107</v>
      </c>
      <c r="B530" s="6">
        <v>45533</v>
      </c>
      <c r="C530" s="7">
        <v>0.5</v>
      </c>
      <c r="D530" s="5">
        <v>9.36</v>
      </c>
      <c r="E530" s="5">
        <v>622.29999999999995</v>
      </c>
      <c r="F530" s="5">
        <v>625.6</v>
      </c>
      <c r="G530" s="6">
        <v>45533</v>
      </c>
      <c r="H530" s="5"/>
      <c r="I530" s="5"/>
      <c r="J530" s="5">
        <f t="shared" ref="J530" si="65">F530-E530</f>
        <v>3.3000000000000682</v>
      </c>
      <c r="K530" s="8" t="b">
        <f t="shared" ref="K530:K540" si="66">E530=F529</f>
        <v>0</v>
      </c>
    </row>
    <row r="531" spans="1:11">
      <c r="A531" s="5">
        <v>107</v>
      </c>
      <c r="B531" s="6">
        <v>45544</v>
      </c>
      <c r="C531" s="7">
        <v>0.5</v>
      </c>
      <c r="D531" s="5">
        <v>9.36</v>
      </c>
      <c r="E531" s="5">
        <v>625.29999999999995</v>
      </c>
      <c r="F531" s="5">
        <v>636.4</v>
      </c>
      <c r="G531" s="6">
        <v>45544</v>
      </c>
      <c r="H531" s="5"/>
      <c r="I531" s="5"/>
      <c r="J531" s="5">
        <f t="shared" si="63"/>
        <v>11.100000000000023</v>
      </c>
      <c r="K531" s="8" t="b">
        <f t="shared" si="66"/>
        <v>0</v>
      </c>
    </row>
    <row r="532" spans="1:11">
      <c r="A532" s="5">
        <v>107</v>
      </c>
      <c r="B532" s="6">
        <v>45545</v>
      </c>
      <c r="C532" s="7">
        <v>0.5</v>
      </c>
      <c r="D532" s="5">
        <v>9.36</v>
      </c>
      <c r="E532" s="5">
        <v>636.4</v>
      </c>
      <c r="F532" s="5">
        <v>647.6</v>
      </c>
      <c r="G532" s="6">
        <v>45545</v>
      </c>
      <c r="H532" s="5"/>
      <c r="I532" s="5"/>
      <c r="J532" s="5">
        <f t="shared" si="63"/>
        <v>11.200000000000045</v>
      </c>
      <c r="K532" s="8" t="b">
        <f t="shared" si="66"/>
        <v>1</v>
      </c>
    </row>
    <row r="533" spans="1:11">
      <c r="A533" s="5">
        <v>107</v>
      </c>
      <c r="B533" s="6">
        <v>45547</v>
      </c>
      <c r="C533" s="7">
        <v>0.5</v>
      </c>
      <c r="D533" s="5">
        <v>9.36</v>
      </c>
      <c r="E533" s="5">
        <v>647.6</v>
      </c>
      <c r="F533" s="5">
        <v>672</v>
      </c>
      <c r="G533" s="6">
        <v>45547</v>
      </c>
      <c r="H533" s="5"/>
      <c r="I533" s="5"/>
      <c r="J533" s="5">
        <f t="shared" si="63"/>
        <v>24.399999999999977</v>
      </c>
      <c r="K533" s="8" t="b">
        <f t="shared" si="66"/>
        <v>1</v>
      </c>
    </row>
    <row r="534" spans="1:11">
      <c r="A534" s="5">
        <v>107</v>
      </c>
      <c r="B534" s="6">
        <v>45563</v>
      </c>
      <c r="C534" s="7">
        <v>0.45</v>
      </c>
      <c r="D534" s="5">
        <v>10.4</v>
      </c>
      <c r="E534" s="5">
        <v>672</v>
      </c>
      <c r="F534" s="5">
        <v>697.6</v>
      </c>
      <c r="G534" s="6">
        <v>45563</v>
      </c>
      <c r="H534" s="5"/>
      <c r="I534" s="5"/>
      <c r="J534" s="5">
        <f t="shared" si="63"/>
        <v>25.600000000000023</v>
      </c>
      <c r="K534" s="8" t="b">
        <f t="shared" si="66"/>
        <v>1</v>
      </c>
    </row>
    <row r="535" spans="1:11">
      <c r="A535" s="5">
        <v>107</v>
      </c>
      <c r="B535" s="6">
        <v>45564</v>
      </c>
      <c r="C535" s="7">
        <v>0.45</v>
      </c>
      <c r="D535" s="5">
        <v>10.4</v>
      </c>
      <c r="E535" s="5">
        <v>697.6</v>
      </c>
      <c r="F535" s="5">
        <v>724.6</v>
      </c>
      <c r="G535" s="6">
        <v>45564</v>
      </c>
      <c r="H535" s="5"/>
      <c r="I535" s="5"/>
      <c r="J535" s="5">
        <f t="shared" si="63"/>
        <v>27</v>
      </c>
      <c r="K535" s="8" t="b">
        <f t="shared" si="66"/>
        <v>1</v>
      </c>
    </row>
    <row r="536" spans="1:11">
      <c r="A536" s="5">
        <v>107</v>
      </c>
      <c r="B536" s="6">
        <v>45568</v>
      </c>
      <c r="C536" s="7">
        <v>0.4</v>
      </c>
      <c r="D536" s="5">
        <v>11.7</v>
      </c>
      <c r="E536" s="5">
        <v>724.6</v>
      </c>
      <c r="F536" s="5">
        <v>751.2</v>
      </c>
      <c r="G536" s="6">
        <v>45568</v>
      </c>
      <c r="H536" s="5"/>
      <c r="I536" s="5"/>
      <c r="J536" s="5">
        <f t="shared" si="63"/>
        <v>26.600000000000023</v>
      </c>
      <c r="K536" s="8" t="b">
        <f t="shared" si="66"/>
        <v>1</v>
      </c>
    </row>
    <row r="537" spans="1:11">
      <c r="A537" s="5">
        <v>107</v>
      </c>
      <c r="B537" s="6">
        <v>45569</v>
      </c>
      <c r="C537" s="7">
        <v>0.5</v>
      </c>
      <c r="D537" s="5">
        <v>9.36</v>
      </c>
      <c r="E537" s="5">
        <v>751.2</v>
      </c>
      <c r="F537" s="5">
        <v>775.9</v>
      </c>
      <c r="G537" s="6">
        <v>45569</v>
      </c>
      <c r="H537" s="5"/>
      <c r="I537" s="5"/>
      <c r="J537" s="5">
        <f t="shared" si="63"/>
        <v>24.699999999999932</v>
      </c>
      <c r="K537" s="8" t="b">
        <f t="shared" si="66"/>
        <v>1</v>
      </c>
    </row>
    <row r="538" spans="1:11">
      <c r="A538" s="5">
        <v>107</v>
      </c>
      <c r="B538" s="6">
        <v>45574</v>
      </c>
      <c r="C538" s="7">
        <v>1</v>
      </c>
      <c r="D538" s="5">
        <v>4.68</v>
      </c>
      <c r="E538" s="5">
        <v>775.9</v>
      </c>
      <c r="F538" s="5">
        <v>787.4</v>
      </c>
      <c r="G538" s="6">
        <v>45574</v>
      </c>
      <c r="H538" s="5"/>
      <c r="I538" s="5"/>
      <c r="J538" s="5">
        <f t="shared" si="63"/>
        <v>11.5</v>
      </c>
      <c r="K538" s="8" t="b">
        <f t="shared" si="66"/>
        <v>1</v>
      </c>
    </row>
    <row r="539" spans="1:11">
      <c r="A539" s="5">
        <v>107</v>
      </c>
      <c r="B539" s="6">
        <v>45575</v>
      </c>
      <c r="C539" s="7">
        <v>1</v>
      </c>
      <c r="D539" s="5">
        <v>4.68</v>
      </c>
      <c r="E539" s="5">
        <v>787.4</v>
      </c>
      <c r="F539" s="5">
        <v>799.2</v>
      </c>
      <c r="G539" s="6">
        <v>45575</v>
      </c>
      <c r="H539" s="5"/>
      <c r="I539" s="5"/>
      <c r="J539" s="5">
        <f t="shared" si="63"/>
        <v>11.800000000000068</v>
      </c>
      <c r="K539" s="8" t="b">
        <f t="shared" si="66"/>
        <v>1</v>
      </c>
    </row>
    <row r="540" spans="1:11">
      <c r="A540" s="5">
        <v>107</v>
      </c>
      <c r="B540" s="6">
        <v>45576</v>
      </c>
      <c r="C540" s="7">
        <v>1</v>
      </c>
      <c r="D540" s="5">
        <v>4.68</v>
      </c>
      <c r="E540" s="5">
        <v>799.2</v>
      </c>
      <c r="F540" s="5">
        <v>822.8</v>
      </c>
      <c r="G540" s="6">
        <v>45566</v>
      </c>
      <c r="H540" s="5"/>
      <c r="I540" s="5"/>
      <c r="J540" s="5">
        <f t="shared" si="63"/>
        <v>23.599999999999909</v>
      </c>
      <c r="K540" s="8" t="b">
        <f t="shared" si="66"/>
        <v>1</v>
      </c>
    </row>
    <row r="541" spans="1:11">
      <c r="A541" s="5">
        <v>107</v>
      </c>
      <c r="B541" s="6">
        <v>45577</v>
      </c>
      <c r="C541" s="7">
        <v>1</v>
      </c>
      <c r="D541" s="5">
        <v>4.68</v>
      </c>
      <c r="E541" s="5">
        <v>822.8</v>
      </c>
      <c r="F541" s="5">
        <v>834.8</v>
      </c>
      <c r="G541" s="6">
        <v>45577</v>
      </c>
      <c r="H541" s="5"/>
      <c r="I541" s="5"/>
      <c r="J541" s="5">
        <f t="shared" ref="J541:J575" si="67">F541-E541</f>
        <v>12</v>
      </c>
      <c r="K541" s="8" t="b">
        <f t="shared" ref="K541:K575" si="68">E541=F540</f>
        <v>1</v>
      </c>
    </row>
    <row r="542" spans="1:11">
      <c r="A542" s="5">
        <v>107</v>
      </c>
      <c r="B542" s="6">
        <v>45578</v>
      </c>
      <c r="C542" s="7">
        <v>1</v>
      </c>
      <c r="D542" s="5">
        <v>4.68</v>
      </c>
      <c r="E542" s="5">
        <v>834.8</v>
      </c>
      <c r="F542" s="5">
        <v>846.8</v>
      </c>
      <c r="G542" s="6">
        <v>45578</v>
      </c>
      <c r="H542" s="5"/>
      <c r="I542" s="5"/>
      <c r="J542" s="5">
        <f t="shared" si="67"/>
        <v>12</v>
      </c>
      <c r="K542" s="8" t="b">
        <f t="shared" si="68"/>
        <v>1</v>
      </c>
    </row>
    <row r="543" spans="1:11">
      <c r="A543" s="5">
        <v>107</v>
      </c>
      <c r="B543" s="6">
        <v>45579</v>
      </c>
      <c r="C543" s="7">
        <v>1</v>
      </c>
      <c r="D543" s="5">
        <v>4.68</v>
      </c>
      <c r="E543" s="5">
        <v>846.8</v>
      </c>
      <c r="F543" s="5">
        <v>858.8</v>
      </c>
      <c r="G543" s="6">
        <v>45579</v>
      </c>
      <c r="H543" s="5"/>
      <c r="I543" s="5"/>
      <c r="J543" s="5">
        <f t="shared" si="67"/>
        <v>12</v>
      </c>
      <c r="K543" s="8" t="b">
        <f t="shared" si="68"/>
        <v>1</v>
      </c>
    </row>
    <row r="544" spans="1:11">
      <c r="A544" s="5">
        <v>107</v>
      </c>
      <c r="B544" s="6">
        <v>45580</v>
      </c>
      <c r="C544" s="7">
        <v>1</v>
      </c>
      <c r="D544" s="5">
        <v>4.68</v>
      </c>
      <c r="E544" s="5">
        <v>858.8</v>
      </c>
      <c r="F544" s="5">
        <v>870.2</v>
      </c>
      <c r="G544" s="6">
        <v>45580</v>
      </c>
      <c r="H544" s="5"/>
      <c r="I544" s="5"/>
      <c r="J544" s="5">
        <f t="shared" si="67"/>
        <v>11.400000000000091</v>
      </c>
      <c r="K544" s="8" t="b">
        <f t="shared" si="68"/>
        <v>1</v>
      </c>
    </row>
    <row r="545" spans="1:11">
      <c r="A545" s="5">
        <v>107</v>
      </c>
      <c r="B545" s="6"/>
      <c r="C545" s="7"/>
      <c r="D545" s="5"/>
      <c r="E545" s="5"/>
      <c r="F545" s="5"/>
      <c r="G545" s="6"/>
      <c r="H545" s="5"/>
      <c r="I545" s="5"/>
      <c r="J545" s="5">
        <f t="shared" si="67"/>
        <v>0</v>
      </c>
      <c r="K545" s="8" t="b">
        <f t="shared" si="68"/>
        <v>0</v>
      </c>
    </row>
    <row r="546" spans="1:11">
      <c r="A546" s="5">
        <v>107</v>
      </c>
      <c r="B546" s="6"/>
      <c r="C546" s="7"/>
      <c r="D546" s="5"/>
      <c r="E546" s="5"/>
      <c r="F546" s="5"/>
      <c r="G546" s="6"/>
      <c r="H546" s="5"/>
      <c r="I546" s="5"/>
      <c r="J546" s="5">
        <f t="shared" si="67"/>
        <v>0</v>
      </c>
      <c r="K546" s="8" t="b">
        <f t="shared" si="68"/>
        <v>1</v>
      </c>
    </row>
    <row r="547" spans="1:11">
      <c r="A547" s="5">
        <v>107</v>
      </c>
      <c r="B547" s="6"/>
      <c r="C547" s="7"/>
      <c r="D547" s="5"/>
      <c r="E547" s="5"/>
      <c r="F547" s="5"/>
      <c r="G547" s="6"/>
      <c r="H547" s="5"/>
      <c r="I547" s="5"/>
      <c r="J547" s="5">
        <f t="shared" si="67"/>
        <v>0</v>
      </c>
      <c r="K547" s="8" t="b">
        <f t="shared" si="68"/>
        <v>1</v>
      </c>
    </row>
    <row r="548" spans="1:11">
      <c r="A548" s="5">
        <v>107</v>
      </c>
      <c r="B548" s="6"/>
      <c r="C548" s="7"/>
      <c r="D548" s="5"/>
      <c r="E548" s="5"/>
      <c r="F548" s="5"/>
      <c r="G548" s="6"/>
      <c r="H548" s="5"/>
      <c r="I548" s="5"/>
      <c r="J548" s="5">
        <f t="shared" si="67"/>
        <v>0</v>
      </c>
      <c r="K548" s="8" t="b">
        <f t="shared" si="68"/>
        <v>1</v>
      </c>
    </row>
    <row r="549" spans="1:11">
      <c r="A549" s="5">
        <v>107</v>
      </c>
      <c r="B549" s="6"/>
      <c r="C549" s="7"/>
      <c r="D549" s="5"/>
      <c r="E549" s="5"/>
      <c r="F549" s="5"/>
      <c r="G549" s="6"/>
      <c r="H549" s="5"/>
      <c r="I549" s="5"/>
      <c r="J549" s="5">
        <f t="shared" si="67"/>
        <v>0</v>
      </c>
      <c r="K549" s="8" t="b">
        <f t="shared" si="68"/>
        <v>1</v>
      </c>
    </row>
    <row r="550" spans="1:11">
      <c r="A550" s="5">
        <v>107</v>
      </c>
      <c r="B550" s="6"/>
      <c r="C550" s="7"/>
      <c r="D550" s="5"/>
      <c r="E550" s="5"/>
      <c r="F550" s="5"/>
      <c r="G550" s="6"/>
      <c r="H550" s="5"/>
      <c r="I550" s="5"/>
      <c r="J550" s="5">
        <f t="shared" si="67"/>
        <v>0</v>
      </c>
      <c r="K550" s="8" t="b">
        <f t="shared" si="68"/>
        <v>1</v>
      </c>
    </row>
    <row r="551" spans="1:11">
      <c r="A551" s="5">
        <v>107</v>
      </c>
      <c r="B551" s="6"/>
      <c r="C551" s="7"/>
      <c r="D551" s="5"/>
      <c r="E551" s="5"/>
      <c r="F551" s="5"/>
      <c r="G551" s="6"/>
      <c r="H551" s="5"/>
      <c r="I551" s="5"/>
      <c r="J551" s="5">
        <f t="shared" si="67"/>
        <v>0</v>
      </c>
      <c r="K551" s="8" t="b">
        <f t="shared" si="68"/>
        <v>1</v>
      </c>
    </row>
    <row r="552" spans="1:11">
      <c r="A552" s="5">
        <v>107</v>
      </c>
      <c r="B552" s="6"/>
      <c r="C552" s="7"/>
      <c r="D552" s="5"/>
      <c r="E552" s="5"/>
      <c r="F552" s="5"/>
      <c r="G552" s="6"/>
      <c r="H552" s="5"/>
      <c r="I552" s="5"/>
      <c r="J552" s="5">
        <f t="shared" si="67"/>
        <v>0</v>
      </c>
      <c r="K552" s="8" t="b">
        <f t="shared" si="68"/>
        <v>1</v>
      </c>
    </row>
    <row r="553" spans="1:11">
      <c r="A553" s="5">
        <v>107</v>
      </c>
      <c r="B553" s="6"/>
      <c r="C553" s="7"/>
      <c r="D553" s="5"/>
      <c r="E553" s="5"/>
      <c r="F553" s="5"/>
      <c r="G553" s="6"/>
      <c r="H553" s="5"/>
      <c r="I553" s="5"/>
      <c r="J553" s="5">
        <f t="shared" si="67"/>
        <v>0</v>
      </c>
      <c r="K553" s="8" t="b">
        <f t="shared" si="68"/>
        <v>1</v>
      </c>
    </row>
    <row r="554" spans="1:11">
      <c r="A554" s="5">
        <v>107</v>
      </c>
      <c r="B554" s="6"/>
      <c r="C554" s="7"/>
      <c r="D554" s="5"/>
      <c r="E554" s="5"/>
      <c r="F554" s="5"/>
      <c r="G554" s="6"/>
      <c r="H554" s="5"/>
      <c r="I554" s="5"/>
      <c r="J554" s="5">
        <f t="shared" si="67"/>
        <v>0</v>
      </c>
      <c r="K554" s="8" t="b">
        <f t="shared" si="68"/>
        <v>1</v>
      </c>
    </row>
    <row r="555" spans="1:11">
      <c r="A555" s="5">
        <v>107</v>
      </c>
      <c r="B555" s="6"/>
      <c r="C555" s="7"/>
      <c r="D555" s="5"/>
      <c r="E555" s="5"/>
      <c r="F555" s="5"/>
      <c r="G555" s="6"/>
      <c r="H555" s="5"/>
      <c r="I555" s="5"/>
      <c r="J555" s="5">
        <f t="shared" si="67"/>
        <v>0</v>
      </c>
      <c r="K555" s="8" t="b">
        <f t="shared" si="68"/>
        <v>1</v>
      </c>
    </row>
    <row r="556" spans="1:11">
      <c r="A556" s="5">
        <v>107</v>
      </c>
      <c r="B556" s="6"/>
      <c r="C556" s="7"/>
      <c r="D556" s="5"/>
      <c r="E556" s="5"/>
      <c r="F556" s="5"/>
      <c r="G556" s="6"/>
      <c r="H556" s="5"/>
      <c r="I556" s="5"/>
      <c r="J556" s="5">
        <f t="shared" si="67"/>
        <v>0</v>
      </c>
      <c r="K556" s="8" t="b">
        <f t="shared" si="68"/>
        <v>1</v>
      </c>
    </row>
    <row r="557" spans="1:11">
      <c r="A557" s="5">
        <v>107</v>
      </c>
      <c r="B557" s="6"/>
      <c r="C557" s="7"/>
      <c r="D557" s="5"/>
      <c r="E557" s="5"/>
      <c r="F557" s="5"/>
      <c r="G557" s="6"/>
      <c r="H557" s="5"/>
      <c r="I557" s="5"/>
      <c r="J557" s="5">
        <f t="shared" si="67"/>
        <v>0</v>
      </c>
      <c r="K557" s="8" t="b">
        <f t="shared" si="68"/>
        <v>1</v>
      </c>
    </row>
    <row r="558" spans="1:11">
      <c r="A558" s="5">
        <v>107</v>
      </c>
      <c r="B558" s="6"/>
      <c r="C558" s="7"/>
      <c r="D558" s="5"/>
      <c r="E558" s="5"/>
      <c r="F558" s="5"/>
      <c r="G558" s="6"/>
      <c r="H558" s="5"/>
      <c r="I558" s="5"/>
      <c r="J558" s="5">
        <f t="shared" si="67"/>
        <v>0</v>
      </c>
      <c r="K558" s="8" t="b">
        <f t="shared" si="68"/>
        <v>1</v>
      </c>
    </row>
    <row r="559" spans="1:11">
      <c r="A559" s="5">
        <v>107</v>
      </c>
      <c r="B559" s="6"/>
      <c r="C559" s="7"/>
      <c r="D559" s="5"/>
      <c r="E559" s="5"/>
      <c r="F559" s="5"/>
      <c r="G559" s="6"/>
      <c r="H559" s="5"/>
      <c r="I559" s="5"/>
      <c r="J559" s="5">
        <f t="shared" si="67"/>
        <v>0</v>
      </c>
      <c r="K559" s="8" t="b">
        <f t="shared" si="68"/>
        <v>1</v>
      </c>
    </row>
    <row r="560" spans="1:11">
      <c r="A560" s="5">
        <v>107</v>
      </c>
      <c r="B560" s="6"/>
      <c r="C560" s="7"/>
      <c r="D560" s="5"/>
      <c r="E560" s="5"/>
      <c r="F560" s="5"/>
      <c r="G560" s="6"/>
      <c r="H560" s="5"/>
      <c r="I560" s="5"/>
      <c r="J560" s="5">
        <f t="shared" si="67"/>
        <v>0</v>
      </c>
      <c r="K560" s="8" t="b">
        <f t="shared" si="68"/>
        <v>1</v>
      </c>
    </row>
    <row r="561" spans="1:11">
      <c r="A561" s="5">
        <v>107</v>
      </c>
      <c r="B561" s="6"/>
      <c r="C561" s="7"/>
      <c r="D561" s="5"/>
      <c r="E561" s="5"/>
      <c r="F561" s="5"/>
      <c r="G561" s="6"/>
      <c r="H561" s="5"/>
      <c r="I561" s="5"/>
      <c r="J561" s="5">
        <f t="shared" si="67"/>
        <v>0</v>
      </c>
      <c r="K561" s="8" t="b">
        <f t="shared" si="68"/>
        <v>1</v>
      </c>
    </row>
    <row r="562" spans="1:11">
      <c r="A562" s="5">
        <v>107</v>
      </c>
      <c r="B562" s="6"/>
      <c r="C562" s="7"/>
      <c r="D562" s="5"/>
      <c r="E562" s="5"/>
      <c r="F562" s="5"/>
      <c r="G562" s="6"/>
      <c r="H562" s="5"/>
      <c r="I562" s="5"/>
      <c r="J562" s="5">
        <f t="shared" si="67"/>
        <v>0</v>
      </c>
      <c r="K562" s="8" t="b">
        <f t="shared" si="68"/>
        <v>1</v>
      </c>
    </row>
    <row r="563" spans="1:11">
      <c r="A563" s="5">
        <v>107</v>
      </c>
      <c r="B563" s="6"/>
      <c r="C563" s="7"/>
      <c r="D563" s="5"/>
      <c r="E563" s="5"/>
      <c r="F563" s="5"/>
      <c r="G563" s="6"/>
      <c r="H563" s="5"/>
      <c r="I563" s="5"/>
      <c r="J563" s="5">
        <f t="shared" si="67"/>
        <v>0</v>
      </c>
      <c r="K563" s="8" t="b">
        <f t="shared" si="68"/>
        <v>1</v>
      </c>
    </row>
    <row r="564" spans="1:11">
      <c r="A564" s="5">
        <v>107</v>
      </c>
      <c r="B564" s="6"/>
      <c r="C564" s="7"/>
      <c r="D564" s="5"/>
      <c r="E564" s="5"/>
      <c r="F564" s="5"/>
      <c r="G564" s="6"/>
      <c r="H564" s="5"/>
      <c r="I564" s="5"/>
      <c r="J564" s="5">
        <f t="shared" si="67"/>
        <v>0</v>
      </c>
      <c r="K564" s="8" t="b">
        <f t="shared" si="68"/>
        <v>1</v>
      </c>
    </row>
    <row r="565" spans="1:11">
      <c r="A565" s="5">
        <v>107</v>
      </c>
      <c r="B565" s="6"/>
      <c r="C565" s="7"/>
      <c r="D565" s="5"/>
      <c r="E565" s="5"/>
      <c r="F565" s="5"/>
      <c r="G565" s="6"/>
      <c r="H565" s="5"/>
      <c r="I565" s="5"/>
      <c r="J565" s="5">
        <f t="shared" si="67"/>
        <v>0</v>
      </c>
      <c r="K565" s="8" t="b">
        <f t="shared" si="68"/>
        <v>1</v>
      </c>
    </row>
    <row r="566" spans="1:11">
      <c r="A566" s="5">
        <v>107</v>
      </c>
      <c r="B566" s="6"/>
      <c r="C566" s="7"/>
      <c r="D566" s="5"/>
      <c r="E566" s="5"/>
      <c r="F566" s="5"/>
      <c r="G566" s="6"/>
      <c r="H566" s="5"/>
      <c r="I566" s="5"/>
      <c r="J566" s="5">
        <f t="shared" si="67"/>
        <v>0</v>
      </c>
      <c r="K566" s="8" t="b">
        <f t="shared" si="68"/>
        <v>1</v>
      </c>
    </row>
    <row r="567" spans="1:11">
      <c r="A567" s="5">
        <v>107</v>
      </c>
      <c r="B567" s="6"/>
      <c r="C567" s="7"/>
      <c r="D567" s="5"/>
      <c r="E567" s="5"/>
      <c r="F567" s="5"/>
      <c r="G567" s="6"/>
      <c r="H567" s="5"/>
      <c r="I567" s="5"/>
      <c r="J567" s="5">
        <f t="shared" si="67"/>
        <v>0</v>
      </c>
      <c r="K567" s="8" t="b">
        <f t="shared" si="68"/>
        <v>1</v>
      </c>
    </row>
    <row r="568" spans="1:11">
      <c r="A568" s="5">
        <v>107</v>
      </c>
      <c r="B568" s="6"/>
      <c r="C568" s="7"/>
      <c r="D568" s="5"/>
      <c r="E568" s="5"/>
      <c r="F568" s="5"/>
      <c r="G568" s="6"/>
      <c r="H568" s="5"/>
      <c r="I568" s="5"/>
      <c r="J568" s="5">
        <f t="shared" si="67"/>
        <v>0</v>
      </c>
      <c r="K568" s="8" t="b">
        <f t="shared" si="68"/>
        <v>1</v>
      </c>
    </row>
    <row r="569" spans="1:11">
      <c r="A569" s="5">
        <v>107</v>
      </c>
      <c r="B569" s="6"/>
      <c r="C569" s="7"/>
      <c r="D569" s="5"/>
      <c r="E569" s="5"/>
      <c r="F569" s="5"/>
      <c r="G569" s="6"/>
      <c r="H569" s="5"/>
      <c r="I569" s="5"/>
      <c r="J569" s="5">
        <f t="shared" si="67"/>
        <v>0</v>
      </c>
      <c r="K569" s="8" t="b">
        <f t="shared" si="68"/>
        <v>1</v>
      </c>
    </row>
    <row r="570" spans="1:11">
      <c r="A570" s="5">
        <v>107</v>
      </c>
      <c r="B570" s="6"/>
      <c r="C570" s="7"/>
      <c r="D570" s="5"/>
      <c r="E570" s="5"/>
      <c r="F570" s="5"/>
      <c r="G570" s="6"/>
      <c r="H570" s="5"/>
      <c r="I570" s="5"/>
      <c r="J570" s="5">
        <f t="shared" si="67"/>
        <v>0</v>
      </c>
      <c r="K570" s="8" t="b">
        <f t="shared" si="68"/>
        <v>1</v>
      </c>
    </row>
    <row r="571" spans="1:11">
      <c r="A571" s="5">
        <v>107</v>
      </c>
      <c r="B571" s="6"/>
      <c r="C571" s="7"/>
      <c r="D571" s="5"/>
      <c r="E571" s="5"/>
      <c r="F571" s="5"/>
      <c r="G571" s="6"/>
      <c r="H571" s="5"/>
      <c r="I571" s="5"/>
      <c r="J571" s="5">
        <f t="shared" si="67"/>
        <v>0</v>
      </c>
      <c r="K571" s="8" t="b">
        <f t="shared" si="68"/>
        <v>1</v>
      </c>
    </row>
    <row r="572" spans="1:11">
      <c r="A572" s="5">
        <v>107</v>
      </c>
      <c r="B572" s="6"/>
      <c r="C572" s="7"/>
      <c r="D572" s="5"/>
      <c r="E572" s="5"/>
      <c r="F572" s="5"/>
      <c r="G572" s="6"/>
      <c r="H572" s="5"/>
      <c r="I572" s="5"/>
      <c r="J572" s="5">
        <f t="shared" si="67"/>
        <v>0</v>
      </c>
      <c r="K572" s="8" t="b">
        <f t="shared" si="68"/>
        <v>1</v>
      </c>
    </row>
    <row r="573" spans="1:11">
      <c r="A573" s="5">
        <v>107</v>
      </c>
      <c r="B573" s="6"/>
      <c r="C573" s="7"/>
      <c r="D573" s="5"/>
      <c r="E573" s="5"/>
      <c r="F573" s="5"/>
      <c r="G573" s="6"/>
      <c r="H573" s="5"/>
      <c r="I573" s="5"/>
      <c r="J573" s="5">
        <f t="shared" si="67"/>
        <v>0</v>
      </c>
      <c r="K573" s="8" t="b">
        <f t="shared" si="68"/>
        <v>1</v>
      </c>
    </row>
    <row r="574" spans="1:11">
      <c r="A574" s="5">
        <v>107</v>
      </c>
      <c r="B574" s="6"/>
      <c r="C574" s="7"/>
      <c r="D574" s="5"/>
      <c r="E574" s="5"/>
      <c r="F574" s="5"/>
      <c r="G574" s="6"/>
      <c r="H574" s="5"/>
      <c r="I574" s="5"/>
      <c r="J574" s="5">
        <f t="shared" si="67"/>
        <v>0</v>
      </c>
      <c r="K574" s="8" t="b">
        <f t="shared" si="68"/>
        <v>1</v>
      </c>
    </row>
    <row r="575" spans="1:11">
      <c r="A575" s="5">
        <v>107</v>
      </c>
      <c r="B575" s="6"/>
      <c r="C575" s="7"/>
      <c r="D575" s="5"/>
      <c r="E575" s="5"/>
      <c r="F575" s="5"/>
      <c r="G575" s="6"/>
      <c r="H575" s="5"/>
      <c r="I575" s="5"/>
      <c r="J575" s="5">
        <f t="shared" si="67"/>
        <v>0</v>
      </c>
      <c r="K575" s="8" t="b">
        <f t="shared" si="68"/>
        <v>1</v>
      </c>
    </row>
  </sheetData>
  <mergeCells count="33">
    <mergeCell ref="A523:K523"/>
    <mergeCell ref="A524:K524"/>
    <mergeCell ref="A526:K526"/>
    <mergeCell ref="A102:K102"/>
    <mergeCell ref="A103:K103"/>
    <mergeCell ref="A105:K105"/>
    <mergeCell ref="A352:K352"/>
    <mergeCell ref="A210:K210"/>
    <mergeCell ref="A211:K211"/>
    <mergeCell ref="A213:K213"/>
    <mergeCell ref="A305:K305"/>
    <mergeCell ref="A306:K306"/>
    <mergeCell ref="A308:K308"/>
    <mergeCell ref="A243:K243"/>
    <mergeCell ref="A244:K244"/>
    <mergeCell ref="A246:K246"/>
    <mergeCell ref="A46:K46"/>
    <mergeCell ref="A1:K1"/>
    <mergeCell ref="A2:K2"/>
    <mergeCell ref="A4:K4"/>
    <mergeCell ref="A43:K43"/>
    <mergeCell ref="A44:K44"/>
    <mergeCell ref="A150:K150"/>
    <mergeCell ref="A151:K151"/>
    <mergeCell ref="A153:K153"/>
    <mergeCell ref="A349:K349"/>
    <mergeCell ref="A350:K350"/>
    <mergeCell ref="A469:K469"/>
    <mergeCell ref="A470:K470"/>
    <mergeCell ref="A472:K472"/>
    <mergeCell ref="A409:K409"/>
    <mergeCell ref="A410:K410"/>
    <mergeCell ref="A412:K412"/>
  </mergeCells>
  <conditionalFormatting sqref="K1:K302 K304:K1048576">
    <cfRule type="containsText" dxfId="89" priority="1" operator="containsText" text="FALSO">
      <formula>NOT(ISERROR(SEARCH("FALSO",K1)))</formula>
    </cfRule>
    <cfRule type="containsText" dxfId="88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418F-1D8F-41AE-BA21-77F8BB1DE5A4}">
  <sheetPr codeName="Planilha8"/>
  <dimension ref="A1:K568"/>
  <sheetViews>
    <sheetView topLeftCell="A543" workbookViewId="0">
      <selection activeCell="G561" sqref="G561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100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108</v>
      </c>
      <c r="B8" s="6">
        <v>43781</v>
      </c>
      <c r="C8" s="7">
        <v>0.65</v>
      </c>
      <c r="D8" s="5">
        <v>8.9499999999999993</v>
      </c>
      <c r="E8" s="5">
        <v>22853</v>
      </c>
      <c r="F8" s="5">
        <v>22870</v>
      </c>
      <c r="G8" s="6">
        <v>43781</v>
      </c>
      <c r="H8" s="5" t="s">
        <v>60</v>
      </c>
      <c r="I8" s="5" t="s">
        <v>57</v>
      </c>
      <c r="J8" s="5">
        <f t="shared" ref="J8:J25" si="0">F8-E8</f>
        <v>17</v>
      </c>
      <c r="K8" s="8" t="b">
        <f t="shared" ref="K8:K25" si="1">F8=E9</f>
        <v>1</v>
      </c>
    </row>
    <row r="9" spans="1:11">
      <c r="A9" s="5">
        <v>108</v>
      </c>
      <c r="B9" s="6">
        <v>43758</v>
      </c>
      <c r="C9" s="7">
        <v>0.9</v>
      </c>
      <c r="D9" s="5">
        <v>14.5</v>
      </c>
      <c r="E9" s="5">
        <v>22870</v>
      </c>
      <c r="F9" s="5"/>
      <c r="G9" s="6">
        <v>43758</v>
      </c>
      <c r="H9" s="5" t="s">
        <v>58</v>
      </c>
      <c r="I9" s="5" t="s">
        <v>57</v>
      </c>
      <c r="J9" s="5">
        <f t="shared" si="0"/>
        <v>-22870</v>
      </c>
      <c r="K9" s="8" t="b">
        <f t="shared" si="1"/>
        <v>0</v>
      </c>
    </row>
    <row r="10" spans="1:11">
      <c r="A10" s="5">
        <v>108</v>
      </c>
      <c r="B10" s="6">
        <v>43759</v>
      </c>
      <c r="C10" s="7">
        <v>0.9</v>
      </c>
      <c r="D10" s="5">
        <v>14.5</v>
      </c>
      <c r="E10" s="5">
        <v>22715</v>
      </c>
      <c r="F10" s="5">
        <v>22722</v>
      </c>
      <c r="G10" s="6">
        <v>43759</v>
      </c>
      <c r="H10" s="5" t="s">
        <v>60</v>
      </c>
      <c r="I10" s="5" t="s">
        <v>57</v>
      </c>
      <c r="J10" s="5">
        <f t="shared" si="0"/>
        <v>7</v>
      </c>
      <c r="K10" s="8" t="b">
        <f t="shared" si="1"/>
        <v>1</v>
      </c>
    </row>
    <row r="11" spans="1:11">
      <c r="A11" s="5">
        <v>108</v>
      </c>
      <c r="B11" s="6">
        <v>43760</v>
      </c>
      <c r="C11" s="7">
        <v>0.4</v>
      </c>
      <c r="D11" s="5">
        <v>11.3</v>
      </c>
      <c r="E11" s="5">
        <v>22722</v>
      </c>
      <c r="F11" s="5">
        <v>22730</v>
      </c>
      <c r="G11" s="6">
        <v>43760</v>
      </c>
      <c r="H11" s="5" t="s">
        <v>60</v>
      </c>
      <c r="I11" s="5" t="s">
        <v>57</v>
      </c>
      <c r="J11" s="5">
        <f t="shared" si="0"/>
        <v>8</v>
      </c>
      <c r="K11" s="8" t="b">
        <f t="shared" si="1"/>
        <v>1</v>
      </c>
    </row>
    <row r="12" spans="1:11">
      <c r="A12" s="5">
        <v>108</v>
      </c>
      <c r="B12" s="6">
        <v>43766</v>
      </c>
      <c r="C12" s="7">
        <v>1</v>
      </c>
      <c r="D12" s="5">
        <v>5.8</v>
      </c>
      <c r="E12" s="5">
        <v>22730</v>
      </c>
      <c r="F12" s="5">
        <v>22743</v>
      </c>
      <c r="G12" s="6">
        <v>43766</v>
      </c>
      <c r="H12" s="5" t="s">
        <v>58</v>
      </c>
      <c r="I12" s="5" t="s">
        <v>57</v>
      </c>
      <c r="J12" s="5">
        <f t="shared" si="0"/>
        <v>13</v>
      </c>
      <c r="K12" s="8" t="b">
        <f t="shared" si="1"/>
        <v>1</v>
      </c>
    </row>
    <row r="13" spans="1:11">
      <c r="A13" s="5">
        <v>108</v>
      </c>
      <c r="B13" s="6">
        <v>43767</v>
      </c>
      <c r="C13" s="7">
        <v>1</v>
      </c>
      <c r="D13" s="5">
        <v>5.8</v>
      </c>
      <c r="E13" s="5">
        <v>22743</v>
      </c>
      <c r="F13" s="5">
        <v>22757</v>
      </c>
      <c r="G13" s="6">
        <v>43767</v>
      </c>
      <c r="H13" s="5" t="s">
        <v>58</v>
      </c>
      <c r="I13" s="5" t="s">
        <v>57</v>
      </c>
      <c r="J13" s="5">
        <f t="shared" si="0"/>
        <v>14</v>
      </c>
      <c r="K13" s="8" t="b">
        <f t="shared" si="1"/>
        <v>1</v>
      </c>
    </row>
    <row r="14" spans="1:11">
      <c r="A14" s="5">
        <v>108</v>
      </c>
      <c r="B14" s="6">
        <v>43770</v>
      </c>
      <c r="C14" s="7">
        <v>1</v>
      </c>
      <c r="D14" s="5">
        <v>5.8</v>
      </c>
      <c r="E14" s="5">
        <v>22757</v>
      </c>
      <c r="F14" s="5">
        <v>22783</v>
      </c>
      <c r="G14" s="6">
        <v>43770</v>
      </c>
      <c r="H14" s="5" t="s">
        <v>59</v>
      </c>
      <c r="I14" s="5" t="s">
        <v>57</v>
      </c>
      <c r="J14" s="5">
        <f t="shared" si="0"/>
        <v>26</v>
      </c>
      <c r="K14" s="8" t="b">
        <f t="shared" si="1"/>
        <v>1</v>
      </c>
    </row>
    <row r="15" spans="1:11">
      <c r="A15" s="5">
        <v>108</v>
      </c>
      <c r="B15" s="6">
        <v>43771</v>
      </c>
      <c r="C15" s="7">
        <v>1</v>
      </c>
      <c r="D15" s="5">
        <v>5.8</v>
      </c>
      <c r="E15" s="5">
        <v>22783</v>
      </c>
      <c r="F15" s="5">
        <v>22795</v>
      </c>
      <c r="G15" s="6">
        <v>43771</v>
      </c>
      <c r="H15" s="5" t="s">
        <v>58</v>
      </c>
      <c r="I15" s="5" t="s">
        <v>57</v>
      </c>
      <c r="J15" s="5">
        <f t="shared" si="0"/>
        <v>12</v>
      </c>
      <c r="K15" s="8" t="b">
        <f t="shared" si="1"/>
        <v>1</v>
      </c>
    </row>
    <row r="16" spans="1:11">
      <c r="A16" s="5">
        <v>108</v>
      </c>
      <c r="B16" s="6">
        <v>43773</v>
      </c>
      <c r="C16" s="7">
        <v>0.8</v>
      </c>
      <c r="D16" s="5">
        <v>7.25</v>
      </c>
      <c r="E16" s="5">
        <v>22795</v>
      </c>
      <c r="F16" s="5">
        <v>22810</v>
      </c>
      <c r="G16" s="6">
        <v>43773</v>
      </c>
      <c r="H16" s="5" t="s">
        <v>58</v>
      </c>
      <c r="I16" s="5" t="s">
        <v>57</v>
      </c>
      <c r="J16" s="5">
        <f t="shared" si="0"/>
        <v>15</v>
      </c>
      <c r="K16" s="8" t="b">
        <f t="shared" si="1"/>
        <v>1</v>
      </c>
    </row>
    <row r="17" spans="1:11">
      <c r="A17" s="5">
        <v>108</v>
      </c>
      <c r="B17" s="6">
        <v>43775</v>
      </c>
      <c r="C17" s="7">
        <v>0.8</v>
      </c>
      <c r="D17" s="5">
        <v>7.25</v>
      </c>
      <c r="E17" s="5">
        <v>22810</v>
      </c>
      <c r="F17" s="5">
        <v>22824</v>
      </c>
      <c r="G17" s="6">
        <v>43775</v>
      </c>
      <c r="H17" s="5" t="s">
        <v>59</v>
      </c>
      <c r="I17" s="5" t="s">
        <v>57</v>
      </c>
      <c r="J17" s="5">
        <f t="shared" si="0"/>
        <v>14</v>
      </c>
      <c r="K17" s="8" t="b">
        <f t="shared" si="1"/>
        <v>1</v>
      </c>
    </row>
    <row r="18" spans="1:11">
      <c r="A18" s="5">
        <v>108</v>
      </c>
      <c r="B18" s="6">
        <v>43777</v>
      </c>
      <c r="C18" s="7">
        <v>0.8</v>
      </c>
      <c r="D18" s="5">
        <v>7.25</v>
      </c>
      <c r="E18" s="5">
        <v>22824</v>
      </c>
      <c r="F18" s="5">
        <v>22837</v>
      </c>
      <c r="G18" s="6">
        <v>43777</v>
      </c>
      <c r="H18" s="5" t="s">
        <v>59</v>
      </c>
      <c r="I18" s="5" t="s">
        <v>57</v>
      </c>
      <c r="J18" s="5">
        <f t="shared" si="0"/>
        <v>13</v>
      </c>
      <c r="K18" s="8" t="b">
        <f t="shared" si="1"/>
        <v>1</v>
      </c>
    </row>
    <row r="19" spans="1:11">
      <c r="A19" s="5">
        <v>108</v>
      </c>
      <c r="B19" s="6">
        <v>43778</v>
      </c>
      <c r="C19" s="7">
        <v>0.65</v>
      </c>
      <c r="D19" s="5">
        <v>8.9499999999999993</v>
      </c>
      <c r="E19" s="5">
        <v>22837</v>
      </c>
      <c r="F19" s="5">
        <v>22853</v>
      </c>
      <c r="G19" s="6">
        <v>43778</v>
      </c>
      <c r="H19" s="5" t="s">
        <v>60</v>
      </c>
      <c r="I19" s="5" t="s">
        <v>57</v>
      </c>
      <c r="J19" s="5">
        <f t="shared" si="0"/>
        <v>16</v>
      </c>
      <c r="K19" s="8" t="b">
        <f t="shared" si="1"/>
        <v>1</v>
      </c>
    </row>
    <row r="20" spans="1:11">
      <c r="A20" s="5">
        <v>108</v>
      </c>
      <c r="B20" s="6">
        <v>43781</v>
      </c>
      <c r="C20" s="7">
        <v>0.65</v>
      </c>
      <c r="D20" s="5">
        <v>8.9499999999999993</v>
      </c>
      <c r="E20" s="5">
        <v>22853</v>
      </c>
      <c r="F20" s="5">
        <v>22870</v>
      </c>
      <c r="G20" s="6">
        <v>43781</v>
      </c>
      <c r="H20" s="5" t="s">
        <v>60</v>
      </c>
      <c r="I20" s="5" t="s">
        <v>57</v>
      </c>
      <c r="J20" s="5">
        <f t="shared" si="0"/>
        <v>17</v>
      </c>
      <c r="K20" s="8" t="b">
        <f t="shared" si="1"/>
        <v>1</v>
      </c>
    </row>
    <row r="21" spans="1:11">
      <c r="A21" s="5">
        <v>108</v>
      </c>
      <c r="B21" s="6">
        <v>43782</v>
      </c>
      <c r="C21" s="7">
        <v>1</v>
      </c>
      <c r="D21" s="5">
        <v>5.8</v>
      </c>
      <c r="E21" s="5">
        <v>22870</v>
      </c>
      <c r="F21" s="5">
        <v>22882</v>
      </c>
      <c r="G21" s="6">
        <v>43782</v>
      </c>
      <c r="H21" s="5" t="s">
        <v>60</v>
      </c>
      <c r="I21" s="5" t="s">
        <v>57</v>
      </c>
      <c r="J21" s="5">
        <f t="shared" si="0"/>
        <v>12</v>
      </c>
      <c r="K21" s="8" t="b">
        <f t="shared" si="1"/>
        <v>1</v>
      </c>
    </row>
    <row r="22" spans="1:11">
      <c r="A22" s="5">
        <v>108</v>
      </c>
      <c r="B22" s="6">
        <v>43784</v>
      </c>
      <c r="C22" s="7">
        <v>0.65</v>
      </c>
      <c r="D22" s="5">
        <v>8.9499999999999993</v>
      </c>
      <c r="E22" s="5">
        <v>22882</v>
      </c>
      <c r="F22" s="5">
        <v>22900</v>
      </c>
      <c r="G22" s="6">
        <v>43784</v>
      </c>
      <c r="H22" s="5" t="s">
        <v>61</v>
      </c>
      <c r="I22" s="5" t="s">
        <v>57</v>
      </c>
      <c r="J22" s="5">
        <f t="shared" si="0"/>
        <v>18</v>
      </c>
      <c r="K22" s="8" t="b">
        <f t="shared" si="1"/>
        <v>1</v>
      </c>
    </row>
    <row r="23" spans="1:11">
      <c r="A23" s="5">
        <v>108</v>
      </c>
      <c r="B23" s="6">
        <v>43785</v>
      </c>
      <c r="C23" s="7">
        <v>0.65</v>
      </c>
      <c r="D23" s="5">
        <v>8.9499999999999993</v>
      </c>
      <c r="E23" s="5">
        <v>22900</v>
      </c>
      <c r="F23" s="5">
        <v>22918</v>
      </c>
      <c r="G23" s="6">
        <v>43785</v>
      </c>
      <c r="H23" s="5" t="s">
        <v>61</v>
      </c>
      <c r="I23" s="5" t="s">
        <v>57</v>
      </c>
      <c r="J23" s="5">
        <f t="shared" si="0"/>
        <v>18</v>
      </c>
      <c r="K23" s="8" t="b">
        <f t="shared" si="1"/>
        <v>1</v>
      </c>
    </row>
    <row r="24" spans="1:11">
      <c r="A24" s="5">
        <v>108</v>
      </c>
      <c r="B24" s="6">
        <v>43786</v>
      </c>
      <c r="C24" s="7">
        <v>0.65</v>
      </c>
      <c r="D24" s="5">
        <v>8.9499999999999993</v>
      </c>
      <c r="E24" s="5">
        <v>22918</v>
      </c>
      <c r="F24" s="5">
        <v>22927</v>
      </c>
      <c r="G24" s="6">
        <v>43786</v>
      </c>
      <c r="H24" s="5" t="s">
        <v>61</v>
      </c>
      <c r="I24" s="5" t="s">
        <v>57</v>
      </c>
      <c r="J24" s="5">
        <f t="shared" si="0"/>
        <v>9</v>
      </c>
      <c r="K24" s="8" t="b">
        <f t="shared" si="1"/>
        <v>1</v>
      </c>
    </row>
    <row r="25" spans="1:11">
      <c r="A25" s="5">
        <v>108</v>
      </c>
      <c r="B25" s="6">
        <v>43789</v>
      </c>
      <c r="C25" s="7">
        <v>1</v>
      </c>
      <c r="D25" s="5">
        <v>5.8</v>
      </c>
      <c r="E25" s="5">
        <v>22927</v>
      </c>
      <c r="F25" s="5">
        <v>22930</v>
      </c>
      <c r="G25" s="6">
        <v>43789</v>
      </c>
      <c r="H25" s="5" t="s">
        <v>59</v>
      </c>
      <c r="I25" s="5" t="s">
        <v>57</v>
      </c>
      <c r="J25" s="5">
        <f t="shared" si="0"/>
        <v>3</v>
      </c>
      <c r="K25" s="8" t="b">
        <f t="shared" si="1"/>
        <v>1</v>
      </c>
    </row>
    <row r="26" spans="1:11">
      <c r="A26" s="5">
        <v>108</v>
      </c>
      <c r="B26" s="6">
        <v>43792</v>
      </c>
      <c r="C26" s="7">
        <v>0.8</v>
      </c>
      <c r="D26" s="5">
        <v>7.25</v>
      </c>
      <c r="E26" s="5">
        <v>22930</v>
      </c>
      <c r="F26" s="5">
        <v>22945</v>
      </c>
      <c r="G26" s="6">
        <v>43792</v>
      </c>
      <c r="H26" s="5" t="s">
        <v>59</v>
      </c>
      <c r="I26" s="5" t="s">
        <v>57</v>
      </c>
      <c r="J26" s="5">
        <f t="shared" ref="J26:J31" si="2">F26-E26</f>
        <v>15</v>
      </c>
      <c r="K26" s="8" t="b">
        <f t="shared" ref="K26:K31" si="3">F26=E27</f>
        <v>1</v>
      </c>
    </row>
    <row r="27" spans="1:11">
      <c r="A27" s="5">
        <v>108</v>
      </c>
      <c r="B27" s="6">
        <v>43800</v>
      </c>
      <c r="C27" s="7">
        <v>1</v>
      </c>
      <c r="D27" s="5">
        <v>5.8</v>
      </c>
      <c r="E27" s="5">
        <v>22945</v>
      </c>
      <c r="F27" s="5">
        <v>22960</v>
      </c>
      <c r="G27" s="6">
        <v>43800</v>
      </c>
      <c r="H27" s="5" t="s">
        <v>62</v>
      </c>
      <c r="I27" s="5" t="s">
        <v>57</v>
      </c>
      <c r="J27" s="5">
        <f t="shared" si="2"/>
        <v>15</v>
      </c>
      <c r="K27" s="8" t="b">
        <f t="shared" si="3"/>
        <v>1</v>
      </c>
    </row>
    <row r="28" spans="1:11">
      <c r="A28" s="5">
        <v>108</v>
      </c>
      <c r="B28" s="6">
        <v>43808</v>
      </c>
      <c r="C28" s="7">
        <v>0.7</v>
      </c>
      <c r="D28" s="5">
        <v>8.2899999999999991</v>
      </c>
      <c r="E28" s="5">
        <v>22960</v>
      </c>
      <c r="F28" s="5">
        <v>22977</v>
      </c>
      <c r="G28" s="6">
        <v>43808</v>
      </c>
      <c r="H28" s="5" t="s">
        <v>62</v>
      </c>
      <c r="I28" s="5" t="s">
        <v>57</v>
      </c>
      <c r="J28" s="5">
        <f t="shared" si="2"/>
        <v>17</v>
      </c>
      <c r="K28" s="8" t="b">
        <f t="shared" si="3"/>
        <v>1</v>
      </c>
    </row>
    <row r="29" spans="1:11">
      <c r="A29" s="5">
        <v>108</v>
      </c>
      <c r="B29" s="6">
        <v>43810</v>
      </c>
      <c r="C29" s="7">
        <v>0.7</v>
      </c>
      <c r="D29" s="5">
        <v>8.2899999999999991</v>
      </c>
      <c r="E29" s="5">
        <v>22977</v>
      </c>
      <c r="F29" s="5">
        <v>22994</v>
      </c>
      <c r="G29" s="6">
        <v>43810</v>
      </c>
      <c r="H29" s="5" t="s">
        <v>62</v>
      </c>
      <c r="I29" s="5" t="s">
        <v>57</v>
      </c>
      <c r="J29" s="5">
        <f t="shared" si="2"/>
        <v>17</v>
      </c>
      <c r="K29" s="8" t="b">
        <f t="shared" si="3"/>
        <v>0</v>
      </c>
    </row>
    <row r="30" spans="1:11">
      <c r="A30" s="5">
        <v>108</v>
      </c>
      <c r="B30" s="6">
        <v>43812</v>
      </c>
      <c r="C30" s="7">
        <v>0.7</v>
      </c>
      <c r="D30" s="5">
        <v>8.2899999999999991</v>
      </c>
      <c r="E30" s="5">
        <v>0</v>
      </c>
      <c r="F30" s="5">
        <v>16</v>
      </c>
      <c r="G30" s="6">
        <v>43812</v>
      </c>
      <c r="H30" s="5" t="s">
        <v>62</v>
      </c>
      <c r="I30" s="5" t="s">
        <v>65</v>
      </c>
      <c r="J30" s="5">
        <f t="shared" si="2"/>
        <v>16</v>
      </c>
      <c r="K30" s="8" t="b">
        <f t="shared" si="3"/>
        <v>1</v>
      </c>
    </row>
    <row r="31" spans="1:11">
      <c r="A31" s="5">
        <v>108</v>
      </c>
      <c r="B31" s="6">
        <v>43814</v>
      </c>
      <c r="C31" s="7">
        <v>0.7</v>
      </c>
      <c r="D31" s="5">
        <v>8.2899999999999991</v>
      </c>
      <c r="E31" s="5">
        <v>16</v>
      </c>
      <c r="F31" s="5">
        <v>32</v>
      </c>
      <c r="G31" s="6">
        <v>43814</v>
      </c>
      <c r="H31" s="5" t="s">
        <v>62</v>
      </c>
      <c r="I31" s="5" t="s">
        <v>65</v>
      </c>
      <c r="J31" s="5">
        <f t="shared" si="2"/>
        <v>16</v>
      </c>
      <c r="K31" s="8" t="b">
        <f t="shared" si="3"/>
        <v>1</v>
      </c>
    </row>
    <row r="32" spans="1:11">
      <c r="A32" s="5">
        <v>108</v>
      </c>
      <c r="B32" s="6">
        <v>43817</v>
      </c>
      <c r="C32" s="7">
        <v>0.7</v>
      </c>
      <c r="D32" s="5">
        <v>8.2899999999999991</v>
      </c>
      <c r="E32" s="5">
        <v>32</v>
      </c>
      <c r="F32" s="5">
        <v>50</v>
      </c>
      <c r="G32" s="6">
        <v>43817</v>
      </c>
      <c r="H32" s="5" t="s">
        <v>62</v>
      </c>
      <c r="I32" s="5" t="s">
        <v>65</v>
      </c>
      <c r="J32" s="5">
        <f>F32-E32</f>
        <v>18</v>
      </c>
      <c r="K32" s="8" t="b">
        <f>F32=E33</f>
        <v>1</v>
      </c>
    </row>
    <row r="33" spans="1:11">
      <c r="A33" s="5">
        <v>108</v>
      </c>
      <c r="B33" s="6">
        <v>43819</v>
      </c>
      <c r="C33" s="7">
        <v>0.7</v>
      </c>
      <c r="D33" s="5">
        <v>8.2899999999999991</v>
      </c>
      <c r="E33" s="5">
        <v>50</v>
      </c>
      <c r="F33" s="5">
        <v>57</v>
      </c>
      <c r="G33" s="6">
        <v>43819</v>
      </c>
      <c r="H33" s="5" t="s">
        <v>62</v>
      </c>
      <c r="I33" s="5" t="s">
        <v>65</v>
      </c>
      <c r="J33" s="5">
        <f>F33-E33</f>
        <v>7</v>
      </c>
      <c r="K33" s="8" t="b">
        <f>F33=E34</f>
        <v>1</v>
      </c>
    </row>
    <row r="34" spans="1:11">
      <c r="A34" s="5">
        <v>108</v>
      </c>
      <c r="B34" s="6">
        <v>43820</v>
      </c>
      <c r="C34" s="7">
        <v>1</v>
      </c>
      <c r="D34" s="5">
        <v>5.8</v>
      </c>
      <c r="E34" s="5">
        <v>57</v>
      </c>
      <c r="F34" s="5">
        <v>69</v>
      </c>
      <c r="G34" s="6">
        <v>43820</v>
      </c>
      <c r="H34" s="5" t="s">
        <v>62</v>
      </c>
      <c r="I34" s="5" t="s">
        <v>65</v>
      </c>
      <c r="J34" s="5">
        <f>F34-E34</f>
        <v>12</v>
      </c>
      <c r="K34" s="8" t="b">
        <f>F34=E35</f>
        <v>1</v>
      </c>
    </row>
    <row r="35" spans="1:11">
      <c r="A35" s="5">
        <v>108</v>
      </c>
      <c r="B35" s="6">
        <v>43821</v>
      </c>
      <c r="C35" s="7">
        <v>0.7</v>
      </c>
      <c r="D35" s="5">
        <v>8.2899999999999991</v>
      </c>
      <c r="E35" s="5">
        <v>69</v>
      </c>
      <c r="F35" s="5">
        <v>86</v>
      </c>
      <c r="G35" s="6">
        <v>43821</v>
      </c>
      <c r="H35" s="5" t="s">
        <v>62</v>
      </c>
      <c r="I35" s="5" t="s">
        <v>65</v>
      </c>
      <c r="J35" s="5">
        <f>F35-E35</f>
        <v>17</v>
      </c>
      <c r="K35" s="8" t="b">
        <f>F35=E36</f>
        <v>1</v>
      </c>
    </row>
    <row r="36" spans="1:11">
      <c r="A36" s="5">
        <v>108</v>
      </c>
      <c r="B36" s="6">
        <v>43823</v>
      </c>
      <c r="C36" s="7">
        <v>0.7</v>
      </c>
      <c r="D36" s="5">
        <v>8.2899999999999991</v>
      </c>
      <c r="E36" s="5">
        <v>86</v>
      </c>
      <c r="F36" s="5">
        <v>103</v>
      </c>
      <c r="G36" s="6">
        <v>43823</v>
      </c>
      <c r="H36" s="5" t="s">
        <v>62</v>
      </c>
      <c r="I36" s="5" t="s">
        <v>65</v>
      </c>
      <c r="J36" s="5">
        <f t="shared" ref="J36:J41" si="4">F36-E36</f>
        <v>17</v>
      </c>
      <c r="K36" s="8" t="b">
        <f t="shared" ref="K36:K41" si="5">F36=E37</f>
        <v>1</v>
      </c>
    </row>
    <row r="37" spans="1:11">
      <c r="A37" s="5">
        <v>108</v>
      </c>
      <c r="B37" s="6">
        <v>43825</v>
      </c>
      <c r="C37" s="7">
        <v>0.7</v>
      </c>
      <c r="D37" s="5">
        <v>8.2899999999999991</v>
      </c>
      <c r="E37" s="5">
        <v>103</v>
      </c>
      <c r="F37" s="5">
        <v>123</v>
      </c>
      <c r="G37" s="6">
        <v>43825</v>
      </c>
      <c r="H37" s="5" t="s">
        <v>62</v>
      </c>
      <c r="I37" s="5" t="s">
        <v>65</v>
      </c>
      <c r="J37" s="5">
        <f t="shared" si="4"/>
        <v>20</v>
      </c>
      <c r="K37" s="8" t="b">
        <f t="shared" si="5"/>
        <v>1</v>
      </c>
    </row>
    <row r="38" spans="1:11">
      <c r="A38" s="5">
        <v>108</v>
      </c>
      <c r="B38" s="6">
        <v>43826</v>
      </c>
      <c r="C38" s="7">
        <v>0.7</v>
      </c>
      <c r="D38" s="5">
        <v>8.2899999999999991</v>
      </c>
      <c r="E38" s="5">
        <v>123</v>
      </c>
      <c r="F38" s="5">
        <v>140</v>
      </c>
      <c r="G38" s="6">
        <v>43826</v>
      </c>
      <c r="H38" s="5" t="s">
        <v>62</v>
      </c>
      <c r="I38" s="5" t="s">
        <v>65</v>
      </c>
      <c r="J38" s="5">
        <f t="shared" si="4"/>
        <v>17</v>
      </c>
      <c r="K38" s="8" t="b">
        <f t="shared" si="5"/>
        <v>1</v>
      </c>
    </row>
    <row r="39" spans="1:11">
      <c r="A39" s="5">
        <v>108</v>
      </c>
      <c r="B39" s="6">
        <v>43828</v>
      </c>
      <c r="C39" s="7">
        <v>0.7</v>
      </c>
      <c r="D39" s="5">
        <v>8.2899999999999991</v>
      </c>
      <c r="E39" s="5">
        <v>140</v>
      </c>
      <c r="F39" s="5">
        <v>158</v>
      </c>
      <c r="G39" s="6">
        <v>43828</v>
      </c>
      <c r="H39" s="5"/>
      <c r="I39" s="5"/>
      <c r="J39" s="5">
        <f t="shared" si="4"/>
        <v>18</v>
      </c>
      <c r="K39" s="8" t="b">
        <f t="shared" si="5"/>
        <v>1</v>
      </c>
    </row>
    <row r="40" spans="1:11">
      <c r="A40" s="5">
        <v>108</v>
      </c>
      <c r="B40" s="6">
        <v>43478</v>
      </c>
      <c r="C40" s="7">
        <v>1</v>
      </c>
      <c r="D40" s="5">
        <v>5.8</v>
      </c>
      <c r="E40" s="5">
        <v>158</v>
      </c>
      <c r="F40" s="5">
        <v>170</v>
      </c>
      <c r="G40" s="6">
        <v>43843</v>
      </c>
      <c r="H40" s="5"/>
      <c r="I40" s="5"/>
      <c r="J40" s="5">
        <f t="shared" si="4"/>
        <v>12</v>
      </c>
      <c r="K40" s="8" t="b">
        <f t="shared" si="5"/>
        <v>0</v>
      </c>
    </row>
    <row r="41" spans="1:11">
      <c r="A41" s="5">
        <v>108</v>
      </c>
      <c r="B41" s="6">
        <v>43845</v>
      </c>
      <c r="C41" s="7">
        <v>0.7</v>
      </c>
      <c r="D41" s="5">
        <v>8.2899999999999991</v>
      </c>
      <c r="E41" s="5">
        <v>4</v>
      </c>
      <c r="F41" s="5">
        <v>20</v>
      </c>
      <c r="G41" s="6">
        <v>43845</v>
      </c>
      <c r="H41" s="5"/>
      <c r="I41" s="5"/>
      <c r="J41" s="5">
        <f t="shared" si="4"/>
        <v>16</v>
      </c>
      <c r="K41" s="8" t="b">
        <f t="shared" si="5"/>
        <v>1</v>
      </c>
    </row>
    <row r="42" spans="1:11">
      <c r="A42" s="5">
        <v>108</v>
      </c>
      <c r="B42" s="6">
        <v>43847</v>
      </c>
      <c r="C42" s="7">
        <v>0.7</v>
      </c>
      <c r="D42" s="5">
        <v>8.2899999999999991</v>
      </c>
      <c r="E42" s="5">
        <v>20</v>
      </c>
      <c r="F42" s="5">
        <v>36</v>
      </c>
      <c r="G42" s="6">
        <v>43846</v>
      </c>
      <c r="H42" s="5"/>
      <c r="I42" s="5"/>
      <c r="J42" s="5">
        <f>F42-E42</f>
        <v>16</v>
      </c>
      <c r="K42" s="8" t="b">
        <f>F42=E43</f>
        <v>1</v>
      </c>
    </row>
    <row r="43" spans="1:11">
      <c r="A43" s="5">
        <v>108</v>
      </c>
      <c r="B43" s="6">
        <v>43849</v>
      </c>
      <c r="C43" s="7">
        <v>0.7</v>
      </c>
      <c r="D43" s="5">
        <v>8.2899999999999991</v>
      </c>
      <c r="E43" s="5">
        <v>36</v>
      </c>
      <c r="F43" s="5">
        <v>52</v>
      </c>
      <c r="G43" s="6">
        <v>43849</v>
      </c>
      <c r="H43" s="5"/>
      <c r="I43" s="5"/>
      <c r="J43" s="5">
        <f>F43-E43</f>
        <v>16</v>
      </c>
      <c r="K43" s="8" t="b">
        <f>F43=E44</f>
        <v>1</v>
      </c>
    </row>
    <row r="44" spans="1:11">
      <c r="A44" s="5">
        <v>108</v>
      </c>
      <c r="B44" s="6">
        <v>43850</v>
      </c>
      <c r="C44" s="7">
        <v>0.7</v>
      </c>
      <c r="D44" s="5">
        <v>8.2899999999999991</v>
      </c>
      <c r="E44" s="5">
        <v>52</v>
      </c>
      <c r="F44" s="5">
        <v>71</v>
      </c>
      <c r="G44" s="6">
        <v>43850</v>
      </c>
      <c r="H44" s="5"/>
      <c r="I44" s="5"/>
      <c r="J44" s="5">
        <f>F44-E44</f>
        <v>19</v>
      </c>
      <c r="K44" s="8" t="b">
        <f>F44=E45</f>
        <v>1</v>
      </c>
    </row>
    <row r="45" spans="1:11">
      <c r="A45" s="5">
        <v>108</v>
      </c>
      <c r="B45" s="6">
        <v>43851</v>
      </c>
      <c r="C45" s="7">
        <v>0.7</v>
      </c>
      <c r="D45" s="5">
        <v>8.2899999999999991</v>
      </c>
      <c r="E45" s="5">
        <v>71</v>
      </c>
      <c r="F45" s="5">
        <v>88</v>
      </c>
      <c r="G45" s="6">
        <v>43851</v>
      </c>
      <c r="H45" s="5"/>
      <c r="I45" s="5"/>
      <c r="J45" s="5">
        <f>F45-E45</f>
        <v>17</v>
      </c>
      <c r="K45" s="8" t="b">
        <f>F45=E49</f>
        <v>0</v>
      </c>
    </row>
    <row r="46" spans="1:11">
      <c r="A46" s="5"/>
      <c r="B46" s="6"/>
      <c r="C46" s="7"/>
      <c r="D46" s="5"/>
      <c r="E46" s="5"/>
      <c r="F46" s="5"/>
      <c r="G46" s="6"/>
      <c r="H46" s="5"/>
      <c r="I46" s="5"/>
      <c r="J46" s="5"/>
      <c r="K46" s="8"/>
    </row>
    <row r="47" spans="1:11" ht="26.25">
      <c r="A47" s="144" t="s">
        <v>100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7"/>
    </row>
    <row r="48" spans="1:11" ht="26.25">
      <c r="A48" s="144" t="s">
        <v>51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7"/>
    </row>
    <row r="49" spans="1:11" ht="15.75" thickBot="1"/>
    <row r="50" spans="1:11" ht="15.75" thickBot="1">
      <c r="A50" s="132" t="s">
        <v>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4"/>
    </row>
    <row r="52" spans="1:11" ht="19.5" thickBot="1">
      <c r="A52" s="1" t="s">
        <v>3</v>
      </c>
      <c r="B52" s="1"/>
      <c r="C52" s="1"/>
      <c r="D52" s="1"/>
      <c r="E52" s="1"/>
      <c r="F52" s="1"/>
      <c r="G52" s="1"/>
      <c r="H52" s="1"/>
      <c r="I52" s="1"/>
    </row>
    <row r="53" spans="1:11" ht="30.75" thickBot="1">
      <c r="A53" s="2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9</v>
      </c>
      <c r="G53" s="3" t="s">
        <v>10</v>
      </c>
      <c r="H53" s="3" t="s">
        <v>21</v>
      </c>
      <c r="I53" s="4" t="s">
        <v>22</v>
      </c>
      <c r="J53" s="4" t="s">
        <v>11</v>
      </c>
      <c r="K53" s="4" t="s">
        <v>12</v>
      </c>
    </row>
    <row r="54" spans="1:11">
      <c r="A54" s="5">
        <v>108</v>
      </c>
      <c r="B54" s="6">
        <v>43913</v>
      </c>
      <c r="C54" s="7">
        <v>0.8</v>
      </c>
      <c r="D54" s="5">
        <v>7.25</v>
      </c>
      <c r="E54" s="5">
        <v>37</v>
      </c>
      <c r="F54" s="5">
        <v>48</v>
      </c>
      <c r="G54" s="6">
        <v>43913</v>
      </c>
      <c r="H54" s="5"/>
      <c r="I54" s="5"/>
      <c r="J54" s="5">
        <f>F54-E54</f>
        <v>11</v>
      </c>
      <c r="K54" s="8" t="b">
        <f>F54=E55</f>
        <v>1</v>
      </c>
    </row>
    <row r="55" spans="1:11">
      <c r="A55" s="5">
        <v>108</v>
      </c>
      <c r="B55" s="6">
        <v>43922</v>
      </c>
      <c r="C55" s="7">
        <v>1</v>
      </c>
      <c r="D55" s="5">
        <v>5.8</v>
      </c>
      <c r="E55" s="5">
        <v>48</v>
      </c>
      <c r="F55" s="5">
        <v>68</v>
      </c>
      <c r="G55" s="6">
        <v>43922</v>
      </c>
      <c r="H55" s="5"/>
      <c r="I55" s="5"/>
      <c r="J55" s="5">
        <f>F55-E55</f>
        <v>20</v>
      </c>
      <c r="K55" s="8" t="b">
        <f>F55=E56</f>
        <v>1</v>
      </c>
    </row>
    <row r="56" spans="1:11">
      <c r="A56" s="5">
        <v>108</v>
      </c>
      <c r="B56" s="6">
        <v>43925</v>
      </c>
      <c r="C56" s="7">
        <v>0.8</v>
      </c>
      <c r="D56" s="5">
        <v>7.25</v>
      </c>
      <c r="E56" s="5">
        <v>68</v>
      </c>
      <c r="F56" s="5">
        <v>81</v>
      </c>
      <c r="G56" s="6">
        <v>43925</v>
      </c>
      <c r="H56" s="5"/>
      <c r="I56" s="5"/>
      <c r="J56" s="5">
        <f t="shared" ref="J56:J71" si="6">F56-E56</f>
        <v>13</v>
      </c>
      <c r="K56" s="8" t="b">
        <f t="shared" ref="K56:K77" si="7">F56=E57</f>
        <v>0</v>
      </c>
    </row>
    <row r="57" spans="1:11">
      <c r="A57" s="5">
        <v>108</v>
      </c>
      <c r="B57" s="6">
        <v>43932</v>
      </c>
      <c r="C57" s="7">
        <v>0.8</v>
      </c>
      <c r="D57" s="5">
        <v>7.25</v>
      </c>
      <c r="E57" s="5">
        <v>107</v>
      </c>
      <c r="F57" s="5">
        <v>119</v>
      </c>
      <c r="G57" s="6" t="s">
        <v>101</v>
      </c>
      <c r="H57" s="5"/>
      <c r="I57" s="5"/>
      <c r="J57" s="5">
        <f t="shared" si="6"/>
        <v>12</v>
      </c>
      <c r="K57" s="8" t="b">
        <f t="shared" si="7"/>
        <v>1</v>
      </c>
    </row>
    <row r="58" spans="1:11">
      <c r="A58" s="5">
        <v>108</v>
      </c>
      <c r="B58" s="6">
        <v>43935</v>
      </c>
      <c r="C58" s="7">
        <v>0.8</v>
      </c>
      <c r="D58" s="5">
        <v>7.25</v>
      </c>
      <c r="E58" s="5">
        <v>119</v>
      </c>
      <c r="F58" s="5">
        <v>133</v>
      </c>
      <c r="G58" s="6">
        <v>43935</v>
      </c>
      <c r="H58" s="5"/>
      <c r="I58" s="5"/>
      <c r="J58" s="5">
        <f t="shared" si="6"/>
        <v>14</v>
      </c>
      <c r="K58" s="8" t="b">
        <f t="shared" si="7"/>
        <v>1</v>
      </c>
    </row>
    <row r="59" spans="1:11">
      <c r="A59" s="5">
        <v>108</v>
      </c>
      <c r="B59" s="6">
        <v>43942</v>
      </c>
      <c r="C59" s="7">
        <v>0.8</v>
      </c>
      <c r="D59" s="5">
        <v>7.25</v>
      </c>
      <c r="E59" s="5">
        <v>133</v>
      </c>
      <c r="F59" s="5">
        <v>147</v>
      </c>
      <c r="G59" s="6">
        <v>43942</v>
      </c>
      <c r="H59" s="5"/>
      <c r="I59" s="5"/>
      <c r="J59" s="5">
        <f t="shared" si="6"/>
        <v>14</v>
      </c>
      <c r="K59" s="8" t="b">
        <f t="shared" si="7"/>
        <v>1</v>
      </c>
    </row>
    <row r="60" spans="1:11">
      <c r="A60" s="5">
        <v>108</v>
      </c>
      <c r="B60" s="6">
        <v>43948</v>
      </c>
      <c r="C60" s="7">
        <v>0.8</v>
      </c>
      <c r="D60" s="5">
        <v>7.25</v>
      </c>
      <c r="E60" s="5">
        <v>147</v>
      </c>
      <c r="F60" s="5">
        <v>164</v>
      </c>
      <c r="G60" s="6">
        <v>43948</v>
      </c>
      <c r="H60" s="5"/>
      <c r="I60" s="5"/>
      <c r="J60" s="5">
        <f t="shared" si="6"/>
        <v>17</v>
      </c>
      <c r="K60" s="8" t="b">
        <f t="shared" si="7"/>
        <v>0</v>
      </c>
    </row>
    <row r="61" spans="1:11">
      <c r="A61" s="5">
        <v>108</v>
      </c>
      <c r="B61" s="6">
        <v>43962</v>
      </c>
      <c r="C61" s="7">
        <v>1</v>
      </c>
      <c r="D61" s="5">
        <v>5.8</v>
      </c>
      <c r="E61" s="5">
        <v>193</v>
      </c>
      <c r="F61" s="5">
        <v>204</v>
      </c>
      <c r="G61" s="6">
        <v>43962</v>
      </c>
      <c r="H61" s="5"/>
      <c r="I61" s="5"/>
      <c r="J61" s="5">
        <f t="shared" si="6"/>
        <v>11</v>
      </c>
      <c r="K61" s="8" t="b">
        <f t="shared" si="7"/>
        <v>1</v>
      </c>
    </row>
    <row r="62" spans="1:11">
      <c r="A62" s="5">
        <v>108</v>
      </c>
      <c r="B62" s="6">
        <v>43968</v>
      </c>
      <c r="C62" s="7">
        <v>0.7</v>
      </c>
      <c r="D62" s="5">
        <v>8.2899999999999991</v>
      </c>
      <c r="E62" s="5">
        <v>204</v>
      </c>
      <c r="F62" s="5">
        <v>215</v>
      </c>
      <c r="G62" s="6">
        <v>43968</v>
      </c>
      <c r="H62" s="5"/>
      <c r="I62" s="5"/>
      <c r="J62" s="5">
        <f t="shared" si="6"/>
        <v>11</v>
      </c>
      <c r="K62" s="8" t="b">
        <f t="shared" si="7"/>
        <v>1</v>
      </c>
    </row>
    <row r="63" spans="1:11">
      <c r="A63" s="5">
        <v>108</v>
      </c>
      <c r="B63" s="6">
        <v>43971</v>
      </c>
      <c r="C63" s="7">
        <v>0.7</v>
      </c>
      <c r="D63" s="5">
        <v>8.2899999999999991</v>
      </c>
      <c r="E63" s="5">
        <v>215</v>
      </c>
      <c r="F63" s="5">
        <v>229</v>
      </c>
      <c r="G63" s="6">
        <v>43971</v>
      </c>
      <c r="H63" s="5"/>
      <c r="I63" s="5"/>
      <c r="J63" s="5">
        <f t="shared" si="6"/>
        <v>14</v>
      </c>
      <c r="K63" s="8" t="b">
        <f t="shared" si="7"/>
        <v>1</v>
      </c>
    </row>
    <row r="64" spans="1:11">
      <c r="A64" s="5">
        <v>108</v>
      </c>
      <c r="B64" s="6">
        <v>43975</v>
      </c>
      <c r="C64" s="7">
        <v>0.8</v>
      </c>
      <c r="D64" s="5">
        <v>7.25</v>
      </c>
      <c r="E64" s="5">
        <v>229</v>
      </c>
      <c r="F64" s="5">
        <v>246</v>
      </c>
      <c r="G64" s="6">
        <v>43975</v>
      </c>
      <c r="H64" s="5"/>
      <c r="I64" s="5"/>
      <c r="J64" s="5">
        <f t="shared" si="6"/>
        <v>17</v>
      </c>
      <c r="K64" s="8" t="b">
        <f t="shared" si="7"/>
        <v>1</v>
      </c>
    </row>
    <row r="65" spans="1:11">
      <c r="A65" s="5">
        <v>108</v>
      </c>
      <c r="B65" s="6">
        <v>43981</v>
      </c>
      <c r="C65" s="7">
        <v>0.7</v>
      </c>
      <c r="D65" s="5">
        <v>8.2899999999999991</v>
      </c>
      <c r="E65" s="5">
        <v>246</v>
      </c>
      <c r="F65" s="5">
        <v>262</v>
      </c>
      <c r="G65" s="6">
        <v>43981</v>
      </c>
      <c r="H65" s="5"/>
      <c r="I65" s="5"/>
      <c r="J65" s="5">
        <f t="shared" si="6"/>
        <v>16</v>
      </c>
      <c r="K65" s="8" t="b">
        <f t="shared" si="7"/>
        <v>1</v>
      </c>
    </row>
    <row r="66" spans="1:11">
      <c r="A66" s="5">
        <v>108</v>
      </c>
      <c r="B66" s="6">
        <v>43986</v>
      </c>
      <c r="C66" s="7">
        <v>0.7</v>
      </c>
      <c r="D66" s="5">
        <v>8.2899999999999991</v>
      </c>
      <c r="E66" s="5">
        <v>262</v>
      </c>
      <c r="F66" s="5">
        <v>280</v>
      </c>
      <c r="G66" s="6">
        <v>43986</v>
      </c>
      <c r="H66" s="5"/>
      <c r="I66" s="5"/>
      <c r="J66" s="5">
        <f t="shared" si="6"/>
        <v>18</v>
      </c>
      <c r="K66" s="8" t="b">
        <f t="shared" si="7"/>
        <v>1</v>
      </c>
    </row>
    <row r="67" spans="1:11">
      <c r="A67" s="5">
        <v>108</v>
      </c>
      <c r="B67" s="6">
        <v>43992</v>
      </c>
      <c r="C67" s="7">
        <v>0.7</v>
      </c>
      <c r="D67" s="5">
        <v>8.2899999999999991</v>
      </c>
      <c r="E67" s="5">
        <v>280</v>
      </c>
      <c r="F67" s="5">
        <v>297</v>
      </c>
      <c r="G67" s="6">
        <v>43992</v>
      </c>
      <c r="H67" s="5"/>
      <c r="I67" s="5"/>
      <c r="J67" s="5">
        <f t="shared" si="6"/>
        <v>17</v>
      </c>
      <c r="K67" s="8" t="b">
        <f t="shared" si="7"/>
        <v>1</v>
      </c>
    </row>
    <row r="68" spans="1:11">
      <c r="A68" s="5">
        <v>108</v>
      </c>
      <c r="B68" s="6">
        <v>43997</v>
      </c>
      <c r="C68" s="7">
        <v>0.7</v>
      </c>
      <c r="D68" s="5">
        <v>8.2899999999999991</v>
      </c>
      <c r="E68" s="5">
        <v>297</v>
      </c>
      <c r="F68" s="5">
        <v>312</v>
      </c>
      <c r="G68" s="6">
        <v>43997</v>
      </c>
      <c r="H68" s="5"/>
      <c r="I68" s="5"/>
      <c r="J68" s="5">
        <f t="shared" si="6"/>
        <v>15</v>
      </c>
      <c r="K68" s="8" t="b">
        <f t="shared" si="7"/>
        <v>1</v>
      </c>
    </row>
    <row r="69" spans="1:11">
      <c r="A69" s="5">
        <v>108</v>
      </c>
      <c r="B69" s="6">
        <v>44003</v>
      </c>
      <c r="C69" s="7">
        <v>0.7</v>
      </c>
      <c r="D69" s="5">
        <v>8.2899999999999991</v>
      </c>
      <c r="E69" s="5">
        <v>312</v>
      </c>
      <c r="F69" s="5">
        <v>328</v>
      </c>
      <c r="G69" s="6">
        <v>44003</v>
      </c>
      <c r="H69" s="5"/>
      <c r="I69" s="5"/>
      <c r="J69" s="5">
        <f t="shared" si="6"/>
        <v>16</v>
      </c>
      <c r="K69" s="8" t="b">
        <f t="shared" si="7"/>
        <v>1</v>
      </c>
    </row>
    <row r="70" spans="1:11">
      <c r="A70" s="5">
        <v>108</v>
      </c>
      <c r="B70" s="6">
        <v>44010</v>
      </c>
      <c r="C70" s="7">
        <v>0.7</v>
      </c>
      <c r="D70" s="5">
        <v>8.2899999999999991</v>
      </c>
      <c r="E70" s="5">
        <v>328</v>
      </c>
      <c r="F70" s="5">
        <v>345</v>
      </c>
      <c r="G70" s="6">
        <v>44010</v>
      </c>
      <c r="H70" s="5"/>
      <c r="I70" s="5"/>
      <c r="J70" s="5">
        <f t="shared" si="6"/>
        <v>17</v>
      </c>
      <c r="K70" s="8" t="b">
        <f t="shared" si="7"/>
        <v>1</v>
      </c>
    </row>
    <row r="71" spans="1:11">
      <c r="A71" s="5">
        <v>108</v>
      </c>
      <c r="B71" s="6">
        <v>44015</v>
      </c>
      <c r="C71" s="7">
        <v>0.7</v>
      </c>
      <c r="D71" s="5">
        <v>8.2899999999999991</v>
      </c>
      <c r="E71" s="5">
        <v>345</v>
      </c>
      <c r="F71" s="5">
        <v>363</v>
      </c>
      <c r="G71" s="6">
        <v>44015</v>
      </c>
      <c r="H71" s="5"/>
      <c r="I71" s="5"/>
      <c r="J71" s="5">
        <f t="shared" si="6"/>
        <v>18</v>
      </c>
      <c r="K71" s="8" t="b">
        <f t="shared" si="7"/>
        <v>1</v>
      </c>
    </row>
    <row r="72" spans="1:11">
      <c r="A72" s="5">
        <v>108</v>
      </c>
      <c r="B72" s="6">
        <v>44021</v>
      </c>
      <c r="C72" s="7">
        <v>0.7</v>
      </c>
      <c r="D72" s="5">
        <v>8.2899999999999991</v>
      </c>
      <c r="E72" s="5">
        <v>363</v>
      </c>
      <c r="F72" s="5">
        <v>376</v>
      </c>
      <c r="G72" s="6">
        <v>44021</v>
      </c>
      <c r="H72" s="5"/>
      <c r="I72" s="5"/>
      <c r="J72" s="5">
        <f t="shared" ref="J72:J79" si="8">F72-E72</f>
        <v>13</v>
      </c>
      <c r="K72" s="8" t="b">
        <f t="shared" si="7"/>
        <v>1</v>
      </c>
    </row>
    <row r="73" spans="1:11">
      <c r="A73" s="5">
        <v>108</v>
      </c>
      <c r="B73" s="6">
        <v>44022</v>
      </c>
      <c r="C73" s="7">
        <v>0.4</v>
      </c>
      <c r="D73" s="5">
        <v>14.5</v>
      </c>
      <c r="E73" s="5">
        <v>376</v>
      </c>
      <c r="F73" s="5">
        <v>391</v>
      </c>
      <c r="G73" s="6">
        <v>44022</v>
      </c>
      <c r="H73" s="5"/>
      <c r="I73" s="5"/>
      <c r="J73" s="5">
        <f t="shared" si="8"/>
        <v>15</v>
      </c>
      <c r="K73" s="8" t="b">
        <f t="shared" si="7"/>
        <v>1</v>
      </c>
    </row>
    <row r="74" spans="1:11">
      <c r="A74" s="5">
        <v>108</v>
      </c>
      <c r="B74" s="6">
        <v>44029</v>
      </c>
      <c r="C74" s="7">
        <v>0.4</v>
      </c>
      <c r="D74" s="5">
        <v>14.5</v>
      </c>
      <c r="E74" s="5">
        <v>391</v>
      </c>
      <c r="F74" s="5">
        <v>405</v>
      </c>
      <c r="G74" s="6">
        <v>44030</v>
      </c>
      <c r="H74" s="5"/>
      <c r="I74" s="5"/>
      <c r="J74" s="5">
        <f t="shared" si="8"/>
        <v>14</v>
      </c>
      <c r="K74" s="8" t="b">
        <f t="shared" si="7"/>
        <v>1</v>
      </c>
    </row>
    <row r="75" spans="1:11">
      <c r="A75" s="5">
        <v>108</v>
      </c>
      <c r="B75" s="6">
        <v>44030</v>
      </c>
      <c r="C75" s="7">
        <v>0.4</v>
      </c>
      <c r="D75" s="5">
        <v>14.5</v>
      </c>
      <c r="E75" s="5">
        <v>405</v>
      </c>
      <c r="F75" s="5">
        <v>419</v>
      </c>
      <c r="G75" s="6">
        <v>44030</v>
      </c>
      <c r="H75" s="5"/>
      <c r="I75" s="5"/>
      <c r="J75" s="5">
        <f t="shared" si="8"/>
        <v>14</v>
      </c>
      <c r="K75" s="8" t="b">
        <f t="shared" si="7"/>
        <v>1</v>
      </c>
    </row>
    <row r="76" spans="1:11">
      <c r="A76" s="5">
        <v>108</v>
      </c>
      <c r="B76" s="6">
        <v>44036</v>
      </c>
      <c r="C76" s="7">
        <v>0.4</v>
      </c>
      <c r="D76" s="5">
        <v>14.5</v>
      </c>
      <c r="E76" s="5">
        <v>419</v>
      </c>
      <c r="F76" s="5">
        <v>435</v>
      </c>
      <c r="G76" s="6">
        <v>44036</v>
      </c>
      <c r="H76" s="5"/>
      <c r="I76" s="5"/>
      <c r="J76" s="5">
        <f t="shared" si="8"/>
        <v>16</v>
      </c>
      <c r="K76" s="8" t="b">
        <f t="shared" si="7"/>
        <v>1</v>
      </c>
    </row>
    <row r="77" spans="1:11">
      <c r="A77" s="5">
        <v>108</v>
      </c>
      <c r="B77" s="6">
        <v>44037</v>
      </c>
      <c r="C77" s="7">
        <v>0.4</v>
      </c>
      <c r="D77" s="5">
        <v>14.5</v>
      </c>
      <c r="E77" s="5">
        <v>435</v>
      </c>
      <c r="F77" s="5">
        <v>448</v>
      </c>
      <c r="G77" s="6">
        <v>44037</v>
      </c>
      <c r="H77" s="5"/>
      <c r="I77" s="5"/>
      <c r="J77" s="5">
        <f t="shared" si="8"/>
        <v>13</v>
      </c>
      <c r="K77" s="8" t="b">
        <f t="shared" si="7"/>
        <v>1</v>
      </c>
    </row>
    <row r="78" spans="1:11">
      <c r="A78" s="5">
        <v>108</v>
      </c>
      <c r="B78" s="6">
        <v>44044</v>
      </c>
      <c r="C78" s="7">
        <v>0.4</v>
      </c>
      <c r="D78" s="5">
        <v>14.5</v>
      </c>
      <c r="E78" s="5">
        <v>448</v>
      </c>
      <c r="F78" s="5">
        <v>463</v>
      </c>
      <c r="G78" s="6">
        <v>44044</v>
      </c>
      <c r="H78" s="5"/>
      <c r="I78" s="5"/>
      <c r="J78" s="5">
        <f t="shared" si="8"/>
        <v>15</v>
      </c>
      <c r="K78" s="8" t="b">
        <f>F78=E79</f>
        <v>1</v>
      </c>
    </row>
    <row r="79" spans="1:11">
      <c r="A79" s="5">
        <v>108</v>
      </c>
      <c r="B79" s="6">
        <v>44045</v>
      </c>
      <c r="C79" s="7">
        <v>0.4</v>
      </c>
      <c r="D79" s="5">
        <v>14.5</v>
      </c>
      <c r="E79" s="5">
        <v>463</v>
      </c>
      <c r="F79" s="5">
        <v>478</v>
      </c>
      <c r="G79" s="6">
        <v>44045</v>
      </c>
      <c r="H79" s="5"/>
      <c r="I79" s="5"/>
      <c r="J79" s="5">
        <f t="shared" si="8"/>
        <v>15</v>
      </c>
      <c r="K79" s="8" t="b">
        <f>F79=E80</f>
        <v>1</v>
      </c>
    </row>
    <row r="80" spans="1:11">
      <c r="A80" s="5">
        <v>108</v>
      </c>
      <c r="B80" s="6">
        <v>44050</v>
      </c>
      <c r="C80" s="7">
        <v>0.4</v>
      </c>
      <c r="D80" s="5">
        <v>14.5</v>
      </c>
      <c r="E80" s="5">
        <v>478</v>
      </c>
      <c r="F80" s="5">
        <v>492</v>
      </c>
      <c r="G80" s="6">
        <v>44050</v>
      </c>
      <c r="H80" s="5"/>
      <c r="I80" s="5"/>
      <c r="J80" s="5">
        <f t="shared" ref="J80:J86" si="9">F80-E80</f>
        <v>14</v>
      </c>
      <c r="K80" s="8" t="b">
        <f t="shared" ref="K80:K91" si="10">F80=E81</f>
        <v>1</v>
      </c>
    </row>
    <row r="81" spans="1:11">
      <c r="A81" s="5">
        <v>108</v>
      </c>
      <c r="B81" s="6">
        <v>44057</v>
      </c>
      <c r="C81" s="7">
        <v>0.4</v>
      </c>
      <c r="D81" s="5">
        <v>14.5</v>
      </c>
      <c r="E81" s="5">
        <v>492</v>
      </c>
      <c r="F81" s="5">
        <v>521</v>
      </c>
      <c r="G81" s="6">
        <v>44057</v>
      </c>
      <c r="H81" s="5"/>
      <c r="I81" s="5"/>
      <c r="J81" s="5">
        <f t="shared" si="9"/>
        <v>29</v>
      </c>
      <c r="K81" s="8" t="b">
        <f t="shared" si="10"/>
        <v>1</v>
      </c>
    </row>
    <row r="82" spans="1:11">
      <c r="A82" s="5">
        <v>108</v>
      </c>
      <c r="B82" s="6">
        <v>44058</v>
      </c>
      <c r="C82" s="7">
        <v>0.4</v>
      </c>
      <c r="D82" s="5">
        <v>14.5</v>
      </c>
      <c r="E82" s="5">
        <v>521</v>
      </c>
      <c r="F82" s="5">
        <v>536</v>
      </c>
      <c r="G82" s="6">
        <v>44058</v>
      </c>
      <c r="H82" s="5"/>
      <c r="I82" s="5"/>
      <c r="J82" s="5">
        <f t="shared" si="9"/>
        <v>15</v>
      </c>
      <c r="K82" s="8" t="b">
        <f t="shared" si="10"/>
        <v>0</v>
      </c>
    </row>
    <row r="83" spans="1:11">
      <c r="A83" s="5">
        <v>108</v>
      </c>
      <c r="B83" s="6">
        <v>44100</v>
      </c>
      <c r="C83" s="7">
        <v>0.4</v>
      </c>
      <c r="D83" s="5">
        <v>14.5</v>
      </c>
      <c r="E83" s="5">
        <v>603</v>
      </c>
      <c r="F83" s="5">
        <v>622</v>
      </c>
      <c r="G83" s="6">
        <v>44100</v>
      </c>
      <c r="H83" s="5"/>
      <c r="I83" s="5"/>
      <c r="J83" s="5">
        <f t="shared" si="9"/>
        <v>19</v>
      </c>
      <c r="K83" s="8" t="b">
        <f t="shared" si="10"/>
        <v>1</v>
      </c>
    </row>
    <row r="84" spans="1:11">
      <c r="A84" s="5">
        <v>108</v>
      </c>
      <c r="B84" s="6">
        <v>44106</v>
      </c>
      <c r="C84" s="7">
        <v>0.4</v>
      </c>
      <c r="D84" s="5">
        <v>14.5</v>
      </c>
      <c r="E84" s="5">
        <v>622</v>
      </c>
      <c r="F84" s="5">
        <v>637</v>
      </c>
      <c r="G84" s="6">
        <v>44106</v>
      </c>
      <c r="H84" s="5"/>
      <c r="I84" s="5"/>
      <c r="J84" s="5">
        <f t="shared" si="9"/>
        <v>15</v>
      </c>
      <c r="K84" s="8" t="b">
        <f t="shared" si="10"/>
        <v>1</v>
      </c>
    </row>
    <row r="85" spans="1:11">
      <c r="A85" s="5">
        <v>108</v>
      </c>
      <c r="B85" s="6">
        <v>44107</v>
      </c>
      <c r="C85" s="7">
        <v>0.4</v>
      </c>
      <c r="D85" s="5">
        <v>14.5</v>
      </c>
      <c r="E85" s="5">
        <v>637</v>
      </c>
      <c r="F85" s="5">
        <v>652</v>
      </c>
      <c r="G85" s="6">
        <v>44107</v>
      </c>
      <c r="H85" s="5"/>
      <c r="I85" s="5"/>
      <c r="J85" s="5">
        <f t="shared" si="9"/>
        <v>15</v>
      </c>
      <c r="K85" s="8" t="b">
        <f t="shared" si="10"/>
        <v>1</v>
      </c>
    </row>
    <row r="86" spans="1:11">
      <c r="A86" s="5">
        <v>108</v>
      </c>
      <c r="B86" s="6">
        <v>44111</v>
      </c>
      <c r="C86" s="7">
        <v>0.4</v>
      </c>
      <c r="D86" s="5">
        <v>14.5</v>
      </c>
      <c r="E86" s="5">
        <v>652</v>
      </c>
      <c r="F86" s="5">
        <v>671</v>
      </c>
      <c r="G86" s="6">
        <v>44111</v>
      </c>
      <c r="H86" s="5"/>
      <c r="I86" s="5"/>
      <c r="J86" s="5">
        <f t="shared" si="9"/>
        <v>19</v>
      </c>
      <c r="K86" s="8" t="b">
        <f t="shared" si="10"/>
        <v>1</v>
      </c>
    </row>
    <row r="87" spans="1:11">
      <c r="A87" s="5">
        <v>108</v>
      </c>
      <c r="B87" s="6">
        <v>44119</v>
      </c>
      <c r="C87" s="7">
        <v>0.4</v>
      </c>
      <c r="D87" s="5">
        <v>14.5</v>
      </c>
      <c r="E87" s="5">
        <v>671</v>
      </c>
      <c r="F87" s="5">
        <v>695</v>
      </c>
      <c r="G87" s="6">
        <v>44119</v>
      </c>
      <c r="H87" s="5"/>
      <c r="I87" s="5"/>
      <c r="J87" s="5">
        <f t="shared" ref="J87:J92" si="11">F87-E87</f>
        <v>24</v>
      </c>
      <c r="K87" s="8" t="b">
        <f t="shared" si="10"/>
        <v>1</v>
      </c>
    </row>
    <row r="88" spans="1:11">
      <c r="A88" s="5">
        <v>108</v>
      </c>
      <c r="B88" s="6">
        <v>44120</v>
      </c>
      <c r="C88" s="7">
        <v>0.5</v>
      </c>
      <c r="D88" s="5">
        <v>11.6</v>
      </c>
      <c r="E88" s="5">
        <v>695</v>
      </c>
      <c r="F88" s="5">
        <v>705</v>
      </c>
      <c r="G88" s="6">
        <v>44120</v>
      </c>
      <c r="H88" s="5"/>
      <c r="I88" s="5"/>
      <c r="J88" s="5">
        <f t="shared" si="11"/>
        <v>10</v>
      </c>
      <c r="K88" s="8" t="b">
        <f t="shared" si="10"/>
        <v>1</v>
      </c>
    </row>
    <row r="89" spans="1:11">
      <c r="A89" s="5">
        <v>108</v>
      </c>
      <c r="B89" s="6">
        <v>44127</v>
      </c>
      <c r="C89" s="7">
        <v>0.5</v>
      </c>
      <c r="D89" s="5">
        <v>11.6</v>
      </c>
      <c r="E89" s="5">
        <v>705</v>
      </c>
      <c r="F89" s="5">
        <v>721</v>
      </c>
      <c r="G89" s="6">
        <v>44127</v>
      </c>
      <c r="H89" s="5"/>
      <c r="I89" s="5"/>
      <c r="J89" s="5">
        <f t="shared" si="11"/>
        <v>16</v>
      </c>
      <c r="K89" s="8" t="b">
        <f t="shared" si="10"/>
        <v>1</v>
      </c>
    </row>
    <row r="90" spans="1:11">
      <c r="A90" s="5">
        <v>108</v>
      </c>
      <c r="B90" s="6">
        <v>44128</v>
      </c>
      <c r="C90" s="7">
        <v>0.8</v>
      </c>
      <c r="D90" s="5">
        <v>7.25</v>
      </c>
      <c r="E90" s="5">
        <v>721</v>
      </c>
      <c r="F90" s="5">
        <v>735</v>
      </c>
      <c r="G90" s="6">
        <v>44128</v>
      </c>
      <c r="H90" s="5"/>
      <c r="I90" s="5"/>
      <c r="J90" s="5">
        <f t="shared" si="11"/>
        <v>14</v>
      </c>
      <c r="K90" s="8" t="b">
        <f t="shared" si="10"/>
        <v>0</v>
      </c>
    </row>
    <row r="91" spans="1:11">
      <c r="A91" s="5"/>
      <c r="B91" s="6"/>
      <c r="C91" s="7"/>
      <c r="D91" s="5"/>
      <c r="E91" s="5"/>
      <c r="F91" s="5"/>
      <c r="G91" s="6"/>
      <c r="H91" s="5"/>
      <c r="I91" s="5"/>
      <c r="J91" s="5">
        <f t="shared" si="11"/>
        <v>0</v>
      </c>
      <c r="K91" s="8" t="b">
        <f t="shared" si="10"/>
        <v>1</v>
      </c>
    </row>
    <row r="92" spans="1:11">
      <c r="A92" s="5"/>
      <c r="B92" s="6"/>
      <c r="C92" s="7"/>
      <c r="D92" s="5"/>
      <c r="E92" s="5"/>
      <c r="F92" s="5"/>
      <c r="G92" s="6"/>
      <c r="H92" s="5"/>
      <c r="I92" s="5"/>
      <c r="J92" s="5">
        <f t="shared" si="11"/>
        <v>0</v>
      </c>
      <c r="K92" s="8" t="e">
        <f>F92=#REF!</f>
        <v>#REF!</v>
      </c>
    </row>
    <row r="94" spans="1:11" ht="26.25">
      <c r="A94" s="153" t="s">
        <v>100</v>
      </c>
      <c r="B94" s="154"/>
      <c r="C94" s="154"/>
      <c r="D94" s="154"/>
      <c r="E94" s="154"/>
      <c r="F94" s="154"/>
      <c r="G94" s="154"/>
      <c r="H94" s="154"/>
      <c r="I94" s="154"/>
      <c r="J94" s="154"/>
      <c r="K94" s="155"/>
    </row>
    <row r="95" spans="1:11" ht="26.25">
      <c r="A95" s="156" t="s">
        <v>14</v>
      </c>
      <c r="B95" s="157"/>
      <c r="C95" s="157"/>
      <c r="D95" s="157"/>
      <c r="E95" s="157"/>
      <c r="F95" s="157"/>
      <c r="G95" s="157"/>
      <c r="H95" s="157"/>
      <c r="I95" s="157"/>
      <c r="J95" s="157"/>
      <c r="K95" s="158"/>
    </row>
    <row r="96" spans="1:11" ht="15.75" thickBot="1"/>
    <row r="97" spans="1:11" ht="15.75" thickBot="1">
      <c r="A97" s="132" t="s">
        <v>2</v>
      </c>
      <c r="B97" s="133"/>
      <c r="C97" s="133"/>
      <c r="D97" s="133"/>
      <c r="E97" s="133"/>
      <c r="F97" s="133"/>
      <c r="G97" s="133"/>
      <c r="H97" s="133"/>
      <c r="I97" s="133"/>
      <c r="J97" s="133"/>
      <c r="K97" s="134"/>
    </row>
    <row r="99" spans="1:11" ht="19.5" thickBot="1">
      <c r="A99" s="1" t="s">
        <v>3</v>
      </c>
      <c r="B99" s="1"/>
      <c r="C99" s="1"/>
      <c r="D99" s="1"/>
      <c r="E99" s="1"/>
      <c r="F99" s="1"/>
      <c r="G99" s="1"/>
      <c r="H99" s="1"/>
      <c r="I99" s="1"/>
    </row>
    <row r="100" spans="1:11" ht="30.75" thickBot="1">
      <c r="A100" s="2" t="s">
        <v>4</v>
      </c>
      <c r="B100" s="3" t="s">
        <v>5</v>
      </c>
      <c r="C100" s="3" t="s">
        <v>6</v>
      </c>
      <c r="D100" s="3" t="s">
        <v>7</v>
      </c>
      <c r="E100" s="3" t="s">
        <v>8</v>
      </c>
      <c r="F100" s="3" t="s">
        <v>9</v>
      </c>
      <c r="G100" s="3" t="s">
        <v>10</v>
      </c>
      <c r="H100" s="3" t="s">
        <v>21</v>
      </c>
      <c r="I100" s="4" t="s">
        <v>22</v>
      </c>
      <c r="J100" s="4" t="s">
        <v>11</v>
      </c>
      <c r="K100" s="4" t="s">
        <v>12</v>
      </c>
    </row>
    <row r="101" spans="1:11">
      <c r="A101" s="5">
        <v>108</v>
      </c>
      <c r="B101" s="6">
        <v>44198</v>
      </c>
      <c r="C101" s="7">
        <v>1</v>
      </c>
      <c r="D101" s="5">
        <v>5.8</v>
      </c>
      <c r="E101" s="5">
        <v>839</v>
      </c>
      <c r="F101" s="5">
        <v>852.9</v>
      </c>
      <c r="G101" s="6">
        <v>44198</v>
      </c>
      <c r="H101" s="5"/>
      <c r="I101" s="5"/>
      <c r="J101" s="5">
        <f t="shared" ref="J101:J108" si="12">F101-E101</f>
        <v>13.899999999999977</v>
      </c>
      <c r="K101" s="8" t="b">
        <f t="shared" ref="K101:K107" si="13">F101=E102</f>
        <v>0</v>
      </c>
    </row>
    <row r="102" spans="1:11">
      <c r="A102" s="5">
        <v>108</v>
      </c>
      <c r="B102" s="6">
        <v>44199</v>
      </c>
      <c r="C102" s="7">
        <v>1</v>
      </c>
      <c r="D102" s="5">
        <v>5.8</v>
      </c>
      <c r="E102" s="5">
        <v>852</v>
      </c>
      <c r="F102" s="5">
        <v>876</v>
      </c>
      <c r="G102" s="6">
        <v>44199</v>
      </c>
      <c r="H102" s="5"/>
      <c r="I102" s="5"/>
      <c r="J102" s="5">
        <f t="shared" si="12"/>
        <v>24</v>
      </c>
      <c r="K102" s="8" t="b">
        <f t="shared" si="13"/>
        <v>1</v>
      </c>
    </row>
    <row r="103" spans="1:11">
      <c r="A103" s="5">
        <v>108</v>
      </c>
      <c r="B103" s="6">
        <v>44201</v>
      </c>
      <c r="C103" s="7">
        <v>1</v>
      </c>
      <c r="D103" s="5">
        <v>5.8</v>
      </c>
      <c r="E103" s="5">
        <v>876</v>
      </c>
      <c r="F103" s="5">
        <v>888</v>
      </c>
      <c r="G103" s="6">
        <v>44201</v>
      </c>
      <c r="H103" s="5"/>
      <c r="I103" s="5"/>
      <c r="J103" s="5">
        <f t="shared" si="12"/>
        <v>12</v>
      </c>
      <c r="K103" s="8" t="b">
        <f t="shared" si="13"/>
        <v>0</v>
      </c>
    </row>
    <row r="104" spans="1:11">
      <c r="A104" s="5">
        <v>108</v>
      </c>
      <c r="B104" s="6">
        <v>44205</v>
      </c>
      <c r="C104" s="7">
        <v>0.8</v>
      </c>
      <c r="D104" s="5">
        <v>7.25</v>
      </c>
      <c r="E104" s="5">
        <v>902</v>
      </c>
      <c r="F104" s="5">
        <v>919</v>
      </c>
      <c r="G104" s="6">
        <v>44205</v>
      </c>
      <c r="H104" s="5"/>
      <c r="I104" s="5"/>
      <c r="J104" s="5">
        <f t="shared" si="12"/>
        <v>17</v>
      </c>
      <c r="K104" s="8" t="b">
        <f t="shared" si="13"/>
        <v>0</v>
      </c>
    </row>
    <row r="105" spans="1:11">
      <c r="A105" s="5">
        <v>108</v>
      </c>
      <c r="B105" s="6">
        <v>44218</v>
      </c>
      <c r="C105" s="7">
        <v>1</v>
      </c>
      <c r="D105" s="5">
        <v>5.8</v>
      </c>
      <c r="E105" s="5">
        <v>920</v>
      </c>
      <c r="F105" s="5">
        <v>938</v>
      </c>
      <c r="G105" s="6">
        <v>44218</v>
      </c>
      <c r="H105" s="5"/>
      <c r="I105" s="5"/>
      <c r="J105" s="5">
        <f t="shared" si="12"/>
        <v>18</v>
      </c>
      <c r="K105" s="8" t="b">
        <f t="shared" si="13"/>
        <v>1</v>
      </c>
    </row>
    <row r="106" spans="1:11">
      <c r="A106" s="5">
        <v>108</v>
      </c>
      <c r="B106" s="6">
        <v>44219</v>
      </c>
      <c r="C106" s="7">
        <v>0.7</v>
      </c>
      <c r="D106" s="5">
        <v>8.2899999999999991</v>
      </c>
      <c r="E106" s="5">
        <v>938</v>
      </c>
      <c r="F106" s="5">
        <v>954</v>
      </c>
      <c r="G106" s="6">
        <v>44219</v>
      </c>
      <c r="H106" s="5"/>
      <c r="I106" s="5"/>
      <c r="J106" s="5">
        <f t="shared" si="12"/>
        <v>16</v>
      </c>
      <c r="K106" s="8" t="b">
        <f t="shared" si="13"/>
        <v>0</v>
      </c>
    </row>
    <row r="107" spans="1:11">
      <c r="A107" s="5">
        <v>108</v>
      </c>
      <c r="B107" s="6">
        <v>44226</v>
      </c>
      <c r="C107" s="7">
        <v>0.7</v>
      </c>
      <c r="D107" s="5">
        <v>8.2899999999999991</v>
      </c>
      <c r="E107" s="5">
        <v>159</v>
      </c>
      <c r="F107" s="5">
        <v>185</v>
      </c>
      <c r="G107" s="6">
        <v>44226</v>
      </c>
      <c r="H107" s="5"/>
      <c r="I107" s="5"/>
      <c r="J107" s="5">
        <f t="shared" si="12"/>
        <v>26</v>
      </c>
      <c r="K107" s="8" t="b">
        <f t="shared" si="13"/>
        <v>1</v>
      </c>
    </row>
    <row r="108" spans="1:11">
      <c r="A108" s="5">
        <v>108</v>
      </c>
      <c r="B108" s="6">
        <v>44227</v>
      </c>
      <c r="C108" s="7" t="s">
        <v>102</v>
      </c>
      <c r="D108" s="5">
        <v>7.77</v>
      </c>
      <c r="E108" s="5">
        <v>185</v>
      </c>
      <c r="F108" s="5">
        <v>195.5</v>
      </c>
      <c r="G108" s="6">
        <v>44227</v>
      </c>
      <c r="H108" s="5"/>
      <c r="I108" s="5"/>
      <c r="J108" s="5">
        <f t="shared" si="12"/>
        <v>10.5</v>
      </c>
      <c r="K108" s="8" t="b">
        <f>F108=E112</f>
        <v>0</v>
      </c>
    </row>
    <row r="109" spans="1:11">
      <c r="A109" s="5">
        <v>108</v>
      </c>
      <c r="B109" s="6">
        <v>44228</v>
      </c>
      <c r="C109" s="7" t="s">
        <v>103</v>
      </c>
      <c r="D109" s="5">
        <v>10.63</v>
      </c>
      <c r="E109" s="5">
        <v>193</v>
      </c>
      <c r="F109" s="5">
        <v>204.7</v>
      </c>
      <c r="G109" s="6">
        <v>44228</v>
      </c>
      <c r="H109" s="5"/>
      <c r="I109" s="5"/>
      <c r="J109" s="5">
        <f t="shared" ref="J109:J118" si="14">F109-E109</f>
        <v>11.699999999999989</v>
      </c>
      <c r="K109" s="8" t="b">
        <f>F109=E113</f>
        <v>0</v>
      </c>
    </row>
    <row r="110" spans="1:11">
      <c r="A110" s="5">
        <v>108</v>
      </c>
      <c r="B110" s="6">
        <v>44230</v>
      </c>
      <c r="C110" s="7" t="s">
        <v>104</v>
      </c>
      <c r="D110" s="5">
        <v>7.77</v>
      </c>
      <c r="E110" s="5">
        <v>204.7</v>
      </c>
      <c r="F110" s="5">
        <v>218.8</v>
      </c>
      <c r="G110" s="6">
        <v>44230</v>
      </c>
      <c r="H110" s="5"/>
      <c r="I110" s="5"/>
      <c r="J110" s="5">
        <f t="shared" si="14"/>
        <v>14.100000000000023</v>
      </c>
      <c r="K110" s="8" t="b">
        <f>F110=E114</f>
        <v>0</v>
      </c>
    </row>
    <row r="111" spans="1:11">
      <c r="A111" s="5">
        <v>108</v>
      </c>
      <c r="B111" s="6">
        <v>44231</v>
      </c>
      <c r="C111" s="7" t="s">
        <v>103</v>
      </c>
      <c r="D111" s="5">
        <v>10.63</v>
      </c>
      <c r="E111" s="5">
        <v>218.8</v>
      </c>
      <c r="F111" s="5">
        <v>223.3</v>
      </c>
      <c r="G111" s="6">
        <v>44231</v>
      </c>
      <c r="H111" s="5"/>
      <c r="I111" s="5"/>
      <c r="J111" s="5">
        <f t="shared" si="14"/>
        <v>4.5</v>
      </c>
      <c r="K111" s="8" t="b">
        <f>F111=E122</f>
        <v>0</v>
      </c>
    </row>
    <row r="112" spans="1:11">
      <c r="A112" s="5">
        <v>108</v>
      </c>
      <c r="B112" s="6">
        <v>44233</v>
      </c>
      <c r="C112" s="7" t="s">
        <v>104</v>
      </c>
      <c r="D112" s="5">
        <v>7.77</v>
      </c>
      <c r="E112" s="5">
        <v>223</v>
      </c>
      <c r="F112" s="5">
        <v>228.1</v>
      </c>
      <c r="G112" s="6">
        <v>44233</v>
      </c>
      <c r="H112" s="5"/>
      <c r="I112" s="5"/>
      <c r="J112" s="5">
        <f t="shared" si="14"/>
        <v>5.0999999999999943</v>
      </c>
      <c r="K112" s="8" t="b">
        <f>F112=E113</f>
        <v>1</v>
      </c>
    </row>
    <row r="113" spans="1:11">
      <c r="A113" s="5">
        <v>108</v>
      </c>
      <c r="B113" s="6">
        <v>44238</v>
      </c>
      <c r="C113" s="7">
        <v>1</v>
      </c>
      <c r="D113" s="5">
        <v>5.8</v>
      </c>
      <c r="E113" s="5">
        <v>228.1</v>
      </c>
      <c r="F113" s="5">
        <v>239.8</v>
      </c>
      <c r="G113" s="6">
        <v>44238</v>
      </c>
      <c r="H113" s="5"/>
      <c r="I113" s="5"/>
      <c r="J113" s="5">
        <f t="shared" si="14"/>
        <v>11.700000000000017</v>
      </c>
      <c r="K113" s="8" t="b">
        <f>F113=E114</f>
        <v>0</v>
      </c>
    </row>
    <row r="114" spans="1:11">
      <c r="A114" s="5">
        <v>108</v>
      </c>
      <c r="B114" s="6">
        <v>44254</v>
      </c>
      <c r="C114" s="7">
        <v>1</v>
      </c>
      <c r="D114" s="5">
        <v>5.8</v>
      </c>
      <c r="E114" s="5">
        <v>240.1</v>
      </c>
      <c r="F114" s="5">
        <v>246.5</v>
      </c>
      <c r="G114" s="6">
        <v>44254</v>
      </c>
      <c r="H114" s="5"/>
      <c r="I114" s="5"/>
      <c r="J114" s="5">
        <f t="shared" si="14"/>
        <v>6.4000000000000057</v>
      </c>
      <c r="K114" s="8" t="e">
        <f>F114=#REF!</f>
        <v>#REF!</v>
      </c>
    </row>
    <row r="115" spans="1:11">
      <c r="A115" s="5">
        <v>108</v>
      </c>
      <c r="B115" s="6">
        <v>44259</v>
      </c>
      <c r="C115" s="7" t="s">
        <v>105</v>
      </c>
      <c r="D115" s="5">
        <v>7.77</v>
      </c>
      <c r="E115" s="5">
        <v>246.5</v>
      </c>
      <c r="F115" s="5">
        <v>254.5</v>
      </c>
      <c r="G115" s="6">
        <v>44259</v>
      </c>
      <c r="H115" s="5"/>
      <c r="I115" s="5"/>
      <c r="J115" s="5">
        <f t="shared" si="14"/>
        <v>8</v>
      </c>
      <c r="K115" s="8" t="b">
        <f>F115=E119</f>
        <v>0</v>
      </c>
    </row>
    <row r="116" spans="1:11">
      <c r="A116" s="5" t="s">
        <v>106</v>
      </c>
      <c r="B116" s="17">
        <v>44259</v>
      </c>
      <c r="C116" s="18" t="s">
        <v>105</v>
      </c>
      <c r="D116" s="8">
        <v>7.77</v>
      </c>
      <c r="E116" s="8">
        <v>246.5</v>
      </c>
      <c r="F116" s="8">
        <v>254.5</v>
      </c>
      <c r="G116" s="17">
        <v>44259</v>
      </c>
      <c r="H116" s="8"/>
      <c r="I116" s="8"/>
      <c r="J116" s="5">
        <f t="shared" si="14"/>
        <v>8</v>
      </c>
      <c r="K116" s="8" t="b">
        <f>F116=E117</f>
        <v>1</v>
      </c>
    </row>
    <row r="117" spans="1:11">
      <c r="A117" s="5" t="s">
        <v>107</v>
      </c>
      <c r="B117" s="17">
        <v>44260</v>
      </c>
      <c r="C117" s="18" t="s">
        <v>108</v>
      </c>
      <c r="D117" s="8">
        <v>10.63</v>
      </c>
      <c r="E117" s="8">
        <v>254.5</v>
      </c>
      <c r="F117" s="8">
        <v>265.7</v>
      </c>
      <c r="G117" s="17">
        <v>44260</v>
      </c>
      <c r="H117" s="8"/>
      <c r="I117" s="8"/>
      <c r="J117" s="5">
        <f t="shared" si="14"/>
        <v>11.199999999999989</v>
      </c>
      <c r="K117" s="8" t="b">
        <f>F117=E119</f>
        <v>0</v>
      </c>
    </row>
    <row r="118" spans="1:11">
      <c r="A118" s="5" t="s">
        <v>106</v>
      </c>
      <c r="B118" s="17">
        <v>44270</v>
      </c>
      <c r="C118" s="18" t="s">
        <v>105</v>
      </c>
      <c r="D118" s="8">
        <v>7.77</v>
      </c>
      <c r="E118" s="8">
        <v>265.7</v>
      </c>
      <c r="F118" s="8">
        <v>274.3</v>
      </c>
      <c r="G118" s="17">
        <v>44270</v>
      </c>
      <c r="H118" s="8"/>
      <c r="I118" s="8"/>
      <c r="J118" s="5">
        <f t="shared" si="14"/>
        <v>8.6000000000000227</v>
      </c>
      <c r="K118" s="8" t="b">
        <f>F118=E119</f>
        <v>1</v>
      </c>
    </row>
    <row r="119" spans="1:11">
      <c r="A119" s="5" t="s">
        <v>109</v>
      </c>
      <c r="B119" s="6">
        <v>44273</v>
      </c>
      <c r="C119" s="7" t="s">
        <v>110</v>
      </c>
      <c r="D119" s="5">
        <v>10.63</v>
      </c>
      <c r="E119" s="5">
        <v>274.3</v>
      </c>
      <c r="F119" s="5">
        <v>289.89999999999998</v>
      </c>
      <c r="G119" s="6">
        <v>44273</v>
      </c>
      <c r="H119" s="5"/>
      <c r="I119" s="5"/>
      <c r="J119" s="5">
        <f t="shared" ref="J119:J134" si="15">F119-E119</f>
        <v>15.599999999999966</v>
      </c>
      <c r="K119" s="8" t="b">
        <f>F119=E120</f>
        <v>0</v>
      </c>
    </row>
    <row r="120" spans="1:11">
      <c r="A120" s="5" t="s">
        <v>111</v>
      </c>
      <c r="B120" s="6">
        <v>44274</v>
      </c>
      <c r="C120" s="7" t="s">
        <v>112</v>
      </c>
      <c r="D120" s="5">
        <v>10.63</v>
      </c>
      <c r="E120" s="5">
        <v>291.7</v>
      </c>
      <c r="F120" s="5">
        <v>302.89999999999998</v>
      </c>
      <c r="G120" s="6">
        <v>44274</v>
      </c>
      <c r="H120" s="5"/>
      <c r="I120" s="5"/>
      <c r="J120" s="5">
        <f t="shared" si="15"/>
        <v>11.199999999999989</v>
      </c>
      <c r="K120" s="8" t="b">
        <f>F120=E121</f>
        <v>1</v>
      </c>
    </row>
    <row r="121" spans="1:11">
      <c r="A121" s="5" t="s">
        <v>111</v>
      </c>
      <c r="B121" s="6">
        <v>44276</v>
      </c>
      <c r="C121" s="7" t="s">
        <v>113</v>
      </c>
      <c r="D121" s="5">
        <v>7.77</v>
      </c>
      <c r="E121" s="5">
        <v>302.89999999999998</v>
      </c>
      <c r="F121" s="5">
        <v>310.7</v>
      </c>
      <c r="G121" s="6">
        <v>44276</v>
      </c>
      <c r="H121" s="5"/>
      <c r="I121" s="5"/>
      <c r="J121" s="5">
        <f t="shared" si="15"/>
        <v>7.8000000000000114</v>
      </c>
      <c r="K121" s="8" t="b">
        <f>F121=E122</f>
        <v>1</v>
      </c>
    </row>
    <row r="122" spans="1:11">
      <c r="A122" s="5" t="s">
        <v>109</v>
      </c>
      <c r="B122" s="6">
        <v>44277</v>
      </c>
      <c r="C122" s="7" t="s">
        <v>112</v>
      </c>
      <c r="D122" s="5">
        <v>10.63</v>
      </c>
      <c r="E122" s="5">
        <v>310.7</v>
      </c>
      <c r="F122" s="5">
        <v>321.10000000000002</v>
      </c>
      <c r="G122" s="6">
        <v>44277</v>
      </c>
      <c r="H122" s="5"/>
      <c r="I122" s="5"/>
      <c r="J122" s="5">
        <f t="shared" si="15"/>
        <v>10.400000000000034</v>
      </c>
      <c r="K122" s="8" t="b">
        <f t="shared" ref="K122:K134" si="16">F122=E123</f>
        <v>1</v>
      </c>
    </row>
    <row r="123" spans="1:11">
      <c r="A123" s="5" t="s">
        <v>111</v>
      </c>
      <c r="B123" s="6">
        <v>44279</v>
      </c>
      <c r="C123" s="7" t="s">
        <v>113</v>
      </c>
      <c r="D123" s="5">
        <v>7.77</v>
      </c>
      <c r="E123" s="5">
        <v>321.10000000000002</v>
      </c>
      <c r="F123" s="5">
        <v>329</v>
      </c>
      <c r="G123" s="6">
        <v>44279</v>
      </c>
      <c r="H123" s="5"/>
      <c r="I123" s="5"/>
      <c r="J123" s="5">
        <f t="shared" si="15"/>
        <v>7.8999999999999773</v>
      </c>
      <c r="K123" s="8" t="b">
        <f t="shared" si="16"/>
        <v>0</v>
      </c>
    </row>
    <row r="124" spans="1:11">
      <c r="A124" s="5" t="s">
        <v>109</v>
      </c>
      <c r="B124" s="6">
        <v>44280</v>
      </c>
      <c r="C124" s="7" t="s">
        <v>110</v>
      </c>
      <c r="D124" s="5">
        <v>10.63</v>
      </c>
      <c r="E124" s="5">
        <v>329.4</v>
      </c>
      <c r="F124" s="5">
        <v>339.5</v>
      </c>
      <c r="G124" s="6">
        <v>44280</v>
      </c>
      <c r="H124" s="5"/>
      <c r="I124" s="5"/>
      <c r="J124" s="5">
        <f t="shared" si="15"/>
        <v>10.100000000000023</v>
      </c>
      <c r="K124" s="8" t="b">
        <f t="shared" si="16"/>
        <v>1</v>
      </c>
    </row>
    <row r="125" spans="1:11">
      <c r="A125" s="5" t="s">
        <v>111</v>
      </c>
      <c r="B125" s="6">
        <v>44282</v>
      </c>
      <c r="C125" s="7" t="s">
        <v>113</v>
      </c>
      <c r="D125" s="5">
        <v>7.77</v>
      </c>
      <c r="E125" s="5">
        <v>339.5</v>
      </c>
      <c r="F125" s="5">
        <v>347.3</v>
      </c>
      <c r="G125" s="6">
        <v>44282</v>
      </c>
      <c r="H125" s="5"/>
      <c r="I125" s="5"/>
      <c r="J125" s="5">
        <f t="shared" si="15"/>
        <v>7.8000000000000114</v>
      </c>
      <c r="K125" s="8" t="b">
        <f t="shared" si="16"/>
        <v>1</v>
      </c>
    </row>
    <row r="126" spans="1:11">
      <c r="A126" s="5" t="s">
        <v>109</v>
      </c>
      <c r="B126" s="6">
        <v>44283</v>
      </c>
      <c r="C126" s="7" t="s">
        <v>110</v>
      </c>
      <c r="D126" s="5">
        <v>10.63</v>
      </c>
      <c r="E126" s="5">
        <v>347.3</v>
      </c>
      <c r="F126" s="5">
        <v>357.7</v>
      </c>
      <c r="G126" s="6">
        <v>44283</v>
      </c>
      <c r="H126" s="5"/>
      <c r="I126" s="5"/>
      <c r="J126" s="5">
        <f t="shared" si="15"/>
        <v>10.399999999999977</v>
      </c>
      <c r="K126" s="8" t="b">
        <f t="shared" si="16"/>
        <v>1</v>
      </c>
    </row>
    <row r="127" spans="1:11">
      <c r="A127" s="5" t="s">
        <v>111</v>
      </c>
      <c r="B127" s="6">
        <v>44285</v>
      </c>
      <c r="C127" s="7" t="s">
        <v>114</v>
      </c>
      <c r="D127" s="5">
        <v>7.77</v>
      </c>
      <c r="E127" s="5">
        <v>357.7</v>
      </c>
      <c r="F127" s="5">
        <v>365.6</v>
      </c>
      <c r="G127" s="6">
        <v>44285</v>
      </c>
      <c r="H127" s="5"/>
      <c r="I127" s="5"/>
      <c r="J127" s="5">
        <f t="shared" si="15"/>
        <v>7.9000000000000341</v>
      </c>
      <c r="K127" s="8" t="b">
        <f t="shared" si="16"/>
        <v>0</v>
      </c>
    </row>
    <row r="128" spans="1:11">
      <c r="A128" s="5" t="s">
        <v>109</v>
      </c>
      <c r="B128" s="6">
        <v>44286</v>
      </c>
      <c r="C128" s="7" t="s">
        <v>110</v>
      </c>
      <c r="D128" s="5">
        <v>10.63</v>
      </c>
      <c r="E128" s="5">
        <v>365.5</v>
      </c>
      <c r="F128" s="5">
        <v>375.6</v>
      </c>
      <c r="G128" s="6">
        <v>44286</v>
      </c>
      <c r="H128" s="5"/>
      <c r="I128" s="5"/>
      <c r="J128" s="5">
        <f t="shared" si="15"/>
        <v>10.100000000000023</v>
      </c>
      <c r="K128" s="8" t="b">
        <f t="shared" si="16"/>
        <v>0</v>
      </c>
    </row>
    <row r="129" spans="1:11">
      <c r="A129" s="5" t="s">
        <v>111</v>
      </c>
      <c r="B129" s="6">
        <v>44288</v>
      </c>
      <c r="C129" s="7" t="s">
        <v>113</v>
      </c>
      <c r="D129" s="5">
        <v>7.77</v>
      </c>
      <c r="E129" s="5">
        <v>0</v>
      </c>
      <c r="F129" s="5">
        <v>8</v>
      </c>
      <c r="G129" s="6">
        <v>44288</v>
      </c>
      <c r="H129" s="5"/>
      <c r="I129" s="5"/>
      <c r="J129" s="5">
        <f t="shared" si="15"/>
        <v>8</v>
      </c>
      <c r="K129" s="8" t="b">
        <f t="shared" si="16"/>
        <v>1</v>
      </c>
    </row>
    <row r="130" spans="1:11">
      <c r="A130" s="5" t="s">
        <v>109</v>
      </c>
      <c r="B130" s="6">
        <v>44289</v>
      </c>
      <c r="C130" s="7" t="s">
        <v>110</v>
      </c>
      <c r="D130" s="5">
        <v>10.63</v>
      </c>
      <c r="E130" s="5">
        <v>8</v>
      </c>
      <c r="F130" s="5">
        <v>18.8</v>
      </c>
      <c r="G130" s="6">
        <v>44289</v>
      </c>
      <c r="H130" s="5"/>
      <c r="I130" s="5"/>
      <c r="J130" s="5">
        <f t="shared" si="15"/>
        <v>10.8</v>
      </c>
      <c r="K130" s="8" t="b">
        <f t="shared" si="16"/>
        <v>1</v>
      </c>
    </row>
    <row r="131" spans="1:11">
      <c r="A131" s="5" t="s">
        <v>111</v>
      </c>
      <c r="B131" s="6">
        <v>44291</v>
      </c>
      <c r="C131" s="7" t="s">
        <v>114</v>
      </c>
      <c r="D131" s="5">
        <v>7.77</v>
      </c>
      <c r="E131" s="5">
        <v>18.8</v>
      </c>
      <c r="F131" s="5">
        <v>26.7</v>
      </c>
      <c r="G131" s="6">
        <v>44291</v>
      </c>
      <c r="H131" s="5"/>
      <c r="I131" s="5"/>
      <c r="J131" s="5">
        <f t="shared" si="15"/>
        <v>7.8999999999999986</v>
      </c>
      <c r="K131" s="8" t="b">
        <f t="shared" si="16"/>
        <v>1</v>
      </c>
    </row>
    <row r="132" spans="1:11">
      <c r="A132" s="5" t="s">
        <v>109</v>
      </c>
      <c r="B132" s="6">
        <v>44292</v>
      </c>
      <c r="C132" s="7" t="s">
        <v>110</v>
      </c>
      <c r="D132" s="5">
        <v>10.63</v>
      </c>
      <c r="E132" s="5">
        <v>26.7</v>
      </c>
      <c r="F132" s="5">
        <v>37.200000000000003</v>
      </c>
      <c r="G132" s="6">
        <v>44292</v>
      </c>
      <c r="H132" s="5"/>
      <c r="I132" s="5"/>
      <c r="J132" s="5">
        <f t="shared" si="15"/>
        <v>10.500000000000004</v>
      </c>
      <c r="K132" s="8" t="b">
        <f t="shared" si="16"/>
        <v>1</v>
      </c>
    </row>
    <row r="133" spans="1:11">
      <c r="A133" s="5" t="s">
        <v>111</v>
      </c>
      <c r="B133" s="6">
        <v>44294</v>
      </c>
      <c r="C133" s="7" t="s">
        <v>113</v>
      </c>
      <c r="D133" s="5">
        <v>7.77</v>
      </c>
      <c r="E133" s="5">
        <v>37.200000000000003</v>
      </c>
      <c r="F133" s="5">
        <v>45.1</v>
      </c>
      <c r="G133" s="6">
        <v>44294</v>
      </c>
      <c r="H133" s="5"/>
      <c r="I133" s="5"/>
      <c r="J133" s="5">
        <f t="shared" si="15"/>
        <v>7.8999999999999986</v>
      </c>
      <c r="K133" s="8" t="b">
        <f t="shared" si="16"/>
        <v>1</v>
      </c>
    </row>
    <row r="134" spans="1:11">
      <c r="A134" s="5" t="s">
        <v>109</v>
      </c>
      <c r="B134" s="6">
        <v>44295</v>
      </c>
      <c r="C134" s="7" t="s">
        <v>110</v>
      </c>
      <c r="D134" s="5">
        <v>10.63</v>
      </c>
      <c r="E134" s="5">
        <v>45.1</v>
      </c>
      <c r="F134" s="5">
        <v>55.6</v>
      </c>
      <c r="G134" s="6">
        <v>44295</v>
      </c>
      <c r="H134" s="5"/>
      <c r="I134" s="5"/>
      <c r="J134" s="5">
        <f t="shared" si="15"/>
        <v>10.5</v>
      </c>
      <c r="K134" s="8" t="b">
        <f t="shared" si="16"/>
        <v>1</v>
      </c>
    </row>
    <row r="135" spans="1:11">
      <c r="A135" s="5" t="s">
        <v>111</v>
      </c>
      <c r="B135" s="6">
        <v>44298</v>
      </c>
      <c r="C135" s="7" t="s">
        <v>113</v>
      </c>
      <c r="D135" s="5">
        <v>7.77</v>
      </c>
      <c r="E135" s="5">
        <v>55.6</v>
      </c>
      <c r="F135" s="5">
        <v>63.7</v>
      </c>
      <c r="G135" s="6">
        <v>44298</v>
      </c>
      <c r="H135" s="5"/>
      <c r="I135" s="5"/>
      <c r="J135" s="5">
        <f t="shared" ref="J135:J140" si="17">F135-E135</f>
        <v>8.1000000000000014</v>
      </c>
      <c r="K135" s="8" t="b">
        <f t="shared" ref="K135:K140" si="18">F135=E136</f>
        <v>0</v>
      </c>
    </row>
    <row r="136" spans="1:11">
      <c r="A136" s="5" t="s">
        <v>109</v>
      </c>
      <c r="B136" s="6">
        <v>44299</v>
      </c>
      <c r="C136" s="7" t="s">
        <v>110</v>
      </c>
      <c r="D136" s="5">
        <v>10.63</v>
      </c>
      <c r="E136" s="5">
        <v>63.8</v>
      </c>
      <c r="F136" s="5">
        <v>74.400000000000006</v>
      </c>
      <c r="G136" s="6">
        <v>44299</v>
      </c>
      <c r="H136" s="5"/>
      <c r="I136" s="5"/>
      <c r="J136" s="5">
        <f t="shared" si="17"/>
        <v>10.600000000000009</v>
      </c>
      <c r="K136" s="8" t="b">
        <f t="shared" si="18"/>
        <v>1</v>
      </c>
    </row>
    <row r="137" spans="1:11">
      <c r="A137" s="5" t="s">
        <v>111</v>
      </c>
      <c r="B137" s="6">
        <v>44301</v>
      </c>
      <c r="C137" s="7" t="s">
        <v>113</v>
      </c>
      <c r="D137" s="5">
        <v>7.77</v>
      </c>
      <c r="E137" s="5">
        <v>74.400000000000006</v>
      </c>
      <c r="F137" s="5">
        <v>82.4</v>
      </c>
      <c r="G137" s="6">
        <v>44301</v>
      </c>
      <c r="H137" s="5"/>
      <c r="I137" s="5"/>
      <c r="J137" s="5">
        <f t="shared" si="17"/>
        <v>8</v>
      </c>
      <c r="K137" s="8" t="b">
        <f t="shared" si="18"/>
        <v>1</v>
      </c>
    </row>
    <row r="138" spans="1:11">
      <c r="A138" s="5" t="s">
        <v>109</v>
      </c>
      <c r="B138" s="6">
        <v>44302</v>
      </c>
      <c r="C138" s="7" t="s">
        <v>110</v>
      </c>
      <c r="D138" s="5">
        <v>10.63</v>
      </c>
      <c r="E138" s="5">
        <v>82.4</v>
      </c>
      <c r="F138" s="5">
        <v>93.1</v>
      </c>
      <c r="G138" s="6">
        <v>44302</v>
      </c>
      <c r="H138" s="5"/>
      <c r="I138" s="5"/>
      <c r="J138" s="5">
        <f t="shared" si="17"/>
        <v>10.699999999999989</v>
      </c>
      <c r="K138" s="8" t="b">
        <f t="shared" si="18"/>
        <v>1</v>
      </c>
    </row>
    <row r="139" spans="1:11">
      <c r="A139" s="5" t="s">
        <v>111</v>
      </c>
      <c r="B139" s="6">
        <v>44312</v>
      </c>
      <c r="C139" s="7" t="s">
        <v>113</v>
      </c>
      <c r="D139" s="5">
        <v>7.77</v>
      </c>
      <c r="E139" s="5">
        <v>93.1</v>
      </c>
      <c r="F139" s="5">
        <v>101.2</v>
      </c>
      <c r="G139" s="6">
        <v>44312</v>
      </c>
      <c r="H139" s="5"/>
      <c r="I139" s="5"/>
      <c r="J139" s="5">
        <f t="shared" si="17"/>
        <v>8.1000000000000085</v>
      </c>
      <c r="K139" s="8" t="b">
        <f t="shared" si="18"/>
        <v>1</v>
      </c>
    </row>
    <row r="140" spans="1:11">
      <c r="A140" s="5" t="s">
        <v>115</v>
      </c>
      <c r="B140" s="6">
        <v>44313</v>
      </c>
      <c r="C140" s="7">
        <v>0.6</v>
      </c>
      <c r="D140" s="5">
        <v>8.25</v>
      </c>
      <c r="E140" s="5">
        <v>101.2</v>
      </c>
      <c r="F140" s="5">
        <v>105.5</v>
      </c>
      <c r="G140" s="6">
        <v>44313</v>
      </c>
      <c r="H140" s="5"/>
      <c r="I140" s="5"/>
      <c r="J140" s="5">
        <f t="shared" si="17"/>
        <v>4.2999999999999972</v>
      </c>
      <c r="K140" s="8" t="b">
        <f t="shared" si="18"/>
        <v>0</v>
      </c>
    </row>
    <row r="141" spans="1:11">
      <c r="A141" s="5" t="s">
        <v>111</v>
      </c>
      <c r="B141" s="6">
        <v>44319</v>
      </c>
      <c r="C141" s="7" t="s">
        <v>113</v>
      </c>
      <c r="D141" s="5">
        <v>7.77</v>
      </c>
      <c r="E141" s="5">
        <v>101.2</v>
      </c>
      <c r="F141" s="5">
        <v>113.6</v>
      </c>
      <c r="G141" s="6">
        <v>44319</v>
      </c>
      <c r="H141" s="5"/>
      <c r="I141" s="5"/>
      <c r="J141" s="5">
        <f>F141-E141</f>
        <v>12.399999999999991</v>
      </c>
      <c r="K141" s="8" t="b">
        <f>F141=E142</f>
        <v>1</v>
      </c>
    </row>
    <row r="142" spans="1:11">
      <c r="A142" s="5" t="s">
        <v>109</v>
      </c>
      <c r="B142" s="6">
        <v>44320</v>
      </c>
      <c r="C142" s="7" t="s">
        <v>110</v>
      </c>
      <c r="D142" s="5">
        <v>10.63</v>
      </c>
      <c r="E142" s="5">
        <v>113.6</v>
      </c>
      <c r="F142" s="5">
        <v>123.8</v>
      </c>
      <c r="G142" s="6">
        <v>44320</v>
      </c>
      <c r="H142" s="5"/>
      <c r="I142" s="5"/>
      <c r="J142" s="5">
        <f>F142-E142</f>
        <v>10.200000000000003</v>
      </c>
      <c r="K142" s="8" t="b">
        <f>F142=E143</f>
        <v>1</v>
      </c>
    </row>
    <row r="143" spans="1:11">
      <c r="A143" s="5" t="s">
        <v>111</v>
      </c>
      <c r="B143" s="6">
        <v>44322</v>
      </c>
      <c r="C143" s="7" t="s">
        <v>113</v>
      </c>
      <c r="D143" s="5">
        <v>7.77</v>
      </c>
      <c r="E143" s="5">
        <v>123.8</v>
      </c>
      <c r="F143" s="5">
        <v>132.69999999999999</v>
      </c>
      <c r="G143" s="6">
        <v>44322</v>
      </c>
      <c r="H143" s="5"/>
      <c r="I143" s="5"/>
      <c r="J143" s="5">
        <f>F143-E143</f>
        <v>8.8999999999999915</v>
      </c>
      <c r="K143" s="8" t="b">
        <f>F143=E144</f>
        <v>1</v>
      </c>
    </row>
    <row r="144" spans="1:11">
      <c r="A144" s="5" t="s">
        <v>109</v>
      </c>
      <c r="B144" s="6">
        <v>44323</v>
      </c>
      <c r="C144" s="7" t="s">
        <v>110</v>
      </c>
      <c r="D144" s="5">
        <v>10.63</v>
      </c>
      <c r="E144" s="5">
        <v>132.69999999999999</v>
      </c>
      <c r="F144" s="5">
        <v>142.6</v>
      </c>
      <c r="G144" s="6">
        <v>44323</v>
      </c>
      <c r="H144" s="5"/>
      <c r="I144" s="5"/>
      <c r="J144" s="5">
        <f>F144-E144</f>
        <v>9.9000000000000057</v>
      </c>
      <c r="K144" s="8" t="b">
        <f>F144=E145</f>
        <v>1</v>
      </c>
    </row>
    <row r="145" spans="1:11">
      <c r="A145" s="5" t="s">
        <v>111</v>
      </c>
      <c r="B145" s="6">
        <v>44326</v>
      </c>
      <c r="C145" s="7" t="s">
        <v>113</v>
      </c>
      <c r="D145" s="5">
        <v>7.77</v>
      </c>
      <c r="E145" s="5">
        <v>142.6</v>
      </c>
      <c r="F145" s="5">
        <v>150.6</v>
      </c>
      <c r="G145" s="6">
        <v>44326</v>
      </c>
      <c r="H145" s="5"/>
      <c r="I145" s="5"/>
      <c r="J145" s="5">
        <f t="shared" ref="J145:J156" si="19">F145-E145</f>
        <v>8</v>
      </c>
      <c r="K145" s="8" t="b">
        <f t="shared" ref="K145:K156" si="20">F145=E146</f>
        <v>1</v>
      </c>
    </row>
    <row r="146" spans="1:11">
      <c r="A146" s="5" t="s">
        <v>109</v>
      </c>
      <c r="B146" s="6">
        <v>44327</v>
      </c>
      <c r="C146" s="7" t="s">
        <v>110</v>
      </c>
      <c r="D146" s="5">
        <v>10.63</v>
      </c>
      <c r="E146" s="5">
        <v>150.6</v>
      </c>
      <c r="F146" s="5">
        <v>161.4</v>
      </c>
      <c r="G146" s="6">
        <v>44327</v>
      </c>
      <c r="H146" s="5"/>
      <c r="I146" s="5"/>
      <c r="J146" s="5">
        <f t="shared" si="19"/>
        <v>10.800000000000011</v>
      </c>
      <c r="K146" s="8" t="b">
        <f t="shared" si="20"/>
        <v>1</v>
      </c>
    </row>
    <row r="147" spans="1:11">
      <c r="A147" s="5" t="s">
        <v>111</v>
      </c>
      <c r="B147" s="6">
        <v>44330</v>
      </c>
      <c r="C147" s="7" t="s">
        <v>113</v>
      </c>
      <c r="D147" s="5">
        <v>7.77</v>
      </c>
      <c r="E147" s="5">
        <v>161.4</v>
      </c>
      <c r="F147" s="5">
        <v>169.6</v>
      </c>
      <c r="G147" s="6">
        <v>44330</v>
      </c>
      <c r="H147" s="5"/>
      <c r="I147" s="5"/>
      <c r="J147" s="5">
        <f t="shared" si="19"/>
        <v>8.1999999999999886</v>
      </c>
      <c r="K147" s="8" t="b">
        <f t="shared" si="20"/>
        <v>1</v>
      </c>
    </row>
    <row r="148" spans="1:11">
      <c r="A148" s="5" t="s">
        <v>109</v>
      </c>
      <c r="B148" s="6">
        <v>44331</v>
      </c>
      <c r="C148" s="7" t="s">
        <v>110</v>
      </c>
      <c r="D148" s="5">
        <v>10.63</v>
      </c>
      <c r="E148" s="5">
        <v>169.6</v>
      </c>
      <c r="F148" s="5">
        <v>180.1</v>
      </c>
      <c r="G148" s="6">
        <v>44331</v>
      </c>
      <c r="H148" s="5"/>
      <c r="I148" s="5"/>
      <c r="J148" s="5">
        <f t="shared" si="19"/>
        <v>10.5</v>
      </c>
      <c r="K148" s="8" t="b">
        <f t="shared" si="20"/>
        <v>1</v>
      </c>
    </row>
    <row r="149" spans="1:11">
      <c r="A149" s="5" t="s">
        <v>111</v>
      </c>
      <c r="B149" s="6">
        <v>44335</v>
      </c>
      <c r="C149" s="7" t="s">
        <v>113</v>
      </c>
      <c r="D149" s="5">
        <v>7.77</v>
      </c>
      <c r="E149" s="5">
        <v>180.1</v>
      </c>
      <c r="F149" s="5">
        <v>188.4</v>
      </c>
      <c r="G149" s="6">
        <v>44335</v>
      </c>
      <c r="H149" s="5"/>
      <c r="I149" s="5"/>
      <c r="J149" s="5">
        <f t="shared" si="19"/>
        <v>8.3000000000000114</v>
      </c>
      <c r="K149" s="8" t="b">
        <f t="shared" si="20"/>
        <v>1</v>
      </c>
    </row>
    <row r="150" spans="1:11">
      <c r="A150" s="5" t="s">
        <v>109</v>
      </c>
      <c r="B150" s="6">
        <v>44336</v>
      </c>
      <c r="C150" s="7" t="s">
        <v>110</v>
      </c>
      <c r="D150" s="5">
        <v>10.63</v>
      </c>
      <c r="E150" s="5">
        <v>188.4</v>
      </c>
      <c r="F150" s="5">
        <v>199.2</v>
      </c>
      <c r="G150" s="6">
        <v>44336</v>
      </c>
      <c r="H150" s="5"/>
      <c r="I150" s="5"/>
      <c r="J150" s="5">
        <f t="shared" si="19"/>
        <v>10.799999999999983</v>
      </c>
      <c r="K150" s="8" t="b">
        <f t="shared" si="20"/>
        <v>1</v>
      </c>
    </row>
    <row r="151" spans="1:11">
      <c r="A151" s="5" t="s">
        <v>109</v>
      </c>
      <c r="B151" s="6">
        <v>44339</v>
      </c>
      <c r="C151" s="7" t="s">
        <v>110</v>
      </c>
      <c r="D151" s="5">
        <v>10.63</v>
      </c>
      <c r="E151" s="5">
        <v>199.2</v>
      </c>
      <c r="F151" s="5">
        <v>209.8</v>
      </c>
      <c r="G151" s="6">
        <v>44339</v>
      </c>
      <c r="H151" s="5"/>
      <c r="I151" s="5"/>
      <c r="J151" s="5">
        <f t="shared" si="19"/>
        <v>10.600000000000023</v>
      </c>
      <c r="K151" s="8" t="b">
        <f t="shared" si="20"/>
        <v>1</v>
      </c>
    </row>
    <row r="152" spans="1:11">
      <c r="A152" s="5" t="s">
        <v>111</v>
      </c>
      <c r="B152" s="6">
        <v>44340</v>
      </c>
      <c r="C152" s="7" t="s">
        <v>113</v>
      </c>
      <c r="D152" s="5">
        <v>7.77</v>
      </c>
      <c r="E152" s="5">
        <v>209.8</v>
      </c>
      <c r="F152" s="5">
        <v>218.4</v>
      </c>
      <c r="G152" s="6">
        <v>44340</v>
      </c>
      <c r="H152" s="5"/>
      <c r="I152" s="5"/>
      <c r="J152" s="5">
        <f t="shared" si="19"/>
        <v>8.5999999999999943</v>
      </c>
      <c r="K152" s="8" t="b">
        <f t="shared" si="20"/>
        <v>1</v>
      </c>
    </row>
    <row r="153" spans="1:11">
      <c r="A153" s="5" t="s">
        <v>109</v>
      </c>
      <c r="B153" s="6">
        <v>44341</v>
      </c>
      <c r="C153" s="7" t="s">
        <v>110</v>
      </c>
      <c r="D153" s="5">
        <v>7.77</v>
      </c>
      <c r="E153" s="5">
        <v>218.4</v>
      </c>
      <c r="F153" s="5">
        <v>228.7</v>
      </c>
      <c r="G153" s="6">
        <v>44341</v>
      </c>
      <c r="H153" s="5"/>
      <c r="I153" s="5"/>
      <c r="J153" s="5">
        <f t="shared" si="19"/>
        <v>10.299999999999983</v>
      </c>
      <c r="K153" s="8" t="b">
        <f t="shared" si="20"/>
        <v>0</v>
      </c>
    </row>
    <row r="154" spans="1:11">
      <c r="A154" s="5" t="s">
        <v>109</v>
      </c>
      <c r="B154" s="6"/>
      <c r="C154" s="7"/>
      <c r="D154" s="5"/>
      <c r="E154" s="5"/>
      <c r="F154" s="5"/>
      <c r="G154" s="6"/>
      <c r="H154" s="5"/>
      <c r="I154" s="5"/>
      <c r="J154" s="5">
        <f t="shared" si="19"/>
        <v>0</v>
      </c>
      <c r="K154" s="8" t="b">
        <f t="shared" si="20"/>
        <v>1</v>
      </c>
    </row>
    <row r="155" spans="1:11">
      <c r="A155" s="5" t="s">
        <v>111</v>
      </c>
      <c r="B155" s="6"/>
      <c r="C155" s="7"/>
      <c r="D155" s="5"/>
      <c r="E155" s="5"/>
      <c r="F155" s="5"/>
      <c r="G155" s="6"/>
      <c r="H155" s="5"/>
      <c r="I155" s="5"/>
      <c r="J155" s="5">
        <f t="shared" si="19"/>
        <v>0</v>
      </c>
      <c r="K155" s="8" t="b">
        <f t="shared" si="20"/>
        <v>1</v>
      </c>
    </row>
    <row r="156" spans="1:11">
      <c r="A156" s="5" t="s">
        <v>109</v>
      </c>
      <c r="B156" s="6"/>
      <c r="C156" s="7"/>
      <c r="D156" s="5"/>
      <c r="E156" s="5"/>
      <c r="F156" s="5"/>
      <c r="G156" s="6"/>
      <c r="H156" s="5"/>
      <c r="I156" s="5"/>
      <c r="J156" s="5">
        <f t="shared" si="19"/>
        <v>0</v>
      </c>
      <c r="K156" s="8" t="b">
        <f t="shared" si="20"/>
        <v>1</v>
      </c>
    </row>
    <row r="159" spans="1:11" ht="26.25">
      <c r="A159" s="135" t="s">
        <v>100</v>
      </c>
      <c r="B159" s="136"/>
      <c r="C159" s="136"/>
      <c r="D159" s="136"/>
      <c r="E159" s="136"/>
      <c r="F159" s="136"/>
      <c r="G159" s="136"/>
      <c r="H159" s="136"/>
      <c r="I159" s="136"/>
      <c r="J159" s="136"/>
      <c r="K159" s="137"/>
    </row>
    <row r="160" spans="1:11" ht="26.25">
      <c r="A160" s="138" t="s">
        <v>75</v>
      </c>
      <c r="B160" s="139"/>
      <c r="C160" s="139"/>
      <c r="D160" s="139"/>
      <c r="E160" s="139"/>
      <c r="F160" s="139"/>
      <c r="G160" s="139"/>
      <c r="H160" s="139"/>
      <c r="I160" s="139"/>
      <c r="J160" s="139"/>
      <c r="K160" s="140"/>
    </row>
    <row r="161" spans="1:11" ht="15.75" thickBot="1"/>
    <row r="162" spans="1:11" ht="15.75" thickBot="1">
      <c r="A162" s="132" t="s">
        <v>2</v>
      </c>
      <c r="B162" s="133"/>
      <c r="C162" s="133"/>
      <c r="D162" s="133"/>
      <c r="E162" s="133"/>
      <c r="F162" s="133"/>
      <c r="G162" s="133"/>
      <c r="H162" s="133"/>
      <c r="I162" s="133"/>
      <c r="J162" s="133"/>
      <c r="K162" s="134"/>
    </row>
    <row r="164" spans="1:11" ht="19.5" thickBot="1">
      <c r="A164" s="1" t="s">
        <v>3</v>
      </c>
      <c r="B164" s="1"/>
      <c r="C164" s="1"/>
      <c r="D164" s="1"/>
      <c r="E164" s="1"/>
      <c r="F164" s="1"/>
      <c r="G164" s="1"/>
      <c r="H164" s="1"/>
      <c r="I164" s="1"/>
    </row>
    <row r="165" spans="1:11" ht="30.75" thickBot="1">
      <c r="A165" s="2" t="s">
        <v>4</v>
      </c>
      <c r="B165" s="3" t="s">
        <v>5</v>
      </c>
      <c r="C165" s="3" t="s">
        <v>6</v>
      </c>
      <c r="D165" s="3" t="s">
        <v>7</v>
      </c>
      <c r="E165" s="3" t="s">
        <v>8</v>
      </c>
      <c r="F165" s="3" t="s">
        <v>9</v>
      </c>
      <c r="G165" s="3" t="s">
        <v>10</v>
      </c>
      <c r="H165" s="3" t="s">
        <v>21</v>
      </c>
      <c r="I165" s="4" t="s">
        <v>22</v>
      </c>
      <c r="J165" s="4" t="s">
        <v>11</v>
      </c>
      <c r="K165" s="4" t="s">
        <v>12</v>
      </c>
    </row>
    <row r="166" spans="1:11">
      <c r="A166" s="5" t="s">
        <v>116</v>
      </c>
      <c r="B166" s="6">
        <v>44402</v>
      </c>
      <c r="C166" s="7">
        <v>0.4</v>
      </c>
      <c r="D166" s="5">
        <v>14.5</v>
      </c>
      <c r="E166" s="5">
        <v>0</v>
      </c>
      <c r="F166" s="5">
        <v>11.8</v>
      </c>
      <c r="G166" s="6">
        <v>44402</v>
      </c>
      <c r="H166" s="5"/>
      <c r="I166" s="5"/>
      <c r="J166" s="5">
        <f>F166-E166</f>
        <v>11.8</v>
      </c>
      <c r="K166" s="8" t="b">
        <f>F166=E167</f>
        <v>1</v>
      </c>
    </row>
    <row r="167" spans="1:11">
      <c r="A167" s="5" t="s">
        <v>116</v>
      </c>
      <c r="B167" s="6">
        <v>44403</v>
      </c>
      <c r="C167" s="7">
        <v>0.4</v>
      </c>
      <c r="D167" s="5">
        <v>14.5</v>
      </c>
      <c r="E167" s="5">
        <v>11.8</v>
      </c>
      <c r="F167" s="5">
        <v>23.3</v>
      </c>
      <c r="G167" s="6">
        <v>44403</v>
      </c>
      <c r="H167" s="5"/>
      <c r="I167" s="5"/>
      <c r="J167" s="5">
        <f>F167-E167</f>
        <v>11.5</v>
      </c>
      <c r="K167" s="8" t="b">
        <f>F167=E168</f>
        <v>1</v>
      </c>
    </row>
    <row r="168" spans="1:11">
      <c r="A168" s="5" t="s">
        <v>116</v>
      </c>
      <c r="B168" s="6">
        <v>44404</v>
      </c>
      <c r="C168" s="7">
        <v>0.8</v>
      </c>
      <c r="D168" s="5">
        <v>7.25</v>
      </c>
      <c r="E168" s="5">
        <v>23.3</v>
      </c>
      <c r="F168" s="5">
        <v>29.6</v>
      </c>
      <c r="G168" s="6">
        <v>44404</v>
      </c>
      <c r="H168" s="5"/>
      <c r="I168" s="5"/>
      <c r="J168" s="5">
        <f t="shared" ref="J168:J178" si="21">F168-E168</f>
        <v>6.3000000000000007</v>
      </c>
      <c r="K168" s="8" t="b">
        <f t="shared" ref="K168:K178" si="22">F168=E169</f>
        <v>0</v>
      </c>
    </row>
    <row r="169" spans="1:11">
      <c r="A169" s="5" t="s">
        <v>116</v>
      </c>
      <c r="B169" s="6">
        <v>44407</v>
      </c>
      <c r="C169" s="7">
        <v>0.4</v>
      </c>
      <c r="D169" s="5">
        <v>14.5</v>
      </c>
      <c r="E169" s="5"/>
      <c r="F169" s="5"/>
      <c r="G169" s="6">
        <v>44407</v>
      </c>
      <c r="H169" s="5"/>
      <c r="I169" s="5"/>
      <c r="J169" s="5">
        <f t="shared" si="21"/>
        <v>0</v>
      </c>
      <c r="K169" s="8" t="b">
        <f t="shared" si="22"/>
        <v>0</v>
      </c>
    </row>
    <row r="170" spans="1:11">
      <c r="A170" s="5" t="s">
        <v>116</v>
      </c>
      <c r="B170" s="6">
        <v>44408</v>
      </c>
      <c r="C170" s="7">
        <v>0.4</v>
      </c>
      <c r="D170" s="5">
        <v>14.5</v>
      </c>
      <c r="E170" s="5">
        <v>36.299999999999997</v>
      </c>
      <c r="F170" s="5">
        <v>53.6</v>
      </c>
      <c r="G170" s="6">
        <v>44408</v>
      </c>
      <c r="H170" s="5"/>
      <c r="I170" s="5"/>
      <c r="J170" s="5">
        <f t="shared" si="21"/>
        <v>17.300000000000004</v>
      </c>
      <c r="K170" s="8" t="b">
        <f t="shared" si="22"/>
        <v>1</v>
      </c>
    </row>
    <row r="171" spans="1:11">
      <c r="A171" s="5" t="s">
        <v>116</v>
      </c>
      <c r="B171" s="6">
        <v>44409</v>
      </c>
      <c r="C171" s="7">
        <v>0.5</v>
      </c>
      <c r="D171" s="5">
        <v>11.6</v>
      </c>
      <c r="E171" s="5">
        <v>53.6</v>
      </c>
      <c r="F171" s="5">
        <v>67.8</v>
      </c>
      <c r="G171" s="6">
        <v>44409</v>
      </c>
      <c r="H171" s="5"/>
      <c r="I171" s="5"/>
      <c r="J171" s="5">
        <f t="shared" si="21"/>
        <v>14.199999999999996</v>
      </c>
      <c r="K171" s="8" t="b">
        <f t="shared" si="22"/>
        <v>1</v>
      </c>
    </row>
    <row r="172" spans="1:11">
      <c r="A172" s="5" t="s">
        <v>116</v>
      </c>
      <c r="B172" s="6">
        <v>44412</v>
      </c>
      <c r="C172" s="7">
        <v>0.7</v>
      </c>
      <c r="D172" s="5">
        <v>8.2899999999999991</v>
      </c>
      <c r="E172" s="5">
        <v>67.8</v>
      </c>
      <c r="F172" s="5">
        <v>76.5</v>
      </c>
      <c r="G172" s="6">
        <v>44412</v>
      </c>
      <c r="H172" s="5"/>
      <c r="I172" s="5"/>
      <c r="J172" s="5">
        <f t="shared" si="21"/>
        <v>8.7000000000000028</v>
      </c>
      <c r="K172" s="8" t="b">
        <f t="shared" si="22"/>
        <v>1</v>
      </c>
    </row>
    <row r="173" spans="1:11">
      <c r="A173" s="5" t="s">
        <v>116</v>
      </c>
      <c r="B173" s="6">
        <v>44414</v>
      </c>
      <c r="C173" s="7">
        <v>0.6</v>
      </c>
      <c r="D173" s="5">
        <v>9.57</v>
      </c>
      <c r="E173" s="5">
        <v>76.5</v>
      </c>
      <c r="F173" s="5">
        <v>85.8</v>
      </c>
      <c r="G173" s="6">
        <v>44414</v>
      </c>
      <c r="H173" s="5"/>
      <c r="I173" s="5"/>
      <c r="J173" s="5">
        <f t="shared" si="21"/>
        <v>9.2999999999999972</v>
      </c>
      <c r="K173" s="8" t="b">
        <f t="shared" si="22"/>
        <v>1</v>
      </c>
    </row>
    <row r="174" spans="1:11">
      <c r="A174" s="5" t="s">
        <v>116</v>
      </c>
      <c r="B174" s="6">
        <v>44415</v>
      </c>
      <c r="C174" s="7" t="s">
        <v>117</v>
      </c>
      <c r="D174" s="5">
        <v>7.68</v>
      </c>
      <c r="E174" s="5">
        <v>85.8</v>
      </c>
      <c r="F174" s="5">
        <v>102.6</v>
      </c>
      <c r="G174" s="6">
        <v>44415</v>
      </c>
      <c r="H174" s="5"/>
      <c r="I174" s="5"/>
      <c r="J174" s="5">
        <f t="shared" si="21"/>
        <v>16.799999999999997</v>
      </c>
      <c r="K174" s="8" t="b">
        <f t="shared" si="22"/>
        <v>1</v>
      </c>
    </row>
    <row r="175" spans="1:11">
      <c r="A175" s="5" t="s">
        <v>116</v>
      </c>
      <c r="B175" s="6">
        <v>44416</v>
      </c>
      <c r="C175" s="7">
        <v>1</v>
      </c>
      <c r="D175" s="5">
        <v>5.8</v>
      </c>
      <c r="E175" s="5">
        <v>102.6</v>
      </c>
      <c r="F175" s="5">
        <v>114.5</v>
      </c>
      <c r="G175" s="6">
        <v>44416</v>
      </c>
      <c r="H175" s="5"/>
      <c r="I175" s="5"/>
      <c r="J175" s="5">
        <f t="shared" si="21"/>
        <v>11.900000000000006</v>
      </c>
      <c r="K175" s="8" t="b">
        <f t="shared" si="22"/>
        <v>1</v>
      </c>
    </row>
    <row r="176" spans="1:11">
      <c r="A176" s="5" t="s">
        <v>116</v>
      </c>
      <c r="B176" s="6">
        <v>44417</v>
      </c>
      <c r="C176" s="7">
        <v>0.8</v>
      </c>
      <c r="D176" s="5">
        <v>7.25</v>
      </c>
      <c r="E176" s="5">
        <v>114.5</v>
      </c>
      <c r="F176" s="5">
        <v>135.1</v>
      </c>
      <c r="G176" s="6">
        <v>44417</v>
      </c>
      <c r="H176" s="5"/>
      <c r="I176" s="5"/>
      <c r="J176" s="5">
        <f t="shared" si="21"/>
        <v>20.599999999999994</v>
      </c>
      <c r="K176" s="8" t="b">
        <f t="shared" si="22"/>
        <v>1</v>
      </c>
    </row>
    <row r="177" spans="1:11">
      <c r="A177" s="5" t="s">
        <v>116</v>
      </c>
      <c r="B177" s="6">
        <v>44418</v>
      </c>
      <c r="C177" s="7">
        <v>0.8</v>
      </c>
      <c r="D177" s="5">
        <v>7.25</v>
      </c>
      <c r="E177" s="5">
        <v>135.1</v>
      </c>
      <c r="F177" s="5">
        <v>149.6</v>
      </c>
      <c r="G177" s="6">
        <v>44418</v>
      </c>
      <c r="H177" s="5"/>
      <c r="I177" s="5"/>
      <c r="J177" s="5">
        <f t="shared" si="21"/>
        <v>14.5</v>
      </c>
      <c r="K177" s="8" t="b">
        <f t="shared" si="22"/>
        <v>1</v>
      </c>
    </row>
    <row r="178" spans="1:11">
      <c r="A178" s="5" t="s">
        <v>116</v>
      </c>
      <c r="B178" s="6">
        <v>44419</v>
      </c>
      <c r="C178" s="7">
        <v>1</v>
      </c>
      <c r="D178" s="5">
        <v>5.8</v>
      </c>
      <c r="E178" s="5">
        <v>149.6</v>
      </c>
      <c r="F178" s="5">
        <v>161.30000000000001</v>
      </c>
      <c r="G178" s="6">
        <v>44419</v>
      </c>
      <c r="H178" s="5"/>
      <c r="I178" s="5"/>
      <c r="J178" s="5">
        <f t="shared" si="21"/>
        <v>11.700000000000017</v>
      </c>
      <c r="K178" s="8" t="b">
        <f t="shared" si="22"/>
        <v>1</v>
      </c>
    </row>
    <row r="179" spans="1:11">
      <c r="A179" s="5" t="s">
        <v>116</v>
      </c>
      <c r="B179" s="6">
        <v>44420</v>
      </c>
      <c r="C179" s="7">
        <v>0.8</v>
      </c>
      <c r="D179" s="5">
        <v>7.25</v>
      </c>
      <c r="E179" s="5">
        <v>161.30000000000001</v>
      </c>
      <c r="F179" s="5">
        <v>168.8</v>
      </c>
      <c r="G179" s="6">
        <v>44420</v>
      </c>
      <c r="H179" s="5"/>
      <c r="I179" s="5"/>
      <c r="J179" s="5">
        <f>F179-E179</f>
        <v>7.5</v>
      </c>
      <c r="K179" s="8" t="b">
        <f>F179=E180</f>
        <v>1</v>
      </c>
    </row>
    <row r="180" spans="1:11">
      <c r="A180" s="5" t="s">
        <v>116</v>
      </c>
      <c r="B180" s="6">
        <v>44421</v>
      </c>
      <c r="C180" s="7">
        <v>0.7</v>
      </c>
      <c r="D180" s="5">
        <v>8.2899999999999991</v>
      </c>
      <c r="E180" s="5">
        <v>168.8</v>
      </c>
      <c r="F180" s="5">
        <v>177.1</v>
      </c>
      <c r="G180" s="6">
        <v>44421</v>
      </c>
      <c r="H180" s="5"/>
      <c r="I180" s="5"/>
      <c r="J180" s="5">
        <f>F180-E180</f>
        <v>8.2999999999999829</v>
      </c>
      <c r="K180" s="8" t="b">
        <f>F180=E181</f>
        <v>1</v>
      </c>
    </row>
    <row r="181" spans="1:11">
      <c r="A181" s="5" t="s">
        <v>118</v>
      </c>
      <c r="B181" s="6">
        <v>44422</v>
      </c>
      <c r="C181" s="7">
        <v>1</v>
      </c>
      <c r="D181" s="5">
        <v>5.8</v>
      </c>
      <c r="E181" s="5">
        <v>177.1</v>
      </c>
      <c r="F181" s="5">
        <v>183.4</v>
      </c>
      <c r="G181" s="6">
        <v>44422</v>
      </c>
      <c r="H181" s="5"/>
      <c r="I181" s="5"/>
      <c r="J181" s="5">
        <f>F181-E181</f>
        <v>6.3000000000000114</v>
      </c>
      <c r="K181" s="8" t="b">
        <f>F181=E182</f>
        <v>0</v>
      </c>
    </row>
    <row r="182" spans="1:11">
      <c r="A182" s="5" t="s">
        <v>119</v>
      </c>
      <c r="B182" s="6">
        <v>44422</v>
      </c>
      <c r="C182" s="7">
        <v>0.7</v>
      </c>
      <c r="D182" s="5">
        <v>8.2899999999999991</v>
      </c>
      <c r="E182" s="5">
        <v>183.8</v>
      </c>
      <c r="F182" s="5">
        <v>192.4</v>
      </c>
      <c r="G182" s="6">
        <v>44422</v>
      </c>
      <c r="H182" s="5"/>
      <c r="I182" s="5"/>
      <c r="J182" s="5">
        <f>F182-E182</f>
        <v>8.5999999999999943</v>
      </c>
      <c r="K182" s="8" t="b">
        <f>F182=E183</f>
        <v>1</v>
      </c>
    </row>
    <row r="183" spans="1:11">
      <c r="A183" s="5" t="s">
        <v>120</v>
      </c>
      <c r="B183" s="6">
        <v>44423</v>
      </c>
      <c r="C183" s="7">
        <v>1</v>
      </c>
      <c r="D183" s="5">
        <v>5.8</v>
      </c>
      <c r="E183" s="5">
        <v>192.4</v>
      </c>
      <c r="F183" s="5">
        <v>204.1</v>
      </c>
      <c r="G183" s="6">
        <v>44423</v>
      </c>
      <c r="H183" s="5"/>
      <c r="I183" s="5"/>
      <c r="J183" s="5">
        <f>F183-E183</f>
        <v>11.699999999999989</v>
      </c>
      <c r="K183" s="8" t="b">
        <f>F183=E184</f>
        <v>1</v>
      </c>
    </row>
    <row r="184" spans="1:11">
      <c r="A184" s="5" t="s">
        <v>120</v>
      </c>
      <c r="B184" s="6">
        <v>44424</v>
      </c>
      <c r="C184" s="7">
        <v>1</v>
      </c>
      <c r="D184" s="5">
        <v>5.8</v>
      </c>
      <c r="E184" s="5">
        <v>204.1</v>
      </c>
      <c r="F184" s="5">
        <v>217</v>
      </c>
      <c r="G184" s="6">
        <v>44424</v>
      </c>
      <c r="H184" s="5"/>
      <c r="I184" s="5"/>
      <c r="J184" s="5">
        <f t="shared" ref="J184:J190" si="23">F184-E184</f>
        <v>12.900000000000006</v>
      </c>
      <c r="K184" s="8" t="b">
        <f t="shared" ref="K184:K190" si="24">F184=E185</f>
        <v>1</v>
      </c>
    </row>
    <row r="185" spans="1:11">
      <c r="A185" s="5" t="s">
        <v>120</v>
      </c>
      <c r="B185" s="6">
        <v>44425</v>
      </c>
      <c r="C185" s="7">
        <v>1</v>
      </c>
      <c r="D185" s="5">
        <v>5.8</v>
      </c>
      <c r="E185" s="5">
        <v>217</v>
      </c>
      <c r="F185" s="5">
        <v>228.8</v>
      </c>
      <c r="G185" s="6">
        <v>44425</v>
      </c>
      <c r="H185" s="5"/>
      <c r="I185" s="5"/>
      <c r="J185" s="5">
        <f t="shared" si="23"/>
        <v>11.800000000000011</v>
      </c>
      <c r="K185" s="8" t="b">
        <f t="shared" si="24"/>
        <v>1</v>
      </c>
    </row>
    <row r="186" spans="1:11">
      <c r="A186" s="5" t="s">
        <v>120</v>
      </c>
      <c r="B186" s="6">
        <v>44426</v>
      </c>
      <c r="C186" s="7">
        <v>1</v>
      </c>
      <c r="D186" s="5">
        <v>5.8</v>
      </c>
      <c r="E186" s="5">
        <v>228.8</v>
      </c>
      <c r="F186" s="5">
        <v>240.7</v>
      </c>
      <c r="G186" s="6">
        <v>44426</v>
      </c>
      <c r="H186" s="5"/>
      <c r="I186" s="5"/>
      <c r="J186" s="5">
        <f t="shared" si="23"/>
        <v>11.899999999999977</v>
      </c>
      <c r="K186" s="8" t="b">
        <f t="shared" si="24"/>
        <v>1</v>
      </c>
    </row>
    <row r="187" spans="1:11">
      <c r="A187" s="5" t="s">
        <v>120</v>
      </c>
      <c r="B187" s="6">
        <v>44428</v>
      </c>
      <c r="C187" s="7">
        <v>1</v>
      </c>
      <c r="D187" s="5">
        <v>5.8</v>
      </c>
      <c r="E187" s="5">
        <v>240.7</v>
      </c>
      <c r="F187" s="5">
        <v>252</v>
      </c>
      <c r="G187" s="6">
        <v>44428</v>
      </c>
      <c r="H187" s="5"/>
      <c r="I187" s="5"/>
      <c r="J187" s="5">
        <f t="shared" si="23"/>
        <v>11.300000000000011</v>
      </c>
      <c r="K187" s="8" t="b">
        <f t="shared" si="24"/>
        <v>0</v>
      </c>
    </row>
    <row r="188" spans="1:11">
      <c r="A188" s="5" t="s">
        <v>120</v>
      </c>
      <c r="B188" s="6">
        <v>44429</v>
      </c>
      <c r="C188" s="7">
        <v>1</v>
      </c>
      <c r="D188" s="5">
        <v>5.8</v>
      </c>
      <c r="E188" s="5">
        <v>253</v>
      </c>
      <c r="F188" s="5">
        <v>265</v>
      </c>
      <c r="G188" s="6">
        <v>44429</v>
      </c>
      <c r="H188" s="5"/>
      <c r="I188" s="5"/>
      <c r="J188" s="5">
        <f t="shared" si="23"/>
        <v>12</v>
      </c>
      <c r="K188" s="8" t="b">
        <f t="shared" si="24"/>
        <v>1</v>
      </c>
    </row>
    <row r="189" spans="1:11">
      <c r="A189" s="5" t="s">
        <v>120</v>
      </c>
      <c r="B189" s="6">
        <v>44431</v>
      </c>
      <c r="C189" s="7">
        <v>1</v>
      </c>
      <c r="D189" s="5">
        <v>5.8</v>
      </c>
      <c r="E189" s="5">
        <v>265</v>
      </c>
      <c r="F189" s="5">
        <v>277.10000000000002</v>
      </c>
      <c r="G189" s="6">
        <v>44431</v>
      </c>
      <c r="H189" s="5"/>
      <c r="I189" s="5"/>
      <c r="J189" s="5">
        <f t="shared" si="23"/>
        <v>12.100000000000023</v>
      </c>
      <c r="K189" s="8" t="b">
        <f t="shared" si="24"/>
        <v>1</v>
      </c>
    </row>
    <row r="190" spans="1:11">
      <c r="A190" s="5" t="s">
        <v>120</v>
      </c>
      <c r="B190" s="6">
        <v>44433</v>
      </c>
      <c r="C190" s="7">
        <v>0.8</v>
      </c>
      <c r="D190" s="5">
        <v>7.25</v>
      </c>
      <c r="E190" s="5">
        <v>277.10000000000002</v>
      </c>
      <c r="F190" s="5">
        <v>292.7</v>
      </c>
      <c r="G190" s="6">
        <v>44433</v>
      </c>
      <c r="H190" s="5"/>
      <c r="I190" s="5"/>
      <c r="J190" s="5">
        <f t="shared" si="23"/>
        <v>15.599999999999966</v>
      </c>
      <c r="K190" s="8" t="b">
        <f t="shared" si="24"/>
        <v>1</v>
      </c>
    </row>
    <row r="191" spans="1:11">
      <c r="A191" s="5" t="s">
        <v>120</v>
      </c>
      <c r="B191" s="6">
        <v>44435</v>
      </c>
      <c r="C191" s="7">
        <v>0.6</v>
      </c>
      <c r="D191" s="5">
        <v>9.67</v>
      </c>
      <c r="E191" s="5">
        <v>292.7</v>
      </c>
      <c r="F191" s="5">
        <v>302.7</v>
      </c>
      <c r="G191" s="6">
        <v>44435</v>
      </c>
      <c r="H191" s="5"/>
      <c r="I191" s="5"/>
      <c r="J191" s="5">
        <f t="shared" ref="J191:J199" si="25">F191-E191</f>
        <v>10</v>
      </c>
      <c r="K191" s="8" t="b">
        <f t="shared" ref="K191:K199" si="26">F191=E192</f>
        <v>1</v>
      </c>
    </row>
    <row r="192" spans="1:11">
      <c r="A192" s="5" t="s">
        <v>120</v>
      </c>
      <c r="B192" s="6">
        <v>44436</v>
      </c>
      <c r="C192" s="7">
        <v>0.6</v>
      </c>
      <c r="D192" s="5">
        <v>9.67</v>
      </c>
      <c r="E192" s="5">
        <v>302.7</v>
      </c>
      <c r="F192" s="5">
        <v>331.8</v>
      </c>
      <c r="G192" s="6">
        <v>44436</v>
      </c>
      <c r="H192" s="5"/>
      <c r="I192" s="5"/>
      <c r="J192" s="5">
        <f t="shared" si="25"/>
        <v>29.100000000000023</v>
      </c>
      <c r="K192" s="8" t="b">
        <f t="shared" si="26"/>
        <v>1</v>
      </c>
    </row>
    <row r="193" spans="1:11">
      <c r="A193" s="5" t="s">
        <v>120</v>
      </c>
      <c r="B193" s="6">
        <v>44437</v>
      </c>
      <c r="C193" s="7">
        <v>1</v>
      </c>
      <c r="D193" s="5">
        <v>5.8</v>
      </c>
      <c r="E193" s="5">
        <v>331.8</v>
      </c>
      <c r="F193" s="5">
        <v>343.7</v>
      </c>
      <c r="G193" s="6">
        <v>44437</v>
      </c>
      <c r="H193" s="5"/>
      <c r="I193" s="5"/>
      <c r="J193" s="5">
        <f t="shared" si="25"/>
        <v>11.899999999999977</v>
      </c>
      <c r="K193" s="8" t="b">
        <f t="shared" si="26"/>
        <v>1</v>
      </c>
    </row>
    <row r="194" spans="1:11">
      <c r="A194" s="5" t="s">
        <v>121</v>
      </c>
      <c r="B194" s="6">
        <v>44438</v>
      </c>
      <c r="C194" s="7">
        <v>0.6</v>
      </c>
      <c r="D194" s="5">
        <v>9.67</v>
      </c>
      <c r="E194" s="5">
        <v>343.7</v>
      </c>
      <c r="F194" s="5">
        <v>353.5</v>
      </c>
      <c r="G194" s="6">
        <v>44438</v>
      </c>
      <c r="H194" s="5"/>
      <c r="I194" s="5"/>
      <c r="J194" s="5">
        <f t="shared" si="25"/>
        <v>9.8000000000000114</v>
      </c>
      <c r="K194" s="8" t="b">
        <f t="shared" si="26"/>
        <v>1</v>
      </c>
    </row>
    <row r="195" spans="1:11">
      <c r="A195" s="5" t="s">
        <v>122</v>
      </c>
      <c r="B195" s="6">
        <v>44439</v>
      </c>
      <c r="C195" s="7">
        <v>0.6</v>
      </c>
      <c r="D195" s="5">
        <v>9.67</v>
      </c>
      <c r="E195" s="5">
        <v>353.5</v>
      </c>
      <c r="F195" s="5">
        <v>363.3</v>
      </c>
      <c r="G195" s="6">
        <v>44439</v>
      </c>
      <c r="H195" s="5"/>
      <c r="I195" s="5"/>
      <c r="J195" s="5">
        <f t="shared" si="25"/>
        <v>9.8000000000000114</v>
      </c>
      <c r="K195" s="8" t="b">
        <f t="shared" si="26"/>
        <v>1</v>
      </c>
    </row>
    <row r="196" spans="1:11">
      <c r="A196" s="5" t="s">
        <v>121</v>
      </c>
      <c r="B196" s="6">
        <v>44440</v>
      </c>
      <c r="C196" s="7">
        <v>0.6</v>
      </c>
      <c r="D196" s="5">
        <v>9.67</v>
      </c>
      <c r="E196" s="5">
        <v>363.3</v>
      </c>
      <c r="F196" s="5">
        <v>373.7</v>
      </c>
      <c r="G196" s="6">
        <v>44440</v>
      </c>
      <c r="H196" s="5"/>
      <c r="I196" s="5"/>
      <c r="J196" s="5">
        <f t="shared" si="25"/>
        <v>10.399999999999977</v>
      </c>
      <c r="K196" s="8" t="b">
        <f t="shared" si="26"/>
        <v>1</v>
      </c>
    </row>
    <row r="197" spans="1:11">
      <c r="A197" s="5" t="s">
        <v>123</v>
      </c>
      <c r="B197" s="6">
        <v>44441</v>
      </c>
      <c r="C197" s="7">
        <v>1</v>
      </c>
      <c r="D197" s="5">
        <v>5.8</v>
      </c>
      <c r="E197" s="5">
        <v>373.7</v>
      </c>
      <c r="F197" s="5">
        <v>385.7</v>
      </c>
      <c r="G197" s="6">
        <v>44441</v>
      </c>
      <c r="H197" s="5"/>
      <c r="I197" s="5"/>
      <c r="J197" s="5">
        <f t="shared" si="25"/>
        <v>12</v>
      </c>
      <c r="K197" s="8" t="b">
        <f t="shared" si="26"/>
        <v>0</v>
      </c>
    </row>
    <row r="198" spans="1:11">
      <c r="A198" s="5" t="s">
        <v>122</v>
      </c>
      <c r="B198" s="6">
        <v>44442</v>
      </c>
      <c r="C198" s="7">
        <v>0.6</v>
      </c>
      <c r="D198" s="5">
        <v>9.67</v>
      </c>
      <c r="E198" s="5">
        <v>585.70000000000005</v>
      </c>
      <c r="F198" s="5">
        <v>395.7</v>
      </c>
      <c r="G198" s="6">
        <v>44442</v>
      </c>
      <c r="H198" s="5"/>
      <c r="I198" s="5"/>
      <c r="J198" s="5">
        <f t="shared" si="25"/>
        <v>-190.00000000000006</v>
      </c>
      <c r="K198" s="8" t="b">
        <f t="shared" si="26"/>
        <v>1</v>
      </c>
    </row>
    <row r="199" spans="1:11">
      <c r="A199" s="5" t="s">
        <v>121</v>
      </c>
      <c r="B199" s="6">
        <v>44443</v>
      </c>
      <c r="C199" s="7">
        <v>0.5</v>
      </c>
      <c r="D199" s="5">
        <v>11.6</v>
      </c>
      <c r="E199" s="5">
        <v>395.7</v>
      </c>
      <c r="F199" s="5">
        <v>408.5</v>
      </c>
      <c r="G199" s="6">
        <v>44443</v>
      </c>
      <c r="H199" s="5"/>
      <c r="I199" s="5"/>
      <c r="J199" s="5">
        <f t="shared" si="25"/>
        <v>12.800000000000011</v>
      </c>
      <c r="K199" s="8" t="b">
        <f t="shared" si="26"/>
        <v>1</v>
      </c>
    </row>
    <row r="200" spans="1:11">
      <c r="A200" s="5" t="s">
        <v>122</v>
      </c>
      <c r="B200" s="6">
        <v>44444</v>
      </c>
      <c r="C200" s="7">
        <v>0.5</v>
      </c>
      <c r="D200" s="5">
        <v>11.6</v>
      </c>
      <c r="E200" s="5">
        <v>408.5</v>
      </c>
      <c r="F200" s="5">
        <v>421.8</v>
      </c>
      <c r="G200" s="6">
        <v>44444</v>
      </c>
      <c r="H200" s="5"/>
      <c r="I200" s="5"/>
      <c r="J200" s="5">
        <f>F200-E200</f>
        <v>13.300000000000011</v>
      </c>
      <c r="K200" s="8" t="b">
        <f>F200=E201</f>
        <v>1</v>
      </c>
    </row>
    <row r="201" spans="1:11">
      <c r="A201" s="5" t="s">
        <v>121</v>
      </c>
      <c r="B201" s="6">
        <v>44445</v>
      </c>
      <c r="C201" s="7">
        <v>0.5</v>
      </c>
      <c r="D201" s="5">
        <v>11.6</v>
      </c>
      <c r="E201" s="5">
        <v>421.8</v>
      </c>
      <c r="F201" s="5">
        <v>432.1</v>
      </c>
      <c r="G201" s="6">
        <v>44445</v>
      </c>
      <c r="H201" s="5"/>
      <c r="I201" s="5"/>
      <c r="J201" s="5">
        <f>F201-E201</f>
        <v>10.300000000000011</v>
      </c>
      <c r="K201" s="8" t="b">
        <f>F201=E202</f>
        <v>1</v>
      </c>
    </row>
    <row r="202" spans="1:11">
      <c r="A202" s="5" t="s">
        <v>122</v>
      </c>
      <c r="B202" s="6">
        <v>44446</v>
      </c>
      <c r="C202" s="7">
        <v>0.5</v>
      </c>
      <c r="D202" s="5">
        <v>11.6</v>
      </c>
      <c r="E202" s="5">
        <v>432.1</v>
      </c>
      <c r="F202" s="5">
        <v>444.1</v>
      </c>
      <c r="G202" s="6">
        <v>44446</v>
      </c>
      <c r="H202" s="5"/>
      <c r="I202" s="5"/>
      <c r="J202" s="5">
        <f>F202-E202</f>
        <v>12</v>
      </c>
      <c r="K202" s="8" t="b">
        <f>F202=E203</f>
        <v>1</v>
      </c>
    </row>
    <row r="203" spans="1:11">
      <c r="A203" s="5" t="s">
        <v>121</v>
      </c>
      <c r="B203" s="6">
        <v>44447</v>
      </c>
      <c r="C203" s="7">
        <v>0.5</v>
      </c>
      <c r="D203" s="5">
        <v>11.6</v>
      </c>
      <c r="E203" s="5">
        <v>444.1</v>
      </c>
      <c r="F203" s="5">
        <v>455.9</v>
      </c>
      <c r="G203" s="6">
        <v>44447</v>
      </c>
      <c r="H203" s="5"/>
      <c r="I203" s="5"/>
      <c r="J203" s="5">
        <f>F203-E203</f>
        <v>11.799999999999955</v>
      </c>
      <c r="K203" s="8" t="b">
        <f>F203=E204</f>
        <v>1</v>
      </c>
    </row>
    <row r="204" spans="1:11">
      <c r="A204" s="5" t="s">
        <v>122</v>
      </c>
      <c r="B204" s="6">
        <v>44448</v>
      </c>
      <c r="C204" s="7">
        <v>0.5</v>
      </c>
      <c r="D204" s="5">
        <v>11.6</v>
      </c>
      <c r="E204" s="5">
        <v>455.9</v>
      </c>
      <c r="F204" s="5">
        <v>467.7</v>
      </c>
      <c r="G204" s="6">
        <v>44448</v>
      </c>
      <c r="H204" s="5"/>
      <c r="I204" s="5"/>
      <c r="J204" s="5">
        <f>F204-E204</f>
        <v>11.800000000000011</v>
      </c>
      <c r="K204" s="8" t="b">
        <f>F204=E205</f>
        <v>1</v>
      </c>
    </row>
    <row r="205" spans="1:11">
      <c r="A205" s="5" t="s">
        <v>123</v>
      </c>
      <c r="B205" s="6">
        <v>44449</v>
      </c>
      <c r="C205" s="7">
        <v>0.4</v>
      </c>
      <c r="D205" s="5">
        <v>14.5</v>
      </c>
      <c r="E205" s="5">
        <v>467.7</v>
      </c>
      <c r="F205" s="5">
        <v>479.8</v>
      </c>
      <c r="G205" s="6">
        <v>44449</v>
      </c>
      <c r="H205" s="5"/>
      <c r="I205" s="5"/>
      <c r="J205" s="5">
        <f t="shared" ref="J205:J212" si="27">F205-E205</f>
        <v>12.100000000000023</v>
      </c>
      <c r="K205" s="8" t="b">
        <f t="shared" ref="K205:K212" si="28">F205=E206</f>
        <v>1</v>
      </c>
    </row>
    <row r="206" spans="1:11">
      <c r="A206" s="5" t="s">
        <v>121</v>
      </c>
      <c r="B206" s="6">
        <v>44450</v>
      </c>
      <c r="C206" s="7">
        <v>0.4</v>
      </c>
      <c r="D206" s="5">
        <v>14.5</v>
      </c>
      <c r="E206" s="5">
        <v>479.8</v>
      </c>
      <c r="F206" s="5">
        <v>494</v>
      </c>
      <c r="G206" s="6">
        <v>44450</v>
      </c>
      <c r="H206" s="5"/>
      <c r="I206" s="5"/>
      <c r="J206" s="5">
        <f t="shared" si="27"/>
        <v>14.199999999999989</v>
      </c>
      <c r="K206" s="8" t="b">
        <f t="shared" si="28"/>
        <v>1</v>
      </c>
    </row>
    <row r="207" spans="1:11">
      <c r="A207" s="5" t="s">
        <v>122</v>
      </c>
      <c r="B207" s="6">
        <v>44451</v>
      </c>
      <c r="C207" s="7">
        <v>0.4</v>
      </c>
      <c r="D207" s="5">
        <v>14.5</v>
      </c>
      <c r="E207" s="5">
        <v>494</v>
      </c>
      <c r="F207" s="5">
        <v>508</v>
      </c>
      <c r="G207" s="6">
        <v>44451</v>
      </c>
      <c r="H207" s="5"/>
      <c r="I207" s="5"/>
      <c r="J207" s="5">
        <f t="shared" si="27"/>
        <v>14</v>
      </c>
      <c r="K207" s="8" t="b">
        <f t="shared" si="28"/>
        <v>1</v>
      </c>
    </row>
    <row r="208" spans="1:11">
      <c r="A208" s="5" t="s">
        <v>121</v>
      </c>
      <c r="B208" s="6">
        <v>44452</v>
      </c>
      <c r="C208" s="7">
        <v>0.4</v>
      </c>
      <c r="D208" s="5">
        <v>14.5</v>
      </c>
      <c r="E208" s="5">
        <v>508</v>
      </c>
      <c r="F208" s="5">
        <v>523.6</v>
      </c>
      <c r="G208" s="6">
        <v>44452</v>
      </c>
      <c r="H208" s="5"/>
      <c r="I208" s="5"/>
      <c r="J208" s="5">
        <f t="shared" si="27"/>
        <v>15.600000000000023</v>
      </c>
      <c r="K208" s="8" t="b">
        <f t="shared" si="28"/>
        <v>1</v>
      </c>
    </row>
    <row r="209" spans="1:11">
      <c r="A209" s="5" t="s">
        <v>122</v>
      </c>
      <c r="B209" s="6">
        <v>44453</v>
      </c>
      <c r="C209" s="7">
        <v>0.4</v>
      </c>
      <c r="D209" s="5">
        <v>14.5</v>
      </c>
      <c r="E209" s="5">
        <v>523.6</v>
      </c>
      <c r="F209" s="5">
        <v>538.1</v>
      </c>
      <c r="G209" s="6">
        <v>44453</v>
      </c>
      <c r="H209" s="5"/>
      <c r="I209" s="5"/>
      <c r="J209" s="5">
        <f t="shared" si="27"/>
        <v>14.5</v>
      </c>
      <c r="K209" s="8" t="b">
        <f t="shared" si="28"/>
        <v>1</v>
      </c>
    </row>
    <row r="210" spans="1:11">
      <c r="A210" s="5" t="s">
        <v>121</v>
      </c>
      <c r="B210" s="6">
        <v>44454</v>
      </c>
      <c r="C210" s="7">
        <v>0.4</v>
      </c>
      <c r="D210" s="5">
        <v>14.5</v>
      </c>
      <c r="E210" s="5">
        <v>538.1</v>
      </c>
      <c r="F210" s="5">
        <v>552.5</v>
      </c>
      <c r="G210" s="6">
        <v>44454</v>
      </c>
      <c r="H210" s="5"/>
      <c r="I210" s="5"/>
      <c r="J210" s="5">
        <f t="shared" si="27"/>
        <v>14.399999999999977</v>
      </c>
      <c r="K210" s="8" t="b">
        <f t="shared" si="28"/>
        <v>1</v>
      </c>
    </row>
    <row r="211" spans="1:11">
      <c r="A211" s="5" t="s">
        <v>122</v>
      </c>
      <c r="B211" s="6">
        <v>44455</v>
      </c>
      <c r="C211" s="7">
        <v>0.4</v>
      </c>
      <c r="D211" s="5">
        <v>14.5</v>
      </c>
      <c r="E211" s="5">
        <v>552.5</v>
      </c>
      <c r="F211" s="5">
        <v>567.5</v>
      </c>
      <c r="G211" s="6">
        <v>44455</v>
      </c>
      <c r="H211" s="5"/>
      <c r="I211" s="5"/>
      <c r="J211" s="5">
        <f t="shared" si="27"/>
        <v>15</v>
      </c>
      <c r="K211" s="8" t="b">
        <f t="shared" si="28"/>
        <v>1</v>
      </c>
    </row>
    <row r="212" spans="1:11">
      <c r="A212" s="5" t="s">
        <v>123</v>
      </c>
      <c r="B212" s="6">
        <v>44456</v>
      </c>
      <c r="C212" s="7">
        <v>1</v>
      </c>
      <c r="D212" s="5">
        <v>5.8</v>
      </c>
      <c r="E212" s="5">
        <v>567.5</v>
      </c>
      <c r="F212" s="5">
        <v>578.79999999999995</v>
      </c>
      <c r="G212" s="6">
        <v>44456</v>
      </c>
      <c r="H212" s="5"/>
      <c r="I212" s="5"/>
      <c r="J212" s="5">
        <f t="shared" si="27"/>
        <v>11.299999999999955</v>
      </c>
      <c r="K212" s="8" t="b">
        <f t="shared" si="28"/>
        <v>1</v>
      </c>
    </row>
    <row r="213" spans="1:11">
      <c r="A213" s="5" t="s">
        <v>121</v>
      </c>
      <c r="B213" s="6">
        <v>44456</v>
      </c>
      <c r="C213" s="7">
        <v>0.4</v>
      </c>
      <c r="D213" s="5">
        <v>14.5</v>
      </c>
      <c r="E213" s="5">
        <v>578.79999999999995</v>
      </c>
      <c r="F213" s="5">
        <v>593.20000000000005</v>
      </c>
      <c r="G213" s="6">
        <v>44456</v>
      </c>
      <c r="H213" s="5"/>
      <c r="I213" s="5"/>
      <c r="J213" s="5">
        <f t="shared" ref="J213:J224" si="29">F213-E213</f>
        <v>14.400000000000091</v>
      </c>
      <c r="K213" s="8" t="b">
        <f t="shared" ref="K213:K224" si="30">F213=E214</f>
        <v>1</v>
      </c>
    </row>
    <row r="214" spans="1:11">
      <c r="A214" s="5" t="s">
        <v>122</v>
      </c>
      <c r="B214" s="6">
        <v>44457</v>
      </c>
      <c r="C214" s="7">
        <v>0.4</v>
      </c>
      <c r="D214" s="5">
        <v>14.5</v>
      </c>
      <c r="E214" s="5">
        <v>593.20000000000005</v>
      </c>
      <c r="F214" s="5">
        <v>608.1</v>
      </c>
      <c r="G214" s="6">
        <v>44457</v>
      </c>
      <c r="H214" s="5"/>
      <c r="I214" s="5"/>
      <c r="J214" s="5">
        <f t="shared" si="29"/>
        <v>14.899999999999977</v>
      </c>
      <c r="K214" s="8" t="b">
        <f t="shared" si="30"/>
        <v>1</v>
      </c>
    </row>
    <row r="215" spans="1:11">
      <c r="A215" s="5" t="s">
        <v>124</v>
      </c>
      <c r="B215" s="6">
        <v>44458</v>
      </c>
      <c r="C215" s="7">
        <v>0.4</v>
      </c>
      <c r="D215" s="5">
        <v>14.5</v>
      </c>
      <c r="E215" s="5">
        <v>608.1</v>
      </c>
      <c r="F215" s="5">
        <v>622.5</v>
      </c>
      <c r="G215" s="6">
        <v>44458</v>
      </c>
      <c r="H215" s="5"/>
      <c r="I215" s="5"/>
      <c r="J215" s="5">
        <f t="shared" si="29"/>
        <v>14.399999999999977</v>
      </c>
      <c r="K215" s="8" t="b">
        <f t="shared" si="30"/>
        <v>1</v>
      </c>
    </row>
    <row r="216" spans="1:11">
      <c r="A216" s="5" t="s">
        <v>122</v>
      </c>
      <c r="B216" s="6">
        <v>44459</v>
      </c>
      <c r="C216" s="7">
        <v>0.4</v>
      </c>
      <c r="D216" s="5">
        <v>14.5</v>
      </c>
      <c r="E216" s="5">
        <v>622.5</v>
      </c>
      <c r="F216" s="5">
        <v>637.1</v>
      </c>
      <c r="G216" s="6">
        <v>44459</v>
      </c>
      <c r="H216" s="5"/>
      <c r="I216" s="5"/>
      <c r="J216" s="5">
        <f t="shared" si="29"/>
        <v>14.600000000000023</v>
      </c>
      <c r="K216" s="8" t="b">
        <f t="shared" si="30"/>
        <v>1</v>
      </c>
    </row>
    <row r="217" spans="1:11">
      <c r="A217" s="5" t="s">
        <v>121</v>
      </c>
      <c r="B217" s="6">
        <v>44460</v>
      </c>
      <c r="C217" s="7">
        <v>0.4</v>
      </c>
      <c r="D217" s="5">
        <v>14.5</v>
      </c>
      <c r="E217" s="5">
        <v>637.1</v>
      </c>
      <c r="F217" s="5">
        <v>653</v>
      </c>
      <c r="G217" s="6">
        <v>44460</v>
      </c>
      <c r="H217" s="5"/>
      <c r="I217" s="5"/>
      <c r="J217" s="5">
        <f t="shared" si="29"/>
        <v>15.899999999999977</v>
      </c>
      <c r="K217" s="8" t="b">
        <f t="shared" si="30"/>
        <v>1</v>
      </c>
    </row>
    <row r="218" spans="1:11">
      <c r="A218" s="5" t="s">
        <v>122</v>
      </c>
      <c r="B218" s="6">
        <v>44461</v>
      </c>
      <c r="C218" s="7">
        <v>0.4</v>
      </c>
      <c r="D218" s="5">
        <v>14.5</v>
      </c>
      <c r="E218" s="5">
        <v>653</v>
      </c>
      <c r="F218" s="5">
        <v>667.5</v>
      </c>
      <c r="G218" s="6">
        <v>44461</v>
      </c>
      <c r="H218" s="5"/>
      <c r="I218" s="5"/>
      <c r="J218" s="5">
        <f t="shared" si="29"/>
        <v>14.5</v>
      </c>
      <c r="K218" s="8" t="b">
        <f t="shared" si="30"/>
        <v>1</v>
      </c>
    </row>
    <row r="219" spans="1:11">
      <c r="A219" s="5" t="s">
        <v>121</v>
      </c>
      <c r="B219" s="6">
        <v>44462</v>
      </c>
      <c r="C219" s="7">
        <v>0.4</v>
      </c>
      <c r="D219" s="5">
        <v>14.5</v>
      </c>
      <c r="E219" s="5">
        <v>667.5</v>
      </c>
      <c r="F219" s="5">
        <v>681.9</v>
      </c>
      <c r="G219" s="6">
        <v>44462</v>
      </c>
      <c r="H219" s="5"/>
      <c r="I219" s="5"/>
      <c r="J219" s="5">
        <f t="shared" si="29"/>
        <v>14.399999999999977</v>
      </c>
      <c r="K219" s="8" t="b">
        <f t="shared" si="30"/>
        <v>1</v>
      </c>
    </row>
    <row r="220" spans="1:11">
      <c r="A220" s="5" t="s">
        <v>122</v>
      </c>
      <c r="B220" s="6">
        <v>44463</v>
      </c>
      <c r="C220" s="7">
        <v>0.4</v>
      </c>
      <c r="D220" s="5">
        <v>14.5</v>
      </c>
      <c r="E220" s="5">
        <v>681.9</v>
      </c>
      <c r="F220" s="5">
        <v>696.1</v>
      </c>
      <c r="G220" s="6">
        <v>44463</v>
      </c>
      <c r="H220" s="5"/>
      <c r="I220" s="5"/>
      <c r="J220" s="5">
        <f t="shared" si="29"/>
        <v>14.200000000000045</v>
      </c>
      <c r="K220" s="8" t="b">
        <f t="shared" si="30"/>
        <v>1</v>
      </c>
    </row>
    <row r="221" spans="1:11">
      <c r="A221" s="5" t="s">
        <v>121</v>
      </c>
      <c r="B221" s="6">
        <v>44464</v>
      </c>
      <c r="C221" s="7">
        <v>0.4</v>
      </c>
      <c r="D221" s="5">
        <v>14.5</v>
      </c>
      <c r="E221" s="5">
        <v>696.1</v>
      </c>
      <c r="F221" s="5">
        <v>710.5</v>
      </c>
      <c r="G221" s="6">
        <v>44464</v>
      </c>
      <c r="H221" s="5"/>
      <c r="I221" s="5"/>
      <c r="J221" s="5">
        <f t="shared" si="29"/>
        <v>14.399999999999977</v>
      </c>
      <c r="K221" s="8" t="b">
        <f t="shared" si="30"/>
        <v>1</v>
      </c>
    </row>
    <row r="222" spans="1:11">
      <c r="A222" s="5" t="s">
        <v>122</v>
      </c>
      <c r="B222" s="6">
        <v>44465</v>
      </c>
      <c r="C222" s="7">
        <v>0.4</v>
      </c>
      <c r="D222" s="5">
        <v>14.5</v>
      </c>
      <c r="E222" s="5">
        <v>710.5</v>
      </c>
      <c r="F222" s="5">
        <v>725.1</v>
      </c>
      <c r="G222" s="6">
        <v>44465</v>
      </c>
      <c r="H222" s="5"/>
      <c r="I222" s="5"/>
      <c r="J222" s="5">
        <f t="shared" si="29"/>
        <v>14.600000000000023</v>
      </c>
      <c r="K222" s="8" t="b">
        <f t="shared" si="30"/>
        <v>1</v>
      </c>
    </row>
    <row r="223" spans="1:11">
      <c r="A223" s="5" t="s">
        <v>121</v>
      </c>
      <c r="B223" s="6">
        <v>44466</v>
      </c>
      <c r="C223" s="7">
        <v>0.4</v>
      </c>
      <c r="D223" s="5">
        <v>14.5</v>
      </c>
      <c r="E223" s="5">
        <v>725.1</v>
      </c>
      <c r="F223" s="5">
        <v>739.7</v>
      </c>
      <c r="G223" s="6">
        <v>44466</v>
      </c>
      <c r="H223" s="5"/>
      <c r="I223" s="5"/>
      <c r="J223" s="5">
        <f t="shared" si="29"/>
        <v>14.600000000000023</v>
      </c>
      <c r="K223" s="8" t="b">
        <f t="shared" si="30"/>
        <v>1</v>
      </c>
    </row>
    <row r="224" spans="1:11">
      <c r="A224" s="5" t="s">
        <v>122</v>
      </c>
      <c r="B224" s="6">
        <v>44467</v>
      </c>
      <c r="C224" s="7">
        <v>0.4</v>
      </c>
      <c r="D224" s="5">
        <v>14.5</v>
      </c>
      <c r="E224" s="5">
        <v>739.7</v>
      </c>
      <c r="F224" s="5">
        <v>755</v>
      </c>
      <c r="G224" s="6">
        <v>44467</v>
      </c>
      <c r="H224" s="5"/>
      <c r="I224" s="5"/>
      <c r="J224" s="5">
        <f t="shared" si="29"/>
        <v>15.299999999999955</v>
      </c>
      <c r="K224" s="8" t="b">
        <f t="shared" si="30"/>
        <v>1</v>
      </c>
    </row>
    <row r="225" spans="1:11">
      <c r="A225" s="5" t="s">
        <v>121</v>
      </c>
      <c r="B225" s="6">
        <v>44468</v>
      </c>
      <c r="C225" s="7">
        <v>0.4</v>
      </c>
      <c r="D225" s="5">
        <v>14.5</v>
      </c>
      <c r="E225" s="5">
        <v>755</v>
      </c>
      <c r="F225" s="5">
        <v>769.4</v>
      </c>
      <c r="G225" s="6">
        <v>44468</v>
      </c>
      <c r="H225" s="5"/>
      <c r="I225" s="5"/>
      <c r="J225" s="5">
        <f t="shared" ref="J225:J233" si="31">F225-E225</f>
        <v>14.399999999999977</v>
      </c>
      <c r="K225" s="8" t="b">
        <f t="shared" ref="K225:K233" si="32">F225=E226</f>
        <v>1</v>
      </c>
    </row>
    <row r="226" spans="1:11">
      <c r="A226" s="5" t="s">
        <v>122</v>
      </c>
      <c r="B226" s="6">
        <v>44469</v>
      </c>
      <c r="C226" s="7">
        <v>0.4</v>
      </c>
      <c r="D226" s="5">
        <v>14.5</v>
      </c>
      <c r="E226" s="5">
        <v>769.4</v>
      </c>
      <c r="F226" s="5">
        <v>785.2</v>
      </c>
      <c r="G226" s="6">
        <v>44469</v>
      </c>
      <c r="H226" s="5"/>
      <c r="I226" s="5"/>
      <c r="J226" s="5">
        <f t="shared" si="31"/>
        <v>15.800000000000068</v>
      </c>
      <c r="K226" s="8" t="b">
        <f t="shared" si="32"/>
        <v>0</v>
      </c>
    </row>
    <row r="227" spans="1:11">
      <c r="A227" s="5" t="s">
        <v>121</v>
      </c>
      <c r="B227" s="6">
        <v>44470</v>
      </c>
      <c r="C227" s="7">
        <v>0.4</v>
      </c>
      <c r="D227" s="5">
        <v>14.5</v>
      </c>
      <c r="E227" s="5">
        <v>783.2</v>
      </c>
      <c r="F227" s="5">
        <v>797.8</v>
      </c>
      <c r="G227" s="6">
        <v>44470</v>
      </c>
      <c r="H227" s="5"/>
      <c r="I227" s="5"/>
      <c r="J227" s="5">
        <f t="shared" si="31"/>
        <v>14.599999999999909</v>
      </c>
      <c r="K227" s="8" t="b">
        <f t="shared" si="32"/>
        <v>1</v>
      </c>
    </row>
    <row r="228" spans="1:11">
      <c r="A228" s="5" t="s">
        <v>122</v>
      </c>
      <c r="B228" s="6">
        <v>44471</v>
      </c>
      <c r="C228" s="7">
        <v>0.4</v>
      </c>
      <c r="D228" s="5">
        <v>14.5</v>
      </c>
      <c r="E228" s="5">
        <v>797.8</v>
      </c>
      <c r="F228" s="5">
        <v>811.4</v>
      </c>
      <c r="G228" s="6">
        <v>44471</v>
      </c>
      <c r="H228" s="5"/>
      <c r="I228" s="5"/>
      <c r="J228" s="5">
        <f t="shared" si="31"/>
        <v>13.600000000000023</v>
      </c>
      <c r="K228" s="8" t="b">
        <f t="shared" si="32"/>
        <v>1</v>
      </c>
    </row>
    <row r="229" spans="1:11">
      <c r="A229" s="5" t="s">
        <v>121</v>
      </c>
      <c r="B229" s="6">
        <v>44472</v>
      </c>
      <c r="C229" s="7">
        <v>0.4</v>
      </c>
      <c r="D229" s="5">
        <v>14.5</v>
      </c>
      <c r="E229" s="5">
        <v>811.4</v>
      </c>
      <c r="F229" s="5">
        <v>825.9</v>
      </c>
      <c r="G229" s="6">
        <v>44472</v>
      </c>
      <c r="H229" s="5"/>
      <c r="I229" s="5"/>
      <c r="J229" s="5">
        <f t="shared" si="31"/>
        <v>14.5</v>
      </c>
      <c r="K229" s="8" t="b">
        <f t="shared" si="32"/>
        <v>1</v>
      </c>
    </row>
    <row r="230" spans="1:11">
      <c r="A230" s="5" t="s">
        <v>122</v>
      </c>
      <c r="B230" s="6">
        <v>44473</v>
      </c>
      <c r="C230" s="7">
        <v>0.4</v>
      </c>
      <c r="D230" s="5">
        <v>14.5</v>
      </c>
      <c r="E230" s="5">
        <v>825.9</v>
      </c>
      <c r="F230" s="5">
        <v>840.5</v>
      </c>
      <c r="G230" s="6">
        <v>44473</v>
      </c>
      <c r="H230" s="5"/>
      <c r="I230" s="5"/>
      <c r="J230" s="5">
        <f t="shared" si="31"/>
        <v>14.600000000000023</v>
      </c>
      <c r="K230" s="8" t="b">
        <f t="shared" si="32"/>
        <v>1</v>
      </c>
    </row>
    <row r="231" spans="1:11">
      <c r="A231" s="5" t="s">
        <v>121</v>
      </c>
      <c r="B231" s="6">
        <v>44474</v>
      </c>
      <c r="C231" s="7">
        <v>0.4</v>
      </c>
      <c r="D231" s="5">
        <v>14.5</v>
      </c>
      <c r="E231" s="5">
        <v>840.5</v>
      </c>
      <c r="F231" s="5">
        <v>855.7</v>
      </c>
      <c r="G231" s="6">
        <v>44474</v>
      </c>
      <c r="H231" s="5"/>
      <c r="I231" s="5"/>
      <c r="J231" s="5">
        <f t="shared" si="31"/>
        <v>15.200000000000045</v>
      </c>
      <c r="K231" s="8" t="b">
        <f t="shared" si="32"/>
        <v>1</v>
      </c>
    </row>
    <row r="232" spans="1:11">
      <c r="A232" s="5" t="s">
        <v>125</v>
      </c>
      <c r="B232" s="6">
        <v>44475</v>
      </c>
      <c r="C232" s="7">
        <v>1</v>
      </c>
      <c r="D232" s="5">
        <v>5.8</v>
      </c>
      <c r="E232" s="5">
        <v>855.7</v>
      </c>
      <c r="F232" s="5">
        <v>867.4</v>
      </c>
      <c r="G232" s="6">
        <v>44475</v>
      </c>
      <c r="H232" s="5"/>
      <c r="I232" s="5"/>
      <c r="J232" s="5">
        <f t="shared" si="31"/>
        <v>11.699999999999932</v>
      </c>
      <c r="K232" s="8" t="b">
        <f t="shared" si="32"/>
        <v>1</v>
      </c>
    </row>
    <row r="233" spans="1:11">
      <c r="A233" s="5" t="s">
        <v>122</v>
      </c>
      <c r="B233" s="6">
        <v>44476</v>
      </c>
      <c r="C233" s="7">
        <v>0.6</v>
      </c>
      <c r="D233" s="5">
        <v>11.6</v>
      </c>
      <c r="E233" s="5">
        <v>867.4</v>
      </c>
      <c r="F233" s="5">
        <v>881.8</v>
      </c>
      <c r="G233" s="6">
        <v>44476</v>
      </c>
      <c r="H233" s="5"/>
      <c r="I233" s="5"/>
      <c r="J233" s="5">
        <f t="shared" si="31"/>
        <v>14.399999999999977</v>
      </c>
      <c r="K233" s="8" t="b">
        <f t="shared" si="32"/>
        <v>0</v>
      </c>
    </row>
    <row r="234" spans="1:11">
      <c r="A234" s="5" t="s">
        <v>126</v>
      </c>
      <c r="B234" s="6">
        <v>44478</v>
      </c>
      <c r="C234" s="7">
        <v>1</v>
      </c>
      <c r="D234" s="5">
        <v>5.8</v>
      </c>
      <c r="E234" s="5">
        <v>887.6</v>
      </c>
      <c r="F234" s="5">
        <v>894.1</v>
      </c>
      <c r="G234" s="6">
        <v>44478</v>
      </c>
      <c r="H234" s="5"/>
      <c r="I234" s="5"/>
      <c r="J234" s="5">
        <f t="shared" ref="J234:J242" si="33">F234-E234</f>
        <v>6.5</v>
      </c>
      <c r="K234" s="8" t="b">
        <f t="shared" ref="K234:K242" si="34">F234=E235</f>
        <v>1</v>
      </c>
    </row>
    <row r="235" spans="1:11">
      <c r="A235" s="5" t="s">
        <v>121</v>
      </c>
      <c r="B235" s="6">
        <v>44479</v>
      </c>
      <c r="C235" s="7">
        <v>0.6</v>
      </c>
      <c r="D235" s="5">
        <v>9.67</v>
      </c>
      <c r="E235" s="5">
        <v>894.1</v>
      </c>
      <c r="F235" s="5">
        <v>905.5</v>
      </c>
      <c r="G235" s="6">
        <v>44479</v>
      </c>
      <c r="H235" s="5"/>
      <c r="I235" s="5"/>
      <c r="J235" s="5">
        <f t="shared" si="33"/>
        <v>11.399999999999977</v>
      </c>
      <c r="K235" s="8" t="b">
        <f t="shared" si="34"/>
        <v>1</v>
      </c>
    </row>
    <row r="236" spans="1:11">
      <c r="A236" s="5" t="s">
        <v>122</v>
      </c>
      <c r="B236" s="6">
        <v>44480</v>
      </c>
      <c r="C236" s="7">
        <v>0.6</v>
      </c>
      <c r="D236" s="5">
        <v>9.67</v>
      </c>
      <c r="E236" s="5">
        <v>905.5</v>
      </c>
      <c r="F236" s="5">
        <v>915.4</v>
      </c>
      <c r="G236" s="6">
        <v>44480</v>
      </c>
      <c r="H236" s="5"/>
      <c r="I236" s="5"/>
      <c r="J236" s="5">
        <f t="shared" si="33"/>
        <v>9.8999999999999773</v>
      </c>
      <c r="K236" s="8" t="b">
        <f t="shared" si="34"/>
        <v>0</v>
      </c>
    </row>
    <row r="237" spans="1:11">
      <c r="A237" s="5" t="s">
        <v>122</v>
      </c>
      <c r="B237" s="6">
        <v>44481</v>
      </c>
      <c r="C237" s="7">
        <v>0.6</v>
      </c>
      <c r="D237" s="5">
        <v>9.67</v>
      </c>
      <c r="E237" s="5">
        <v>915.5</v>
      </c>
      <c r="F237" s="5">
        <v>934.8</v>
      </c>
      <c r="G237" s="6">
        <v>44481</v>
      </c>
      <c r="H237" s="5"/>
      <c r="I237" s="5"/>
      <c r="J237" s="5">
        <f t="shared" si="33"/>
        <v>19.299999999999955</v>
      </c>
      <c r="K237" s="8" t="b">
        <f t="shared" si="34"/>
        <v>1</v>
      </c>
    </row>
    <row r="238" spans="1:11">
      <c r="A238" s="5" t="s">
        <v>121</v>
      </c>
      <c r="B238" s="6">
        <v>44482</v>
      </c>
      <c r="C238" s="7">
        <v>0.6</v>
      </c>
      <c r="D238" s="5">
        <v>9.67</v>
      </c>
      <c r="E238" s="5">
        <v>934.8</v>
      </c>
      <c r="F238" s="5">
        <v>943.2</v>
      </c>
      <c r="G238" s="6">
        <v>44482</v>
      </c>
      <c r="H238" s="5"/>
      <c r="I238" s="5"/>
      <c r="J238" s="5">
        <f t="shared" si="33"/>
        <v>8.4000000000000909</v>
      </c>
      <c r="K238" s="8" t="b">
        <f t="shared" si="34"/>
        <v>1</v>
      </c>
    </row>
    <row r="239" spans="1:11">
      <c r="A239" s="5" t="s">
        <v>127</v>
      </c>
      <c r="B239" s="6">
        <v>44483</v>
      </c>
      <c r="C239" s="7">
        <v>0.6</v>
      </c>
      <c r="D239" s="5">
        <v>9.67</v>
      </c>
      <c r="E239" s="5">
        <v>943.2</v>
      </c>
      <c r="F239" s="5">
        <v>946.3</v>
      </c>
      <c r="G239" s="6">
        <v>44483</v>
      </c>
      <c r="H239" s="5"/>
      <c r="I239" s="5"/>
      <c r="J239" s="5">
        <f t="shared" si="33"/>
        <v>3.0999999999999091</v>
      </c>
      <c r="K239" s="8" t="b">
        <f t="shared" si="34"/>
        <v>1</v>
      </c>
    </row>
    <row r="240" spans="1:11">
      <c r="A240" s="5" t="s">
        <v>124</v>
      </c>
      <c r="B240" s="6">
        <v>44484</v>
      </c>
      <c r="C240" s="7">
        <v>0.6</v>
      </c>
      <c r="D240" s="5">
        <v>9.67</v>
      </c>
      <c r="E240" s="5">
        <v>946.3</v>
      </c>
      <c r="F240" s="5">
        <v>956</v>
      </c>
      <c r="G240" s="6">
        <v>44484</v>
      </c>
      <c r="H240" s="5"/>
      <c r="I240" s="5"/>
      <c r="J240" s="5">
        <f t="shared" si="33"/>
        <v>9.7000000000000455</v>
      </c>
      <c r="K240" s="8" t="b">
        <f t="shared" si="34"/>
        <v>1</v>
      </c>
    </row>
    <row r="241" spans="1:11">
      <c r="A241" s="5" t="s">
        <v>122</v>
      </c>
      <c r="B241" s="6">
        <v>44486</v>
      </c>
      <c r="C241" s="7">
        <v>0.6</v>
      </c>
      <c r="D241" s="5">
        <v>9.67</v>
      </c>
      <c r="E241" s="5">
        <v>956</v>
      </c>
      <c r="F241" s="5">
        <v>966.1</v>
      </c>
      <c r="G241" s="6">
        <v>44486</v>
      </c>
      <c r="H241" s="5"/>
      <c r="I241" s="5"/>
      <c r="J241" s="5">
        <f t="shared" si="33"/>
        <v>10.100000000000023</v>
      </c>
      <c r="K241" s="8" t="b">
        <f t="shared" si="34"/>
        <v>1</v>
      </c>
    </row>
    <row r="242" spans="1:11">
      <c r="A242" s="5" t="s">
        <v>121</v>
      </c>
      <c r="B242" s="6">
        <v>44487</v>
      </c>
      <c r="C242" s="7">
        <v>0.6</v>
      </c>
      <c r="D242" s="5">
        <v>9.67</v>
      </c>
      <c r="E242" s="5">
        <v>966.1</v>
      </c>
      <c r="F242" s="5">
        <v>976.6</v>
      </c>
      <c r="G242" s="6">
        <v>44487</v>
      </c>
      <c r="H242" s="5"/>
      <c r="I242" s="5"/>
      <c r="J242" s="5">
        <f t="shared" si="33"/>
        <v>10.5</v>
      </c>
      <c r="K242" s="8" t="b">
        <f t="shared" si="34"/>
        <v>1</v>
      </c>
    </row>
    <row r="243" spans="1:11">
      <c r="A243" s="5" t="s">
        <v>122</v>
      </c>
      <c r="B243" s="6">
        <v>44488</v>
      </c>
      <c r="C243" s="7">
        <v>0.6</v>
      </c>
      <c r="D243" s="5">
        <v>9.67</v>
      </c>
      <c r="E243" s="5">
        <v>976.6</v>
      </c>
      <c r="F243" s="5">
        <v>986.4</v>
      </c>
      <c r="G243" s="6">
        <v>44488</v>
      </c>
      <c r="H243" s="5"/>
      <c r="I243" s="5"/>
      <c r="J243" s="5">
        <f t="shared" ref="J243:J252" si="35">F243-E243</f>
        <v>9.7999999999999545</v>
      </c>
      <c r="K243" s="8" t="b">
        <f t="shared" ref="K243:K252" si="36">F243=E244</f>
        <v>0</v>
      </c>
    </row>
    <row r="244" spans="1:11">
      <c r="A244" s="5" t="s">
        <v>121</v>
      </c>
      <c r="B244" s="6">
        <v>44489</v>
      </c>
      <c r="C244" s="7">
        <v>0.4</v>
      </c>
      <c r="D244" s="5">
        <v>14.5</v>
      </c>
      <c r="E244" s="5">
        <v>985.4</v>
      </c>
      <c r="F244" s="5">
        <v>1000.8</v>
      </c>
      <c r="G244" s="6">
        <v>44489</v>
      </c>
      <c r="H244" s="5"/>
      <c r="I244" s="5"/>
      <c r="J244" s="5">
        <f t="shared" si="35"/>
        <v>15.399999999999977</v>
      </c>
      <c r="K244" s="8" t="b">
        <f t="shared" si="36"/>
        <v>1</v>
      </c>
    </row>
    <row r="245" spans="1:11">
      <c r="A245" s="5" t="s">
        <v>122</v>
      </c>
      <c r="B245" s="6">
        <v>44490</v>
      </c>
      <c r="C245" s="7">
        <v>0.4</v>
      </c>
      <c r="D245" s="5">
        <v>14.5</v>
      </c>
      <c r="E245" s="5">
        <v>1000.8</v>
      </c>
      <c r="F245" s="5">
        <v>1014.2</v>
      </c>
      <c r="G245" s="6">
        <v>44490</v>
      </c>
      <c r="H245" s="5"/>
      <c r="I245" s="5"/>
      <c r="J245" s="5">
        <f t="shared" si="35"/>
        <v>13.400000000000091</v>
      </c>
      <c r="K245" s="8" t="b">
        <f t="shared" si="36"/>
        <v>1</v>
      </c>
    </row>
    <row r="246" spans="1:11">
      <c r="A246" s="5" t="s">
        <v>123</v>
      </c>
      <c r="B246" s="6">
        <v>44497</v>
      </c>
      <c r="C246" s="7">
        <v>0.7</v>
      </c>
      <c r="D246" s="5">
        <v>8.2899999999999991</v>
      </c>
      <c r="E246" s="5">
        <v>1014.2</v>
      </c>
      <c r="F246" s="5">
        <v>1031.5999999999999</v>
      </c>
      <c r="G246" s="6">
        <v>44497</v>
      </c>
      <c r="H246" s="5"/>
      <c r="I246" s="5"/>
      <c r="J246" s="5">
        <f t="shared" si="35"/>
        <v>17.399999999999864</v>
      </c>
      <c r="K246" s="8" t="b">
        <f t="shared" si="36"/>
        <v>1</v>
      </c>
    </row>
    <row r="247" spans="1:11">
      <c r="A247" s="5" t="s">
        <v>123</v>
      </c>
      <c r="B247" s="6">
        <v>44498</v>
      </c>
      <c r="C247" s="7">
        <v>0.7</v>
      </c>
      <c r="D247" s="5">
        <v>8.2899999999999991</v>
      </c>
      <c r="E247" s="5">
        <v>1031.5999999999999</v>
      </c>
      <c r="F247" s="5">
        <v>1048.3</v>
      </c>
      <c r="G247" s="6">
        <v>44498</v>
      </c>
      <c r="H247" s="5"/>
      <c r="I247" s="5"/>
      <c r="J247" s="5">
        <f t="shared" si="35"/>
        <v>16.700000000000045</v>
      </c>
      <c r="K247" s="8" t="b">
        <f t="shared" si="36"/>
        <v>1</v>
      </c>
    </row>
    <row r="248" spans="1:11">
      <c r="A248" s="5" t="s">
        <v>123</v>
      </c>
      <c r="B248" s="6">
        <v>44499</v>
      </c>
      <c r="C248" s="7">
        <v>1</v>
      </c>
      <c r="D248" s="5">
        <v>5.8</v>
      </c>
      <c r="E248" s="5">
        <v>1048.3</v>
      </c>
      <c r="F248" s="5">
        <v>1060.3</v>
      </c>
      <c r="G248" s="6">
        <v>44499</v>
      </c>
      <c r="H248" s="5"/>
      <c r="I248" s="5"/>
      <c r="J248" s="5">
        <f t="shared" si="35"/>
        <v>12</v>
      </c>
      <c r="K248" s="8" t="b">
        <f t="shared" si="36"/>
        <v>1</v>
      </c>
    </row>
    <row r="249" spans="1:11">
      <c r="A249" s="5" t="s">
        <v>123</v>
      </c>
      <c r="B249" s="6">
        <v>44500</v>
      </c>
      <c r="C249" s="7">
        <v>0.7</v>
      </c>
      <c r="D249" s="5">
        <v>8.2899999999999991</v>
      </c>
      <c r="E249" s="5">
        <v>1060.3</v>
      </c>
      <c r="F249" s="5">
        <v>1075.8</v>
      </c>
      <c r="G249" s="6">
        <v>44500</v>
      </c>
      <c r="H249" s="5"/>
      <c r="I249" s="5"/>
      <c r="J249" s="5">
        <f t="shared" si="35"/>
        <v>15.5</v>
      </c>
      <c r="K249" s="8" t="b">
        <f t="shared" si="36"/>
        <v>1</v>
      </c>
    </row>
    <row r="250" spans="1:11">
      <c r="A250" s="5" t="s">
        <v>123</v>
      </c>
      <c r="B250" s="6">
        <v>44501</v>
      </c>
      <c r="C250" s="7">
        <v>0.7</v>
      </c>
      <c r="D250" s="5">
        <v>8.2899999999999991</v>
      </c>
      <c r="E250" s="5">
        <v>1075.8</v>
      </c>
      <c r="F250" s="5">
        <v>1090.8</v>
      </c>
      <c r="G250" s="6">
        <v>44866</v>
      </c>
      <c r="H250" s="5"/>
      <c r="I250" s="5"/>
      <c r="J250" s="5">
        <f t="shared" si="35"/>
        <v>15</v>
      </c>
      <c r="K250" s="8" t="b">
        <f>F250=E252</f>
        <v>0</v>
      </c>
    </row>
    <row r="251" spans="1:11">
      <c r="A251" s="5" t="s">
        <v>121</v>
      </c>
      <c r="B251" s="6">
        <v>44890</v>
      </c>
      <c r="C251" s="7">
        <v>0.7</v>
      </c>
      <c r="D251" s="5">
        <v>8.2899999999999991</v>
      </c>
      <c r="E251" s="5">
        <v>1090.8</v>
      </c>
      <c r="F251" s="5">
        <v>1097.8</v>
      </c>
      <c r="G251" s="6">
        <v>44890</v>
      </c>
      <c r="H251" s="5"/>
      <c r="I251" s="5"/>
      <c r="J251" s="5">
        <f>F251-E251</f>
        <v>7</v>
      </c>
      <c r="K251" s="8" t="b">
        <f>F251=E253</f>
        <v>0</v>
      </c>
    </row>
    <row r="252" spans="1:11">
      <c r="A252" s="5" t="s">
        <v>122</v>
      </c>
      <c r="B252" s="6">
        <v>44891</v>
      </c>
      <c r="C252" s="7">
        <v>0.7</v>
      </c>
      <c r="D252" s="5">
        <v>8.2899999999999991</v>
      </c>
      <c r="E252" s="5">
        <v>1097.8</v>
      </c>
      <c r="F252" s="5">
        <v>1105.8</v>
      </c>
      <c r="G252" s="6">
        <v>44891</v>
      </c>
      <c r="H252" s="5"/>
      <c r="I252" s="5"/>
      <c r="J252" s="5">
        <f t="shared" si="35"/>
        <v>8</v>
      </c>
      <c r="K252" s="8" t="b">
        <f t="shared" si="36"/>
        <v>0</v>
      </c>
    </row>
    <row r="253" spans="1:11">
      <c r="A253" s="5" t="s">
        <v>123</v>
      </c>
      <c r="B253" s="6"/>
      <c r="C253" s="7"/>
      <c r="D253" s="5"/>
      <c r="E253" s="5"/>
      <c r="F253" s="5"/>
      <c r="G253" s="6"/>
      <c r="H253" s="5"/>
      <c r="I253" s="5"/>
      <c r="J253" s="5">
        <f>F253-E253</f>
        <v>0</v>
      </c>
      <c r="K253" s="8" t="b">
        <f>F253=E257</f>
        <v>1</v>
      </c>
    </row>
    <row r="254" spans="1:11">
      <c r="A254" s="15"/>
      <c r="B254" s="12"/>
      <c r="C254" s="13"/>
      <c r="D254" s="15"/>
      <c r="E254" s="15"/>
      <c r="F254" s="15"/>
      <c r="G254" s="12"/>
      <c r="H254" s="15"/>
      <c r="I254" s="15"/>
      <c r="J254" s="15"/>
      <c r="K254" s="15"/>
    </row>
    <row r="255" spans="1:11">
      <c r="A255" s="15"/>
      <c r="B255" s="12"/>
      <c r="C255" s="13"/>
      <c r="D255" s="15"/>
      <c r="E255" s="15"/>
      <c r="F255" s="15"/>
      <c r="G255" s="12"/>
      <c r="H255" s="15"/>
      <c r="I255" s="15"/>
      <c r="J255" s="15"/>
      <c r="K255" s="15"/>
    </row>
    <row r="256" spans="1:11">
      <c r="A256" s="15"/>
      <c r="B256" s="12"/>
      <c r="C256" s="13"/>
      <c r="D256" s="15"/>
      <c r="E256" s="15"/>
      <c r="F256" s="15"/>
      <c r="G256" s="12"/>
      <c r="H256" s="15"/>
      <c r="I256" s="15"/>
      <c r="J256" s="15"/>
      <c r="K256" s="15"/>
    </row>
    <row r="258" spans="1:11" ht="26.25">
      <c r="A258" s="126" t="s">
        <v>100</v>
      </c>
      <c r="B258" s="127"/>
      <c r="C258" s="127"/>
      <c r="D258" s="127"/>
      <c r="E258" s="127"/>
      <c r="F258" s="127"/>
      <c r="G258" s="127"/>
      <c r="H258" s="127"/>
      <c r="I258" s="127"/>
      <c r="J258" s="127"/>
      <c r="K258" s="128"/>
    </row>
    <row r="259" spans="1:11" ht="26.25">
      <c r="A259" s="129" t="s">
        <v>15</v>
      </c>
      <c r="B259" s="130"/>
      <c r="C259" s="130"/>
      <c r="D259" s="130"/>
      <c r="E259" s="130"/>
      <c r="F259" s="130"/>
      <c r="G259" s="130"/>
      <c r="H259" s="130"/>
      <c r="I259" s="130"/>
      <c r="J259" s="130"/>
      <c r="K259" s="131"/>
    </row>
    <row r="260" spans="1:11" ht="15.75" thickBot="1"/>
    <row r="261" spans="1:11" ht="15.75" thickBot="1">
      <c r="A261" s="132" t="s">
        <v>2</v>
      </c>
      <c r="B261" s="133"/>
      <c r="C261" s="133"/>
      <c r="D261" s="133"/>
      <c r="E261" s="133"/>
      <c r="F261" s="133"/>
      <c r="G261" s="133"/>
      <c r="H261" s="133"/>
      <c r="I261" s="133"/>
      <c r="J261" s="133"/>
      <c r="K261" s="134"/>
    </row>
    <row r="263" spans="1:11" ht="19.5" thickBot="1">
      <c r="A263" s="1" t="s">
        <v>3</v>
      </c>
      <c r="B263" s="1"/>
      <c r="C263" s="1"/>
      <c r="D263" s="1"/>
      <c r="E263" s="1"/>
      <c r="F263" s="1"/>
      <c r="G263" s="1"/>
      <c r="H263" s="1"/>
      <c r="I263" s="1"/>
    </row>
    <row r="264" spans="1:11" ht="30.75" thickBot="1">
      <c r="A264" s="2" t="s">
        <v>4</v>
      </c>
      <c r="B264" s="3" t="s">
        <v>5</v>
      </c>
      <c r="C264" s="3" t="s">
        <v>6</v>
      </c>
      <c r="D264" s="3" t="s">
        <v>7</v>
      </c>
      <c r="E264" s="3" t="s">
        <v>8</v>
      </c>
      <c r="F264" s="3" t="s">
        <v>9</v>
      </c>
      <c r="G264" s="3" t="s">
        <v>10</v>
      </c>
      <c r="H264" s="3" t="s">
        <v>21</v>
      </c>
      <c r="I264" s="4" t="s">
        <v>22</v>
      </c>
      <c r="J264" s="4" t="s">
        <v>11</v>
      </c>
      <c r="K264" s="4" t="s">
        <v>12</v>
      </c>
    </row>
    <row r="265" spans="1:11">
      <c r="A265" s="25" t="s">
        <v>116</v>
      </c>
      <c r="B265" s="26">
        <v>44567</v>
      </c>
      <c r="C265" s="27">
        <v>1</v>
      </c>
      <c r="D265" s="25">
        <v>5.8</v>
      </c>
      <c r="E265" s="25">
        <v>1114.5999999999999</v>
      </c>
      <c r="F265" s="25">
        <v>1126.0999999999999</v>
      </c>
      <c r="G265" s="26">
        <v>44567</v>
      </c>
      <c r="H265" s="25"/>
      <c r="I265" s="25"/>
      <c r="J265" s="25">
        <f>F265-E265</f>
        <v>11.5</v>
      </c>
      <c r="K265" s="28" t="b">
        <f>E265=F252</f>
        <v>0</v>
      </c>
    </row>
    <row r="266" spans="1:11">
      <c r="A266" s="5" t="s">
        <v>116</v>
      </c>
      <c r="B266" s="6">
        <v>44580</v>
      </c>
      <c r="C266" s="7">
        <v>0.6</v>
      </c>
      <c r="D266" s="5">
        <v>9.67</v>
      </c>
      <c r="E266" s="5">
        <v>1126.0999999999999</v>
      </c>
      <c r="F266" s="5">
        <v>1145.0999999999999</v>
      </c>
      <c r="G266" s="6">
        <v>44580</v>
      </c>
      <c r="H266" s="5"/>
      <c r="I266" s="5"/>
      <c r="J266" s="5">
        <f>F266-E266</f>
        <v>19</v>
      </c>
      <c r="K266" s="8" t="b">
        <f>E266=F265</f>
        <v>1</v>
      </c>
    </row>
    <row r="267" spans="1:11">
      <c r="A267" s="5" t="s">
        <v>116</v>
      </c>
      <c r="B267" s="6">
        <v>44581</v>
      </c>
      <c r="C267" s="7">
        <v>1</v>
      </c>
      <c r="D267" s="5">
        <v>5.8</v>
      </c>
      <c r="E267" s="5">
        <v>1145.0999999999999</v>
      </c>
      <c r="F267" s="5">
        <v>1156.9000000000001</v>
      </c>
      <c r="G267" s="6">
        <v>44581</v>
      </c>
      <c r="H267" s="5"/>
      <c r="I267" s="5"/>
      <c r="J267" s="5">
        <f t="shared" ref="J267:J274" si="37">F267-E267</f>
        <v>11.800000000000182</v>
      </c>
      <c r="K267" s="8" t="b">
        <f t="shared" ref="K267:K298" si="38">E267=F266</f>
        <v>1</v>
      </c>
    </row>
    <row r="268" spans="1:11">
      <c r="A268" s="5" t="s">
        <v>116</v>
      </c>
      <c r="B268" s="6">
        <v>44582</v>
      </c>
      <c r="C268" s="7">
        <v>1</v>
      </c>
      <c r="D268" s="5">
        <v>5.8</v>
      </c>
      <c r="E268" s="5">
        <v>1156.9000000000001</v>
      </c>
      <c r="F268" s="5">
        <v>1168.5999999999999</v>
      </c>
      <c r="G268" s="6">
        <v>44582</v>
      </c>
      <c r="H268" s="5"/>
      <c r="I268" s="5"/>
      <c r="J268" s="5">
        <f t="shared" si="37"/>
        <v>11.699999999999818</v>
      </c>
      <c r="K268" s="8" t="b">
        <f t="shared" si="38"/>
        <v>1</v>
      </c>
    </row>
    <row r="269" spans="1:11">
      <c r="A269" s="5" t="s">
        <v>116</v>
      </c>
      <c r="B269" s="6">
        <v>44584</v>
      </c>
      <c r="C269" s="7">
        <v>1</v>
      </c>
      <c r="D269" s="5">
        <v>5.8</v>
      </c>
      <c r="E269" s="5">
        <v>1168.5999999999999</v>
      </c>
      <c r="F269" s="5">
        <v>1192.0999999999999</v>
      </c>
      <c r="G269" s="6">
        <v>221</v>
      </c>
      <c r="H269" s="5"/>
      <c r="I269" s="5"/>
      <c r="J269" s="5">
        <f t="shared" si="37"/>
        <v>23.5</v>
      </c>
      <c r="K269" s="8" t="b">
        <f t="shared" si="38"/>
        <v>1</v>
      </c>
    </row>
    <row r="270" spans="1:11">
      <c r="A270" s="5" t="s">
        <v>116</v>
      </c>
      <c r="B270" s="6">
        <v>44585</v>
      </c>
      <c r="C270" s="7">
        <v>1</v>
      </c>
      <c r="D270" s="5">
        <v>5.8</v>
      </c>
      <c r="E270" s="5">
        <v>1192.0999999999999</v>
      </c>
      <c r="F270" s="5">
        <v>1204.2</v>
      </c>
      <c r="G270" s="6">
        <v>1204.2</v>
      </c>
      <c r="H270" s="5"/>
      <c r="I270" s="5"/>
      <c r="J270" s="5">
        <f t="shared" si="37"/>
        <v>12.100000000000136</v>
      </c>
      <c r="K270" s="8" t="b">
        <f t="shared" si="38"/>
        <v>1</v>
      </c>
    </row>
    <row r="271" spans="1:11">
      <c r="A271" s="5" t="s">
        <v>116</v>
      </c>
      <c r="B271" s="6">
        <v>44586</v>
      </c>
      <c r="C271" s="7">
        <v>1</v>
      </c>
      <c r="D271" s="5">
        <v>5.8</v>
      </c>
      <c r="E271" s="5">
        <v>1204.2</v>
      </c>
      <c r="F271" s="5">
        <v>1216.2</v>
      </c>
      <c r="G271" s="6">
        <v>44586</v>
      </c>
      <c r="H271" s="5"/>
      <c r="I271" s="5"/>
      <c r="J271" s="5">
        <f t="shared" si="37"/>
        <v>12</v>
      </c>
      <c r="K271" s="8" t="b">
        <f t="shared" si="38"/>
        <v>1</v>
      </c>
    </row>
    <row r="272" spans="1:11">
      <c r="A272" s="5" t="s">
        <v>116</v>
      </c>
      <c r="B272" s="6">
        <v>44587</v>
      </c>
      <c r="C272" s="7">
        <v>1</v>
      </c>
      <c r="D272" s="5">
        <v>5.8</v>
      </c>
      <c r="E272" s="5">
        <v>1216.2</v>
      </c>
      <c r="F272" s="5">
        <v>1228.8</v>
      </c>
      <c r="G272" s="6">
        <v>44587</v>
      </c>
      <c r="H272" s="5"/>
      <c r="I272" s="5"/>
      <c r="J272" s="5">
        <f t="shared" si="37"/>
        <v>12.599999999999909</v>
      </c>
      <c r="K272" s="8" t="b">
        <f t="shared" si="38"/>
        <v>1</v>
      </c>
    </row>
    <row r="273" spans="1:11">
      <c r="A273" s="5" t="s">
        <v>116</v>
      </c>
      <c r="B273" s="6">
        <v>44591</v>
      </c>
      <c r="C273" s="7">
        <v>0.7</v>
      </c>
      <c r="D273" s="5">
        <v>8.2899999999999991</v>
      </c>
      <c r="E273" s="5">
        <v>12.3</v>
      </c>
      <c r="F273" s="5">
        <v>30.1</v>
      </c>
      <c r="G273" s="6">
        <v>44591</v>
      </c>
      <c r="H273" s="5"/>
      <c r="I273" s="5"/>
      <c r="J273" s="5">
        <f t="shared" si="37"/>
        <v>17.8</v>
      </c>
      <c r="K273" s="8" t="b">
        <f t="shared" si="38"/>
        <v>0</v>
      </c>
    </row>
    <row r="274" spans="1:11">
      <c r="A274" s="5" t="s">
        <v>116</v>
      </c>
      <c r="B274" s="6">
        <v>44594</v>
      </c>
      <c r="C274" s="7">
        <v>0.7</v>
      </c>
      <c r="D274" s="5">
        <v>8.2899999999999991</v>
      </c>
      <c r="E274" s="5">
        <v>30.1</v>
      </c>
      <c r="F274" s="5">
        <v>46.3</v>
      </c>
      <c r="G274" s="6">
        <v>44594</v>
      </c>
      <c r="H274" s="5"/>
      <c r="I274" s="5"/>
      <c r="J274" s="5">
        <f t="shared" si="37"/>
        <v>16.199999999999996</v>
      </c>
      <c r="K274" s="8" t="b">
        <f t="shared" si="38"/>
        <v>1</v>
      </c>
    </row>
    <row r="275" spans="1:11">
      <c r="A275" s="5" t="s">
        <v>116</v>
      </c>
      <c r="B275" s="6">
        <v>44597</v>
      </c>
      <c r="C275" s="7">
        <v>0.7</v>
      </c>
      <c r="D275" s="5">
        <v>8.2899999999999991</v>
      </c>
      <c r="E275" s="5">
        <v>46.3</v>
      </c>
      <c r="F275" s="5">
        <v>61.5</v>
      </c>
      <c r="G275" s="6">
        <v>44597</v>
      </c>
      <c r="H275" s="5"/>
      <c r="I275" s="5"/>
      <c r="J275" s="5">
        <f t="shared" ref="J275:J283" si="39">F275-E275</f>
        <v>15.200000000000003</v>
      </c>
      <c r="K275" s="8" t="b">
        <f t="shared" si="38"/>
        <v>1</v>
      </c>
    </row>
    <row r="276" spans="1:11">
      <c r="A276" s="25" t="s">
        <v>116</v>
      </c>
      <c r="B276" s="26">
        <v>44607</v>
      </c>
      <c r="C276" s="27">
        <v>1</v>
      </c>
      <c r="D276" s="25">
        <v>5.8</v>
      </c>
      <c r="E276" s="25">
        <v>61.5</v>
      </c>
      <c r="F276" s="25">
        <v>73.099999999999994</v>
      </c>
      <c r="G276" s="26">
        <v>44607</v>
      </c>
      <c r="H276" s="25"/>
      <c r="I276" s="25"/>
      <c r="J276" s="25">
        <f t="shared" si="39"/>
        <v>11.599999999999994</v>
      </c>
      <c r="K276" s="8" t="b">
        <f t="shared" si="38"/>
        <v>1</v>
      </c>
    </row>
    <row r="277" spans="1:11">
      <c r="A277" s="5" t="s">
        <v>116</v>
      </c>
      <c r="B277" s="6">
        <v>44618</v>
      </c>
      <c r="C277" s="7">
        <v>0.8</v>
      </c>
      <c r="D277" s="5">
        <v>7.25</v>
      </c>
      <c r="E277" s="5">
        <v>73.099999999999994</v>
      </c>
      <c r="F277" s="5">
        <v>89.5</v>
      </c>
      <c r="G277" s="6">
        <v>44618</v>
      </c>
      <c r="H277" s="5"/>
      <c r="I277" s="5"/>
      <c r="J277" s="5">
        <f t="shared" si="39"/>
        <v>16.400000000000006</v>
      </c>
      <c r="K277" s="8" t="b">
        <f t="shared" si="38"/>
        <v>1</v>
      </c>
    </row>
    <row r="278" spans="1:11">
      <c r="A278" s="5" t="s">
        <v>116</v>
      </c>
      <c r="B278" s="6">
        <v>44621</v>
      </c>
      <c r="C278" s="7">
        <v>0.8</v>
      </c>
      <c r="D278" s="5">
        <v>7.25</v>
      </c>
      <c r="E278" s="5">
        <v>89.5</v>
      </c>
      <c r="F278" s="5">
        <v>104.4</v>
      </c>
      <c r="G278" s="6">
        <v>44621</v>
      </c>
      <c r="H278" s="5"/>
      <c r="I278" s="5"/>
      <c r="J278" s="5">
        <f t="shared" si="39"/>
        <v>14.900000000000006</v>
      </c>
      <c r="K278" s="8" t="b">
        <f t="shared" si="38"/>
        <v>1</v>
      </c>
    </row>
    <row r="279" spans="1:11">
      <c r="A279" s="5" t="s">
        <v>116</v>
      </c>
      <c r="B279" s="6">
        <v>44624</v>
      </c>
      <c r="C279" s="7">
        <v>0.8</v>
      </c>
      <c r="D279" s="5">
        <v>7.25</v>
      </c>
      <c r="E279" s="5">
        <v>104.4</v>
      </c>
      <c r="F279" s="5">
        <v>117.3</v>
      </c>
      <c r="G279" s="6">
        <v>44624</v>
      </c>
      <c r="H279" s="5"/>
      <c r="I279" s="5"/>
      <c r="J279" s="5">
        <f t="shared" si="39"/>
        <v>12.899999999999991</v>
      </c>
      <c r="K279" s="8" t="b">
        <f t="shared" si="38"/>
        <v>1</v>
      </c>
    </row>
    <row r="280" spans="1:11">
      <c r="A280" s="5" t="s">
        <v>116</v>
      </c>
      <c r="B280" s="6">
        <v>44627</v>
      </c>
      <c r="C280" s="7">
        <v>0.8</v>
      </c>
      <c r="D280" s="5">
        <v>7.25</v>
      </c>
      <c r="E280" s="5">
        <v>117.3</v>
      </c>
      <c r="F280" s="5">
        <v>131.69999999999999</v>
      </c>
      <c r="G280" s="6">
        <v>44627</v>
      </c>
      <c r="H280" s="5"/>
      <c r="I280" s="5"/>
      <c r="J280" s="5">
        <f t="shared" si="39"/>
        <v>14.399999999999991</v>
      </c>
      <c r="K280" s="8" t="b">
        <f t="shared" si="38"/>
        <v>1</v>
      </c>
    </row>
    <row r="281" spans="1:11">
      <c r="A281" s="5" t="s">
        <v>116</v>
      </c>
      <c r="B281" s="6">
        <v>44630</v>
      </c>
      <c r="C281" s="7">
        <v>0.8</v>
      </c>
      <c r="D281" s="5">
        <v>7.25</v>
      </c>
      <c r="E281" s="5">
        <v>131.69999999999999</v>
      </c>
      <c r="F281" s="5">
        <v>147.4</v>
      </c>
      <c r="G281" s="6">
        <v>44630</v>
      </c>
      <c r="H281" s="5"/>
      <c r="I281" s="5"/>
      <c r="J281" s="5">
        <f t="shared" si="39"/>
        <v>15.700000000000017</v>
      </c>
      <c r="K281" s="8" t="b">
        <f t="shared" si="38"/>
        <v>1</v>
      </c>
    </row>
    <row r="282" spans="1:11">
      <c r="A282" s="5" t="s">
        <v>116</v>
      </c>
      <c r="B282" s="6">
        <v>44633</v>
      </c>
      <c r="C282" s="7">
        <v>0.8</v>
      </c>
      <c r="D282" s="5">
        <v>7.25</v>
      </c>
      <c r="E282" s="5">
        <v>147.4</v>
      </c>
      <c r="F282" s="5">
        <v>161.5</v>
      </c>
      <c r="G282" s="6">
        <v>44633</v>
      </c>
      <c r="H282" s="5"/>
      <c r="I282" s="5"/>
      <c r="J282" s="5">
        <f t="shared" si="39"/>
        <v>14.099999999999994</v>
      </c>
      <c r="K282" s="8" t="b">
        <f t="shared" si="38"/>
        <v>1</v>
      </c>
    </row>
    <row r="283" spans="1:11">
      <c r="A283" s="5" t="s">
        <v>116</v>
      </c>
      <c r="B283" s="6">
        <v>44638</v>
      </c>
      <c r="C283" s="7">
        <v>0.7</v>
      </c>
      <c r="D283" s="5">
        <v>8.2899999999999991</v>
      </c>
      <c r="E283" s="5">
        <v>176.8</v>
      </c>
      <c r="F283" s="5">
        <v>194.1</v>
      </c>
      <c r="G283" s="6">
        <v>44638</v>
      </c>
      <c r="H283" s="5"/>
      <c r="I283" s="5"/>
      <c r="J283" s="5">
        <f t="shared" si="39"/>
        <v>17.299999999999983</v>
      </c>
      <c r="K283" s="8" t="b">
        <f t="shared" si="38"/>
        <v>0</v>
      </c>
    </row>
    <row r="284" spans="1:11">
      <c r="A284" s="5" t="s">
        <v>116</v>
      </c>
      <c r="B284" s="6">
        <v>44641</v>
      </c>
      <c r="C284" s="7">
        <v>0.7</v>
      </c>
      <c r="D284" s="5">
        <v>8.2899999999999991</v>
      </c>
      <c r="E284" s="5">
        <v>194.1</v>
      </c>
      <c r="F284" s="5">
        <v>211.2</v>
      </c>
      <c r="G284" s="6">
        <v>44642</v>
      </c>
      <c r="H284" s="5"/>
      <c r="I284" s="5"/>
      <c r="J284" s="5">
        <f t="shared" ref="J284:J290" si="40">F284-E284</f>
        <v>17.099999999999994</v>
      </c>
      <c r="K284" s="8" t="b">
        <f t="shared" si="38"/>
        <v>1</v>
      </c>
    </row>
    <row r="285" spans="1:11">
      <c r="A285" s="25" t="s">
        <v>116</v>
      </c>
      <c r="B285" s="26">
        <v>44644</v>
      </c>
      <c r="C285" s="27">
        <v>1</v>
      </c>
      <c r="D285" s="25">
        <v>5.8</v>
      </c>
      <c r="E285" s="25">
        <v>211.2</v>
      </c>
      <c r="F285" s="25">
        <v>223.1</v>
      </c>
      <c r="G285" s="26">
        <v>44644</v>
      </c>
      <c r="H285" s="25"/>
      <c r="I285" s="25"/>
      <c r="J285" s="25">
        <f t="shared" si="40"/>
        <v>11.900000000000006</v>
      </c>
      <c r="K285" s="8" t="b">
        <f t="shared" si="38"/>
        <v>1</v>
      </c>
    </row>
    <row r="286" spans="1:11">
      <c r="A286" s="5" t="s">
        <v>116</v>
      </c>
      <c r="B286" s="6">
        <v>44648</v>
      </c>
      <c r="C286" s="7">
        <v>0.7</v>
      </c>
      <c r="D286" s="5">
        <v>8.2899999999999991</v>
      </c>
      <c r="E286" s="5">
        <v>223.1</v>
      </c>
      <c r="F286" s="5">
        <v>239.3</v>
      </c>
      <c r="G286" s="6">
        <v>44648</v>
      </c>
      <c r="H286" s="5"/>
      <c r="I286" s="5"/>
      <c r="J286" s="5">
        <f t="shared" si="40"/>
        <v>16.200000000000017</v>
      </c>
      <c r="K286" s="8" t="b">
        <f t="shared" si="38"/>
        <v>1</v>
      </c>
    </row>
    <row r="287" spans="1:11">
      <c r="A287" s="5" t="s">
        <v>116</v>
      </c>
      <c r="B287" s="6">
        <v>44650</v>
      </c>
      <c r="C287" s="7">
        <v>1</v>
      </c>
      <c r="D287" s="5">
        <v>5.8</v>
      </c>
      <c r="E287" s="5">
        <v>239.3</v>
      </c>
      <c r="F287" s="5">
        <v>251.4</v>
      </c>
      <c r="G287" s="6">
        <v>44650</v>
      </c>
      <c r="H287" s="5"/>
      <c r="I287" s="5"/>
      <c r="J287" s="5">
        <f t="shared" si="40"/>
        <v>12.099999999999994</v>
      </c>
      <c r="K287" s="8" t="b">
        <f t="shared" si="38"/>
        <v>1</v>
      </c>
    </row>
    <row r="288" spans="1:11">
      <c r="A288" s="5" t="s">
        <v>116</v>
      </c>
      <c r="B288" s="6">
        <v>44651</v>
      </c>
      <c r="C288" s="7">
        <v>0.7</v>
      </c>
      <c r="D288" s="5">
        <v>8.2899999999999991</v>
      </c>
      <c r="E288" s="5">
        <v>251.4</v>
      </c>
      <c r="F288" s="5">
        <v>268.89999999999998</v>
      </c>
      <c r="G288" s="6">
        <v>44651</v>
      </c>
      <c r="H288" s="5"/>
      <c r="I288" s="5"/>
      <c r="J288" s="5">
        <f t="shared" si="40"/>
        <v>17.499999999999972</v>
      </c>
      <c r="K288" s="8" t="b">
        <f t="shared" si="38"/>
        <v>1</v>
      </c>
    </row>
    <row r="289" spans="1:11">
      <c r="A289" s="39" t="s">
        <v>116</v>
      </c>
      <c r="B289" s="40"/>
      <c r="C289" s="41"/>
      <c r="D289" s="39"/>
      <c r="E289" s="39"/>
      <c r="F289" s="39"/>
      <c r="G289" s="40"/>
      <c r="H289" s="39"/>
      <c r="I289" s="39"/>
      <c r="J289" s="39">
        <f t="shared" si="40"/>
        <v>0</v>
      </c>
      <c r="K289" s="8" t="b">
        <f t="shared" si="38"/>
        <v>0</v>
      </c>
    </row>
    <row r="290" spans="1:11">
      <c r="A290" s="39" t="s">
        <v>116</v>
      </c>
      <c r="B290" s="40"/>
      <c r="C290" s="41"/>
      <c r="D290" s="39"/>
      <c r="E290" s="39"/>
      <c r="F290" s="39"/>
      <c r="G290" s="40"/>
      <c r="H290" s="39"/>
      <c r="I290" s="39"/>
      <c r="J290" s="39">
        <f t="shared" si="40"/>
        <v>0</v>
      </c>
      <c r="K290" s="8" t="b">
        <f t="shared" si="38"/>
        <v>1</v>
      </c>
    </row>
    <row r="291" spans="1:11">
      <c r="A291" s="39" t="s">
        <v>116</v>
      </c>
      <c r="B291" s="40"/>
      <c r="C291" s="41"/>
      <c r="D291" s="39"/>
      <c r="E291" s="39"/>
      <c r="F291" s="39"/>
      <c r="G291" s="40"/>
      <c r="H291" s="39"/>
      <c r="I291" s="39"/>
      <c r="J291" s="39">
        <f>F291-E291</f>
        <v>0</v>
      </c>
      <c r="K291" s="8" t="b">
        <f t="shared" si="38"/>
        <v>1</v>
      </c>
    </row>
    <row r="292" spans="1:11">
      <c r="A292" s="39" t="s">
        <v>116</v>
      </c>
      <c r="B292" s="40"/>
      <c r="C292" s="41"/>
      <c r="D292" s="39"/>
      <c r="E292" s="39"/>
      <c r="F292" s="39"/>
      <c r="G292" s="40"/>
      <c r="H292" s="39"/>
      <c r="I292" s="39"/>
      <c r="J292" s="39">
        <f>F292-E292</f>
        <v>0</v>
      </c>
      <c r="K292" s="8" t="b">
        <f t="shared" si="38"/>
        <v>1</v>
      </c>
    </row>
    <row r="293" spans="1:11">
      <c r="A293" s="39" t="s">
        <v>116</v>
      </c>
      <c r="B293" s="40"/>
      <c r="C293" s="41"/>
      <c r="D293" s="39"/>
      <c r="E293" s="39"/>
      <c r="F293" s="39"/>
      <c r="G293" s="40"/>
      <c r="H293" s="39"/>
      <c r="I293" s="39"/>
      <c r="J293" s="39">
        <f>F293-E293</f>
        <v>0</v>
      </c>
      <c r="K293" s="8" t="b">
        <f t="shared" si="38"/>
        <v>1</v>
      </c>
    </row>
    <row r="294" spans="1:11">
      <c r="A294" s="5" t="s">
        <v>116</v>
      </c>
      <c r="B294" s="6">
        <v>44675</v>
      </c>
      <c r="C294" s="7">
        <v>0.55000000000000004</v>
      </c>
      <c r="D294" s="5">
        <v>10.55</v>
      </c>
      <c r="E294" s="5">
        <v>410</v>
      </c>
      <c r="F294" s="5">
        <v>420.4</v>
      </c>
      <c r="G294" s="6">
        <v>44675</v>
      </c>
      <c r="H294" s="5"/>
      <c r="I294" s="5"/>
      <c r="J294" s="5">
        <f t="shared" ref="J294:J323" si="41">F294-E294</f>
        <v>10.399999999999977</v>
      </c>
      <c r="K294" s="8" t="b">
        <f t="shared" si="38"/>
        <v>0</v>
      </c>
    </row>
    <row r="295" spans="1:11">
      <c r="A295" s="5" t="s">
        <v>116</v>
      </c>
      <c r="B295" s="6">
        <v>44676</v>
      </c>
      <c r="C295" s="7">
        <v>0.55000000000000004</v>
      </c>
      <c r="D295" s="5">
        <v>10.55</v>
      </c>
      <c r="E295" s="5">
        <v>420.4</v>
      </c>
      <c r="F295" s="5">
        <v>430.9</v>
      </c>
      <c r="G295" s="6">
        <v>44676</v>
      </c>
      <c r="H295" s="5"/>
      <c r="I295" s="5"/>
      <c r="J295" s="5">
        <f t="shared" si="41"/>
        <v>10.5</v>
      </c>
      <c r="K295" s="8" t="b">
        <f t="shared" si="38"/>
        <v>1</v>
      </c>
    </row>
    <row r="296" spans="1:11">
      <c r="A296" s="5" t="s">
        <v>116</v>
      </c>
      <c r="B296" s="6">
        <v>44678</v>
      </c>
      <c r="C296" s="7">
        <v>0.55000000000000004</v>
      </c>
      <c r="D296" s="5">
        <v>10.55</v>
      </c>
      <c r="E296" s="5">
        <v>430.9</v>
      </c>
      <c r="F296" s="5">
        <v>445.9</v>
      </c>
      <c r="G296" s="6">
        <v>44678</v>
      </c>
      <c r="H296" s="5"/>
      <c r="I296" s="5"/>
      <c r="J296" s="5">
        <f t="shared" si="41"/>
        <v>15</v>
      </c>
      <c r="K296" s="8" t="b">
        <f t="shared" si="38"/>
        <v>1</v>
      </c>
    </row>
    <row r="297" spans="1:11">
      <c r="A297" s="5" t="s">
        <v>116</v>
      </c>
      <c r="B297" s="6">
        <v>44679</v>
      </c>
      <c r="C297" s="7">
        <v>0.55000000000000004</v>
      </c>
      <c r="D297" s="5">
        <v>10.55</v>
      </c>
      <c r="E297" s="5">
        <v>445.9</v>
      </c>
      <c r="F297" s="5">
        <v>455</v>
      </c>
      <c r="G297" s="6">
        <v>44679</v>
      </c>
      <c r="H297" s="5"/>
      <c r="I297" s="5"/>
      <c r="J297" s="5">
        <f t="shared" si="41"/>
        <v>9.1000000000000227</v>
      </c>
      <c r="K297" s="8" t="b">
        <f t="shared" si="38"/>
        <v>1</v>
      </c>
    </row>
    <row r="298" spans="1:11">
      <c r="A298" s="5" t="s">
        <v>116</v>
      </c>
      <c r="B298" s="6">
        <v>44681</v>
      </c>
      <c r="C298" s="7">
        <v>0.55000000000000004</v>
      </c>
      <c r="D298" s="5">
        <v>10.55</v>
      </c>
      <c r="E298" s="5">
        <v>455</v>
      </c>
      <c r="F298" s="5">
        <v>468.5</v>
      </c>
      <c r="G298" s="6">
        <v>44681</v>
      </c>
      <c r="H298" s="5"/>
      <c r="I298" s="5"/>
      <c r="J298" s="5">
        <f t="shared" si="41"/>
        <v>13.5</v>
      </c>
      <c r="K298" s="8" t="b">
        <f t="shared" si="38"/>
        <v>1</v>
      </c>
    </row>
    <row r="299" spans="1:11">
      <c r="A299" s="5" t="s">
        <v>116</v>
      </c>
      <c r="B299" s="6">
        <v>44682</v>
      </c>
      <c r="C299" s="7">
        <v>0.55000000000000004</v>
      </c>
      <c r="D299" s="5">
        <v>10.55</v>
      </c>
      <c r="E299" s="5">
        <v>468.5</v>
      </c>
      <c r="F299" s="5">
        <v>478.9</v>
      </c>
      <c r="G299" s="6">
        <v>44682</v>
      </c>
      <c r="H299" s="5"/>
      <c r="I299" s="5"/>
      <c r="J299" s="5">
        <f t="shared" si="41"/>
        <v>10.399999999999977</v>
      </c>
      <c r="K299" s="8" t="b">
        <f>E299=F298</f>
        <v>1</v>
      </c>
    </row>
    <row r="300" spans="1:11">
      <c r="A300" s="5" t="s">
        <v>116</v>
      </c>
      <c r="B300" s="6">
        <v>44684</v>
      </c>
      <c r="C300" s="7">
        <v>0.55000000000000004</v>
      </c>
      <c r="D300" s="5">
        <v>10.55</v>
      </c>
      <c r="E300" s="5">
        <v>478.9</v>
      </c>
      <c r="F300" s="5">
        <v>489.6</v>
      </c>
      <c r="G300" s="6">
        <v>44684</v>
      </c>
      <c r="H300" s="5"/>
      <c r="I300" s="5"/>
      <c r="J300" s="5">
        <f t="shared" si="41"/>
        <v>10.700000000000045</v>
      </c>
      <c r="K300" s="8" t="b">
        <f t="shared" ref="K300:K323" si="42">E300=F299</f>
        <v>1</v>
      </c>
    </row>
    <row r="301" spans="1:11">
      <c r="A301" s="5" t="s">
        <v>116</v>
      </c>
      <c r="B301" s="6">
        <v>44685</v>
      </c>
      <c r="C301" s="7">
        <v>0.55000000000000004</v>
      </c>
      <c r="D301" s="5">
        <v>10.55</v>
      </c>
      <c r="E301" s="5">
        <v>489.6</v>
      </c>
      <c r="F301" s="5">
        <v>499.9</v>
      </c>
      <c r="G301" s="6">
        <v>44685</v>
      </c>
      <c r="H301" s="5"/>
      <c r="I301" s="5"/>
      <c r="J301" s="5">
        <f t="shared" si="41"/>
        <v>10.299999999999955</v>
      </c>
      <c r="K301" s="8" t="b">
        <f t="shared" si="42"/>
        <v>1</v>
      </c>
    </row>
    <row r="302" spans="1:11">
      <c r="A302" s="5" t="s">
        <v>116</v>
      </c>
      <c r="B302" s="6">
        <v>44687</v>
      </c>
      <c r="C302" s="7">
        <v>0.55000000000000004</v>
      </c>
      <c r="D302" s="5">
        <v>10.55</v>
      </c>
      <c r="E302" s="5">
        <v>499.9</v>
      </c>
      <c r="F302" s="5">
        <v>510.3</v>
      </c>
      <c r="G302" s="6">
        <v>44687</v>
      </c>
      <c r="H302" s="5"/>
      <c r="I302" s="5"/>
      <c r="J302" s="5">
        <f t="shared" si="41"/>
        <v>10.400000000000034</v>
      </c>
      <c r="K302" s="8" t="b">
        <f t="shared" si="42"/>
        <v>1</v>
      </c>
    </row>
    <row r="303" spans="1:11">
      <c r="A303" s="5" t="s">
        <v>116</v>
      </c>
      <c r="B303" s="6">
        <v>44688</v>
      </c>
      <c r="C303" s="7">
        <v>0.55000000000000004</v>
      </c>
      <c r="D303" s="5">
        <v>10.55</v>
      </c>
      <c r="E303" s="5">
        <v>510.3</v>
      </c>
      <c r="F303" s="5">
        <v>521.9</v>
      </c>
      <c r="G303" s="6">
        <v>44688</v>
      </c>
      <c r="H303" s="5"/>
      <c r="I303" s="5"/>
      <c r="J303" s="5">
        <f t="shared" si="41"/>
        <v>11.599999999999966</v>
      </c>
      <c r="K303" s="8" t="b">
        <f t="shared" si="42"/>
        <v>1</v>
      </c>
    </row>
    <row r="304" spans="1:11">
      <c r="A304" s="5" t="s">
        <v>116</v>
      </c>
      <c r="B304" s="6">
        <v>44691</v>
      </c>
      <c r="C304" s="7">
        <v>0.55000000000000004</v>
      </c>
      <c r="D304" s="5">
        <v>10.55</v>
      </c>
      <c r="E304" s="5">
        <v>521.9</v>
      </c>
      <c r="F304" s="5">
        <v>532.29999999999995</v>
      </c>
      <c r="G304" s="6">
        <v>44691</v>
      </c>
      <c r="H304" s="5"/>
      <c r="I304" s="5"/>
      <c r="J304" s="5">
        <f t="shared" si="41"/>
        <v>10.399999999999977</v>
      </c>
      <c r="K304" s="8" t="b">
        <f t="shared" si="42"/>
        <v>1</v>
      </c>
    </row>
    <row r="305" spans="1:11">
      <c r="A305" s="5" t="s">
        <v>116</v>
      </c>
      <c r="B305" s="6">
        <v>44692</v>
      </c>
      <c r="C305" s="7">
        <v>0.55000000000000004</v>
      </c>
      <c r="D305" s="5">
        <v>10.55</v>
      </c>
      <c r="E305" s="5">
        <v>532.29999999999995</v>
      </c>
      <c r="F305" s="5">
        <v>542.9</v>
      </c>
      <c r="G305" s="6">
        <v>44692</v>
      </c>
      <c r="H305" s="5"/>
      <c r="I305" s="5"/>
      <c r="J305" s="5">
        <f t="shared" si="41"/>
        <v>10.600000000000023</v>
      </c>
      <c r="K305" s="8" t="b">
        <f t="shared" si="42"/>
        <v>1</v>
      </c>
    </row>
    <row r="306" spans="1:11">
      <c r="A306" s="5" t="s">
        <v>116</v>
      </c>
      <c r="B306" s="6">
        <v>44694</v>
      </c>
      <c r="C306" s="7">
        <v>0.55000000000000004</v>
      </c>
      <c r="D306" s="5">
        <v>10.55</v>
      </c>
      <c r="E306" s="5">
        <v>542.9</v>
      </c>
      <c r="F306" s="5">
        <v>553</v>
      </c>
      <c r="G306" s="6">
        <v>44694</v>
      </c>
      <c r="H306" s="5"/>
      <c r="I306" s="5"/>
      <c r="J306" s="5">
        <f t="shared" si="41"/>
        <v>10.100000000000023</v>
      </c>
      <c r="K306" s="8" t="b">
        <f t="shared" si="42"/>
        <v>1</v>
      </c>
    </row>
    <row r="307" spans="1:11">
      <c r="A307" s="5" t="s">
        <v>116</v>
      </c>
      <c r="B307" s="6">
        <v>44695</v>
      </c>
      <c r="C307" s="7">
        <v>0.55000000000000004</v>
      </c>
      <c r="D307" s="5">
        <v>10.55</v>
      </c>
      <c r="E307" s="5">
        <v>553</v>
      </c>
      <c r="F307" s="5">
        <v>564.6</v>
      </c>
      <c r="G307" s="6">
        <v>44695</v>
      </c>
      <c r="H307" s="5"/>
      <c r="I307" s="5"/>
      <c r="J307" s="5">
        <f t="shared" si="41"/>
        <v>11.600000000000023</v>
      </c>
      <c r="K307" s="8" t="b">
        <f t="shared" si="42"/>
        <v>1</v>
      </c>
    </row>
    <row r="308" spans="1:11">
      <c r="A308" s="5" t="s">
        <v>116</v>
      </c>
      <c r="B308" s="6">
        <v>44697</v>
      </c>
      <c r="C308" s="7">
        <v>0.7</v>
      </c>
      <c r="D308" s="5">
        <v>8.2899999999999991</v>
      </c>
      <c r="E308" s="5">
        <v>564.6</v>
      </c>
      <c r="F308" s="5">
        <v>581.70000000000005</v>
      </c>
      <c r="G308" s="6">
        <v>44697</v>
      </c>
      <c r="H308" s="5"/>
      <c r="I308" s="5"/>
      <c r="J308" s="5">
        <f t="shared" si="41"/>
        <v>17.100000000000023</v>
      </c>
      <c r="K308" s="8" t="b">
        <f t="shared" si="42"/>
        <v>1</v>
      </c>
    </row>
    <row r="309" spans="1:11">
      <c r="A309" s="5" t="s">
        <v>116</v>
      </c>
      <c r="B309" s="6">
        <v>44699</v>
      </c>
      <c r="C309" s="7">
        <v>0.7</v>
      </c>
      <c r="D309" s="5">
        <v>8.2899999999999991</v>
      </c>
      <c r="E309" s="5">
        <v>581.70000000000005</v>
      </c>
      <c r="F309" s="5">
        <v>599</v>
      </c>
      <c r="G309" s="6">
        <v>44699</v>
      </c>
      <c r="H309" s="5"/>
      <c r="I309" s="5"/>
      <c r="J309" s="5">
        <f t="shared" si="41"/>
        <v>17.299999999999955</v>
      </c>
      <c r="K309" s="8" t="b">
        <f t="shared" si="42"/>
        <v>1</v>
      </c>
    </row>
    <row r="310" spans="1:11">
      <c r="A310" s="5" t="s">
        <v>116</v>
      </c>
      <c r="B310" s="6">
        <v>44701</v>
      </c>
      <c r="C310" s="7">
        <v>0.7</v>
      </c>
      <c r="D310" s="5">
        <v>8.2899999999999991</v>
      </c>
      <c r="E310" s="5">
        <v>599</v>
      </c>
      <c r="F310" s="5">
        <v>616</v>
      </c>
      <c r="G310" s="6">
        <v>44701</v>
      </c>
      <c r="H310" s="5"/>
      <c r="I310" s="5"/>
      <c r="J310" s="5">
        <f t="shared" si="41"/>
        <v>17</v>
      </c>
      <c r="K310" s="8" t="b">
        <f t="shared" si="42"/>
        <v>1</v>
      </c>
    </row>
    <row r="311" spans="1:11">
      <c r="A311" s="5" t="s">
        <v>116</v>
      </c>
      <c r="B311" s="6">
        <v>44704</v>
      </c>
      <c r="C311" s="7">
        <v>0.7</v>
      </c>
      <c r="D311" s="5">
        <v>8.2899999999999991</v>
      </c>
      <c r="E311" s="5">
        <v>616</v>
      </c>
      <c r="F311" s="5">
        <v>633.20000000000005</v>
      </c>
      <c r="G311" s="6">
        <v>44704</v>
      </c>
      <c r="H311" s="5"/>
      <c r="I311" s="5"/>
      <c r="J311" s="5">
        <f t="shared" si="41"/>
        <v>17.200000000000045</v>
      </c>
      <c r="K311" s="8" t="b">
        <f t="shared" si="42"/>
        <v>1</v>
      </c>
    </row>
    <row r="312" spans="1:11">
      <c r="A312" s="5" t="s">
        <v>116</v>
      </c>
      <c r="B312" s="6">
        <v>44706</v>
      </c>
      <c r="C312" s="7">
        <v>0.7</v>
      </c>
      <c r="D312" s="5">
        <v>8.2899999999999991</v>
      </c>
      <c r="E312" s="5">
        <v>633.20000000000005</v>
      </c>
      <c r="F312" s="5">
        <v>650.29999999999995</v>
      </c>
      <c r="G312" s="6">
        <v>44706</v>
      </c>
      <c r="H312" s="5"/>
      <c r="I312" s="5"/>
      <c r="J312" s="5">
        <f t="shared" si="41"/>
        <v>17.099999999999909</v>
      </c>
      <c r="K312" s="8" t="b">
        <f t="shared" si="42"/>
        <v>1</v>
      </c>
    </row>
    <row r="313" spans="1:11">
      <c r="A313" s="5" t="s">
        <v>116</v>
      </c>
      <c r="B313" s="6">
        <v>44708</v>
      </c>
      <c r="C313" s="7">
        <v>0.7</v>
      </c>
      <c r="D313" s="5">
        <v>8.2899999999999991</v>
      </c>
      <c r="E313" s="5">
        <v>650.29999999999995</v>
      </c>
      <c r="F313" s="5">
        <v>667.3</v>
      </c>
      <c r="G313" s="6">
        <v>44708</v>
      </c>
      <c r="H313" s="5"/>
      <c r="I313" s="5"/>
      <c r="J313" s="5">
        <f t="shared" si="41"/>
        <v>17</v>
      </c>
      <c r="K313" s="8" t="b">
        <f t="shared" si="42"/>
        <v>1</v>
      </c>
    </row>
    <row r="314" spans="1:11">
      <c r="A314" s="5" t="s">
        <v>116</v>
      </c>
      <c r="B314" s="6">
        <v>44710</v>
      </c>
      <c r="C314" s="7">
        <v>0.7</v>
      </c>
      <c r="D314" s="5">
        <v>8.2899999999999991</v>
      </c>
      <c r="E314" s="5">
        <v>0.1</v>
      </c>
      <c r="F314" s="5">
        <v>17</v>
      </c>
      <c r="G314" s="6">
        <v>44710</v>
      </c>
      <c r="H314" s="5"/>
      <c r="I314" s="5"/>
      <c r="J314" s="5">
        <f t="shared" si="41"/>
        <v>16.899999999999999</v>
      </c>
      <c r="K314" s="8" t="b">
        <f t="shared" si="42"/>
        <v>0</v>
      </c>
    </row>
    <row r="315" spans="1:11">
      <c r="A315" s="5" t="s">
        <v>116</v>
      </c>
      <c r="B315" s="6">
        <v>44712</v>
      </c>
      <c r="C315" s="7">
        <v>0.7</v>
      </c>
      <c r="D315" s="5">
        <v>8.2899999999999991</v>
      </c>
      <c r="E315" s="5">
        <v>17</v>
      </c>
      <c r="F315" s="5">
        <v>33.299999999999997</v>
      </c>
      <c r="G315" s="6">
        <v>44712</v>
      </c>
      <c r="H315" s="5"/>
      <c r="I315" s="5"/>
      <c r="J315" s="5">
        <f t="shared" si="41"/>
        <v>16.299999999999997</v>
      </c>
      <c r="K315" s="8" t="b">
        <f t="shared" si="42"/>
        <v>1</v>
      </c>
    </row>
    <row r="316" spans="1:11">
      <c r="A316" s="5" t="s">
        <v>116</v>
      </c>
      <c r="B316" s="6">
        <v>44714</v>
      </c>
      <c r="C316" s="7">
        <v>0.7</v>
      </c>
      <c r="D316" s="5">
        <v>8.2899999999999991</v>
      </c>
      <c r="E316" s="5">
        <v>33.299999999999997</v>
      </c>
      <c r="F316" s="5">
        <v>49.8</v>
      </c>
      <c r="G316" s="6">
        <v>44714</v>
      </c>
      <c r="H316" s="5"/>
      <c r="I316" s="5"/>
      <c r="J316" s="5">
        <f t="shared" si="41"/>
        <v>16.5</v>
      </c>
      <c r="K316" s="8" t="b">
        <f t="shared" si="42"/>
        <v>1</v>
      </c>
    </row>
    <row r="317" spans="1:11">
      <c r="A317" s="5" t="s">
        <v>116</v>
      </c>
      <c r="B317" s="6">
        <v>44716</v>
      </c>
      <c r="C317" s="7">
        <v>0.7</v>
      </c>
      <c r="D317" s="5">
        <v>8.2899999999999991</v>
      </c>
      <c r="E317" s="5">
        <v>49.8</v>
      </c>
      <c r="F317" s="5">
        <v>66.7</v>
      </c>
      <c r="G317" s="6">
        <v>44716</v>
      </c>
      <c r="H317" s="5"/>
      <c r="I317" s="5"/>
      <c r="J317" s="5">
        <f t="shared" si="41"/>
        <v>16.900000000000006</v>
      </c>
      <c r="K317" s="8" t="b">
        <f t="shared" si="42"/>
        <v>1</v>
      </c>
    </row>
    <row r="318" spans="1:11">
      <c r="A318" s="5" t="s">
        <v>116</v>
      </c>
      <c r="B318" s="6">
        <v>44718</v>
      </c>
      <c r="C318" s="7">
        <v>0.7</v>
      </c>
      <c r="D318" s="5">
        <v>8.2899999999999991</v>
      </c>
      <c r="E318" s="5">
        <v>66.7</v>
      </c>
      <c r="F318" s="5">
        <v>82.5</v>
      </c>
      <c r="G318" s="6">
        <v>44718</v>
      </c>
      <c r="H318" s="5"/>
      <c r="I318" s="5"/>
      <c r="J318" s="5">
        <f t="shared" si="41"/>
        <v>15.799999999999997</v>
      </c>
      <c r="K318" s="8" t="b">
        <f t="shared" si="42"/>
        <v>1</v>
      </c>
    </row>
    <row r="319" spans="1:11">
      <c r="A319" s="5" t="s">
        <v>116</v>
      </c>
      <c r="B319" s="6">
        <v>44720</v>
      </c>
      <c r="C319" s="7">
        <v>0.6</v>
      </c>
      <c r="D319" s="5">
        <v>9.67</v>
      </c>
      <c r="E319" s="5">
        <v>82.5</v>
      </c>
      <c r="F319" s="5">
        <v>108.4</v>
      </c>
      <c r="G319" s="6">
        <v>44720</v>
      </c>
      <c r="H319" s="5"/>
      <c r="I319" s="5"/>
      <c r="J319" s="5">
        <f t="shared" si="41"/>
        <v>25.900000000000006</v>
      </c>
      <c r="K319" s="8" t="b">
        <f t="shared" si="42"/>
        <v>1</v>
      </c>
    </row>
    <row r="320" spans="1:11">
      <c r="A320" s="5" t="s">
        <v>116</v>
      </c>
      <c r="B320" s="6">
        <v>44723</v>
      </c>
      <c r="C320" s="7">
        <v>0.6</v>
      </c>
      <c r="D320" s="5">
        <v>9.67</v>
      </c>
      <c r="E320" s="5">
        <v>108.4</v>
      </c>
      <c r="F320" s="5">
        <v>121.4</v>
      </c>
      <c r="G320" s="6">
        <v>44723</v>
      </c>
      <c r="H320" s="5"/>
      <c r="I320" s="5"/>
      <c r="J320" s="5">
        <f t="shared" si="41"/>
        <v>13</v>
      </c>
      <c r="K320" s="8" t="b">
        <f t="shared" si="42"/>
        <v>1</v>
      </c>
    </row>
    <row r="321" spans="1:11">
      <c r="A321" s="5" t="s">
        <v>116</v>
      </c>
      <c r="B321" s="6">
        <v>44727</v>
      </c>
      <c r="C321" s="7">
        <v>0.6</v>
      </c>
      <c r="D321" s="5">
        <v>9.67</v>
      </c>
      <c r="E321" s="5">
        <v>121.4</v>
      </c>
      <c r="F321" s="5">
        <v>140.5</v>
      </c>
      <c r="G321" s="6">
        <v>44727</v>
      </c>
      <c r="H321" s="5"/>
      <c r="I321" s="5"/>
      <c r="J321" s="5">
        <f t="shared" si="41"/>
        <v>19.099999999999994</v>
      </c>
      <c r="K321" s="8" t="b">
        <f t="shared" si="42"/>
        <v>1</v>
      </c>
    </row>
    <row r="322" spans="1:11">
      <c r="A322" s="5" t="s">
        <v>116</v>
      </c>
      <c r="B322" s="6"/>
      <c r="C322" s="7"/>
      <c r="D322" s="5"/>
      <c r="E322" s="5"/>
      <c r="F322" s="5"/>
      <c r="G322" s="6"/>
      <c r="H322" s="5"/>
      <c r="I322" s="5"/>
      <c r="J322" s="5">
        <f t="shared" si="41"/>
        <v>0</v>
      </c>
      <c r="K322" s="8" t="b">
        <f t="shared" si="42"/>
        <v>0</v>
      </c>
    </row>
    <row r="323" spans="1:11">
      <c r="A323" s="5" t="s">
        <v>116</v>
      </c>
      <c r="B323" s="6"/>
      <c r="C323" s="7"/>
      <c r="D323" s="5"/>
      <c r="E323" s="5"/>
      <c r="F323" s="5"/>
      <c r="G323" s="6"/>
      <c r="H323" s="5"/>
      <c r="I323" s="5"/>
      <c r="J323" s="5">
        <f t="shared" si="41"/>
        <v>0</v>
      </c>
      <c r="K323" s="8" t="b">
        <f t="shared" si="42"/>
        <v>1</v>
      </c>
    </row>
    <row r="325" spans="1:11" ht="26.25">
      <c r="A325" s="135" t="s">
        <v>100</v>
      </c>
      <c r="B325" s="136"/>
      <c r="C325" s="136"/>
      <c r="D325" s="136"/>
      <c r="E325" s="136"/>
      <c r="F325" s="136"/>
      <c r="G325" s="136"/>
      <c r="H325" s="136"/>
      <c r="I325" s="136"/>
      <c r="J325" s="136"/>
      <c r="K325" s="137"/>
    </row>
    <row r="326" spans="1:11" ht="26.25">
      <c r="A326" s="138" t="s">
        <v>69</v>
      </c>
      <c r="B326" s="139"/>
      <c r="C326" s="139"/>
      <c r="D326" s="139"/>
      <c r="E326" s="139"/>
      <c r="F326" s="139"/>
      <c r="G326" s="139"/>
      <c r="H326" s="139"/>
      <c r="I326" s="139"/>
      <c r="J326" s="139"/>
      <c r="K326" s="140"/>
    </row>
    <row r="327" spans="1:11" ht="15.75" thickBot="1"/>
    <row r="328" spans="1:11" ht="15.75" thickBot="1">
      <c r="A328" s="132" t="s">
        <v>2</v>
      </c>
      <c r="B328" s="133"/>
      <c r="C328" s="133"/>
      <c r="D328" s="133"/>
      <c r="E328" s="133"/>
      <c r="F328" s="133"/>
      <c r="G328" s="133"/>
      <c r="H328" s="133"/>
      <c r="I328" s="133"/>
      <c r="J328" s="133"/>
      <c r="K328" s="134"/>
    </row>
    <row r="330" spans="1:11" ht="19.5" thickBot="1">
      <c r="A330" s="1" t="s">
        <v>3</v>
      </c>
      <c r="B330" s="1"/>
      <c r="C330" s="1"/>
      <c r="D330" s="1"/>
      <c r="E330" s="1"/>
      <c r="F330" s="1"/>
      <c r="G330" s="1"/>
      <c r="H330" s="1"/>
      <c r="I330" s="1"/>
    </row>
    <row r="331" spans="1:11" ht="30.75" thickBot="1">
      <c r="A331" s="2" t="s">
        <v>4</v>
      </c>
      <c r="B331" s="3" t="s">
        <v>5</v>
      </c>
      <c r="C331" s="3" t="s">
        <v>6</v>
      </c>
      <c r="D331" s="3" t="s">
        <v>7</v>
      </c>
      <c r="E331" s="3" t="s">
        <v>8</v>
      </c>
      <c r="F331" s="3" t="s">
        <v>9</v>
      </c>
      <c r="G331" s="3" t="s">
        <v>10</v>
      </c>
      <c r="H331" s="3" t="s">
        <v>21</v>
      </c>
      <c r="I331" s="4" t="s">
        <v>22</v>
      </c>
      <c r="J331" s="4" t="s">
        <v>11</v>
      </c>
      <c r="K331" s="4" t="s">
        <v>12</v>
      </c>
    </row>
    <row r="332" spans="1:11">
      <c r="A332" s="5" t="s">
        <v>116</v>
      </c>
      <c r="B332" s="6">
        <v>44772</v>
      </c>
      <c r="C332" s="7">
        <v>0.5</v>
      </c>
      <c r="D332" s="5">
        <v>11.6</v>
      </c>
      <c r="E332" s="5">
        <v>0</v>
      </c>
      <c r="F332" s="5">
        <v>24.3</v>
      </c>
      <c r="G332" s="6">
        <v>44772</v>
      </c>
      <c r="H332" s="5"/>
      <c r="I332" s="5"/>
      <c r="J332" s="5">
        <f>F332-E332</f>
        <v>24.3</v>
      </c>
      <c r="K332" s="8" t="b">
        <f>F332=E333</f>
        <v>1</v>
      </c>
    </row>
    <row r="333" spans="1:11">
      <c r="A333" s="5" t="s">
        <v>116</v>
      </c>
      <c r="B333" s="6">
        <v>44773</v>
      </c>
      <c r="C333" s="7">
        <v>0.5</v>
      </c>
      <c r="D333" s="5">
        <v>11.6</v>
      </c>
      <c r="E333" s="5">
        <v>24.3</v>
      </c>
      <c r="F333" s="5">
        <v>44.7</v>
      </c>
      <c r="G333" s="6">
        <v>44773</v>
      </c>
      <c r="H333" s="5"/>
      <c r="I333" s="5"/>
      <c r="J333" s="5">
        <f>F333-E333</f>
        <v>20.400000000000002</v>
      </c>
      <c r="K333" s="8" t="b">
        <f>E333=F332</f>
        <v>1</v>
      </c>
    </row>
    <row r="334" spans="1:11">
      <c r="A334" s="5" t="s">
        <v>116</v>
      </c>
      <c r="B334" s="6">
        <v>44808</v>
      </c>
      <c r="C334" s="7">
        <v>0.5</v>
      </c>
      <c r="D334" s="5">
        <v>11.6</v>
      </c>
      <c r="E334" s="5">
        <v>44.7</v>
      </c>
      <c r="F334" s="5">
        <v>67.7</v>
      </c>
      <c r="G334" s="6">
        <v>44808</v>
      </c>
      <c r="H334" s="5"/>
      <c r="I334" s="5"/>
      <c r="J334" s="5">
        <f>F334-E334</f>
        <v>23</v>
      </c>
      <c r="K334" s="8" t="b">
        <f t="shared" ref="K334:K367" si="43">E334=F333</f>
        <v>1</v>
      </c>
    </row>
    <row r="335" spans="1:11">
      <c r="A335" s="5" t="s">
        <v>116</v>
      </c>
      <c r="B335" s="6">
        <v>44813</v>
      </c>
      <c r="C335" s="7">
        <v>0.5</v>
      </c>
      <c r="D335" s="5">
        <v>11.6</v>
      </c>
      <c r="E335" s="5">
        <v>67.7</v>
      </c>
      <c r="F335" s="5">
        <v>90</v>
      </c>
      <c r="G335" s="6">
        <v>44813</v>
      </c>
      <c r="H335" s="5"/>
      <c r="I335" s="5"/>
      <c r="J335" s="5">
        <f>F335-E335</f>
        <v>22.299999999999997</v>
      </c>
      <c r="K335" s="8" t="b">
        <f t="shared" si="43"/>
        <v>1</v>
      </c>
    </row>
    <row r="336" spans="1:11">
      <c r="A336" s="5" t="s">
        <v>116</v>
      </c>
      <c r="B336" s="6">
        <v>44814</v>
      </c>
      <c r="C336" s="7">
        <v>0.5</v>
      </c>
      <c r="D336" s="5">
        <v>11.6</v>
      </c>
      <c r="E336" s="5">
        <v>90</v>
      </c>
      <c r="F336" s="5">
        <v>113.4</v>
      </c>
      <c r="G336" s="6">
        <v>44814</v>
      </c>
      <c r="H336" s="5"/>
      <c r="I336" s="5"/>
      <c r="J336" s="5">
        <f>F336-E336</f>
        <v>23.400000000000006</v>
      </c>
      <c r="K336" s="8" t="b">
        <f t="shared" si="43"/>
        <v>1</v>
      </c>
    </row>
    <row r="337" spans="1:11">
      <c r="A337" s="5" t="s">
        <v>116</v>
      </c>
      <c r="B337" s="6">
        <v>44832</v>
      </c>
      <c r="C337" s="7">
        <v>1</v>
      </c>
      <c r="D337" s="5">
        <v>5.8</v>
      </c>
      <c r="E337" s="5">
        <v>113.4</v>
      </c>
      <c r="F337" s="5">
        <v>125.3</v>
      </c>
      <c r="G337" s="6">
        <v>44832</v>
      </c>
      <c r="H337" s="5"/>
      <c r="I337" s="5"/>
      <c r="J337" s="5">
        <f t="shared" ref="J337:J349" si="44">F337-E337</f>
        <v>11.899999999999991</v>
      </c>
      <c r="K337" s="8" t="b">
        <f t="shared" si="43"/>
        <v>1</v>
      </c>
    </row>
    <row r="338" spans="1:11">
      <c r="A338" s="5" t="s">
        <v>116</v>
      </c>
      <c r="B338" s="6">
        <v>44835</v>
      </c>
      <c r="C338" s="7">
        <v>0.5</v>
      </c>
      <c r="D338" s="5">
        <v>11.6</v>
      </c>
      <c r="E338" s="5">
        <v>125.3</v>
      </c>
      <c r="F338" s="5">
        <v>148.5</v>
      </c>
      <c r="G338" s="6">
        <v>44835</v>
      </c>
      <c r="H338" s="5"/>
      <c r="I338" s="5"/>
      <c r="J338" s="5">
        <f t="shared" si="44"/>
        <v>23.200000000000003</v>
      </c>
      <c r="K338" s="8" t="b">
        <f t="shared" si="43"/>
        <v>1</v>
      </c>
    </row>
    <row r="339" spans="1:11">
      <c r="A339" s="5" t="s">
        <v>116</v>
      </c>
      <c r="B339" s="6">
        <v>44836</v>
      </c>
      <c r="C339" s="7">
        <v>0.5</v>
      </c>
      <c r="D339" s="5">
        <v>11.6</v>
      </c>
      <c r="E339" s="5">
        <v>148.5</v>
      </c>
      <c r="F339" s="5">
        <v>171.7</v>
      </c>
      <c r="G339" s="6">
        <v>44836</v>
      </c>
      <c r="H339" s="5"/>
      <c r="I339" s="5"/>
      <c r="J339" s="5">
        <f t="shared" si="44"/>
        <v>23.199999999999989</v>
      </c>
      <c r="K339" s="8" t="b">
        <f t="shared" si="43"/>
        <v>1</v>
      </c>
    </row>
    <row r="340" spans="1:11">
      <c r="A340" s="5" t="s">
        <v>116</v>
      </c>
      <c r="B340" s="6">
        <v>44837</v>
      </c>
      <c r="C340" s="7">
        <v>1</v>
      </c>
      <c r="D340" s="5">
        <v>5.8</v>
      </c>
      <c r="E340" s="5">
        <v>171.7</v>
      </c>
      <c r="F340" s="5">
        <v>183.2</v>
      </c>
      <c r="G340" s="6">
        <v>44837</v>
      </c>
      <c r="H340" s="5"/>
      <c r="I340" s="5"/>
      <c r="J340" s="5">
        <f t="shared" si="44"/>
        <v>11.5</v>
      </c>
      <c r="K340" s="8" t="b">
        <f t="shared" si="43"/>
        <v>1</v>
      </c>
    </row>
    <row r="341" spans="1:11">
      <c r="A341" s="5" t="s">
        <v>116</v>
      </c>
      <c r="B341" s="6">
        <v>44838</v>
      </c>
      <c r="C341" s="7">
        <v>1</v>
      </c>
      <c r="D341" s="5">
        <v>5.8</v>
      </c>
      <c r="E341" s="5">
        <v>183.2</v>
      </c>
      <c r="F341" s="5">
        <v>194.8</v>
      </c>
      <c r="G341" s="6">
        <v>44838</v>
      </c>
      <c r="H341" s="5"/>
      <c r="I341" s="5"/>
      <c r="J341" s="5">
        <f t="shared" si="44"/>
        <v>11.600000000000023</v>
      </c>
      <c r="K341" s="8" t="b">
        <f t="shared" si="43"/>
        <v>1</v>
      </c>
    </row>
    <row r="342" spans="1:11">
      <c r="A342" s="5" t="s">
        <v>116</v>
      </c>
      <c r="B342" s="6">
        <v>44839</v>
      </c>
      <c r="C342" s="7">
        <v>1</v>
      </c>
      <c r="D342" s="5">
        <v>5.8</v>
      </c>
      <c r="E342" s="5">
        <v>194.8</v>
      </c>
      <c r="F342" s="5">
        <v>208.4</v>
      </c>
      <c r="G342" s="6">
        <v>44839</v>
      </c>
      <c r="H342" s="5"/>
      <c r="I342" s="5"/>
      <c r="J342" s="5">
        <f t="shared" si="44"/>
        <v>13.599999999999994</v>
      </c>
      <c r="K342" s="8" t="b">
        <f t="shared" si="43"/>
        <v>1</v>
      </c>
    </row>
    <row r="343" spans="1:11">
      <c r="A343" s="5" t="s">
        <v>116</v>
      </c>
      <c r="B343" s="6">
        <v>44840</v>
      </c>
      <c r="C343" s="7">
        <v>1</v>
      </c>
      <c r="D343" s="5">
        <v>5.8</v>
      </c>
      <c r="E343" s="5">
        <v>208.4</v>
      </c>
      <c r="F343" s="5">
        <v>220.1</v>
      </c>
      <c r="G343" s="6">
        <v>44840</v>
      </c>
      <c r="H343" s="5"/>
      <c r="I343" s="5"/>
      <c r="J343" s="5">
        <f t="shared" si="44"/>
        <v>11.699999999999989</v>
      </c>
      <c r="K343" s="8" t="b">
        <f t="shared" si="43"/>
        <v>1</v>
      </c>
    </row>
    <row r="344" spans="1:11">
      <c r="A344" s="5" t="s">
        <v>116</v>
      </c>
      <c r="B344" s="6">
        <v>44843</v>
      </c>
      <c r="C344" s="7">
        <v>0.8</v>
      </c>
      <c r="D344" s="5">
        <v>7.25</v>
      </c>
      <c r="E344" s="5">
        <v>220.1</v>
      </c>
      <c r="F344" s="5">
        <v>232.5</v>
      </c>
      <c r="G344" s="6">
        <v>44843</v>
      </c>
      <c r="H344" s="5"/>
      <c r="I344" s="5"/>
      <c r="J344" s="5">
        <f t="shared" si="44"/>
        <v>12.400000000000006</v>
      </c>
      <c r="K344" s="8" t="b">
        <f t="shared" si="43"/>
        <v>1</v>
      </c>
    </row>
    <row r="345" spans="1:11">
      <c r="A345" s="5" t="s">
        <v>116</v>
      </c>
      <c r="B345" s="6">
        <v>44845</v>
      </c>
      <c r="C345" s="7">
        <v>1</v>
      </c>
      <c r="D345" s="5">
        <v>5.8</v>
      </c>
      <c r="E345" s="5">
        <v>232.5</v>
      </c>
      <c r="F345" s="5">
        <v>248.6</v>
      </c>
      <c r="G345" s="6">
        <v>44845</v>
      </c>
      <c r="H345" s="5"/>
      <c r="I345" s="5"/>
      <c r="J345" s="5">
        <f t="shared" si="44"/>
        <v>16.099999999999994</v>
      </c>
      <c r="K345" s="8" t="b">
        <f t="shared" si="43"/>
        <v>1</v>
      </c>
    </row>
    <row r="346" spans="1:11">
      <c r="A346" s="5" t="s">
        <v>116</v>
      </c>
      <c r="B346" s="6">
        <v>44847</v>
      </c>
      <c r="C346" s="7">
        <v>1</v>
      </c>
      <c r="D346" s="5">
        <v>5.8</v>
      </c>
      <c r="E346" s="5">
        <v>248.6</v>
      </c>
      <c r="F346" s="5">
        <v>255.6</v>
      </c>
      <c r="G346" s="6">
        <v>44847</v>
      </c>
      <c r="H346" s="5"/>
      <c r="I346" s="5"/>
      <c r="J346" s="5">
        <f t="shared" si="44"/>
        <v>7</v>
      </c>
      <c r="K346" s="8" t="b">
        <f t="shared" si="43"/>
        <v>1</v>
      </c>
    </row>
    <row r="347" spans="1:11">
      <c r="A347" s="5" t="s">
        <v>116</v>
      </c>
      <c r="B347" s="6">
        <v>44848</v>
      </c>
      <c r="C347" s="7">
        <v>1</v>
      </c>
      <c r="D347" s="5">
        <v>5.8</v>
      </c>
      <c r="E347" s="5">
        <v>255.6</v>
      </c>
      <c r="F347" s="5">
        <v>267.3</v>
      </c>
      <c r="G347" s="6">
        <v>44848</v>
      </c>
      <c r="H347" s="5"/>
      <c r="I347" s="5"/>
      <c r="J347" s="5">
        <f t="shared" si="44"/>
        <v>11.700000000000017</v>
      </c>
      <c r="K347" s="8" t="b">
        <f t="shared" si="43"/>
        <v>1</v>
      </c>
    </row>
    <row r="348" spans="1:11">
      <c r="A348" s="5" t="s">
        <v>116</v>
      </c>
      <c r="B348" s="6">
        <v>44849</v>
      </c>
      <c r="C348" s="7">
        <v>1</v>
      </c>
      <c r="D348" s="5">
        <v>5.8</v>
      </c>
      <c r="E348" s="5">
        <v>0.1</v>
      </c>
      <c r="F348" s="5">
        <v>12.1</v>
      </c>
      <c r="G348" s="6">
        <v>44849</v>
      </c>
      <c r="H348" s="5"/>
      <c r="I348" s="5"/>
      <c r="J348" s="5">
        <f t="shared" si="44"/>
        <v>12</v>
      </c>
      <c r="K348" s="8" t="b">
        <f t="shared" si="43"/>
        <v>0</v>
      </c>
    </row>
    <row r="349" spans="1:11">
      <c r="A349" s="5" t="s">
        <v>116</v>
      </c>
      <c r="B349" s="6">
        <v>44850</v>
      </c>
      <c r="C349" s="7">
        <v>1</v>
      </c>
      <c r="D349" s="5">
        <v>5.8</v>
      </c>
      <c r="E349" s="5">
        <v>12.1</v>
      </c>
      <c r="F349" s="5">
        <v>24.1</v>
      </c>
      <c r="G349" s="6">
        <v>44850</v>
      </c>
      <c r="H349" s="5"/>
      <c r="I349" s="5"/>
      <c r="J349" s="5">
        <f t="shared" si="44"/>
        <v>12.000000000000002</v>
      </c>
      <c r="K349" s="8" t="b">
        <f t="shared" si="43"/>
        <v>1</v>
      </c>
    </row>
    <row r="350" spans="1:11">
      <c r="A350" s="5" t="s">
        <v>116</v>
      </c>
      <c r="B350" s="6">
        <v>44852</v>
      </c>
      <c r="C350" s="7">
        <v>1</v>
      </c>
      <c r="D350" s="5">
        <v>5.8</v>
      </c>
      <c r="E350" s="5">
        <v>24.1</v>
      </c>
      <c r="F350" s="5">
        <v>36.299999999999997</v>
      </c>
      <c r="G350" s="6">
        <v>44852</v>
      </c>
      <c r="H350" s="5"/>
      <c r="I350" s="5"/>
      <c r="J350" s="5">
        <f t="shared" ref="J350:J367" si="45">F350-E350</f>
        <v>12.199999999999996</v>
      </c>
      <c r="K350" s="8" t="b">
        <f t="shared" si="43"/>
        <v>1</v>
      </c>
    </row>
    <row r="351" spans="1:11">
      <c r="A351" s="5" t="s">
        <v>116</v>
      </c>
      <c r="B351" s="6">
        <v>44853</v>
      </c>
      <c r="C351" s="7">
        <v>0.7</v>
      </c>
      <c r="D351" s="5">
        <v>8.2899999999999991</v>
      </c>
      <c r="E351" s="5">
        <v>36.299999999999997</v>
      </c>
      <c r="F351" s="5">
        <v>53.1</v>
      </c>
      <c r="G351" s="6">
        <v>44853</v>
      </c>
      <c r="H351" s="5"/>
      <c r="I351" s="5"/>
      <c r="J351" s="5">
        <f t="shared" si="45"/>
        <v>16.800000000000004</v>
      </c>
      <c r="K351" s="8" t="b">
        <f t="shared" si="43"/>
        <v>1</v>
      </c>
    </row>
    <row r="352" spans="1:11">
      <c r="A352" s="5" t="s">
        <v>116</v>
      </c>
      <c r="B352" s="6">
        <v>44855</v>
      </c>
      <c r="C352" s="7">
        <v>1</v>
      </c>
      <c r="D352" s="5">
        <v>5.8</v>
      </c>
      <c r="E352" s="5">
        <v>53.1</v>
      </c>
      <c r="F352" s="5">
        <v>65.900000000000006</v>
      </c>
      <c r="G352" s="6">
        <v>44855</v>
      </c>
      <c r="H352" s="5"/>
      <c r="I352" s="5"/>
      <c r="J352" s="5">
        <f t="shared" si="45"/>
        <v>12.800000000000004</v>
      </c>
      <c r="K352" s="8" t="b">
        <f t="shared" si="43"/>
        <v>1</v>
      </c>
    </row>
    <row r="353" spans="1:11">
      <c r="A353" s="5" t="s">
        <v>116</v>
      </c>
      <c r="B353" s="6">
        <v>44857</v>
      </c>
      <c r="C353" s="7">
        <v>0.7</v>
      </c>
      <c r="D353" s="5">
        <v>8.2899999999999991</v>
      </c>
      <c r="E353" s="5">
        <v>65.900000000000006</v>
      </c>
      <c r="F353" s="5">
        <v>82.9</v>
      </c>
      <c r="G353" s="6">
        <v>44857</v>
      </c>
      <c r="H353" s="5"/>
      <c r="I353" s="5"/>
      <c r="J353" s="5">
        <f t="shared" si="45"/>
        <v>17</v>
      </c>
      <c r="K353" s="8" t="b">
        <f t="shared" si="43"/>
        <v>1</v>
      </c>
    </row>
    <row r="354" spans="1:11">
      <c r="A354" s="5" t="s">
        <v>116</v>
      </c>
      <c r="B354" s="6">
        <v>44859</v>
      </c>
      <c r="C354" s="7">
        <v>0.7</v>
      </c>
      <c r="D354" s="5">
        <v>8.2899999999999991</v>
      </c>
      <c r="E354" s="5">
        <v>82.9</v>
      </c>
      <c r="F354" s="5">
        <v>99.9</v>
      </c>
      <c r="G354" s="6">
        <v>44859</v>
      </c>
      <c r="H354" s="5"/>
      <c r="I354" s="5"/>
      <c r="J354" s="5">
        <f t="shared" si="45"/>
        <v>17</v>
      </c>
      <c r="K354" s="8" t="b">
        <f t="shared" si="43"/>
        <v>1</v>
      </c>
    </row>
    <row r="355" spans="1:11">
      <c r="A355" s="5" t="s">
        <v>116</v>
      </c>
      <c r="B355" s="6">
        <v>44861</v>
      </c>
      <c r="C355" s="7">
        <v>0.7</v>
      </c>
      <c r="D355" s="5">
        <v>8.2899999999999991</v>
      </c>
      <c r="E355" s="5">
        <v>99.9</v>
      </c>
      <c r="F355" s="5">
        <v>117.3</v>
      </c>
      <c r="G355" s="6">
        <v>44861</v>
      </c>
      <c r="H355" s="5"/>
      <c r="I355" s="5"/>
      <c r="J355" s="5">
        <f t="shared" si="45"/>
        <v>17.399999999999991</v>
      </c>
      <c r="K355" s="8" t="b">
        <f t="shared" si="43"/>
        <v>1</v>
      </c>
    </row>
    <row r="356" spans="1:11">
      <c r="A356" s="5" t="s">
        <v>116</v>
      </c>
      <c r="B356" s="6">
        <v>44863</v>
      </c>
      <c r="C356" s="7">
        <v>1</v>
      </c>
      <c r="D356" s="5">
        <v>5.8</v>
      </c>
      <c r="E356" s="5">
        <v>117.3</v>
      </c>
      <c r="F356" s="5">
        <v>130</v>
      </c>
      <c r="G356" s="6">
        <v>44863</v>
      </c>
      <c r="H356" s="5"/>
      <c r="I356" s="5"/>
      <c r="J356" s="5">
        <f t="shared" si="45"/>
        <v>12.700000000000003</v>
      </c>
      <c r="K356" s="8" t="b">
        <f t="shared" si="43"/>
        <v>1</v>
      </c>
    </row>
    <row r="357" spans="1:11">
      <c r="A357" s="5" t="s">
        <v>116</v>
      </c>
      <c r="B357" s="6">
        <v>44865</v>
      </c>
      <c r="C357" s="7">
        <v>0.7</v>
      </c>
      <c r="D357" s="5">
        <v>8.2899999999999991</v>
      </c>
      <c r="E357" s="5">
        <v>130</v>
      </c>
      <c r="F357" s="5">
        <v>144</v>
      </c>
      <c r="G357" s="6">
        <v>44865</v>
      </c>
      <c r="H357" s="5"/>
      <c r="I357" s="5"/>
      <c r="J357" s="5">
        <f t="shared" si="45"/>
        <v>14</v>
      </c>
      <c r="K357" s="8" t="b">
        <f t="shared" si="43"/>
        <v>1</v>
      </c>
    </row>
    <row r="358" spans="1:11">
      <c r="A358" s="5" t="s">
        <v>116</v>
      </c>
      <c r="B358" s="6">
        <v>44871</v>
      </c>
      <c r="C358" s="7">
        <v>0.8</v>
      </c>
      <c r="D358" s="5">
        <v>7.34</v>
      </c>
      <c r="E358" s="5">
        <v>144</v>
      </c>
      <c r="F358" s="5">
        <v>158.9</v>
      </c>
      <c r="G358" s="6">
        <v>44871</v>
      </c>
      <c r="H358" s="5"/>
      <c r="I358" s="5"/>
      <c r="J358" s="5">
        <f t="shared" si="45"/>
        <v>14.900000000000006</v>
      </c>
      <c r="K358" s="8" t="b">
        <f t="shared" si="43"/>
        <v>1</v>
      </c>
    </row>
    <row r="359" spans="1:11">
      <c r="A359" s="5" t="s">
        <v>116</v>
      </c>
      <c r="B359" s="6">
        <v>44873</v>
      </c>
      <c r="C359" s="7">
        <v>0.7</v>
      </c>
      <c r="D359" s="5">
        <v>8.2899999999999991</v>
      </c>
      <c r="E359" s="5">
        <v>158.9</v>
      </c>
      <c r="F359" s="5">
        <v>169.8</v>
      </c>
      <c r="G359" s="6">
        <v>44873</v>
      </c>
      <c r="H359" s="5"/>
      <c r="I359" s="5"/>
      <c r="J359" s="5">
        <f t="shared" si="45"/>
        <v>10.900000000000006</v>
      </c>
      <c r="K359" s="8" t="b">
        <f t="shared" si="43"/>
        <v>1</v>
      </c>
    </row>
    <row r="360" spans="1:11">
      <c r="A360" s="5" t="s">
        <v>116</v>
      </c>
      <c r="B360" s="6">
        <v>44875</v>
      </c>
      <c r="C360" s="7">
        <v>0.7</v>
      </c>
      <c r="D360" s="5">
        <v>8.2899999999999991</v>
      </c>
      <c r="E360" s="5">
        <v>169.8</v>
      </c>
      <c r="F360" s="5">
        <v>186.4</v>
      </c>
      <c r="G360" s="6">
        <v>44875</v>
      </c>
      <c r="H360" s="5"/>
      <c r="I360" s="5"/>
      <c r="J360" s="5">
        <f t="shared" si="45"/>
        <v>16.599999999999994</v>
      </c>
      <c r="K360" s="8" t="b">
        <f t="shared" si="43"/>
        <v>1</v>
      </c>
    </row>
    <row r="361" spans="1:11">
      <c r="A361" s="5" t="s">
        <v>116</v>
      </c>
      <c r="B361" s="6">
        <v>44877</v>
      </c>
      <c r="C361" s="7">
        <v>0.7</v>
      </c>
      <c r="D361" s="5">
        <v>8.2899999999999991</v>
      </c>
      <c r="E361" s="5">
        <v>186.4</v>
      </c>
      <c r="F361" s="5">
        <v>202.8</v>
      </c>
      <c r="G361" s="6">
        <v>44877</v>
      </c>
      <c r="H361" s="5"/>
      <c r="I361" s="5"/>
      <c r="J361" s="5">
        <f t="shared" si="45"/>
        <v>16.400000000000006</v>
      </c>
      <c r="K361" s="8" t="b">
        <f t="shared" si="43"/>
        <v>1</v>
      </c>
    </row>
    <row r="362" spans="1:11">
      <c r="A362" s="5" t="s">
        <v>116</v>
      </c>
      <c r="B362" s="6">
        <v>44879</v>
      </c>
      <c r="C362" s="7">
        <v>0.55000000000000004</v>
      </c>
      <c r="D362" s="5">
        <v>10.55</v>
      </c>
      <c r="E362" s="5">
        <v>202.8</v>
      </c>
      <c r="F362" s="5">
        <v>224.8</v>
      </c>
      <c r="G362" s="6">
        <v>44879</v>
      </c>
      <c r="H362" s="5"/>
      <c r="I362" s="5"/>
      <c r="J362" s="5">
        <f t="shared" si="45"/>
        <v>22</v>
      </c>
      <c r="K362" s="8" t="b">
        <f t="shared" si="43"/>
        <v>1</v>
      </c>
    </row>
    <row r="363" spans="1:11">
      <c r="A363" s="5" t="s">
        <v>116</v>
      </c>
      <c r="B363" s="6">
        <v>44886</v>
      </c>
      <c r="C363" s="7">
        <v>0.7</v>
      </c>
      <c r="D363" s="5">
        <v>8.2899999999999991</v>
      </c>
      <c r="E363" s="5">
        <v>224.8</v>
      </c>
      <c r="F363" s="5">
        <v>240.2</v>
      </c>
      <c r="G363" s="6">
        <v>44886</v>
      </c>
      <c r="H363" s="5"/>
      <c r="I363" s="5"/>
      <c r="J363" s="5">
        <f t="shared" si="45"/>
        <v>15.399999999999977</v>
      </c>
      <c r="K363" s="8" t="b">
        <f t="shared" si="43"/>
        <v>1</v>
      </c>
    </row>
    <row r="364" spans="1:11">
      <c r="A364" s="5" t="s">
        <v>116</v>
      </c>
      <c r="B364" s="6">
        <v>44900</v>
      </c>
      <c r="C364" s="7">
        <v>1</v>
      </c>
      <c r="D364" s="5">
        <v>5.8</v>
      </c>
      <c r="E364" s="5">
        <v>240.2</v>
      </c>
      <c r="F364" s="5">
        <v>252.3</v>
      </c>
      <c r="G364" s="6">
        <v>44900</v>
      </c>
      <c r="H364" s="5"/>
      <c r="I364" s="5"/>
      <c r="J364" s="5">
        <f t="shared" si="45"/>
        <v>12.100000000000023</v>
      </c>
      <c r="K364" s="8" t="b">
        <f t="shared" si="43"/>
        <v>1</v>
      </c>
    </row>
    <row r="365" spans="1:11">
      <c r="A365" s="5" t="s">
        <v>116</v>
      </c>
      <c r="B365" s="6">
        <v>44901</v>
      </c>
      <c r="C365" s="7">
        <v>1</v>
      </c>
      <c r="D365" s="5">
        <v>5.8</v>
      </c>
      <c r="E365" s="5">
        <v>252.3</v>
      </c>
      <c r="F365" s="5">
        <v>274.7</v>
      </c>
      <c r="G365" s="6">
        <v>44901</v>
      </c>
      <c r="H365" s="5"/>
      <c r="I365" s="5"/>
      <c r="J365" s="5">
        <f t="shared" si="45"/>
        <v>22.399999999999977</v>
      </c>
      <c r="K365" s="8" t="b">
        <f t="shared" si="43"/>
        <v>1</v>
      </c>
    </row>
    <row r="366" spans="1:11">
      <c r="A366" s="5" t="s">
        <v>116</v>
      </c>
      <c r="B366" s="6">
        <v>44929</v>
      </c>
      <c r="C366" s="7">
        <v>0.7</v>
      </c>
      <c r="D366" s="5">
        <v>8.2899999999999991</v>
      </c>
      <c r="E366" s="5">
        <v>274.7</v>
      </c>
      <c r="F366" s="5">
        <v>291.3</v>
      </c>
      <c r="G366" s="6">
        <v>44929</v>
      </c>
      <c r="H366" s="5"/>
      <c r="I366" s="5"/>
      <c r="J366" s="5">
        <f t="shared" si="45"/>
        <v>16.600000000000023</v>
      </c>
      <c r="K366" s="8" t="b">
        <f t="shared" si="43"/>
        <v>1</v>
      </c>
    </row>
    <row r="367" spans="1:11">
      <c r="A367" s="5" t="s">
        <v>116</v>
      </c>
      <c r="B367" s="6">
        <v>44959</v>
      </c>
      <c r="C367" s="7">
        <v>0.7</v>
      </c>
      <c r="D367" s="5">
        <v>8.2899999999999991</v>
      </c>
      <c r="E367" s="5">
        <v>0</v>
      </c>
      <c r="F367" s="5">
        <v>18.8</v>
      </c>
      <c r="G367" s="6">
        <v>44959</v>
      </c>
      <c r="H367" s="5"/>
      <c r="I367" s="5"/>
      <c r="J367" s="5">
        <f t="shared" si="45"/>
        <v>18.8</v>
      </c>
      <c r="K367" s="8" t="b">
        <f t="shared" si="43"/>
        <v>0</v>
      </c>
    </row>
    <row r="368" spans="1:11">
      <c r="A368" s="5" t="s">
        <v>116</v>
      </c>
      <c r="B368" s="6"/>
      <c r="C368" s="7"/>
      <c r="D368" s="5"/>
      <c r="E368" s="5"/>
      <c r="F368" s="5"/>
      <c r="G368" s="6"/>
      <c r="H368" s="5"/>
      <c r="I368" s="5"/>
      <c r="J368" s="5">
        <f t="shared" ref="J368:J378" si="46">F368-E368</f>
        <v>0</v>
      </c>
      <c r="K368" s="8" t="b">
        <f t="shared" ref="K368:K378" si="47">E368=F367</f>
        <v>0</v>
      </c>
    </row>
    <row r="369" spans="1:11">
      <c r="A369" s="5" t="s">
        <v>116</v>
      </c>
      <c r="B369" s="6"/>
      <c r="C369" s="7"/>
      <c r="D369" s="5"/>
      <c r="E369" s="5"/>
      <c r="F369" s="5"/>
      <c r="G369" s="6"/>
      <c r="H369" s="5"/>
      <c r="I369" s="5"/>
      <c r="J369" s="5">
        <f t="shared" si="46"/>
        <v>0</v>
      </c>
      <c r="K369" s="8" t="b">
        <f t="shared" si="47"/>
        <v>1</v>
      </c>
    </row>
    <row r="370" spans="1:11">
      <c r="A370" s="5" t="s">
        <v>116</v>
      </c>
      <c r="B370" s="6"/>
      <c r="C370" s="7"/>
      <c r="D370" s="5"/>
      <c r="E370" s="5"/>
      <c r="F370" s="5"/>
      <c r="G370" s="6"/>
      <c r="H370" s="5"/>
      <c r="I370" s="5"/>
      <c r="J370" s="5">
        <f t="shared" si="46"/>
        <v>0</v>
      </c>
      <c r="K370" s="8" t="b">
        <f t="shared" si="47"/>
        <v>1</v>
      </c>
    </row>
    <row r="371" spans="1:11">
      <c r="A371" s="5" t="s">
        <v>116</v>
      </c>
      <c r="B371" s="6"/>
      <c r="C371" s="7"/>
      <c r="D371" s="5"/>
      <c r="E371" s="5"/>
      <c r="F371" s="5"/>
      <c r="G371" s="6"/>
      <c r="H371" s="5"/>
      <c r="I371" s="5"/>
      <c r="J371" s="5">
        <f t="shared" si="46"/>
        <v>0</v>
      </c>
      <c r="K371" s="8" t="b">
        <f t="shared" si="47"/>
        <v>1</v>
      </c>
    </row>
    <row r="372" spans="1:11">
      <c r="A372" s="5" t="s">
        <v>116</v>
      </c>
      <c r="B372" s="6"/>
      <c r="C372" s="7"/>
      <c r="D372" s="5"/>
      <c r="E372" s="5"/>
      <c r="F372" s="5"/>
      <c r="G372" s="6"/>
      <c r="H372" s="5"/>
      <c r="I372" s="5"/>
      <c r="J372" s="5">
        <f t="shared" si="46"/>
        <v>0</v>
      </c>
      <c r="K372" s="8" t="b">
        <f t="shared" si="47"/>
        <v>1</v>
      </c>
    </row>
    <row r="373" spans="1:11">
      <c r="A373" s="5" t="s">
        <v>116</v>
      </c>
      <c r="B373" s="6"/>
      <c r="C373" s="7"/>
      <c r="D373" s="5"/>
      <c r="E373" s="5"/>
      <c r="F373" s="5"/>
      <c r="G373" s="6"/>
      <c r="H373" s="5"/>
      <c r="I373" s="5"/>
      <c r="J373" s="5">
        <f t="shared" si="46"/>
        <v>0</v>
      </c>
      <c r="K373" s="8" t="b">
        <f t="shared" si="47"/>
        <v>1</v>
      </c>
    </row>
    <row r="374" spans="1:11">
      <c r="A374" s="5" t="s">
        <v>116</v>
      </c>
      <c r="B374" s="6"/>
      <c r="C374" s="7"/>
      <c r="D374" s="5"/>
      <c r="E374" s="5"/>
      <c r="F374" s="5"/>
      <c r="G374" s="6"/>
      <c r="H374" s="5"/>
      <c r="I374" s="5"/>
      <c r="J374" s="5">
        <f t="shared" si="46"/>
        <v>0</v>
      </c>
      <c r="K374" s="8" t="b">
        <f t="shared" si="47"/>
        <v>1</v>
      </c>
    </row>
    <row r="375" spans="1:11">
      <c r="A375" s="5" t="s">
        <v>116</v>
      </c>
      <c r="B375" s="6"/>
      <c r="C375" s="7"/>
      <c r="D375" s="5"/>
      <c r="E375" s="5"/>
      <c r="F375" s="5"/>
      <c r="G375" s="6"/>
      <c r="H375" s="5"/>
      <c r="I375" s="5"/>
      <c r="J375" s="5">
        <f t="shared" si="46"/>
        <v>0</v>
      </c>
      <c r="K375" s="8" t="b">
        <f t="shared" si="47"/>
        <v>1</v>
      </c>
    </row>
    <row r="376" spans="1:11">
      <c r="A376" s="5" t="s">
        <v>116</v>
      </c>
      <c r="B376" s="6"/>
      <c r="C376" s="7"/>
      <c r="D376" s="5"/>
      <c r="E376" s="5"/>
      <c r="F376" s="5"/>
      <c r="G376" s="6"/>
      <c r="H376" s="5"/>
      <c r="I376" s="5"/>
      <c r="J376" s="5">
        <f t="shared" si="46"/>
        <v>0</v>
      </c>
      <c r="K376" s="8" t="b">
        <f t="shared" si="47"/>
        <v>1</v>
      </c>
    </row>
    <row r="377" spans="1:11">
      <c r="A377" s="5" t="s">
        <v>116</v>
      </c>
      <c r="B377" s="6"/>
      <c r="C377" s="7"/>
      <c r="D377" s="5"/>
      <c r="E377" s="5"/>
      <c r="F377" s="5"/>
      <c r="G377" s="6"/>
      <c r="H377" s="5"/>
      <c r="I377" s="5"/>
      <c r="J377" s="5">
        <f t="shared" si="46"/>
        <v>0</v>
      </c>
      <c r="K377" s="8" t="b">
        <f t="shared" si="47"/>
        <v>1</v>
      </c>
    </row>
    <row r="378" spans="1:11">
      <c r="A378" s="5" t="s">
        <v>116</v>
      </c>
      <c r="B378" s="6"/>
      <c r="C378" s="7"/>
      <c r="D378" s="5"/>
      <c r="E378" s="5"/>
      <c r="F378" s="5"/>
      <c r="G378" s="6"/>
      <c r="H378" s="5"/>
      <c r="I378" s="5"/>
      <c r="J378" s="5">
        <f t="shared" si="46"/>
        <v>0</v>
      </c>
      <c r="K378" s="8" t="b">
        <f t="shared" si="47"/>
        <v>1</v>
      </c>
    </row>
    <row r="380" spans="1:11" ht="26.25">
      <c r="A380" s="190" t="s">
        <v>100</v>
      </c>
      <c r="B380" s="191"/>
      <c r="C380" s="191"/>
      <c r="D380" s="191"/>
      <c r="E380" s="191"/>
      <c r="F380" s="191"/>
      <c r="G380" s="191"/>
      <c r="H380" s="191"/>
      <c r="I380" s="191"/>
      <c r="J380" s="191"/>
      <c r="K380" s="192"/>
    </row>
    <row r="381" spans="1:11" ht="26.25">
      <c r="A381" s="181" t="s">
        <v>17</v>
      </c>
      <c r="B381" s="184"/>
      <c r="C381" s="184"/>
      <c r="D381" s="184"/>
      <c r="E381" s="184"/>
      <c r="F381" s="184"/>
      <c r="G381" s="184"/>
      <c r="H381" s="184"/>
      <c r="I381" s="184"/>
      <c r="J381" s="184"/>
      <c r="K381" s="189"/>
    </row>
    <row r="382" spans="1:11" ht="15.75" thickBot="1"/>
    <row r="383" spans="1:11" ht="15.75" thickBot="1">
      <c r="A383" s="132" t="s">
        <v>2</v>
      </c>
      <c r="B383" s="133"/>
      <c r="C383" s="133"/>
      <c r="D383" s="133"/>
      <c r="E383" s="133"/>
      <c r="F383" s="133"/>
      <c r="G383" s="133"/>
      <c r="H383" s="133"/>
      <c r="I383" s="133"/>
      <c r="J383" s="133"/>
      <c r="K383" s="134"/>
    </row>
    <row r="385" spans="1:11" ht="19.5" thickBot="1">
      <c r="A385" s="1" t="s">
        <v>3</v>
      </c>
      <c r="B385" s="1"/>
      <c r="C385" s="1"/>
      <c r="D385" s="1"/>
      <c r="E385" s="1"/>
      <c r="F385" s="1"/>
      <c r="G385" s="1"/>
      <c r="H385" s="1"/>
      <c r="I385" s="1"/>
    </row>
    <row r="386" spans="1:11" ht="30.75" thickBot="1">
      <c r="A386" s="2" t="s">
        <v>4</v>
      </c>
      <c r="B386" s="3" t="s">
        <v>5</v>
      </c>
      <c r="C386" s="3" t="s">
        <v>6</v>
      </c>
      <c r="D386" s="3" t="s">
        <v>7</v>
      </c>
      <c r="E386" s="3" t="s">
        <v>8</v>
      </c>
      <c r="F386" s="3" t="s">
        <v>9</v>
      </c>
      <c r="G386" s="3" t="s">
        <v>10</v>
      </c>
      <c r="H386" s="3" t="s">
        <v>21</v>
      </c>
      <c r="I386" s="4" t="s">
        <v>22</v>
      </c>
      <c r="J386" s="4" t="s">
        <v>11</v>
      </c>
      <c r="K386" s="4" t="s">
        <v>12</v>
      </c>
    </row>
    <row r="387" spans="1:11">
      <c r="A387" s="5" t="s">
        <v>116</v>
      </c>
      <c r="B387" s="6">
        <v>44960</v>
      </c>
      <c r="C387" s="7">
        <v>1</v>
      </c>
      <c r="D387" s="5">
        <v>5.8</v>
      </c>
      <c r="E387" s="5">
        <v>18.8</v>
      </c>
      <c r="F387" s="5">
        <v>30.5</v>
      </c>
      <c r="G387" s="6">
        <v>44960</v>
      </c>
      <c r="H387" s="5"/>
      <c r="I387" s="5"/>
      <c r="J387" s="5">
        <f>F387-E387</f>
        <v>11.7</v>
      </c>
      <c r="K387" s="8" t="b">
        <f>F387=E388</f>
        <v>1</v>
      </c>
    </row>
    <row r="388" spans="1:11">
      <c r="A388" s="5" t="s">
        <v>116</v>
      </c>
      <c r="B388" s="6">
        <v>44961</v>
      </c>
      <c r="C388" s="7">
        <v>0.6</v>
      </c>
      <c r="D388" s="5">
        <v>9.67</v>
      </c>
      <c r="E388" s="5">
        <v>30.5</v>
      </c>
      <c r="F388" s="5">
        <v>49.8</v>
      </c>
      <c r="G388" s="6">
        <v>44961</v>
      </c>
      <c r="H388" s="5"/>
      <c r="I388" s="5"/>
      <c r="J388" s="5">
        <f>F388-E388</f>
        <v>19.299999999999997</v>
      </c>
      <c r="K388" s="8" t="b">
        <f>E388=F387</f>
        <v>1</v>
      </c>
    </row>
    <row r="389" spans="1:11">
      <c r="A389" s="5" t="s">
        <v>116</v>
      </c>
      <c r="B389" s="6">
        <v>44962</v>
      </c>
      <c r="C389" s="7">
        <v>0.7</v>
      </c>
      <c r="D389" s="5">
        <v>8.2899999999999991</v>
      </c>
      <c r="E389" s="5">
        <v>49.8</v>
      </c>
      <c r="F389" s="5">
        <v>66.2</v>
      </c>
      <c r="G389" s="6">
        <v>44962</v>
      </c>
      <c r="H389" s="5"/>
      <c r="I389" s="5"/>
      <c r="J389" s="5">
        <f>F389-E389</f>
        <v>16.400000000000006</v>
      </c>
      <c r="K389" s="8" t="b">
        <f t="shared" ref="K389:K390" si="48">E389=F388</f>
        <v>1</v>
      </c>
    </row>
    <row r="390" spans="1:11">
      <c r="A390" s="5" t="s">
        <v>116</v>
      </c>
      <c r="B390" s="6">
        <v>44963</v>
      </c>
      <c r="C390" s="7">
        <v>1</v>
      </c>
      <c r="D390" s="5">
        <v>5.8</v>
      </c>
      <c r="E390" s="5">
        <v>66.2</v>
      </c>
      <c r="F390" s="5">
        <v>79</v>
      </c>
      <c r="G390" s="6">
        <v>44963</v>
      </c>
      <c r="H390" s="5"/>
      <c r="I390" s="5"/>
      <c r="J390" s="5">
        <f>F390-E390</f>
        <v>12.799999999999997</v>
      </c>
      <c r="K390" s="8" t="b">
        <f t="shared" si="48"/>
        <v>1</v>
      </c>
    </row>
    <row r="391" spans="1:11">
      <c r="A391" s="5" t="s">
        <v>116</v>
      </c>
      <c r="B391" s="6">
        <v>44964</v>
      </c>
      <c r="C391" s="7">
        <v>1</v>
      </c>
      <c r="D391" s="5">
        <v>5.8</v>
      </c>
      <c r="E391" s="5">
        <v>79</v>
      </c>
      <c r="F391" s="5">
        <v>90.6</v>
      </c>
      <c r="G391" s="6">
        <v>44932</v>
      </c>
      <c r="H391" s="5"/>
      <c r="I391" s="5"/>
      <c r="J391" s="5">
        <f t="shared" ref="J391:J399" si="49">F391-E391</f>
        <v>11.599999999999994</v>
      </c>
      <c r="K391" s="8" t="b">
        <f t="shared" ref="K391:K399" si="50">E391=F390</f>
        <v>1</v>
      </c>
    </row>
    <row r="392" spans="1:11">
      <c r="A392" s="5" t="s">
        <v>116</v>
      </c>
      <c r="B392" s="6">
        <v>44966</v>
      </c>
      <c r="C392" s="7">
        <v>0.8</v>
      </c>
      <c r="D392" s="5">
        <v>7.34</v>
      </c>
      <c r="E392" s="5">
        <v>90.6</v>
      </c>
      <c r="F392" s="5">
        <v>105</v>
      </c>
      <c r="G392" s="6">
        <v>44966</v>
      </c>
      <c r="H392" s="5"/>
      <c r="I392" s="5"/>
      <c r="J392" s="5">
        <f t="shared" si="49"/>
        <v>14.400000000000006</v>
      </c>
      <c r="K392" s="8" t="b">
        <f t="shared" si="50"/>
        <v>1</v>
      </c>
    </row>
    <row r="393" spans="1:11">
      <c r="A393" s="5" t="s">
        <v>116</v>
      </c>
      <c r="B393" s="6">
        <v>44969</v>
      </c>
      <c r="C393" s="7">
        <v>0.8</v>
      </c>
      <c r="D393" s="5">
        <v>7.34</v>
      </c>
      <c r="E393" s="5">
        <v>105</v>
      </c>
      <c r="F393" s="5">
        <v>119.5</v>
      </c>
      <c r="G393" s="6">
        <v>44969</v>
      </c>
      <c r="H393" s="5"/>
      <c r="I393" s="5"/>
      <c r="J393" s="5">
        <f t="shared" si="49"/>
        <v>14.5</v>
      </c>
      <c r="K393" s="8" t="b">
        <f t="shared" si="50"/>
        <v>1</v>
      </c>
    </row>
    <row r="394" spans="1:11">
      <c r="A394" s="5" t="s">
        <v>116</v>
      </c>
      <c r="B394" s="6">
        <v>44972</v>
      </c>
      <c r="C394" s="7">
        <v>0.8</v>
      </c>
      <c r="D394" s="5">
        <v>7.34</v>
      </c>
      <c r="E394" s="5">
        <v>119.5</v>
      </c>
      <c r="F394" s="5">
        <v>133.9</v>
      </c>
      <c r="G394" s="6">
        <v>44972</v>
      </c>
      <c r="H394" s="5"/>
      <c r="I394" s="5"/>
      <c r="J394" s="5">
        <f t="shared" si="49"/>
        <v>14.400000000000006</v>
      </c>
      <c r="K394" s="8" t="b">
        <f t="shared" si="50"/>
        <v>1</v>
      </c>
    </row>
    <row r="395" spans="1:11">
      <c r="A395" s="5" t="s">
        <v>116</v>
      </c>
      <c r="B395" s="6">
        <v>44975</v>
      </c>
      <c r="C395" s="7">
        <v>0.8</v>
      </c>
      <c r="D395" s="5">
        <v>7.34</v>
      </c>
      <c r="E395" s="5">
        <v>133.9</v>
      </c>
      <c r="F395" s="5">
        <v>148.19999999999999</v>
      </c>
      <c r="G395" s="6">
        <v>44975</v>
      </c>
      <c r="H395" s="5"/>
      <c r="I395" s="5"/>
      <c r="J395" s="5">
        <f t="shared" si="49"/>
        <v>14.299999999999983</v>
      </c>
      <c r="K395" s="8" t="b">
        <f t="shared" si="50"/>
        <v>1</v>
      </c>
    </row>
    <row r="396" spans="1:11">
      <c r="A396" s="5" t="s">
        <v>116</v>
      </c>
      <c r="B396" s="6">
        <v>44978</v>
      </c>
      <c r="C396" s="7">
        <v>0.8</v>
      </c>
      <c r="D396" s="5">
        <v>7.34</v>
      </c>
      <c r="E396" s="5">
        <v>148.19999999999999</v>
      </c>
      <c r="F396" s="5">
        <v>162.6</v>
      </c>
      <c r="G396" s="6">
        <v>44978</v>
      </c>
      <c r="H396" s="5"/>
      <c r="I396" s="5"/>
      <c r="J396" s="5">
        <f t="shared" si="49"/>
        <v>14.400000000000006</v>
      </c>
      <c r="K396" s="8" t="b">
        <f t="shared" si="50"/>
        <v>1</v>
      </c>
    </row>
    <row r="397" spans="1:11">
      <c r="A397" s="5" t="s">
        <v>116</v>
      </c>
      <c r="B397" s="6">
        <v>44981</v>
      </c>
      <c r="C397" s="7">
        <v>0.8</v>
      </c>
      <c r="D397" s="5">
        <v>7.34</v>
      </c>
      <c r="E397" s="5">
        <v>162.6</v>
      </c>
      <c r="F397" s="5">
        <v>177</v>
      </c>
      <c r="G397" s="6">
        <v>44981</v>
      </c>
      <c r="H397" s="5"/>
      <c r="I397" s="5"/>
      <c r="J397" s="5">
        <f t="shared" si="49"/>
        <v>14.400000000000006</v>
      </c>
      <c r="K397" s="8" t="b">
        <f t="shared" si="50"/>
        <v>1</v>
      </c>
    </row>
    <row r="398" spans="1:11">
      <c r="A398" s="5" t="s">
        <v>116</v>
      </c>
      <c r="B398" s="6">
        <v>44987</v>
      </c>
      <c r="C398" s="7">
        <v>0.7</v>
      </c>
      <c r="D398" s="5">
        <v>8.2899999999999991</v>
      </c>
      <c r="E398" s="5">
        <v>177</v>
      </c>
      <c r="F398" s="5">
        <v>193.5</v>
      </c>
      <c r="G398" s="6">
        <v>44987</v>
      </c>
      <c r="H398" s="5"/>
      <c r="I398" s="5"/>
      <c r="J398" s="5">
        <f t="shared" si="49"/>
        <v>16.5</v>
      </c>
      <c r="K398" s="8" t="b">
        <f t="shared" si="50"/>
        <v>1</v>
      </c>
    </row>
    <row r="399" spans="1:11">
      <c r="A399" s="5" t="s">
        <v>116</v>
      </c>
      <c r="B399" s="6">
        <v>44989</v>
      </c>
      <c r="C399" s="7">
        <v>0.6</v>
      </c>
      <c r="D399" s="5">
        <v>9.67</v>
      </c>
      <c r="E399" s="5">
        <v>193.5</v>
      </c>
      <c r="F399" s="5">
        <v>212.8</v>
      </c>
      <c r="G399" s="6">
        <v>44989</v>
      </c>
      <c r="H399" s="5"/>
      <c r="I399" s="5"/>
      <c r="J399" s="5">
        <f t="shared" si="49"/>
        <v>19.300000000000011</v>
      </c>
      <c r="K399" s="8" t="b">
        <f t="shared" si="50"/>
        <v>1</v>
      </c>
    </row>
    <row r="400" spans="1:11">
      <c r="A400" s="5" t="s">
        <v>116</v>
      </c>
      <c r="B400" s="6">
        <v>44992</v>
      </c>
      <c r="C400" s="7">
        <v>0.6</v>
      </c>
      <c r="D400" s="5">
        <v>9.67</v>
      </c>
      <c r="E400" s="5">
        <v>212.8</v>
      </c>
      <c r="F400" s="5">
        <v>237.9</v>
      </c>
      <c r="G400" s="6">
        <v>44993</v>
      </c>
      <c r="H400" s="5"/>
      <c r="I400" s="5"/>
      <c r="J400" s="5">
        <f t="shared" ref="J400:J409" si="51">F400-E400</f>
        <v>25.099999999999994</v>
      </c>
      <c r="K400" s="8" t="b">
        <f t="shared" ref="K400:K409" si="52">E400=F399</f>
        <v>1</v>
      </c>
    </row>
    <row r="401" spans="1:11">
      <c r="A401" s="5" t="s">
        <v>116</v>
      </c>
      <c r="B401" s="6">
        <v>44995</v>
      </c>
      <c r="C401" s="7">
        <v>1</v>
      </c>
      <c r="D401" s="5">
        <v>5.8</v>
      </c>
      <c r="E401" s="5">
        <v>237.9</v>
      </c>
      <c r="F401" s="5">
        <v>243.6</v>
      </c>
      <c r="G401" s="6">
        <v>44995</v>
      </c>
      <c r="H401" s="5"/>
      <c r="I401" s="5"/>
      <c r="J401" s="5">
        <f t="shared" si="51"/>
        <v>5.6999999999999886</v>
      </c>
      <c r="K401" s="8" t="b">
        <f t="shared" si="52"/>
        <v>1</v>
      </c>
    </row>
    <row r="402" spans="1:11">
      <c r="A402" s="5" t="s">
        <v>116</v>
      </c>
      <c r="B402" s="6">
        <v>44998</v>
      </c>
      <c r="C402" s="7">
        <v>0.7</v>
      </c>
      <c r="D402" s="5">
        <v>8.2899999999999991</v>
      </c>
      <c r="E402" s="5">
        <v>243.6</v>
      </c>
      <c r="F402" s="5">
        <v>260.10000000000002</v>
      </c>
      <c r="G402" s="6">
        <v>44998</v>
      </c>
      <c r="H402" s="5"/>
      <c r="I402" s="5"/>
      <c r="J402" s="5">
        <f t="shared" si="51"/>
        <v>16.500000000000028</v>
      </c>
      <c r="K402" s="8" t="b">
        <f t="shared" si="52"/>
        <v>1</v>
      </c>
    </row>
    <row r="403" spans="1:11">
      <c r="A403" s="5" t="s">
        <v>116</v>
      </c>
      <c r="B403" s="6">
        <v>45001</v>
      </c>
      <c r="C403" s="7">
        <v>0.7</v>
      </c>
      <c r="D403" s="5">
        <v>8.2899999999999991</v>
      </c>
      <c r="E403" s="5">
        <v>260.10000000000002</v>
      </c>
      <c r="F403" s="5">
        <v>276.7</v>
      </c>
      <c r="G403" s="6">
        <v>45001</v>
      </c>
      <c r="H403" s="5"/>
      <c r="I403" s="5"/>
      <c r="J403" s="5">
        <f t="shared" si="51"/>
        <v>16.599999999999966</v>
      </c>
      <c r="K403" s="8" t="b">
        <f t="shared" si="52"/>
        <v>1</v>
      </c>
    </row>
    <row r="404" spans="1:11">
      <c r="A404" s="5" t="s">
        <v>116</v>
      </c>
      <c r="B404" s="6">
        <v>45003</v>
      </c>
      <c r="C404" s="7">
        <v>0.6</v>
      </c>
      <c r="D404" s="5">
        <v>9.67</v>
      </c>
      <c r="E404" s="5">
        <v>276.7</v>
      </c>
      <c r="F404" s="5">
        <v>295.8</v>
      </c>
      <c r="G404" s="6">
        <v>45003</v>
      </c>
      <c r="H404" s="5"/>
      <c r="I404" s="5"/>
      <c r="J404" s="5">
        <f t="shared" si="51"/>
        <v>19.100000000000023</v>
      </c>
      <c r="K404" s="8" t="b">
        <f t="shared" si="52"/>
        <v>1</v>
      </c>
    </row>
    <row r="405" spans="1:11">
      <c r="A405" s="5" t="s">
        <v>116</v>
      </c>
      <c r="B405" s="6">
        <v>45008</v>
      </c>
      <c r="C405" s="7">
        <v>1</v>
      </c>
      <c r="D405" s="5">
        <v>5.8</v>
      </c>
      <c r="E405" s="5">
        <v>295.8</v>
      </c>
      <c r="F405" s="5">
        <v>309.89999999999998</v>
      </c>
      <c r="G405" s="6">
        <v>45008</v>
      </c>
      <c r="H405" s="5"/>
      <c r="I405" s="5"/>
      <c r="J405" s="5">
        <f t="shared" si="51"/>
        <v>14.099999999999966</v>
      </c>
      <c r="K405" s="8" t="b">
        <f t="shared" si="52"/>
        <v>1</v>
      </c>
    </row>
    <row r="406" spans="1:11">
      <c r="A406" s="5" t="s">
        <v>116</v>
      </c>
      <c r="B406" s="6">
        <v>45011</v>
      </c>
      <c r="C406" s="7">
        <v>0.6</v>
      </c>
      <c r="D406" s="5">
        <v>9.67</v>
      </c>
      <c r="E406" s="5">
        <v>309.89999999999998</v>
      </c>
      <c r="F406" s="5">
        <v>329.1</v>
      </c>
      <c r="G406" s="6">
        <v>45011</v>
      </c>
      <c r="H406" s="5"/>
      <c r="I406" s="5"/>
      <c r="J406" s="5">
        <f t="shared" si="51"/>
        <v>19.200000000000045</v>
      </c>
      <c r="K406" s="8" t="b">
        <f t="shared" si="52"/>
        <v>1</v>
      </c>
    </row>
    <row r="407" spans="1:11">
      <c r="A407" s="5" t="s">
        <v>116</v>
      </c>
      <c r="B407" s="6">
        <v>45014</v>
      </c>
      <c r="C407" s="7">
        <v>0.6</v>
      </c>
      <c r="D407" s="5">
        <v>9.67</v>
      </c>
      <c r="E407" s="5">
        <v>329.1</v>
      </c>
      <c r="F407" s="5">
        <v>348.3</v>
      </c>
      <c r="G407" s="6">
        <v>45014</v>
      </c>
      <c r="H407" s="5"/>
      <c r="I407" s="5"/>
      <c r="J407" s="5">
        <f t="shared" si="51"/>
        <v>19.199999999999989</v>
      </c>
      <c r="K407" s="8" t="b">
        <f t="shared" si="52"/>
        <v>1</v>
      </c>
    </row>
    <row r="408" spans="1:11">
      <c r="A408" s="5" t="s">
        <v>116</v>
      </c>
      <c r="B408" s="6">
        <v>45017</v>
      </c>
      <c r="C408" s="7">
        <v>0.6</v>
      </c>
      <c r="D408" s="5">
        <v>9.67</v>
      </c>
      <c r="E408" s="5">
        <v>348.3</v>
      </c>
      <c r="F408" s="5">
        <v>367</v>
      </c>
      <c r="G408" s="6">
        <v>44986</v>
      </c>
      <c r="H408" s="5"/>
      <c r="I408" s="5"/>
      <c r="J408" s="5">
        <f t="shared" si="51"/>
        <v>18.699999999999989</v>
      </c>
      <c r="K408" s="8" t="b">
        <f t="shared" si="52"/>
        <v>1</v>
      </c>
    </row>
    <row r="409" spans="1:11">
      <c r="A409" s="5" t="s">
        <v>116</v>
      </c>
      <c r="B409" s="6">
        <v>45021</v>
      </c>
      <c r="C409" s="7">
        <v>0.7</v>
      </c>
      <c r="D409" s="5">
        <v>8.2899999999999991</v>
      </c>
      <c r="E409" s="5">
        <v>367</v>
      </c>
      <c r="F409" s="5">
        <v>384</v>
      </c>
      <c r="G409" s="6">
        <v>45021</v>
      </c>
      <c r="H409" s="5"/>
      <c r="I409" s="5"/>
      <c r="J409" s="5">
        <f t="shared" si="51"/>
        <v>17</v>
      </c>
      <c r="K409" s="8" t="b">
        <f t="shared" si="52"/>
        <v>1</v>
      </c>
    </row>
    <row r="410" spans="1:11">
      <c r="A410" s="5" t="s">
        <v>116</v>
      </c>
      <c r="B410" s="6">
        <v>45024</v>
      </c>
      <c r="C410" s="7">
        <v>0.6</v>
      </c>
      <c r="D410" s="5">
        <v>9.67</v>
      </c>
      <c r="E410" s="5">
        <v>384</v>
      </c>
      <c r="F410" s="5">
        <v>403.2</v>
      </c>
      <c r="G410" s="6">
        <v>45024</v>
      </c>
      <c r="H410" s="5"/>
      <c r="I410" s="5"/>
      <c r="J410" s="5">
        <f t="shared" ref="J410:J420" si="53">F410-E410</f>
        <v>19.199999999999989</v>
      </c>
      <c r="K410" s="8" t="b">
        <f t="shared" ref="K410:K420" si="54">E410=F409</f>
        <v>1</v>
      </c>
    </row>
    <row r="411" spans="1:11">
      <c r="A411" s="5" t="s">
        <v>116</v>
      </c>
      <c r="B411" s="6">
        <v>45027</v>
      </c>
      <c r="C411" s="7">
        <v>0.6</v>
      </c>
      <c r="D411" s="5">
        <v>9.67</v>
      </c>
      <c r="E411" s="5">
        <v>403.2</v>
      </c>
      <c r="F411" s="5">
        <v>422.2</v>
      </c>
      <c r="G411" s="6">
        <v>45027</v>
      </c>
      <c r="H411" s="5"/>
      <c r="I411" s="5"/>
      <c r="J411" s="5">
        <f t="shared" si="53"/>
        <v>19</v>
      </c>
      <c r="K411" s="8" t="b">
        <f t="shared" si="54"/>
        <v>1</v>
      </c>
    </row>
    <row r="412" spans="1:11">
      <c r="A412" s="5" t="s">
        <v>116</v>
      </c>
      <c r="B412" s="6">
        <v>45030</v>
      </c>
      <c r="C412" s="7">
        <v>0.6</v>
      </c>
      <c r="D412" s="5">
        <v>9.67</v>
      </c>
      <c r="E412" s="5">
        <v>422.2</v>
      </c>
      <c r="F412" s="5">
        <v>441.2</v>
      </c>
      <c r="G412" s="6">
        <v>45030</v>
      </c>
      <c r="H412" s="5"/>
      <c r="I412" s="5"/>
      <c r="J412" s="5">
        <f t="shared" si="53"/>
        <v>19</v>
      </c>
      <c r="K412" s="8" t="b">
        <f t="shared" si="54"/>
        <v>1</v>
      </c>
    </row>
    <row r="413" spans="1:11">
      <c r="A413" s="5" t="s">
        <v>116</v>
      </c>
      <c r="B413" s="6">
        <v>45033</v>
      </c>
      <c r="C413" s="7">
        <v>0.6</v>
      </c>
      <c r="D413" s="5">
        <v>9.67</v>
      </c>
      <c r="E413" s="5">
        <v>441.2</v>
      </c>
      <c r="F413" s="5">
        <v>460.3</v>
      </c>
      <c r="G413" s="6">
        <v>45033</v>
      </c>
      <c r="H413" s="5"/>
      <c r="I413" s="5"/>
      <c r="J413" s="5">
        <f t="shared" si="53"/>
        <v>19.100000000000023</v>
      </c>
      <c r="K413" s="8" t="b">
        <f t="shared" si="54"/>
        <v>1</v>
      </c>
    </row>
    <row r="414" spans="1:11">
      <c r="A414" s="25" t="s">
        <v>116</v>
      </c>
      <c r="B414" s="26">
        <v>45036</v>
      </c>
      <c r="C414" s="27">
        <v>1</v>
      </c>
      <c r="D414" s="25">
        <v>5.8</v>
      </c>
      <c r="E414" s="25">
        <v>460.3</v>
      </c>
      <c r="F414" s="25">
        <v>472.1</v>
      </c>
      <c r="G414" s="26">
        <v>45036</v>
      </c>
      <c r="H414" s="25"/>
      <c r="I414" s="25"/>
      <c r="J414" s="25">
        <f t="shared" si="53"/>
        <v>11.800000000000011</v>
      </c>
      <c r="K414" s="8" t="b">
        <f t="shared" si="54"/>
        <v>1</v>
      </c>
    </row>
    <row r="415" spans="1:11">
      <c r="A415" s="5" t="s">
        <v>116</v>
      </c>
      <c r="B415" s="6">
        <v>45039</v>
      </c>
      <c r="C415" s="7">
        <v>0.75</v>
      </c>
      <c r="D415" s="5">
        <v>7.73</v>
      </c>
      <c r="E415" s="5">
        <v>472.1</v>
      </c>
      <c r="F415" s="5">
        <v>487.7</v>
      </c>
      <c r="G415" s="6">
        <v>45039</v>
      </c>
      <c r="H415" s="5"/>
      <c r="I415" s="5"/>
      <c r="J415" s="5">
        <f t="shared" si="53"/>
        <v>15.599999999999966</v>
      </c>
      <c r="K415" s="8" t="b">
        <f t="shared" si="54"/>
        <v>1</v>
      </c>
    </row>
    <row r="416" spans="1:11">
      <c r="A416" s="5" t="s">
        <v>116</v>
      </c>
      <c r="B416" s="6">
        <v>45045</v>
      </c>
      <c r="C416" s="7">
        <v>0.7</v>
      </c>
      <c r="D416" s="5">
        <v>8.2899999999999991</v>
      </c>
      <c r="E416" s="5">
        <v>487.7</v>
      </c>
      <c r="F416" s="5">
        <v>505.2</v>
      </c>
      <c r="G416" s="6">
        <v>45045</v>
      </c>
      <c r="H416" s="5"/>
      <c r="I416" s="5"/>
      <c r="J416" s="5">
        <f t="shared" si="53"/>
        <v>17.5</v>
      </c>
      <c r="K416" s="8" t="b">
        <f t="shared" si="54"/>
        <v>1</v>
      </c>
    </row>
    <row r="417" spans="1:11">
      <c r="A417" s="5" t="s">
        <v>116</v>
      </c>
      <c r="B417" s="6">
        <v>45048</v>
      </c>
      <c r="C417" s="7">
        <v>0.7</v>
      </c>
      <c r="D417" s="5">
        <v>8.2899999999999991</v>
      </c>
      <c r="E417" s="5">
        <v>505.2</v>
      </c>
      <c r="F417" s="5">
        <v>521.6</v>
      </c>
      <c r="G417" s="6">
        <v>45048</v>
      </c>
      <c r="H417" s="5"/>
      <c r="I417" s="5"/>
      <c r="J417" s="5">
        <f t="shared" si="53"/>
        <v>16.400000000000034</v>
      </c>
      <c r="K417" s="8" t="b">
        <f t="shared" si="54"/>
        <v>1</v>
      </c>
    </row>
    <row r="418" spans="1:11">
      <c r="A418" s="5" t="s">
        <v>116</v>
      </c>
      <c r="B418" s="6">
        <v>45053</v>
      </c>
      <c r="C418" s="7">
        <v>0.7</v>
      </c>
      <c r="D418" s="5">
        <v>8.2899999999999991</v>
      </c>
      <c r="E418" s="5">
        <v>521.6</v>
      </c>
      <c r="F418" s="5">
        <v>538</v>
      </c>
      <c r="G418" s="6">
        <v>45053</v>
      </c>
      <c r="H418" s="5"/>
      <c r="I418" s="5"/>
      <c r="J418" s="5">
        <f t="shared" si="53"/>
        <v>16.399999999999977</v>
      </c>
      <c r="K418" s="8" t="b">
        <f t="shared" si="54"/>
        <v>1</v>
      </c>
    </row>
    <row r="419" spans="1:11">
      <c r="A419" s="5" t="s">
        <v>116</v>
      </c>
      <c r="B419" s="6">
        <v>45057</v>
      </c>
      <c r="C419" s="7">
        <v>0.4</v>
      </c>
      <c r="D419" s="5">
        <v>14.5</v>
      </c>
      <c r="E419" s="5">
        <v>538</v>
      </c>
      <c r="F419" s="5">
        <v>552.70000000000005</v>
      </c>
      <c r="G419" s="6">
        <v>45057</v>
      </c>
      <c r="H419" s="5"/>
      <c r="I419" s="5"/>
      <c r="J419" s="5">
        <f t="shared" si="53"/>
        <v>14.700000000000045</v>
      </c>
      <c r="K419" s="8" t="b">
        <f t="shared" si="54"/>
        <v>1</v>
      </c>
    </row>
    <row r="420" spans="1:11">
      <c r="A420" s="5" t="s">
        <v>116</v>
      </c>
      <c r="B420" s="6">
        <v>45058</v>
      </c>
      <c r="C420" s="7">
        <v>0.4</v>
      </c>
      <c r="D420" s="5">
        <v>14.5</v>
      </c>
      <c r="E420" s="5">
        <v>552.70000000000005</v>
      </c>
      <c r="F420" s="5">
        <v>567.20000000000005</v>
      </c>
      <c r="G420" s="6">
        <v>45058</v>
      </c>
      <c r="H420" s="5"/>
      <c r="I420" s="5"/>
      <c r="J420" s="5">
        <f t="shared" si="53"/>
        <v>14.5</v>
      </c>
      <c r="K420" s="8" t="b">
        <f t="shared" si="54"/>
        <v>1</v>
      </c>
    </row>
    <row r="421" spans="1:11">
      <c r="A421" s="5" t="s">
        <v>116</v>
      </c>
      <c r="B421" s="6">
        <v>45063</v>
      </c>
      <c r="C421" s="7">
        <v>0.4</v>
      </c>
      <c r="D421" s="5">
        <v>14.5</v>
      </c>
      <c r="E421" s="5">
        <v>567.20000000000005</v>
      </c>
      <c r="F421" s="5">
        <v>581.4</v>
      </c>
      <c r="G421" s="6">
        <v>45063</v>
      </c>
      <c r="H421" s="5"/>
      <c r="I421" s="5"/>
      <c r="J421" s="5">
        <f t="shared" ref="J421:J427" si="55">F421-E421</f>
        <v>14.199999999999932</v>
      </c>
      <c r="K421" s="8" t="b">
        <f t="shared" ref="K421:K427" si="56">E421=F420</f>
        <v>1</v>
      </c>
    </row>
    <row r="422" spans="1:11">
      <c r="A422" s="5" t="s">
        <v>116</v>
      </c>
      <c r="B422" s="6">
        <v>45064</v>
      </c>
      <c r="C422" s="7">
        <v>0.4</v>
      </c>
      <c r="D422" s="5">
        <v>14.5</v>
      </c>
      <c r="E422" s="5">
        <v>581.4</v>
      </c>
      <c r="F422" s="5">
        <v>595.79999999999995</v>
      </c>
      <c r="G422" s="6">
        <v>45064</v>
      </c>
      <c r="H422" s="5"/>
      <c r="I422" s="5"/>
      <c r="J422" s="5">
        <f t="shared" si="55"/>
        <v>14.399999999999977</v>
      </c>
      <c r="K422" s="8" t="b">
        <f t="shared" si="56"/>
        <v>1</v>
      </c>
    </row>
    <row r="423" spans="1:11">
      <c r="A423" s="5" t="s">
        <v>116</v>
      </c>
      <c r="B423" s="6">
        <v>45069</v>
      </c>
      <c r="C423" s="7">
        <v>0.4</v>
      </c>
      <c r="D423" s="5">
        <v>14.5</v>
      </c>
      <c r="E423" s="5">
        <v>595.79999999999995</v>
      </c>
      <c r="F423" s="5">
        <v>613.1</v>
      </c>
      <c r="G423" s="6">
        <v>45069</v>
      </c>
      <c r="H423" s="5"/>
      <c r="I423" s="5"/>
      <c r="J423" s="5">
        <f t="shared" si="55"/>
        <v>17.300000000000068</v>
      </c>
      <c r="K423" s="8" t="b">
        <f t="shared" si="56"/>
        <v>1</v>
      </c>
    </row>
    <row r="424" spans="1:11">
      <c r="A424" s="5" t="s">
        <v>116</v>
      </c>
      <c r="B424" s="6" t="s">
        <v>96</v>
      </c>
      <c r="C424" s="7">
        <v>0.4</v>
      </c>
      <c r="D424" s="5">
        <v>14.5</v>
      </c>
      <c r="E424" s="5">
        <v>613.1</v>
      </c>
      <c r="F424" s="5">
        <v>627.6</v>
      </c>
      <c r="G424" s="6" t="s">
        <v>96</v>
      </c>
      <c r="H424" s="5"/>
      <c r="I424" s="5"/>
      <c r="J424" s="5">
        <f t="shared" si="55"/>
        <v>14.5</v>
      </c>
      <c r="K424" s="8" t="b">
        <f t="shared" si="56"/>
        <v>1</v>
      </c>
    </row>
    <row r="425" spans="1:11">
      <c r="A425" s="5" t="s">
        <v>116</v>
      </c>
      <c r="B425" s="6" t="s">
        <v>97</v>
      </c>
      <c r="C425" s="7">
        <v>0.45</v>
      </c>
      <c r="D425" s="5">
        <v>12.89</v>
      </c>
      <c r="E425" s="5">
        <v>627.6</v>
      </c>
      <c r="F425" s="5">
        <v>640.29999999999995</v>
      </c>
      <c r="G425" s="6" t="s">
        <v>97</v>
      </c>
      <c r="H425" s="5"/>
      <c r="I425" s="5"/>
      <c r="J425" s="5">
        <f t="shared" si="55"/>
        <v>12.699999999999932</v>
      </c>
      <c r="K425" s="8" t="b">
        <f t="shared" si="56"/>
        <v>1</v>
      </c>
    </row>
    <row r="426" spans="1:11">
      <c r="A426" s="5" t="s">
        <v>116</v>
      </c>
      <c r="B426" s="6" t="s">
        <v>98</v>
      </c>
      <c r="C426" s="7">
        <v>0.45</v>
      </c>
      <c r="D426" s="5">
        <v>12.89</v>
      </c>
      <c r="E426" s="5">
        <v>640.29999999999995</v>
      </c>
      <c r="F426" s="5">
        <v>653.20000000000005</v>
      </c>
      <c r="G426" s="6" t="s">
        <v>98</v>
      </c>
      <c r="H426" s="5"/>
      <c r="I426" s="5"/>
      <c r="J426" s="5">
        <f t="shared" si="55"/>
        <v>12.900000000000091</v>
      </c>
      <c r="K426" s="8" t="b">
        <f t="shared" si="56"/>
        <v>1</v>
      </c>
    </row>
    <row r="427" spans="1:11">
      <c r="A427" s="5" t="s">
        <v>116</v>
      </c>
      <c r="B427" s="6">
        <v>45082</v>
      </c>
      <c r="C427" s="7">
        <v>0.45</v>
      </c>
      <c r="D427" s="5">
        <v>12.89</v>
      </c>
      <c r="E427" s="5">
        <v>653.20000000000005</v>
      </c>
      <c r="F427" s="5">
        <v>666.4</v>
      </c>
      <c r="G427" s="6">
        <v>45082</v>
      </c>
      <c r="H427" s="5"/>
      <c r="I427" s="5"/>
      <c r="J427" s="5">
        <f t="shared" si="55"/>
        <v>13.199999999999932</v>
      </c>
      <c r="K427" s="8" t="b">
        <f t="shared" si="56"/>
        <v>1</v>
      </c>
    </row>
    <row r="428" spans="1:11">
      <c r="A428" s="5" t="s">
        <v>116</v>
      </c>
      <c r="B428" s="6">
        <v>45083</v>
      </c>
      <c r="C428" s="7">
        <v>0.4</v>
      </c>
      <c r="D428" s="5">
        <v>14.5</v>
      </c>
      <c r="E428" s="5">
        <v>666.4</v>
      </c>
      <c r="F428" s="5">
        <v>680.8</v>
      </c>
      <c r="G428" s="6">
        <v>45083</v>
      </c>
      <c r="H428" s="5"/>
      <c r="I428" s="5"/>
      <c r="J428" s="5">
        <f t="shared" ref="J428:J434" si="57">F428-E428</f>
        <v>14.399999999999977</v>
      </c>
      <c r="K428" s="8" t="b">
        <f t="shared" ref="K428:K434" si="58">E428=F427</f>
        <v>1</v>
      </c>
    </row>
    <row r="429" spans="1:11">
      <c r="A429" s="5" t="s">
        <v>116</v>
      </c>
      <c r="B429" s="6">
        <v>45092</v>
      </c>
      <c r="C429" s="7">
        <v>0.4</v>
      </c>
      <c r="D429" s="5">
        <v>14.5</v>
      </c>
      <c r="E429" s="5">
        <v>680.8</v>
      </c>
      <c r="F429" s="5">
        <v>697.1</v>
      </c>
      <c r="G429" s="6">
        <v>45092</v>
      </c>
      <c r="H429" s="5"/>
      <c r="I429" s="5"/>
      <c r="J429" s="5">
        <f t="shared" si="57"/>
        <v>16.300000000000068</v>
      </c>
      <c r="K429" s="8" t="b">
        <f t="shared" si="58"/>
        <v>1</v>
      </c>
    </row>
    <row r="430" spans="1:11">
      <c r="A430" s="5" t="s">
        <v>116</v>
      </c>
      <c r="B430" s="6">
        <v>45093</v>
      </c>
      <c r="C430" s="7">
        <v>0.4</v>
      </c>
      <c r="D430" s="5">
        <v>14.5</v>
      </c>
      <c r="E430" s="5">
        <v>697.1</v>
      </c>
      <c r="F430" s="5">
        <v>711.9</v>
      </c>
      <c r="G430" s="6">
        <v>45093</v>
      </c>
      <c r="H430" s="5"/>
      <c r="I430" s="5"/>
      <c r="J430" s="5">
        <f t="shared" si="57"/>
        <v>14.799999999999955</v>
      </c>
      <c r="K430" s="8" t="b">
        <f t="shared" si="58"/>
        <v>1</v>
      </c>
    </row>
    <row r="431" spans="1:11">
      <c r="A431" s="5" t="s">
        <v>116</v>
      </c>
      <c r="B431" s="6">
        <v>45094</v>
      </c>
      <c r="C431" s="7">
        <v>0.5</v>
      </c>
      <c r="D431" s="5">
        <v>11.6</v>
      </c>
      <c r="E431" s="5">
        <v>711.9</v>
      </c>
      <c r="F431" s="5">
        <v>724.1</v>
      </c>
      <c r="G431" s="6">
        <v>45094</v>
      </c>
      <c r="H431" s="5"/>
      <c r="I431" s="5"/>
      <c r="J431" s="5">
        <f t="shared" si="57"/>
        <v>12.200000000000045</v>
      </c>
      <c r="K431" s="8" t="b">
        <f t="shared" si="58"/>
        <v>1</v>
      </c>
    </row>
    <row r="432" spans="1:11">
      <c r="A432" s="5" t="s">
        <v>116</v>
      </c>
      <c r="B432" s="6">
        <v>45095</v>
      </c>
      <c r="C432" s="7">
        <v>0.5</v>
      </c>
      <c r="D432" s="5">
        <v>11.6</v>
      </c>
      <c r="E432" s="5">
        <v>724.1</v>
      </c>
      <c r="F432" s="5">
        <v>735.4</v>
      </c>
      <c r="G432" s="6">
        <v>45095</v>
      </c>
      <c r="H432" s="5"/>
      <c r="I432" s="5"/>
      <c r="J432" s="5">
        <f t="shared" si="57"/>
        <v>11.299999999999955</v>
      </c>
      <c r="K432" s="8" t="b">
        <f t="shared" si="58"/>
        <v>1</v>
      </c>
    </row>
    <row r="433" spans="1:11">
      <c r="A433" s="5" t="s">
        <v>116</v>
      </c>
      <c r="B433" s="6">
        <v>45097</v>
      </c>
      <c r="C433" s="7">
        <v>0.6</v>
      </c>
      <c r="D433" s="5">
        <v>9.67</v>
      </c>
      <c r="E433" s="5">
        <v>735.4</v>
      </c>
      <c r="F433" s="5">
        <v>754.5</v>
      </c>
      <c r="G433" s="6">
        <v>45097</v>
      </c>
      <c r="H433" s="5"/>
      <c r="I433" s="5"/>
      <c r="J433" s="5">
        <f t="shared" si="57"/>
        <v>19.100000000000023</v>
      </c>
      <c r="K433" s="8" t="b">
        <f t="shared" si="58"/>
        <v>1</v>
      </c>
    </row>
    <row r="434" spans="1:11">
      <c r="A434" s="5" t="s">
        <v>116</v>
      </c>
      <c r="B434" s="6">
        <v>45102</v>
      </c>
      <c r="C434" s="7">
        <v>0.6</v>
      </c>
      <c r="D434" s="5">
        <v>9.67</v>
      </c>
      <c r="E434" s="5">
        <v>754.5</v>
      </c>
      <c r="F434" s="5">
        <v>773.8</v>
      </c>
      <c r="G434" s="6">
        <v>45102</v>
      </c>
      <c r="H434" s="5"/>
      <c r="I434" s="5"/>
      <c r="J434" s="5">
        <f t="shared" si="57"/>
        <v>19.299999999999955</v>
      </c>
      <c r="K434" s="8" t="b">
        <f t="shared" si="58"/>
        <v>1</v>
      </c>
    </row>
    <row r="435" spans="1:11">
      <c r="A435" s="5" t="s">
        <v>116</v>
      </c>
      <c r="B435" s="6">
        <v>45106</v>
      </c>
      <c r="C435" s="7">
        <v>0.6</v>
      </c>
      <c r="D435" s="5">
        <v>9.67</v>
      </c>
      <c r="E435" s="5">
        <v>773.8</v>
      </c>
      <c r="F435" s="5">
        <v>793</v>
      </c>
      <c r="G435" s="6">
        <v>45106</v>
      </c>
      <c r="H435" s="5"/>
      <c r="I435" s="5"/>
      <c r="J435" s="5">
        <f t="shared" ref="J435:J461" si="59">F435-E435</f>
        <v>19.200000000000045</v>
      </c>
      <c r="K435" s="8" t="b">
        <f t="shared" ref="K435:K449" si="60">E435=F434</f>
        <v>1</v>
      </c>
    </row>
    <row r="436" spans="1:11">
      <c r="A436" s="5" t="s">
        <v>116</v>
      </c>
      <c r="B436" s="6">
        <v>45110</v>
      </c>
      <c r="C436" s="7">
        <v>0.6</v>
      </c>
      <c r="D436" s="5">
        <v>9.67</v>
      </c>
      <c r="E436" s="5">
        <v>793</v>
      </c>
      <c r="F436" s="5">
        <v>812.2</v>
      </c>
      <c r="G436" s="6">
        <v>45110</v>
      </c>
      <c r="H436" s="5"/>
      <c r="I436" s="5"/>
      <c r="J436" s="5">
        <f t="shared" si="59"/>
        <v>19.200000000000045</v>
      </c>
      <c r="K436" s="8" t="b">
        <f t="shared" si="60"/>
        <v>1</v>
      </c>
    </row>
    <row r="437" spans="1:11">
      <c r="A437" s="5" t="s">
        <v>116</v>
      </c>
      <c r="B437" s="6">
        <v>45115</v>
      </c>
      <c r="C437" s="7">
        <v>0.6</v>
      </c>
      <c r="D437" s="5">
        <v>9.67</v>
      </c>
      <c r="E437" s="5">
        <v>812.2</v>
      </c>
      <c r="F437" s="5">
        <v>823.4</v>
      </c>
      <c r="G437" s="6">
        <v>45115</v>
      </c>
      <c r="H437" s="5"/>
      <c r="I437" s="5"/>
      <c r="J437" s="5">
        <f t="shared" si="59"/>
        <v>11.199999999999932</v>
      </c>
      <c r="K437" s="8" t="b">
        <f t="shared" si="60"/>
        <v>1</v>
      </c>
    </row>
    <row r="438" spans="1:11">
      <c r="A438" s="5" t="s">
        <v>116</v>
      </c>
      <c r="B438" s="6"/>
      <c r="C438" s="7"/>
      <c r="D438" s="5"/>
      <c r="E438" s="5"/>
      <c r="F438" s="5"/>
      <c r="G438" s="6"/>
      <c r="H438" s="5"/>
      <c r="I438" s="5"/>
      <c r="J438" s="5">
        <f t="shared" si="59"/>
        <v>0</v>
      </c>
      <c r="K438" s="8" t="b">
        <f t="shared" si="60"/>
        <v>0</v>
      </c>
    </row>
    <row r="439" spans="1:11">
      <c r="A439" s="55" t="s">
        <v>116</v>
      </c>
      <c r="B439" s="56"/>
      <c r="C439" s="94"/>
      <c r="D439" s="55"/>
      <c r="E439" s="55"/>
      <c r="F439" s="55"/>
      <c r="G439" s="56"/>
      <c r="H439" s="55"/>
      <c r="I439" s="55"/>
      <c r="J439" s="55">
        <f t="shared" si="59"/>
        <v>0</v>
      </c>
      <c r="K439" s="89" t="b">
        <f>E439=F438</f>
        <v>1</v>
      </c>
    </row>
    <row r="440" spans="1:11">
      <c r="A440" s="15"/>
      <c r="B440" s="12"/>
      <c r="C440" s="13"/>
      <c r="D440" s="15"/>
      <c r="E440" s="15"/>
      <c r="F440" s="15"/>
      <c r="G440" s="12"/>
      <c r="H440" s="15"/>
      <c r="I440" s="15"/>
      <c r="J440" s="15"/>
      <c r="K440" s="15"/>
    </row>
    <row r="441" spans="1:11" ht="26.25">
      <c r="A441" s="186" t="s">
        <v>100</v>
      </c>
      <c r="B441" s="187"/>
      <c r="C441" s="187"/>
      <c r="D441" s="187"/>
      <c r="E441" s="187"/>
      <c r="F441" s="187"/>
      <c r="G441" s="187"/>
      <c r="H441" s="187"/>
      <c r="I441" s="187"/>
      <c r="J441" s="187"/>
      <c r="K441" s="188"/>
    </row>
    <row r="442" spans="1:11" ht="26.25">
      <c r="A442" s="181" t="s">
        <v>48</v>
      </c>
      <c r="B442" s="184"/>
      <c r="C442" s="184"/>
      <c r="D442" s="184"/>
      <c r="E442" s="184"/>
      <c r="F442" s="184"/>
      <c r="G442" s="184"/>
      <c r="H442" s="184"/>
      <c r="I442" s="184"/>
      <c r="J442" s="184"/>
      <c r="K442" s="189"/>
    </row>
    <row r="443" spans="1:11" ht="15.75" thickBot="1"/>
    <row r="444" spans="1:11" ht="15.75" thickBot="1">
      <c r="A444" s="132" t="s">
        <v>2</v>
      </c>
      <c r="B444" s="133"/>
      <c r="C444" s="133"/>
      <c r="D444" s="133"/>
      <c r="E444" s="133"/>
      <c r="F444" s="133"/>
      <c r="G444" s="133"/>
      <c r="H444" s="133"/>
      <c r="I444" s="133"/>
      <c r="J444" s="133"/>
      <c r="K444" s="134"/>
    </row>
    <row r="446" spans="1:11" ht="19.5" thickBot="1">
      <c r="A446" s="1" t="s">
        <v>3</v>
      </c>
      <c r="B446" s="1"/>
      <c r="C446" s="1"/>
      <c r="D446" s="1"/>
      <c r="E446" s="1"/>
      <c r="F446" s="1"/>
      <c r="G446" s="1"/>
      <c r="H446" s="1"/>
      <c r="I446" s="1"/>
    </row>
    <row r="447" spans="1:11" ht="30.75" thickBot="1">
      <c r="A447" s="2" t="s">
        <v>4</v>
      </c>
      <c r="B447" s="3" t="s">
        <v>5</v>
      </c>
      <c r="C447" s="3" t="s">
        <v>6</v>
      </c>
      <c r="D447" s="3" t="s">
        <v>7</v>
      </c>
      <c r="E447" s="3" t="s">
        <v>8</v>
      </c>
      <c r="F447" s="3" t="s">
        <v>9</v>
      </c>
      <c r="G447" s="3" t="s">
        <v>10</v>
      </c>
      <c r="H447" s="3" t="s">
        <v>21</v>
      </c>
      <c r="I447" s="4" t="s">
        <v>22</v>
      </c>
      <c r="J447" s="4" t="s">
        <v>11</v>
      </c>
      <c r="K447" s="4" t="s">
        <v>12</v>
      </c>
    </row>
    <row r="448" spans="1:11">
      <c r="A448" s="5" t="s">
        <v>116</v>
      </c>
      <c r="B448" s="6">
        <v>45182</v>
      </c>
      <c r="C448" s="7">
        <v>0.4</v>
      </c>
      <c r="D448" s="5">
        <v>10.8</v>
      </c>
      <c r="E448" s="5">
        <v>823.6</v>
      </c>
      <c r="F448" s="5">
        <v>837.6</v>
      </c>
      <c r="G448" s="6">
        <v>45182</v>
      </c>
      <c r="H448" s="5"/>
      <c r="I448" s="5"/>
      <c r="J448" s="5">
        <f>F448-E448</f>
        <v>14</v>
      </c>
      <c r="K448" s="8" t="b">
        <f t="shared" si="60"/>
        <v>0</v>
      </c>
    </row>
    <row r="449" spans="1:11">
      <c r="A449" s="5" t="s">
        <v>116</v>
      </c>
      <c r="B449" s="6">
        <v>45183</v>
      </c>
      <c r="C449" s="7">
        <v>0.4</v>
      </c>
      <c r="D449" s="5">
        <v>10.8</v>
      </c>
      <c r="E449" s="5">
        <v>837.6</v>
      </c>
      <c r="F449" s="5">
        <v>857.7</v>
      </c>
      <c r="G449" s="6">
        <v>45183</v>
      </c>
      <c r="H449" s="5"/>
      <c r="I449" s="5"/>
      <c r="J449" s="5">
        <f>F449-E449</f>
        <v>20.100000000000023</v>
      </c>
      <c r="K449" s="8" t="b">
        <f t="shared" si="60"/>
        <v>1</v>
      </c>
    </row>
    <row r="450" spans="1:11">
      <c r="A450" s="5" t="s">
        <v>116</v>
      </c>
      <c r="B450" s="6">
        <v>45184</v>
      </c>
      <c r="C450" s="7">
        <v>0.4</v>
      </c>
      <c r="D450" s="5">
        <v>10.8</v>
      </c>
      <c r="E450" s="5">
        <v>857.7</v>
      </c>
      <c r="F450" s="5">
        <v>867.1</v>
      </c>
      <c r="G450" s="6">
        <v>45184</v>
      </c>
      <c r="H450" s="5"/>
      <c r="I450" s="5"/>
      <c r="J450" s="5">
        <f>F450-E450</f>
        <v>9.3999999999999773</v>
      </c>
      <c r="K450" s="8" t="b">
        <f t="shared" ref="K450:K461" si="61">E450=F449</f>
        <v>1</v>
      </c>
    </row>
    <row r="451" spans="1:11">
      <c r="A451" s="5" t="s">
        <v>116</v>
      </c>
      <c r="B451" s="6">
        <v>45198</v>
      </c>
      <c r="C451" s="7">
        <v>0.6</v>
      </c>
      <c r="D451" s="5">
        <v>8.1</v>
      </c>
      <c r="E451" s="5">
        <v>867.1</v>
      </c>
      <c r="F451" s="5">
        <v>886.7</v>
      </c>
      <c r="G451" s="6">
        <v>45198</v>
      </c>
      <c r="H451" s="5"/>
      <c r="I451" s="5"/>
      <c r="J451" s="5">
        <f t="shared" si="59"/>
        <v>19.600000000000023</v>
      </c>
      <c r="K451" s="8" t="b">
        <f t="shared" si="61"/>
        <v>1</v>
      </c>
    </row>
    <row r="452" spans="1:11">
      <c r="A452" s="5" t="s">
        <v>116</v>
      </c>
      <c r="B452" s="6">
        <v>45203</v>
      </c>
      <c r="C452" s="7">
        <v>0.6</v>
      </c>
      <c r="D452" s="5">
        <v>8.1</v>
      </c>
      <c r="E452" s="5">
        <v>886.7</v>
      </c>
      <c r="F452" s="5">
        <v>893.2</v>
      </c>
      <c r="G452" s="6">
        <v>45203</v>
      </c>
      <c r="H452" s="5"/>
      <c r="I452" s="5"/>
      <c r="J452" s="5">
        <f t="shared" si="59"/>
        <v>6.5</v>
      </c>
      <c r="K452" s="8" t="b">
        <f t="shared" si="61"/>
        <v>1</v>
      </c>
    </row>
    <row r="453" spans="1:11">
      <c r="A453" s="5" t="s">
        <v>116</v>
      </c>
      <c r="B453" s="6">
        <v>45206</v>
      </c>
      <c r="C453" s="7">
        <v>1</v>
      </c>
      <c r="D453" s="5">
        <v>4.8600000000000003</v>
      </c>
      <c r="E453" s="5">
        <v>893.2</v>
      </c>
      <c r="F453" s="5">
        <v>904.7</v>
      </c>
      <c r="G453" s="6">
        <v>45206</v>
      </c>
      <c r="H453" s="5"/>
      <c r="I453" s="5"/>
      <c r="J453" s="5">
        <f t="shared" si="59"/>
        <v>11.5</v>
      </c>
      <c r="K453" s="8" t="b">
        <f t="shared" si="61"/>
        <v>1</v>
      </c>
    </row>
    <row r="454" spans="1:11">
      <c r="A454" s="5" t="s">
        <v>116</v>
      </c>
      <c r="B454" s="6">
        <v>45207</v>
      </c>
      <c r="C454" s="7">
        <v>1</v>
      </c>
      <c r="D454" s="5">
        <v>4.8600000000000003</v>
      </c>
      <c r="E454" s="5">
        <v>904.7</v>
      </c>
      <c r="F454" s="5">
        <v>916.3</v>
      </c>
      <c r="G454" s="6">
        <v>45207</v>
      </c>
      <c r="H454" s="5"/>
      <c r="I454" s="5"/>
      <c r="J454" s="5">
        <f t="shared" si="59"/>
        <v>11.599999999999909</v>
      </c>
      <c r="K454" s="8" t="b">
        <f t="shared" si="61"/>
        <v>1</v>
      </c>
    </row>
    <row r="455" spans="1:11">
      <c r="A455" s="5" t="s">
        <v>116</v>
      </c>
      <c r="B455" s="6">
        <v>45208</v>
      </c>
      <c r="C455" s="7">
        <v>1</v>
      </c>
      <c r="D455" s="5">
        <v>4.8600000000000003</v>
      </c>
      <c r="E455" s="5">
        <v>916.3</v>
      </c>
      <c r="F455" s="5">
        <v>927.8</v>
      </c>
      <c r="G455" s="6">
        <v>45208</v>
      </c>
      <c r="H455" s="5"/>
      <c r="I455" s="5"/>
      <c r="J455" s="5">
        <f t="shared" si="59"/>
        <v>11.5</v>
      </c>
      <c r="K455" s="8" t="b">
        <f t="shared" si="61"/>
        <v>1</v>
      </c>
    </row>
    <row r="456" spans="1:11">
      <c r="A456" s="5" t="s">
        <v>116</v>
      </c>
      <c r="B456" s="6">
        <v>45209</v>
      </c>
      <c r="C456" s="7">
        <v>1</v>
      </c>
      <c r="D456" s="5">
        <v>4.8600000000000003</v>
      </c>
      <c r="E456" s="5">
        <v>927.8</v>
      </c>
      <c r="F456" s="5">
        <v>940.5</v>
      </c>
      <c r="G456" s="6">
        <v>45209</v>
      </c>
      <c r="H456" s="5"/>
      <c r="I456" s="5"/>
      <c r="J456" s="5">
        <f t="shared" si="59"/>
        <v>12.700000000000045</v>
      </c>
      <c r="K456" s="8" t="b">
        <f t="shared" si="61"/>
        <v>1</v>
      </c>
    </row>
    <row r="457" spans="1:11">
      <c r="A457" s="5" t="s">
        <v>116</v>
      </c>
      <c r="B457" s="6">
        <v>45210</v>
      </c>
      <c r="C457" s="7">
        <v>1</v>
      </c>
      <c r="D457" s="5">
        <v>4.8600000000000003</v>
      </c>
      <c r="E457" s="5">
        <v>940.5</v>
      </c>
      <c r="F457" s="5">
        <v>952.2</v>
      </c>
      <c r="G457" s="6">
        <v>45210</v>
      </c>
      <c r="H457" s="5"/>
      <c r="I457" s="5"/>
      <c r="J457" s="5">
        <f t="shared" si="59"/>
        <v>11.700000000000045</v>
      </c>
      <c r="K457" s="8" t="b">
        <f t="shared" si="61"/>
        <v>1</v>
      </c>
    </row>
    <row r="458" spans="1:11">
      <c r="A458" s="5" t="s">
        <v>116</v>
      </c>
      <c r="B458" s="6">
        <v>45211</v>
      </c>
      <c r="C458" s="7">
        <v>1</v>
      </c>
      <c r="D458" s="5">
        <v>4.8600000000000003</v>
      </c>
      <c r="E458" s="5">
        <v>952.2</v>
      </c>
      <c r="F458" s="5">
        <v>959.8</v>
      </c>
      <c r="G458" s="6">
        <v>45211</v>
      </c>
      <c r="H458" s="5"/>
      <c r="I458" s="5"/>
      <c r="J458" s="5">
        <f t="shared" si="59"/>
        <v>7.5999999999999091</v>
      </c>
      <c r="K458" s="8" t="b">
        <f t="shared" si="61"/>
        <v>1</v>
      </c>
    </row>
    <row r="459" spans="1:11">
      <c r="A459" s="5" t="s">
        <v>116</v>
      </c>
      <c r="B459" s="6">
        <v>45212</v>
      </c>
      <c r="C459" s="7">
        <v>1</v>
      </c>
      <c r="D459" s="5">
        <v>4.8600000000000003</v>
      </c>
      <c r="E459" s="5">
        <v>959.8</v>
      </c>
      <c r="F459" s="5">
        <v>966.9</v>
      </c>
      <c r="G459" s="6">
        <v>45212</v>
      </c>
      <c r="H459" s="5"/>
      <c r="I459" s="5"/>
      <c r="J459" s="5">
        <f t="shared" si="59"/>
        <v>7.1000000000000227</v>
      </c>
      <c r="K459" s="8" t="b">
        <f t="shared" si="61"/>
        <v>1</v>
      </c>
    </row>
    <row r="460" spans="1:11">
      <c r="A460" s="5" t="s">
        <v>116</v>
      </c>
      <c r="B460" s="6">
        <v>45213</v>
      </c>
      <c r="C460" s="7">
        <v>1</v>
      </c>
      <c r="D460" s="5">
        <v>4.8600000000000003</v>
      </c>
      <c r="E460" s="5">
        <v>966.9</v>
      </c>
      <c r="F460" s="5">
        <v>978.6</v>
      </c>
      <c r="G460" s="6">
        <v>45213</v>
      </c>
      <c r="H460" s="5"/>
      <c r="I460" s="5"/>
      <c r="J460" s="5">
        <f t="shared" si="59"/>
        <v>11.700000000000045</v>
      </c>
      <c r="K460" s="8" t="b">
        <f t="shared" si="61"/>
        <v>1</v>
      </c>
    </row>
    <row r="461" spans="1:11">
      <c r="A461" s="5" t="s">
        <v>116</v>
      </c>
      <c r="B461" s="6">
        <v>45214</v>
      </c>
      <c r="C461" s="7">
        <v>1</v>
      </c>
      <c r="D461" s="5">
        <v>4.8600000000000003</v>
      </c>
      <c r="E461" s="5">
        <v>978.6</v>
      </c>
      <c r="F461" s="5">
        <v>989.8</v>
      </c>
      <c r="G461" s="6">
        <v>45214</v>
      </c>
      <c r="H461" s="5"/>
      <c r="I461" s="5"/>
      <c r="J461" s="5">
        <f t="shared" si="59"/>
        <v>11.199999999999932</v>
      </c>
      <c r="K461" s="8" t="b">
        <f t="shared" si="61"/>
        <v>1</v>
      </c>
    </row>
    <row r="462" spans="1:11">
      <c r="A462" s="5" t="s">
        <v>116</v>
      </c>
      <c r="B462" s="6">
        <v>45215</v>
      </c>
      <c r="C462" s="7">
        <v>1</v>
      </c>
      <c r="D462" s="5">
        <v>4.8600000000000003</v>
      </c>
      <c r="E462" s="5">
        <v>989.8</v>
      </c>
      <c r="F462" s="5">
        <v>1001.3</v>
      </c>
      <c r="G462" s="6">
        <v>45215</v>
      </c>
      <c r="H462" s="5"/>
      <c r="I462" s="5"/>
      <c r="J462" s="5">
        <f t="shared" ref="J462:J474" si="62">F462-E462</f>
        <v>11.5</v>
      </c>
      <c r="K462" s="8" t="b">
        <f t="shared" ref="K462:K474" si="63">E462=F461</f>
        <v>1</v>
      </c>
    </row>
    <row r="463" spans="1:11">
      <c r="A463" s="5" t="s">
        <v>116</v>
      </c>
      <c r="B463" s="6">
        <v>45216</v>
      </c>
      <c r="C463" s="7">
        <v>1</v>
      </c>
      <c r="D463" s="5">
        <v>4.8600000000000003</v>
      </c>
      <c r="E463" s="5">
        <v>1001.3</v>
      </c>
      <c r="F463" s="5">
        <v>1012.8</v>
      </c>
      <c r="G463" s="6">
        <v>45216</v>
      </c>
      <c r="H463" s="5"/>
      <c r="I463" s="5"/>
      <c r="J463" s="5">
        <f t="shared" si="62"/>
        <v>11.5</v>
      </c>
      <c r="K463" s="8" t="b">
        <f t="shared" si="63"/>
        <v>1</v>
      </c>
    </row>
    <row r="464" spans="1:11">
      <c r="A464" s="5" t="s">
        <v>116</v>
      </c>
      <c r="B464" s="6">
        <v>45217</v>
      </c>
      <c r="C464" s="7">
        <v>1</v>
      </c>
      <c r="D464" s="5">
        <v>4.8600000000000003</v>
      </c>
      <c r="E464" s="5">
        <v>1012.8</v>
      </c>
      <c r="F464" s="5">
        <v>1024.4000000000001</v>
      </c>
      <c r="G464" s="6">
        <v>45217</v>
      </c>
      <c r="H464" s="5"/>
      <c r="I464" s="5"/>
      <c r="J464" s="5">
        <f t="shared" si="62"/>
        <v>11.600000000000136</v>
      </c>
      <c r="K464" s="8" t="b">
        <f t="shared" si="63"/>
        <v>1</v>
      </c>
    </row>
    <row r="465" spans="1:11">
      <c r="A465" s="5" t="s">
        <v>116</v>
      </c>
      <c r="B465" s="6">
        <v>45217</v>
      </c>
      <c r="C465" s="7">
        <v>0.7</v>
      </c>
      <c r="D465" s="5">
        <v>8.2899999999999991</v>
      </c>
      <c r="E465" s="5">
        <v>1024.4000000000001</v>
      </c>
      <c r="F465" s="5">
        <v>1033.7</v>
      </c>
      <c r="G465" s="6">
        <v>45217</v>
      </c>
      <c r="H465" s="5"/>
      <c r="I465" s="5"/>
      <c r="J465" s="5">
        <f t="shared" si="62"/>
        <v>9.2999999999999545</v>
      </c>
      <c r="K465" s="8" t="b">
        <f t="shared" si="63"/>
        <v>1</v>
      </c>
    </row>
    <row r="466" spans="1:11">
      <c r="A466" s="5" t="s">
        <v>116</v>
      </c>
      <c r="B466" s="6">
        <v>45218</v>
      </c>
      <c r="C466" s="7">
        <v>1</v>
      </c>
      <c r="D466" s="5">
        <v>4.8600000000000003</v>
      </c>
      <c r="E466" s="5">
        <v>1033.7</v>
      </c>
      <c r="F466" s="5">
        <v>1045.0999999999999</v>
      </c>
      <c r="G466" s="6">
        <v>45218</v>
      </c>
      <c r="H466" s="5"/>
      <c r="I466" s="5"/>
      <c r="J466" s="5">
        <f t="shared" si="62"/>
        <v>11.399999999999864</v>
      </c>
      <c r="K466" s="8" t="b">
        <f t="shared" si="63"/>
        <v>1</v>
      </c>
    </row>
    <row r="467" spans="1:11">
      <c r="A467" s="5" t="s">
        <v>116</v>
      </c>
      <c r="B467" s="6">
        <v>45219</v>
      </c>
      <c r="C467" s="7">
        <v>1</v>
      </c>
      <c r="D467" s="5">
        <v>4.8600000000000003</v>
      </c>
      <c r="E467" s="5">
        <v>1045.0999999999999</v>
      </c>
      <c r="F467" s="5">
        <v>1057.3</v>
      </c>
      <c r="G467" s="6">
        <v>45219</v>
      </c>
      <c r="H467" s="5"/>
      <c r="I467" s="5"/>
      <c r="J467" s="5">
        <f t="shared" si="62"/>
        <v>12.200000000000045</v>
      </c>
      <c r="K467" s="8" t="b">
        <f t="shared" si="63"/>
        <v>1</v>
      </c>
    </row>
    <row r="468" spans="1:11">
      <c r="A468" s="5" t="s">
        <v>116</v>
      </c>
      <c r="B468" s="6">
        <v>45220</v>
      </c>
      <c r="C468" s="7">
        <v>1</v>
      </c>
      <c r="D468" s="5">
        <v>4.8600000000000003</v>
      </c>
      <c r="E468" s="5">
        <v>1057.3</v>
      </c>
      <c r="F468" s="5">
        <v>1068.8</v>
      </c>
      <c r="G468" s="6">
        <v>45220</v>
      </c>
      <c r="H468" s="5"/>
      <c r="I468" s="5"/>
      <c r="J468" s="5">
        <f t="shared" si="62"/>
        <v>11.5</v>
      </c>
      <c r="K468" s="8" t="b">
        <f t="shared" si="63"/>
        <v>1</v>
      </c>
    </row>
    <row r="469" spans="1:11">
      <c r="A469" s="5" t="s">
        <v>116</v>
      </c>
      <c r="B469" s="6">
        <v>45221</v>
      </c>
      <c r="C469" s="7">
        <v>1</v>
      </c>
      <c r="D469" s="5">
        <v>4.8600000000000003</v>
      </c>
      <c r="E469" s="5">
        <v>1068.8</v>
      </c>
      <c r="F469" s="5">
        <v>1080.5999999999999</v>
      </c>
      <c r="G469" s="6">
        <v>45221</v>
      </c>
      <c r="H469" s="5"/>
      <c r="I469" s="5"/>
      <c r="J469" s="5">
        <f t="shared" si="62"/>
        <v>11.799999999999955</v>
      </c>
      <c r="K469" s="8" t="b">
        <f t="shared" si="63"/>
        <v>1</v>
      </c>
    </row>
    <row r="470" spans="1:11">
      <c r="A470" s="5" t="s">
        <v>116</v>
      </c>
      <c r="B470" s="6">
        <v>45222</v>
      </c>
      <c r="C470" s="7">
        <v>1</v>
      </c>
      <c r="D470" s="5">
        <v>4.8600000000000003</v>
      </c>
      <c r="E470" s="5">
        <v>1080.5999999999999</v>
      </c>
      <c r="F470" s="5">
        <v>1092.2</v>
      </c>
      <c r="G470" s="6">
        <v>45222</v>
      </c>
      <c r="H470" s="5"/>
      <c r="I470" s="5"/>
      <c r="J470" s="5">
        <f t="shared" si="62"/>
        <v>11.600000000000136</v>
      </c>
      <c r="K470" s="8" t="b">
        <f t="shared" si="63"/>
        <v>1</v>
      </c>
    </row>
    <row r="471" spans="1:11">
      <c r="A471" s="5" t="s">
        <v>116</v>
      </c>
      <c r="B471" s="6">
        <v>45223</v>
      </c>
      <c r="C471" s="7">
        <v>0.8</v>
      </c>
      <c r="D471" s="5">
        <v>6.08</v>
      </c>
      <c r="E471" s="5">
        <v>1092.2</v>
      </c>
      <c r="F471" s="5">
        <v>1106.5999999999999</v>
      </c>
      <c r="G471" s="6">
        <v>45223</v>
      </c>
      <c r="H471" s="5"/>
      <c r="I471" s="5"/>
      <c r="J471" s="5">
        <f t="shared" si="62"/>
        <v>14.399999999999864</v>
      </c>
      <c r="K471" s="8" t="b">
        <f t="shared" si="63"/>
        <v>1</v>
      </c>
    </row>
    <row r="472" spans="1:11">
      <c r="A472" s="5" t="s">
        <v>116</v>
      </c>
      <c r="B472" s="6">
        <v>45224</v>
      </c>
      <c r="C472" s="7">
        <v>1</v>
      </c>
      <c r="D472" s="5">
        <v>4.8600000000000003</v>
      </c>
      <c r="E472" s="5">
        <v>1106.5999999999999</v>
      </c>
      <c r="F472" s="5">
        <v>1118.3</v>
      </c>
      <c r="G472" s="6">
        <v>45224</v>
      </c>
      <c r="H472" s="5"/>
      <c r="I472" s="5"/>
      <c r="J472" s="5">
        <f t="shared" si="62"/>
        <v>11.700000000000045</v>
      </c>
      <c r="K472" s="8" t="b">
        <f t="shared" si="63"/>
        <v>1</v>
      </c>
    </row>
    <row r="473" spans="1:11">
      <c r="A473" s="5" t="s">
        <v>116</v>
      </c>
      <c r="B473" s="6">
        <v>45228</v>
      </c>
      <c r="C473" s="7">
        <v>0.8</v>
      </c>
      <c r="D473" s="5">
        <v>6.08</v>
      </c>
      <c r="E473" s="5">
        <v>1118.3</v>
      </c>
      <c r="F473" s="5">
        <v>1132.5999999999999</v>
      </c>
      <c r="G473" s="6">
        <v>45228</v>
      </c>
      <c r="H473" s="5"/>
      <c r="I473" s="5"/>
      <c r="J473" s="5">
        <f t="shared" si="62"/>
        <v>14.299999999999955</v>
      </c>
      <c r="K473" s="8" t="b">
        <f t="shared" si="63"/>
        <v>1</v>
      </c>
    </row>
    <row r="474" spans="1:11">
      <c r="A474" s="5" t="s">
        <v>116</v>
      </c>
      <c r="B474" s="6">
        <v>45230</v>
      </c>
      <c r="C474" s="7">
        <v>1</v>
      </c>
      <c r="D474" s="5">
        <v>4.8600000000000003</v>
      </c>
      <c r="E474" s="5">
        <v>1132.5999999999999</v>
      </c>
      <c r="F474" s="5">
        <v>1144.5</v>
      </c>
      <c r="G474" s="6">
        <v>45230</v>
      </c>
      <c r="H474" s="5"/>
      <c r="I474" s="5"/>
      <c r="J474" s="5">
        <f t="shared" si="62"/>
        <v>11.900000000000091</v>
      </c>
      <c r="K474" s="8" t="b">
        <f t="shared" si="63"/>
        <v>1</v>
      </c>
    </row>
    <row r="475" spans="1:11">
      <c r="A475" s="5" t="s">
        <v>116</v>
      </c>
      <c r="B475" s="6">
        <v>45232</v>
      </c>
      <c r="C475" s="7">
        <v>0.8</v>
      </c>
      <c r="D475" s="5">
        <v>6.08</v>
      </c>
      <c r="E475" s="5">
        <v>1144.5</v>
      </c>
      <c r="F475" s="5">
        <v>1158.3</v>
      </c>
      <c r="G475" s="6">
        <v>45232</v>
      </c>
      <c r="H475" s="5"/>
      <c r="I475" s="5"/>
      <c r="J475" s="5">
        <f t="shared" ref="J475:J483" si="64">F475-E475</f>
        <v>13.799999999999955</v>
      </c>
      <c r="K475" s="8" t="b">
        <f t="shared" ref="K475:K483" si="65">E475=F474</f>
        <v>1</v>
      </c>
    </row>
    <row r="476" spans="1:11">
      <c r="A476" s="5" t="s">
        <v>116</v>
      </c>
      <c r="B476" s="6">
        <v>45237</v>
      </c>
      <c r="C476" s="7">
        <v>0.8</v>
      </c>
      <c r="D476" s="5">
        <v>6.08</v>
      </c>
      <c r="E476" s="5">
        <v>1158.3</v>
      </c>
      <c r="F476" s="5">
        <v>1172.9000000000001</v>
      </c>
      <c r="G476" s="6">
        <v>45237</v>
      </c>
      <c r="H476" s="5"/>
      <c r="I476" s="5"/>
      <c r="J476" s="5">
        <f t="shared" si="64"/>
        <v>14.600000000000136</v>
      </c>
      <c r="K476" s="8" t="b">
        <f t="shared" si="65"/>
        <v>1</v>
      </c>
    </row>
    <row r="477" spans="1:11">
      <c r="A477" s="5" t="s">
        <v>116</v>
      </c>
      <c r="B477" s="6">
        <v>45238</v>
      </c>
      <c r="C477" s="7">
        <v>0.8</v>
      </c>
      <c r="D477" s="5">
        <v>6.08</v>
      </c>
      <c r="E477" s="5">
        <v>1172.9000000000001</v>
      </c>
      <c r="F477" s="5">
        <v>1187.2</v>
      </c>
      <c r="G477" s="6">
        <v>45238</v>
      </c>
      <c r="H477" s="5"/>
      <c r="I477" s="5"/>
      <c r="J477" s="5">
        <f t="shared" si="64"/>
        <v>14.299999999999955</v>
      </c>
      <c r="K477" s="8" t="b">
        <f t="shared" si="65"/>
        <v>1</v>
      </c>
    </row>
    <row r="478" spans="1:11">
      <c r="A478" s="5" t="s">
        <v>116</v>
      </c>
      <c r="B478" s="6">
        <v>45240</v>
      </c>
      <c r="C478" s="7">
        <v>0.8</v>
      </c>
      <c r="D478" s="5">
        <v>6.08</v>
      </c>
      <c r="E478" s="5">
        <v>1187.2</v>
      </c>
      <c r="F478" s="5">
        <v>1201.7</v>
      </c>
      <c r="G478" s="6">
        <v>45240</v>
      </c>
      <c r="H478" s="5"/>
      <c r="I478" s="5"/>
      <c r="J478" s="5">
        <f t="shared" si="64"/>
        <v>14.5</v>
      </c>
      <c r="K478" s="8" t="b">
        <f t="shared" si="65"/>
        <v>1</v>
      </c>
    </row>
    <row r="479" spans="1:11">
      <c r="A479" s="5" t="s">
        <v>116</v>
      </c>
      <c r="B479" s="6">
        <v>45243</v>
      </c>
      <c r="C479" s="7">
        <v>0.7</v>
      </c>
      <c r="D479" s="5">
        <v>6.94</v>
      </c>
      <c r="E479" s="5">
        <v>1201.7</v>
      </c>
      <c r="F479" s="5">
        <v>1218.3</v>
      </c>
      <c r="G479" s="6">
        <v>45243</v>
      </c>
      <c r="H479" s="5"/>
      <c r="I479" s="5"/>
      <c r="J479" s="5">
        <f t="shared" si="64"/>
        <v>16.599999999999909</v>
      </c>
      <c r="K479" s="8" t="b">
        <f t="shared" si="65"/>
        <v>1</v>
      </c>
    </row>
    <row r="480" spans="1:11">
      <c r="A480" s="5" t="s">
        <v>116</v>
      </c>
      <c r="B480" s="6">
        <v>45244</v>
      </c>
      <c r="C480" s="7">
        <v>1</v>
      </c>
      <c r="D480" s="5">
        <v>4.8600000000000003</v>
      </c>
      <c r="E480" s="5">
        <v>1218.3</v>
      </c>
      <c r="F480" s="5">
        <v>1229.5</v>
      </c>
      <c r="G480" s="6">
        <v>45244</v>
      </c>
      <c r="H480" s="5"/>
      <c r="I480" s="5"/>
      <c r="J480" s="5">
        <f t="shared" si="64"/>
        <v>11.200000000000045</v>
      </c>
      <c r="K480" s="8" t="b">
        <f t="shared" si="65"/>
        <v>1</v>
      </c>
    </row>
    <row r="481" spans="1:11">
      <c r="A481" s="5" t="s">
        <v>116</v>
      </c>
      <c r="B481" s="6">
        <v>45245</v>
      </c>
      <c r="C481" s="7">
        <v>0.8</v>
      </c>
      <c r="D481" s="5">
        <v>6.08</v>
      </c>
      <c r="E481" s="5">
        <v>1229.5</v>
      </c>
      <c r="F481" s="5">
        <v>1243.8</v>
      </c>
      <c r="G481" s="6">
        <v>45245</v>
      </c>
      <c r="H481" s="5"/>
      <c r="I481" s="5"/>
      <c r="J481" s="5">
        <f t="shared" si="64"/>
        <v>14.299999999999955</v>
      </c>
      <c r="K481" s="8" t="b">
        <f t="shared" si="65"/>
        <v>1</v>
      </c>
    </row>
    <row r="482" spans="1:11">
      <c r="A482" s="5" t="s">
        <v>116</v>
      </c>
      <c r="B482" s="6">
        <v>45247</v>
      </c>
      <c r="C482" s="7">
        <v>0.7</v>
      </c>
      <c r="D482" s="5">
        <v>6.94</v>
      </c>
      <c r="E482" s="5">
        <v>1243.8</v>
      </c>
      <c r="F482" s="5">
        <v>1260.0999999999999</v>
      </c>
      <c r="G482" s="6">
        <v>45247</v>
      </c>
      <c r="H482" s="5"/>
      <c r="I482" s="5"/>
      <c r="J482" s="5">
        <f t="shared" si="64"/>
        <v>16.299999999999955</v>
      </c>
      <c r="K482" s="8" t="b">
        <f t="shared" si="65"/>
        <v>1</v>
      </c>
    </row>
    <row r="483" spans="1:11">
      <c r="A483" s="5" t="s">
        <v>116</v>
      </c>
      <c r="B483" s="6">
        <v>45249</v>
      </c>
      <c r="C483" s="7">
        <v>0.6</v>
      </c>
      <c r="D483" s="5">
        <v>8.1</v>
      </c>
      <c r="E483" s="5">
        <v>1260.0999999999999</v>
      </c>
      <c r="F483" s="5">
        <v>1279.3</v>
      </c>
      <c r="G483" s="6">
        <v>45249</v>
      </c>
      <c r="H483" s="5"/>
      <c r="I483" s="5"/>
      <c r="J483" s="5">
        <f t="shared" si="64"/>
        <v>19.200000000000045</v>
      </c>
      <c r="K483" s="8" t="b">
        <f t="shared" si="65"/>
        <v>1</v>
      </c>
    </row>
    <row r="484" spans="1:11">
      <c r="A484" s="5" t="s">
        <v>116</v>
      </c>
      <c r="B484" s="6">
        <v>45251</v>
      </c>
      <c r="C484" s="7">
        <v>0.7</v>
      </c>
      <c r="D484" s="5">
        <v>6.94</v>
      </c>
      <c r="E484" s="5">
        <v>1279.3</v>
      </c>
      <c r="F484" s="5">
        <v>1295.5</v>
      </c>
      <c r="G484" s="6">
        <v>45251</v>
      </c>
      <c r="H484" s="5"/>
      <c r="I484" s="5"/>
      <c r="J484" s="5">
        <f t="shared" ref="J484:J496" si="66">F484-E484</f>
        <v>16.200000000000045</v>
      </c>
      <c r="K484" s="8" t="b">
        <f t="shared" ref="K484:K496" si="67">E484=F483</f>
        <v>1</v>
      </c>
    </row>
    <row r="485" spans="1:11">
      <c r="A485" s="5" t="s">
        <v>116</v>
      </c>
      <c r="B485" s="6">
        <v>45253</v>
      </c>
      <c r="C485" s="7">
        <v>0.7</v>
      </c>
      <c r="D485" s="5">
        <v>6.94</v>
      </c>
      <c r="E485" s="5">
        <v>1295.5</v>
      </c>
      <c r="F485" s="5">
        <v>1311.7</v>
      </c>
      <c r="G485" s="6">
        <v>45253</v>
      </c>
      <c r="H485" s="5"/>
      <c r="I485" s="5"/>
      <c r="J485" s="5">
        <f t="shared" si="66"/>
        <v>16.200000000000045</v>
      </c>
      <c r="K485" s="8" t="b">
        <f t="shared" si="67"/>
        <v>1</v>
      </c>
    </row>
    <row r="486" spans="1:11">
      <c r="A486" s="5" t="s">
        <v>116</v>
      </c>
      <c r="B486" s="6">
        <v>45255</v>
      </c>
      <c r="C486" s="7">
        <v>0.6</v>
      </c>
      <c r="D486" s="5">
        <v>8.1</v>
      </c>
      <c r="E486" s="5">
        <v>1311.7</v>
      </c>
      <c r="F486" s="5">
        <v>1330.7</v>
      </c>
      <c r="G486" s="6">
        <v>45255</v>
      </c>
      <c r="H486" s="5"/>
      <c r="I486" s="5"/>
      <c r="J486" s="5">
        <f t="shared" si="66"/>
        <v>19</v>
      </c>
      <c r="K486" s="8" t="b">
        <f t="shared" si="67"/>
        <v>1</v>
      </c>
    </row>
    <row r="487" spans="1:11">
      <c r="A487" s="5" t="s">
        <v>116</v>
      </c>
      <c r="B487" s="6">
        <v>45257</v>
      </c>
      <c r="C487" s="7">
        <v>0.6</v>
      </c>
      <c r="D487" s="5">
        <v>8.1</v>
      </c>
      <c r="E487" s="5">
        <v>1330.7</v>
      </c>
      <c r="F487" s="5">
        <v>1349.6</v>
      </c>
      <c r="G487" s="6">
        <v>45257</v>
      </c>
      <c r="H487" s="5"/>
      <c r="I487" s="5"/>
      <c r="J487" s="5">
        <f t="shared" si="66"/>
        <v>18.899999999999864</v>
      </c>
      <c r="K487" s="8" t="b">
        <f t="shared" si="67"/>
        <v>1</v>
      </c>
    </row>
    <row r="488" spans="1:11">
      <c r="A488" s="5" t="s">
        <v>116</v>
      </c>
      <c r="B488" s="6">
        <v>45259</v>
      </c>
      <c r="C488" s="7">
        <v>0.6</v>
      </c>
      <c r="D488" s="5">
        <v>8.1</v>
      </c>
      <c r="E488" s="5">
        <v>1349.6</v>
      </c>
      <c r="F488" s="5">
        <v>1368.6</v>
      </c>
      <c r="G488" s="6">
        <v>45259</v>
      </c>
      <c r="H488" s="5"/>
      <c r="I488" s="5"/>
      <c r="J488" s="5">
        <f t="shared" si="66"/>
        <v>19</v>
      </c>
      <c r="K488" s="8" t="b">
        <f t="shared" si="67"/>
        <v>1</v>
      </c>
    </row>
    <row r="489" spans="1:11">
      <c r="A489" s="5" t="s">
        <v>116</v>
      </c>
      <c r="B489" s="6">
        <v>45261</v>
      </c>
      <c r="C489" s="7">
        <v>0.6</v>
      </c>
      <c r="D489" s="5">
        <v>8.1</v>
      </c>
      <c r="E489" s="5">
        <v>1368.6</v>
      </c>
      <c r="F489" s="5">
        <v>1387.5</v>
      </c>
      <c r="G489" s="6">
        <v>45261</v>
      </c>
      <c r="H489" s="5"/>
      <c r="I489" s="5"/>
      <c r="J489" s="5">
        <f t="shared" si="66"/>
        <v>18.900000000000091</v>
      </c>
      <c r="K489" s="8" t="b">
        <f t="shared" si="67"/>
        <v>1</v>
      </c>
    </row>
    <row r="490" spans="1:11">
      <c r="A490" s="5" t="s">
        <v>116</v>
      </c>
      <c r="B490" s="6">
        <v>45263</v>
      </c>
      <c r="C490" s="7">
        <v>0.6</v>
      </c>
      <c r="D490" s="5">
        <v>8.1</v>
      </c>
      <c r="E490" s="5">
        <v>1387.5</v>
      </c>
      <c r="F490" s="5">
        <v>1408.1</v>
      </c>
      <c r="G490" s="6">
        <v>45263</v>
      </c>
      <c r="H490" s="5"/>
      <c r="I490" s="5"/>
      <c r="J490" s="5">
        <f t="shared" si="66"/>
        <v>20.599999999999909</v>
      </c>
      <c r="K490" s="8" t="b">
        <f t="shared" si="67"/>
        <v>1</v>
      </c>
    </row>
    <row r="491" spans="1:11">
      <c r="A491" s="5" t="s">
        <v>116</v>
      </c>
      <c r="B491" s="6">
        <v>45265</v>
      </c>
      <c r="C491" s="7">
        <v>0.6</v>
      </c>
      <c r="D491" s="5">
        <v>8.1</v>
      </c>
      <c r="E491" s="5">
        <v>1408.1</v>
      </c>
      <c r="F491" s="5">
        <v>1425.3</v>
      </c>
      <c r="G491" s="6">
        <v>45265</v>
      </c>
      <c r="H491" s="5"/>
      <c r="I491" s="5"/>
      <c r="J491" s="5">
        <f t="shared" si="66"/>
        <v>17.200000000000045</v>
      </c>
      <c r="K491" s="8" t="b">
        <f t="shared" si="67"/>
        <v>1</v>
      </c>
    </row>
    <row r="492" spans="1:11">
      <c r="A492" s="5" t="s">
        <v>116</v>
      </c>
      <c r="B492" s="6">
        <v>45267</v>
      </c>
      <c r="C492" s="7">
        <v>0.6</v>
      </c>
      <c r="D492" s="5">
        <v>8.1</v>
      </c>
      <c r="E492" s="5">
        <v>1425.3</v>
      </c>
      <c r="F492" s="5">
        <v>1445.5</v>
      </c>
      <c r="G492" s="6">
        <v>45267</v>
      </c>
      <c r="H492" s="5"/>
      <c r="I492" s="5"/>
      <c r="J492" s="5">
        <f t="shared" si="66"/>
        <v>20.200000000000045</v>
      </c>
      <c r="K492" s="8" t="b">
        <f t="shared" si="67"/>
        <v>1</v>
      </c>
    </row>
    <row r="493" spans="1:11">
      <c r="A493" s="5" t="s">
        <v>116</v>
      </c>
      <c r="B493" s="6">
        <v>45269</v>
      </c>
      <c r="C493" s="7"/>
      <c r="D493" s="5"/>
      <c r="E493" s="5">
        <v>1445.5</v>
      </c>
      <c r="F493" s="5">
        <v>1469.5</v>
      </c>
      <c r="G493" s="6">
        <v>45269</v>
      </c>
      <c r="H493" s="5"/>
      <c r="I493" s="5"/>
      <c r="J493" s="5">
        <f t="shared" si="66"/>
        <v>24</v>
      </c>
      <c r="K493" s="8" t="b">
        <f t="shared" si="67"/>
        <v>1</v>
      </c>
    </row>
    <row r="494" spans="1:11">
      <c r="A494" s="5" t="s">
        <v>116</v>
      </c>
      <c r="B494" s="6">
        <v>45271</v>
      </c>
      <c r="C494" s="7">
        <v>0</v>
      </c>
      <c r="D494" s="5"/>
      <c r="E494" s="5">
        <v>1469.5</v>
      </c>
      <c r="F494" s="5">
        <v>1490.2</v>
      </c>
      <c r="G494" s="6">
        <v>45271</v>
      </c>
      <c r="H494" s="5"/>
      <c r="I494" s="5"/>
      <c r="J494" s="5">
        <f t="shared" si="66"/>
        <v>20.700000000000045</v>
      </c>
      <c r="K494" s="8" t="b">
        <f t="shared" si="67"/>
        <v>1</v>
      </c>
    </row>
    <row r="495" spans="1:11">
      <c r="A495" s="5" t="s">
        <v>116</v>
      </c>
      <c r="B495" s="6">
        <v>45273</v>
      </c>
      <c r="C495" s="7"/>
      <c r="D495" s="5"/>
      <c r="E495" s="5">
        <v>1490.2</v>
      </c>
      <c r="F495" s="5">
        <v>1510.5</v>
      </c>
      <c r="G495" s="6">
        <v>45273</v>
      </c>
      <c r="H495" s="5"/>
      <c r="I495" s="5"/>
      <c r="J495" s="5">
        <f t="shared" si="66"/>
        <v>20.299999999999955</v>
      </c>
      <c r="K495" s="8" t="b">
        <f t="shared" si="67"/>
        <v>1</v>
      </c>
    </row>
    <row r="496" spans="1:11">
      <c r="A496" s="5" t="s">
        <v>116</v>
      </c>
      <c r="B496" s="6">
        <v>45275</v>
      </c>
      <c r="C496" s="7">
        <v>0.6</v>
      </c>
      <c r="D496" s="5">
        <v>8.1</v>
      </c>
      <c r="E496" s="5">
        <v>1510.5</v>
      </c>
      <c r="F496" s="5">
        <v>1533.6</v>
      </c>
      <c r="G496" s="6">
        <v>45275</v>
      </c>
      <c r="H496" s="5"/>
      <c r="I496" s="5"/>
      <c r="J496" s="5">
        <f t="shared" si="66"/>
        <v>23.099999999999909</v>
      </c>
      <c r="K496" s="8" t="b">
        <f t="shared" si="67"/>
        <v>1</v>
      </c>
    </row>
    <row r="497" spans="1:11">
      <c r="A497" s="5" t="s">
        <v>116</v>
      </c>
      <c r="B497" s="6">
        <v>45277</v>
      </c>
      <c r="C497" s="7">
        <v>0.6</v>
      </c>
      <c r="D497" s="5">
        <v>8.1</v>
      </c>
      <c r="E497" s="5">
        <v>1533.6</v>
      </c>
      <c r="F497" s="5">
        <v>1552.6</v>
      </c>
      <c r="G497" s="6">
        <v>45277</v>
      </c>
      <c r="H497" s="5"/>
      <c r="I497" s="5"/>
      <c r="J497" s="5">
        <f t="shared" ref="J497:J529" si="68">F497-E497</f>
        <v>19</v>
      </c>
      <c r="K497" s="8" t="b">
        <f t="shared" ref="K497:K529" si="69">E497=F496</f>
        <v>1</v>
      </c>
    </row>
    <row r="498" spans="1:11">
      <c r="A498" s="5" t="s">
        <v>116</v>
      </c>
      <c r="B498" s="6">
        <v>45279</v>
      </c>
      <c r="C498" s="7">
        <v>1</v>
      </c>
      <c r="D498" s="5">
        <v>4.8600000000000003</v>
      </c>
      <c r="E498" s="5">
        <v>1552.6</v>
      </c>
      <c r="F498" s="5">
        <v>1564.1</v>
      </c>
      <c r="G498" s="6">
        <v>45279</v>
      </c>
      <c r="H498" s="5"/>
      <c r="I498" s="5"/>
      <c r="J498" s="5">
        <f t="shared" si="68"/>
        <v>11.5</v>
      </c>
      <c r="K498" s="8" t="b">
        <f t="shared" si="69"/>
        <v>1</v>
      </c>
    </row>
    <row r="499" spans="1:11">
      <c r="A499" s="5" t="s">
        <v>116</v>
      </c>
      <c r="B499" s="6">
        <v>45285</v>
      </c>
      <c r="C499" s="7">
        <v>0.8</v>
      </c>
      <c r="D499" s="5">
        <v>6.08</v>
      </c>
      <c r="E499" s="5">
        <v>1564.1</v>
      </c>
      <c r="F499" s="5">
        <v>1578.4</v>
      </c>
      <c r="G499" s="6">
        <v>45285</v>
      </c>
      <c r="H499" s="5"/>
      <c r="I499" s="5"/>
      <c r="J499" s="5">
        <f t="shared" si="68"/>
        <v>14.300000000000182</v>
      </c>
      <c r="K499" s="8" t="b">
        <f t="shared" si="69"/>
        <v>1</v>
      </c>
    </row>
    <row r="500" spans="1:11">
      <c r="A500" s="5" t="s">
        <v>116</v>
      </c>
      <c r="B500" s="6">
        <v>45287</v>
      </c>
      <c r="C500" s="7">
        <v>0.7</v>
      </c>
      <c r="D500" s="5">
        <v>6.94</v>
      </c>
      <c r="E500" s="5">
        <v>1578.4</v>
      </c>
      <c r="F500" s="5">
        <v>1594.7</v>
      </c>
      <c r="G500" s="6">
        <v>45287</v>
      </c>
      <c r="H500" s="5"/>
      <c r="I500" s="5"/>
      <c r="J500" s="5">
        <f t="shared" si="68"/>
        <v>16.299999999999955</v>
      </c>
      <c r="K500" s="8" t="b">
        <f t="shared" si="69"/>
        <v>1</v>
      </c>
    </row>
    <row r="501" spans="1:11">
      <c r="A501" s="5" t="s">
        <v>116</v>
      </c>
      <c r="B501" s="6">
        <v>45289</v>
      </c>
      <c r="C501" s="7">
        <v>0.7</v>
      </c>
      <c r="D501" s="5">
        <v>6.94</v>
      </c>
      <c r="E501" s="5">
        <v>1594.7</v>
      </c>
      <c r="F501" s="5">
        <v>1611.1</v>
      </c>
      <c r="G501" s="6">
        <v>45289</v>
      </c>
      <c r="H501" s="5"/>
      <c r="I501" s="5"/>
      <c r="J501" s="5">
        <f t="shared" si="68"/>
        <v>16.399999999999864</v>
      </c>
      <c r="K501" s="8" t="b">
        <f t="shared" si="69"/>
        <v>1</v>
      </c>
    </row>
    <row r="502" spans="1:11">
      <c r="A502" s="101" t="s">
        <v>116</v>
      </c>
      <c r="B502" s="102">
        <v>45291</v>
      </c>
      <c r="C502" s="103">
        <v>0.7</v>
      </c>
      <c r="D502" s="101">
        <v>6.94</v>
      </c>
      <c r="E502" s="101">
        <v>1611.1</v>
      </c>
      <c r="F502" s="101">
        <v>1613.4</v>
      </c>
      <c r="G502" s="102">
        <v>45291</v>
      </c>
      <c r="H502" s="101"/>
      <c r="I502" s="101"/>
      <c r="J502" s="101">
        <f t="shared" si="68"/>
        <v>2.3000000000001819</v>
      </c>
      <c r="K502" s="8" t="b">
        <f t="shared" si="69"/>
        <v>1</v>
      </c>
    </row>
    <row r="503" spans="1:11">
      <c r="A503" s="5" t="s">
        <v>116</v>
      </c>
      <c r="B503" s="6">
        <v>45292</v>
      </c>
      <c r="C503" s="7">
        <v>0.8</v>
      </c>
      <c r="D503" s="5">
        <v>6.08</v>
      </c>
      <c r="E503" s="5">
        <v>1613.4</v>
      </c>
      <c r="F503" s="5">
        <v>1613.4</v>
      </c>
      <c r="G503" s="6">
        <v>45292</v>
      </c>
      <c r="H503" s="5"/>
      <c r="I503" s="5"/>
      <c r="J503" s="5">
        <f t="shared" si="68"/>
        <v>0</v>
      </c>
      <c r="K503" s="8" t="b">
        <f t="shared" si="69"/>
        <v>1</v>
      </c>
    </row>
    <row r="504" spans="1:11" ht="26.25">
      <c r="A504" s="186" t="s">
        <v>100</v>
      </c>
      <c r="B504" s="187"/>
      <c r="C504" s="187"/>
      <c r="D504" s="187"/>
      <c r="E504" s="187"/>
      <c r="F504" s="187"/>
      <c r="G504" s="187"/>
      <c r="H504" s="187"/>
      <c r="I504" s="187"/>
      <c r="J504" s="187"/>
      <c r="K504" s="188"/>
    </row>
    <row r="505" spans="1:11" ht="26.25">
      <c r="A505" s="181" t="s">
        <v>99</v>
      </c>
      <c r="B505" s="184"/>
      <c r="C505" s="184"/>
      <c r="D505" s="184"/>
      <c r="E505" s="184"/>
      <c r="F505" s="184"/>
      <c r="G505" s="184"/>
      <c r="H505" s="184"/>
      <c r="I505" s="184"/>
      <c r="J505" s="184"/>
      <c r="K505" s="189"/>
    </row>
    <row r="506" spans="1:11" ht="15.75" thickBot="1"/>
    <row r="507" spans="1:11" ht="15.75" thickBot="1">
      <c r="A507" s="132" t="s">
        <v>2</v>
      </c>
      <c r="B507" s="133"/>
      <c r="C507" s="133"/>
      <c r="D507" s="133"/>
      <c r="E507" s="133"/>
      <c r="F507" s="133"/>
      <c r="G507" s="133"/>
      <c r="H507" s="133"/>
      <c r="I507" s="133"/>
      <c r="J507" s="133"/>
      <c r="K507" s="134"/>
    </row>
    <row r="509" spans="1:11" ht="19.5" thickBot="1">
      <c r="A509" s="1" t="s">
        <v>3</v>
      </c>
      <c r="B509" s="1"/>
      <c r="C509" s="1"/>
      <c r="D509" s="1"/>
      <c r="E509" s="1"/>
      <c r="F509" s="1"/>
      <c r="G509" s="1"/>
      <c r="H509" s="1"/>
      <c r="I509" s="1"/>
    </row>
    <row r="510" spans="1:11" ht="30.75" thickBot="1">
      <c r="A510" s="2" t="s">
        <v>4</v>
      </c>
      <c r="B510" s="3" t="s">
        <v>5</v>
      </c>
      <c r="C510" s="3" t="s">
        <v>6</v>
      </c>
      <c r="D510" s="3" t="s">
        <v>7</v>
      </c>
      <c r="E510" s="3" t="s">
        <v>8</v>
      </c>
      <c r="F510" s="3" t="s">
        <v>9</v>
      </c>
      <c r="G510" s="3" t="s">
        <v>10</v>
      </c>
      <c r="H510" s="3" t="s">
        <v>21</v>
      </c>
      <c r="I510" s="4" t="s">
        <v>22</v>
      </c>
      <c r="J510" s="4" t="s">
        <v>11</v>
      </c>
      <c r="K510" s="4" t="s">
        <v>12</v>
      </c>
    </row>
    <row r="511" spans="1:11">
      <c r="A511" s="5" t="s">
        <v>116</v>
      </c>
      <c r="B511" s="6">
        <v>45316</v>
      </c>
      <c r="C511" s="7">
        <v>1</v>
      </c>
      <c r="D511" s="5">
        <v>4.8600000000000003</v>
      </c>
      <c r="E511" s="5">
        <v>1613.4</v>
      </c>
      <c r="F511" s="5">
        <v>1624.9</v>
      </c>
      <c r="G511" s="6">
        <v>45316</v>
      </c>
      <c r="H511" s="5"/>
      <c r="I511" s="5"/>
      <c r="J511" s="5">
        <f t="shared" si="68"/>
        <v>11.5</v>
      </c>
      <c r="K511" s="8" t="b">
        <f t="shared" si="69"/>
        <v>0</v>
      </c>
    </row>
    <row r="512" spans="1:11">
      <c r="A512" s="5" t="s">
        <v>116</v>
      </c>
      <c r="B512" s="6">
        <v>45317</v>
      </c>
      <c r="C512" s="7">
        <v>1</v>
      </c>
      <c r="D512" s="5">
        <v>4.8600000000000003</v>
      </c>
      <c r="E512" s="5">
        <v>1624.9</v>
      </c>
      <c r="F512" s="5">
        <v>1636.4</v>
      </c>
      <c r="G512" s="6">
        <v>45317</v>
      </c>
      <c r="H512" s="5"/>
      <c r="I512" s="5"/>
      <c r="J512" s="5">
        <f t="shared" si="68"/>
        <v>11.5</v>
      </c>
      <c r="K512" s="8" t="b">
        <f t="shared" si="69"/>
        <v>1</v>
      </c>
    </row>
    <row r="513" spans="1:11">
      <c r="A513" s="5" t="s">
        <v>116</v>
      </c>
      <c r="B513" s="6">
        <v>45317</v>
      </c>
      <c r="C513" s="7">
        <v>1</v>
      </c>
      <c r="D513" s="5">
        <v>4.8600000000000003</v>
      </c>
      <c r="E513" s="5">
        <v>1636.4</v>
      </c>
      <c r="F513" s="5">
        <v>1648</v>
      </c>
      <c r="G513" s="6">
        <v>45317</v>
      </c>
      <c r="H513" s="5"/>
      <c r="I513" s="5"/>
      <c r="J513" s="5">
        <f t="shared" si="68"/>
        <v>11.599999999999909</v>
      </c>
      <c r="K513" s="8" t="b">
        <f t="shared" si="69"/>
        <v>1</v>
      </c>
    </row>
    <row r="514" spans="1:11">
      <c r="A514" s="5" t="s">
        <v>116</v>
      </c>
      <c r="B514" s="6">
        <v>45319</v>
      </c>
      <c r="C514" s="7">
        <v>1</v>
      </c>
      <c r="D514" s="5">
        <v>4.8600000000000003</v>
      </c>
      <c r="E514" s="5">
        <v>1648</v>
      </c>
      <c r="F514" s="5">
        <v>1659.6</v>
      </c>
      <c r="G514" s="6">
        <v>45319</v>
      </c>
      <c r="H514" s="5"/>
      <c r="I514" s="5"/>
      <c r="J514" s="5">
        <f t="shared" si="68"/>
        <v>11.599999999999909</v>
      </c>
      <c r="K514" s="8" t="b">
        <f t="shared" si="69"/>
        <v>1</v>
      </c>
    </row>
    <row r="515" spans="1:11">
      <c r="A515" s="101" t="s">
        <v>116</v>
      </c>
      <c r="B515" s="102">
        <v>45320</v>
      </c>
      <c r="C515" s="103">
        <v>1</v>
      </c>
      <c r="D515" s="101">
        <v>4.8600000000000003</v>
      </c>
      <c r="E515" s="101">
        <v>1659.6</v>
      </c>
      <c r="F515" s="101">
        <v>1669.9</v>
      </c>
      <c r="G515" s="102">
        <v>45320</v>
      </c>
      <c r="H515" s="101"/>
      <c r="I515" s="101"/>
      <c r="J515" s="101">
        <f t="shared" si="68"/>
        <v>10.300000000000182</v>
      </c>
      <c r="K515" s="8" t="b">
        <f t="shared" si="69"/>
        <v>1</v>
      </c>
    </row>
    <row r="516" spans="1:11">
      <c r="A516" s="5" t="s">
        <v>116</v>
      </c>
      <c r="B516" s="6">
        <v>45346</v>
      </c>
      <c r="C516" s="7">
        <v>1</v>
      </c>
      <c r="D516" s="5">
        <v>4.8600000000000003</v>
      </c>
      <c r="E516" s="5">
        <v>1659.6</v>
      </c>
      <c r="F516" s="5">
        <v>1669.9</v>
      </c>
      <c r="G516" s="6">
        <v>45346</v>
      </c>
      <c r="H516" s="5"/>
      <c r="I516" s="5"/>
      <c r="J516" s="5">
        <f t="shared" si="68"/>
        <v>10.300000000000182</v>
      </c>
      <c r="K516" s="8" t="b">
        <f t="shared" si="69"/>
        <v>0</v>
      </c>
    </row>
    <row r="517" spans="1:11">
      <c r="A517" s="5" t="s">
        <v>116</v>
      </c>
      <c r="B517" s="6">
        <v>45351</v>
      </c>
      <c r="C517" s="7">
        <v>0.7</v>
      </c>
      <c r="D517" s="5">
        <v>6.94</v>
      </c>
      <c r="E517" s="5">
        <v>1669.9</v>
      </c>
      <c r="F517" s="5">
        <v>1686.9</v>
      </c>
      <c r="G517" s="6">
        <v>45351</v>
      </c>
      <c r="H517" s="5"/>
      <c r="I517" s="5"/>
      <c r="J517" s="5">
        <f t="shared" si="68"/>
        <v>17</v>
      </c>
      <c r="K517" s="8" t="b">
        <f t="shared" si="69"/>
        <v>1</v>
      </c>
    </row>
    <row r="518" spans="1:11">
      <c r="A518" s="5" t="s">
        <v>116</v>
      </c>
      <c r="B518" s="6">
        <v>45361</v>
      </c>
      <c r="C518" s="7">
        <v>1</v>
      </c>
      <c r="D518" s="5">
        <v>4.8600000000000003</v>
      </c>
      <c r="E518" s="5">
        <v>1686.9</v>
      </c>
      <c r="F518" s="5">
        <v>1698.7</v>
      </c>
      <c r="G518" s="6">
        <v>45361</v>
      </c>
      <c r="H518" s="5"/>
      <c r="I518" s="5"/>
      <c r="J518" s="5">
        <f t="shared" si="68"/>
        <v>11.799999999999955</v>
      </c>
      <c r="K518" s="8" t="b">
        <f t="shared" si="69"/>
        <v>1</v>
      </c>
    </row>
    <row r="519" spans="1:11">
      <c r="A519" s="5" t="s">
        <v>116</v>
      </c>
      <c r="B519" s="6">
        <v>45364</v>
      </c>
      <c r="C519" s="7">
        <v>0.7</v>
      </c>
      <c r="D519" s="5">
        <v>6.94</v>
      </c>
      <c r="E519" s="5">
        <v>1698.7</v>
      </c>
      <c r="F519" s="5">
        <v>1714.9</v>
      </c>
      <c r="G519" s="6">
        <v>45364</v>
      </c>
      <c r="H519" s="5"/>
      <c r="I519" s="5"/>
      <c r="J519" s="5">
        <f t="shared" si="68"/>
        <v>16.200000000000045</v>
      </c>
      <c r="K519" s="8" t="b">
        <f t="shared" si="69"/>
        <v>1</v>
      </c>
    </row>
    <row r="520" spans="1:11">
      <c r="A520" s="5" t="s">
        <v>116</v>
      </c>
      <c r="B520" s="6">
        <v>45366</v>
      </c>
      <c r="C520" s="7">
        <v>0.7</v>
      </c>
      <c r="D520" s="5">
        <v>6.94</v>
      </c>
      <c r="E520" s="5">
        <v>1714.9</v>
      </c>
      <c r="F520" s="5">
        <v>1733.3</v>
      </c>
      <c r="G520" s="6">
        <v>45366</v>
      </c>
      <c r="H520" s="5"/>
      <c r="I520" s="5"/>
      <c r="J520" s="5">
        <f t="shared" si="68"/>
        <v>18.399999999999864</v>
      </c>
      <c r="K520" s="8" t="b">
        <f t="shared" si="69"/>
        <v>1</v>
      </c>
    </row>
    <row r="521" spans="1:11">
      <c r="A521" s="5" t="s">
        <v>116</v>
      </c>
      <c r="B521" s="6">
        <v>45370</v>
      </c>
      <c r="C521" s="7">
        <v>1</v>
      </c>
      <c r="D521" s="5">
        <v>4.8600000000000003</v>
      </c>
      <c r="E521" s="5">
        <v>1733.3</v>
      </c>
      <c r="F521" s="5">
        <v>1746.1</v>
      </c>
      <c r="G521" s="6">
        <v>45370</v>
      </c>
      <c r="H521" s="5"/>
      <c r="I521" s="5"/>
      <c r="J521" s="5">
        <f t="shared" si="68"/>
        <v>12.799999999999955</v>
      </c>
      <c r="K521" s="8" t="b">
        <f t="shared" si="69"/>
        <v>1</v>
      </c>
    </row>
    <row r="522" spans="1:11">
      <c r="A522" s="5" t="s">
        <v>116</v>
      </c>
      <c r="B522" s="6">
        <v>45378</v>
      </c>
      <c r="C522" s="7">
        <v>1</v>
      </c>
      <c r="D522" s="5">
        <v>4.8600000000000003</v>
      </c>
      <c r="E522" s="5">
        <v>1746.1</v>
      </c>
      <c r="F522" s="5">
        <v>1757.9</v>
      </c>
      <c r="G522" s="6">
        <v>45378</v>
      </c>
      <c r="H522" s="5"/>
      <c r="I522" s="5"/>
      <c r="J522" s="5">
        <f t="shared" si="68"/>
        <v>11.800000000000182</v>
      </c>
      <c r="K522" s="8" t="b">
        <f t="shared" si="69"/>
        <v>1</v>
      </c>
    </row>
    <row r="523" spans="1:11">
      <c r="A523" s="5" t="s">
        <v>116</v>
      </c>
      <c r="B523" s="6">
        <v>45379</v>
      </c>
      <c r="C523" s="7">
        <v>1</v>
      </c>
      <c r="D523" s="5">
        <v>4.8600000000000003</v>
      </c>
      <c r="E523" s="5">
        <v>1757.9</v>
      </c>
      <c r="F523" s="5">
        <v>1769.4</v>
      </c>
      <c r="G523" s="6">
        <v>45379</v>
      </c>
      <c r="H523" s="5"/>
      <c r="I523" s="5"/>
      <c r="J523" s="5">
        <f t="shared" si="68"/>
        <v>11.5</v>
      </c>
      <c r="K523" s="8" t="b">
        <f t="shared" si="69"/>
        <v>1</v>
      </c>
    </row>
    <row r="524" spans="1:11">
      <c r="A524" s="5" t="s">
        <v>116</v>
      </c>
      <c r="B524" s="6">
        <v>45381</v>
      </c>
      <c r="C524" s="7">
        <v>0.6</v>
      </c>
      <c r="D524" s="5">
        <v>8.1</v>
      </c>
      <c r="E524" s="5">
        <v>1769.4</v>
      </c>
      <c r="F524" s="5">
        <v>1788.5</v>
      </c>
      <c r="G524" s="6">
        <v>45381</v>
      </c>
      <c r="H524" s="5"/>
      <c r="I524" s="5"/>
      <c r="J524" s="5">
        <f t="shared" si="68"/>
        <v>19.099999999999909</v>
      </c>
      <c r="K524" s="8" t="b">
        <f t="shared" si="69"/>
        <v>1</v>
      </c>
    </row>
    <row r="525" spans="1:11">
      <c r="A525" s="5" t="s">
        <v>116</v>
      </c>
      <c r="B525" s="6">
        <v>45384</v>
      </c>
      <c r="C525" s="7">
        <v>1</v>
      </c>
      <c r="D525" s="5">
        <v>4.8600000000000003</v>
      </c>
      <c r="E525" s="5">
        <v>1788.5</v>
      </c>
      <c r="F525" s="5">
        <v>1792.8</v>
      </c>
      <c r="G525" s="6">
        <v>45384</v>
      </c>
      <c r="H525" s="5"/>
      <c r="I525" s="5"/>
      <c r="J525" s="5">
        <f t="shared" si="68"/>
        <v>4.2999999999999545</v>
      </c>
      <c r="K525" s="8" t="b">
        <f t="shared" si="69"/>
        <v>1</v>
      </c>
    </row>
    <row r="526" spans="1:11">
      <c r="A526" s="5" t="s">
        <v>116</v>
      </c>
      <c r="B526" s="6">
        <v>45391</v>
      </c>
      <c r="C526" s="7">
        <v>0.6</v>
      </c>
      <c r="D526" s="5">
        <v>8.1</v>
      </c>
      <c r="E526" s="5">
        <v>1792.8</v>
      </c>
      <c r="F526" s="5">
        <v>1811.8</v>
      </c>
      <c r="G526" s="6">
        <v>45391</v>
      </c>
      <c r="H526" s="5"/>
      <c r="I526" s="5"/>
      <c r="J526" s="5">
        <f t="shared" si="68"/>
        <v>19</v>
      </c>
      <c r="K526" s="8" t="b">
        <f t="shared" si="69"/>
        <v>1</v>
      </c>
    </row>
    <row r="527" spans="1:11">
      <c r="A527" s="5" t="s">
        <v>116</v>
      </c>
      <c r="B527" s="6">
        <v>45395</v>
      </c>
      <c r="C527" s="7">
        <v>1</v>
      </c>
      <c r="D527" s="5">
        <v>4.8600000000000003</v>
      </c>
      <c r="E527" s="5">
        <v>1811.8</v>
      </c>
      <c r="F527" s="5">
        <v>1824.9</v>
      </c>
      <c r="G527" s="6">
        <v>45395</v>
      </c>
      <c r="H527" s="5"/>
      <c r="I527" s="5"/>
      <c r="J527" s="5">
        <f t="shared" si="68"/>
        <v>13.100000000000136</v>
      </c>
      <c r="K527" s="8" t="b">
        <f t="shared" si="69"/>
        <v>1</v>
      </c>
    </row>
    <row r="528" spans="1:11">
      <c r="A528" s="5" t="s">
        <v>116</v>
      </c>
      <c r="B528" s="6">
        <v>45399</v>
      </c>
      <c r="C528" s="7">
        <v>1</v>
      </c>
      <c r="D528" s="5">
        <v>4.8600000000000003</v>
      </c>
      <c r="E528" s="5">
        <v>1824.9</v>
      </c>
      <c r="F528" s="5">
        <v>1836.9</v>
      </c>
      <c r="G528" s="6">
        <v>45399</v>
      </c>
      <c r="H528" s="5"/>
      <c r="I528" s="5"/>
      <c r="J528" s="5">
        <f t="shared" si="68"/>
        <v>12</v>
      </c>
      <c r="K528" s="8" t="b">
        <f t="shared" si="69"/>
        <v>1</v>
      </c>
    </row>
    <row r="529" spans="1:11">
      <c r="A529" s="5" t="s">
        <v>116</v>
      </c>
      <c r="B529" s="6">
        <v>45401</v>
      </c>
      <c r="C529" s="7">
        <v>1</v>
      </c>
      <c r="D529" s="5">
        <v>4.8600000000000003</v>
      </c>
      <c r="E529" s="5">
        <v>1836.9</v>
      </c>
      <c r="F529" s="5">
        <v>1848.5</v>
      </c>
      <c r="G529" s="6">
        <v>45401</v>
      </c>
      <c r="H529" s="5"/>
      <c r="I529" s="5"/>
      <c r="J529" s="5">
        <f t="shared" si="68"/>
        <v>11.599999999999909</v>
      </c>
      <c r="K529" s="8" t="b">
        <f t="shared" si="69"/>
        <v>1</v>
      </c>
    </row>
    <row r="530" spans="1:11">
      <c r="A530" s="5" t="s">
        <v>116</v>
      </c>
      <c r="B530" s="6">
        <v>45404</v>
      </c>
      <c r="C530" s="7">
        <v>0.7</v>
      </c>
      <c r="D530" s="5">
        <v>6.94</v>
      </c>
      <c r="E530" s="5">
        <v>1848.5</v>
      </c>
      <c r="F530" s="5">
        <v>1865</v>
      </c>
      <c r="G530" s="6">
        <v>45404</v>
      </c>
      <c r="H530" s="5"/>
      <c r="I530" s="5"/>
      <c r="J530" s="5">
        <f t="shared" ref="J530:J552" si="70">F530-E530</f>
        <v>16.5</v>
      </c>
      <c r="K530" s="8" t="b">
        <f t="shared" ref="K530:K552" si="71">E530=F529</f>
        <v>1</v>
      </c>
    </row>
    <row r="531" spans="1:11">
      <c r="A531" s="5" t="s">
        <v>116</v>
      </c>
      <c r="B531" s="6">
        <v>45407</v>
      </c>
      <c r="C531" s="7">
        <v>0.7</v>
      </c>
      <c r="D531" s="5">
        <v>6.94</v>
      </c>
      <c r="E531" s="5">
        <v>1865</v>
      </c>
      <c r="F531" s="5">
        <v>1881.3</v>
      </c>
      <c r="G531" s="6">
        <v>45407</v>
      </c>
      <c r="H531" s="5"/>
      <c r="I531" s="5"/>
      <c r="J531" s="5">
        <f t="shared" si="70"/>
        <v>16.299999999999955</v>
      </c>
      <c r="K531" s="8" t="b">
        <f t="shared" si="71"/>
        <v>1</v>
      </c>
    </row>
    <row r="532" spans="1:11">
      <c r="A532" s="5" t="s">
        <v>116</v>
      </c>
      <c r="B532" s="6">
        <v>45410</v>
      </c>
      <c r="C532" s="7">
        <v>0.7</v>
      </c>
      <c r="D532" s="5">
        <v>6.94</v>
      </c>
      <c r="E532" s="5">
        <v>1881.3</v>
      </c>
      <c r="F532" s="5">
        <v>1899.6</v>
      </c>
      <c r="G532" s="6">
        <v>45410</v>
      </c>
      <c r="H532" s="5"/>
      <c r="I532" s="5"/>
      <c r="J532" s="5">
        <f t="shared" si="70"/>
        <v>18.299999999999955</v>
      </c>
      <c r="K532" s="8" t="b">
        <f t="shared" si="71"/>
        <v>1</v>
      </c>
    </row>
    <row r="533" spans="1:11">
      <c r="A533" s="5" t="s">
        <v>116</v>
      </c>
      <c r="B533" s="6">
        <v>45413</v>
      </c>
      <c r="C533" s="7">
        <v>0.7</v>
      </c>
      <c r="D533" s="5">
        <v>6.94</v>
      </c>
      <c r="E533" s="5">
        <v>1899.6</v>
      </c>
      <c r="F533" s="5">
        <v>1916.4</v>
      </c>
      <c r="G533" s="6">
        <v>45413</v>
      </c>
      <c r="H533" s="5"/>
      <c r="I533" s="5"/>
      <c r="J533" s="5">
        <f t="shared" si="70"/>
        <v>16.800000000000182</v>
      </c>
      <c r="K533" s="8" t="b">
        <f t="shared" si="71"/>
        <v>1</v>
      </c>
    </row>
    <row r="534" spans="1:11">
      <c r="A534" s="5" t="s">
        <v>116</v>
      </c>
      <c r="B534" s="6">
        <v>45416</v>
      </c>
      <c r="C534" s="7">
        <v>0.7</v>
      </c>
      <c r="D534" s="5">
        <v>6.94</v>
      </c>
      <c r="E534" s="5">
        <v>1916.4</v>
      </c>
      <c r="F534" s="5">
        <v>1934.8</v>
      </c>
      <c r="G534" s="6">
        <v>45416</v>
      </c>
      <c r="H534" s="5"/>
      <c r="I534" s="5"/>
      <c r="J534" s="5">
        <f t="shared" si="70"/>
        <v>18.399999999999864</v>
      </c>
      <c r="K534" s="8" t="b">
        <f t="shared" si="71"/>
        <v>1</v>
      </c>
    </row>
    <row r="535" spans="1:11">
      <c r="A535" s="5" t="s">
        <v>116</v>
      </c>
      <c r="B535" s="6">
        <v>45420</v>
      </c>
      <c r="C535" s="7">
        <v>0.7</v>
      </c>
      <c r="D535" s="5">
        <v>6.94</v>
      </c>
      <c r="E535" s="5">
        <v>1934.8</v>
      </c>
      <c r="F535" s="5">
        <v>1951.4</v>
      </c>
      <c r="G535" s="6">
        <v>45420</v>
      </c>
      <c r="H535" s="5"/>
      <c r="I535" s="5"/>
      <c r="J535" s="5">
        <f t="shared" si="70"/>
        <v>16.600000000000136</v>
      </c>
      <c r="K535" s="8" t="b">
        <f t="shared" si="71"/>
        <v>1</v>
      </c>
    </row>
    <row r="536" spans="1:11">
      <c r="A536" s="5" t="s">
        <v>116</v>
      </c>
      <c r="B536" s="6">
        <v>45424</v>
      </c>
      <c r="C536" s="7">
        <v>0.7</v>
      </c>
      <c r="D536" s="5">
        <v>6.94</v>
      </c>
      <c r="E536" s="5">
        <v>1951.4</v>
      </c>
      <c r="F536" s="5">
        <v>1969.8</v>
      </c>
      <c r="G536" s="6">
        <v>45424</v>
      </c>
      <c r="H536" s="5"/>
      <c r="I536" s="5"/>
      <c r="J536" s="5">
        <f t="shared" si="70"/>
        <v>18.399999999999864</v>
      </c>
      <c r="K536" s="8" t="b">
        <f t="shared" si="71"/>
        <v>1</v>
      </c>
    </row>
    <row r="537" spans="1:11">
      <c r="A537" s="5" t="s">
        <v>116</v>
      </c>
      <c r="B537" s="6">
        <v>45428</v>
      </c>
      <c r="C537" s="7">
        <v>0.7</v>
      </c>
      <c r="D537" s="5">
        <v>6.94</v>
      </c>
      <c r="E537" s="5">
        <v>1969.8</v>
      </c>
      <c r="F537" s="5">
        <v>1986.3</v>
      </c>
      <c r="G537" s="6">
        <v>45428</v>
      </c>
      <c r="H537" s="5"/>
      <c r="I537" s="5"/>
      <c r="J537" s="5">
        <f t="shared" si="70"/>
        <v>16.5</v>
      </c>
      <c r="K537" s="8" t="b">
        <f t="shared" si="71"/>
        <v>1</v>
      </c>
    </row>
    <row r="538" spans="1:11">
      <c r="A538" s="5" t="s">
        <v>116</v>
      </c>
      <c r="B538" s="6">
        <v>45431</v>
      </c>
      <c r="C538" s="7">
        <v>0.6</v>
      </c>
      <c r="D538" s="5">
        <v>8.1</v>
      </c>
      <c r="E538" s="5">
        <v>1986.3</v>
      </c>
      <c r="F538" s="5">
        <v>2005.5</v>
      </c>
      <c r="G538" s="6">
        <v>45431</v>
      </c>
      <c r="H538" s="5"/>
      <c r="I538" s="5"/>
      <c r="J538" s="5">
        <f t="shared" si="70"/>
        <v>19.200000000000045</v>
      </c>
      <c r="K538" s="8" t="b">
        <f t="shared" si="71"/>
        <v>1</v>
      </c>
    </row>
    <row r="539" spans="1:11">
      <c r="A539" s="5" t="s">
        <v>116</v>
      </c>
      <c r="B539" s="6">
        <v>45434</v>
      </c>
      <c r="C539" s="7">
        <v>0.7</v>
      </c>
      <c r="D539" s="5">
        <v>6.94</v>
      </c>
      <c r="E539" s="5">
        <v>2005.5</v>
      </c>
      <c r="F539" s="5">
        <v>2022</v>
      </c>
      <c r="G539" s="6">
        <v>45434</v>
      </c>
      <c r="H539" s="5"/>
      <c r="I539" s="5"/>
      <c r="J539" s="5">
        <f t="shared" si="70"/>
        <v>16.5</v>
      </c>
      <c r="K539" s="8" t="b">
        <f t="shared" si="71"/>
        <v>1</v>
      </c>
    </row>
    <row r="540" spans="1:11">
      <c r="A540" s="5" t="s">
        <v>116</v>
      </c>
      <c r="B540" s="6">
        <v>45438</v>
      </c>
      <c r="C540" s="7">
        <v>0.6</v>
      </c>
      <c r="D540" s="5">
        <v>8.1</v>
      </c>
      <c r="E540" s="5">
        <v>2022</v>
      </c>
      <c r="F540" s="5">
        <v>2045</v>
      </c>
      <c r="G540" s="6">
        <v>45438</v>
      </c>
      <c r="H540" s="5"/>
      <c r="I540" s="5"/>
      <c r="J540" s="5">
        <f t="shared" si="70"/>
        <v>23</v>
      </c>
      <c r="K540" s="8" t="b">
        <f t="shared" si="71"/>
        <v>1</v>
      </c>
    </row>
    <row r="541" spans="1:11">
      <c r="A541" s="5" t="s">
        <v>116</v>
      </c>
      <c r="B541" s="6">
        <v>45441</v>
      </c>
      <c r="C541" s="7">
        <v>0.7</v>
      </c>
      <c r="D541" s="5">
        <v>6.94</v>
      </c>
      <c r="E541" s="5">
        <v>2045</v>
      </c>
      <c r="F541" s="5">
        <v>2061.9</v>
      </c>
      <c r="G541" s="6">
        <v>45441</v>
      </c>
      <c r="H541" s="5"/>
      <c r="I541" s="5"/>
      <c r="J541" s="5">
        <f t="shared" si="70"/>
        <v>16.900000000000091</v>
      </c>
      <c r="K541" s="8" t="b">
        <f t="shared" si="71"/>
        <v>1</v>
      </c>
    </row>
    <row r="542" spans="1:11">
      <c r="A542" s="5" t="s">
        <v>116</v>
      </c>
      <c r="B542" s="6">
        <v>45444</v>
      </c>
      <c r="C542" s="7">
        <v>0.7</v>
      </c>
      <c r="D542" s="5">
        <v>8.2799999999999994</v>
      </c>
      <c r="E542" s="5">
        <v>2061.9</v>
      </c>
      <c r="F542" s="5">
        <v>2078.8000000000002</v>
      </c>
      <c r="G542" s="6">
        <v>45444</v>
      </c>
      <c r="H542" s="5"/>
      <c r="I542" s="5"/>
      <c r="J542" s="5">
        <f t="shared" si="70"/>
        <v>16.900000000000091</v>
      </c>
      <c r="K542" s="8" t="b">
        <f t="shared" si="71"/>
        <v>1</v>
      </c>
    </row>
    <row r="543" spans="1:11">
      <c r="A543" s="5" t="s">
        <v>116</v>
      </c>
      <c r="B543" s="6">
        <v>45447</v>
      </c>
      <c r="C543" s="7">
        <v>1</v>
      </c>
      <c r="D543" s="5">
        <v>5.8</v>
      </c>
      <c r="E543" s="5">
        <v>2078.8000000000002</v>
      </c>
      <c r="F543" s="5">
        <v>2092.3000000000002</v>
      </c>
      <c r="G543" s="6">
        <v>45447</v>
      </c>
      <c r="H543" s="5"/>
      <c r="I543" s="5"/>
      <c r="J543" s="5">
        <f t="shared" si="70"/>
        <v>13.5</v>
      </c>
      <c r="K543" s="8" t="b">
        <f t="shared" si="71"/>
        <v>1</v>
      </c>
    </row>
    <row r="544" spans="1:11">
      <c r="A544" s="5" t="s">
        <v>116</v>
      </c>
      <c r="B544" s="6">
        <v>45454</v>
      </c>
      <c r="C544" s="7">
        <v>0.7</v>
      </c>
      <c r="D544" s="5">
        <v>8.2799999999999994</v>
      </c>
      <c r="E544" s="5">
        <v>2092.3000000000002</v>
      </c>
      <c r="F544" s="5">
        <v>2109</v>
      </c>
      <c r="G544" s="6">
        <v>45454</v>
      </c>
      <c r="H544" s="5"/>
      <c r="I544" s="5"/>
      <c r="J544" s="5">
        <f t="shared" si="70"/>
        <v>16.699999999999818</v>
      </c>
      <c r="K544" s="8" t="b">
        <f t="shared" si="71"/>
        <v>1</v>
      </c>
    </row>
    <row r="545" spans="1:11">
      <c r="A545" s="5" t="s">
        <v>116</v>
      </c>
      <c r="B545" s="6">
        <v>45458</v>
      </c>
      <c r="C545" s="7">
        <v>0.6</v>
      </c>
      <c r="D545" s="5">
        <v>9.57</v>
      </c>
      <c r="E545" s="5">
        <v>2109</v>
      </c>
      <c r="F545" s="5">
        <v>2128.3000000000002</v>
      </c>
      <c r="G545" s="6">
        <v>45458</v>
      </c>
      <c r="H545" s="5"/>
      <c r="I545" s="5"/>
      <c r="J545" s="5">
        <f t="shared" si="70"/>
        <v>19.300000000000182</v>
      </c>
      <c r="K545" s="8" t="b">
        <f t="shared" si="71"/>
        <v>1</v>
      </c>
    </row>
    <row r="546" spans="1:11">
      <c r="A546" s="5" t="s">
        <v>116</v>
      </c>
      <c r="B546" s="6">
        <v>45461</v>
      </c>
      <c r="C546" s="7">
        <v>0.9</v>
      </c>
      <c r="D546" s="5">
        <v>6.44</v>
      </c>
      <c r="E546" s="5">
        <v>2128.3000000000002</v>
      </c>
      <c r="F546" s="5">
        <v>2141.1</v>
      </c>
      <c r="G546" s="6">
        <v>45461</v>
      </c>
      <c r="H546" s="5"/>
      <c r="I546" s="5"/>
      <c r="J546" s="5">
        <f t="shared" si="70"/>
        <v>12.799999999999727</v>
      </c>
      <c r="K546" s="8" t="b">
        <f t="shared" si="71"/>
        <v>1</v>
      </c>
    </row>
    <row r="547" spans="1:11">
      <c r="A547" s="5" t="s">
        <v>116</v>
      </c>
      <c r="B547" s="6">
        <v>45463</v>
      </c>
      <c r="C547" s="7">
        <v>0.9</v>
      </c>
      <c r="D547" s="5">
        <v>6.44</v>
      </c>
      <c r="E547" s="5">
        <v>2141.1</v>
      </c>
      <c r="F547" s="5">
        <v>2153.9</v>
      </c>
      <c r="G547" s="6">
        <v>45463</v>
      </c>
      <c r="H547" s="5"/>
      <c r="I547" s="5"/>
      <c r="J547" s="5">
        <f t="shared" si="70"/>
        <v>12.800000000000182</v>
      </c>
      <c r="K547" s="8" t="b">
        <f t="shared" si="71"/>
        <v>1</v>
      </c>
    </row>
    <row r="548" spans="1:11">
      <c r="A548" s="5" t="s">
        <v>116</v>
      </c>
      <c r="B548" s="6">
        <v>45468</v>
      </c>
      <c r="C548" s="7">
        <v>0.5</v>
      </c>
      <c r="D548" s="5">
        <v>11.6</v>
      </c>
      <c r="E548" s="5">
        <v>2153.9</v>
      </c>
      <c r="F548" s="5">
        <v>2165.4</v>
      </c>
      <c r="G548" s="6">
        <v>45468</v>
      </c>
      <c r="H548" s="5"/>
      <c r="I548" s="5"/>
      <c r="J548" s="5">
        <f t="shared" si="70"/>
        <v>11.5</v>
      </c>
      <c r="K548" s="8" t="b">
        <f t="shared" si="71"/>
        <v>1</v>
      </c>
    </row>
    <row r="549" spans="1:11">
      <c r="A549" s="5" t="s">
        <v>116</v>
      </c>
      <c r="B549" s="6">
        <v>45469</v>
      </c>
      <c r="C549" s="7">
        <v>0.5</v>
      </c>
      <c r="D549" s="5">
        <v>11.6</v>
      </c>
      <c r="E549" s="5">
        <v>2165.4</v>
      </c>
      <c r="F549" s="5">
        <v>2176.5</v>
      </c>
      <c r="G549" s="6">
        <v>45469</v>
      </c>
      <c r="H549" s="5"/>
      <c r="I549" s="5"/>
      <c r="J549" s="5">
        <f t="shared" si="70"/>
        <v>11.099999999999909</v>
      </c>
      <c r="K549" s="8" t="b">
        <f t="shared" si="71"/>
        <v>1</v>
      </c>
    </row>
    <row r="550" spans="1:11">
      <c r="A550" s="5" t="s">
        <v>116</v>
      </c>
      <c r="B550" s="6">
        <v>45476</v>
      </c>
      <c r="C550" s="7">
        <v>0.7</v>
      </c>
      <c r="D550" s="5">
        <v>8.2799999999999994</v>
      </c>
      <c r="E550" s="5">
        <v>2176.5</v>
      </c>
      <c r="F550" s="5">
        <v>2192.9</v>
      </c>
      <c r="G550" s="6">
        <v>45476</v>
      </c>
      <c r="H550" s="5"/>
      <c r="I550" s="5"/>
      <c r="J550" s="5">
        <f t="shared" si="70"/>
        <v>16.400000000000091</v>
      </c>
      <c r="K550" s="8" t="b">
        <f t="shared" si="71"/>
        <v>1</v>
      </c>
    </row>
    <row r="551" spans="1:11">
      <c r="A551" s="5" t="s">
        <v>116</v>
      </c>
      <c r="B551" s="6">
        <v>45479</v>
      </c>
      <c r="C551" s="7">
        <v>0.7</v>
      </c>
      <c r="D551" s="5">
        <v>8.2799999999999994</v>
      </c>
      <c r="E551" s="5">
        <v>2192.9</v>
      </c>
      <c r="F551" s="5">
        <v>2209.3000000000002</v>
      </c>
      <c r="G551" s="6">
        <v>45479</v>
      </c>
      <c r="H551" s="5"/>
      <c r="I551" s="5"/>
      <c r="J551" s="5">
        <f t="shared" si="70"/>
        <v>16.400000000000091</v>
      </c>
      <c r="K551" s="8" t="b">
        <f t="shared" si="71"/>
        <v>1</v>
      </c>
    </row>
    <row r="552" spans="1:11">
      <c r="A552" s="5" t="s">
        <v>116</v>
      </c>
      <c r="B552" s="6"/>
      <c r="C552" s="7"/>
      <c r="D552" s="5"/>
      <c r="E552" s="5"/>
      <c r="F552" s="5"/>
      <c r="G552" s="6"/>
      <c r="H552" s="5"/>
      <c r="I552" s="5"/>
      <c r="J552" s="5">
        <f t="shared" si="70"/>
        <v>0</v>
      </c>
      <c r="K552" s="8" t="b">
        <f t="shared" si="71"/>
        <v>0</v>
      </c>
    </row>
    <row r="553" spans="1:11" ht="26.25">
      <c r="A553" s="186" t="s">
        <v>100</v>
      </c>
      <c r="B553" s="187"/>
      <c r="C553" s="187"/>
      <c r="D553" s="187"/>
      <c r="E553" s="187"/>
      <c r="F553" s="187"/>
      <c r="G553" s="187"/>
      <c r="H553" s="187"/>
      <c r="I553" s="187"/>
      <c r="J553" s="187"/>
      <c r="K553" s="188"/>
    </row>
    <row r="554" spans="1:11" ht="26.25">
      <c r="A554" s="181" t="s">
        <v>48</v>
      </c>
      <c r="B554" s="184"/>
      <c r="C554" s="184"/>
      <c r="D554" s="184"/>
      <c r="E554" s="184"/>
      <c r="F554" s="184"/>
      <c r="G554" s="184"/>
      <c r="H554" s="184"/>
      <c r="I554" s="184"/>
      <c r="J554" s="184"/>
      <c r="K554" s="189"/>
    </row>
    <row r="555" spans="1:11" ht="15.75" thickBot="1"/>
    <row r="556" spans="1:11" ht="15.75" thickBot="1">
      <c r="A556" s="132" t="s">
        <v>2</v>
      </c>
      <c r="B556" s="133"/>
      <c r="C556" s="133"/>
      <c r="D556" s="133"/>
      <c r="E556" s="133"/>
      <c r="F556" s="133"/>
      <c r="G556" s="133"/>
      <c r="H556" s="133"/>
      <c r="I556" s="133"/>
      <c r="J556" s="133"/>
      <c r="K556" s="134"/>
    </row>
    <row r="558" spans="1:11" ht="19.5" thickBot="1">
      <c r="A558" s="1" t="s">
        <v>3</v>
      </c>
      <c r="B558" s="1"/>
      <c r="C558" s="1"/>
      <c r="D558" s="1"/>
      <c r="E558" s="1"/>
      <c r="F558" s="1"/>
      <c r="G558" s="1"/>
      <c r="H558" s="1"/>
      <c r="I558" s="1"/>
    </row>
    <row r="559" spans="1:11" ht="30.75" thickBot="1">
      <c r="A559" s="2" t="s">
        <v>4</v>
      </c>
      <c r="B559" s="3" t="s">
        <v>5</v>
      </c>
      <c r="C559" s="3" t="s">
        <v>6</v>
      </c>
      <c r="D559" s="3" t="s">
        <v>7</v>
      </c>
      <c r="E559" s="3" t="s">
        <v>8</v>
      </c>
      <c r="F559" s="3" t="s">
        <v>9</v>
      </c>
      <c r="G559" s="3" t="s">
        <v>10</v>
      </c>
      <c r="H559" s="3" t="s">
        <v>21</v>
      </c>
      <c r="I559" s="4" t="s">
        <v>22</v>
      </c>
      <c r="J559" s="4" t="s">
        <v>11</v>
      </c>
      <c r="K559" s="4" t="s">
        <v>12</v>
      </c>
    </row>
    <row r="560" spans="1:11">
      <c r="A560" s="5" t="s">
        <v>116</v>
      </c>
      <c r="B560" s="6">
        <v>45565</v>
      </c>
      <c r="C560" s="7">
        <v>1</v>
      </c>
      <c r="D560" s="5">
        <v>4.8600000000000003</v>
      </c>
      <c r="E560" s="5">
        <v>2209.3000000000002</v>
      </c>
      <c r="F560" s="5">
        <v>2221.3000000000002</v>
      </c>
      <c r="G560" s="6">
        <v>45565</v>
      </c>
      <c r="H560" s="5"/>
      <c r="I560" s="5"/>
      <c r="J560" s="5">
        <f t="shared" ref="J560" si="72">F560-E560</f>
        <v>12</v>
      </c>
      <c r="K560" s="8" t="b">
        <f t="shared" ref="K560" si="73">E560=F559</f>
        <v>0</v>
      </c>
    </row>
    <row r="561" spans="1:11">
      <c r="A561" s="5" t="s">
        <v>116</v>
      </c>
      <c r="B561" s="6"/>
      <c r="C561" s="7"/>
      <c r="D561" s="5"/>
      <c r="E561" s="5"/>
      <c r="F561" s="5"/>
      <c r="G561" s="6"/>
      <c r="H561" s="5"/>
      <c r="I561" s="5"/>
      <c r="J561" s="5">
        <f t="shared" ref="J561:J568" si="74">F561-E561</f>
        <v>0</v>
      </c>
      <c r="K561" s="8" t="b">
        <f t="shared" ref="K561:K568" si="75">E561=F560</f>
        <v>0</v>
      </c>
    </row>
    <row r="562" spans="1:11">
      <c r="A562" s="5" t="s">
        <v>116</v>
      </c>
      <c r="B562" s="6"/>
      <c r="C562" s="7"/>
      <c r="D562" s="5"/>
      <c r="E562" s="5"/>
      <c r="F562" s="5"/>
      <c r="G562" s="6"/>
      <c r="H562" s="5"/>
      <c r="I562" s="5"/>
      <c r="J562" s="5">
        <f t="shared" si="74"/>
        <v>0</v>
      </c>
      <c r="K562" s="8" t="b">
        <f t="shared" si="75"/>
        <v>1</v>
      </c>
    </row>
    <row r="563" spans="1:11">
      <c r="A563" s="5" t="s">
        <v>116</v>
      </c>
      <c r="B563" s="6"/>
      <c r="C563" s="7"/>
      <c r="D563" s="5"/>
      <c r="E563" s="5"/>
      <c r="F563" s="5"/>
      <c r="G563" s="6"/>
      <c r="H563" s="5"/>
      <c r="I563" s="5"/>
      <c r="J563" s="5">
        <f t="shared" si="74"/>
        <v>0</v>
      </c>
      <c r="K563" s="8" t="b">
        <f t="shared" si="75"/>
        <v>1</v>
      </c>
    </row>
    <row r="564" spans="1:11">
      <c r="A564" s="5" t="s">
        <v>116</v>
      </c>
      <c r="B564" s="6"/>
      <c r="C564" s="7"/>
      <c r="D564" s="5"/>
      <c r="E564" s="5"/>
      <c r="F564" s="5"/>
      <c r="G564" s="6"/>
      <c r="H564" s="5"/>
      <c r="I564" s="5"/>
      <c r="J564" s="5">
        <f t="shared" si="74"/>
        <v>0</v>
      </c>
      <c r="K564" s="8" t="b">
        <f t="shared" si="75"/>
        <v>1</v>
      </c>
    </row>
    <row r="565" spans="1:11">
      <c r="A565" s="5" t="s">
        <v>116</v>
      </c>
      <c r="B565" s="6"/>
      <c r="C565" s="7"/>
      <c r="D565" s="5"/>
      <c r="E565" s="5"/>
      <c r="F565" s="5"/>
      <c r="G565" s="6"/>
      <c r="H565" s="5"/>
      <c r="I565" s="5"/>
      <c r="J565" s="5">
        <f t="shared" si="74"/>
        <v>0</v>
      </c>
      <c r="K565" s="8" t="b">
        <f t="shared" si="75"/>
        <v>1</v>
      </c>
    </row>
    <row r="566" spans="1:11">
      <c r="A566" s="5" t="s">
        <v>116</v>
      </c>
      <c r="B566" s="6"/>
      <c r="C566" s="7"/>
      <c r="D566" s="5"/>
      <c r="E566" s="5"/>
      <c r="F566" s="5"/>
      <c r="G566" s="6"/>
      <c r="H566" s="5"/>
      <c r="I566" s="5"/>
      <c r="J566" s="5">
        <f t="shared" si="74"/>
        <v>0</v>
      </c>
      <c r="K566" s="8" t="b">
        <f t="shared" si="75"/>
        <v>1</v>
      </c>
    </row>
    <row r="567" spans="1:11">
      <c r="A567" s="5" t="s">
        <v>116</v>
      </c>
      <c r="B567" s="6"/>
      <c r="C567" s="7"/>
      <c r="D567" s="5"/>
      <c r="E567" s="5"/>
      <c r="F567" s="5"/>
      <c r="G567" s="6"/>
      <c r="H567" s="5"/>
      <c r="I567" s="5"/>
      <c r="J567" s="5">
        <f t="shared" si="74"/>
        <v>0</v>
      </c>
      <c r="K567" s="8" t="b">
        <f t="shared" si="75"/>
        <v>1</v>
      </c>
    </row>
    <row r="568" spans="1:11">
      <c r="A568" s="5" t="s">
        <v>116</v>
      </c>
      <c r="B568" s="6"/>
      <c r="C568" s="7"/>
      <c r="D568" s="5"/>
      <c r="E568" s="5"/>
      <c r="F568" s="5"/>
      <c r="G568" s="6"/>
      <c r="H568" s="5"/>
      <c r="I568" s="5"/>
      <c r="J568" s="5">
        <f t="shared" si="74"/>
        <v>0</v>
      </c>
      <c r="K568" s="8" t="b">
        <f t="shared" si="75"/>
        <v>1</v>
      </c>
    </row>
  </sheetData>
  <autoFilter ref="A510:K558" xr:uid="{85CE418F-1D8F-41AE-BA21-77F8BB1DE5A4}"/>
  <mergeCells count="30">
    <mergeCell ref="A505:K505"/>
    <mergeCell ref="A507:K507"/>
    <mergeCell ref="A259:K259"/>
    <mergeCell ref="A261:K261"/>
    <mergeCell ref="A441:K441"/>
    <mergeCell ref="A442:K442"/>
    <mergeCell ref="A444:K444"/>
    <mergeCell ref="A383:K383"/>
    <mergeCell ref="A50:K50"/>
    <mergeCell ref="A1:K1"/>
    <mergeCell ref="A2:K2"/>
    <mergeCell ref="A4:K4"/>
    <mergeCell ref="A47:K47"/>
    <mergeCell ref="A48:K48"/>
    <mergeCell ref="A553:K553"/>
    <mergeCell ref="A554:K554"/>
    <mergeCell ref="A556:K556"/>
    <mergeCell ref="A94:K94"/>
    <mergeCell ref="A95:K95"/>
    <mergeCell ref="A97:K97"/>
    <mergeCell ref="A380:K380"/>
    <mergeCell ref="A381:K381"/>
    <mergeCell ref="A159:K159"/>
    <mergeCell ref="A160:K160"/>
    <mergeCell ref="A162:K162"/>
    <mergeCell ref="A325:K325"/>
    <mergeCell ref="A326:K326"/>
    <mergeCell ref="A328:K328"/>
    <mergeCell ref="A258:K258"/>
    <mergeCell ref="A504:K504"/>
  </mergeCells>
  <phoneticPr fontId="6" type="noConversion"/>
  <conditionalFormatting sqref="K1:K1048576">
    <cfRule type="containsText" dxfId="87" priority="1" operator="containsText" text="VERDADEIRO">
      <formula>NOT(ISERROR(SEARCH("VERDADEIRO",K1)))</formula>
    </cfRule>
    <cfRule type="containsText" dxfId="86" priority="2" operator="containsText" text="FALSO">
      <formula>NOT(ISERROR(SEARCH("FALSO",K1)))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F180-6F2B-45F7-944D-7DD3DF7691EA}">
  <sheetPr codeName="Planilha9"/>
  <dimension ref="A1:K473"/>
  <sheetViews>
    <sheetView topLeftCell="A393" workbookViewId="0">
      <selection activeCell="E410" sqref="E410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128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109</v>
      </c>
      <c r="B8" s="6">
        <v>43753</v>
      </c>
      <c r="C8" s="7">
        <v>0.4</v>
      </c>
      <c r="D8" s="5">
        <v>11.3</v>
      </c>
      <c r="E8" s="5">
        <v>96.2</v>
      </c>
      <c r="F8" s="5">
        <v>125.1</v>
      </c>
      <c r="G8" s="6">
        <v>43753</v>
      </c>
      <c r="H8" s="5" t="s">
        <v>56</v>
      </c>
      <c r="I8" s="5" t="s">
        <v>57</v>
      </c>
      <c r="J8" s="5">
        <f>F8-E8</f>
        <v>28.899999999999991</v>
      </c>
      <c r="K8" s="8" t="b">
        <f>F8=E9</f>
        <v>1</v>
      </c>
    </row>
    <row r="9" spans="1:11">
      <c r="A9" s="5">
        <v>109</v>
      </c>
      <c r="B9" s="6">
        <v>43754</v>
      </c>
      <c r="C9" s="7">
        <v>1</v>
      </c>
      <c r="D9" s="5">
        <v>5.8</v>
      </c>
      <c r="E9" s="5">
        <v>125.1</v>
      </c>
      <c r="F9" s="5">
        <v>136.80000000000001</v>
      </c>
      <c r="G9" s="6">
        <v>43754</v>
      </c>
      <c r="H9" s="5" t="s">
        <v>56</v>
      </c>
      <c r="I9" s="5" t="s">
        <v>57</v>
      </c>
      <c r="J9" s="5">
        <f>F9-E9</f>
        <v>11.700000000000017</v>
      </c>
      <c r="K9" s="8" t="b">
        <f>F9=E10</f>
        <v>1</v>
      </c>
    </row>
    <row r="10" spans="1:11">
      <c r="A10" s="5">
        <v>109</v>
      </c>
      <c r="B10" s="6">
        <v>43755</v>
      </c>
      <c r="C10" s="7">
        <v>1</v>
      </c>
      <c r="D10" s="5">
        <v>5.8</v>
      </c>
      <c r="E10" s="5">
        <v>136.80000000000001</v>
      </c>
      <c r="F10" s="5">
        <v>148.30000000000001</v>
      </c>
      <c r="G10" s="6">
        <v>43755</v>
      </c>
      <c r="H10" s="5" t="s">
        <v>56</v>
      </c>
      <c r="I10" s="5" t="s">
        <v>57</v>
      </c>
      <c r="J10" s="5">
        <f>F10-E10</f>
        <v>11.5</v>
      </c>
      <c r="K10" s="8" t="b">
        <f>F10=E11</f>
        <v>1</v>
      </c>
    </row>
    <row r="11" spans="1:11">
      <c r="A11" s="5">
        <v>109</v>
      </c>
      <c r="B11" s="6">
        <v>43757</v>
      </c>
      <c r="C11" s="7">
        <v>1</v>
      </c>
      <c r="D11" s="5">
        <v>5.8</v>
      </c>
      <c r="E11" s="5">
        <v>148.30000000000001</v>
      </c>
      <c r="F11" s="5">
        <v>173.6</v>
      </c>
      <c r="G11" s="6">
        <v>43757</v>
      </c>
      <c r="H11" s="5" t="s">
        <v>58</v>
      </c>
      <c r="I11" s="5" t="s">
        <v>57</v>
      </c>
      <c r="J11" s="5">
        <f>F11-E11</f>
        <v>25.299999999999983</v>
      </c>
      <c r="K11" s="8" t="b">
        <f>F11=E12</f>
        <v>1</v>
      </c>
    </row>
    <row r="12" spans="1:11">
      <c r="A12" s="5">
        <v>109</v>
      </c>
      <c r="B12" s="6">
        <v>43758</v>
      </c>
      <c r="C12" s="7">
        <v>1</v>
      </c>
      <c r="D12" s="5">
        <v>5.8</v>
      </c>
      <c r="E12" s="5">
        <v>173.6</v>
      </c>
      <c r="F12" s="5">
        <v>185</v>
      </c>
      <c r="G12" s="6">
        <v>43758</v>
      </c>
      <c r="H12" s="5" t="s">
        <v>58</v>
      </c>
      <c r="I12" s="5" t="s">
        <v>57</v>
      </c>
      <c r="J12" s="5">
        <f t="shared" ref="J12:J18" si="0">F12-E12</f>
        <v>11.400000000000006</v>
      </c>
      <c r="K12" s="8" t="b">
        <f t="shared" ref="K12:K18" si="1">F12=E13</f>
        <v>1</v>
      </c>
    </row>
    <row r="13" spans="1:11">
      <c r="A13" s="5">
        <v>109</v>
      </c>
      <c r="B13" s="6">
        <v>43759</v>
      </c>
      <c r="C13" s="7">
        <v>1</v>
      </c>
      <c r="D13" s="5">
        <v>5.8</v>
      </c>
      <c r="E13" s="5">
        <v>185</v>
      </c>
      <c r="F13" s="5">
        <v>195.7</v>
      </c>
      <c r="G13" s="6">
        <v>43759</v>
      </c>
      <c r="H13" s="5" t="s">
        <v>58</v>
      </c>
      <c r="I13" s="5" t="s">
        <v>57</v>
      </c>
      <c r="J13" s="5">
        <f t="shared" si="0"/>
        <v>10.699999999999989</v>
      </c>
      <c r="K13" s="8" t="b">
        <f t="shared" si="1"/>
        <v>1</v>
      </c>
    </row>
    <row r="14" spans="1:11">
      <c r="A14" s="5">
        <v>109</v>
      </c>
      <c r="B14" s="6">
        <v>43760</v>
      </c>
      <c r="C14" s="7">
        <v>1</v>
      </c>
      <c r="D14" s="5">
        <v>5.8</v>
      </c>
      <c r="E14" s="5">
        <v>195.7</v>
      </c>
      <c r="F14" s="5">
        <v>207.8</v>
      </c>
      <c r="G14" s="6">
        <v>43760</v>
      </c>
      <c r="H14" s="5" t="s">
        <v>60</v>
      </c>
      <c r="I14" s="5" t="s">
        <v>57</v>
      </c>
      <c r="J14" s="5">
        <f t="shared" si="0"/>
        <v>12.100000000000023</v>
      </c>
      <c r="K14" s="8" t="b">
        <f t="shared" si="1"/>
        <v>1</v>
      </c>
    </row>
    <row r="15" spans="1:11">
      <c r="A15" s="5">
        <v>109</v>
      </c>
      <c r="B15" s="6">
        <v>43761</v>
      </c>
      <c r="C15" s="7">
        <v>1</v>
      </c>
      <c r="D15" s="5">
        <v>5.8</v>
      </c>
      <c r="E15" s="5">
        <v>207.8</v>
      </c>
      <c r="F15" s="5">
        <v>219.5</v>
      </c>
      <c r="G15" s="6">
        <v>43761</v>
      </c>
      <c r="H15" s="5" t="s">
        <v>60</v>
      </c>
      <c r="I15" s="5" t="s">
        <v>57</v>
      </c>
      <c r="J15" s="5">
        <f t="shared" si="0"/>
        <v>11.699999999999989</v>
      </c>
      <c r="K15" s="8" t="b">
        <f t="shared" si="1"/>
        <v>1</v>
      </c>
    </row>
    <row r="16" spans="1:11">
      <c r="A16" s="5">
        <v>109</v>
      </c>
      <c r="B16" s="6">
        <v>43767</v>
      </c>
      <c r="C16" s="7">
        <v>0.8</v>
      </c>
      <c r="D16" s="5">
        <v>5.33</v>
      </c>
      <c r="E16" s="5">
        <v>219.5</v>
      </c>
      <c r="F16" s="5">
        <v>234.2</v>
      </c>
      <c r="G16" s="6">
        <v>43767</v>
      </c>
      <c r="H16" s="5" t="s">
        <v>56</v>
      </c>
      <c r="I16" s="5" t="s">
        <v>57</v>
      </c>
      <c r="J16" s="5">
        <f t="shared" si="0"/>
        <v>14.699999999999989</v>
      </c>
      <c r="K16" s="8" t="b">
        <f t="shared" si="1"/>
        <v>1</v>
      </c>
    </row>
    <row r="17" spans="1:11">
      <c r="A17" s="5">
        <v>109</v>
      </c>
      <c r="B17" s="6">
        <v>43769</v>
      </c>
      <c r="C17" s="7">
        <v>0.8</v>
      </c>
      <c r="D17" s="5">
        <v>5.33</v>
      </c>
      <c r="E17" s="5">
        <v>234.2</v>
      </c>
      <c r="F17" s="5">
        <v>251.3</v>
      </c>
      <c r="G17" s="6">
        <v>43769</v>
      </c>
      <c r="H17" s="5" t="s">
        <v>58</v>
      </c>
      <c r="I17" s="5" t="s">
        <v>57</v>
      </c>
      <c r="J17" s="5">
        <f t="shared" si="0"/>
        <v>17.100000000000023</v>
      </c>
      <c r="K17" s="8" t="b">
        <f t="shared" si="1"/>
        <v>1</v>
      </c>
    </row>
    <row r="18" spans="1:11">
      <c r="A18" s="5">
        <v>109</v>
      </c>
      <c r="B18" s="6">
        <v>43771</v>
      </c>
      <c r="C18" s="7">
        <v>0.8</v>
      </c>
      <c r="D18" s="5">
        <v>5.33</v>
      </c>
      <c r="E18" s="5">
        <v>251.3</v>
      </c>
      <c r="F18" s="5">
        <v>265.7</v>
      </c>
      <c r="G18" s="6">
        <v>43771</v>
      </c>
      <c r="H18" s="5" t="s">
        <v>58</v>
      </c>
      <c r="I18" s="5" t="s">
        <v>57</v>
      </c>
      <c r="J18" s="5">
        <f t="shared" si="0"/>
        <v>14.399999999999977</v>
      </c>
      <c r="K18" s="8" t="b">
        <f t="shared" si="1"/>
        <v>1</v>
      </c>
    </row>
    <row r="19" spans="1:11">
      <c r="A19" s="5">
        <v>109</v>
      </c>
      <c r="B19" s="6">
        <v>43773</v>
      </c>
      <c r="C19" s="7">
        <v>0.8</v>
      </c>
      <c r="D19" s="5">
        <v>5.33</v>
      </c>
      <c r="E19" s="5">
        <v>265.7</v>
      </c>
      <c r="F19" s="5">
        <v>281.2</v>
      </c>
      <c r="G19" s="6">
        <v>43773</v>
      </c>
      <c r="H19" s="5" t="s">
        <v>58</v>
      </c>
      <c r="I19" s="5" t="s">
        <v>57</v>
      </c>
      <c r="J19" s="5">
        <f t="shared" ref="J19:J43" si="2">F19-E19</f>
        <v>15.5</v>
      </c>
      <c r="K19" s="8" t="b">
        <f t="shared" ref="K19:K32" si="3">F19=E20</f>
        <v>1</v>
      </c>
    </row>
    <row r="20" spans="1:11">
      <c r="A20" s="5">
        <v>109</v>
      </c>
      <c r="B20" s="6">
        <v>43775</v>
      </c>
      <c r="C20" s="7">
        <v>0.65</v>
      </c>
      <c r="D20" s="5">
        <v>5.68</v>
      </c>
      <c r="E20" s="5">
        <v>281.2</v>
      </c>
      <c r="F20" s="5">
        <v>299.5</v>
      </c>
      <c r="G20" s="6">
        <v>43775</v>
      </c>
      <c r="H20" s="5" t="s">
        <v>59</v>
      </c>
      <c r="I20" s="5" t="s">
        <v>57</v>
      </c>
      <c r="J20" s="5">
        <f t="shared" si="2"/>
        <v>18.300000000000011</v>
      </c>
      <c r="K20" s="8" t="b">
        <f t="shared" si="3"/>
        <v>1</v>
      </c>
    </row>
    <row r="21" spans="1:11">
      <c r="A21" s="5">
        <v>109</v>
      </c>
      <c r="B21" s="6">
        <v>43777</v>
      </c>
      <c r="C21" s="7">
        <v>0.65</v>
      </c>
      <c r="D21" s="5">
        <v>5.68</v>
      </c>
      <c r="E21" s="5">
        <v>299.5</v>
      </c>
      <c r="F21" s="5">
        <v>316.7</v>
      </c>
      <c r="G21" s="6">
        <v>43777</v>
      </c>
      <c r="H21" s="5" t="s">
        <v>59</v>
      </c>
      <c r="I21" s="5" t="s">
        <v>57</v>
      </c>
      <c r="J21" s="5">
        <f t="shared" si="2"/>
        <v>17.199999999999989</v>
      </c>
      <c r="K21" s="8" t="b">
        <f t="shared" si="3"/>
        <v>1</v>
      </c>
    </row>
    <row r="22" spans="1:11">
      <c r="A22" s="5">
        <v>109</v>
      </c>
      <c r="B22" s="6">
        <v>43778</v>
      </c>
      <c r="C22" s="7">
        <v>1</v>
      </c>
      <c r="D22" s="5">
        <v>5.8</v>
      </c>
      <c r="E22" s="5">
        <v>316.7</v>
      </c>
      <c r="F22" s="5">
        <v>330</v>
      </c>
      <c r="G22" s="6">
        <v>43778</v>
      </c>
      <c r="H22" s="5" t="s">
        <v>60</v>
      </c>
      <c r="I22" s="5" t="s">
        <v>57</v>
      </c>
      <c r="J22" s="5">
        <f t="shared" si="2"/>
        <v>13.300000000000011</v>
      </c>
      <c r="K22" s="8" t="b">
        <f t="shared" si="3"/>
        <v>1</v>
      </c>
    </row>
    <row r="23" spans="1:11">
      <c r="A23" s="5">
        <v>109</v>
      </c>
      <c r="B23" s="6">
        <v>43780</v>
      </c>
      <c r="C23" s="7">
        <v>1</v>
      </c>
      <c r="D23" s="5">
        <v>5.8</v>
      </c>
      <c r="E23" s="5">
        <v>330</v>
      </c>
      <c r="F23" s="5">
        <v>345.5</v>
      </c>
      <c r="G23" s="6">
        <v>43780</v>
      </c>
      <c r="H23" s="5" t="s">
        <v>58</v>
      </c>
      <c r="I23" s="5" t="s">
        <v>57</v>
      </c>
      <c r="J23" s="5">
        <f t="shared" si="2"/>
        <v>15.5</v>
      </c>
      <c r="K23" s="8" t="b">
        <f t="shared" si="3"/>
        <v>1</v>
      </c>
    </row>
    <row r="24" spans="1:11">
      <c r="A24" s="5">
        <v>109</v>
      </c>
      <c r="B24" s="6">
        <v>43784</v>
      </c>
      <c r="C24" s="7">
        <v>0.65</v>
      </c>
      <c r="D24" s="5">
        <v>5.68</v>
      </c>
      <c r="E24" s="5">
        <v>345.5</v>
      </c>
      <c r="F24" s="5">
        <v>363</v>
      </c>
      <c r="G24" s="6">
        <v>43784</v>
      </c>
      <c r="H24" s="5" t="s">
        <v>58</v>
      </c>
      <c r="I24" s="5" t="s">
        <v>57</v>
      </c>
      <c r="J24" s="5">
        <f t="shared" si="2"/>
        <v>17.5</v>
      </c>
      <c r="K24" s="8" t="b">
        <f t="shared" si="3"/>
        <v>1</v>
      </c>
    </row>
    <row r="25" spans="1:11">
      <c r="A25" s="5">
        <v>109</v>
      </c>
      <c r="B25" s="6">
        <v>43785</v>
      </c>
      <c r="C25" s="7">
        <v>0.65</v>
      </c>
      <c r="D25" s="5">
        <v>5.68</v>
      </c>
      <c r="E25" s="5">
        <v>363</v>
      </c>
      <c r="F25" s="5">
        <v>382.5</v>
      </c>
      <c r="G25" s="6">
        <v>43785</v>
      </c>
      <c r="H25" s="5" t="s">
        <v>61</v>
      </c>
      <c r="I25" s="5" t="s">
        <v>57</v>
      </c>
      <c r="J25" s="5">
        <f t="shared" si="2"/>
        <v>19.5</v>
      </c>
      <c r="K25" s="8" t="b">
        <f t="shared" si="3"/>
        <v>1</v>
      </c>
    </row>
    <row r="26" spans="1:11">
      <c r="A26" s="5">
        <v>109</v>
      </c>
      <c r="B26" s="6">
        <v>43790</v>
      </c>
      <c r="C26" s="7">
        <v>0.8</v>
      </c>
      <c r="D26" s="5">
        <v>5.33</v>
      </c>
      <c r="E26" s="5">
        <v>382.5</v>
      </c>
      <c r="F26" s="5"/>
      <c r="G26" s="6"/>
      <c r="H26" s="5"/>
      <c r="I26" s="5"/>
      <c r="J26" s="5">
        <f t="shared" si="2"/>
        <v>-382.5</v>
      </c>
      <c r="K26" s="8" t="b">
        <f t="shared" si="3"/>
        <v>1</v>
      </c>
    </row>
    <row r="27" spans="1:11">
      <c r="A27" s="5">
        <v>109</v>
      </c>
      <c r="B27" s="6">
        <v>43792</v>
      </c>
      <c r="C27" s="7">
        <v>0.8</v>
      </c>
      <c r="D27" s="5">
        <v>5.33</v>
      </c>
      <c r="E27" s="5"/>
      <c r="F27" s="5"/>
      <c r="G27" s="6"/>
      <c r="H27" s="5"/>
      <c r="I27" s="5"/>
      <c r="J27" s="5">
        <f t="shared" si="2"/>
        <v>0</v>
      </c>
      <c r="K27" s="8" t="b">
        <f t="shared" si="3"/>
        <v>0</v>
      </c>
    </row>
    <row r="28" spans="1:11">
      <c r="A28" s="5">
        <v>109</v>
      </c>
      <c r="B28" s="6">
        <v>43796</v>
      </c>
      <c r="C28" s="7">
        <v>1</v>
      </c>
      <c r="D28" s="5">
        <v>5.8</v>
      </c>
      <c r="E28" s="5">
        <v>808.5</v>
      </c>
      <c r="F28" s="5">
        <v>820</v>
      </c>
      <c r="G28" s="6">
        <v>43796</v>
      </c>
      <c r="H28" s="5" t="s">
        <v>59</v>
      </c>
      <c r="I28" s="5" t="s">
        <v>57</v>
      </c>
      <c r="J28" s="5">
        <f t="shared" si="2"/>
        <v>11.5</v>
      </c>
      <c r="K28" s="8" t="b">
        <f t="shared" si="3"/>
        <v>1</v>
      </c>
    </row>
    <row r="29" spans="1:11">
      <c r="A29" s="5">
        <v>109</v>
      </c>
      <c r="B29" s="6">
        <v>43805</v>
      </c>
      <c r="C29" s="7">
        <v>0.8</v>
      </c>
      <c r="D29" s="5">
        <v>5.33</v>
      </c>
      <c r="E29" s="5">
        <v>820</v>
      </c>
      <c r="F29" s="5">
        <v>838.6</v>
      </c>
      <c r="G29" s="6">
        <v>43805</v>
      </c>
      <c r="H29" s="5" t="s">
        <v>59</v>
      </c>
      <c r="I29" s="5" t="s">
        <v>57</v>
      </c>
      <c r="J29" s="5">
        <f t="shared" si="2"/>
        <v>18.600000000000023</v>
      </c>
      <c r="K29" s="8" t="b">
        <f t="shared" si="3"/>
        <v>1</v>
      </c>
    </row>
    <row r="30" spans="1:11">
      <c r="A30" s="5">
        <v>109</v>
      </c>
      <c r="B30" s="6">
        <v>43808</v>
      </c>
      <c r="C30" s="7">
        <v>0.7</v>
      </c>
      <c r="D30" s="5">
        <v>8.2899999999999991</v>
      </c>
      <c r="E30" s="5">
        <v>838.6</v>
      </c>
      <c r="F30" s="5">
        <v>855.5</v>
      </c>
      <c r="G30" s="6">
        <v>43808</v>
      </c>
      <c r="H30" s="5" t="s">
        <v>62</v>
      </c>
      <c r="I30" s="5" t="s">
        <v>57</v>
      </c>
      <c r="J30" s="5">
        <f t="shared" si="2"/>
        <v>16.899999999999977</v>
      </c>
      <c r="K30" s="8" t="b">
        <f t="shared" si="3"/>
        <v>1</v>
      </c>
    </row>
    <row r="31" spans="1:11">
      <c r="A31" s="5">
        <v>109</v>
      </c>
      <c r="B31" s="6">
        <v>43810</v>
      </c>
      <c r="C31" s="7">
        <v>0.7</v>
      </c>
      <c r="D31" s="5">
        <v>8.2899999999999991</v>
      </c>
      <c r="E31" s="5">
        <v>855.5</v>
      </c>
      <c r="F31" s="5">
        <v>863.8</v>
      </c>
      <c r="G31" s="6">
        <v>43810</v>
      </c>
      <c r="H31" s="5" t="s">
        <v>62</v>
      </c>
      <c r="I31" s="5" t="s">
        <v>57</v>
      </c>
      <c r="J31" s="5">
        <f t="shared" si="2"/>
        <v>8.2999999999999545</v>
      </c>
      <c r="K31" s="8" t="b">
        <f t="shared" si="3"/>
        <v>1</v>
      </c>
    </row>
    <row r="32" spans="1:11">
      <c r="A32" s="5">
        <v>109</v>
      </c>
      <c r="B32" s="6">
        <v>43812</v>
      </c>
      <c r="C32" s="7">
        <v>0.7</v>
      </c>
      <c r="D32" s="5">
        <v>8.2899999999999991</v>
      </c>
      <c r="E32" s="5">
        <v>863.8</v>
      </c>
      <c r="F32" s="5">
        <v>879.2</v>
      </c>
      <c r="G32" s="6">
        <v>43812</v>
      </c>
      <c r="H32" s="5" t="s">
        <v>62</v>
      </c>
      <c r="I32" s="5" t="s">
        <v>65</v>
      </c>
      <c r="J32" s="5">
        <f t="shared" si="2"/>
        <v>15.400000000000091</v>
      </c>
      <c r="K32" s="8" t="b">
        <f t="shared" si="3"/>
        <v>1</v>
      </c>
    </row>
    <row r="33" spans="1:11">
      <c r="A33" s="5">
        <v>109</v>
      </c>
      <c r="B33" s="6">
        <v>43813</v>
      </c>
      <c r="C33" s="7">
        <v>0.7</v>
      </c>
      <c r="D33" s="5">
        <v>8.2899999999999991</v>
      </c>
      <c r="E33" s="5">
        <v>879.2</v>
      </c>
      <c r="F33" s="5">
        <v>896.5</v>
      </c>
      <c r="G33" s="6">
        <v>43813</v>
      </c>
      <c r="H33" s="5" t="s">
        <v>62</v>
      </c>
      <c r="I33" s="5" t="s">
        <v>65</v>
      </c>
      <c r="J33" s="5">
        <f t="shared" si="2"/>
        <v>17.299999999999955</v>
      </c>
      <c r="K33" s="8" t="b">
        <f t="shared" ref="K33:K42" si="4">F33=E34</f>
        <v>1</v>
      </c>
    </row>
    <row r="34" spans="1:11">
      <c r="A34" s="5">
        <v>109</v>
      </c>
      <c r="B34" s="6">
        <v>43815</v>
      </c>
      <c r="C34" s="7">
        <v>0.7</v>
      </c>
      <c r="D34" s="5">
        <v>8.2899999999999991</v>
      </c>
      <c r="E34" s="5">
        <v>896.5</v>
      </c>
      <c r="F34" s="5">
        <v>914.1</v>
      </c>
      <c r="G34" s="6">
        <v>43815</v>
      </c>
      <c r="H34" s="5" t="s">
        <v>62</v>
      </c>
      <c r="I34" s="5" t="s">
        <v>65</v>
      </c>
      <c r="J34" s="5">
        <f t="shared" si="2"/>
        <v>17.600000000000023</v>
      </c>
      <c r="K34" s="8" t="b">
        <f t="shared" si="4"/>
        <v>1</v>
      </c>
    </row>
    <row r="35" spans="1:11">
      <c r="A35" s="5">
        <v>109</v>
      </c>
      <c r="B35" s="6">
        <v>43818</v>
      </c>
      <c r="C35" s="7">
        <v>0.7</v>
      </c>
      <c r="D35" s="5">
        <v>8.2899999999999991</v>
      </c>
      <c r="E35" s="5">
        <v>914.1</v>
      </c>
      <c r="F35" s="5">
        <v>931.3</v>
      </c>
      <c r="G35" s="6">
        <v>43818</v>
      </c>
      <c r="H35" s="5" t="s">
        <v>62</v>
      </c>
      <c r="I35" s="5" t="s">
        <v>65</v>
      </c>
      <c r="J35" s="5">
        <f t="shared" si="2"/>
        <v>17.199999999999932</v>
      </c>
      <c r="K35" s="8" t="b">
        <f t="shared" si="4"/>
        <v>1</v>
      </c>
    </row>
    <row r="36" spans="1:11">
      <c r="A36" s="5">
        <v>109</v>
      </c>
      <c r="B36" s="6">
        <v>43820</v>
      </c>
      <c r="C36" s="7">
        <v>0.7</v>
      </c>
      <c r="D36" s="5">
        <v>8.2899999999999991</v>
      </c>
      <c r="E36" s="5">
        <v>931.3</v>
      </c>
      <c r="F36" s="5">
        <v>949.2</v>
      </c>
      <c r="G36" s="6">
        <v>43820</v>
      </c>
      <c r="H36" s="5" t="s">
        <v>62</v>
      </c>
      <c r="I36" s="5" t="s">
        <v>65</v>
      </c>
      <c r="J36" s="5">
        <f t="shared" si="2"/>
        <v>17.900000000000091</v>
      </c>
      <c r="K36" s="8" t="b">
        <f t="shared" si="4"/>
        <v>1</v>
      </c>
    </row>
    <row r="37" spans="1:11">
      <c r="A37" s="5">
        <v>109</v>
      </c>
      <c r="B37" s="6">
        <v>43822</v>
      </c>
      <c r="C37" s="7">
        <v>0.7</v>
      </c>
      <c r="D37" s="5">
        <v>8.2899999999999991</v>
      </c>
      <c r="E37" s="5">
        <v>949.2</v>
      </c>
      <c r="F37" s="5">
        <v>963</v>
      </c>
      <c r="G37" s="6">
        <v>43822</v>
      </c>
      <c r="H37" s="5" t="s">
        <v>62</v>
      </c>
      <c r="I37" s="5" t="s">
        <v>65</v>
      </c>
      <c r="J37" s="5">
        <f t="shared" si="2"/>
        <v>13.799999999999955</v>
      </c>
      <c r="K37" s="8" t="b">
        <f t="shared" si="4"/>
        <v>1</v>
      </c>
    </row>
    <row r="38" spans="1:11">
      <c r="A38" s="5">
        <v>109</v>
      </c>
      <c r="B38" s="6">
        <v>43826</v>
      </c>
      <c r="C38" s="7">
        <v>0.7</v>
      </c>
      <c r="D38" s="5">
        <v>8.2899999999999991</v>
      </c>
      <c r="E38" s="5">
        <v>963</v>
      </c>
      <c r="F38" s="5">
        <v>980</v>
      </c>
      <c r="G38" s="6">
        <v>43826</v>
      </c>
      <c r="H38" s="5" t="s">
        <v>62</v>
      </c>
      <c r="I38" s="5" t="s">
        <v>65</v>
      </c>
      <c r="J38" s="5">
        <f t="shared" si="2"/>
        <v>17</v>
      </c>
      <c r="K38" s="8" t="b">
        <f t="shared" si="4"/>
        <v>1</v>
      </c>
    </row>
    <row r="39" spans="1:11">
      <c r="A39" s="5">
        <v>109</v>
      </c>
      <c r="B39" s="6">
        <v>43828</v>
      </c>
      <c r="C39" s="7">
        <v>0.7</v>
      </c>
      <c r="D39" s="5">
        <v>8.2899999999999991</v>
      </c>
      <c r="E39" s="5">
        <v>980</v>
      </c>
      <c r="F39" s="5">
        <v>997.2</v>
      </c>
      <c r="G39" s="6">
        <v>43828</v>
      </c>
      <c r="H39" s="5"/>
      <c r="I39" s="5"/>
      <c r="J39" s="5">
        <f t="shared" si="2"/>
        <v>17.200000000000045</v>
      </c>
      <c r="K39" s="8" t="b">
        <f t="shared" si="4"/>
        <v>1</v>
      </c>
    </row>
    <row r="40" spans="1:11">
      <c r="A40" s="5">
        <v>109</v>
      </c>
      <c r="B40" s="6">
        <v>43478</v>
      </c>
      <c r="C40" s="7">
        <v>1</v>
      </c>
      <c r="D40" s="5">
        <v>5.8</v>
      </c>
      <c r="E40" s="5">
        <v>997.2</v>
      </c>
      <c r="F40" s="5">
        <v>1013</v>
      </c>
      <c r="G40" s="6">
        <v>43478</v>
      </c>
      <c r="H40" s="5"/>
      <c r="I40" s="5"/>
      <c r="J40" s="5">
        <f t="shared" si="2"/>
        <v>15.799999999999955</v>
      </c>
      <c r="K40" s="8" t="b">
        <f t="shared" si="4"/>
        <v>1</v>
      </c>
    </row>
    <row r="41" spans="1:11">
      <c r="A41" s="5">
        <v>109</v>
      </c>
      <c r="B41" s="6">
        <v>43845</v>
      </c>
      <c r="C41" s="7">
        <v>0.7</v>
      </c>
      <c r="D41" s="5">
        <v>8.2899999999999991</v>
      </c>
      <c r="E41" s="5">
        <v>1013</v>
      </c>
      <c r="F41" s="5">
        <v>1030</v>
      </c>
      <c r="G41" s="6">
        <v>43845</v>
      </c>
      <c r="H41" s="5"/>
      <c r="I41" s="5"/>
      <c r="J41" s="5">
        <f t="shared" si="2"/>
        <v>17</v>
      </c>
      <c r="K41" s="8" t="b">
        <f t="shared" si="4"/>
        <v>0</v>
      </c>
    </row>
    <row r="42" spans="1:11">
      <c r="A42" s="5"/>
      <c r="B42" s="6"/>
      <c r="C42" s="7"/>
      <c r="D42" s="5"/>
      <c r="E42" s="5"/>
      <c r="F42" s="5"/>
      <c r="G42" s="6"/>
      <c r="H42" s="5"/>
      <c r="I42" s="5"/>
      <c r="J42" s="5">
        <f t="shared" si="2"/>
        <v>0</v>
      </c>
      <c r="K42" s="8" t="b">
        <f t="shared" si="4"/>
        <v>1</v>
      </c>
    </row>
    <row r="43" spans="1:11">
      <c r="A43" s="5"/>
      <c r="B43" s="6"/>
      <c r="C43" s="7"/>
      <c r="D43" s="5"/>
      <c r="E43" s="5"/>
      <c r="F43" s="5"/>
      <c r="G43" s="6"/>
      <c r="H43" s="5"/>
      <c r="I43" s="5"/>
      <c r="J43" s="5">
        <f t="shared" si="2"/>
        <v>0</v>
      </c>
      <c r="K43" s="8" t="e">
        <f>F43=#REF!</f>
        <v>#REF!</v>
      </c>
    </row>
    <row r="45" spans="1:11" ht="26.25">
      <c r="A45" s="144" t="s">
        <v>128</v>
      </c>
      <c r="B45" s="166"/>
      <c r="C45" s="166"/>
      <c r="D45" s="166"/>
      <c r="E45" s="166"/>
      <c r="F45" s="166"/>
      <c r="G45" s="166"/>
      <c r="H45" s="166"/>
      <c r="I45" s="166"/>
      <c r="J45" s="166"/>
      <c r="K45" s="167"/>
    </row>
    <row r="46" spans="1:11" ht="26.25">
      <c r="A46" s="144" t="s">
        <v>51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7"/>
    </row>
    <row r="47" spans="1:11" ht="15.75" thickBot="1"/>
    <row r="48" spans="1:11" ht="15.75" thickBot="1">
      <c r="A48" s="132" t="s">
        <v>2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4"/>
    </row>
    <row r="50" spans="1:11" ht="19.5" thickBot="1">
      <c r="A50" s="1" t="s">
        <v>3</v>
      </c>
      <c r="B50" s="1"/>
      <c r="C50" s="1"/>
      <c r="D50" s="1"/>
      <c r="E50" s="1"/>
      <c r="F50" s="1"/>
      <c r="G50" s="1"/>
      <c r="H50" s="1"/>
      <c r="I50" s="1"/>
    </row>
    <row r="51" spans="1:11" ht="30.75" thickBot="1">
      <c r="A51" s="2" t="s">
        <v>4</v>
      </c>
      <c r="B51" s="3" t="s">
        <v>5</v>
      </c>
      <c r="C51" s="3" t="s">
        <v>6</v>
      </c>
      <c r="D51" s="3" t="s">
        <v>7</v>
      </c>
      <c r="E51" s="3" t="s">
        <v>8</v>
      </c>
      <c r="F51" s="3" t="s">
        <v>9</v>
      </c>
      <c r="G51" s="3" t="s">
        <v>10</v>
      </c>
      <c r="H51" s="3" t="s">
        <v>21</v>
      </c>
      <c r="I51" s="4" t="s">
        <v>22</v>
      </c>
      <c r="J51" s="4" t="s">
        <v>11</v>
      </c>
      <c r="K51" s="4" t="s">
        <v>12</v>
      </c>
    </row>
    <row r="52" spans="1:11">
      <c r="A52" s="5">
        <v>109</v>
      </c>
      <c r="B52" s="6">
        <v>43878</v>
      </c>
      <c r="C52" s="7">
        <v>0.4</v>
      </c>
      <c r="D52" s="5">
        <v>14.5</v>
      </c>
      <c r="E52" s="5">
        <v>1043</v>
      </c>
      <c r="F52" s="5">
        <v>1063.2</v>
      </c>
      <c r="G52" s="6">
        <v>43878</v>
      </c>
      <c r="H52" s="5"/>
      <c r="I52" s="5"/>
      <c r="J52" s="5">
        <f>F52-E52</f>
        <v>20.200000000000045</v>
      </c>
      <c r="K52" s="8" t="b">
        <f>F52=E53</f>
        <v>1</v>
      </c>
    </row>
    <row r="53" spans="1:11">
      <c r="A53" s="5">
        <v>109</v>
      </c>
      <c r="B53" s="6">
        <v>43879</v>
      </c>
      <c r="C53" s="7">
        <v>0.4</v>
      </c>
      <c r="D53" s="5">
        <v>14.5</v>
      </c>
      <c r="E53" s="5">
        <v>1063.2</v>
      </c>
      <c r="F53" s="5">
        <v>1092.8</v>
      </c>
      <c r="G53" s="6">
        <v>43879</v>
      </c>
      <c r="H53" s="5"/>
      <c r="I53" s="5"/>
      <c r="J53" s="5">
        <f>F53-E53</f>
        <v>29.599999999999909</v>
      </c>
      <c r="K53" s="8" t="b">
        <f t="shared" ref="K53:K116" si="5">F53=E54</f>
        <v>1</v>
      </c>
    </row>
    <row r="54" spans="1:11">
      <c r="A54" s="5">
        <v>109</v>
      </c>
      <c r="B54" s="6">
        <v>43880</v>
      </c>
      <c r="C54" s="7">
        <v>0.4</v>
      </c>
      <c r="D54" s="5">
        <v>14.5</v>
      </c>
      <c r="E54" s="5">
        <v>1092.8</v>
      </c>
      <c r="F54" s="5">
        <v>1120.2</v>
      </c>
      <c r="G54" s="6">
        <v>43880</v>
      </c>
      <c r="H54" s="5"/>
      <c r="I54" s="5"/>
      <c r="J54" s="5">
        <f>F54-E54</f>
        <v>27.400000000000091</v>
      </c>
      <c r="K54" s="8" t="b">
        <f t="shared" si="5"/>
        <v>1</v>
      </c>
    </row>
    <row r="55" spans="1:11">
      <c r="A55" s="5">
        <v>109</v>
      </c>
      <c r="B55" s="6">
        <v>43882</v>
      </c>
      <c r="C55" s="7">
        <v>1</v>
      </c>
      <c r="D55" s="5">
        <v>5.8</v>
      </c>
      <c r="E55" s="5">
        <v>1120.2</v>
      </c>
      <c r="F55" s="5">
        <v>1132</v>
      </c>
      <c r="G55" s="6">
        <v>43882</v>
      </c>
      <c r="H55" s="5"/>
      <c r="I55" s="5"/>
      <c r="J55" s="5">
        <f>F55-E55</f>
        <v>11.799999999999955</v>
      </c>
      <c r="K55" s="8" t="b">
        <f t="shared" si="5"/>
        <v>1</v>
      </c>
    </row>
    <row r="56" spans="1:11">
      <c r="A56" s="5">
        <v>109</v>
      </c>
      <c r="B56" s="6">
        <v>43886</v>
      </c>
      <c r="C56" s="7">
        <v>1</v>
      </c>
      <c r="D56" s="5">
        <v>5.8</v>
      </c>
      <c r="E56" s="5">
        <v>1132</v>
      </c>
      <c r="F56" s="5">
        <v>1146</v>
      </c>
      <c r="G56" s="6">
        <v>43886</v>
      </c>
      <c r="H56" s="5"/>
      <c r="I56" s="5"/>
      <c r="J56" s="5">
        <f>F56-E56</f>
        <v>14</v>
      </c>
      <c r="K56" s="8" t="b">
        <f t="shared" si="5"/>
        <v>1</v>
      </c>
    </row>
    <row r="57" spans="1:11">
      <c r="A57" s="5">
        <v>109</v>
      </c>
      <c r="B57" s="6">
        <v>43888</v>
      </c>
      <c r="C57" s="7">
        <v>1</v>
      </c>
      <c r="D57" s="5">
        <v>5.8</v>
      </c>
      <c r="E57" s="5">
        <v>1146</v>
      </c>
      <c r="F57" s="5">
        <v>1160</v>
      </c>
      <c r="G57" s="6">
        <v>43888</v>
      </c>
      <c r="H57" s="5"/>
      <c r="I57" s="5"/>
      <c r="J57" s="5">
        <f t="shared" ref="J57:J68" si="6">F57-E57</f>
        <v>14</v>
      </c>
      <c r="K57" s="8" t="b">
        <f t="shared" si="5"/>
        <v>1</v>
      </c>
    </row>
    <row r="58" spans="1:11">
      <c r="A58" s="5">
        <v>109</v>
      </c>
      <c r="B58" s="6">
        <v>43898</v>
      </c>
      <c r="C58" s="7">
        <v>1</v>
      </c>
      <c r="D58" s="5">
        <v>5.8</v>
      </c>
      <c r="E58" s="5">
        <v>1160</v>
      </c>
      <c r="F58" s="5">
        <v>1174</v>
      </c>
      <c r="G58" s="6">
        <v>43898</v>
      </c>
      <c r="H58" s="5"/>
      <c r="I58" s="5"/>
      <c r="J58" s="5">
        <f t="shared" si="6"/>
        <v>14</v>
      </c>
      <c r="K58" s="8" t="b">
        <f t="shared" si="5"/>
        <v>1</v>
      </c>
    </row>
    <row r="59" spans="1:11">
      <c r="A59" s="5">
        <v>109</v>
      </c>
      <c r="B59" s="6">
        <v>43911</v>
      </c>
      <c r="C59" s="7">
        <v>1</v>
      </c>
      <c r="D59" s="5">
        <v>5.8</v>
      </c>
      <c r="E59" s="5">
        <v>1174</v>
      </c>
      <c r="F59" s="5">
        <v>1188.8</v>
      </c>
      <c r="G59" s="6">
        <v>43911</v>
      </c>
      <c r="H59" s="5"/>
      <c r="I59" s="5"/>
      <c r="J59" s="5">
        <f t="shared" si="6"/>
        <v>14.799999999999955</v>
      </c>
      <c r="K59" s="8" t="b">
        <f t="shared" si="5"/>
        <v>1</v>
      </c>
    </row>
    <row r="60" spans="1:11">
      <c r="A60" s="5">
        <v>109</v>
      </c>
      <c r="B60" s="6">
        <v>43913</v>
      </c>
      <c r="C60" s="7">
        <v>0.8</v>
      </c>
      <c r="D60" s="5">
        <v>7.25</v>
      </c>
      <c r="E60" s="5">
        <v>1188.8</v>
      </c>
      <c r="F60" s="5">
        <v>1198.5999999999999</v>
      </c>
      <c r="G60" s="6">
        <v>43913</v>
      </c>
      <c r="H60" s="5"/>
      <c r="I60" s="5"/>
      <c r="J60" s="5">
        <f t="shared" si="6"/>
        <v>9.7999999999999545</v>
      </c>
      <c r="K60" s="8" t="b">
        <f t="shared" si="5"/>
        <v>1</v>
      </c>
    </row>
    <row r="61" spans="1:11">
      <c r="A61" s="5">
        <v>109</v>
      </c>
      <c r="B61" s="6">
        <v>43921</v>
      </c>
      <c r="C61" s="7">
        <v>0.8</v>
      </c>
      <c r="D61" s="5">
        <v>7.25</v>
      </c>
      <c r="E61" s="5">
        <v>1198.5999999999999</v>
      </c>
      <c r="F61" s="5">
        <v>1214</v>
      </c>
      <c r="G61" s="6">
        <v>43921</v>
      </c>
      <c r="H61" s="5"/>
      <c r="I61" s="5"/>
      <c r="J61" s="5">
        <f t="shared" si="6"/>
        <v>15.400000000000091</v>
      </c>
      <c r="K61" s="8" t="b">
        <f t="shared" si="5"/>
        <v>1</v>
      </c>
    </row>
    <row r="62" spans="1:11">
      <c r="A62" s="5">
        <v>109</v>
      </c>
      <c r="B62" s="6">
        <v>43923</v>
      </c>
      <c r="C62" s="7">
        <v>0.8</v>
      </c>
      <c r="D62" s="5">
        <v>7.25</v>
      </c>
      <c r="E62" s="5">
        <v>1214</v>
      </c>
      <c r="F62" s="5">
        <v>1228</v>
      </c>
      <c r="G62" s="6">
        <v>43923</v>
      </c>
      <c r="H62" s="5"/>
      <c r="I62" s="5"/>
      <c r="J62" s="5">
        <f t="shared" si="6"/>
        <v>14</v>
      </c>
      <c r="K62" s="8" t="b">
        <f t="shared" si="5"/>
        <v>1</v>
      </c>
    </row>
    <row r="63" spans="1:11">
      <c r="A63" s="5">
        <v>109</v>
      </c>
      <c r="B63" s="6">
        <v>43925</v>
      </c>
      <c r="C63" s="7">
        <v>0.8</v>
      </c>
      <c r="D63" s="5">
        <v>7.25</v>
      </c>
      <c r="E63" s="5">
        <v>1228</v>
      </c>
      <c r="F63" s="5">
        <v>1242</v>
      </c>
      <c r="G63" s="6">
        <v>43925</v>
      </c>
      <c r="H63" s="5"/>
      <c r="I63" s="5"/>
      <c r="J63" s="5">
        <f t="shared" si="6"/>
        <v>14</v>
      </c>
      <c r="K63" s="8" t="b">
        <f t="shared" si="5"/>
        <v>1</v>
      </c>
    </row>
    <row r="64" spans="1:11">
      <c r="A64" s="5">
        <v>109</v>
      </c>
      <c r="B64" s="6">
        <v>43935</v>
      </c>
      <c r="C64" s="7">
        <v>0.8</v>
      </c>
      <c r="D64" s="5">
        <v>7.25</v>
      </c>
      <c r="E64" s="5">
        <v>1242</v>
      </c>
      <c r="F64" s="5">
        <v>1258</v>
      </c>
      <c r="G64" s="6">
        <v>43935</v>
      </c>
      <c r="H64" s="5"/>
      <c r="I64" s="5"/>
      <c r="J64" s="5">
        <f t="shared" si="6"/>
        <v>16</v>
      </c>
      <c r="K64" s="8" t="b">
        <f t="shared" si="5"/>
        <v>0</v>
      </c>
    </row>
    <row r="65" spans="1:11">
      <c r="A65" s="5">
        <v>109</v>
      </c>
      <c r="B65" s="6">
        <v>43943</v>
      </c>
      <c r="C65" s="7">
        <v>0.8</v>
      </c>
      <c r="D65" s="5">
        <v>7.25</v>
      </c>
      <c r="E65" s="5">
        <v>1272</v>
      </c>
      <c r="F65" s="5">
        <v>1288</v>
      </c>
      <c r="G65" s="6">
        <v>43943</v>
      </c>
      <c r="H65" s="5"/>
      <c r="I65" s="5"/>
      <c r="J65" s="5">
        <f t="shared" si="6"/>
        <v>16</v>
      </c>
      <c r="K65" s="8" t="b">
        <f t="shared" si="5"/>
        <v>1</v>
      </c>
    </row>
    <row r="66" spans="1:11">
      <c r="A66" s="5">
        <v>109</v>
      </c>
      <c r="B66" s="6">
        <v>43948</v>
      </c>
      <c r="C66" s="7">
        <v>0.8</v>
      </c>
      <c r="D66" s="5">
        <v>7.25</v>
      </c>
      <c r="E66" s="5">
        <v>1288</v>
      </c>
      <c r="F66" s="5">
        <v>1303.5999999999999</v>
      </c>
      <c r="G66" s="6">
        <v>43948</v>
      </c>
      <c r="H66" s="5"/>
      <c r="I66" s="5"/>
      <c r="J66" s="5">
        <f t="shared" si="6"/>
        <v>15.599999999999909</v>
      </c>
      <c r="K66" s="8" t="b">
        <f t="shared" si="5"/>
        <v>1</v>
      </c>
    </row>
    <row r="67" spans="1:11">
      <c r="A67" s="5">
        <v>109</v>
      </c>
      <c r="B67" s="6">
        <v>43957</v>
      </c>
      <c r="C67" s="7">
        <v>1</v>
      </c>
      <c r="D67" s="5">
        <v>5.8</v>
      </c>
      <c r="E67" s="5">
        <v>1303.5999999999999</v>
      </c>
      <c r="F67" s="5">
        <v>1344</v>
      </c>
      <c r="G67" s="6">
        <v>43957</v>
      </c>
      <c r="H67" s="5"/>
      <c r="I67" s="5"/>
      <c r="J67" s="5">
        <f t="shared" si="6"/>
        <v>40.400000000000091</v>
      </c>
      <c r="K67" s="8" t="b">
        <f t="shared" si="5"/>
        <v>1</v>
      </c>
    </row>
    <row r="68" spans="1:11">
      <c r="A68" s="5">
        <v>109</v>
      </c>
      <c r="B68" s="6">
        <v>43964</v>
      </c>
      <c r="C68" s="7">
        <v>1</v>
      </c>
      <c r="D68" s="5">
        <v>5.8</v>
      </c>
      <c r="E68" s="5">
        <v>1344</v>
      </c>
      <c r="F68" s="5">
        <v>1355.7</v>
      </c>
      <c r="G68" s="6">
        <v>43964</v>
      </c>
      <c r="H68" s="5"/>
      <c r="I68" s="5"/>
      <c r="J68" s="5">
        <f t="shared" si="6"/>
        <v>11.700000000000045</v>
      </c>
      <c r="K68" s="8" t="b">
        <f t="shared" si="5"/>
        <v>1</v>
      </c>
    </row>
    <row r="69" spans="1:11">
      <c r="A69" s="5">
        <v>109</v>
      </c>
      <c r="B69" s="6">
        <v>43968</v>
      </c>
      <c r="C69" s="7">
        <v>0.7</v>
      </c>
      <c r="D69" s="5">
        <v>8.2899999999999991</v>
      </c>
      <c r="E69" s="5">
        <v>1355.7</v>
      </c>
      <c r="F69" s="5">
        <v>1363.5</v>
      </c>
      <c r="G69" s="6">
        <v>43968</v>
      </c>
      <c r="H69" s="5"/>
      <c r="I69" s="5"/>
      <c r="J69" s="5">
        <f t="shared" ref="J69:J75" si="7">F69-E69</f>
        <v>7.7999999999999545</v>
      </c>
      <c r="K69" s="8" t="b">
        <f t="shared" si="5"/>
        <v>1</v>
      </c>
    </row>
    <row r="70" spans="1:11">
      <c r="A70" s="5">
        <v>109</v>
      </c>
      <c r="B70" s="6">
        <v>43971</v>
      </c>
      <c r="C70" s="7">
        <v>0.7</v>
      </c>
      <c r="D70" s="5">
        <v>8.2899999999999991</v>
      </c>
      <c r="E70" s="5">
        <v>1363.5</v>
      </c>
      <c r="F70" s="5">
        <v>1380.1</v>
      </c>
      <c r="G70" s="6">
        <v>43971</v>
      </c>
      <c r="H70" s="5"/>
      <c r="I70" s="5"/>
      <c r="J70" s="5">
        <f t="shared" si="7"/>
        <v>16.599999999999909</v>
      </c>
      <c r="K70" s="8" t="b">
        <f t="shared" si="5"/>
        <v>1</v>
      </c>
    </row>
    <row r="71" spans="1:11">
      <c r="A71" s="5">
        <v>109</v>
      </c>
      <c r="B71" s="6">
        <v>43975</v>
      </c>
      <c r="C71" s="7">
        <v>0.8</v>
      </c>
      <c r="D71" s="5">
        <v>7.25</v>
      </c>
      <c r="E71" s="5">
        <v>1380.1</v>
      </c>
      <c r="F71" s="5">
        <v>1395.8</v>
      </c>
      <c r="G71" s="6">
        <v>43975</v>
      </c>
      <c r="H71" s="5"/>
      <c r="I71" s="5"/>
      <c r="J71" s="5">
        <f t="shared" si="7"/>
        <v>15.700000000000045</v>
      </c>
      <c r="K71" s="8" t="b">
        <f t="shared" si="5"/>
        <v>1</v>
      </c>
    </row>
    <row r="72" spans="1:11">
      <c r="A72" s="5">
        <v>109</v>
      </c>
      <c r="B72" s="6">
        <v>43983</v>
      </c>
      <c r="C72" s="7">
        <v>0.7</v>
      </c>
      <c r="D72" s="5">
        <v>8.2899999999999991</v>
      </c>
      <c r="E72" s="5">
        <v>1395.8</v>
      </c>
      <c r="F72" s="5">
        <v>1412.5</v>
      </c>
      <c r="G72" s="6">
        <v>43983</v>
      </c>
      <c r="H72" s="5"/>
      <c r="I72" s="5"/>
      <c r="J72" s="5">
        <f t="shared" si="7"/>
        <v>16.700000000000045</v>
      </c>
      <c r="K72" s="8" t="b">
        <f t="shared" si="5"/>
        <v>1</v>
      </c>
    </row>
    <row r="73" spans="1:11">
      <c r="A73" s="5">
        <v>109</v>
      </c>
      <c r="B73" s="6">
        <v>43987</v>
      </c>
      <c r="C73" s="7">
        <v>0.7</v>
      </c>
      <c r="D73" s="5">
        <v>8.2899999999999991</v>
      </c>
      <c r="E73" s="5">
        <v>1412.5</v>
      </c>
      <c r="F73" s="5">
        <v>1430.1</v>
      </c>
      <c r="G73" s="6">
        <v>43987</v>
      </c>
      <c r="H73" s="5"/>
      <c r="I73" s="5"/>
      <c r="J73" s="5">
        <f t="shared" si="7"/>
        <v>17.599999999999909</v>
      </c>
      <c r="K73" s="8" t="b">
        <f t="shared" si="5"/>
        <v>1</v>
      </c>
    </row>
    <row r="74" spans="1:11">
      <c r="A74" s="5">
        <v>109</v>
      </c>
      <c r="B74" s="6">
        <v>43992</v>
      </c>
      <c r="C74" s="7">
        <v>0.7</v>
      </c>
      <c r="D74" s="5">
        <v>8.2899999999999991</v>
      </c>
      <c r="E74" s="5">
        <v>1430.1</v>
      </c>
      <c r="F74" s="5">
        <v>1447</v>
      </c>
      <c r="G74" s="6">
        <v>43992</v>
      </c>
      <c r="H74" s="5"/>
      <c r="I74" s="5"/>
      <c r="J74" s="5">
        <f t="shared" si="7"/>
        <v>16.900000000000091</v>
      </c>
      <c r="K74" s="8" t="b">
        <f t="shared" si="5"/>
        <v>1</v>
      </c>
    </row>
    <row r="75" spans="1:11">
      <c r="A75" s="5">
        <v>109</v>
      </c>
      <c r="B75" s="6">
        <v>44000</v>
      </c>
      <c r="C75" s="7">
        <v>0.7</v>
      </c>
      <c r="D75" s="5">
        <v>8.2899999999999991</v>
      </c>
      <c r="E75" s="5">
        <v>1447</v>
      </c>
      <c r="F75" s="5">
        <v>1465.1</v>
      </c>
      <c r="G75" s="6">
        <v>44000</v>
      </c>
      <c r="H75" s="5"/>
      <c r="I75" s="5"/>
      <c r="J75" s="5">
        <f t="shared" si="7"/>
        <v>18.099999999999909</v>
      </c>
      <c r="K75" s="8" t="b">
        <f t="shared" si="5"/>
        <v>1</v>
      </c>
    </row>
    <row r="76" spans="1:11">
      <c r="A76" s="5">
        <v>109</v>
      </c>
      <c r="B76" s="6">
        <v>44005</v>
      </c>
      <c r="C76" s="7">
        <v>0.7</v>
      </c>
      <c r="D76" s="5">
        <v>8.2899999999999991</v>
      </c>
      <c r="E76" s="5">
        <v>1465.1</v>
      </c>
      <c r="F76" s="5">
        <v>1481.7</v>
      </c>
      <c r="G76" s="6">
        <v>44005</v>
      </c>
      <c r="H76" s="5"/>
      <c r="I76" s="5"/>
      <c r="J76" s="5">
        <f t="shared" ref="J76:J83" si="8">F76-E76</f>
        <v>16.600000000000136</v>
      </c>
      <c r="K76" s="8" t="b">
        <f t="shared" si="5"/>
        <v>1</v>
      </c>
    </row>
    <row r="77" spans="1:11">
      <c r="A77" s="5">
        <v>109</v>
      </c>
      <c r="B77" s="6">
        <v>44011</v>
      </c>
      <c r="C77" s="7">
        <v>0.7</v>
      </c>
      <c r="D77" s="5">
        <v>8.2899999999999991</v>
      </c>
      <c r="E77" s="5">
        <v>1481.7</v>
      </c>
      <c r="F77" s="5">
        <v>1498.7</v>
      </c>
      <c r="G77" s="6">
        <v>44011</v>
      </c>
      <c r="H77" s="5"/>
      <c r="I77" s="5"/>
      <c r="J77" s="5">
        <f t="shared" si="8"/>
        <v>17</v>
      </c>
      <c r="K77" s="8" t="b">
        <f t="shared" si="5"/>
        <v>1</v>
      </c>
    </row>
    <row r="78" spans="1:11">
      <c r="A78" s="5">
        <v>109</v>
      </c>
      <c r="B78" s="6">
        <v>44023</v>
      </c>
      <c r="C78" s="7">
        <v>0.6</v>
      </c>
      <c r="D78" s="5">
        <v>9.67</v>
      </c>
      <c r="E78" s="5">
        <v>1498.7</v>
      </c>
      <c r="F78" s="5">
        <v>1527.4</v>
      </c>
      <c r="G78" s="6"/>
      <c r="H78" s="5"/>
      <c r="I78" s="5"/>
      <c r="J78" s="5">
        <f t="shared" si="8"/>
        <v>28.700000000000045</v>
      </c>
      <c r="K78" s="8" t="b">
        <f t="shared" si="5"/>
        <v>1</v>
      </c>
    </row>
    <row r="79" spans="1:11">
      <c r="A79" s="5">
        <v>109</v>
      </c>
      <c r="B79" s="6">
        <v>44029</v>
      </c>
      <c r="C79" s="7">
        <v>0.4</v>
      </c>
      <c r="D79" s="5">
        <v>14.5</v>
      </c>
      <c r="E79" s="5">
        <v>1527.4</v>
      </c>
      <c r="F79" s="5">
        <v>1542.4</v>
      </c>
      <c r="G79" s="6"/>
      <c r="H79" s="5"/>
      <c r="I79" s="5"/>
      <c r="J79" s="5">
        <f t="shared" si="8"/>
        <v>15</v>
      </c>
      <c r="K79" s="8" t="b">
        <f t="shared" si="5"/>
        <v>1</v>
      </c>
    </row>
    <row r="80" spans="1:11">
      <c r="A80" s="5">
        <v>109</v>
      </c>
      <c r="B80" s="6">
        <v>44030</v>
      </c>
      <c r="C80" s="7">
        <v>0.4</v>
      </c>
      <c r="D80" s="5">
        <v>14.5</v>
      </c>
      <c r="E80" s="5">
        <v>1542.4</v>
      </c>
      <c r="F80" s="5">
        <v>1556.6</v>
      </c>
      <c r="G80" s="6"/>
      <c r="H80" s="5"/>
      <c r="I80" s="5"/>
      <c r="J80" s="5">
        <f t="shared" si="8"/>
        <v>14.199999999999818</v>
      </c>
      <c r="K80" s="8" t="b">
        <f t="shared" si="5"/>
        <v>1</v>
      </c>
    </row>
    <row r="81" spans="1:11">
      <c r="A81" s="5">
        <v>109</v>
      </c>
      <c r="B81" s="6">
        <v>44037</v>
      </c>
      <c r="C81" s="7">
        <v>0.4</v>
      </c>
      <c r="D81" s="5">
        <v>14.5</v>
      </c>
      <c r="E81" s="5">
        <v>1556.6</v>
      </c>
      <c r="F81" s="5">
        <v>1585</v>
      </c>
      <c r="G81" s="6"/>
      <c r="H81" s="5"/>
      <c r="I81" s="5"/>
      <c r="J81" s="5">
        <f t="shared" si="8"/>
        <v>28.400000000000091</v>
      </c>
      <c r="K81" s="8" t="b">
        <f t="shared" si="5"/>
        <v>1</v>
      </c>
    </row>
    <row r="82" spans="1:11">
      <c r="A82" s="5">
        <v>109</v>
      </c>
      <c r="B82" s="6">
        <v>44044</v>
      </c>
      <c r="C82" s="7">
        <v>0.4</v>
      </c>
      <c r="D82" s="5">
        <v>14.5</v>
      </c>
      <c r="E82" s="5">
        <v>1585</v>
      </c>
      <c r="F82" s="5">
        <v>1601</v>
      </c>
      <c r="G82" s="6"/>
      <c r="H82" s="5"/>
      <c r="I82" s="5"/>
      <c r="J82" s="5">
        <f t="shared" si="8"/>
        <v>16</v>
      </c>
      <c r="K82" s="8" t="b">
        <f t="shared" si="5"/>
        <v>1</v>
      </c>
    </row>
    <row r="83" spans="1:11">
      <c r="A83" s="5">
        <v>109</v>
      </c>
      <c r="B83" s="6">
        <v>44045</v>
      </c>
      <c r="C83" s="7">
        <v>0.4</v>
      </c>
      <c r="D83" s="5">
        <v>14.5</v>
      </c>
      <c r="E83" s="5">
        <v>1601</v>
      </c>
      <c r="F83" s="5">
        <v>1615</v>
      </c>
      <c r="G83" s="6"/>
      <c r="H83" s="5"/>
      <c r="I83" s="5"/>
      <c r="J83" s="5">
        <f t="shared" si="8"/>
        <v>14</v>
      </c>
      <c r="K83" s="8" t="b">
        <f t="shared" si="5"/>
        <v>0</v>
      </c>
    </row>
    <row r="84" spans="1:11">
      <c r="A84" s="5">
        <v>109</v>
      </c>
      <c r="B84" s="6">
        <v>44198</v>
      </c>
      <c r="C84" s="7">
        <v>1</v>
      </c>
      <c r="D84" s="5">
        <v>5.8</v>
      </c>
      <c r="E84" s="5">
        <v>70.2</v>
      </c>
      <c r="F84" s="5">
        <v>82.4</v>
      </c>
      <c r="G84" s="6">
        <v>44198</v>
      </c>
      <c r="H84" s="5"/>
      <c r="I84" s="5"/>
      <c r="J84" s="5">
        <f t="shared" ref="J84:J94" si="9">F84-E84</f>
        <v>12.200000000000003</v>
      </c>
      <c r="K84" s="8" t="b">
        <f t="shared" si="5"/>
        <v>0</v>
      </c>
    </row>
    <row r="85" spans="1:11">
      <c r="A85" s="5">
        <v>109</v>
      </c>
      <c r="B85" s="6">
        <v>44199</v>
      </c>
      <c r="C85" s="7">
        <v>1</v>
      </c>
      <c r="D85" s="5">
        <v>5.8</v>
      </c>
      <c r="E85" s="5">
        <v>82</v>
      </c>
      <c r="F85" s="5">
        <v>93</v>
      </c>
      <c r="G85" s="6">
        <v>44199</v>
      </c>
      <c r="H85" s="5"/>
      <c r="I85" s="5"/>
      <c r="J85" s="5">
        <f t="shared" si="9"/>
        <v>11</v>
      </c>
      <c r="K85" s="8" t="b">
        <f t="shared" si="5"/>
        <v>0</v>
      </c>
    </row>
    <row r="86" spans="1:11">
      <c r="A86" s="5">
        <v>109</v>
      </c>
      <c r="B86" s="6">
        <v>44201</v>
      </c>
      <c r="C86" s="7">
        <v>1</v>
      </c>
      <c r="D86" s="5">
        <v>5.8</v>
      </c>
      <c r="E86" s="5">
        <v>93.6</v>
      </c>
      <c r="F86" s="5">
        <v>105</v>
      </c>
      <c r="G86" s="6">
        <v>44201</v>
      </c>
      <c r="H86" s="5"/>
      <c r="I86" s="5"/>
      <c r="J86" s="5">
        <f t="shared" si="9"/>
        <v>11.400000000000006</v>
      </c>
      <c r="K86" s="8" t="b">
        <f t="shared" si="5"/>
        <v>0</v>
      </c>
    </row>
    <row r="87" spans="1:11">
      <c r="A87" s="5">
        <v>109</v>
      </c>
      <c r="B87" s="6">
        <v>44205</v>
      </c>
      <c r="C87" s="7">
        <v>0.8</v>
      </c>
      <c r="D87" s="5">
        <v>7.25</v>
      </c>
      <c r="E87" s="5">
        <v>117.2</v>
      </c>
      <c r="F87" s="5">
        <v>132.6</v>
      </c>
      <c r="G87" s="6">
        <v>44205</v>
      </c>
      <c r="H87" s="5"/>
      <c r="I87" s="5"/>
      <c r="J87" s="5">
        <f t="shared" si="9"/>
        <v>15.399999999999991</v>
      </c>
      <c r="K87" s="8" t="b">
        <f t="shared" si="5"/>
        <v>0</v>
      </c>
    </row>
    <row r="88" spans="1:11">
      <c r="A88" s="5">
        <v>109</v>
      </c>
      <c r="B88" s="6">
        <v>44217</v>
      </c>
      <c r="C88" s="7">
        <v>1</v>
      </c>
      <c r="D88" s="5">
        <v>5.8</v>
      </c>
      <c r="E88" s="5">
        <v>132</v>
      </c>
      <c r="F88" s="5">
        <v>146</v>
      </c>
      <c r="G88" s="6">
        <v>44217</v>
      </c>
      <c r="H88" s="5"/>
      <c r="I88" s="5"/>
      <c r="J88" s="5">
        <f t="shared" si="9"/>
        <v>14</v>
      </c>
      <c r="K88" s="8" t="b">
        <f t="shared" si="5"/>
        <v>1</v>
      </c>
    </row>
    <row r="89" spans="1:11">
      <c r="A89" s="5">
        <v>109</v>
      </c>
      <c r="B89" s="6">
        <v>44218</v>
      </c>
      <c r="C89" s="7">
        <v>1</v>
      </c>
      <c r="D89" s="5">
        <v>5.8</v>
      </c>
      <c r="E89" s="5">
        <v>146</v>
      </c>
      <c r="F89" s="5">
        <v>152</v>
      </c>
      <c r="G89" s="6">
        <v>44218</v>
      </c>
      <c r="H89" s="5"/>
      <c r="I89" s="5"/>
      <c r="J89" s="5">
        <f t="shared" si="9"/>
        <v>6</v>
      </c>
      <c r="K89" s="8" t="b">
        <f t="shared" si="5"/>
        <v>0</v>
      </c>
    </row>
    <row r="90" spans="1:11">
      <c r="A90" s="5">
        <v>109</v>
      </c>
      <c r="B90" s="6">
        <v>44220</v>
      </c>
      <c r="C90" s="7">
        <v>0.7</v>
      </c>
      <c r="D90" s="5">
        <v>8.2899999999999991</v>
      </c>
      <c r="E90" s="5">
        <v>152.5</v>
      </c>
      <c r="F90" s="5">
        <v>139.1</v>
      </c>
      <c r="G90" s="6">
        <v>44220</v>
      </c>
      <c r="H90" s="5"/>
      <c r="I90" s="5"/>
      <c r="J90" s="5">
        <f t="shared" si="9"/>
        <v>-13.400000000000006</v>
      </c>
      <c r="K90" s="8" t="b">
        <f t="shared" si="5"/>
        <v>0</v>
      </c>
    </row>
    <row r="91" spans="1:11">
      <c r="A91" s="5">
        <v>109</v>
      </c>
      <c r="B91" s="6">
        <v>44223</v>
      </c>
      <c r="C91" s="7">
        <v>0.7</v>
      </c>
      <c r="D91" s="5">
        <v>8.2899999999999991</v>
      </c>
      <c r="E91" s="5">
        <v>169.1</v>
      </c>
      <c r="F91" s="5">
        <v>186.8</v>
      </c>
      <c r="G91" s="6">
        <v>44223</v>
      </c>
      <c r="H91" s="5"/>
      <c r="I91" s="5"/>
      <c r="J91" s="5">
        <f t="shared" si="9"/>
        <v>17.700000000000017</v>
      </c>
      <c r="K91" s="8" t="b">
        <f t="shared" si="5"/>
        <v>0</v>
      </c>
    </row>
    <row r="92" spans="1:11">
      <c r="A92" s="5">
        <v>109</v>
      </c>
      <c r="B92" s="6">
        <v>44226</v>
      </c>
      <c r="C92" s="7">
        <v>1</v>
      </c>
      <c r="D92" s="5">
        <v>5.8</v>
      </c>
      <c r="E92" s="5">
        <v>191.1</v>
      </c>
      <c r="F92" s="5">
        <v>202</v>
      </c>
      <c r="G92" s="6">
        <v>44226</v>
      </c>
      <c r="H92" s="5"/>
      <c r="I92" s="5"/>
      <c r="J92" s="5">
        <f t="shared" si="9"/>
        <v>10.900000000000006</v>
      </c>
      <c r="K92" s="8" t="b">
        <f t="shared" si="5"/>
        <v>0</v>
      </c>
    </row>
    <row r="93" spans="1:11">
      <c r="A93" s="5">
        <v>109</v>
      </c>
      <c r="B93" s="6">
        <v>44227</v>
      </c>
      <c r="C93" s="7">
        <v>0.8</v>
      </c>
      <c r="D93" s="5">
        <v>7.25</v>
      </c>
      <c r="E93" s="5">
        <v>202.7</v>
      </c>
      <c r="F93" s="5">
        <v>222.6</v>
      </c>
      <c r="G93" s="6">
        <v>44227</v>
      </c>
      <c r="H93" s="5"/>
      <c r="I93" s="5"/>
      <c r="J93" s="5">
        <f t="shared" si="9"/>
        <v>19.900000000000006</v>
      </c>
      <c r="K93" s="8" t="b">
        <f t="shared" si="5"/>
        <v>1</v>
      </c>
    </row>
    <row r="94" spans="1:11">
      <c r="A94" s="5">
        <v>109</v>
      </c>
      <c r="B94" s="6">
        <v>44230</v>
      </c>
      <c r="C94" s="7">
        <v>0.6</v>
      </c>
      <c r="D94" s="5">
        <v>9.67</v>
      </c>
      <c r="E94" s="5">
        <v>222.6</v>
      </c>
      <c r="F94" s="5">
        <v>241.4</v>
      </c>
      <c r="G94" s="6">
        <v>44230</v>
      </c>
      <c r="H94" s="5"/>
      <c r="I94" s="5"/>
      <c r="J94" s="5">
        <f t="shared" si="9"/>
        <v>18.800000000000011</v>
      </c>
      <c r="K94" s="8" t="b">
        <f t="shared" si="5"/>
        <v>1</v>
      </c>
    </row>
    <row r="95" spans="1:11">
      <c r="A95" s="5">
        <v>109</v>
      </c>
      <c r="B95" s="6">
        <v>44233</v>
      </c>
      <c r="C95" s="7">
        <v>0.6</v>
      </c>
      <c r="D95" s="5">
        <v>9.67</v>
      </c>
      <c r="E95" s="5">
        <v>241.4</v>
      </c>
      <c r="F95" s="5">
        <v>247.8</v>
      </c>
      <c r="G95" s="6">
        <v>44233</v>
      </c>
      <c r="H95" s="5"/>
      <c r="I95" s="5"/>
      <c r="J95" s="5">
        <f>F95-E95</f>
        <v>6.4000000000000057</v>
      </c>
      <c r="K95" s="8" t="b">
        <f t="shared" si="5"/>
        <v>1</v>
      </c>
    </row>
    <row r="96" spans="1:11">
      <c r="A96" s="5">
        <v>109</v>
      </c>
      <c r="B96" s="6">
        <v>44238</v>
      </c>
      <c r="C96" s="7">
        <v>1</v>
      </c>
      <c r="D96" s="5">
        <v>5.8</v>
      </c>
      <c r="E96" s="5">
        <v>247.8</v>
      </c>
      <c r="F96" s="5">
        <v>266.60000000000002</v>
      </c>
      <c r="G96" s="6">
        <v>44238</v>
      </c>
      <c r="H96" s="5"/>
      <c r="I96" s="5"/>
      <c r="J96" s="5">
        <f>F96-E96</f>
        <v>18.800000000000011</v>
      </c>
      <c r="K96" s="8" t="b">
        <f t="shared" si="5"/>
        <v>0</v>
      </c>
    </row>
    <row r="97" spans="1:11">
      <c r="A97" s="5">
        <v>109</v>
      </c>
      <c r="B97" s="6">
        <v>44259</v>
      </c>
      <c r="C97" s="7">
        <v>0.7</v>
      </c>
      <c r="D97" s="5">
        <v>8.2899999999999991</v>
      </c>
      <c r="E97" s="5">
        <v>260.60000000000002</v>
      </c>
      <c r="F97" s="5">
        <v>277.3</v>
      </c>
      <c r="G97" s="6">
        <v>44259</v>
      </c>
      <c r="H97" s="5"/>
      <c r="I97" s="5"/>
      <c r="J97" s="5">
        <f>F97-E97</f>
        <v>16.699999999999989</v>
      </c>
      <c r="K97" s="8" t="b">
        <f t="shared" si="5"/>
        <v>0</v>
      </c>
    </row>
    <row r="98" spans="1:11">
      <c r="A98" s="5">
        <v>109</v>
      </c>
      <c r="B98" s="6">
        <v>44272</v>
      </c>
      <c r="C98" s="7">
        <v>0.7</v>
      </c>
      <c r="D98" s="5">
        <v>8.2899999999999991</v>
      </c>
      <c r="E98" s="5">
        <v>159.1</v>
      </c>
      <c r="F98" s="5">
        <v>162</v>
      </c>
      <c r="G98" s="6">
        <v>44272</v>
      </c>
      <c r="H98" s="5"/>
      <c r="I98" s="5"/>
      <c r="J98" s="5">
        <f>F98-E98</f>
        <v>2.9000000000000057</v>
      </c>
      <c r="K98" s="8" t="b">
        <f t="shared" si="5"/>
        <v>0</v>
      </c>
    </row>
    <row r="99" spans="1:11">
      <c r="A99" s="5">
        <v>109</v>
      </c>
      <c r="B99" s="6">
        <v>44274</v>
      </c>
      <c r="C99" s="7">
        <v>0.7</v>
      </c>
      <c r="D99" s="5">
        <v>8.2899999999999991</v>
      </c>
      <c r="E99" s="5">
        <v>1612</v>
      </c>
      <c r="F99" s="5">
        <v>1629.1</v>
      </c>
      <c r="G99" s="6">
        <v>44274</v>
      </c>
      <c r="H99" s="5"/>
      <c r="I99" s="5"/>
      <c r="J99" s="5">
        <f>F99-E99</f>
        <v>17.099999999999909</v>
      </c>
      <c r="K99" s="8" t="b">
        <f t="shared" si="5"/>
        <v>1</v>
      </c>
    </row>
    <row r="100" spans="1:11">
      <c r="A100" s="5">
        <v>109</v>
      </c>
      <c r="B100" s="6">
        <v>44277</v>
      </c>
      <c r="C100" s="7">
        <v>0.7</v>
      </c>
      <c r="D100" s="5">
        <v>8.2899999999999991</v>
      </c>
      <c r="E100" s="5">
        <v>1629.1</v>
      </c>
      <c r="F100" s="5">
        <v>1646.8</v>
      </c>
      <c r="G100" s="6">
        <v>44277</v>
      </c>
      <c r="H100" s="5"/>
      <c r="I100" s="5"/>
      <c r="J100" s="5">
        <f t="shared" ref="J100:J107" si="10">F100-E100</f>
        <v>17.700000000000045</v>
      </c>
      <c r="K100" s="8" t="b">
        <f t="shared" si="5"/>
        <v>0</v>
      </c>
    </row>
    <row r="101" spans="1:11">
      <c r="A101" s="5">
        <v>109</v>
      </c>
      <c r="B101" s="6">
        <v>44280</v>
      </c>
      <c r="C101" s="7">
        <v>0.7</v>
      </c>
      <c r="D101" s="5">
        <v>8.2899999999999991</v>
      </c>
      <c r="E101" s="5">
        <v>1648.8</v>
      </c>
      <c r="F101" s="5">
        <v>1668.5</v>
      </c>
      <c r="G101" s="6">
        <v>44280</v>
      </c>
      <c r="H101" s="5"/>
      <c r="I101" s="5"/>
      <c r="J101" s="5">
        <f t="shared" si="10"/>
        <v>19.700000000000045</v>
      </c>
      <c r="K101" s="8" t="b">
        <f t="shared" si="5"/>
        <v>0</v>
      </c>
    </row>
    <row r="102" spans="1:11">
      <c r="A102" s="5">
        <v>109</v>
      </c>
      <c r="B102" s="6">
        <v>44283</v>
      </c>
      <c r="C102" s="7">
        <v>0.7</v>
      </c>
      <c r="D102" s="5">
        <v>8.2899999999999991</v>
      </c>
      <c r="E102" s="5">
        <v>1666.5</v>
      </c>
      <c r="F102" s="5">
        <v>1682.6</v>
      </c>
      <c r="G102" s="6">
        <v>44283</v>
      </c>
      <c r="H102" s="5"/>
      <c r="I102" s="5"/>
      <c r="J102" s="5">
        <f t="shared" si="10"/>
        <v>16.099999999999909</v>
      </c>
      <c r="K102" s="8" t="b">
        <f t="shared" si="5"/>
        <v>1</v>
      </c>
    </row>
    <row r="103" spans="1:11">
      <c r="A103" s="5">
        <v>109</v>
      </c>
      <c r="B103" s="6">
        <v>44286</v>
      </c>
      <c r="C103" s="7">
        <v>0.7</v>
      </c>
      <c r="D103" s="5">
        <v>8.2899999999999991</v>
      </c>
      <c r="E103" s="5">
        <v>1682.6</v>
      </c>
      <c r="F103" s="5">
        <v>1673.4</v>
      </c>
      <c r="G103" s="6">
        <v>44286</v>
      </c>
      <c r="H103" s="5"/>
      <c r="I103" s="5"/>
      <c r="J103" s="5">
        <f t="shared" si="10"/>
        <v>-9.1999999999998181</v>
      </c>
      <c r="K103" s="8" t="b">
        <f t="shared" si="5"/>
        <v>0</v>
      </c>
    </row>
    <row r="104" spans="1:11">
      <c r="A104" s="5">
        <v>109</v>
      </c>
      <c r="B104" s="6">
        <v>44293</v>
      </c>
      <c r="C104" s="7">
        <v>0.7</v>
      </c>
      <c r="D104" s="5">
        <v>8.2899999999999991</v>
      </c>
      <c r="E104" s="5">
        <v>1693.6</v>
      </c>
      <c r="F104" s="5">
        <v>1710.4</v>
      </c>
      <c r="G104" s="6">
        <v>44293</v>
      </c>
      <c r="H104" s="5"/>
      <c r="I104" s="5"/>
      <c r="J104" s="5">
        <f t="shared" si="10"/>
        <v>16.800000000000182</v>
      </c>
      <c r="K104" s="8" t="b">
        <f t="shared" si="5"/>
        <v>1</v>
      </c>
    </row>
    <row r="105" spans="1:11">
      <c r="A105" s="5">
        <v>109</v>
      </c>
      <c r="B105" s="6">
        <v>44295</v>
      </c>
      <c r="C105" s="7">
        <v>0.7</v>
      </c>
      <c r="D105" s="5">
        <v>8.2899999999999991</v>
      </c>
      <c r="E105" s="5">
        <v>1710.4</v>
      </c>
      <c r="F105" s="5">
        <v>1727.6</v>
      </c>
      <c r="G105" s="6">
        <v>44295</v>
      </c>
      <c r="H105" s="5"/>
      <c r="I105" s="5"/>
      <c r="J105" s="5">
        <f t="shared" si="10"/>
        <v>17.199999999999818</v>
      </c>
      <c r="K105" s="8" t="b">
        <f t="shared" si="5"/>
        <v>0</v>
      </c>
    </row>
    <row r="106" spans="1:11">
      <c r="A106" s="5">
        <v>109</v>
      </c>
      <c r="B106" s="6">
        <v>44298</v>
      </c>
      <c r="C106" s="7">
        <v>0.7</v>
      </c>
      <c r="D106" s="5">
        <v>8.2899999999999991</v>
      </c>
      <c r="E106" s="5">
        <v>1727.5</v>
      </c>
      <c r="F106" s="5">
        <v>1744.4</v>
      </c>
      <c r="G106" s="6">
        <v>44298</v>
      </c>
      <c r="H106" s="5"/>
      <c r="I106" s="5"/>
      <c r="J106" s="5">
        <f t="shared" si="10"/>
        <v>16.900000000000091</v>
      </c>
      <c r="K106" s="8" t="b">
        <f t="shared" si="5"/>
        <v>1</v>
      </c>
    </row>
    <row r="107" spans="1:11">
      <c r="A107" s="5">
        <v>109</v>
      </c>
      <c r="B107" s="6">
        <v>44301</v>
      </c>
      <c r="C107" s="7">
        <v>0.7</v>
      </c>
      <c r="D107" s="5">
        <v>8.2899999999999991</v>
      </c>
      <c r="E107" s="5">
        <v>1744.4</v>
      </c>
      <c r="F107" s="5">
        <v>1761.1</v>
      </c>
      <c r="G107" s="6">
        <v>44301</v>
      </c>
      <c r="H107" s="5"/>
      <c r="I107" s="5"/>
      <c r="J107" s="5">
        <f t="shared" si="10"/>
        <v>16.699999999999818</v>
      </c>
      <c r="K107" s="8" t="b">
        <f t="shared" si="5"/>
        <v>0</v>
      </c>
    </row>
    <row r="108" spans="1:11">
      <c r="A108" s="5">
        <v>109</v>
      </c>
      <c r="B108" s="6">
        <v>44312</v>
      </c>
      <c r="C108" s="7">
        <v>0.7</v>
      </c>
      <c r="D108" s="5">
        <v>8.2899999999999991</v>
      </c>
      <c r="E108" s="5">
        <v>1761</v>
      </c>
      <c r="F108" s="5">
        <v>1777</v>
      </c>
      <c r="G108" s="6">
        <v>44312</v>
      </c>
      <c r="H108" s="5"/>
      <c r="I108" s="5"/>
      <c r="J108" s="5">
        <f t="shared" ref="J108:J113" si="11">F108-E108</f>
        <v>16</v>
      </c>
      <c r="K108" s="8" t="b">
        <f t="shared" si="5"/>
        <v>0</v>
      </c>
    </row>
    <row r="109" spans="1:11">
      <c r="A109" s="5">
        <v>109</v>
      </c>
      <c r="B109" s="6">
        <v>44319</v>
      </c>
      <c r="C109" s="7">
        <v>0.7</v>
      </c>
      <c r="D109" s="5">
        <v>8.2899999999999991</v>
      </c>
      <c r="E109" s="5">
        <v>1777.9</v>
      </c>
      <c r="F109" s="5">
        <v>1794.6</v>
      </c>
      <c r="G109" s="6">
        <v>44319</v>
      </c>
      <c r="H109" s="5"/>
      <c r="I109" s="5"/>
      <c r="J109" s="5">
        <f t="shared" si="11"/>
        <v>16.699999999999818</v>
      </c>
      <c r="K109" s="8" t="b">
        <f t="shared" si="5"/>
        <v>1</v>
      </c>
    </row>
    <row r="110" spans="1:11">
      <c r="A110" s="5">
        <v>109</v>
      </c>
      <c r="B110" s="6">
        <v>44322</v>
      </c>
      <c r="C110" s="7">
        <v>0.7</v>
      </c>
      <c r="D110" s="5">
        <v>8.2899999999999991</v>
      </c>
      <c r="E110" s="5">
        <v>1794.6</v>
      </c>
      <c r="F110" s="5">
        <v>1811.1</v>
      </c>
      <c r="G110" s="6">
        <v>44322</v>
      </c>
      <c r="H110" s="5"/>
      <c r="I110" s="5"/>
      <c r="J110" s="5">
        <f t="shared" si="11"/>
        <v>16.5</v>
      </c>
      <c r="K110" s="8" t="b">
        <f t="shared" si="5"/>
        <v>1</v>
      </c>
    </row>
    <row r="111" spans="1:11">
      <c r="A111" s="5">
        <v>109</v>
      </c>
      <c r="B111" s="6">
        <v>44325</v>
      </c>
      <c r="C111" s="7">
        <v>0.7</v>
      </c>
      <c r="D111" s="5">
        <v>8.2899999999999991</v>
      </c>
      <c r="E111" s="5">
        <v>1811.1</v>
      </c>
      <c r="F111" s="5">
        <v>1828.7</v>
      </c>
      <c r="G111" s="6">
        <v>44325</v>
      </c>
      <c r="H111" s="5"/>
      <c r="I111" s="5"/>
      <c r="J111" s="5">
        <f t="shared" si="11"/>
        <v>17.600000000000136</v>
      </c>
      <c r="K111" s="8" t="b">
        <f t="shared" si="5"/>
        <v>1</v>
      </c>
    </row>
    <row r="112" spans="1:11">
      <c r="A112" s="5">
        <v>109</v>
      </c>
      <c r="B112" s="6">
        <v>44329</v>
      </c>
      <c r="C112" s="7">
        <v>0.7</v>
      </c>
      <c r="D112" s="5">
        <v>8.2899999999999991</v>
      </c>
      <c r="E112" s="5">
        <v>1828.7</v>
      </c>
      <c r="F112" s="5">
        <v>1844.2</v>
      </c>
      <c r="G112" s="6">
        <v>44329</v>
      </c>
      <c r="H112" s="5"/>
      <c r="I112" s="5"/>
      <c r="J112" s="5">
        <f t="shared" si="11"/>
        <v>15.5</v>
      </c>
      <c r="K112" s="8" t="b">
        <f t="shared" si="5"/>
        <v>1</v>
      </c>
    </row>
    <row r="113" spans="1:11">
      <c r="A113" s="5">
        <v>109</v>
      </c>
      <c r="B113" s="6">
        <v>44334</v>
      </c>
      <c r="C113" s="7">
        <v>0.5</v>
      </c>
      <c r="D113" s="5">
        <v>11.6</v>
      </c>
      <c r="E113" s="5">
        <v>1844.2</v>
      </c>
      <c r="F113" s="5">
        <v>1855.9</v>
      </c>
      <c r="G113" s="6">
        <v>44334</v>
      </c>
      <c r="H113" s="5"/>
      <c r="I113" s="5"/>
      <c r="J113" s="5">
        <f t="shared" si="11"/>
        <v>11.700000000000045</v>
      </c>
      <c r="K113" s="8" t="b">
        <f t="shared" si="5"/>
        <v>1</v>
      </c>
    </row>
    <row r="114" spans="1:11">
      <c r="A114" s="5">
        <v>109</v>
      </c>
      <c r="B114" s="6">
        <v>44335</v>
      </c>
      <c r="C114" s="7">
        <v>0.5</v>
      </c>
      <c r="D114" s="5">
        <v>11.6</v>
      </c>
      <c r="E114" s="5">
        <v>1855.9</v>
      </c>
      <c r="F114" s="5">
        <v>1868.3</v>
      </c>
      <c r="G114" s="6">
        <v>44335</v>
      </c>
      <c r="H114" s="5"/>
      <c r="I114" s="5"/>
      <c r="J114" s="5">
        <f t="shared" ref="J114:J119" si="12">F114-E114</f>
        <v>12.399999999999864</v>
      </c>
      <c r="K114" s="8" t="b">
        <f t="shared" si="5"/>
        <v>1</v>
      </c>
    </row>
    <row r="115" spans="1:11">
      <c r="A115" s="5">
        <v>109</v>
      </c>
      <c r="B115" s="6">
        <v>44338</v>
      </c>
      <c r="C115" s="7">
        <v>0.5</v>
      </c>
      <c r="D115" s="5">
        <v>11.6</v>
      </c>
      <c r="E115" s="5">
        <v>1868.3</v>
      </c>
      <c r="F115" s="5">
        <v>1879.3</v>
      </c>
      <c r="G115" s="6">
        <v>44338</v>
      </c>
      <c r="H115" s="5"/>
      <c r="I115" s="5"/>
      <c r="J115" s="5">
        <f t="shared" si="12"/>
        <v>11</v>
      </c>
      <c r="K115" s="8" t="b">
        <f t="shared" si="5"/>
        <v>1</v>
      </c>
    </row>
    <row r="116" spans="1:11">
      <c r="A116" s="5">
        <v>109</v>
      </c>
      <c r="B116" s="6">
        <v>44339</v>
      </c>
      <c r="C116" s="7">
        <v>0.5</v>
      </c>
      <c r="D116" s="5">
        <v>11.6</v>
      </c>
      <c r="E116" s="5">
        <v>1879.3</v>
      </c>
      <c r="F116" s="5">
        <v>1890.8</v>
      </c>
      <c r="G116" s="6">
        <v>44339</v>
      </c>
      <c r="H116" s="5"/>
      <c r="I116" s="5"/>
      <c r="J116" s="5">
        <f t="shared" si="12"/>
        <v>11.5</v>
      </c>
      <c r="K116" s="8" t="b">
        <f t="shared" si="5"/>
        <v>1</v>
      </c>
    </row>
    <row r="117" spans="1:11">
      <c r="A117" s="5">
        <v>109</v>
      </c>
      <c r="B117" s="6">
        <v>44342</v>
      </c>
      <c r="C117" s="7">
        <v>0.5</v>
      </c>
      <c r="D117" s="5">
        <v>11.6</v>
      </c>
      <c r="E117" s="5">
        <v>1890.8</v>
      </c>
      <c r="F117" s="5">
        <v>1902.5</v>
      </c>
      <c r="G117" s="6">
        <v>44343</v>
      </c>
      <c r="H117" s="5"/>
      <c r="I117" s="5"/>
      <c r="J117" s="5">
        <f t="shared" si="12"/>
        <v>11.700000000000045</v>
      </c>
      <c r="K117" s="8" t="b">
        <f>F117=E118</f>
        <v>1</v>
      </c>
    </row>
    <row r="118" spans="1:11">
      <c r="A118" s="5">
        <v>109</v>
      </c>
      <c r="B118" s="6">
        <v>44344</v>
      </c>
      <c r="C118" s="7">
        <v>0.5</v>
      </c>
      <c r="D118" s="5">
        <v>11.6</v>
      </c>
      <c r="E118" s="5">
        <v>1902.5</v>
      </c>
      <c r="F118" s="5">
        <v>1915.7</v>
      </c>
      <c r="G118" s="6">
        <v>44344</v>
      </c>
      <c r="H118" s="5"/>
      <c r="I118" s="5"/>
      <c r="J118" s="5">
        <f t="shared" si="12"/>
        <v>13.200000000000045</v>
      </c>
      <c r="K118" s="8" t="b">
        <f>F118=E119</f>
        <v>0</v>
      </c>
    </row>
    <row r="119" spans="1:11">
      <c r="A119" s="5">
        <v>109</v>
      </c>
      <c r="B119" s="6"/>
      <c r="C119" s="7"/>
      <c r="D119" s="5"/>
      <c r="E119" s="5"/>
      <c r="F119" s="5"/>
      <c r="G119" s="6"/>
      <c r="H119" s="5"/>
      <c r="I119" s="5"/>
      <c r="J119" s="5">
        <f t="shared" si="12"/>
        <v>0</v>
      </c>
      <c r="K119" s="8" t="b">
        <f>F119=E120</f>
        <v>1</v>
      </c>
    </row>
    <row r="121" spans="1:11" ht="26.25">
      <c r="A121" s="135" t="s">
        <v>128</v>
      </c>
      <c r="B121" s="136"/>
      <c r="C121" s="136"/>
      <c r="D121" s="136"/>
      <c r="E121" s="136"/>
      <c r="F121" s="136"/>
      <c r="G121" s="136"/>
      <c r="H121" s="136"/>
      <c r="I121" s="136"/>
      <c r="J121" s="136"/>
      <c r="K121" s="137"/>
    </row>
    <row r="122" spans="1:11" ht="26.25">
      <c r="A122" s="138" t="s">
        <v>75</v>
      </c>
      <c r="B122" s="139"/>
      <c r="C122" s="139"/>
      <c r="D122" s="139"/>
      <c r="E122" s="139"/>
      <c r="F122" s="139"/>
      <c r="G122" s="139"/>
      <c r="H122" s="139"/>
      <c r="I122" s="139"/>
      <c r="J122" s="139"/>
      <c r="K122" s="140"/>
    </row>
    <row r="123" spans="1:11" ht="15.75" thickBot="1"/>
    <row r="124" spans="1:11" ht="15.75" thickBot="1">
      <c r="A124" s="132" t="s">
        <v>2</v>
      </c>
      <c r="B124" s="133"/>
      <c r="C124" s="133"/>
      <c r="D124" s="133"/>
      <c r="E124" s="133"/>
      <c r="F124" s="133"/>
      <c r="G124" s="133"/>
      <c r="H124" s="133"/>
      <c r="I124" s="133"/>
      <c r="J124" s="133"/>
      <c r="K124" s="134"/>
    </row>
    <row r="126" spans="1:11" ht="19.5" thickBot="1">
      <c r="A126" s="1" t="s">
        <v>3</v>
      </c>
      <c r="B126" s="1"/>
      <c r="C126" s="1"/>
      <c r="D126" s="1"/>
      <c r="E126" s="1"/>
      <c r="F126" s="1"/>
      <c r="G126" s="1"/>
      <c r="H126" s="1"/>
      <c r="I126" s="1"/>
    </row>
    <row r="127" spans="1:11" ht="30.75" thickBot="1">
      <c r="A127" s="2" t="s">
        <v>4</v>
      </c>
      <c r="B127" s="3" t="s">
        <v>5</v>
      </c>
      <c r="C127" s="3" t="s">
        <v>6</v>
      </c>
      <c r="D127" s="3" t="s">
        <v>7</v>
      </c>
      <c r="E127" s="3" t="s">
        <v>8</v>
      </c>
      <c r="F127" s="3" t="s">
        <v>9</v>
      </c>
      <c r="G127" s="3" t="s">
        <v>10</v>
      </c>
      <c r="H127" s="3" t="s">
        <v>21</v>
      </c>
      <c r="I127" s="4" t="s">
        <v>22</v>
      </c>
      <c r="J127" s="4" t="s">
        <v>11</v>
      </c>
      <c r="K127" s="4" t="s">
        <v>12</v>
      </c>
    </row>
    <row r="128" spans="1:11">
      <c r="A128" s="5" t="s">
        <v>129</v>
      </c>
      <c r="B128" s="6">
        <v>44393</v>
      </c>
      <c r="C128" s="7">
        <v>0.5</v>
      </c>
      <c r="D128" s="5">
        <v>11.6</v>
      </c>
      <c r="E128" s="5">
        <v>0</v>
      </c>
      <c r="F128" s="5">
        <v>24.3</v>
      </c>
      <c r="G128" s="6">
        <v>44393</v>
      </c>
      <c r="H128" s="5"/>
      <c r="I128" s="5"/>
      <c r="J128" s="5">
        <f>F128-E128</f>
        <v>24.3</v>
      </c>
      <c r="K128" s="8" t="b">
        <f>F128=E129</f>
        <v>1</v>
      </c>
    </row>
    <row r="129" spans="1:11">
      <c r="A129" s="5" t="s">
        <v>129</v>
      </c>
      <c r="B129" s="6">
        <v>44394</v>
      </c>
      <c r="C129" s="7">
        <v>0.5</v>
      </c>
      <c r="D129" s="5">
        <v>11.6</v>
      </c>
      <c r="E129" s="5">
        <v>24.3</v>
      </c>
      <c r="F129" s="5">
        <v>46.7</v>
      </c>
      <c r="G129" s="6">
        <v>44394</v>
      </c>
      <c r="H129" s="5"/>
      <c r="I129" s="5"/>
      <c r="J129" s="5">
        <f>F129-E129</f>
        <v>22.400000000000002</v>
      </c>
      <c r="K129" s="8" t="b">
        <f>F128=E129</f>
        <v>1</v>
      </c>
    </row>
    <row r="130" spans="1:11">
      <c r="A130" s="5" t="s">
        <v>129</v>
      </c>
      <c r="B130" s="6">
        <v>44397</v>
      </c>
      <c r="C130" s="7">
        <v>0.5</v>
      </c>
      <c r="D130" s="5">
        <v>11.6</v>
      </c>
      <c r="E130" s="5">
        <v>46.7</v>
      </c>
      <c r="F130" s="5">
        <v>69.599999999999994</v>
      </c>
      <c r="G130" s="6">
        <v>44397</v>
      </c>
      <c r="H130" s="5"/>
      <c r="I130" s="5"/>
      <c r="J130" s="5">
        <f>F130-E130</f>
        <v>22.899999999999991</v>
      </c>
      <c r="K130" s="8" t="b">
        <f t="shared" ref="K130:K166" si="13">F129=E130</f>
        <v>1</v>
      </c>
    </row>
    <row r="131" spans="1:11">
      <c r="A131" s="5" t="s">
        <v>129</v>
      </c>
      <c r="B131" s="6">
        <v>44406</v>
      </c>
      <c r="C131" s="7">
        <v>0.8</v>
      </c>
      <c r="D131" s="5">
        <v>7.25</v>
      </c>
      <c r="E131" s="5">
        <v>69.599999999999994</v>
      </c>
      <c r="F131" s="5">
        <v>84.6</v>
      </c>
      <c r="G131" s="6">
        <v>44406</v>
      </c>
      <c r="H131" s="5"/>
      <c r="I131" s="5"/>
      <c r="J131" s="5">
        <f>F131-E131</f>
        <v>15</v>
      </c>
      <c r="K131" s="8" t="b">
        <f t="shared" si="13"/>
        <v>1</v>
      </c>
    </row>
    <row r="132" spans="1:11">
      <c r="A132" s="5" t="s">
        <v>129</v>
      </c>
      <c r="B132" s="6">
        <v>44408</v>
      </c>
      <c r="C132" s="7">
        <v>0.6</v>
      </c>
      <c r="D132" s="5">
        <v>9.57</v>
      </c>
      <c r="E132" s="5">
        <v>84.6</v>
      </c>
      <c r="F132" s="5">
        <v>104.2</v>
      </c>
      <c r="G132" s="6">
        <v>44408</v>
      </c>
      <c r="H132" s="5"/>
      <c r="I132" s="5"/>
      <c r="J132" s="5">
        <f>F132-E132</f>
        <v>19.600000000000009</v>
      </c>
      <c r="K132" s="8" t="b">
        <f t="shared" si="13"/>
        <v>1</v>
      </c>
    </row>
    <row r="133" spans="1:11">
      <c r="A133" s="5" t="s">
        <v>129</v>
      </c>
      <c r="B133" s="6">
        <v>44409</v>
      </c>
      <c r="C133" s="7">
        <v>1</v>
      </c>
      <c r="D133" s="5">
        <v>5.8</v>
      </c>
      <c r="E133" s="5">
        <v>104.2</v>
      </c>
      <c r="F133" s="5">
        <v>116.4</v>
      </c>
      <c r="G133" s="6">
        <v>44409</v>
      </c>
      <c r="H133" s="5"/>
      <c r="I133" s="5"/>
      <c r="J133" s="5">
        <f t="shared" ref="J133:J141" si="14">F133-E133</f>
        <v>12.200000000000003</v>
      </c>
      <c r="K133" s="8" t="b">
        <f t="shared" si="13"/>
        <v>1</v>
      </c>
    </row>
    <row r="134" spans="1:11">
      <c r="A134" s="5" t="s">
        <v>129</v>
      </c>
      <c r="B134" s="6">
        <v>44410</v>
      </c>
      <c r="C134" s="7">
        <v>1</v>
      </c>
      <c r="D134" s="5">
        <v>5.8</v>
      </c>
      <c r="E134" s="5">
        <v>116.4</v>
      </c>
      <c r="F134" s="5">
        <v>128</v>
      </c>
      <c r="G134" s="6">
        <v>44405</v>
      </c>
      <c r="H134" s="5"/>
      <c r="I134" s="5"/>
      <c r="J134" s="5">
        <f t="shared" si="14"/>
        <v>11.599999999999994</v>
      </c>
      <c r="K134" s="8" t="b">
        <f t="shared" si="13"/>
        <v>1</v>
      </c>
    </row>
    <row r="135" spans="1:11">
      <c r="A135" s="5" t="s">
        <v>129</v>
      </c>
      <c r="B135" s="6">
        <v>44412</v>
      </c>
      <c r="C135" s="7">
        <v>0.8</v>
      </c>
      <c r="D135" s="5">
        <v>7.25</v>
      </c>
      <c r="E135" s="5">
        <v>128</v>
      </c>
      <c r="F135" s="5">
        <v>142.80000000000001</v>
      </c>
      <c r="G135" s="6">
        <v>44412</v>
      </c>
      <c r="H135" s="5"/>
      <c r="I135" s="5"/>
      <c r="J135" s="5">
        <f t="shared" si="14"/>
        <v>14.800000000000011</v>
      </c>
      <c r="K135" s="8" t="b">
        <f t="shared" si="13"/>
        <v>1</v>
      </c>
    </row>
    <row r="136" spans="1:11">
      <c r="A136" s="5" t="s">
        <v>129</v>
      </c>
      <c r="B136" s="6">
        <v>44413</v>
      </c>
      <c r="C136" s="7">
        <v>1</v>
      </c>
      <c r="D136" s="5">
        <v>5.8</v>
      </c>
      <c r="E136" s="5">
        <v>142.80000000000001</v>
      </c>
      <c r="F136" s="5">
        <v>154.9</v>
      </c>
      <c r="G136" s="6">
        <v>44413</v>
      </c>
      <c r="H136" s="5"/>
      <c r="I136" s="5"/>
      <c r="J136" s="5">
        <f t="shared" si="14"/>
        <v>12.099999999999994</v>
      </c>
      <c r="K136" s="8" t="b">
        <f t="shared" si="13"/>
        <v>1</v>
      </c>
    </row>
    <row r="137" spans="1:11">
      <c r="A137" s="5" t="s">
        <v>129</v>
      </c>
      <c r="B137" s="6">
        <v>44414</v>
      </c>
      <c r="C137" s="7">
        <v>1</v>
      </c>
      <c r="D137" s="5">
        <v>5.8</v>
      </c>
      <c r="E137" s="5">
        <v>154.9</v>
      </c>
      <c r="F137" s="5">
        <v>166.7</v>
      </c>
      <c r="G137" s="6">
        <v>44414</v>
      </c>
      <c r="H137" s="5"/>
      <c r="I137" s="5"/>
      <c r="J137" s="5">
        <f t="shared" si="14"/>
        <v>11.799999999999983</v>
      </c>
      <c r="K137" s="8" t="b">
        <f t="shared" si="13"/>
        <v>1</v>
      </c>
    </row>
    <row r="138" spans="1:11">
      <c r="A138" s="5" t="s">
        <v>129</v>
      </c>
      <c r="B138" s="6">
        <v>44415</v>
      </c>
      <c r="C138" s="7">
        <v>1</v>
      </c>
      <c r="D138" s="5">
        <v>5.8</v>
      </c>
      <c r="E138" s="5">
        <v>166.7</v>
      </c>
      <c r="F138" s="5">
        <v>178.5</v>
      </c>
      <c r="G138" s="6">
        <v>44415</v>
      </c>
      <c r="H138" s="5"/>
      <c r="I138" s="5"/>
      <c r="J138" s="5">
        <f t="shared" si="14"/>
        <v>11.800000000000011</v>
      </c>
      <c r="K138" s="8" t="b">
        <f t="shared" si="13"/>
        <v>1</v>
      </c>
    </row>
    <row r="139" spans="1:11">
      <c r="A139" s="5" t="s">
        <v>129</v>
      </c>
      <c r="B139" s="6">
        <v>44415</v>
      </c>
      <c r="C139" s="7">
        <v>1</v>
      </c>
      <c r="D139" s="5">
        <v>5.8</v>
      </c>
      <c r="E139" s="5">
        <v>179.2</v>
      </c>
      <c r="F139" s="5">
        <v>185.8</v>
      </c>
      <c r="G139" s="6">
        <v>44415</v>
      </c>
      <c r="H139" s="5"/>
      <c r="I139" s="5"/>
      <c r="J139" s="5">
        <f t="shared" si="14"/>
        <v>6.6000000000000227</v>
      </c>
      <c r="K139" s="8" t="b">
        <f t="shared" si="13"/>
        <v>0</v>
      </c>
    </row>
    <row r="140" spans="1:11">
      <c r="A140" s="5" t="s">
        <v>129</v>
      </c>
      <c r="B140" s="6">
        <v>44416</v>
      </c>
      <c r="C140" s="7">
        <v>1</v>
      </c>
      <c r="D140" s="5">
        <v>5.8</v>
      </c>
      <c r="E140" s="5">
        <v>185.8</v>
      </c>
      <c r="F140" s="5">
        <v>197.9</v>
      </c>
      <c r="G140" s="6">
        <v>44416</v>
      </c>
      <c r="H140" s="5"/>
      <c r="I140" s="5"/>
      <c r="J140" s="5">
        <f t="shared" si="14"/>
        <v>12.099999999999994</v>
      </c>
      <c r="K140" s="8" t="b">
        <f t="shared" si="13"/>
        <v>1</v>
      </c>
    </row>
    <row r="141" spans="1:11">
      <c r="A141" s="5" t="s">
        <v>129</v>
      </c>
      <c r="B141" s="6">
        <v>44417</v>
      </c>
      <c r="C141" s="7">
        <v>1</v>
      </c>
      <c r="D141" s="5">
        <v>5.8</v>
      </c>
      <c r="E141" s="5">
        <v>197.9</v>
      </c>
      <c r="F141" s="5">
        <v>209.9</v>
      </c>
      <c r="G141" s="6">
        <v>44417</v>
      </c>
      <c r="H141" s="5"/>
      <c r="I141" s="5"/>
      <c r="J141" s="5">
        <f t="shared" si="14"/>
        <v>12</v>
      </c>
      <c r="K141" s="8" t="b">
        <f t="shared" si="13"/>
        <v>1</v>
      </c>
    </row>
    <row r="142" spans="1:11">
      <c r="A142" s="5" t="s">
        <v>129</v>
      </c>
      <c r="B142" s="6">
        <v>44418</v>
      </c>
      <c r="C142" s="7">
        <v>1</v>
      </c>
      <c r="D142" s="5">
        <v>5.8</v>
      </c>
      <c r="E142" s="5">
        <v>209.9</v>
      </c>
      <c r="F142" s="5">
        <v>221.7</v>
      </c>
      <c r="G142" s="6">
        <v>44418</v>
      </c>
      <c r="H142" s="5"/>
      <c r="I142" s="5"/>
      <c r="J142" s="5">
        <f t="shared" ref="J142:J149" si="15">F142-E142</f>
        <v>11.799999999999983</v>
      </c>
      <c r="K142" s="8" t="b">
        <f t="shared" si="13"/>
        <v>1</v>
      </c>
    </row>
    <row r="143" spans="1:11">
      <c r="A143" s="5" t="s">
        <v>129</v>
      </c>
      <c r="B143" s="6">
        <v>44419</v>
      </c>
      <c r="C143" s="7">
        <v>1</v>
      </c>
      <c r="D143" s="5">
        <v>5.8</v>
      </c>
      <c r="E143" s="5">
        <v>221.7</v>
      </c>
      <c r="F143" s="5">
        <v>233.8</v>
      </c>
      <c r="G143" s="6">
        <v>44419</v>
      </c>
      <c r="H143" s="5"/>
      <c r="I143" s="5"/>
      <c r="J143" s="5">
        <f t="shared" si="15"/>
        <v>12.100000000000023</v>
      </c>
      <c r="K143" s="8" t="b">
        <f t="shared" si="13"/>
        <v>1</v>
      </c>
    </row>
    <row r="144" spans="1:11">
      <c r="A144" s="5" t="s">
        <v>129</v>
      </c>
      <c r="B144" s="6">
        <v>44420</v>
      </c>
      <c r="C144" s="7">
        <v>1</v>
      </c>
      <c r="D144" s="5">
        <v>5.8</v>
      </c>
      <c r="E144" s="5">
        <v>233.8</v>
      </c>
      <c r="F144" s="5">
        <v>245.7</v>
      </c>
      <c r="G144" s="6">
        <v>44420</v>
      </c>
      <c r="H144" s="5"/>
      <c r="I144" s="5"/>
      <c r="J144" s="5">
        <f t="shared" si="15"/>
        <v>11.899999999999977</v>
      </c>
      <c r="K144" s="8" t="b">
        <f t="shared" si="13"/>
        <v>1</v>
      </c>
    </row>
    <row r="145" spans="1:11">
      <c r="A145" s="5" t="s">
        <v>130</v>
      </c>
      <c r="B145" s="6">
        <v>44422</v>
      </c>
      <c r="C145" s="7">
        <v>1</v>
      </c>
      <c r="D145" s="5">
        <v>5.8</v>
      </c>
      <c r="E145" s="5">
        <v>245.7</v>
      </c>
      <c r="F145" s="5">
        <v>257.60000000000002</v>
      </c>
      <c r="G145" s="6">
        <v>44422</v>
      </c>
      <c r="H145" s="5"/>
      <c r="I145" s="5"/>
      <c r="J145" s="5">
        <f t="shared" si="15"/>
        <v>11.900000000000034</v>
      </c>
      <c r="K145" s="8" t="b">
        <f t="shared" si="13"/>
        <v>1</v>
      </c>
    </row>
    <row r="146" spans="1:11">
      <c r="A146" s="5" t="s">
        <v>130</v>
      </c>
      <c r="B146" s="6">
        <v>44424</v>
      </c>
      <c r="C146" s="24">
        <v>0.8</v>
      </c>
      <c r="D146" s="5">
        <v>7.25</v>
      </c>
      <c r="E146" s="5">
        <v>257.60000000000002</v>
      </c>
      <c r="F146" s="5">
        <v>272.10000000000002</v>
      </c>
      <c r="G146" s="6">
        <v>44424</v>
      </c>
      <c r="H146" s="5"/>
      <c r="I146" s="5"/>
      <c r="J146" s="5">
        <f t="shared" si="15"/>
        <v>14.5</v>
      </c>
      <c r="K146" s="8" t="b">
        <f t="shared" si="13"/>
        <v>1</v>
      </c>
    </row>
    <row r="147" spans="1:11">
      <c r="A147" s="5" t="s">
        <v>130</v>
      </c>
      <c r="B147" s="6">
        <v>44427</v>
      </c>
      <c r="C147" s="7">
        <v>0.8</v>
      </c>
      <c r="D147" s="5">
        <v>7.25</v>
      </c>
      <c r="E147" s="5">
        <v>272.10000000000002</v>
      </c>
      <c r="F147" s="5">
        <v>287.2</v>
      </c>
      <c r="G147" s="6">
        <v>44427</v>
      </c>
      <c r="H147" s="5"/>
      <c r="I147" s="5"/>
      <c r="J147" s="5">
        <f t="shared" si="15"/>
        <v>15.099999999999966</v>
      </c>
      <c r="K147" s="8" t="b">
        <f t="shared" si="13"/>
        <v>1</v>
      </c>
    </row>
    <row r="148" spans="1:11">
      <c r="A148" s="5" t="s">
        <v>130</v>
      </c>
      <c r="B148" s="6">
        <v>44430</v>
      </c>
      <c r="C148" s="7">
        <v>0.8</v>
      </c>
      <c r="D148" s="5">
        <v>7.25</v>
      </c>
      <c r="E148" s="5">
        <v>287.2</v>
      </c>
      <c r="F148" s="5">
        <v>302.10000000000002</v>
      </c>
      <c r="G148" s="6">
        <v>44430</v>
      </c>
      <c r="H148" s="5"/>
      <c r="I148" s="5"/>
      <c r="J148" s="5">
        <f t="shared" si="15"/>
        <v>14.900000000000034</v>
      </c>
      <c r="K148" s="8" t="b">
        <f t="shared" si="13"/>
        <v>1</v>
      </c>
    </row>
    <row r="149" spans="1:11">
      <c r="A149" s="5" t="s">
        <v>130</v>
      </c>
      <c r="B149" s="6">
        <v>44431</v>
      </c>
      <c r="C149" s="7">
        <v>1</v>
      </c>
      <c r="D149" s="5">
        <v>5.8</v>
      </c>
      <c r="E149" s="5">
        <v>302.10000000000002</v>
      </c>
      <c r="F149" s="5">
        <v>314.5</v>
      </c>
      <c r="G149" s="6">
        <v>44431</v>
      </c>
      <c r="H149" s="5"/>
      <c r="I149" s="5"/>
      <c r="J149" s="5">
        <f t="shared" si="15"/>
        <v>12.399999999999977</v>
      </c>
      <c r="K149" s="8" t="b">
        <f t="shared" si="13"/>
        <v>1</v>
      </c>
    </row>
    <row r="150" spans="1:11">
      <c r="A150" s="5" t="s">
        <v>130</v>
      </c>
      <c r="B150" s="6">
        <v>44433</v>
      </c>
      <c r="C150" s="7">
        <v>0.8</v>
      </c>
      <c r="D150" s="5">
        <v>7.25</v>
      </c>
      <c r="E150" s="5">
        <v>314.5</v>
      </c>
      <c r="F150" s="5">
        <v>329.3</v>
      </c>
      <c r="G150" s="6">
        <v>44433</v>
      </c>
      <c r="H150" s="5"/>
      <c r="I150" s="5"/>
      <c r="J150" s="5">
        <f t="shared" ref="J150:J157" si="16">F150-E150</f>
        <v>14.800000000000011</v>
      </c>
      <c r="K150" s="8" t="b">
        <f t="shared" si="13"/>
        <v>1</v>
      </c>
    </row>
    <row r="151" spans="1:11">
      <c r="A151" s="5" t="s">
        <v>130</v>
      </c>
      <c r="B151" s="6">
        <v>44434</v>
      </c>
      <c r="C151" s="7">
        <v>0.8</v>
      </c>
      <c r="D151" s="5">
        <v>7.25</v>
      </c>
      <c r="E151" s="5">
        <v>329.3</v>
      </c>
      <c r="F151" s="5">
        <v>341.3</v>
      </c>
      <c r="G151" s="6">
        <v>44434</v>
      </c>
      <c r="H151" s="5"/>
      <c r="I151" s="5"/>
      <c r="J151" s="5">
        <f t="shared" si="16"/>
        <v>12</v>
      </c>
      <c r="K151" s="8" t="b">
        <f t="shared" si="13"/>
        <v>1</v>
      </c>
    </row>
    <row r="152" spans="1:11">
      <c r="A152" s="5" t="s">
        <v>131</v>
      </c>
      <c r="B152" s="6">
        <v>44435</v>
      </c>
      <c r="C152" s="7">
        <v>1</v>
      </c>
      <c r="D152" s="5">
        <v>5.8</v>
      </c>
      <c r="E152" s="5">
        <v>341.3</v>
      </c>
      <c r="F152" s="5">
        <v>353.1</v>
      </c>
      <c r="G152" s="6">
        <v>44435</v>
      </c>
      <c r="H152" s="5"/>
      <c r="I152" s="5"/>
      <c r="J152" s="5">
        <f t="shared" si="16"/>
        <v>11.800000000000011</v>
      </c>
      <c r="K152" s="8" t="b">
        <f t="shared" si="13"/>
        <v>1</v>
      </c>
    </row>
    <row r="153" spans="1:11">
      <c r="A153" s="5" t="s">
        <v>130</v>
      </c>
      <c r="B153" s="6">
        <v>44436</v>
      </c>
      <c r="C153" s="7">
        <v>0.6</v>
      </c>
      <c r="D153" s="5">
        <v>9.67</v>
      </c>
      <c r="E153" s="5">
        <v>353.1</v>
      </c>
      <c r="F153" s="5">
        <v>373.1</v>
      </c>
      <c r="G153" s="6">
        <v>44436</v>
      </c>
      <c r="H153" s="5"/>
      <c r="I153" s="5"/>
      <c r="J153" s="5">
        <f t="shared" si="16"/>
        <v>20</v>
      </c>
      <c r="K153" s="8" t="b">
        <f t="shared" si="13"/>
        <v>1</v>
      </c>
    </row>
    <row r="154" spans="1:11">
      <c r="A154" s="5" t="s">
        <v>130</v>
      </c>
      <c r="B154" s="6">
        <v>44437</v>
      </c>
      <c r="C154" s="7">
        <v>0.6</v>
      </c>
      <c r="D154" s="5">
        <v>9.67</v>
      </c>
      <c r="E154" s="5">
        <v>373.1</v>
      </c>
      <c r="F154" s="5">
        <v>392.6</v>
      </c>
      <c r="G154" s="6">
        <v>44437</v>
      </c>
      <c r="H154" s="5"/>
      <c r="I154" s="5"/>
      <c r="J154" s="5">
        <f t="shared" si="16"/>
        <v>19.5</v>
      </c>
      <c r="K154" s="8" t="b">
        <f t="shared" si="13"/>
        <v>1</v>
      </c>
    </row>
    <row r="155" spans="1:11">
      <c r="A155" s="5" t="s">
        <v>132</v>
      </c>
      <c r="B155" s="6">
        <v>44438</v>
      </c>
      <c r="C155" s="7">
        <v>0.6</v>
      </c>
      <c r="D155" s="5">
        <v>9.67</v>
      </c>
      <c r="E155" s="5">
        <v>392.6</v>
      </c>
      <c r="F155" s="5">
        <v>402.7</v>
      </c>
      <c r="G155" s="6">
        <v>44438</v>
      </c>
      <c r="H155" s="5"/>
      <c r="I155" s="5"/>
      <c r="J155" s="5">
        <f t="shared" si="16"/>
        <v>10.099999999999966</v>
      </c>
      <c r="K155" s="8" t="b">
        <f t="shared" si="13"/>
        <v>1</v>
      </c>
    </row>
    <row r="156" spans="1:11">
      <c r="A156" s="5" t="s">
        <v>133</v>
      </c>
      <c r="B156" s="6">
        <v>44439</v>
      </c>
      <c r="C156" s="7">
        <v>0.6</v>
      </c>
      <c r="D156" s="5">
        <v>9.67</v>
      </c>
      <c r="E156" s="5">
        <v>402.7</v>
      </c>
      <c r="F156" s="5">
        <v>413.6</v>
      </c>
      <c r="G156" s="6">
        <v>44439</v>
      </c>
      <c r="H156" s="5"/>
      <c r="I156" s="5"/>
      <c r="J156" s="5">
        <f t="shared" si="16"/>
        <v>10.900000000000034</v>
      </c>
      <c r="K156" s="8" t="b">
        <f t="shared" si="13"/>
        <v>1</v>
      </c>
    </row>
    <row r="157" spans="1:11">
      <c r="A157" s="5" t="s">
        <v>132</v>
      </c>
      <c r="B157" s="6">
        <v>44440</v>
      </c>
      <c r="C157" s="7">
        <v>0.6</v>
      </c>
      <c r="D157" s="5">
        <v>9.67</v>
      </c>
      <c r="E157" s="5">
        <v>413.6</v>
      </c>
      <c r="F157" s="5">
        <v>422.5</v>
      </c>
      <c r="G157" s="6">
        <v>44440</v>
      </c>
      <c r="H157" s="5"/>
      <c r="I157" s="5"/>
      <c r="J157" s="5">
        <f t="shared" si="16"/>
        <v>8.8999999999999773</v>
      </c>
      <c r="K157" s="8" t="b">
        <f t="shared" si="13"/>
        <v>1</v>
      </c>
    </row>
    <row r="158" spans="1:11">
      <c r="A158" s="5" t="s">
        <v>133</v>
      </c>
      <c r="B158" s="6">
        <v>44441</v>
      </c>
      <c r="C158" s="7">
        <v>0.6</v>
      </c>
      <c r="D158" s="5">
        <v>9.67</v>
      </c>
      <c r="E158" s="5">
        <v>422.5</v>
      </c>
      <c r="F158" s="5">
        <v>432.5</v>
      </c>
      <c r="G158" s="6">
        <v>44441</v>
      </c>
      <c r="H158" s="5"/>
      <c r="I158" s="5"/>
      <c r="J158" s="5">
        <f t="shared" ref="J158:J167" si="17">F158-E158</f>
        <v>10</v>
      </c>
      <c r="K158" s="8" t="b">
        <f>F157=E158</f>
        <v>1</v>
      </c>
    </row>
    <row r="159" spans="1:11">
      <c r="A159" s="5" t="s">
        <v>132</v>
      </c>
      <c r="B159" s="6">
        <v>44442</v>
      </c>
      <c r="C159" s="7">
        <v>0.6</v>
      </c>
      <c r="D159" s="5">
        <v>9.67</v>
      </c>
      <c r="E159" s="5">
        <v>432.5</v>
      </c>
      <c r="F159" s="5">
        <v>442.4</v>
      </c>
      <c r="G159" s="6">
        <v>44442</v>
      </c>
      <c r="H159" s="5"/>
      <c r="I159" s="5"/>
      <c r="J159" s="5">
        <f t="shared" si="17"/>
        <v>9.8999999999999773</v>
      </c>
      <c r="K159" s="8" t="b">
        <f t="shared" si="13"/>
        <v>1</v>
      </c>
    </row>
    <row r="160" spans="1:11">
      <c r="A160" s="5" t="s">
        <v>133</v>
      </c>
      <c r="B160" s="6">
        <v>44443</v>
      </c>
      <c r="C160" s="7">
        <v>0.5</v>
      </c>
      <c r="D160" s="5">
        <v>11.6</v>
      </c>
      <c r="E160" s="5">
        <v>442.4</v>
      </c>
      <c r="F160" s="5">
        <v>452.9</v>
      </c>
      <c r="G160" s="6">
        <v>44443</v>
      </c>
      <c r="H160" s="5"/>
      <c r="I160" s="5"/>
      <c r="J160" s="5">
        <f t="shared" si="17"/>
        <v>10.5</v>
      </c>
      <c r="K160" s="8" t="b">
        <f t="shared" si="13"/>
        <v>1</v>
      </c>
    </row>
    <row r="161" spans="1:11">
      <c r="A161" s="5" t="s">
        <v>132</v>
      </c>
      <c r="B161" s="6">
        <v>44444</v>
      </c>
      <c r="C161" s="7">
        <v>0.5</v>
      </c>
      <c r="D161" s="5">
        <v>11.6</v>
      </c>
      <c r="E161" s="5">
        <v>452.9</v>
      </c>
      <c r="F161" s="5">
        <v>468</v>
      </c>
      <c r="G161" s="6">
        <v>44444</v>
      </c>
      <c r="H161" s="5"/>
      <c r="I161" s="5"/>
      <c r="J161" s="5">
        <f t="shared" si="17"/>
        <v>15.100000000000023</v>
      </c>
      <c r="K161" s="8" t="b">
        <f t="shared" si="13"/>
        <v>1</v>
      </c>
    </row>
    <row r="162" spans="1:11">
      <c r="A162" s="5" t="s">
        <v>133</v>
      </c>
      <c r="B162" s="6">
        <v>44445</v>
      </c>
      <c r="C162" s="7">
        <v>0.5</v>
      </c>
      <c r="D162" s="5">
        <v>11.6</v>
      </c>
      <c r="E162" s="5">
        <v>468</v>
      </c>
      <c r="F162" s="5">
        <v>479.7</v>
      </c>
      <c r="G162" s="6">
        <v>44445</v>
      </c>
      <c r="H162" s="5"/>
      <c r="I162" s="5"/>
      <c r="J162" s="5">
        <f t="shared" si="17"/>
        <v>11.699999999999989</v>
      </c>
      <c r="K162" s="8" t="b">
        <f t="shared" si="13"/>
        <v>1</v>
      </c>
    </row>
    <row r="163" spans="1:11">
      <c r="A163" s="5" t="s">
        <v>132</v>
      </c>
      <c r="B163" s="6">
        <v>44446</v>
      </c>
      <c r="C163" s="7">
        <v>0.5</v>
      </c>
      <c r="D163" s="5">
        <v>11.6</v>
      </c>
      <c r="E163" s="5">
        <v>479.7</v>
      </c>
      <c r="F163" s="5">
        <v>491.6</v>
      </c>
      <c r="G163" s="6">
        <v>44446</v>
      </c>
      <c r="H163" s="5"/>
      <c r="I163" s="5"/>
      <c r="J163" s="5">
        <f t="shared" si="17"/>
        <v>11.900000000000034</v>
      </c>
      <c r="K163" s="8" t="b">
        <f t="shared" si="13"/>
        <v>1</v>
      </c>
    </row>
    <row r="164" spans="1:11">
      <c r="A164" s="5" t="s">
        <v>133</v>
      </c>
      <c r="B164" s="6">
        <v>44447</v>
      </c>
      <c r="C164" s="7">
        <v>0.5</v>
      </c>
      <c r="D164" s="5">
        <v>11.6</v>
      </c>
      <c r="E164" s="5">
        <v>491.6</v>
      </c>
      <c r="F164" s="5">
        <v>502.9</v>
      </c>
      <c r="G164" s="6">
        <v>44447</v>
      </c>
      <c r="H164" s="5"/>
      <c r="I164" s="5"/>
      <c r="J164" s="5">
        <f t="shared" si="17"/>
        <v>11.299999999999955</v>
      </c>
      <c r="K164" s="8" t="b">
        <f t="shared" si="13"/>
        <v>1</v>
      </c>
    </row>
    <row r="165" spans="1:11">
      <c r="A165" s="5" t="s">
        <v>132</v>
      </c>
      <c r="B165" s="6">
        <v>44448</v>
      </c>
      <c r="C165" s="7">
        <v>0.5</v>
      </c>
      <c r="D165" s="5">
        <v>11.6</v>
      </c>
      <c r="E165" s="5">
        <v>502.7</v>
      </c>
      <c r="F165" s="5">
        <v>514.70000000000005</v>
      </c>
      <c r="G165" s="6">
        <v>44448</v>
      </c>
      <c r="H165" s="5"/>
      <c r="I165" s="5"/>
      <c r="J165" s="5">
        <f t="shared" si="17"/>
        <v>12.000000000000057</v>
      </c>
      <c r="K165" s="8" t="b">
        <f t="shared" si="13"/>
        <v>0</v>
      </c>
    </row>
    <row r="166" spans="1:11">
      <c r="A166" s="5" t="s">
        <v>133</v>
      </c>
      <c r="B166" s="6">
        <v>44449</v>
      </c>
      <c r="C166" s="7">
        <v>0.4</v>
      </c>
      <c r="D166" s="5">
        <v>14.5</v>
      </c>
      <c r="E166" s="5">
        <v>514.70000000000005</v>
      </c>
      <c r="F166" s="5">
        <v>543.9</v>
      </c>
      <c r="G166" s="6">
        <v>44449</v>
      </c>
      <c r="H166" s="5"/>
      <c r="I166" s="5"/>
      <c r="J166" s="5">
        <f t="shared" si="17"/>
        <v>29.199999999999932</v>
      </c>
      <c r="K166" s="8" t="b">
        <f t="shared" si="13"/>
        <v>1</v>
      </c>
    </row>
    <row r="167" spans="1:11">
      <c r="A167" s="5" t="s">
        <v>132</v>
      </c>
      <c r="B167" s="6">
        <v>44450</v>
      </c>
      <c r="C167" s="7">
        <v>0.4</v>
      </c>
      <c r="D167" s="5">
        <v>14.5</v>
      </c>
      <c r="E167" s="5">
        <v>543.9</v>
      </c>
      <c r="F167" s="5">
        <v>558.5</v>
      </c>
      <c r="G167" s="6">
        <v>44450</v>
      </c>
      <c r="H167" s="5"/>
      <c r="I167" s="5"/>
      <c r="J167" s="5">
        <f t="shared" si="17"/>
        <v>14.600000000000023</v>
      </c>
      <c r="K167" s="8" t="b">
        <f>F166=E167</f>
        <v>1</v>
      </c>
    </row>
    <row r="168" spans="1:11">
      <c r="A168" s="5" t="s">
        <v>133</v>
      </c>
      <c r="B168" s="6">
        <v>44451</v>
      </c>
      <c r="C168" s="7">
        <v>0.4</v>
      </c>
      <c r="D168" s="5">
        <v>14.5</v>
      </c>
      <c r="E168" s="5">
        <v>558.5</v>
      </c>
      <c r="F168" s="5">
        <v>573.1</v>
      </c>
      <c r="G168" s="6">
        <v>44451</v>
      </c>
      <c r="H168" s="5"/>
      <c r="I168" s="5"/>
      <c r="J168" s="5">
        <f t="shared" ref="J168:J175" si="18">F168-E168</f>
        <v>14.600000000000023</v>
      </c>
      <c r="K168" s="8" t="b">
        <f t="shared" ref="K168:K175" si="19">F167=E168</f>
        <v>1</v>
      </c>
    </row>
    <row r="169" spans="1:11">
      <c r="A169" s="5" t="s">
        <v>132</v>
      </c>
      <c r="B169" s="6">
        <v>44452</v>
      </c>
      <c r="C169" s="7">
        <v>0.4</v>
      </c>
      <c r="D169" s="5">
        <v>14.5</v>
      </c>
      <c r="E169" s="5">
        <v>573.1</v>
      </c>
      <c r="F169" s="5">
        <v>587.6</v>
      </c>
      <c r="G169" s="6">
        <v>44452</v>
      </c>
      <c r="H169" s="5"/>
      <c r="I169" s="5"/>
      <c r="J169" s="5">
        <f t="shared" si="18"/>
        <v>14.5</v>
      </c>
      <c r="K169" s="8" t="b">
        <f t="shared" si="19"/>
        <v>1</v>
      </c>
    </row>
    <row r="170" spans="1:11">
      <c r="A170" s="5" t="s">
        <v>133</v>
      </c>
      <c r="B170" s="6">
        <v>44453</v>
      </c>
      <c r="C170" s="7">
        <v>0.4</v>
      </c>
      <c r="D170" s="5">
        <v>14.5</v>
      </c>
      <c r="E170" s="5">
        <v>587.79999999999995</v>
      </c>
      <c r="F170" s="5">
        <v>602.1</v>
      </c>
      <c r="G170" s="6">
        <v>44453</v>
      </c>
      <c r="H170" s="5"/>
      <c r="I170" s="5"/>
      <c r="J170" s="5">
        <f t="shared" si="18"/>
        <v>14.300000000000068</v>
      </c>
      <c r="K170" s="8" t="b">
        <f t="shared" si="19"/>
        <v>0</v>
      </c>
    </row>
    <row r="171" spans="1:11">
      <c r="A171" s="5" t="s">
        <v>132</v>
      </c>
      <c r="B171" s="6">
        <v>44454</v>
      </c>
      <c r="C171" s="7">
        <v>0.4</v>
      </c>
      <c r="D171" s="5">
        <v>14.5</v>
      </c>
      <c r="E171" s="5">
        <v>602.1</v>
      </c>
      <c r="F171" s="5">
        <v>616.5</v>
      </c>
      <c r="G171" s="6">
        <v>44454</v>
      </c>
      <c r="H171" s="5"/>
      <c r="I171" s="5"/>
      <c r="J171" s="5">
        <f t="shared" si="18"/>
        <v>14.399999999999977</v>
      </c>
      <c r="K171" s="8" t="b">
        <f t="shared" si="19"/>
        <v>1</v>
      </c>
    </row>
    <row r="172" spans="1:11">
      <c r="A172" s="5" t="s">
        <v>133</v>
      </c>
      <c r="B172" s="6">
        <v>44455</v>
      </c>
      <c r="C172" s="7">
        <v>0.4</v>
      </c>
      <c r="D172" s="5">
        <v>14.5</v>
      </c>
      <c r="E172" s="5">
        <v>616.5</v>
      </c>
      <c r="F172" s="5">
        <v>631.29999999999995</v>
      </c>
      <c r="G172" s="6">
        <v>44455</v>
      </c>
      <c r="H172" s="5"/>
      <c r="I172" s="5"/>
      <c r="J172" s="5">
        <f t="shared" si="18"/>
        <v>14.799999999999955</v>
      </c>
      <c r="K172" s="8" t="b">
        <f t="shared" si="19"/>
        <v>1</v>
      </c>
    </row>
    <row r="173" spans="1:11">
      <c r="A173" s="5" t="s">
        <v>132</v>
      </c>
      <c r="B173" s="6">
        <v>44456</v>
      </c>
      <c r="C173" s="7">
        <v>0.4</v>
      </c>
      <c r="D173" s="5">
        <v>14.5</v>
      </c>
      <c r="E173" s="5">
        <v>631.29999999999995</v>
      </c>
      <c r="F173" s="5">
        <v>645.6</v>
      </c>
      <c r="G173" s="6">
        <v>44456</v>
      </c>
      <c r="H173" s="5"/>
      <c r="I173" s="5"/>
      <c r="J173" s="5">
        <f t="shared" si="18"/>
        <v>14.300000000000068</v>
      </c>
      <c r="K173" s="8" t="b">
        <f t="shared" si="19"/>
        <v>1</v>
      </c>
    </row>
    <row r="174" spans="1:11">
      <c r="A174" s="5" t="s">
        <v>133</v>
      </c>
      <c r="B174" s="6">
        <v>44457</v>
      </c>
      <c r="C174" s="7">
        <v>0.4</v>
      </c>
      <c r="D174" s="5">
        <v>14.5</v>
      </c>
      <c r="E174" s="5">
        <v>645.6</v>
      </c>
      <c r="F174" s="5">
        <v>660.4</v>
      </c>
      <c r="G174" s="6">
        <v>44457</v>
      </c>
      <c r="H174" s="5"/>
      <c r="I174" s="5"/>
      <c r="J174" s="5">
        <f t="shared" si="18"/>
        <v>14.799999999999955</v>
      </c>
      <c r="K174" s="8" t="b">
        <f t="shared" si="19"/>
        <v>1</v>
      </c>
    </row>
    <row r="175" spans="1:11">
      <c r="A175" s="5" t="s">
        <v>132</v>
      </c>
      <c r="B175" s="6">
        <v>44458</v>
      </c>
      <c r="C175" s="7">
        <v>0.4</v>
      </c>
      <c r="D175" s="5">
        <v>14.5</v>
      </c>
      <c r="E175" s="5">
        <v>660.4</v>
      </c>
      <c r="F175" s="5">
        <v>674.9</v>
      </c>
      <c r="G175" s="6">
        <v>44458</v>
      </c>
      <c r="H175" s="5"/>
      <c r="I175" s="5"/>
      <c r="J175" s="5">
        <f t="shared" si="18"/>
        <v>14.5</v>
      </c>
      <c r="K175" s="8" t="b">
        <f t="shared" si="19"/>
        <v>1</v>
      </c>
    </row>
    <row r="176" spans="1:11">
      <c r="A176" s="5" t="s">
        <v>131</v>
      </c>
      <c r="B176" s="6">
        <v>44459</v>
      </c>
      <c r="C176" s="7">
        <v>1</v>
      </c>
      <c r="D176" s="5">
        <v>5.8</v>
      </c>
      <c r="E176" s="5">
        <v>674.9</v>
      </c>
      <c r="F176" s="5">
        <v>692.4</v>
      </c>
      <c r="G176" s="6">
        <v>44459</v>
      </c>
      <c r="H176" s="5"/>
      <c r="I176" s="5"/>
      <c r="J176" s="5">
        <f t="shared" ref="J176:J189" si="20">F176-E176</f>
        <v>17.5</v>
      </c>
      <c r="K176" s="8" t="b">
        <f t="shared" ref="K176:K189" si="21">F175=E176</f>
        <v>1</v>
      </c>
    </row>
    <row r="177" spans="1:11">
      <c r="A177" s="5" t="s">
        <v>133</v>
      </c>
      <c r="B177" s="6">
        <v>44460</v>
      </c>
      <c r="C177" s="7">
        <v>0.4</v>
      </c>
      <c r="D177" s="5">
        <v>14.5</v>
      </c>
      <c r="E177" s="5">
        <v>692.4</v>
      </c>
      <c r="F177" s="5">
        <v>707.1</v>
      </c>
      <c r="G177" s="6">
        <v>44460</v>
      </c>
      <c r="H177" s="5"/>
      <c r="I177" s="5"/>
      <c r="J177" s="5">
        <f t="shared" si="20"/>
        <v>14.700000000000045</v>
      </c>
      <c r="K177" s="8" t="b">
        <f t="shared" si="21"/>
        <v>1</v>
      </c>
    </row>
    <row r="178" spans="1:11">
      <c r="A178" s="5" t="s">
        <v>132</v>
      </c>
      <c r="B178" s="6">
        <v>44461</v>
      </c>
      <c r="C178" s="7">
        <v>0.4</v>
      </c>
      <c r="D178" s="5">
        <v>14.5</v>
      </c>
      <c r="E178" s="5">
        <v>707.1</v>
      </c>
      <c r="F178" s="5">
        <v>722.5</v>
      </c>
      <c r="G178" s="6">
        <v>44461</v>
      </c>
      <c r="H178" s="5"/>
      <c r="I178" s="5"/>
      <c r="J178" s="5">
        <f t="shared" si="20"/>
        <v>15.399999999999977</v>
      </c>
      <c r="K178" s="8" t="b">
        <f t="shared" si="21"/>
        <v>1</v>
      </c>
    </row>
    <row r="179" spans="1:11">
      <c r="A179" s="5" t="s">
        <v>133</v>
      </c>
      <c r="B179" s="6">
        <v>44462</v>
      </c>
      <c r="C179" s="7">
        <v>0.4</v>
      </c>
      <c r="D179" s="5">
        <v>14.5</v>
      </c>
      <c r="E179" s="5">
        <v>722.5</v>
      </c>
      <c r="F179" s="5">
        <v>737.1</v>
      </c>
      <c r="G179" s="6">
        <v>44462</v>
      </c>
      <c r="H179" s="5"/>
      <c r="I179" s="5"/>
      <c r="J179" s="5">
        <f t="shared" si="20"/>
        <v>14.600000000000023</v>
      </c>
      <c r="K179" s="8" t="b">
        <f t="shared" si="21"/>
        <v>1</v>
      </c>
    </row>
    <row r="180" spans="1:11">
      <c r="A180" s="5" t="s">
        <v>132</v>
      </c>
      <c r="B180" s="6">
        <v>44463</v>
      </c>
      <c r="C180" s="7">
        <v>0.4</v>
      </c>
      <c r="D180" s="5">
        <v>14.5</v>
      </c>
      <c r="E180" s="5">
        <v>737.1</v>
      </c>
      <c r="F180" s="5">
        <v>751.8</v>
      </c>
      <c r="G180" s="6">
        <v>44463</v>
      </c>
      <c r="H180" s="5"/>
      <c r="I180" s="5"/>
      <c r="J180" s="5">
        <f t="shared" si="20"/>
        <v>14.699999999999932</v>
      </c>
      <c r="K180" s="8" t="b">
        <f t="shared" si="21"/>
        <v>1</v>
      </c>
    </row>
    <row r="181" spans="1:11">
      <c r="A181" s="5" t="s">
        <v>133</v>
      </c>
      <c r="B181" s="6">
        <v>44464</v>
      </c>
      <c r="C181" s="7">
        <v>0.4</v>
      </c>
      <c r="D181" s="5">
        <v>14.5</v>
      </c>
      <c r="E181" s="5">
        <v>751.8</v>
      </c>
      <c r="F181" s="5">
        <v>766.3</v>
      </c>
      <c r="G181" s="6">
        <v>44464</v>
      </c>
      <c r="H181" s="5"/>
      <c r="I181" s="5"/>
      <c r="J181" s="5">
        <f t="shared" si="20"/>
        <v>14.5</v>
      </c>
      <c r="K181" s="8" t="b">
        <f t="shared" si="21"/>
        <v>1</v>
      </c>
    </row>
    <row r="182" spans="1:11">
      <c r="A182" s="5" t="s">
        <v>132</v>
      </c>
      <c r="B182" s="6">
        <v>44465</v>
      </c>
      <c r="C182" s="7">
        <v>0.4</v>
      </c>
      <c r="D182" s="5">
        <v>14.5</v>
      </c>
      <c r="E182" s="5">
        <v>766.3</v>
      </c>
      <c r="F182" s="5">
        <v>781</v>
      </c>
      <c r="G182" s="6">
        <v>44465</v>
      </c>
      <c r="H182" s="5"/>
      <c r="I182" s="5"/>
      <c r="J182" s="5">
        <f t="shared" si="20"/>
        <v>14.700000000000045</v>
      </c>
      <c r="K182" s="8" t="b">
        <f t="shared" si="21"/>
        <v>1</v>
      </c>
    </row>
    <row r="183" spans="1:11">
      <c r="A183" s="5" t="s">
        <v>133</v>
      </c>
      <c r="B183" s="6">
        <v>44466</v>
      </c>
      <c r="C183" s="7">
        <v>0.4</v>
      </c>
      <c r="D183" s="5">
        <v>14.5</v>
      </c>
      <c r="E183" s="5">
        <v>781</v>
      </c>
      <c r="F183" s="5">
        <v>796.7</v>
      </c>
      <c r="G183" s="6">
        <v>44466</v>
      </c>
      <c r="H183" s="5"/>
      <c r="I183" s="5"/>
      <c r="J183" s="5">
        <f t="shared" si="20"/>
        <v>15.700000000000045</v>
      </c>
      <c r="K183" s="8" t="b">
        <f t="shared" si="21"/>
        <v>1</v>
      </c>
    </row>
    <row r="184" spans="1:11">
      <c r="A184" s="5" t="s">
        <v>132</v>
      </c>
      <c r="B184" s="6">
        <v>44467</v>
      </c>
      <c r="C184" s="7">
        <v>0.8</v>
      </c>
      <c r="D184" s="5">
        <v>7.89</v>
      </c>
      <c r="E184" s="5">
        <v>795.7</v>
      </c>
      <c r="F184" s="5">
        <v>805.3</v>
      </c>
      <c r="G184" s="6">
        <v>44468</v>
      </c>
      <c r="H184" s="5"/>
      <c r="I184" s="5"/>
      <c r="J184" s="5">
        <f t="shared" si="20"/>
        <v>9.5999999999999091</v>
      </c>
      <c r="K184" s="8" t="b">
        <f t="shared" si="21"/>
        <v>0</v>
      </c>
    </row>
    <row r="185" spans="1:11">
      <c r="A185" s="5" t="s">
        <v>131</v>
      </c>
      <c r="B185" s="6">
        <v>44469</v>
      </c>
      <c r="C185" s="7">
        <v>1</v>
      </c>
      <c r="D185" s="5">
        <v>5.8</v>
      </c>
      <c r="E185" s="5">
        <v>805.3</v>
      </c>
      <c r="F185" s="5">
        <v>817.7</v>
      </c>
      <c r="G185" s="6">
        <v>44469</v>
      </c>
      <c r="H185" s="5"/>
      <c r="I185" s="5"/>
      <c r="J185" s="5">
        <f t="shared" si="20"/>
        <v>12.400000000000091</v>
      </c>
      <c r="K185" s="8" t="b">
        <f t="shared" si="21"/>
        <v>1</v>
      </c>
    </row>
    <row r="186" spans="1:11">
      <c r="A186" s="5" t="s">
        <v>131</v>
      </c>
      <c r="B186" s="6">
        <v>44470</v>
      </c>
      <c r="C186" s="7">
        <v>0.5</v>
      </c>
      <c r="D186" s="5">
        <v>11.6</v>
      </c>
      <c r="E186" s="5">
        <v>817.7</v>
      </c>
      <c r="F186" s="5">
        <v>841.4</v>
      </c>
      <c r="G186" s="6">
        <v>44470</v>
      </c>
      <c r="H186" s="5"/>
      <c r="I186" s="5"/>
      <c r="J186" s="5">
        <f t="shared" si="20"/>
        <v>23.699999999999932</v>
      </c>
      <c r="K186" s="8" t="b">
        <f t="shared" si="21"/>
        <v>1</v>
      </c>
    </row>
    <row r="187" spans="1:11">
      <c r="A187" s="5" t="s">
        <v>132</v>
      </c>
      <c r="B187" s="6">
        <v>44471</v>
      </c>
      <c r="C187" s="7">
        <v>0.4</v>
      </c>
      <c r="D187" s="5">
        <v>14.5</v>
      </c>
      <c r="E187" s="5">
        <v>841.4</v>
      </c>
      <c r="F187" s="5">
        <v>855.6</v>
      </c>
      <c r="G187" s="6">
        <v>44471</v>
      </c>
      <c r="H187" s="5"/>
      <c r="I187" s="5"/>
      <c r="J187" s="5">
        <f t="shared" si="20"/>
        <v>14.200000000000045</v>
      </c>
      <c r="K187" s="8" t="b">
        <f t="shared" si="21"/>
        <v>1</v>
      </c>
    </row>
    <row r="188" spans="1:11">
      <c r="A188" s="5" t="s">
        <v>133</v>
      </c>
      <c r="B188" s="6">
        <v>44472</v>
      </c>
      <c r="C188" s="7">
        <v>0.4</v>
      </c>
      <c r="D188" s="5">
        <v>14.5</v>
      </c>
      <c r="E188" s="5">
        <v>855.6</v>
      </c>
      <c r="F188" s="5">
        <v>869.2</v>
      </c>
      <c r="G188" s="6">
        <v>44472</v>
      </c>
      <c r="H188" s="5"/>
      <c r="I188" s="5"/>
      <c r="J188" s="5">
        <f t="shared" si="20"/>
        <v>13.600000000000023</v>
      </c>
      <c r="K188" s="8" t="b">
        <f t="shared" si="21"/>
        <v>1</v>
      </c>
    </row>
    <row r="189" spans="1:11">
      <c r="A189" s="5" t="s">
        <v>132</v>
      </c>
      <c r="B189" s="6">
        <v>44473</v>
      </c>
      <c r="C189" s="7">
        <v>0.4</v>
      </c>
      <c r="D189" s="5">
        <v>14.5</v>
      </c>
      <c r="E189" s="5">
        <v>869.2</v>
      </c>
      <c r="F189" s="5">
        <v>884.8</v>
      </c>
      <c r="G189" s="6">
        <v>44473</v>
      </c>
      <c r="H189" s="5"/>
      <c r="I189" s="5"/>
      <c r="J189" s="5">
        <f t="shared" si="20"/>
        <v>15.599999999999909</v>
      </c>
      <c r="K189" s="8" t="b">
        <f t="shared" si="21"/>
        <v>1</v>
      </c>
    </row>
    <row r="190" spans="1:11">
      <c r="A190" s="5" t="s">
        <v>133</v>
      </c>
      <c r="B190" s="6">
        <v>44474</v>
      </c>
      <c r="C190" s="7">
        <v>0.4</v>
      </c>
      <c r="D190" s="5">
        <v>14.5</v>
      </c>
      <c r="E190" s="5">
        <v>884.8</v>
      </c>
      <c r="F190" s="5">
        <v>898.4</v>
      </c>
      <c r="G190" s="6">
        <v>44474</v>
      </c>
      <c r="H190" s="5"/>
      <c r="I190" s="5"/>
      <c r="J190" s="5">
        <f t="shared" ref="J190:J200" si="22">F190-E190</f>
        <v>13.600000000000023</v>
      </c>
      <c r="K190" s="8" t="b">
        <f t="shared" ref="K190:K200" si="23">F189=E190</f>
        <v>1</v>
      </c>
    </row>
    <row r="191" spans="1:11">
      <c r="A191" s="5" t="s">
        <v>132</v>
      </c>
      <c r="B191" s="6">
        <v>44475</v>
      </c>
      <c r="C191" s="7">
        <v>0.8</v>
      </c>
      <c r="D191" s="5">
        <v>7.89</v>
      </c>
      <c r="E191" s="5">
        <v>898.4</v>
      </c>
      <c r="F191" s="5">
        <v>902.6</v>
      </c>
      <c r="G191" s="6">
        <v>44475</v>
      </c>
      <c r="H191" s="5"/>
      <c r="I191" s="5"/>
      <c r="J191" s="5">
        <f t="shared" si="22"/>
        <v>4.2000000000000455</v>
      </c>
      <c r="K191" s="8" t="b">
        <f t="shared" si="23"/>
        <v>1</v>
      </c>
    </row>
    <row r="192" spans="1:11">
      <c r="A192" s="5" t="s">
        <v>131</v>
      </c>
      <c r="B192" s="6">
        <v>44479</v>
      </c>
      <c r="C192" s="7">
        <v>0.4</v>
      </c>
      <c r="D192" s="5">
        <v>14.5</v>
      </c>
      <c r="E192" s="5">
        <v>902.6</v>
      </c>
      <c r="F192" s="5">
        <v>931.3</v>
      </c>
      <c r="G192" s="6">
        <v>44479</v>
      </c>
      <c r="H192" s="5"/>
      <c r="I192" s="5"/>
      <c r="J192" s="5">
        <f t="shared" si="22"/>
        <v>28.699999999999932</v>
      </c>
      <c r="K192" s="8" t="b">
        <f t="shared" si="23"/>
        <v>1</v>
      </c>
    </row>
    <row r="193" spans="1:11">
      <c r="A193" s="5" t="s">
        <v>132</v>
      </c>
      <c r="B193" s="6">
        <v>44480</v>
      </c>
      <c r="C193" s="7">
        <v>0.7</v>
      </c>
      <c r="D193" s="5">
        <v>8.2899999999999991</v>
      </c>
      <c r="E193" s="5">
        <v>931.3</v>
      </c>
      <c r="F193" s="5">
        <v>939.5</v>
      </c>
      <c r="G193" s="6">
        <v>44480</v>
      </c>
      <c r="H193" s="5"/>
      <c r="I193" s="5"/>
      <c r="J193" s="5">
        <f t="shared" si="22"/>
        <v>8.2000000000000455</v>
      </c>
      <c r="K193" s="8" t="b">
        <f t="shared" si="23"/>
        <v>1</v>
      </c>
    </row>
    <row r="194" spans="1:11">
      <c r="A194" s="5" t="s">
        <v>133</v>
      </c>
      <c r="B194" s="6">
        <v>44481</v>
      </c>
      <c r="C194" s="7">
        <v>0.6</v>
      </c>
      <c r="D194" s="5">
        <v>9.67</v>
      </c>
      <c r="E194" s="5">
        <v>939.5</v>
      </c>
      <c r="F194" s="5">
        <v>950</v>
      </c>
      <c r="G194" s="6">
        <v>44481</v>
      </c>
      <c r="H194" s="5"/>
      <c r="I194" s="5"/>
      <c r="J194" s="5">
        <f t="shared" si="22"/>
        <v>10.5</v>
      </c>
      <c r="K194" s="8" t="b">
        <f t="shared" si="23"/>
        <v>1</v>
      </c>
    </row>
    <row r="195" spans="1:11">
      <c r="A195" s="5" t="s">
        <v>132</v>
      </c>
      <c r="B195" s="6">
        <v>44482</v>
      </c>
      <c r="C195" s="7">
        <v>0.4</v>
      </c>
      <c r="D195" s="5">
        <v>14.5</v>
      </c>
      <c r="E195" s="5">
        <v>950</v>
      </c>
      <c r="F195" s="5">
        <v>956.6</v>
      </c>
      <c r="G195" s="6">
        <v>44482</v>
      </c>
      <c r="H195" s="5"/>
      <c r="I195" s="5"/>
      <c r="J195" s="5">
        <f t="shared" si="22"/>
        <v>6.6000000000000227</v>
      </c>
      <c r="K195" s="8" t="b">
        <f t="shared" si="23"/>
        <v>1</v>
      </c>
    </row>
    <row r="196" spans="1:11">
      <c r="A196" s="5" t="s">
        <v>133</v>
      </c>
      <c r="B196" s="6">
        <v>44484</v>
      </c>
      <c r="C196" s="7">
        <v>0.4</v>
      </c>
      <c r="D196" s="5">
        <v>14.5</v>
      </c>
      <c r="E196" s="5">
        <v>956.6</v>
      </c>
      <c r="F196" s="5">
        <v>970.9</v>
      </c>
      <c r="G196" s="6">
        <v>44484</v>
      </c>
      <c r="H196" s="5"/>
      <c r="I196" s="5"/>
      <c r="J196" s="5">
        <f t="shared" si="22"/>
        <v>14.299999999999955</v>
      </c>
      <c r="K196" s="8" t="b">
        <f t="shared" si="23"/>
        <v>1</v>
      </c>
    </row>
    <row r="197" spans="1:11">
      <c r="A197" s="5" t="s">
        <v>132</v>
      </c>
      <c r="B197" s="6">
        <v>44486</v>
      </c>
      <c r="C197" s="7">
        <v>0.6</v>
      </c>
      <c r="D197" s="5">
        <v>9.67</v>
      </c>
      <c r="E197" s="5">
        <v>970.9</v>
      </c>
      <c r="F197" s="5">
        <v>981.9</v>
      </c>
      <c r="G197" s="6">
        <v>44486</v>
      </c>
      <c r="H197" s="5"/>
      <c r="I197" s="5"/>
      <c r="J197" s="5">
        <f t="shared" si="22"/>
        <v>11</v>
      </c>
      <c r="K197" s="8" t="b">
        <f t="shared" si="23"/>
        <v>1</v>
      </c>
    </row>
    <row r="198" spans="1:11">
      <c r="A198" s="5" t="s">
        <v>133</v>
      </c>
      <c r="B198" s="6">
        <v>44487</v>
      </c>
      <c r="C198" s="7">
        <v>0.6</v>
      </c>
      <c r="D198" s="5">
        <v>9.67</v>
      </c>
      <c r="E198" s="5">
        <v>981.9</v>
      </c>
      <c r="F198" s="5">
        <v>990.7</v>
      </c>
      <c r="G198" s="6">
        <v>44487</v>
      </c>
      <c r="H198" s="5"/>
      <c r="I198" s="5"/>
      <c r="J198" s="5">
        <f t="shared" si="22"/>
        <v>8.8000000000000682</v>
      </c>
      <c r="K198" s="8" t="b">
        <f t="shared" si="23"/>
        <v>1</v>
      </c>
    </row>
    <row r="199" spans="1:11">
      <c r="A199" s="5" t="s">
        <v>132</v>
      </c>
      <c r="B199" s="6">
        <v>44488</v>
      </c>
      <c r="C199" s="7">
        <v>0.6</v>
      </c>
      <c r="D199" s="5">
        <v>9.67</v>
      </c>
      <c r="E199" s="5">
        <v>990.7</v>
      </c>
      <c r="F199" s="5">
        <v>999.3</v>
      </c>
      <c r="G199" s="6">
        <v>44488</v>
      </c>
      <c r="H199" s="5"/>
      <c r="I199" s="5"/>
      <c r="J199" s="5">
        <f t="shared" si="22"/>
        <v>8.5999999999999091</v>
      </c>
      <c r="K199" s="8" t="b">
        <f t="shared" si="23"/>
        <v>1</v>
      </c>
    </row>
    <row r="200" spans="1:11">
      <c r="A200" s="5" t="s">
        <v>133</v>
      </c>
      <c r="B200" s="6">
        <v>44489</v>
      </c>
      <c r="C200" s="7">
        <v>0.6</v>
      </c>
      <c r="D200" s="5">
        <v>9.67</v>
      </c>
      <c r="E200" s="5">
        <v>999.3</v>
      </c>
      <c r="F200" s="5">
        <v>1014.1</v>
      </c>
      <c r="G200" s="6">
        <v>44489</v>
      </c>
      <c r="H200" s="5"/>
      <c r="I200" s="5"/>
      <c r="J200" s="5">
        <f t="shared" si="22"/>
        <v>14.800000000000068</v>
      </c>
      <c r="K200" s="8" t="b">
        <f t="shared" si="23"/>
        <v>1</v>
      </c>
    </row>
    <row r="201" spans="1:11">
      <c r="A201" s="5" t="s">
        <v>132</v>
      </c>
      <c r="B201" s="6">
        <v>44490</v>
      </c>
      <c r="C201" s="7">
        <v>0.4</v>
      </c>
      <c r="D201" s="5">
        <v>14.5</v>
      </c>
      <c r="E201" s="5">
        <v>1014.1</v>
      </c>
      <c r="F201" s="5">
        <v>1027.2</v>
      </c>
      <c r="G201" s="6">
        <v>44490</v>
      </c>
      <c r="H201" s="5"/>
      <c r="I201" s="5"/>
      <c r="J201" s="5">
        <f t="shared" ref="J201:J207" si="24">F201-E201</f>
        <v>13.100000000000023</v>
      </c>
      <c r="K201" s="8" t="b">
        <f t="shared" ref="K201:K207" si="25">F200=E201</f>
        <v>1</v>
      </c>
    </row>
    <row r="202" spans="1:11">
      <c r="A202" s="5" t="s">
        <v>131</v>
      </c>
      <c r="B202" s="6">
        <v>44496</v>
      </c>
      <c r="C202" s="7">
        <v>0.7</v>
      </c>
      <c r="D202" s="5">
        <v>8.2899999999999991</v>
      </c>
      <c r="E202" s="5">
        <v>1027.0999999999999</v>
      </c>
      <c r="F202" s="5">
        <v>1044.5999999999999</v>
      </c>
      <c r="G202" s="6">
        <v>44496</v>
      </c>
      <c r="H202" s="5"/>
      <c r="I202" s="5"/>
      <c r="J202" s="5">
        <f t="shared" si="24"/>
        <v>17.5</v>
      </c>
      <c r="K202" s="8" t="b">
        <f t="shared" si="25"/>
        <v>0</v>
      </c>
    </row>
    <row r="203" spans="1:11">
      <c r="A203" s="5" t="s">
        <v>131</v>
      </c>
      <c r="B203" s="6">
        <v>44497</v>
      </c>
      <c r="C203" s="7">
        <v>0.7</v>
      </c>
      <c r="D203" s="5">
        <v>8.2899999999999991</v>
      </c>
      <c r="E203" s="5">
        <v>1044.5</v>
      </c>
      <c r="F203" s="5">
        <v>1060.7</v>
      </c>
      <c r="G203" s="6">
        <v>44497</v>
      </c>
      <c r="H203" s="5"/>
      <c r="I203" s="5"/>
      <c r="J203" s="5">
        <f t="shared" si="24"/>
        <v>16.200000000000045</v>
      </c>
      <c r="K203" s="8" t="b">
        <f t="shared" si="25"/>
        <v>0</v>
      </c>
    </row>
    <row r="204" spans="1:11">
      <c r="A204" s="5" t="s">
        <v>134</v>
      </c>
      <c r="B204" s="6">
        <v>44498</v>
      </c>
      <c r="C204" s="7">
        <v>0.7</v>
      </c>
      <c r="D204" s="5">
        <v>8.2899999999999991</v>
      </c>
      <c r="E204" s="5">
        <v>1060.7</v>
      </c>
      <c r="F204" s="5">
        <v>1069.9000000000001</v>
      </c>
      <c r="G204" s="6">
        <v>44498</v>
      </c>
      <c r="H204" s="5"/>
      <c r="I204" s="5"/>
      <c r="J204" s="5">
        <f t="shared" si="24"/>
        <v>9.2000000000000455</v>
      </c>
      <c r="K204" s="8" t="b">
        <f t="shared" si="25"/>
        <v>1</v>
      </c>
    </row>
    <row r="205" spans="1:11">
      <c r="A205" s="5" t="s">
        <v>131</v>
      </c>
      <c r="B205" s="6">
        <v>44499</v>
      </c>
      <c r="C205" s="7">
        <v>0.7</v>
      </c>
      <c r="D205" s="5">
        <v>8.2899999999999991</v>
      </c>
      <c r="E205" s="5">
        <v>1069.9000000000001</v>
      </c>
      <c r="F205" s="5">
        <v>1088.7</v>
      </c>
      <c r="G205" s="6">
        <v>44499</v>
      </c>
      <c r="H205" s="5"/>
      <c r="I205" s="5"/>
      <c r="J205" s="5">
        <f t="shared" si="24"/>
        <v>18.799999999999955</v>
      </c>
      <c r="K205" s="8" t="b">
        <f t="shared" si="25"/>
        <v>1</v>
      </c>
    </row>
    <row r="206" spans="1:11">
      <c r="A206" s="5" t="s">
        <v>131</v>
      </c>
      <c r="B206" s="6">
        <v>44500</v>
      </c>
      <c r="C206" s="7">
        <v>0.7</v>
      </c>
      <c r="D206" s="5">
        <v>8.2899999999999991</v>
      </c>
      <c r="E206" s="5">
        <v>1088.7</v>
      </c>
      <c r="F206" s="5">
        <v>1105.5999999999999</v>
      </c>
      <c r="G206" s="6">
        <v>44500</v>
      </c>
      <c r="H206" s="5"/>
      <c r="I206" s="5"/>
      <c r="J206" s="5">
        <f t="shared" si="24"/>
        <v>16.899999999999864</v>
      </c>
      <c r="K206" s="8" t="b">
        <f t="shared" si="25"/>
        <v>1</v>
      </c>
    </row>
    <row r="207" spans="1:11">
      <c r="A207" s="5" t="s">
        <v>129</v>
      </c>
      <c r="B207" s="6"/>
      <c r="C207" s="7"/>
      <c r="D207" s="5"/>
      <c r="E207" s="5"/>
      <c r="F207" s="5"/>
      <c r="G207" s="6"/>
      <c r="H207" s="5"/>
      <c r="I207" s="5"/>
      <c r="J207" s="5">
        <f t="shared" si="24"/>
        <v>0</v>
      </c>
      <c r="K207" s="8" t="b">
        <f t="shared" si="25"/>
        <v>0</v>
      </c>
    </row>
    <row r="210" spans="1:11" ht="26.25">
      <c r="A210" s="126" t="s">
        <v>128</v>
      </c>
      <c r="B210" s="127"/>
      <c r="C210" s="127"/>
      <c r="D210" s="127"/>
      <c r="E210" s="127"/>
      <c r="F210" s="127"/>
      <c r="G210" s="127"/>
      <c r="H210" s="127"/>
      <c r="I210" s="127"/>
      <c r="J210" s="127"/>
      <c r="K210" s="128"/>
    </row>
    <row r="211" spans="1:11" ht="26.25">
      <c r="A211" s="129" t="s">
        <v>15</v>
      </c>
      <c r="B211" s="130"/>
      <c r="C211" s="130"/>
      <c r="D211" s="130"/>
      <c r="E211" s="130"/>
      <c r="F211" s="130"/>
      <c r="G211" s="130"/>
      <c r="H211" s="130"/>
      <c r="I211" s="130"/>
      <c r="J211" s="130"/>
      <c r="K211" s="131"/>
    </row>
    <row r="212" spans="1:11" ht="15.75" thickBot="1"/>
    <row r="213" spans="1:11" ht="15.75" thickBot="1">
      <c r="A213" s="132" t="s">
        <v>2</v>
      </c>
      <c r="B213" s="133"/>
      <c r="C213" s="133"/>
      <c r="D213" s="133"/>
      <c r="E213" s="133"/>
      <c r="F213" s="133"/>
      <c r="G213" s="133"/>
      <c r="H213" s="133"/>
      <c r="I213" s="133"/>
      <c r="J213" s="133"/>
      <c r="K213" s="134"/>
    </row>
    <row r="215" spans="1:11" ht="19.5" thickBot="1">
      <c r="A215" s="1" t="s">
        <v>3</v>
      </c>
      <c r="B215" s="1"/>
      <c r="C215" s="1"/>
      <c r="D215" s="1"/>
      <c r="E215" s="1"/>
      <c r="F215" s="1"/>
      <c r="G215" s="1"/>
      <c r="H215" s="1"/>
      <c r="I215" s="1"/>
    </row>
    <row r="216" spans="1:11" ht="30.75" thickBot="1">
      <c r="A216" s="2" t="s">
        <v>4</v>
      </c>
      <c r="B216" s="3" t="s">
        <v>5</v>
      </c>
      <c r="C216" s="3" t="s">
        <v>6</v>
      </c>
      <c r="D216" s="3" t="s">
        <v>7</v>
      </c>
      <c r="E216" s="3" t="s">
        <v>8</v>
      </c>
      <c r="F216" s="3" t="s">
        <v>9</v>
      </c>
      <c r="G216" s="3" t="s">
        <v>10</v>
      </c>
      <c r="H216" s="3" t="s">
        <v>21</v>
      </c>
      <c r="I216" s="4" t="s">
        <v>22</v>
      </c>
      <c r="J216" s="4" t="s">
        <v>11</v>
      </c>
      <c r="K216" s="4" t="s">
        <v>12</v>
      </c>
    </row>
    <row r="217" spans="1:11">
      <c r="A217" s="25" t="s">
        <v>129</v>
      </c>
      <c r="B217" s="26">
        <v>44572</v>
      </c>
      <c r="C217" s="27">
        <v>1</v>
      </c>
      <c r="D217" s="25">
        <v>5.8</v>
      </c>
      <c r="E217" s="25">
        <v>1122.3</v>
      </c>
      <c r="F217" s="25">
        <v>1134.3</v>
      </c>
      <c r="G217" s="26">
        <v>44581</v>
      </c>
      <c r="H217" s="25"/>
      <c r="I217" s="25"/>
      <c r="J217" s="25">
        <f>F217-E217</f>
        <v>12</v>
      </c>
      <c r="K217" s="28" t="b">
        <f>F217=E218</f>
        <v>1</v>
      </c>
    </row>
    <row r="218" spans="1:11">
      <c r="A218" s="5" t="s">
        <v>129</v>
      </c>
      <c r="B218" s="6">
        <v>44582</v>
      </c>
      <c r="C218" s="7">
        <v>0.6</v>
      </c>
      <c r="D218" s="5">
        <v>9.67</v>
      </c>
      <c r="E218" s="5">
        <v>1134.3</v>
      </c>
      <c r="F218" s="5">
        <v>1153.8</v>
      </c>
      <c r="G218" s="6">
        <v>44582</v>
      </c>
      <c r="H218" s="5"/>
      <c r="I218" s="5"/>
      <c r="J218" s="5">
        <f>F218-E218</f>
        <v>19.5</v>
      </c>
      <c r="K218" s="8" t="b">
        <f>F217=E218</f>
        <v>1</v>
      </c>
    </row>
    <row r="219" spans="1:11">
      <c r="A219" s="5" t="s">
        <v>129</v>
      </c>
      <c r="B219" s="6">
        <v>44583</v>
      </c>
      <c r="C219" s="7">
        <v>1</v>
      </c>
      <c r="D219" s="5">
        <v>5.8</v>
      </c>
      <c r="E219" s="5">
        <v>1909</v>
      </c>
      <c r="F219" s="5">
        <v>1921.5</v>
      </c>
      <c r="G219" s="6">
        <v>44583</v>
      </c>
      <c r="H219" s="5"/>
      <c r="I219" s="5"/>
      <c r="J219" s="5">
        <f>F219-E219</f>
        <v>12.5</v>
      </c>
      <c r="K219" s="8" t="b">
        <f>F218=E219</f>
        <v>0</v>
      </c>
    </row>
    <row r="220" spans="1:11">
      <c r="A220" s="5" t="s">
        <v>129</v>
      </c>
      <c r="B220" s="6">
        <v>44584</v>
      </c>
      <c r="C220" s="7">
        <v>1</v>
      </c>
      <c r="D220" s="5">
        <v>5.8</v>
      </c>
      <c r="E220" s="5">
        <v>1921.5</v>
      </c>
      <c r="F220" s="5">
        <v>1933</v>
      </c>
      <c r="G220" s="6">
        <v>44584</v>
      </c>
      <c r="H220" s="5"/>
      <c r="I220" s="5"/>
      <c r="J220" s="5">
        <f t="shared" ref="J220:J270" si="26">F220-E220</f>
        <v>11.5</v>
      </c>
      <c r="K220" s="8" t="b">
        <f t="shared" ref="K220:K237" si="27">F219=E220</f>
        <v>1</v>
      </c>
    </row>
    <row r="221" spans="1:11">
      <c r="A221" s="5" t="s">
        <v>129</v>
      </c>
      <c r="B221" s="6">
        <v>44585</v>
      </c>
      <c r="C221" s="7">
        <v>1</v>
      </c>
      <c r="D221" s="5">
        <v>5.8</v>
      </c>
      <c r="E221" s="5">
        <v>1933</v>
      </c>
      <c r="F221" s="5">
        <v>1945</v>
      </c>
      <c r="G221" s="6">
        <v>44585</v>
      </c>
      <c r="H221" s="5"/>
      <c r="I221" s="5"/>
      <c r="J221" s="5">
        <f t="shared" si="26"/>
        <v>12</v>
      </c>
      <c r="K221" s="8" t="b">
        <f t="shared" si="27"/>
        <v>1</v>
      </c>
    </row>
    <row r="222" spans="1:11">
      <c r="A222" s="5" t="s">
        <v>129</v>
      </c>
      <c r="B222" s="6">
        <v>44586</v>
      </c>
      <c r="C222" s="7">
        <v>1</v>
      </c>
      <c r="D222" s="5">
        <v>5.8</v>
      </c>
      <c r="E222" s="5">
        <v>1945</v>
      </c>
      <c r="F222" s="5">
        <v>1957.2</v>
      </c>
      <c r="G222" s="6">
        <v>44586</v>
      </c>
      <c r="H222" s="5"/>
      <c r="I222" s="5"/>
      <c r="J222" s="5">
        <f t="shared" si="26"/>
        <v>12.200000000000045</v>
      </c>
      <c r="K222" s="8" t="b">
        <f t="shared" si="27"/>
        <v>1</v>
      </c>
    </row>
    <row r="223" spans="1:11">
      <c r="A223" s="5" t="s">
        <v>129</v>
      </c>
      <c r="B223" s="6">
        <v>44587</v>
      </c>
      <c r="C223" s="7">
        <v>1</v>
      </c>
      <c r="D223" s="5">
        <v>5.8</v>
      </c>
      <c r="E223" s="5">
        <v>1957.2</v>
      </c>
      <c r="F223" s="5">
        <v>1979.1</v>
      </c>
      <c r="G223" s="6">
        <v>44587</v>
      </c>
      <c r="H223" s="5"/>
      <c r="I223" s="5"/>
      <c r="J223" s="5">
        <f t="shared" si="26"/>
        <v>21.899999999999864</v>
      </c>
      <c r="K223" s="8" t="b">
        <f t="shared" si="27"/>
        <v>1</v>
      </c>
    </row>
    <row r="224" spans="1:11">
      <c r="A224" s="5" t="s">
        <v>129</v>
      </c>
      <c r="B224" s="6">
        <v>44592</v>
      </c>
      <c r="C224" s="7">
        <v>0.7</v>
      </c>
      <c r="D224" s="5">
        <v>8.2899999999999991</v>
      </c>
      <c r="E224" s="5">
        <v>0</v>
      </c>
      <c r="F224" s="5">
        <v>17.899999999999999</v>
      </c>
      <c r="G224" s="6">
        <v>44592</v>
      </c>
      <c r="H224" s="5"/>
      <c r="I224" s="5"/>
      <c r="J224" s="5">
        <f t="shared" si="26"/>
        <v>17.899999999999999</v>
      </c>
      <c r="K224" s="8" t="b">
        <f t="shared" si="27"/>
        <v>0</v>
      </c>
    </row>
    <row r="225" spans="1:11">
      <c r="A225" s="5" t="s">
        <v>129</v>
      </c>
      <c r="B225" s="6">
        <v>44595</v>
      </c>
      <c r="C225" s="7">
        <v>0.7</v>
      </c>
      <c r="D225" s="5">
        <v>8.2899999999999991</v>
      </c>
      <c r="E225" s="5">
        <v>17.899999999999999</v>
      </c>
      <c r="F225" s="5">
        <v>34.700000000000003</v>
      </c>
      <c r="G225" s="6">
        <v>44595</v>
      </c>
      <c r="H225" s="5"/>
      <c r="I225" s="5"/>
      <c r="J225" s="5">
        <f t="shared" si="26"/>
        <v>16.800000000000004</v>
      </c>
      <c r="K225" s="8" t="b">
        <f t="shared" si="27"/>
        <v>1</v>
      </c>
    </row>
    <row r="226" spans="1:11">
      <c r="A226" s="5" t="s">
        <v>129</v>
      </c>
      <c r="B226" s="6">
        <v>44598</v>
      </c>
      <c r="C226" s="7">
        <v>0.7</v>
      </c>
      <c r="D226" s="5">
        <v>8.2899999999999991</v>
      </c>
      <c r="E226" s="5">
        <v>34.700000000000003</v>
      </c>
      <c r="F226" s="5">
        <v>51.6</v>
      </c>
      <c r="G226" s="6">
        <v>44598</v>
      </c>
      <c r="H226" s="5"/>
      <c r="I226" s="5"/>
      <c r="J226" s="5">
        <f t="shared" si="26"/>
        <v>16.899999999999999</v>
      </c>
      <c r="K226" s="8" t="b">
        <f t="shared" si="27"/>
        <v>1</v>
      </c>
    </row>
    <row r="227" spans="1:11">
      <c r="A227" s="25" t="s">
        <v>129</v>
      </c>
      <c r="B227" s="26">
        <v>44609</v>
      </c>
      <c r="C227" s="27">
        <v>1</v>
      </c>
      <c r="D227" s="25">
        <v>5.8</v>
      </c>
      <c r="E227" s="25">
        <v>67.400000000000006</v>
      </c>
      <c r="F227" s="25">
        <v>81.7</v>
      </c>
      <c r="G227" s="26">
        <v>44610</v>
      </c>
      <c r="H227" s="25"/>
      <c r="I227" s="25"/>
      <c r="J227" s="25">
        <f>F227-E227</f>
        <v>14.299999999999997</v>
      </c>
      <c r="K227" s="28" t="b">
        <f>F226=E227</f>
        <v>0</v>
      </c>
    </row>
    <row r="228" spans="1:11">
      <c r="A228" s="5" t="s">
        <v>129</v>
      </c>
      <c r="B228" s="6">
        <v>44622</v>
      </c>
      <c r="C228" s="7">
        <v>0.8</v>
      </c>
      <c r="D228" s="5">
        <v>7.25</v>
      </c>
      <c r="E228" s="5">
        <v>81.7</v>
      </c>
      <c r="F228" s="5">
        <v>96.9</v>
      </c>
      <c r="G228" s="6">
        <v>44622</v>
      </c>
      <c r="H228" s="5"/>
      <c r="I228" s="5"/>
      <c r="J228" s="5">
        <f t="shared" si="26"/>
        <v>15.200000000000003</v>
      </c>
      <c r="K228" s="8" t="b">
        <f t="shared" si="27"/>
        <v>1</v>
      </c>
    </row>
    <row r="229" spans="1:11">
      <c r="A229" s="5" t="s">
        <v>129</v>
      </c>
      <c r="B229" s="6">
        <v>44625</v>
      </c>
      <c r="C229" s="7">
        <v>0.8</v>
      </c>
      <c r="D229" s="5">
        <v>7.25</v>
      </c>
      <c r="E229" s="5">
        <v>96.9</v>
      </c>
      <c r="F229" s="5">
        <v>111.1</v>
      </c>
      <c r="G229" s="6">
        <v>44627</v>
      </c>
      <c r="H229" s="5"/>
      <c r="I229" s="5"/>
      <c r="J229" s="5">
        <f t="shared" si="26"/>
        <v>14.199999999999989</v>
      </c>
      <c r="K229" s="8" t="b">
        <f t="shared" si="27"/>
        <v>1</v>
      </c>
    </row>
    <row r="230" spans="1:11">
      <c r="A230" s="5" t="s">
        <v>129</v>
      </c>
      <c r="B230" s="6">
        <v>44628</v>
      </c>
      <c r="C230" s="7">
        <v>0.8</v>
      </c>
      <c r="D230" s="5">
        <v>7.25</v>
      </c>
      <c r="E230" s="5">
        <v>111.1</v>
      </c>
      <c r="F230" s="5">
        <v>128.4</v>
      </c>
      <c r="G230" s="6">
        <v>44629</v>
      </c>
      <c r="H230" s="5"/>
      <c r="I230" s="5"/>
      <c r="J230" s="5">
        <f t="shared" si="26"/>
        <v>17.300000000000011</v>
      </c>
      <c r="K230" s="8" t="b">
        <f t="shared" si="27"/>
        <v>1</v>
      </c>
    </row>
    <row r="231" spans="1:11">
      <c r="A231" s="5" t="s">
        <v>129</v>
      </c>
      <c r="B231" s="6">
        <v>44640</v>
      </c>
      <c r="C231" s="7">
        <v>0.7</v>
      </c>
      <c r="D231" s="5">
        <v>8.2899999999999991</v>
      </c>
      <c r="E231" s="5">
        <v>155.30000000000001</v>
      </c>
      <c r="F231" s="5">
        <v>172</v>
      </c>
      <c r="G231" s="6">
        <v>44640</v>
      </c>
      <c r="H231" s="5"/>
      <c r="I231" s="5"/>
      <c r="J231" s="5">
        <f t="shared" si="26"/>
        <v>16.699999999999989</v>
      </c>
      <c r="K231" s="8" t="b">
        <f t="shared" si="27"/>
        <v>0</v>
      </c>
    </row>
    <row r="232" spans="1:11">
      <c r="A232" s="5" t="s">
        <v>129</v>
      </c>
      <c r="B232" s="6">
        <v>44643</v>
      </c>
      <c r="C232" s="7">
        <v>0.7</v>
      </c>
      <c r="D232" s="5">
        <v>8.2899999999999991</v>
      </c>
      <c r="E232" s="5">
        <v>172</v>
      </c>
      <c r="F232" s="5">
        <v>188.9</v>
      </c>
      <c r="G232" s="6">
        <v>44643</v>
      </c>
      <c r="H232" s="5"/>
      <c r="I232" s="5"/>
      <c r="J232" s="5">
        <f t="shared" si="26"/>
        <v>16.900000000000006</v>
      </c>
      <c r="K232" s="8" t="b">
        <f t="shared" si="27"/>
        <v>1</v>
      </c>
    </row>
    <row r="233" spans="1:11">
      <c r="A233" s="5" t="s">
        <v>129</v>
      </c>
      <c r="B233" s="6">
        <v>44646</v>
      </c>
      <c r="C233" s="7">
        <v>0.7</v>
      </c>
      <c r="D233" s="5">
        <v>8.2899999999999991</v>
      </c>
      <c r="E233" s="5">
        <v>188.9</v>
      </c>
      <c r="F233" s="5">
        <v>205.1</v>
      </c>
      <c r="G233" s="6">
        <v>44646</v>
      </c>
      <c r="H233" s="5"/>
      <c r="I233" s="5"/>
      <c r="J233" s="5">
        <f t="shared" si="26"/>
        <v>16.199999999999989</v>
      </c>
      <c r="K233" s="8" t="b">
        <f t="shared" si="27"/>
        <v>1</v>
      </c>
    </row>
    <row r="234" spans="1:11">
      <c r="A234" s="5" t="s">
        <v>129</v>
      </c>
      <c r="B234" s="6">
        <v>44649</v>
      </c>
      <c r="C234" s="7">
        <v>0.7</v>
      </c>
      <c r="D234" s="5">
        <v>8.2899999999999991</v>
      </c>
      <c r="E234" s="5">
        <v>20.100000000000001</v>
      </c>
      <c r="F234" s="5">
        <v>222.3</v>
      </c>
      <c r="G234" s="6">
        <v>44649</v>
      </c>
      <c r="H234" s="5"/>
      <c r="I234" s="5"/>
      <c r="J234" s="5">
        <f t="shared" si="26"/>
        <v>202.20000000000002</v>
      </c>
      <c r="K234" s="8" t="b">
        <f t="shared" si="27"/>
        <v>0</v>
      </c>
    </row>
    <row r="235" spans="1:11">
      <c r="A235" s="39" t="s">
        <v>129</v>
      </c>
      <c r="B235" s="40"/>
      <c r="C235" s="41"/>
      <c r="D235" s="39"/>
      <c r="E235" s="39"/>
      <c r="F235" s="39"/>
      <c r="G235" s="40"/>
      <c r="H235" s="39"/>
      <c r="I235" s="39"/>
      <c r="J235" s="39">
        <f t="shared" si="26"/>
        <v>0</v>
      </c>
      <c r="K235" s="8" t="b">
        <f t="shared" si="27"/>
        <v>0</v>
      </c>
    </row>
    <row r="236" spans="1:11">
      <c r="A236" s="39" t="s">
        <v>129</v>
      </c>
      <c r="B236" s="40"/>
      <c r="C236" s="41"/>
      <c r="D236" s="39"/>
      <c r="E236" s="39"/>
      <c r="F236" s="39"/>
      <c r="G236" s="40"/>
      <c r="H236" s="39"/>
      <c r="I236" s="39"/>
      <c r="J236" s="39">
        <f t="shared" si="26"/>
        <v>0</v>
      </c>
      <c r="K236" s="8" t="b">
        <f t="shared" si="27"/>
        <v>1</v>
      </c>
    </row>
    <row r="237" spans="1:11">
      <c r="A237" s="39" t="s">
        <v>129</v>
      </c>
      <c r="B237" s="40"/>
      <c r="C237" s="41"/>
      <c r="D237" s="39"/>
      <c r="E237" s="39"/>
      <c r="F237" s="39"/>
      <c r="G237" s="40"/>
      <c r="H237" s="39"/>
      <c r="I237" s="39"/>
      <c r="J237" s="39">
        <f t="shared" si="26"/>
        <v>0</v>
      </c>
      <c r="K237" s="8" t="b">
        <f t="shared" si="27"/>
        <v>1</v>
      </c>
    </row>
    <row r="238" spans="1:11">
      <c r="A238" s="39" t="s">
        <v>129</v>
      </c>
      <c r="B238" s="40"/>
      <c r="C238" s="41"/>
      <c r="D238" s="39"/>
      <c r="E238" s="39"/>
      <c r="F238" s="39"/>
      <c r="G238" s="40"/>
      <c r="H238" s="39"/>
      <c r="I238" s="39"/>
      <c r="J238" s="39">
        <f t="shared" si="26"/>
        <v>0</v>
      </c>
      <c r="K238" s="8" t="b">
        <f>F237=E238</f>
        <v>1</v>
      </c>
    </row>
    <row r="239" spans="1:11">
      <c r="A239" s="39" t="s">
        <v>129</v>
      </c>
      <c r="B239" s="40"/>
      <c r="C239" s="41"/>
      <c r="D239" s="39"/>
      <c r="E239" s="39"/>
      <c r="F239" s="39"/>
      <c r="G239" s="40"/>
      <c r="H239" s="39"/>
      <c r="I239" s="39"/>
      <c r="J239" s="39">
        <f t="shared" si="26"/>
        <v>0</v>
      </c>
      <c r="K239" s="8" t="b">
        <f t="shared" ref="K239:K270" si="28">F238=E239</f>
        <v>1</v>
      </c>
    </row>
    <row r="240" spans="1:11">
      <c r="A240" s="5" t="s">
        <v>129</v>
      </c>
      <c r="B240" s="6">
        <v>44675</v>
      </c>
      <c r="C240" s="7">
        <v>0.55000000000000004</v>
      </c>
      <c r="D240" s="5">
        <v>10.55</v>
      </c>
      <c r="E240" s="5">
        <v>363.6</v>
      </c>
      <c r="F240" s="5">
        <v>373.9</v>
      </c>
      <c r="G240" s="6">
        <v>44675</v>
      </c>
      <c r="H240" s="5"/>
      <c r="I240" s="5"/>
      <c r="J240" s="5">
        <f t="shared" si="26"/>
        <v>10.299999999999955</v>
      </c>
      <c r="K240" s="8" t="b">
        <f t="shared" si="28"/>
        <v>0</v>
      </c>
    </row>
    <row r="241" spans="1:11">
      <c r="A241" s="5" t="s">
        <v>129</v>
      </c>
      <c r="B241" s="6">
        <v>44676</v>
      </c>
      <c r="C241" s="7">
        <v>0.55000000000000004</v>
      </c>
      <c r="D241" s="5">
        <v>10.55</v>
      </c>
      <c r="E241" s="5">
        <v>373.9</v>
      </c>
      <c r="F241" s="5">
        <v>385.3</v>
      </c>
      <c r="G241" s="6">
        <v>44676</v>
      </c>
      <c r="H241" s="5"/>
      <c r="I241" s="5"/>
      <c r="J241" s="5">
        <f t="shared" si="26"/>
        <v>11.400000000000034</v>
      </c>
      <c r="K241" s="8" t="b">
        <f t="shared" si="28"/>
        <v>1</v>
      </c>
    </row>
    <row r="242" spans="1:11">
      <c r="A242" s="5" t="s">
        <v>129</v>
      </c>
      <c r="B242" s="6">
        <v>44678</v>
      </c>
      <c r="C242" s="7">
        <v>0.55000000000000004</v>
      </c>
      <c r="D242" s="5">
        <v>10.55</v>
      </c>
      <c r="E242" s="5">
        <v>385.3</v>
      </c>
      <c r="F242" s="5">
        <v>394.5</v>
      </c>
      <c r="G242" s="6">
        <v>44678</v>
      </c>
      <c r="H242" s="5"/>
      <c r="I242" s="5"/>
      <c r="J242" s="5">
        <f t="shared" si="26"/>
        <v>9.1999999999999886</v>
      </c>
      <c r="K242" s="8" t="b">
        <f t="shared" si="28"/>
        <v>1</v>
      </c>
    </row>
    <row r="243" spans="1:11">
      <c r="A243" s="5" t="s">
        <v>129</v>
      </c>
      <c r="B243" s="6">
        <v>44679</v>
      </c>
      <c r="C243" s="7">
        <v>0.55000000000000004</v>
      </c>
      <c r="D243" s="5">
        <v>10.55</v>
      </c>
      <c r="E243" s="5">
        <v>394.5</v>
      </c>
      <c r="F243" s="5">
        <v>404.7</v>
      </c>
      <c r="G243" s="6">
        <v>44679</v>
      </c>
      <c r="H243" s="5"/>
      <c r="I243" s="5"/>
      <c r="J243" s="5">
        <f t="shared" si="26"/>
        <v>10.199999999999989</v>
      </c>
      <c r="K243" s="8" t="b">
        <f t="shared" si="28"/>
        <v>1</v>
      </c>
    </row>
    <row r="244" spans="1:11">
      <c r="A244" s="5" t="s">
        <v>129</v>
      </c>
      <c r="B244" s="6">
        <v>44681</v>
      </c>
      <c r="C244" s="7">
        <v>0.55000000000000004</v>
      </c>
      <c r="D244" s="5">
        <v>10.55</v>
      </c>
      <c r="E244" s="5">
        <v>404.7</v>
      </c>
      <c r="F244" s="5">
        <v>415.5</v>
      </c>
      <c r="G244" s="6">
        <v>44711</v>
      </c>
      <c r="H244" s="5"/>
      <c r="I244" s="5"/>
      <c r="J244" s="5">
        <f t="shared" si="26"/>
        <v>10.800000000000011</v>
      </c>
      <c r="K244" s="8" t="b">
        <f t="shared" si="28"/>
        <v>1</v>
      </c>
    </row>
    <row r="245" spans="1:11">
      <c r="A245" s="5" t="s">
        <v>129</v>
      </c>
      <c r="B245" s="6">
        <v>44682</v>
      </c>
      <c r="C245" s="7">
        <v>0.55000000000000004</v>
      </c>
      <c r="D245" s="5">
        <v>10.55</v>
      </c>
      <c r="E245" s="5">
        <v>415.5</v>
      </c>
      <c r="F245" s="5">
        <v>425.1</v>
      </c>
      <c r="G245" s="6">
        <v>44682</v>
      </c>
      <c r="H245" s="5"/>
      <c r="I245" s="5"/>
      <c r="J245" s="5">
        <f t="shared" si="26"/>
        <v>9.6000000000000227</v>
      </c>
      <c r="K245" s="8" t="b">
        <f t="shared" si="28"/>
        <v>1</v>
      </c>
    </row>
    <row r="246" spans="1:11">
      <c r="A246" s="5" t="s">
        <v>129</v>
      </c>
      <c r="B246" s="6">
        <v>44684</v>
      </c>
      <c r="C246" s="7">
        <v>0.55000000000000004</v>
      </c>
      <c r="D246" s="5">
        <v>10.55</v>
      </c>
      <c r="E246" s="5">
        <v>425.1</v>
      </c>
      <c r="F246" s="5">
        <v>435.4</v>
      </c>
      <c r="G246" s="6">
        <v>44684</v>
      </c>
      <c r="H246" s="5"/>
      <c r="I246" s="5"/>
      <c r="J246" s="5">
        <f t="shared" si="26"/>
        <v>10.299999999999955</v>
      </c>
      <c r="K246" s="8" t="b">
        <f t="shared" si="28"/>
        <v>1</v>
      </c>
    </row>
    <row r="247" spans="1:11">
      <c r="A247" s="5" t="s">
        <v>129</v>
      </c>
      <c r="B247" s="6">
        <v>44685</v>
      </c>
      <c r="C247" s="7">
        <v>0.55000000000000004</v>
      </c>
      <c r="D247" s="5">
        <v>10.55</v>
      </c>
      <c r="E247" s="5">
        <v>435.4</v>
      </c>
      <c r="F247" s="5">
        <v>445.6</v>
      </c>
      <c r="G247" s="6">
        <v>44685</v>
      </c>
      <c r="H247" s="5"/>
      <c r="I247" s="5"/>
      <c r="J247" s="5">
        <f t="shared" si="26"/>
        <v>10.200000000000045</v>
      </c>
      <c r="K247" s="8" t="b">
        <f t="shared" si="28"/>
        <v>1</v>
      </c>
    </row>
    <row r="248" spans="1:11">
      <c r="A248" s="5" t="s">
        <v>129</v>
      </c>
      <c r="B248" s="6">
        <v>44687</v>
      </c>
      <c r="C248" s="7">
        <v>0.55000000000000004</v>
      </c>
      <c r="D248" s="5">
        <v>10.55</v>
      </c>
      <c r="E248" s="5">
        <v>445.6</v>
      </c>
      <c r="F248" s="5">
        <v>455.8</v>
      </c>
      <c r="G248" s="6">
        <v>44687</v>
      </c>
      <c r="H248" s="5"/>
      <c r="I248" s="5"/>
      <c r="J248" s="5">
        <f t="shared" si="26"/>
        <v>10.199999999999989</v>
      </c>
      <c r="K248" s="8" t="b">
        <f t="shared" si="28"/>
        <v>1</v>
      </c>
    </row>
    <row r="249" spans="1:11">
      <c r="A249" s="5" t="s">
        <v>129</v>
      </c>
      <c r="B249" s="6">
        <v>44688</v>
      </c>
      <c r="C249" s="7">
        <v>0.55000000000000004</v>
      </c>
      <c r="D249" s="5">
        <v>10.55</v>
      </c>
      <c r="E249" s="5">
        <v>455.8</v>
      </c>
      <c r="F249" s="5">
        <v>465.5</v>
      </c>
      <c r="G249" s="6">
        <v>44688</v>
      </c>
      <c r="H249" s="5"/>
      <c r="I249" s="5"/>
      <c r="J249" s="5">
        <f t="shared" si="26"/>
        <v>9.6999999999999886</v>
      </c>
      <c r="K249" s="8" t="b">
        <f t="shared" si="28"/>
        <v>1</v>
      </c>
    </row>
    <row r="250" spans="1:11">
      <c r="A250" s="5" t="s">
        <v>129</v>
      </c>
      <c r="B250" s="6">
        <v>44691</v>
      </c>
      <c r="C250" s="7">
        <v>0.55000000000000004</v>
      </c>
      <c r="D250" s="5">
        <v>10.55</v>
      </c>
      <c r="E250" s="5">
        <v>465.5</v>
      </c>
      <c r="F250" s="5">
        <v>476.4</v>
      </c>
      <c r="G250" s="6">
        <v>44691</v>
      </c>
      <c r="H250" s="5"/>
      <c r="I250" s="5"/>
      <c r="J250" s="5">
        <f t="shared" si="26"/>
        <v>10.899999999999977</v>
      </c>
      <c r="K250" s="8" t="b">
        <f t="shared" si="28"/>
        <v>1</v>
      </c>
    </row>
    <row r="251" spans="1:11">
      <c r="A251" s="5" t="s">
        <v>129</v>
      </c>
      <c r="B251" s="6">
        <v>44692</v>
      </c>
      <c r="C251" s="7">
        <v>0.55000000000000004</v>
      </c>
      <c r="D251" s="5">
        <v>10.55</v>
      </c>
      <c r="E251" s="5">
        <v>476.4</v>
      </c>
      <c r="F251" s="5">
        <v>486.4</v>
      </c>
      <c r="G251" s="6">
        <v>44692</v>
      </c>
      <c r="H251" s="5"/>
      <c r="I251" s="5"/>
      <c r="J251" s="5">
        <f t="shared" si="26"/>
        <v>10</v>
      </c>
      <c r="K251" s="8" t="b">
        <f t="shared" si="28"/>
        <v>1</v>
      </c>
    </row>
    <row r="252" spans="1:11">
      <c r="A252" s="5" t="s">
        <v>129</v>
      </c>
      <c r="B252" s="6">
        <v>44694</v>
      </c>
      <c r="C252" s="7">
        <v>0.5</v>
      </c>
      <c r="D252" s="5">
        <v>11.6</v>
      </c>
      <c r="E252" s="5">
        <v>486.4</v>
      </c>
      <c r="F252" s="5">
        <v>498</v>
      </c>
      <c r="G252" s="6">
        <v>44694</v>
      </c>
      <c r="H252" s="5"/>
      <c r="I252" s="5"/>
      <c r="J252" s="5">
        <f t="shared" si="26"/>
        <v>11.600000000000023</v>
      </c>
      <c r="K252" s="8" t="b">
        <f t="shared" si="28"/>
        <v>1</v>
      </c>
    </row>
    <row r="253" spans="1:11">
      <c r="A253" s="5" t="s">
        <v>129</v>
      </c>
      <c r="B253" s="6">
        <v>44695</v>
      </c>
      <c r="C253" s="7">
        <v>0.5</v>
      </c>
      <c r="D253" s="5">
        <v>11.6</v>
      </c>
      <c r="E253" s="5">
        <v>498</v>
      </c>
      <c r="F253" s="5">
        <v>508</v>
      </c>
      <c r="G253" s="6">
        <v>44695</v>
      </c>
      <c r="H253" s="5"/>
      <c r="I253" s="5"/>
      <c r="J253" s="5">
        <f t="shared" si="26"/>
        <v>10</v>
      </c>
      <c r="K253" s="8" t="b">
        <f t="shared" si="28"/>
        <v>1</v>
      </c>
    </row>
    <row r="254" spans="1:11">
      <c r="A254" s="5" t="s">
        <v>129</v>
      </c>
      <c r="B254" s="6">
        <v>44696</v>
      </c>
      <c r="C254" s="7">
        <v>0.7</v>
      </c>
      <c r="D254" s="5">
        <v>8.2899999999999991</v>
      </c>
      <c r="E254" s="5">
        <v>0.1</v>
      </c>
      <c r="F254" s="5">
        <v>16.3</v>
      </c>
      <c r="G254" s="6">
        <v>44696</v>
      </c>
      <c r="H254" s="5"/>
      <c r="I254" s="5"/>
      <c r="J254" s="5">
        <f t="shared" si="26"/>
        <v>16.2</v>
      </c>
      <c r="K254" s="8" t="b">
        <f>F253=E254</f>
        <v>0</v>
      </c>
    </row>
    <row r="255" spans="1:11">
      <c r="A255" s="5" t="s">
        <v>129</v>
      </c>
      <c r="B255" s="6">
        <v>44698</v>
      </c>
      <c r="C255" s="7">
        <v>0.7</v>
      </c>
      <c r="D255" s="5">
        <v>8.2899999999999991</v>
      </c>
      <c r="E255" s="5">
        <v>16.3</v>
      </c>
      <c r="F255" s="5">
        <v>32.6</v>
      </c>
      <c r="G255" s="6">
        <v>44729</v>
      </c>
      <c r="H255" s="5"/>
      <c r="I255" s="5"/>
      <c r="J255" s="5">
        <f t="shared" si="26"/>
        <v>16.3</v>
      </c>
      <c r="K255" s="8" t="b">
        <f t="shared" si="28"/>
        <v>1</v>
      </c>
    </row>
    <row r="256" spans="1:11">
      <c r="A256" s="5" t="s">
        <v>129</v>
      </c>
      <c r="B256" s="6">
        <v>44700</v>
      </c>
      <c r="C256" s="7">
        <v>0.7</v>
      </c>
      <c r="D256" s="5">
        <v>8.2899999999999991</v>
      </c>
      <c r="E256" s="5">
        <v>32.6</v>
      </c>
      <c r="F256" s="5">
        <v>48.9</v>
      </c>
      <c r="G256" s="6">
        <v>44700</v>
      </c>
      <c r="H256" s="5"/>
      <c r="I256" s="5"/>
      <c r="J256" s="5">
        <f t="shared" si="26"/>
        <v>16.299999999999997</v>
      </c>
      <c r="K256" s="8" t="b">
        <f t="shared" si="28"/>
        <v>1</v>
      </c>
    </row>
    <row r="257" spans="1:11">
      <c r="A257" s="5" t="s">
        <v>129</v>
      </c>
      <c r="B257" s="6">
        <v>44702</v>
      </c>
      <c r="C257" s="7">
        <v>0.7</v>
      </c>
      <c r="D257" s="5">
        <v>8.2899999999999991</v>
      </c>
      <c r="E257" s="5">
        <v>48.9</v>
      </c>
      <c r="F257" s="5">
        <v>65.2</v>
      </c>
      <c r="G257" s="6">
        <v>44702</v>
      </c>
      <c r="H257" s="5"/>
      <c r="I257" s="5"/>
      <c r="J257" s="5">
        <f t="shared" si="26"/>
        <v>16.300000000000004</v>
      </c>
      <c r="K257" s="8" t="b">
        <f t="shared" si="28"/>
        <v>1</v>
      </c>
    </row>
    <row r="258" spans="1:11">
      <c r="A258" s="5" t="s">
        <v>129</v>
      </c>
      <c r="B258" s="6">
        <v>44705</v>
      </c>
      <c r="C258" s="7">
        <v>0.7</v>
      </c>
      <c r="D258" s="5">
        <v>8.2899999999999991</v>
      </c>
      <c r="E258" s="5">
        <v>65.2</v>
      </c>
      <c r="F258" s="5">
        <v>79.900000000000006</v>
      </c>
      <c r="G258" s="6">
        <v>44705</v>
      </c>
      <c r="H258" s="5"/>
      <c r="I258" s="5"/>
      <c r="J258" s="5">
        <f t="shared" si="26"/>
        <v>14.700000000000003</v>
      </c>
      <c r="K258" s="8" t="b">
        <f t="shared" si="28"/>
        <v>1</v>
      </c>
    </row>
    <row r="259" spans="1:11">
      <c r="A259" s="5" t="s">
        <v>129</v>
      </c>
      <c r="B259" s="6">
        <v>44707</v>
      </c>
      <c r="C259" s="7">
        <v>0.7</v>
      </c>
      <c r="D259" s="5">
        <v>8.2899999999999991</v>
      </c>
      <c r="E259" s="5">
        <v>79.900000000000006</v>
      </c>
      <c r="F259" s="5">
        <v>96.4</v>
      </c>
      <c r="G259" s="6">
        <v>44707</v>
      </c>
      <c r="H259" s="5"/>
      <c r="I259" s="5"/>
      <c r="J259" s="5">
        <f t="shared" si="26"/>
        <v>16.5</v>
      </c>
      <c r="K259" s="8" t="b">
        <f t="shared" si="28"/>
        <v>1</v>
      </c>
    </row>
    <row r="260" spans="1:11">
      <c r="A260" s="5" t="s">
        <v>129</v>
      </c>
      <c r="B260" s="6">
        <v>44709</v>
      </c>
      <c r="C260" s="7">
        <v>0.7</v>
      </c>
      <c r="D260" s="5">
        <v>8.2899999999999991</v>
      </c>
      <c r="E260" s="5">
        <v>96.4</v>
      </c>
      <c r="F260" s="5">
        <v>112.8</v>
      </c>
      <c r="G260" s="6">
        <v>44709</v>
      </c>
      <c r="H260" s="5"/>
      <c r="I260" s="5"/>
      <c r="J260" s="5">
        <f t="shared" si="26"/>
        <v>16.399999999999991</v>
      </c>
      <c r="K260" s="8" t="b">
        <f t="shared" si="28"/>
        <v>1</v>
      </c>
    </row>
    <row r="261" spans="1:11">
      <c r="A261" s="5" t="s">
        <v>129</v>
      </c>
      <c r="B261" s="6">
        <v>44711</v>
      </c>
      <c r="C261" s="7">
        <v>0.7</v>
      </c>
      <c r="D261" s="5">
        <v>8.2899999999999991</v>
      </c>
      <c r="E261" s="5">
        <v>112.8</v>
      </c>
      <c r="F261" s="5">
        <v>129.19999999999999</v>
      </c>
      <c r="G261" s="6">
        <v>44711</v>
      </c>
      <c r="H261" s="5"/>
      <c r="I261" s="5"/>
      <c r="J261" s="5">
        <f t="shared" si="26"/>
        <v>16.399999999999991</v>
      </c>
      <c r="K261" s="8" t="b">
        <f t="shared" si="28"/>
        <v>1</v>
      </c>
    </row>
    <row r="262" spans="1:11">
      <c r="A262" s="5" t="s">
        <v>129</v>
      </c>
      <c r="B262" s="6">
        <v>44713</v>
      </c>
      <c r="C262" s="7">
        <v>0.7</v>
      </c>
      <c r="D262" s="5">
        <v>8.2899999999999991</v>
      </c>
      <c r="E262" s="5">
        <v>129.19999999999999</v>
      </c>
      <c r="F262" s="5">
        <v>145.69999999999999</v>
      </c>
      <c r="G262" s="6">
        <v>44713</v>
      </c>
      <c r="H262" s="5"/>
      <c r="I262" s="5"/>
      <c r="J262" s="5">
        <f t="shared" si="26"/>
        <v>16.5</v>
      </c>
      <c r="K262" s="8" t="b">
        <f t="shared" si="28"/>
        <v>1</v>
      </c>
    </row>
    <row r="263" spans="1:11">
      <c r="A263" s="5" t="s">
        <v>129</v>
      </c>
      <c r="B263" s="6">
        <v>44715</v>
      </c>
      <c r="C263" s="7">
        <v>0.7</v>
      </c>
      <c r="D263" s="5">
        <v>8.2899999999999991</v>
      </c>
      <c r="E263" s="5">
        <v>145.69999999999999</v>
      </c>
      <c r="F263" s="5">
        <v>162.19999999999999</v>
      </c>
      <c r="G263" s="6">
        <v>44715</v>
      </c>
      <c r="H263" s="5"/>
      <c r="I263" s="5"/>
      <c r="J263" s="5">
        <f t="shared" si="26"/>
        <v>16.5</v>
      </c>
      <c r="K263" s="8" t="b">
        <f t="shared" si="28"/>
        <v>1</v>
      </c>
    </row>
    <row r="264" spans="1:11">
      <c r="A264" s="5" t="s">
        <v>129</v>
      </c>
      <c r="B264" s="6">
        <v>44717</v>
      </c>
      <c r="C264" s="7">
        <v>0.7</v>
      </c>
      <c r="D264" s="5">
        <v>8.2899999999999991</v>
      </c>
      <c r="E264" s="5">
        <v>162.19999999999999</v>
      </c>
      <c r="F264" s="5">
        <v>178.6</v>
      </c>
      <c r="G264" s="6">
        <v>44717</v>
      </c>
      <c r="H264" s="5"/>
      <c r="I264" s="5"/>
      <c r="J264" s="5">
        <f t="shared" si="26"/>
        <v>16.400000000000006</v>
      </c>
      <c r="K264" s="8" t="b">
        <f t="shared" si="28"/>
        <v>1</v>
      </c>
    </row>
    <row r="265" spans="1:11">
      <c r="A265" s="5" t="s">
        <v>129</v>
      </c>
      <c r="B265" s="6">
        <v>44719</v>
      </c>
      <c r="C265" s="7">
        <v>0.6</v>
      </c>
      <c r="D265" s="5">
        <v>9.67</v>
      </c>
      <c r="E265" s="5">
        <v>178.6</v>
      </c>
      <c r="F265" s="5">
        <v>197.2</v>
      </c>
      <c r="G265" s="6">
        <v>44719</v>
      </c>
      <c r="H265" s="5"/>
      <c r="I265" s="5"/>
      <c r="J265" s="5">
        <f t="shared" si="26"/>
        <v>18.599999999999994</v>
      </c>
      <c r="K265" s="8" t="b">
        <f t="shared" si="28"/>
        <v>1</v>
      </c>
    </row>
    <row r="266" spans="1:11">
      <c r="A266" s="5" t="s">
        <v>129</v>
      </c>
      <c r="B266" s="6">
        <v>44722</v>
      </c>
      <c r="C266" s="7">
        <v>0.6</v>
      </c>
      <c r="D266" s="5">
        <v>9.67</v>
      </c>
      <c r="E266" s="5">
        <v>197.2</v>
      </c>
      <c r="F266" s="5">
        <v>217</v>
      </c>
      <c r="G266" s="6">
        <v>44723</v>
      </c>
      <c r="H266" s="5"/>
      <c r="I266" s="5"/>
      <c r="J266" s="5">
        <f t="shared" si="26"/>
        <v>19.800000000000011</v>
      </c>
      <c r="K266" s="8" t="b">
        <f t="shared" si="28"/>
        <v>1</v>
      </c>
    </row>
    <row r="267" spans="1:11">
      <c r="A267" s="5" t="s">
        <v>129</v>
      </c>
      <c r="B267" s="6">
        <v>44725</v>
      </c>
      <c r="C267" s="7">
        <v>0.6</v>
      </c>
      <c r="D267" s="5">
        <v>9.67</v>
      </c>
      <c r="E267" s="5">
        <v>217</v>
      </c>
      <c r="F267" s="5">
        <v>236.2</v>
      </c>
      <c r="G267" s="6">
        <v>44725</v>
      </c>
      <c r="H267" s="5"/>
      <c r="I267" s="5"/>
      <c r="J267" s="5">
        <f t="shared" si="26"/>
        <v>19.199999999999989</v>
      </c>
      <c r="K267" s="8" t="b">
        <f t="shared" si="28"/>
        <v>1</v>
      </c>
    </row>
    <row r="268" spans="1:11">
      <c r="A268" s="5" t="s">
        <v>129</v>
      </c>
      <c r="B268" s="6">
        <v>44728</v>
      </c>
      <c r="C268" s="7">
        <v>0.6</v>
      </c>
      <c r="D268" s="5">
        <v>9.67</v>
      </c>
      <c r="E268" s="5">
        <v>236.2</v>
      </c>
      <c r="F268" s="5">
        <v>255.2</v>
      </c>
      <c r="G268" s="6">
        <v>44728</v>
      </c>
      <c r="H268" s="5"/>
      <c r="I268" s="5"/>
      <c r="J268" s="5">
        <f t="shared" si="26"/>
        <v>19</v>
      </c>
      <c r="K268" s="8" t="b">
        <f t="shared" si="28"/>
        <v>1</v>
      </c>
    </row>
    <row r="269" spans="1:11">
      <c r="A269" s="5" t="s">
        <v>129</v>
      </c>
      <c r="B269" s="6"/>
      <c r="C269" s="7"/>
      <c r="D269" s="5"/>
      <c r="E269" s="5"/>
      <c r="F269" s="5"/>
      <c r="G269" s="6"/>
      <c r="H269" s="5"/>
      <c r="I269" s="5"/>
      <c r="J269" s="5">
        <f t="shared" si="26"/>
        <v>0</v>
      </c>
      <c r="K269" s="8" t="b">
        <f t="shared" si="28"/>
        <v>0</v>
      </c>
    </row>
    <row r="270" spans="1:11">
      <c r="A270" s="5" t="s">
        <v>129</v>
      </c>
      <c r="B270" s="6"/>
      <c r="C270" s="7"/>
      <c r="D270" s="5"/>
      <c r="E270" s="5"/>
      <c r="F270" s="5"/>
      <c r="G270" s="6"/>
      <c r="H270" s="5"/>
      <c r="I270" s="5"/>
      <c r="J270" s="5">
        <f t="shared" si="26"/>
        <v>0</v>
      </c>
      <c r="K270" s="8" t="b">
        <f t="shared" si="28"/>
        <v>1</v>
      </c>
    </row>
    <row r="272" spans="1:11" ht="26.25">
      <c r="A272" s="135" t="s">
        <v>128</v>
      </c>
      <c r="B272" s="136"/>
      <c r="C272" s="136"/>
      <c r="D272" s="136"/>
      <c r="E272" s="136"/>
      <c r="F272" s="136"/>
      <c r="G272" s="136"/>
      <c r="H272" s="136"/>
      <c r="I272" s="136"/>
      <c r="J272" s="136"/>
      <c r="K272" s="137"/>
    </row>
    <row r="273" spans="1:11" ht="26.25">
      <c r="A273" s="138" t="s">
        <v>69</v>
      </c>
      <c r="B273" s="139"/>
      <c r="C273" s="139"/>
      <c r="D273" s="139"/>
      <c r="E273" s="139"/>
      <c r="F273" s="139"/>
      <c r="G273" s="139"/>
      <c r="H273" s="139"/>
      <c r="I273" s="139"/>
      <c r="J273" s="139"/>
      <c r="K273" s="140"/>
    </row>
    <row r="274" spans="1:11" ht="15.75" thickBot="1"/>
    <row r="275" spans="1:11" ht="15.75" thickBot="1">
      <c r="A275" s="132" t="s">
        <v>2</v>
      </c>
      <c r="B275" s="133"/>
      <c r="C275" s="133"/>
      <c r="D275" s="133"/>
      <c r="E275" s="133"/>
      <c r="F275" s="133"/>
      <c r="G275" s="133"/>
      <c r="H275" s="133"/>
      <c r="I275" s="133"/>
      <c r="J275" s="133"/>
      <c r="K275" s="134"/>
    </row>
    <row r="277" spans="1:11" ht="19.5" thickBot="1">
      <c r="A277" s="1" t="s">
        <v>3</v>
      </c>
      <c r="B277" s="1"/>
      <c r="C277" s="1"/>
      <c r="D277" s="1"/>
      <c r="E277" s="1"/>
      <c r="F277" s="1"/>
      <c r="G277" s="1"/>
      <c r="H277" s="1"/>
      <c r="I277" s="1"/>
    </row>
    <row r="278" spans="1:11" ht="30.75" thickBot="1">
      <c r="A278" s="2" t="s">
        <v>4</v>
      </c>
      <c r="B278" s="3" t="s">
        <v>5</v>
      </c>
      <c r="C278" s="3" t="s">
        <v>6</v>
      </c>
      <c r="D278" s="3" t="s">
        <v>7</v>
      </c>
      <c r="E278" s="3" t="s">
        <v>8</v>
      </c>
      <c r="F278" s="3" t="s">
        <v>9</v>
      </c>
      <c r="G278" s="3" t="s">
        <v>10</v>
      </c>
      <c r="H278" s="3" t="s">
        <v>21</v>
      </c>
      <c r="I278" s="4" t="s">
        <v>22</v>
      </c>
      <c r="J278" s="4" t="s">
        <v>11</v>
      </c>
      <c r="K278" s="4" t="s">
        <v>12</v>
      </c>
    </row>
    <row r="279" spans="1:11">
      <c r="A279" s="5" t="s">
        <v>129</v>
      </c>
      <c r="B279" s="6">
        <v>44819</v>
      </c>
      <c r="C279" s="7">
        <v>0.5</v>
      </c>
      <c r="D279" s="5">
        <v>11.6</v>
      </c>
      <c r="E279" s="5">
        <v>0</v>
      </c>
      <c r="F279" s="5">
        <v>23</v>
      </c>
      <c r="G279" s="6">
        <v>44819</v>
      </c>
      <c r="H279" s="5"/>
      <c r="I279" s="5"/>
      <c r="J279" s="5">
        <f t="shared" ref="J279:J284" si="29">F279-E279</f>
        <v>23</v>
      </c>
      <c r="K279" s="8" t="b">
        <f>E279=F268</f>
        <v>0</v>
      </c>
    </row>
    <row r="280" spans="1:11">
      <c r="A280" s="5" t="s">
        <v>129</v>
      </c>
      <c r="B280" s="6">
        <v>44820</v>
      </c>
      <c r="C280" s="7">
        <v>0.5</v>
      </c>
      <c r="D280" s="5">
        <v>11.6</v>
      </c>
      <c r="E280" s="5">
        <v>23</v>
      </c>
      <c r="F280" s="5">
        <v>45.3</v>
      </c>
      <c r="G280" s="6">
        <v>44820</v>
      </c>
      <c r="H280" s="5"/>
      <c r="I280" s="5"/>
      <c r="J280" s="5">
        <f t="shared" si="29"/>
        <v>22.299999999999997</v>
      </c>
      <c r="K280" s="8" t="b">
        <f>F279=E280</f>
        <v>1</v>
      </c>
    </row>
    <row r="281" spans="1:11">
      <c r="A281" s="5" t="s">
        <v>129</v>
      </c>
      <c r="B281" s="6">
        <v>44821</v>
      </c>
      <c r="C281" s="7">
        <v>0.5</v>
      </c>
      <c r="D281" s="5">
        <v>11.6</v>
      </c>
      <c r="E281" s="5">
        <v>45.3</v>
      </c>
      <c r="F281" s="5">
        <v>68.900000000000006</v>
      </c>
      <c r="G281" s="6">
        <v>44821</v>
      </c>
      <c r="H281" s="5"/>
      <c r="I281" s="5"/>
      <c r="J281" s="5">
        <f t="shared" si="29"/>
        <v>23.600000000000009</v>
      </c>
      <c r="K281" s="8" t="b">
        <f>F280=E281</f>
        <v>1</v>
      </c>
    </row>
    <row r="282" spans="1:11">
      <c r="A282" s="5" t="s">
        <v>129</v>
      </c>
      <c r="B282" s="6">
        <v>44844</v>
      </c>
      <c r="C282" s="7">
        <v>1</v>
      </c>
      <c r="D282" s="5">
        <v>5.8</v>
      </c>
      <c r="E282" s="5">
        <v>91.8</v>
      </c>
      <c r="F282" s="5">
        <v>103.8</v>
      </c>
      <c r="G282" s="6">
        <v>44844</v>
      </c>
      <c r="H282" s="5"/>
      <c r="I282" s="5"/>
      <c r="J282" s="5">
        <f t="shared" si="29"/>
        <v>12</v>
      </c>
      <c r="K282" s="8" t="b">
        <f>F281=E282</f>
        <v>0</v>
      </c>
    </row>
    <row r="283" spans="1:11">
      <c r="A283" s="5" t="s">
        <v>129</v>
      </c>
      <c r="B283" s="6">
        <v>44845</v>
      </c>
      <c r="C283" s="7">
        <v>1</v>
      </c>
      <c r="D283" s="5">
        <v>5.8</v>
      </c>
      <c r="E283" s="5">
        <v>103.8</v>
      </c>
      <c r="F283" s="5">
        <v>116</v>
      </c>
      <c r="G283" s="6">
        <v>44845</v>
      </c>
      <c r="H283" s="5"/>
      <c r="I283" s="5"/>
      <c r="J283" s="5">
        <f t="shared" si="29"/>
        <v>12.200000000000003</v>
      </c>
      <c r="K283" s="8" t="b">
        <f>F282=E283</f>
        <v>1</v>
      </c>
    </row>
    <row r="284" spans="1:11">
      <c r="A284" s="5" t="s">
        <v>129</v>
      </c>
      <c r="B284" s="6">
        <v>44846</v>
      </c>
      <c r="C284" s="7">
        <v>1</v>
      </c>
      <c r="D284" s="5">
        <v>5.8</v>
      </c>
      <c r="E284" s="5">
        <v>116</v>
      </c>
      <c r="F284" s="5">
        <v>128.1</v>
      </c>
      <c r="G284" s="6">
        <v>44846</v>
      </c>
      <c r="H284" s="5"/>
      <c r="I284" s="5"/>
      <c r="J284" s="5">
        <f t="shared" si="29"/>
        <v>12.099999999999994</v>
      </c>
      <c r="K284" s="8" t="b">
        <f>F283=E284</f>
        <v>1</v>
      </c>
    </row>
    <row r="285" spans="1:11">
      <c r="A285" s="5" t="s">
        <v>129</v>
      </c>
      <c r="B285" s="6">
        <v>44847</v>
      </c>
      <c r="C285" s="7">
        <v>1</v>
      </c>
      <c r="D285" s="5">
        <v>5.8</v>
      </c>
      <c r="E285" s="5">
        <v>128.1</v>
      </c>
      <c r="F285" s="5">
        <v>140.69999999999999</v>
      </c>
      <c r="G285" s="6">
        <v>44847</v>
      </c>
      <c r="H285" s="5"/>
      <c r="I285" s="5"/>
      <c r="J285" s="5">
        <f t="shared" ref="J285:J312" si="30">F285-E285</f>
        <v>12.599999999999994</v>
      </c>
      <c r="K285" s="8" t="b">
        <f t="shared" ref="K285:K312" si="31">F284=E285</f>
        <v>1</v>
      </c>
    </row>
    <row r="286" spans="1:11">
      <c r="A286" s="5" t="s">
        <v>129</v>
      </c>
      <c r="B286" s="6">
        <v>44848</v>
      </c>
      <c r="C286" s="7">
        <v>1</v>
      </c>
      <c r="D286" s="5">
        <v>5.8</v>
      </c>
      <c r="E286" s="5">
        <v>0.1</v>
      </c>
      <c r="F286" s="5">
        <v>12.1</v>
      </c>
      <c r="G286" s="6">
        <v>44848</v>
      </c>
      <c r="H286" s="5"/>
      <c r="I286" s="5"/>
      <c r="J286" s="5">
        <f t="shared" si="30"/>
        <v>12</v>
      </c>
      <c r="K286" s="8" t="b">
        <f t="shared" si="31"/>
        <v>0</v>
      </c>
    </row>
    <row r="287" spans="1:11">
      <c r="A287" s="5" t="s">
        <v>129</v>
      </c>
      <c r="B287" s="6">
        <v>44849</v>
      </c>
      <c r="C287" s="7">
        <v>1</v>
      </c>
      <c r="D287" s="5">
        <v>5.8</v>
      </c>
      <c r="E287" s="5">
        <v>12.1</v>
      </c>
      <c r="F287" s="5">
        <v>23</v>
      </c>
      <c r="G287" s="6">
        <v>44849</v>
      </c>
      <c r="H287" s="5"/>
      <c r="I287" s="5"/>
      <c r="J287" s="5">
        <f t="shared" si="30"/>
        <v>10.9</v>
      </c>
      <c r="K287" s="8" t="b">
        <f t="shared" si="31"/>
        <v>1</v>
      </c>
    </row>
    <row r="288" spans="1:11">
      <c r="A288" s="5" t="s">
        <v>129</v>
      </c>
      <c r="B288" s="6">
        <v>44850</v>
      </c>
      <c r="C288" s="7">
        <v>1</v>
      </c>
      <c r="D288" s="5">
        <v>5.8</v>
      </c>
      <c r="E288" s="5">
        <v>23</v>
      </c>
      <c r="F288" s="5">
        <v>34.9</v>
      </c>
      <c r="G288" s="6">
        <v>44850</v>
      </c>
      <c r="H288" s="5"/>
      <c r="I288" s="5"/>
      <c r="J288" s="5">
        <f t="shared" si="30"/>
        <v>11.899999999999999</v>
      </c>
      <c r="K288" s="8" t="b">
        <f t="shared" si="31"/>
        <v>1</v>
      </c>
    </row>
    <row r="289" spans="1:11">
      <c r="A289" s="5" t="s">
        <v>129</v>
      </c>
      <c r="B289" s="6">
        <v>44851</v>
      </c>
      <c r="C289" s="7">
        <v>1</v>
      </c>
      <c r="D289" s="5">
        <v>5.8</v>
      </c>
      <c r="E289" s="5">
        <v>34.9</v>
      </c>
      <c r="F289" s="5">
        <v>47.2</v>
      </c>
      <c r="G289" s="6">
        <v>44851</v>
      </c>
      <c r="H289" s="5"/>
      <c r="I289" s="5"/>
      <c r="J289" s="5">
        <f t="shared" si="30"/>
        <v>12.300000000000004</v>
      </c>
      <c r="K289" s="8" t="b">
        <f t="shared" si="31"/>
        <v>1</v>
      </c>
    </row>
    <row r="290" spans="1:11">
      <c r="A290" s="5" t="s">
        <v>129</v>
      </c>
      <c r="B290" s="6">
        <v>44852</v>
      </c>
      <c r="C290" s="7">
        <v>1</v>
      </c>
      <c r="D290" s="5">
        <v>5.8</v>
      </c>
      <c r="E290" s="5">
        <v>47.2</v>
      </c>
      <c r="F290" s="5">
        <v>59.2</v>
      </c>
      <c r="G290" s="6">
        <v>44853</v>
      </c>
      <c r="H290" s="5"/>
      <c r="I290" s="5"/>
      <c r="J290" s="5">
        <f t="shared" si="30"/>
        <v>12</v>
      </c>
      <c r="K290" s="8" t="b">
        <f t="shared" si="31"/>
        <v>1</v>
      </c>
    </row>
    <row r="291" spans="1:11">
      <c r="A291" s="5" t="s">
        <v>129</v>
      </c>
      <c r="B291" s="6">
        <v>44854</v>
      </c>
      <c r="C291" s="7">
        <v>1</v>
      </c>
      <c r="D291" s="5">
        <v>5.8</v>
      </c>
      <c r="E291" s="5">
        <v>59.2</v>
      </c>
      <c r="F291" s="5">
        <v>76.2</v>
      </c>
      <c r="G291" s="6">
        <v>44854</v>
      </c>
      <c r="H291" s="5"/>
      <c r="I291" s="5"/>
      <c r="J291" s="5">
        <f t="shared" si="30"/>
        <v>17</v>
      </c>
      <c r="K291" s="8" t="b">
        <f t="shared" si="31"/>
        <v>1</v>
      </c>
    </row>
    <row r="292" spans="1:11">
      <c r="A292" s="5" t="s">
        <v>129</v>
      </c>
      <c r="B292" s="6">
        <v>44856</v>
      </c>
      <c r="C292" s="7">
        <v>0.7</v>
      </c>
      <c r="D292" s="5">
        <v>8.2899999999999991</v>
      </c>
      <c r="E292" s="5">
        <v>76.2</v>
      </c>
      <c r="F292" s="5">
        <v>93.1</v>
      </c>
      <c r="G292" s="6">
        <v>44856</v>
      </c>
      <c r="H292" s="5"/>
      <c r="I292" s="5"/>
      <c r="J292" s="5">
        <f t="shared" si="30"/>
        <v>16.899999999999991</v>
      </c>
      <c r="K292" s="8" t="b">
        <f t="shared" si="31"/>
        <v>1</v>
      </c>
    </row>
    <row r="293" spans="1:11">
      <c r="A293" s="5" t="s">
        <v>129</v>
      </c>
      <c r="B293" s="6">
        <v>44860</v>
      </c>
      <c r="C293" s="7">
        <v>0.7</v>
      </c>
      <c r="D293" s="5">
        <v>8.2899999999999991</v>
      </c>
      <c r="E293" s="5">
        <v>93.1</v>
      </c>
      <c r="F293" s="5">
        <v>110.1</v>
      </c>
      <c r="G293" s="6">
        <v>44860</v>
      </c>
      <c r="H293" s="5"/>
      <c r="I293" s="5"/>
      <c r="J293" s="5">
        <f t="shared" si="30"/>
        <v>17</v>
      </c>
      <c r="K293" s="8" t="b">
        <f t="shared" si="31"/>
        <v>1</v>
      </c>
    </row>
    <row r="294" spans="1:11">
      <c r="A294" s="5" t="s">
        <v>129</v>
      </c>
      <c r="B294" s="6">
        <v>44862</v>
      </c>
      <c r="C294" s="7">
        <v>0.7</v>
      </c>
      <c r="D294" s="5">
        <v>8.2899999999999991</v>
      </c>
      <c r="E294" s="5">
        <v>110.1</v>
      </c>
      <c r="F294" s="5">
        <v>127.1</v>
      </c>
      <c r="G294" s="6">
        <v>44862</v>
      </c>
      <c r="H294" s="5"/>
      <c r="I294" s="5"/>
      <c r="J294" s="5">
        <f t="shared" si="30"/>
        <v>17</v>
      </c>
      <c r="K294" s="8" t="b">
        <f t="shared" si="31"/>
        <v>1</v>
      </c>
    </row>
    <row r="295" spans="1:11">
      <c r="A295" s="5" t="s">
        <v>129</v>
      </c>
      <c r="B295" s="6">
        <v>44863</v>
      </c>
      <c r="C295" s="7">
        <v>1</v>
      </c>
      <c r="D295" s="5">
        <v>8.2899999999999991</v>
      </c>
      <c r="E295" s="5">
        <v>127.1</v>
      </c>
      <c r="F295" s="5">
        <v>140</v>
      </c>
      <c r="G295" s="6">
        <v>44863</v>
      </c>
      <c r="H295" s="5"/>
      <c r="I295" s="5"/>
      <c r="J295" s="5">
        <f t="shared" si="30"/>
        <v>12.900000000000006</v>
      </c>
      <c r="K295" s="8" t="b">
        <f t="shared" si="31"/>
        <v>1</v>
      </c>
    </row>
    <row r="296" spans="1:11">
      <c r="A296" s="5" t="s">
        <v>129</v>
      </c>
      <c r="B296" s="6">
        <v>44864</v>
      </c>
      <c r="C296" s="7">
        <v>0.7</v>
      </c>
      <c r="D296" s="5">
        <v>8.2899999999999991</v>
      </c>
      <c r="E296" s="5">
        <v>144</v>
      </c>
      <c r="F296" s="5">
        <v>160</v>
      </c>
      <c r="G296" s="6">
        <v>44864</v>
      </c>
      <c r="H296" s="5"/>
      <c r="I296" s="5"/>
      <c r="J296" s="5">
        <f t="shared" si="30"/>
        <v>16</v>
      </c>
      <c r="K296" s="8" t="b">
        <f t="shared" si="31"/>
        <v>0</v>
      </c>
    </row>
    <row r="297" spans="1:11">
      <c r="A297" s="5" t="s">
        <v>129</v>
      </c>
      <c r="B297" s="6">
        <v>44871</v>
      </c>
      <c r="C297" s="7">
        <v>0.8</v>
      </c>
      <c r="D297" s="5">
        <v>7.34</v>
      </c>
      <c r="E297" s="5">
        <v>0.1</v>
      </c>
      <c r="F297" s="5">
        <v>14.6</v>
      </c>
      <c r="G297" s="6">
        <v>44871</v>
      </c>
      <c r="H297" s="5"/>
      <c r="I297" s="5"/>
      <c r="J297" s="5">
        <f t="shared" si="30"/>
        <v>14.5</v>
      </c>
      <c r="K297" s="8" t="b">
        <f t="shared" si="31"/>
        <v>0</v>
      </c>
    </row>
    <row r="298" spans="1:11">
      <c r="A298" s="5" t="s">
        <v>129</v>
      </c>
      <c r="B298" s="6">
        <v>44873</v>
      </c>
      <c r="C298" s="7">
        <v>0.7</v>
      </c>
      <c r="D298" s="5">
        <v>8.2899999999999991</v>
      </c>
      <c r="E298" s="5">
        <v>14.6</v>
      </c>
      <c r="F298" s="5">
        <v>31</v>
      </c>
      <c r="G298" s="6">
        <v>44873</v>
      </c>
      <c r="H298" s="5"/>
      <c r="I298" s="5"/>
      <c r="J298" s="5">
        <f t="shared" si="30"/>
        <v>16.399999999999999</v>
      </c>
      <c r="K298" s="8" t="b">
        <f t="shared" si="31"/>
        <v>1</v>
      </c>
    </row>
    <row r="299" spans="1:11">
      <c r="A299" s="5" t="s">
        <v>129</v>
      </c>
      <c r="B299" s="6">
        <v>44875</v>
      </c>
      <c r="C299" s="7">
        <v>0.7</v>
      </c>
      <c r="D299" s="5">
        <v>8.2899999999999991</v>
      </c>
      <c r="E299" s="5">
        <v>31</v>
      </c>
      <c r="F299" s="5">
        <v>47.4</v>
      </c>
      <c r="G299" s="6">
        <v>44875</v>
      </c>
      <c r="H299" s="5"/>
      <c r="I299" s="5"/>
      <c r="J299" s="5">
        <f t="shared" si="30"/>
        <v>16.399999999999999</v>
      </c>
      <c r="K299" s="8" t="b">
        <f t="shared" si="31"/>
        <v>1</v>
      </c>
    </row>
    <row r="300" spans="1:11">
      <c r="A300" s="5" t="s">
        <v>129</v>
      </c>
      <c r="B300" s="6">
        <v>44877</v>
      </c>
      <c r="C300" s="7">
        <v>0.7</v>
      </c>
      <c r="D300" s="5">
        <v>8.2899999999999991</v>
      </c>
      <c r="E300" s="5">
        <v>47.4</v>
      </c>
      <c r="F300" s="5">
        <v>64.099999999999994</v>
      </c>
      <c r="G300" s="6">
        <v>44877</v>
      </c>
      <c r="H300" s="5"/>
      <c r="I300" s="5"/>
      <c r="J300" s="5">
        <f t="shared" si="30"/>
        <v>16.699999999999996</v>
      </c>
      <c r="K300" s="8" t="b">
        <f t="shared" si="31"/>
        <v>1</v>
      </c>
    </row>
    <row r="301" spans="1:11">
      <c r="A301" s="5" t="s">
        <v>129</v>
      </c>
      <c r="B301" s="6">
        <v>44879</v>
      </c>
      <c r="C301" s="7">
        <v>0.55000000000000004</v>
      </c>
      <c r="D301" s="5">
        <v>10.55</v>
      </c>
      <c r="E301" s="5">
        <v>64.099999999999994</v>
      </c>
      <c r="F301" s="5">
        <v>85.3</v>
      </c>
      <c r="G301" s="6">
        <v>44879</v>
      </c>
      <c r="H301" s="5"/>
      <c r="I301" s="5"/>
      <c r="J301" s="5">
        <f t="shared" si="30"/>
        <v>21.200000000000003</v>
      </c>
      <c r="K301" s="8" t="b">
        <f t="shared" si="31"/>
        <v>1</v>
      </c>
    </row>
    <row r="302" spans="1:11">
      <c r="A302" s="25" t="s">
        <v>129</v>
      </c>
      <c r="B302" s="26">
        <v>44882</v>
      </c>
      <c r="C302" s="27">
        <v>1</v>
      </c>
      <c r="D302" s="25">
        <v>5.8</v>
      </c>
      <c r="E302" s="25">
        <v>85.3</v>
      </c>
      <c r="F302" s="25">
        <v>95.4</v>
      </c>
      <c r="G302" s="26">
        <v>44882</v>
      </c>
      <c r="H302" s="25"/>
      <c r="I302" s="25"/>
      <c r="J302" s="25">
        <f t="shared" si="30"/>
        <v>10.100000000000009</v>
      </c>
      <c r="K302" s="28" t="b">
        <f t="shared" si="31"/>
        <v>1</v>
      </c>
    </row>
    <row r="303" spans="1:11">
      <c r="A303" s="5" t="s">
        <v>129</v>
      </c>
      <c r="B303" s="6">
        <v>44928</v>
      </c>
      <c r="C303" s="7">
        <v>0.7</v>
      </c>
      <c r="D303" s="5">
        <v>8.2899999999999991</v>
      </c>
      <c r="E303" s="5">
        <v>107</v>
      </c>
      <c r="F303" s="5">
        <v>124.5</v>
      </c>
      <c r="G303" s="6">
        <v>44929</v>
      </c>
      <c r="H303" s="5"/>
      <c r="I303" s="5"/>
      <c r="J303" s="5">
        <f t="shared" si="30"/>
        <v>17.5</v>
      </c>
      <c r="K303" s="8" t="b">
        <f t="shared" si="31"/>
        <v>0</v>
      </c>
    </row>
    <row r="304" spans="1:11">
      <c r="A304" s="5" t="s">
        <v>129</v>
      </c>
      <c r="B304" s="6">
        <v>44946</v>
      </c>
      <c r="C304" s="7">
        <v>1</v>
      </c>
      <c r="D304" s="5">
        <v>8.2899999999999991</v>
      </c>
      <c r="E304" s="5">
        <v>124.5</v>
      </c>
      <c r="F304" s="5">
        <v>140.9</v>
      </c>
      <c r="G304" s="6">
        <v>44946</v>
      </c>
      <c r="H304" s="5"/>
      <c r="I304" s="5"/>
      <c r="J304" s="5">
        <f t="shared" si="30"/>
        <v>16.400000000000006</v>
      </c>
      <c r="K304" s="8" t="b">
        <f t="shared" si="31"/>
        <v>1</v>
      </c>
    </row>
    <row r="305" spans="1:11">
      <c r="A305" s="5" t="s">
        <v>129</v>
      </c>
      <c r="H305" s="5"/>
      <c r="I305" s="5"/>
      <c r="J305" s="5">
        <f>F321-E321</f>
        <v>18.600000000000001</v>
      </c>
      <c r="K305" s="8" t="b">
        <f>F304=E321</f>
        <v>0</v>
      </c>
    </row>
    <row r="306" spans="1:11">
      <c r="A306" s="5" t="s">
        <v>129</v>
      </c>
      <c r="B306" s="6"/>
      <c r="C306" s="7"/>
      <c r="D306" s="5"/>
      <c r="E306" s="5"/>
      <c r="F306" s="5"/>
      <c r="G306" s="6"/>
      <c r="H306" s="5"/>
      <c r="I306" s="5"/>
      <c r="J306" s="5">
        <f t="shared" si="30"/>
        <v>0</v>
      </c>
      <c r="K306" s="8" t="b">
        <f>F321=E306</f>
        <v>0</v>
      </c>
    </row>
    <row r="307" spans="1:11">
      <c r="A307" s="5" t="s">
        <v>129</v>
      </c>
      <c r="B307" s="6"/>
      <c r="C307" s="7"/>
      <c r="D307" s="5"/>
      <c r="E307" s="5"/>
      <c r="F307" s="5"/>
      <c r="G307" s="6"/>
      <c r="H307" s="5"/>
      <c r="I307" s="5"/>
      <c r="J307" s="5">
        <f t="shared" si="30"/>
        <v>0</v>
      </c>
      <c r="K307" s="8" t="b">
        <f t="shared" si="31"/>
        <v>1</v>
      </c>
    </row>
    <row r="308" spans="1:11">
      <c r="A308" s="5" t="s">
        <v>129</v>
      </c>
      <c r="B308" s="6"/>
      <c r="C308" s="7"/>
      <c r="D308" s="5"/>
      <c r="E308" s="5"/>
      <c r="F308" s="5"/>
      <c r="G308" s="6"/>
      <c r="H308" s="5"/>
      <c r="I308" s="5"/>
      <c r="J308" s="5">
        <f t="shared" si="30"/>
        <v>0</v>
      </c>
      <c r="K308" s="8" t="b">
        <f t="shared" si="31"/>
        <v>1</v>
      </c>
    </row>
    <row r="309" spans="1:11">
      <c r="A309" s="5" t="s">
        <v>129</v>
      </c>
      <c r="B309" s="6"/>
      <c r="C309" s="7"/>
      <c r="D309" s="5"/>
      <c r="E309" s="5"/>
      <c r="F309" s="5"/>
      <c r="G309" s="6"/>
      <c r="H309" s="5"/>
      <c r="I309" s="5"/>
      <c r="J309" s="5">
        <f t="shared" si="30"/>
        <v>0</v>
      </c>
      <c r="K309" s="8" t="b">
        <f t="shared" si="31"/>
        <v>1</v>
      </c>
    </row>
    <row r="310" spans="1:11">
      <c r="A310" s="5" t="s">
        <v>129</v>
      </c>
      <c r="B310" s="6"/>
      <c r="C310" s="7"/>
      <c r="D310" s="5"/>
      <c r="E310" s="5"/>
      <c r="F310" s="5"/>
      <c r="G310" s="6"/>
      <c r="H310" s="5"/>
      <c r="I310" s="5"/>
      <c r="J310" s="5">
        <f t="shared" si="30"/>
        <v>0</v>
      </c>
      <c r="K310" s="8" t="b">
        <f t="shared" si="31"/>
        <v>1</v>
      </c>
    </row>
    <row r="311" spans="1:11">
      <c r="A311" s="5" t="s">
        <v>129</v>
      </c>
      <c r="B311" s="6"/>
      <c r="C311" s="7"/>
      <c r="D311" s="5"/>
      <c r="E311" s="5"/>
      <c r="F311" s="5"/>
      <c r="G311" s="6"/>
      <c r="H311" s="5"/>
      <c r="I311" s="5"/>
      <c r="J311" s="5">
        <f t="shared" si="30"/>
        <v>0</v>
      </c>
      <c r="K311" s="8" t="b">
        <f t="shared" si="31"/>
        <v>1</v>
      </c>
    </row>
    <row r="312" spans="1:11">
      <c r="A312" s="5" t="s">
        <v>129</v>
      </c>
      <c r="B312" s="6"/>
      <c r="C312" s="7"/>
      <c r="D312" s="5"/>
      <c r="E312" s="5"/>
      <c r="F312" s="5"/>
      <c r="G312" s="6"/>
      <c r="H312" s="5"/>
      <c r="I312" s="5"/>
      <c r="J312" s="5">
        <f t="shared" si="30"/>
        <v>0</v>
      </c>
      <c r="K312" s="8" t="b">
        <f t="shared" si="31"/>
        <v>1</v>
      </c>
    </row>
    <row r="314" spans="1:11" ht="26.25">
      <c r="A314" s="190" t="s">
        <v>128</v>
      </c>
      <c r="B314" s="191"/>
      <c r="C314" s="191"/>
      <c r="D314" s="191"/>
      <c r="E314" s="191"/>
      <c r="F314" s="191"/>
      <c r="G314" s="191"/>
      <c r="H314" s="191"/>
      <c r="I314" s="191"/>
      <c r="J314" s="191"/>
      <c r="K314" s="192"/>
    </row>
    <row r="315" spans="1:11" ht="26.25">
      <c r="A315" s="181" t="s">
        <v>135</v>
      </c>
      <c r="B315" s="184"/>
      <c r="C315" s="184"/>
      <c r="D315" s="184"/>
      <c r="E315" s="184"/>
      <c r="F315" s="184"/>
      <c r="G315" s="184"/>
      <c r="H315" s="184"/>
      <c r="I315" s="184"/>
      <c r="J315" s="184"/>
      <c r="K315" s="189"/>
    </row>
    <row r="316" spans="1:11" ht="15.75" thickBot="1"/>
    <row r="317" spans="1:11" ht="15.75" thickBot="1">
      <c r="A317" s="132" t="s">
        <v>2</v>
      </c>
      <c r="B317" s="133"/>
      <c r="C317" s="133"/>
      <c r="D317" s="133"/>
      <c r="E317" s="133"/>
      <c r="F317" s="133"/>
      <c r="G317" s="133"/>
      <c r="H317" s="133"/>
      <c r="I317" s="133"/>
      <c r="J317" s="133"/>
      <c r="K317" s="134"/>
    </row>
    <row r="319" spans="1:11" ht="19.5" thickBot="1">
      <c r="A319" s="1" t="s">
        <v>3</v>
      </c>
      <c r="B319" s="1"/>
      <c r="C319" s="1"/>
      <c r="D319" s="1"/>
      <c r="E319" s="1"/>
      <c r="F319" s="1"/>
      <c r="G319" s="1"/>
      <c r="H319" s="1"/>
      <c r="I319" s="1"/>
    </row>
    <row r="320" spans="1:11" ht="30.75" thickBot="1">
      <c r="A320" s="2" t="s">
        <v>4</v>
      </c>
      <c r="B320" s="3" t="s">
        <v>5</v>
      </c>
      <c r="C320" s="3" t="s">
        <v>6</v>
      </c>
      <c r="D320" s="3" t="s">
        <v>7</v>
      </c>
      <c r="E320" s="3" t="s">
        <v>8</v>
      </c>
      <c r="F320" s="3" t="s">
        <v>9</v>
      </c>
      <c r="G320" s="3" t="s">
        <v>10</v>
      </c>
      <c r="H320" s="3" t="s">
        <v>21</v>
      </c>
      <c r="I320" s="4" t="s">
        <v>22</v>
      </c>
      <c r="J320" s="4" t="s">
        <v>11</v>
      </c>
      <c r="K320" s="4" t="s">
        <v>12</v>
      </c>
    </row>
    <row r="321" spans="1:11">
      <c r="A321" s="5" t="s">
        <v>129</v>
      </c>
      <c r="B321" s="6">
        <v>44959</v>
      </c>
      <c r="C321" s="7">
        <v>0.7</v>
      </c>
      <c r="D321" s="5">
        <v>8.2899999999999991</v>
      </c>
      <c r="E321" s="5">
        <v>0</v>
      </c>
      <c r="F321" s="5">
        <v>18.600000000000001</v>
      </c>
      <c r="G321" s="6">
        <v>44959</v>
      </c>
      <c r="H321" s="5"/>
      <c r="I321" s="5"/>
      <c r="J321" s="5">
        <f t="shared" ref="J321:J330" si="32">F321-E321</f>
        <v>18.600000000000001</v>
      </c>
      <c r="K321" s="8" t="b">
        <f>E322=F310</f>
        <v>0</v>
      </c>
    </row>
    <row r="322" spans="1:11">
      <c r="A322" s="5" t="s">
        <v>129</v>
      </c>
      <c r="B322" s="6">
        <v>44960</v>
      </c>
      <c r="C322" s="7">
        <v>1</v>
      </c>
      <c r="D322" s="5">
        <v>5.8</v>
      </c>
      <c r="E322" s="5">
        <v>18.600000000000001</v>
      </c>
      <c r="F322" s="5">
        <v>30.2</v>
      </c>
      <c r="G322" s="6">
        <v>44960</v>
      </c>
      <c r="H322" s="5"/>
      <c r="I322" s="5"/>
      <c r="J322" s="5">
        <f t="shared" si="32"/>
        <v>11.599999999999998</v>
      </c>
      <c r="K322" s="8" t="b">
        <f>E322=F321</f>
        <v>1</v>
      </c>
    </row>
    <row r="323" spans="1:11">
      <c r="A323" s="5" t="s">
        <v>129</v>
      </c>
      <c r="B323" s="6">
        <v>44961</v>
      </c>
      <c r="C323" s="7">
        <v>0.7</v>
      </c>
      <c r="D323" s="5">
        <v>8.2899999999999991</v>
      </c>
      <c r="E323" s="5">
        <v>30.2</v>
      </c>
      <c r="F323" s="5">
        <v>46.7</v>
      </c>
      <c r="G323" s="6">
        <v>44961</v>
      </c>
      <c r="H323" s="5"/>
      <c r="I323" s="5"/>
      <c r="J323" s="5">
        <f t="shared" si="32"/>
        <v>16.500000000000004</v>
      </c>
      <c r="K323" s="8" t="b">
        <f t="shared" ref="K323:K330" si="33">E323=F322</f>
        <v>1</v>
      </c>
    </row>
    <row r="324" spans="1:11">
      <c r="A324" s="5" t="s">
        <v>129</v>
      </c>
      <c r="B324" s="6">
        <v>44962</v>
      </c>
      <c r="C324" s="7">
        <v>0.7</v>
      </c>
      <c r="D324" s="5">
        <v>8.2899999999999991</v>
      </c>
      <c r="E324" s="5">
        <v>46.7</v>
      </c>
      <c r="F324" s="5">
        <v>63.1</v>
      </c>
      <c r="G324" s="6">
        <v>44962</v>
      </c>
      <c r="H324" s="5"/>
      <c r="I324" s="5"/>
      <c r="J324" s="5">
        <f t="shared" si="32"/>
        <v>16.399999999999999</v>
      </c>
      <c r="K324" s="8" t="b">
        <f t="shared" si="33"/>
        <v>1</v>
      </c>
    </row>
    <row r="325" spans="1:11">
      <c r="A325" s="5" t="s">
        <v>129</v>
      </c>
      <c r="B325" s="6" t="s">
        <v>136</v>
      </c>
      <c r="C325" s="7">
        <v>0.7</v>
      </c>
      <c r="D325" s="5">
        <v>8.2899999999999991</v>
      </c>
      <c r="E325" s="5">
        <v>63.1</v>
      </c>
      <c r="F325" s="5">
        <v>79.400000000000006</v>
      </c>
      <c r="G325" s="6">
        <v>44964</v>
      </c>
      <c r="H325" s="5"/>
      <c r="I325" s="5"/>
      <c r="J325" s="5">
        <f t="shared" si="32"/>
        <v>16.300000000000004</v>
      </c>
      <c r="K325" s="8" t="b">
        <f t="shared" si="33"/>
        <v>1</v>
      </c>
    </row>
    <row r="326" spans="1:11">
      <c r="A326" s="5" t="s">
        <v>129</v>
      </c>
      <c r="B326" s="6">
        <v>44965</v>
      </c>
      <c r="C326" s="7">
        <v>0.7</v>
      </c>
      <c r="D326" s="5">
        <v>8.2899999999999991</v>
      </c>
      <c r="E326" s="5">
        <v>79.400000000000006</v>
      </c>
      <c r="F326" s="5">
        <v>91.4</v>
      </c>
      <c r="G326" s="6">
        <v>44965</v>
      </c>
      <c r="H326" s="5"/>
      <c r="I326" s="5"/>
      <c r="J326" s="5">
        <f t="shared" si="32"/>
        <v>12</v>
      </c>
      <c r="K326" s="8" t="b">
        <f t="shared" si="33"/>
        <v>1</v>
      </c>
    </row>
    <row r="327" spans="1:11">
      <c r="A327" s="5" t="s">
        <v>129</v>
      </c>
      <c r="B327" s="6">
        <v>44967</v>
      </c>
      <c r="C327" s="7">
        <v>0.8</v>
      </c>
      <c r="D327" s="5">
        <v>7.34</v>
      </c>
      <c r="E327" s="5">
        <v>91.4</v>
      </c>
      <c r="F327" s="5">
        <v>106.3</v>
      </c>
      <c r="G327" s="6">
        <v>44967</v>
      </c>
      <c r="H327" s="5"/>
      <c r="I327" s="5"/>
      <c r="J327" s="5">
        <f t="shared" si="32"/>
        <v>14.899999999999991</v>
      </c>
      <c r="K327" s="8" t="b">
        <f t="shared" si="33"/>
        <v>1</v>
      </c>
    </row>
    <row r="328" spans="1:11">
      <c r="A328" s="5" t="s">
        <v>129</v>
      </c>
      <c r="B328" s="6">
        <v>44970</v>
      </c>
      <c r="C328" s="7">
        <v>0.8</v>
      </c>
      <c r="D328" s="5">
        <v>7.34</v>
      </c>
      <c r="E328" s="5">
        <v>106.3</v>
      </c>
      <c r="F328" s="5">
        <v>120.6</v>
      </c>
      <c r="G328" s="6">
        <v>44970</v>
      </c>
      <c r="H328" s="5"/>
      <c r="I328" s="5"/>
      <c r="J328" s="5">
        <f t="shared" si="32"/>
        <v>14.299999999999997</v>
      </c>
      <c r="K328" s="8" t="b">
        <f t="shared" si="33"/>
        <v>1</v>
      </c>
    </row>
    <row r="329" spans="1:11">
      <c r="A329" s="5" t="s">
        <v>129</v>
      </c>
      <c r="B329" s="6">
        <v>44973</v>
      </c>
      <c r="C329" s="7">
        <v>0.8</v>
      </c>
      <c r="D329" s="5">
        <v>7.34</v>
      </c>
      <c r="E329" s="5">
        <v>120.6</v>
      </c>
      <c r="F329" s="5">
        <v>135.6</v>
      </c>
      <c r="G329" s="6">
        <v>44973</v>
      </c>
      <c r="H329" s="5"/>
      <c r="I329" s="5"/>
      <c r="J329" s="5">
        <f t="shared" si="32"/>
        <v>15</v>
      </c>
      <c r="K329" s="8" t="b">
        <f t="shared" si="33"/>
        <v>1</v>
      </c>
    </row>
    <row r="330" spans="1:11">
      <c r="A330" s="5" t="s">
        <v>129</v>
      </c>
      <c r="B330" s="6">
        <v>44976</v>
      </c>
      <c r="C330" s="7">
        <v>0.8</v>
      </c>
      <c r="D330" s="5">
        <v>7.34</v>
      </c>
      <c r="E330" s="5">
        <v>135.6</v>
      </c>
      <c r="F330" s="5">
        <v>149.9</v>
      </c>
      <c r="G330" s="6">
        <v>44976</v>
      </c>
      <c r="H330" s="5"/>
      <c r="I330" s="5"/>
      <c r="J330" s="5">
        <f t="shared" si="32"/>
        <v>14.300000000000011</v>
      </c>
      <c r="K330" s="8" t="b">
        <f t="shared" si="33"/>
        <v>1</v>
      </c>
    </row>
    <row r="331" spans="1:11">
      <c r="A331" s="5" t="s">
        <v>129</v>
      </c>
      <c r="B331" s="6">
        <v>44979</v>
      </c>
      <c r="C331" s="7">
        <v>0.8</v>
      </c>
      <c r="D331" s="5">
        <v>7.34</v>
      </c>
      <c r="E331" s="5">
        <v>149.9</v>
      </c>
      <c r="F331" s="5">
        <v>164.3</v>
      </c>
      <c r="G331" s="6">
        <v>44979</v>
      </c>
      <c r="H331" s="5"/>
      <c r="I331" s="5"/>
      <c r="J331" s="5">
        <f t="shared" ref="J331:J338" si="34">F331-E331</f>
        <v>14.400000000000006</v>
      </c>
      <c r="K331" s="8" t="b">
        <f t="shared" ref="K331:K338" si="35">E331=F330</f>
        <v>1</v>
      </c>
    </row>
    <row r="332" spans="1:11">
      <c r="A332" s="5" t="s">
        <v>129</v>
      </c>
      <c r="B332" s="6">
        <v>44987</v>
      </c>
      <c r="C332" s="7">
        <v>0.7</v>
      </c>
      <c r="D332" s="5">
        <v>8.2899999999999991</v>
      </c>
      <c r="E332" s="5">
        <v>164.3</v>
      </c>
      <c r="F332" s="5">
        <v>180.8</v>
      </c>
      <c r="G332" s="6">
        <v>44987</v>
      </c>
      <c r="H332" s="5"/>
      <c r="I332" s="5"/>
      <c r="J332" s="5">
        <f t="shared" si="34"/>
        <v>16.5</v>
      </c>
      <c r="K332" s="8" t="b">
        <f t="shared" si="35"/>
        <v>1</v>
      </c>
    </row>
    <row r="333" spans="1:11">
      <c r="A333" s="5" t="s">
        <v>129</v>
      </c>
      <c r="B333" s="6">
        <v>44988</v>
      </c>
      <c r="C333" s="7">
        <v>0.6</v>
      </c>
      <c r="D333" s="5">
        <v>9.67</v>
      </c>
      <c r="E333" s="5">
        <v>180.8</v>
      </c>
      <c r="F333" s="5">
        <v>199.9</v>
      </c>
      <c r="G333" s="6">
        <v>44988</v>
      </c>
      <c r="H333" s="5"/>
      <c r="I333" s="5"/>
      <c r="J333" s="5">
        <f t="shared" si="34"/>
        <v>19.099999999999994</v>
      </c>
      <c r="K333" s="8" t="b">
        <f t="shared" si="35"/>
        <v>1</v>
      </c>
    </row>
    <row r="334" spans="1:11">
      <c r="A334" s="5" t="s">
        <v>129</v>
      </c>
      <c r="B334" s="6">
        <v>44991</v>
      </c>
      <c r="C334" s="7">
        <v>0.7</v>
      </c>
      <c r="D334" s="5">
        <v>8.2899999999999991</v>
      </c>
      <c r="E334" s="5">
        <v>199.9</v>
      </c>
      <c r="F334" s="5">
        <v>216.3</v>
      </c>
      <c r="G334" s="6">
        <v>44991</v>
      </c>
      <c r="H334" s="5"/>
      <c r="I334" s="5"/>
      <c r="J334" s="5">
        <f t="shared" si="34"/>
        <v>16.400000000000006</v>
      </c>
      <c r="K334" s="8" t="b">
        <f t="shared" si="35"/>
        <v>1</v>
      </c>
    </row>
    <row r="335" spans="1:11">
      <c r="A335" s="5" t="s">
        <v>129</v>
      </c>
      <c r="B335" s="6">
        <v>44995</v>
      </c>
      <c r="C335" s="7">
        <v>1</v>
      </c>
      <c r="D335" s="5">
        <v>5.8</v>
      </c>
      <c r="E335" s="5">
        <v>216.3</v>
      </c>
      <c r="F335" s="5">
        <v>228</v>
      </c>
      <c r="G335" s="6">
        <v>44995</v>
      </c>
      <c r="H335" s="5"/>
      <c r="I335" s="5"/>
      <c r="J335" s="5">
        <f t="shared" si="34"/>
        <v>11.699999999999989</v>
      </c>
      <c r="K335" s="8" t="b">
        <f t="shared" si="35"/>
        <v>1</v>
      </c>
    </row>
    <row r="336" spans="1:11">
      <c r="A336" s="5" t="s">
        <v>129</v>
      </c>
      <c r="B336" s="6">
        <v>44996</v>
      </c>
      <c r="C336" s="7">
        <v>0.7</v>
      </c>
      <c r="D336" s="5">
        <v>8.2899999999999991</v>
      </c>
      <c r="E336" s="5">
        <v>228</v>
      </c>
      <c r="F336" s="5">
        <v>244.7</v>
      </c>
      <c r="G336" s="6">
        <v>44996</v>
      </c>
      <c r="H336" s="5"/>
      <c r="I336" s="5"/>
      <c r="J336" s="5">
        <f t="shared" si="34"/>
        <v>16.699999999999989</v>
      </c>
      <c r="K336" s="8" t="b">
        <f t="shared" si="35"/>
        <v>1</v>
      </c>
    </row>
    <row r="337" spans="1:11">
      <c r="A337" s="5" t="s">
        <v>129</v>
      </c>
      <c r="B337" s="6">
        <v>44999</v>
      </c>
      <c r="C337" s="7">
        <v>0.7</v>
      </c>
      <c r="D337" s="5">
        <v>8.2899999999999991</v>
      </c>
      <c r="E337" s="5">
        <v>244.7</v>
      </c>
      <c r="F337" s="5">
        <v>261.10000000000002</v>
      </c>
      <c r="G337" s="6">
        <v>44999</v>
      </c>
      <c r="H337" s="5"/>
      <c r="I337" s="5"/>
      <c r="J337" s="5">
        <f t="shared" si="34"/>
        <v>16.400000000000034</v>
      </c>
      <c r="K337" s="8" t="b">
        <f t="shared" si="35"/>
        <v>1</v>
      </c>
    </row>
    <row r="338" spans="1:11">
      <c r="A338" s="5" t="s">
        <v>129</v>
      </c>
      <c r="B338" s="6">
        <v>45003</v>
      </c>
      <c r="C338" s="7">
        <v>0.8</v>
      </c>
      <c r="D338" s="5">
        <v>7.34</v>
      </c>
      <c r="E338" s="5">
        <v>261.10000000000002</v>
      </c>
      <c r="F338" s="5">
        <v>275.8</v>
      </c>
      <c r="G338" s="6">
        <v>45003</v>
      </c>
      <c r="H338" s="5"/>
      <c r="I338" s="5"/>
      <c r="J338" s="5">
        <f t="shared" si="34"/>
        <v>14.699999999999989</v>
      </c>
      <c r="K338" s="8" t="b">
        <f t="shared" si="35"/>
        <v>1</v>
      </c>
    </row>
    <row r="339" spans="1:11">
      <c r="A339" s="5" t="s">
        <v>129</v>
      </c>
      <c r="B339" s="6">
        <v>45006</v>
      </c>
      <c r="C339" s="7">
        <v>0.6</v>
      </c>
      <c r="D339" s="5">
        <v>9.67</v>
      </c>
      <c r="E339" s="5">
        <v>275.8</v>
      </c>
      <c r="F339" s="5">
        <v>294.7</v>
      </c>
      <c r="G339" s="6">
        <v>45006</v>
      </c>
      <c r="H339" s="5"/>
      <c r="I339" s="5"/>
      <c r="J339" s="5">
        <f t="shared" ref="J339:J342" si="36">F339-E339</f>
        <v>18.899999999999977</v>
      </c>
      <c r="K339" s="8" t="b">
        <f t="shared" ref="K339:K342" si="37">E339=F338</f>
        <v>1</v>
      </c>
    </row>
    <row r="340" spans="1:11">
      <c r="A340" s="5" t="s">
        <v>129</v>
      </c>
      <c r="B340" s="6">
        <v>45009</v>
      </c>
      <c r="C340" s="7">
        <v>1</v>
      </c>
      <c r="D340" s="5">
        <v>5.8</v>
      </c>
      <c r="E340" s="5">
        <v>294.7</v>
      </c>
      <c r="F340" s="5">
        <v>306.7</v>
      </c>
      <c r="G340" s="6">
        <v>45009</v>
      </c>
      <c r="H340" s="5"/>
      <c r="I340" s="5"/>
      <c r="J340" s="5">
        <f t="shared" si="36"/>
        <v>12</v>
      </c>
      <c r="K340" s="8" t="b">
        <f t="shared" si="37"/>
        <v>1</v>
      </c>
    </row>
    <row r="341" spans="1:11">
      <c r="A341" s="5" t="s">
        <v>129</v>
      </c>
      <c r="B341" s="6">
        <v>45019</v>
      </c>
      <c r="C341" s="7">
        <v>0.6</v>
      </c>
      <c r="D341" s="5">
        <v>9.67</v>
      </c>
      <c r="E341" s="5">
        <v>306.7</v>
      </c>
      <c r="F341" s="5">
        <v>325.89999999999998</v>
      </c>
      <c r="G341" s="6">
        <v>45019</v>
      </c>
      <c r="H341" s="5"/>
      <c r="I341" s="5"/>
      <c r="J341" s="5">
        <f t="shared" si="36"/>
        <v>19.199999999999989</v>
      </c>
      <c r="K341" s="8" t="b">
        <f t="shared" si="37"/>
        <v>1</v>
      </c>
    </row>
    <row r="342" spans="1:11">
      <c r="A342" s="5" t="s">
        <v>129</v>
      </c>
      <c r="B342" s="6">
        <v>45022</v>
      </c>
      <c r="C342" s="7">
        <v>0.7</v>
      </c>
      <c r="D342" s="5">
        <v>8.2899999999999991</v>
      </c>
      <c r="E342" s="5">
        <v>325.89999999999998</v>
      </c>
      <c r="F342" s="5">
        <v>341.6</v>
      </c>
      <c r="G342" s="6">
        <v>45022</v>
      </c>
      <c r="H342" s="5"/>
      <c r="I342" s="5"/>
      <c r="J342" s="5">
        <f t="shared" si="36"/>
        <v>15.700000000000045</v>
      </c>
      <c r="K342" s="8" t="b">
        <f t="shared" si="37"/>
        <v>1</v>
      </c>
    </row>
    <row r="343" spans="1:11">
      <c r="A343" s="5" t="s">
        <v>129</v>
      </c>
      <c r="B343" s="6">
        <v>45025</v>
      </c>
      <c r="C343" s="7">
        <v>0.6</v>
      </c>
      <c r="D343" s="5">
        <v>9.67</v>
      </c>
      <c r="E343" s="5">
        <v>341.6</v>
      </c>
      <c r="F343" s="5">
        <v>360.7</v>
      </c>
      <c r="G343" s="6">
        <v>45025</v>
      </c>
      <c r="H343" s="5"/>
      <c r="I343" s="5"/>
      <c r="J343" s="5">
        <f t="shared" ref="J343:J353" si="38">F343-E343</f>
        <v>19.099999999999966</v>
      </c>
      <c r="K343" s="8" t="b">
        <f t="shared" ref="K343:K353" si="39">E343=F342</f>
        <v>1</v>
      </c>
    </row>
    <row r="344" spans="1:11">
      <c r="A344" s="5" t="s">
        <v>129</v>
      </c>
      <c r="B344" s="6">
        <v>45028</v>
      </c>
      <c r="C344" s="7">
        <v>0.6</v>
      </c>
      <c r="D344" s="5">
        <v>9.67</v>
      </c>
      <c r="E344" s="5">
        <v>360.7</v>
      </c>
      <c r="F344" s="5">
        <v>382.5</v>
      </c>
      <c r="G344" s="6">
        <v>45028</v>
      </c>
      <c r="H344" s="5"/>
      <c r="I344" s="5"/>
      <c r="J344" s="5">
        <f t="shared" si="38"/>
        <v>21.800000000000011</v>
      </c>
      <c r="K344" s="8" t="b">
        <f t="shared" si="39"/>
        <v>1</v>
      </c>
    </row>
    <row r="345" spans="1:11">
      <c r="A345" s="5" t="s">
        <v>129</v>
      </c>
      <c r="B345" s="6">
        <v>45031</v>
      </c>
      <c r="C345" s="7">
        <v>0.6</v>
      </c>
      <c r="D345" s="5">
        <v>9.67</v>
      </c>
      <c r="E345" s="5">
        <v>382.5</v>
      </c>
      <c r="F345" s="5">
        <v>401.7</v>
      </c>
      <c r="G345" s="6">
        <v>45031</v>
      </c>
      <c r="H345" s="5"/>
      <c r="I345" s="5"/>
      <c r="J345" s="5">
        <f t="shared" si="38"/>
        <v>19.199999999999989</v>
      </c>
      <c r="K345" s="8" t="b">
        <f t="shared" si="39"/>
        <v>1</v>
      </c>
    </row>
    <row r="346" spans="1:11">
      <c r="A346" s="5" t="s">
        <v>129</v>
      </c>
      <c r="B346" s="6">
        <v>45034</v>
      </c>
      <c r="C346" s="7">
        <v>0.8</v>
      </c>
      <c r="D346" s="5">
        <v>7.34</v>
      </c>
      <c r="E346" s="5">
        <v>401.7</v>
      </c>
      <c r="F346" s="5">
        <v>416.1</v>
      </c>
      <c r="G346" s="6">
        <v>45034</v>
      </c>
      <c r="H346" s="5"/>
      <c r="I346" s="5"/>
      <c r="J346" s="5">
        <f t="shared" si="38"/>
        <v>14.400000000000034</v>
      </c>
      <c r="K346" s="8" t="b">
        <f t="shared" si="39"/>
        <v>1</v>
      </c>
    </row>
    <row r="347" spans="1:11">
      <c r="A347" s="5" t="s">
        <v>129</v>
      </c>
      <c r="B347" s="6">
        <v>45037</v>
      </c>
      <c r="C347" s="7">
        <v>0.7</v>
      </c>
      <c r="D347" s="5">
        <v>8.2899999999999991</v>
      </c>
      <c r="E347" s="5">
        <v>416.1</v>
      </c>
      <c r="F347" s="5">
        <v>429</v>
      </c>
      <c r="G347" s="6">
        <v>45037</v>
      </c>
      <c r="H347" s="5"/>
      <c r="I347" s="5"/>
      <c r="J347" s="5">
        <f t="shared" si="38"/>
        <v>12.899999999999977</v>
      </c>
      <c r="K347" s="8" t="b">
        <f t="shared" si="39"/>
        <v>1</v>
      </c>
    </row>
    <row r="348" spans="1:11">
      <c r="A348" s="5" t="s">
        <v>129</v>
      </c>
      <c r="B348" s="6">
        <v>45040</v>
      </c>
      <c r="C348" s="7">
        <v>0.75</v>
      </c>
      <c r="D348" s="5">
        <v>7.73</v>
      </c>
      <c r="E348" s="5">
        <v>429</v>
      </c>
      <c r="F348" s="5">
        <v>444.3</v>
      </c>
      <c r="G348" s="6">
        <v>45040</v>
      </c>
      <c r="H348" s="5"/>
      <c r="I348" s="5"/>
      <c r="J348" s="5">
        <f t="shared" si="38"/>
        <v>15.300000000000011</v>
      </c>
      <c r="K348" s="8" t="b">
        <f t="shared" si="39"/>
        <v>1</v>
      </c>
    </row>
    <row r="349" spans="1:11">
      <c r="A349" s="5" t="s">
        <v>129</v>
      </c>
      <c r="B349" s="6">
        <v>45046</v>
      </c>
      <c r="C349" s="7">
        <v>0.85</v>
      </c>
      <c r="D349" s="5">
        <v>6.82</v>
      </c>
      <c r="E349" s="5">
        <v>444.3</v>
      </c>
      <c r="F349" s="5">
        <v>458.3</v>
      </c>
      <c r="G349" s="6">
        <v>45046</v>
      </c>
      <c r="H349" s="5"/>
      <c r="I349" s="5"/>
      <c r="J349" s="5">
        <f t="shared" si="38"/>
        <v>14</v>
      </c>
      <c r="K349" s="8" t="b">
        <f t="shared" si="39"/>
        <v>1</v>
      </c>
    </row>
    <row r="350" spans="1:11">
      <c r="A350" s="5" t="s">
        <v>129</v>
      </c>
      <c r="B350" s="6">
        <v>45048</v>
      </c>
      <c r="C350" s="7">
        <v>0.7</v>
      </c>
      <c r="D350" s="5">
        <v>8.2899999999999991</v>
      </c>
      <c r="E350" s="5">
        <v>458.3</v>
      </c>
      <c r="F350" s="5">
        <v>470.1</v>
      </c>
      <c r="G350" s="6">
        <v>45048</v>
      </c>
      <c r="H350" s="5"/>
      <c r="I350" s="5"/>
      <c r="J350" s="5">
        <f t="shared" si="38"/>
        <v>11.800000000000011</v>
      </c>
      <c r="K350" s="8" t="b">
        <f t="shared" si="39"/>
        <v>1</v>
      </c>
    </row>
    <row r="351" spans="1:11">
      <c r="A351" s="5" t="s">
        <v>129</v>
      </c>
      <c r="B351" s="6">
        <v>45050</v>
      </c>
      <c r="C351" s="7">
        <v>0.7</v>
      </c>
      <c r="D351" s="5">
        <v>8.2899999999999991</v>
      </c>
      <c r="E351" s="5">
        <v>470.1</v>
      </c>
      <c r="F351" s="5">
        <v>486.8</v>
      </c>
      <c r="G351" s="6">
        <v>45050</v>
      </c>
      <c r="H351" s="5"/>
      <c r="I351" s="5"/>
      <c r="J351" s="5">
        <f t="shared" si="38"/>
        <v>16.699999999999989</v>
      </c>
      <c r="K351" s="8" t="b">
        <f t="shared" si="39"/>
        <v>1</v>
      </c>
    </row>
    <row r="352" spans="1:11">
      <c r="A352" s="5" t="s">
        <v>129</v>
      </c>
      <c r="B352" s="6">
        <v>45055</v>
      </c>
      <c r="C352" s="7">
        <v>0.45</v>
      </c>
      <c r="D352" s="5">
        <v>12.89</v>
      </c>
      <c r="E352" s="5">
        <v>486.8</v>
      </c>
      <c r="F352" s="5">
        <v>499.6</v>
      </c>
      <c r="G352" s="6">
        <v>45055</v>
      </c>
      <c r="H352" s="5"/>
      <c r="I352" s="5"/>
      <c r="J352" s="5">
        <f t="shared" si="38"/>
        <v>12.800000000000011</v>
      </c>
      <c r="K352" s="8" t="b">
        <f t="shared" si="39"/>
        <v>1</v>
      </c>
    </row>
    <row r="353" spans="1:11">
      <c r="A353" s="5" t="s">
        <v>129</v>
      </c>
      <c r="B353" s="6">
        <v>45056</v>
      </c>
      <c r="C353" s="7">
        <v>0.45</v>
      </c>
      <c r="D353" s="5">
        <v>12.89</v>
      </c>
      <c r="E353" s="5">
        <v>499.6</v>
      </c>
      <c r="F353" s="5">
        <v>512.70000000000005</v>
      </c>
      <c r="G353" s="6">
        <v>45056</v>
      </c>
      <c r="H353" s="5"/>
      <c r="I353" s="5"/>
      <c r="J353" s="5">
        <f t="shared" si="38"/>
        <v>13.100000000000023</v>
      </c>
      <c r="K353" s="8" t="b">
        <f t="shared" si="39"/>
        <v>1</v>
      </c>
    </row>
    <row r="354" spans="1:11">
      <c r="A354" s="5" t="s">
        <v>129</v>
      </c>
      <c r="B354" s="6">
        <v>45061</v>
      </c>
      <c r="C354" s="7">
        <v>0.45</v>
      </c>
      <c r="D354" s="5">
        <v>12.89</v>
      </c>
      <c r="E354" s="5">
        <v>512.70000000000005</v>
      </c>
      <c r="F354" s="5">
        <v>525.6</v>
      </c>
      <c r="G354" s="6">
        <v>45061</v>
      </c>
      <c r="H354" s="5"/>
      <c r="I354" s="5"/>
      <c r="J354" s="5">
        <f t="shared" ref="J354:J362" si="40">F354-E354</f>
        <v>12.899999999999977</v>
      </c>
      <c r="K354" s="8" t="b">
        <f t="shared" ref="K354:K362" si="41">E354=F353</f>
        <v>1</v>
      </c>
    </row>
    <row r="355" spans="1:11">
      <c r="A355" s="5" t="s">
        <v>129</v>
      </c>
      <c r="B355" s="6">
        <v>45062</v>
      </c>
      <c r="C355" s="7">
        <v>0.45</v>
      </c>
      <c r="D355" s="5">
        <v>12.89</v>
      </c>
      <c r="E355" s="5">
        <v>525.6</v>
      </c>
      <c r="F355" s="5">
        <v>538.29999999999995</v>
      </c>
      <c r="G355" s="6">
        <v>45062</v>
      </c>
      <c r="H355" s="5"/>
      <c r="I355" s="5"/>
      <c r="J355" s="5">
        <f t="shared" si="40"/>
        <v>12.699999999999932</v>
      </c>
      <c r="K355" s="8" t="b">
        <f t="shared" si="41"/>
        <v>1</v>
      </c>
    </row>
    <row r="356" spans="1:11">
      <c r="A356" s="5" t="s">
        <v>129</v>
      </c>
      <c r="B356" s="6">
        <v>45067</v>
      </c>
      <c r="C356" s="7">
        <v>0.45</v>
      </c>
      <c r="D356" s="5">
        <v>12.89</v>
      </c>
      <c r="E356" s="5">
        <v>538.29999999999995</v>
      </c>
      <c r="F356" s="5">
        <v>551.1</v>
      </c>
      <c r="G356" s="6">
        <v>45067</v>
      </c>
      <c r="H356" s="5"/>
      <c r="I356" s="5"/>
      <c r="J356" s="5">
        <f t="shared" si="40"/>
        <v>12.800000000000068</v>
      </c>
      <c r="K356" s="8" t="b">
        <f t="shared" si="41"/>
        <v>1</v>
      </c>
    </row>
    <row r="357" spans="1:11">
      <c r="A357" s="5" t="s">
        <v>129</v>
      </c>
      <c r="B357" s="6">
        <v>45068</v>
      </c>
      <c r="C357" s="7">
        <v>0.45</v>
      </c>
      <c r="D357" s="5">
        <v>12.89</v>
      </c>
      <c r="E357" s="5">
        <v>551.1</v>
      </c>
      <c r="F357" s="5">
        <v>563.79999999999995</v>
      </c>
      <c r="G357" s="6">
        <v>45068</v>
      </c>
      <c r="H357" s="5"/>
      <c r="I357" s="5"/>
      <c r="J357" s="5">
        <f t="shared" si="40"/>
        <v>12.699999999999932</v>
      </c>
      <c r="K357" s="8" t="b">
        <f t="shared" si="41"/>
        <v>1</v>
      </c>
    </row>
    <row r="358" spans="1:11">
      <c r="A358" s="5" t="s">
        <v>129</v>
      </c>
      <c r="B358" s="6" t="s">
        <v>137</v>
      </c>
      <c r="C358" s="7">
        <v>0.45</v>
      </c>
      <c r="D358" s="5">
        <v>12.89</v>
      </c>
      <c r="E358" s="5">
        <v>563.79999999999995</v>
      </c>
      <c r="F358" s="5">
        <v>576.6</v>
      </c>
      <c r="G358" s="6" t="s">
        <v>137</v>
      </c>
      <c r="H358" s="5"/>
      <c r="I358" s="5"/>
      <c r="J358" s="5">
        <f t="shared" si="40"/>
        <v>12.800000000000068</v>
      </c>
      <c r="K358" s="8" t="b">
        <f t="shared" si="41"/>
        <v>1</v>
      </c>
    </row>
    <row r="359" spans="1:11">
      <c r="A359" s="5" t="s">
        <v>129</v>
      </c>
      <c r="B359" s="6" t="s">
        <v>138</v>
      </c>
      <c r="C359" s="7">
        <v>0.45</v>
      </c>
      <c r="D359" s="5">
        <v>12.89</v>
      </c>
      <c r="E359" s="5">
        <v>576.6</v>
      </c>
      <c r="F359" s="5">
        <v>589.29999999999995</v>
      </c>
      <c r="G359" s="6" t="s">
        <v>138</v>
      </c>
      <c r="H359" s="5"/>
      <c r="I359" s="5"/>
      <c r="J359" s="5">
        <f t="shared" si="40"/>
        <v>12.699999999999932</v>
      </c>
      <c r="K359" s="8" t="b">
        <f t="shared" si="41"/>
        <v>1</v>
      </c>
    </row>
    <row r="360" spans="1:11">
      <c r="A360" s="5" t="s">
        <v>129</v>
      </c>
      <c r="B360" s="6">
        <v>45079</v>
      </c>
      <c r="C360" s="7">
        <v>0.45</v>
      </c>
      <c r="D360" s="5">
        <v>12.89</v>
      </c>
      <c r="E360" s="5">
        <v>589.29999999999995</v>
      </c>
      <c r="F360" s="5">
        <v>602.20000000000005</v>
      </c>
      <c r="G360" s="6">
        <v>45079</v>
      </c>
      <c r="H360" s="5"/>
      <c r="I360" s="5"/>
      <c r="J360" s="5">
        <f t="shared" si="40"/>
        <v>12.900000000000091</v>
      </c>
      <c r="K360" s="8" t="b">
        <f t="shared" si="41"/>
        <v>1</v>
      </c>
    </row>
    <row r="361" spans="1:11">
      <c r="A361" s="5" t="s">
        <v>129</v>
      </c>
      <c r="B361" s="6">
        <v>45080</v>
      </c>
      <c r="C361" s="7">
        <v>0.45</v>
      </c>
      <c r="D361" s="5">
        <v>12.89</v>
      </c>
      <c r="E361" s="5">
        <v>602.20000000000005</v>
      </c>
      <c r="F361" s="5">
        <v>614.9</v>
      </c>
      <c r="G361" s="6">
        <v>45080</v>
      </c>
      <c r="H361" s="5"/>
      <c r="I361" s="5"/>
      <c r="J361" s="5">
        <f t="shared" si="40"/>
        <v>12.699999999999932</v>
      </c>
      <c r="K361" s="8" t="b">
        <f t="shared" si="41"/>
        <v>1</v>
      </c>
    </row>
    <row r="362" spans="1:11">
      <c r="A362" s="5" t="s">
        <v>129</v>
      </c>
      <c r="B362" s="6">
        <v>45094</v>
      </c>
      <c r="C362" s="7">
        <v>0.5</v>
      </c>
      <c r="D362" s="5">
        <v>11.6</v>
      </c>
      <c r="E362" s="5">
        <v>614.9</v>
      </c>
      <c r="F362" s="5">
        <v>626.79999999999995</v>
      </c>
      <c r="G362" s="6">
        <v>45094</v>
      </c>
      <c r="H362" s="5"/>
      <c r="I362" s="5"/>
      <c r="J362" s="5">
        <f t="shared" si="40"/>
        <v>11.899999999999977</v>
      </c>
      <c r="K362" s="8" t="b">
        <f t="shared" si="41"/>
        <v>1</v>
      </c>
    </row>
    <row r="363" spans="1:11">
      <c r="A363" s="5" t="s">
        <v>129</v>
      </c>
      <c r="B363" s="6">
        <v>45095</v>
      </c>
      <c r="C363" s="7">
        <v>0.5</v>
      </c>
      <c r="D363" s="5">
        <v>11.6</v>
      </c>
      <c r="E363" s="5">
        <v>626.79999999999995</v>
      </c>
      <c r="F363" s="5">
        <v>637.79999999999995</v>
      </c>
      <c r="G363" s="6">
        <v>45095</v>
      </c>
      <c r="H363" s="5"/>
      <c r="I363" s="5"/>
      <c r="J363" s="5">
        <f t="shared" ref="J363:J380" si="42">F363-E363</f>
        <v>11</v>
      </c>
      <c r="K363" s="8" t="b">
        <f t="shared" ref="K363:K380" si="43">E363=F362</f>
        <v>1</v>
      </c>
    </row>
    <row r="364" spans="1:11">
      <c r="A364" s="5" t="s">
        <v>129</v>
      </c>
      <c r="B364" s="6">
        <v>45097</v>
      </c>
      <c r="C364" s="7">
        <v>0.6</v>
      </c>
      <c r="D364" s="5">
        <v>9.67</v>
      </c>
      <c r="E364" s="5">
        <v>637.79999999999995</v>
      </c>
      <c r="F364" s="5">
        <v>658.4</v>
      </c>
      <c r="G364" s="6">
        <v>45097</v>
      </c>
      <c r="H364" s="5"/>
      <c r="I364" s="5"/>
      <c r="J364" s="5">
        <f t="shared" si="42"/>
        <v>20.600000000000023</v>
      </c>
      <c r="K364" s="8" t="b">
        <f t="shared" si="43"/>
        <v>1</v>
      </c>
    </row>
    <row r="365" spans="1:11">
      <c r="A365" s="5" t="s">
        <v>129</v>
      </c>
      <c r="B365" s="6">
        <v>45101</v>
      </c>
      <c r="C365" s="7">
        <v>0.6</v>
      </c>
      <c r="D365" s="5">
        <v>9.67</v>
      </c>
      <c r="E365" s="5">
        <v>658.4</v>
      </c>
      <c r="F365" s="5">
        <v>677.6</v>
      </c>
      <c r="G365" s="6">
        <v>45101</v>
      </c>
      <c r="H365" s="5"/>
      <c r="I365" s="5"/>
      <c r="J365" s="5">
        <f t="shared" si="42"/>
        <v>19.200000000000045</v>
      </c>
      <c r="K365" s="8" t="b">
        <f t="shared" si="43"/>
        <v>1</v>
      </c>
    </row>
    <row r="366" spans="1:11">
      <c r="A366" s="39" t="s">
        <v>129</v>
      </c>
      <c r="B366" s="40">
        <v>45106</v>
      </c>
      <c r="C366" s="41">
        <v>0.6</v>
      </c>
      <c r="D366" s="39">
        <v>9.67</v>
      </c>
      <c r="E366" s="39">
        <v>677.6</v>
      </c>
      <c r="F366" s="39"/>
      <c r="G366" s="40"/>
      <c r="H366" s="39"/>
      <c r="I366" s="39"/>
      <c r="J366" s="39">
        <f t="shared" si="42"/>
        <v>-677.6</v>
      </c>
      <c r="K366" s="8" t="b">
        <f t="shared" si="43"/>
        <v>1</v>
      </c>
    </row>
    <row r="367" spans="1:11">
      <c r="A367" s="5" t="s">
        <v>129</v>
      </c>
      <c r="B367" s="6">
        <v>45110</v>
      </c>
      <c r="C367" s="7">
        <v>0.6</v>
      </c>
      <c r="D367" s="5">
        <v>9.67</v>
      </c>
      <c r="E367" s="5">
        <v>677.6</v>
      </c>
      <c r="F367" s="5">
        <v>696.7</v>
      </c>
      <c r="G367" s="6">
        <v>45110</v>
      </c>
      <c r="H367" s="5"/>
      <c r="I367" s="5"/>
      <c r="J367" s="5">
        <f t="shared" si="42"/>
        <v>19.100000000000023</v>
      </c>
      <c r="K367" s="8" t="b">
        <f t="shared" si="43"/>
        <v>0</v>
      </c>
    </row>
    <row r="368" spans="1:11">
      <c r="A368" s="5" t="s">
        <v>129</v>
      </c>
      <c r="B368" s="6"/>
      <c r="C368" s="7"/>
      <c r="D368" s="5"/>
      <c r="E368" s="5"/>
      <c r="F368" s="5"/>
      <c r="G368" s="6"/>
      <c r="H368" s="5"/>
      <c r="I368" s="5"/>
      <c r="J368" s="5">
        <f t="shared" si="42"/>
        <v>0</v>
      </c>
      <c r="K368" s="8" t="b">
        <f t="shared" si="43"/>
        <v>0</v>
      </c>
    </row>
    <row r="369" spans="1:11" ht="26.25">
      <c r="A369" s="190" t="s">
        <v>128</v>
      </c>
      <c r="B369" s="191"/>
      <c r="C369" s="191"/>
      <c r="D369" s="191"/>
      <c r="E369" s="191"/>
      <c r="F369" s="191"/>
      <c r="G369" s="191"/>
      <c r="H369" s="191"/>
      <c r="I369" s="191"/>
      <c r="J369" s="191"/>
      <c r="K369" s="192"/>
    </row>
    <row r="370" spans="1:11" ht="26.25">
      <c r="A370" s="181" t="s">
        <v>19</v>
      </c>
      <c r="B370" s="184"/>
      <c r="C370" s="184"/>
      <c r="D370" s="184"/>
      <c r="E370" s="184"/>
      <c r="F370" s="184"/>
      <c r="G370" s="184"/>
      <c r="H370" s="184"/>
      <c r="I370" s="184"/>
      <c r="J370" s="184"/>
      <c r="K370" s="189"/>
    </row>
    <row r="371" spans="1:11" ht="15.75" thickBot="1"/>
    <row r="372" spans="1:11" ht="15.75" thickBot="1">
      <c r="A372" s="132" t="s">
        <v>2</v>
      </c>
      <c r="B372" s="133"/>
      <c r="C372" s="133"/>
      <c r="D372" s="133"/>
      <c r="E372" s="133"/>
      <c r="F372" s="133"/>
      <c r="G372" s="133"/>
      <c r="H372" s="133"/>
      <c r="I372" s="133"/>
      <c r="J372" s="133"/>
      <c r="K372" s="134"/>
    </row>
    <row r="374" spans="1:11" ht="19.5" thickBot="1">
      <c r="A374" s="1" t="s">
        <v>3</v>
      </c>
      <c r="B374" s="1"/>
      <c r="C374" s="1"/>
      <c r="D374" s="1"/>
      <c r="E374" s="1"/>
      <c r="F374" s="1"/>
      <c r="G374" s="1"/>
      <c r="H374" s="1"/>
      <c r="I374" s="1"/>
    </row>
    <row r="375" spans="1:11" ht="30.75" thickBot="1">
      <c r="A375" s="2" t="s">
        <v>4</v>
      </c>
      <c r="B375" s="3" t="s">
        <v>5</v>
      </c>
      <c r="C375" s="3" t="s">
        <v>6</v>
      </c>
      <c r="D375" s="3" t="s">
        <v>7</v>
      </c>
      <c r="E375" s="3" t="s">
        <v>8</v>
      </c>
      <c r="F375" s="3" t="s">
        <v>9</v>
      </c>
      <c r="G375" s="3" t="s">
        <v>10</v>
      </c>
      <c r="H375" s="3" t="s">
        <v>21</v>
      </c>
      <c r="I375" s="4" t="s">
        <v>22</v>
      </c>
      <c r="J375" s="4" t="s">
        <v>11</v>
      </c>
      <c r="K375" s="4" t="s">
        <v>12</v>
      </c>
    </row>
    <row r="376" spans="1:11">
      <c r="A376" s="5" t="s">
        <v>129</v>
      </c>
      <c r="B376" s="6"/>
      <c r="C376" s="7"/>
      <c r="D376" s="5"/>
      <c r="E376" s="5"/>
      <c r="F376" s="5"/>
      <c r="G376" s="6"/>
      <c r="H376" s="5"/>
      <c r="I376" s="5"/>
      <c r="J376" s="5">
        <f t="shared" si="42"/>
        <v>0</v>
      </c>
      <c r="K376" s="8" t="b">
        <f t="shared" si="43"/>
        <v>0</v>
      </c>
    </row>
    <row r="377" spans="1:11">
      <c r="A377" s="5" t="s">
        <v>129</v>
      </c>
      <c r="B377" s="6">
        <v>45291</v>
      </c>
      <c r="C377" s="7">
        <v>0.6</v>
      </c>
      <c r="D377" s="5">
        <v>9.67</v>
      </c>
      <c r="E377" s="5">
        <v>0</v>
      </c>
      <c r="F377" s="5">
        <v>19.8</v>
      </c>
      <c r="G377" s="6">
        <v>45291</v>
      </c>
      <c r="H377" s="5"/>
      <c r="I377" s="5"/>
      <c r="J377" s="5">
        <f t="shared" si="42"/>
        <v>19.8</v>
      </c>
      <c r="K377" s="8" t="b">
        <f t="shared" si="43"/>
        <v>1</v>
      </c>
    </row>
    <row r="378" spans="1:11">
      <c r="A378" s="5" t="s">
        <v>129</v>
      </c>
      <c r="B378" s="6">
        <v>45292</v>
      </c>
      <c r="C378" s="7">
        <v>1</v>
      </c>
      <c r="D378" s="5">
        <v>5.8</v>
      </c>
      <c r="E378" s="5">
        <v>19.8</v>
      </c>
      <c r="F378" s="5">
        <v>31.4</v>
      </c>
      <c r="G378" s="6">
        <v>45292</v>
      </c>
      <c r="H378" s="5"/>
      <c r="I378" s="5"/>
      <c r="J378" s="5">
        <f t="shared" si="42"/>
        <v>11.599999999999998</v>
      </c>
      <c r="K378" s="8" t="b">
        <f t="shared" si="43"/>
        <v>1</v>
      </c>
    </row>
    <row r="379" spans="1:11">
      <c r="A379" s="5" t="s">
        <v>129</v>
      </c>
      <c r="B379" s="6">
        <v>45293</v>
      </c>
      <c r="C379" s="7">
        <v>0.7</v>
      </c>
      <c r="D379" s="5">
        <v>8.2899999999999991</v>
      </c>
      <c r="E379" s="5">
        <v>31.4</v>
      </c>
      <c r="F379" s="5">
        <v>47.1</v>
      </c>
      <c r="G379" s="6">
        <v>45293</v>
      </c>
      <c r="H379" s="5"/>
      <c r="I379" s="5"/>
      <c r="J379" s="5">
        <f t="shared" si="42"/>
        <v>15.700000000000003</v>
      </c>
      <c r="K379" s="8" t="b">
        <f t="shared" si="43"/>
        <v>1</v>
      </c>
    </row>
    <row r="380" spans="1:11">
      <c r="A380" s="5" t="s">
        <v>129</v>
      </c>
      <c r="B380" s="6">
        <v>45302</v>
      </c>
      <c r="C380" s="7">
        <v>1</v>
      </c>
      <c r="D380" s="5">
        <v>5.8</v>
      </c>
      <c r="E380" s="5">
        <v>47.1</v>
      </c>
      <c r="F380" s="5">
        <v>59.4</v>
      </c>
      <c r="G380" s="6">
        <v>45302</v>
      </c>
      <c r="H380" s="5"/>
      <c r="I380" s="5"/>
      <c r="J380" s="5">
        <f t="shared" si="42"/>
        <v>12.299999999999997</v>
      </c>
      <c r="K380" s="8" t="b">
        <f t="shared" si="43"/>
        <v>1</v>
      </c>
    </row>
    <row r="381" spans="1:11">
      <c r="A381" s="5" t="s">
        <v>129</v>
      </c>
      <c r="B381" s="6">
        <v>45303</v>
      </c>
      <c r="C381" s="7">
        <v>1</v>
      </c>
      <c r="D381" s="5">
        <v>5.8</v>
      </c>
      <c r="E381" s="5">
        <v>59.4</v>
      </c>
      <c r="F381" s="5">
        <v>71.2</v>
      </c>
      <c r="G381" s="6">
        <v>45303</v>
      </c>
      <c r="H381" s="5"/>
      <c r="I381" s="5"/>
      <c r="J381" s="5">
        <f t="shared" ref="J381:J409" si="44">F381-E381</f>
        <v>11.800000000000004</v>
      </c>
      <c r="K381" s="8" t="b">
        <f t="shared" ref="K381:K409" si="45">E381=F380</f>
        <v>1</v>
      </c>
    </row>
    <row r="382" spans="1:11">
      <c r="A382" s="5" t="s">
        <v>129</v>
      </c>
      <c r="B382" s="6">
        <v>45304</v>
      </c>
      <c r="C382" s="7">
        <v>1</v>
      </c>
      <c r="D382" s="5">
        <v>5.8</v>
      </c>
      <c r="E382" s="5">
        <v>71.2</v>
      </c>
      <c r="F382" s="5">
        <v>83.6</v>
      </c>
      <c r="G382" s="6">
        <v>45304</v>
      </c>
      <c r="H382" s="5"/>
      <c r="I382" s="5"/>
      <c r="J382" s="5">
        <f t="shared" si="44"/>
        <v>12.399999999999991</v>
      </c>
      <c r="K382" s="8" t="b">
        <f t="shared" si="45"/>
        <v>1</v>
      </c>
    </row>
    <row r="383" spans="1:11">
      <c r="A383" s="5" t="s">
        <v>129</v>
      </c>
      <c r="B383" s="6">
        <v>45305</v>
      </c>
      <c r="C383" s="7">
        <v>1</v>
      </c>
      <c r="D383" s="5">
        <v>5.8</v>
      </c>
      <c r="E383" s="5">
        <v>83.6</v>
      </c>
      <c r="F383" s="5">
        <v>95.1</v>
      </c>
      <c r="G383" s="6">
        <v>45305</v>
      </c>
      <c r="H383" s="5"/>
      <c r="I383" s="5"/>
      <c r="J383" s="5">
        <f t="shared" si="44"/>
        <v>11.5</v>
      </c>
      <c r="K383" s="8" t="b">
        <f t="shared" si="45"/>
        <v>1</v>
      </c>
    </row>
    <row r="384" spans="1:11">
      <c r="A384" s="5" t="s">
        <v>129</v>
      </c>
      <c r="B384" s="6">
        <v>45307</v>
      </c>
      <c r="C384" s="7">
        <v>1</v>
      </c>
      <c r="D384" s="5">
        <v>5.8</v>
      </c>
      <c r="E384" s="5">
        <v>95.1</v>
      </c>
      <c r="F384" s="5">
        <v>106.9</v>
      </c>
      <c r="G384" s="6">
        <v>45307</v>
      </c>
      <c r="H384" s="5"/>
      <c r="I384" s="5"/>
      <c r="J384" s="5">
        <f t="shared" si="44"/>
        <v>11.800000000000011</v>
      </c>
      <c r="K384" s="8" t="b">
        <f t="shared" si="45"/>
        <v>1</v>
      </c>
    </row>
    <row r="385" spans="1:11">
      <c r="A385" s="80" t="s">
        <v>129</v>
      </c>
      <c r="B385" s="81">
        <v>45315</v>
      </c>
      <c r="C385" s="82">
        <v>1</v>
      </c>
      <c r="D385" s="80">
        <v>5.8</v>
      </c>
      <c r="E385" s="80">
        <v>106.9</v>
      </c>
      <c r="F385" s="80">
        <v>118.6</v>
      </c>
      <c r="G385" s="81">
        <v>45315</v>
      </c>
      <c r="H385" s="80"/>
      <c r="I385" s="80"/>
      <c r="J385" s="80">
        <f t="shared" si="44"/>
        <v>11.699999999999989</v>
      </c>
      <c r="K385" s="8" t="b">
        <f t="shared" si="45"/>
        <v>1</v>
      </c>
    </row>
    <row r="386" spans="1:11">
      <c r="A386" s="5" t="s">
        <v>129</v>
      </c>
      <c r="B386" s="6">
        <v>45317</v>
      </c>
      <c r="C386" s="7">
        <v>1</v>
      </c>
      <c r="D386" s="5">
        <v>5.8</v>
      </c>
      <c r="E386" s="5">
        <v>118.6</v>
      </c>
      <c r="F386" s="5">
        <v>130.4</v>
      </c>
      <c r="G386" s="6">
        <v>45317</v>
      </c>
      <c r="H386" s="5"/>
      <c r="I386" s="5"/>
      <c r="J386" s="5">
        <f t="shared" si="44"/>
        <v>11.800000000000011</v>
      </c>
      <c r="K386" s="8" t="b">
        <f t="shared" si="45"/>
        <v>1</v>
      </c>
    </row>
    <row r="387" spans="1:11">
      <c r="A387" s="5" t="s">
        <v>129</v>
      </c>
      <c r="B387" s="6">
        <v>45329</v>
      </c>
      <c r="C387" s="7">
        <v>0.4</v>
      </c>
      <c r="D387" s="5">
        <v>8.2899999999999991</v>
      </c>
      <c r="E387" s="5">
        <v>130.4</v>
      </c>
      <c r="F387" s="5">
        <v>144.6</v>
      </c>
      <c r="G387" s="6">
        <v>45329</v>
      </c>
      <c r="H387" s="5"/>
      <c r="I387" s="5"/>
      <c r="J387" s="5">
        <f t="shared" si="44"/>
        <v>14.199999999999989</v>
      </c>
      <c r="K387" s="8" t="b">
        <f t="shared" si="45"/>
        <v>1</v>
      </c>
    </row>
    <row r="388" spans="1:11">
      <c r="A388" s="5" t="s">
        <v>129</v>
      </c>
      <c r="B388" s="6">
        <v>45330</v>
      </c>
      <c r="C388" s="7">
        <v>0.4</v>
      </c>
      <c r="D388" s="5">
        <v>8.2899999999999991</v>
      </c>
      <c r="E388" s="5">
        <v>144.6</v>
      </c>
      <c r="F388" s="5">
        <v>158.9</v>
      </c>
      <c r="G388" s="6">
        <v>45330</v>
      </c>
      <c r="H388" s="5"/>
      <c r="I388" s="5"/>
      <c r="J388" s="5">
        <f t="shared" si="44"/>
        <v>14.300000000000011</v>
      </c>
      <c r="K388" s="8" t="b">
        <f t="shared" si="45"/>
        <v>1</v>
      </c>
    </row>
    <row r="389" spans="1:11">
      <c r="A389" s="5" t="s">
        <v>129</v>
      </c>
      <c r="B389" s="6">
        <v>45338</v>
      </c>
      <c r="C389" s="7">
        <v>0.5</v>
      </c>
      <c r="D389" s="5">
        <v>11.6</v>
      </c>
      <c r="E389" s="5">
        <v>158.9</v>
      </c>
      <c r="F389" s="5">
        <v>164.8</v>
      </c>
      <c r="G389" s="6">
        <v>45338</v>
      </c>
      <c r="H389" s="5"/>
      <c r="I389" s="5"/>
      <c r="J389" s="5">
        <f t="shared" si="44"/>
        <v>5.9000000000000057</v>
      </c>
      <c r="K389" s="8" t="b">
        <f t="shared" si="45"/>
        <v>1</v>
      </c>
    </row>
    <row r="390" spans="1:11">
      <c r="A390" s="5" t="s">
        <v>129</v>
      </c>
      <c r="B390" s="6">
        <v>45347</v>
      </c>
      <c r="C390" s="7">
        <v>1</v>
      </c>
      <c r="D390" s="5">
        <v>5.8</v>
      </c>
      <c r="E390" s="5">
        <v>164.8</v>
      </c>
      <c r="F390" s="5">
        <v>182.7</v>
      </c>
      <c r="G390" s="6">
        <v>45347</v>
      </c>
      <c r="H390" s="5"/>
      <c r="I390" s="5"/>
      <c r="J390" s="5">
        <f t="shared" si="44"/>
        <v>17.899999999999977</v>
      </c>
      <c r="K390" s="8" t="b">
        <f t="shared" si="45"/>
        <v>1</v>
      </c>
    </row>
    <row r="391" spans="1:11">
      <c r="A391" s="5" t="s">
        <v>129</v>
      </c>
      <c r="B391" s="6">
        <v>45349</v>
      </c>
      <c r="C391" s="7">
        <v>1</v>
      </c>
      <c r="D391" s="5">
        <v>5.8</v>
      </c>
      <c r="E391" s="5">
        <v>182.7</v>
      </c>
      <c r="F391" s="5">
        <v>194.4</v>
      </c>
      <c r="G391" s="6">
        <v>45349</v>
      </c>
      <c r="H391" s="5"/>
      <c r="I391" s="5"/>
      <c r="J391" s="5">
        <f t="shared" si="44"/>
        <v>11.700000000000017</v>
      </c>
      <c r="K391" s="8" t="b">
        <f t="shared" si="45"/>
        <v>1</v>
      </c>
    </row>
    <row r="392" spans="1:11">
      <c r="A392" s="5" t="s">
        <v>129</v>
      </c>
      <c r="B392" s="6">
        <v>45352</v>
      </c>
      <c r="C392" s="7">
        <v>0.7</v>
      </c>
      <c r="D392" s="5">
        <v>8.2899999999999991</v>
      </c>
      <c r="E392" s="5">
        <v>194.4</v>
      </c>
      <c r="F392" s="5">
        <v>210.1</v>
      </c>
      <c r="G392" s="6">
        <v>45352</v>
      </c>
      <c r="H392" s="5"/>
      <c r="I392" s="5"/>
      <c r="J392" s="5">
        <f t="shared" si="44"/>
        <v>15.699999999999989</v>
      </c>
      <c r="K392" s="8" t="b">
        <f t="shared" si="45"/>
        <v>1</v>
      </c>
    </row>
    <row r="393" spans="1:11">
      <c r="A393" s="5" t="s">
        <v>129</v>
      </c>
      <c r="B393" s="6">
        <v>45353</v>
      </c>
      <c r="C393" s="7">
        <v>0.7</v>
      </c>
      <c r="D393" s="5">
        <v>8.2899999999999991</v>
      </c>
      <c r="E393" s="5">
        <v>210.1</v>
      </c>
      <c r="F393" s="5">
        <v>227.2</v>
      </c>
      <c r="G393" s="6">
        <v>45353</v>
      </c>
      <c r="H393" s="5"/>
      <c r="I393" s="5"/>
      <c r="J393" s="5">
        <f t="shared" si="44"/>
        <v>17.099999999999994</v>
      </c>
      <c r="K393" s="8" t="b">
        <f t="shared" si="45"/>
        <v>1</v>
      </c>
    </row>
    <row r="394" spans="1:11">
      <c r="A394" s="5" t="s">
        <v>129</v>
      </c>
      <c r="B394" s="6">
        <v>45356</v>
      </c>
      <c r="C394" s="7">
        <v>1</v>
      </c>
      <c r="D394" s="5">
        <v>5.8</v>
      </c>
      <c r="E394" s="5">
        <v>227.2</v>
      </c>
      <c r="F394" s="5">
        <v>238.9</v>
      </c>
      <c r="G394" s="6">
        <v>45356</v>
      </c>
      <c r="H394" s="5"/>
      <c r="I394" s="5"/>
      <c r="J394" s="5">
        <f t="shared" si="44"/>
        <v>11.700000000000017</v>
      </c>
      <c r="K394" s="8" t="b">
        <f t="shared" si="45"/>
        <v>1</v>
      </c>
    </row>
    <row r="395" spans="1:11">
      <c r="A395" s="5" t="s">
        <v>129</v>
      </c>
      <c r="B395" s="6">
        <v>45360</v>
      </c>
      <c r="C395" s="7">
        <v>0.7</v>
      </c>
      <c r="D395" s="5">
        <v>8.2899999999999991</v>
      </c>
      <c r="E395" s="5">
        <v>238.9</v>
      </c>
      <c r="F395" s="5">
        <v>255.3</v>
      </c>
      <c r="G395" s="6">
        <v>45360</v>
      </c>
      <c r="H395" s="5"/>
      <c r="I395" s="5"/>
      <c r="J395" s="5">
        <f t="shared" si="44"/>
        <v>16.400000000000006</v>
      </c>
      <c r="K395" s="8" t="b">
        <f t="shared" si="45"/>
        <v>1</v>
      </c>
    </row>
    <row r="396" spans="1:11">
      <c r="A396" s="5" t="s">
        <v>129</v>
      </c>
      <c r="B396" s="6">
        <v>45363</v>
      </c>
      <c r="C396" s="7">
        <v>0.7</v>
      </c>
      <c r="D396" s="5">
        <v>8.2899999999999991</v>
      </c>
      <c r="E396" s="5">
        <v>255.3</v>
      </c>
      <c r="F396" s="5">
        <v>262.60000000000002</v>
      </c>
      <c r="G396" s="6">
        <v>45363</v>
      </c>
      <c r="H396" s="5"/>
      <c r="I396" s="5"/>
      <c r="J396" s="5">
        <f t="shared" si="44"/>
        <v>7.3000000000000114</v>
      </c>
      <c r="K396" s="8" t="b">
        <f t="shared" si="45"/>
        <v>1</v>
      </c>
    </row>
    <row r="397" spans="1:11">
      <c r="A397" s="5" t="s">
        <v>129</v>
      </c>
      <c r="B397" s="6">
        <v>45377</v>
      </c>
      <c r="C397" s="7">
        <v>1</v>
      </c>
      <c r="D397" s="5">
        <v>5.8</v>
      </c>
      <c r="E397" s="5">
        <v>262.60000000000002</v>
      </c>
      <c r="F397" s="5">
        <v>275.10000000000002</v>
      </c>
      <c r="G397" s="6">
        <v>45377</v>
      </c>
      <c r="H397" s="5"/>
      <c r="I397" s="5"/>
      <c r="J397" s="5">
        <f t="shared" si="44"/>
        <v>12.5</v>
      </c>
      <c r="K397" s="8" t="b">
        <f t="shared" si="45"/>
        <v>1</v>
      </c>
    </row>
    <row r="398" spans="1:11">
      <c r="A398" s="5" t="s">
        <v>129</v>
      </c>
      <c r="B398" s="6">
        <v>45379</v>
      </c>
      <c r="C398" s="7">
        <v>0.7</v>
      </c>
      <c r="D398" s="5">
        <v>8.2899999999999991</v>
      </c>
      <c r="E398" s="5">
        <v>275.10000000000002</v>
      </c>
      <c r="F398" s="5">
        <v>291.5</v>
      </c>
      <c r="G398" s="6">
        <v>45379</v>
      </c>
      <c r="H398" s="5"/>
      <c r="I398" s="5"/>
      <c r="J398" s="5">
        <f t="shared" si="44"/>
        <v>16.399999999999977</v>
      </c>
      <c r="K398" s="8" t="b">
        <f t="shared" si="45"/>
        <v>1</v>
      </c>
    </row>
    <row r="399" spans="1:11">
      <c r="A399" s="5" t="s">
        <v>129</v>
      </c>
      <c r="B399" s="6">
        <v>45381</v>
      </c>
      <c r="C399" s="7">
        <v>0.7</v>
      </c>
      <c r="D399" s="5">
        <v>8.2899999999999991</v>
      </c>
      <c r="E399" s="5">
        <v>291.5</v>
      </c>
      <c r="F399" s="5">
        <v>307.89999999999998</v>
      </c>
      <c r="G399" s="6">
        <v>45381</v>
      </c>
      <c r="H399" s="5"/>
      <c r="I399" s="5"/>
      <c r="J399" s="5">
        <f t="shared" si="44"/>
        <v>16.399999999999977</v>
      </c>
      <c r="K399" s="8" t="b">
        <f t="shared" si="45"/>
        <v>1</v>
      </c>
    </row>
    <row r="400" spans="1:11">
      <c r="A400" s="5" t="s">
        <v>129</v>
      </c>
      <c r="B400" s="6">
        <v>45383</v>
      </c>
      <c r="C400" s="7">
        <v>1</v>
      </c>
      <c r="D400" s="5">
        <v>5.8</v>
      </c>
      <c r="E400" s="5">
        <v>307.89999999999998</v>
      </c>
      <c r="F400" s="5">
        <v>319.5</v>
      </c>
      <c r="G400" s="6">
        <v>45383</v>
      </c>
      <c r="H400" s="5"/>
      <c r="I400" s="5"/>
      <c r="J400" s="5">
        <f t="shared" si="44"/>
        <v>11.600000000000023</v>
      </c>
      <c r="K400" s="8" t="b">
        <f t="shared" si="45"/>
        <v>1</v>
      </c>
    </row>
    <row r="401" spans="1:11">
      <c r="A401" s="5" t="s">
        <v>129</v>
      </c>
      <c r="B401" s="6">
        <v>45386</v>
      </c>
      <c r="C401" s="7">
        <v>1</v>
      </c>
      <c r="D401" s="5">
        <v>5.8</v>
      </c>
      <c r="E401" s="5">
        <v>319.5</v>
      </c>
      <c r="F401" s="5">
        <v>331.4</v>
      </c>
      <c r="G401" s="6">
        <v>45386</v>
      </c>
      <c r="H401" s="5"/>
      <c r="I401" s="5"/>
      <c r="J401" s="5">
        <f t="shared" si="44"/>
        <v>11.899999999999977</v>
      </c>
      <c r="K401" s="8" t="b">
        <f t="shared" si="45"/>
        <v>1</v>
      </c>
    </row>
    <row r="402" spans="1:11">
      <c r="A402" s="5" t="s">
        <v>129</v>
      </c>
      <c r="B402" s="6">
        <v>45392</v>
      </c>
      <c r="C402" s="7">
        <v>0.7</v>
      </c>
      <c r="D402" s="5">
        <v>8.2899999999999991</v>
      </c>
      <c r="E402" s="5">
        <v>331.4</v>
      </c>
      <c r="F402" s="5">
        <v>347.9</v>
      </c>
      <c r="G402" s="6">
        <v>45392</v>
      </c>
      <c r="H402" s="5"/>
      <c r="I402" s="5"/>
      <c r="J402" s="5">
        <f t="shared" si="44"/>
        <v>16.5</v>
      </c>
      <c r="K402" s="8" t="b">
        <f t="shared" si="45"/>
        <v>1</v>
      </c>
    </row>
    <row r="403" spans="1:11">
      <c r="A403" s="5" t="s">
        <v>129</v>
      </c>
      <c r="B403" s="6">
        <v>45399</v>
      </c>
      <c r="C403" s="7">
        <v>0.7</v>
      </c>
      <c r="D403" s="5">
        <v>8.2899999999999991</v>
      </c>
      <c r="E403" s="5">
        <v>347.9</v>
      </c>
      <c r="F403" s="5">
        <v>364.3</v>
      </c>
      <c r="G403" s="6">
        <v>45399</v>
      </c>
      <c r="H403" s="5"/>
      <c r="I403" s="5"/>
      <c r="J403" s="5">
        <f t="shared" si="44"/>
        <v>16.400000000000034</v>
      </c>
      <c r="K403" s="8" t="b">
        <f t="shared" si="45"/>
        <v>1</v>
      </c>
    </row>
    <row r="404" spans="1:11">
      <c r="A404" s="5" t="s">
        <v>129</v>
      </c>
      <c r="B404" s="6">
        <v>45402</v>
      </c>
      <c r="C404" s="7">
        <v>0.9</v>
      </c>
      <c r="D404" s="5">
        <v>5.74</v>
      </c>
      <c r="E404" s="5">
        <v>364.3</v>
      </c>
      <c r="F404" s="5">
        <v>377.2</v>
      </c>
      <c r="G404" s="6">
        <v>45402</v>
      </c>
      <c r="H404" s="5"/>
      <c r="I404" s="5"/>
      <c r="J404" s="5">
        <f t="shared" si="44"/>
        <v>12.899999999999977</v>
      </c>
      <c r="K404" s="8" t="b">
        <f t="shared" si="45"/>
        <v>1</v>
      </c>
    </row>
    <row r="405" spans="1:11">
      <c r="A405" s="5" t="s">
        <v>129</v>
      </c>
      <c r="B405" s="6">
        <v>45408</v>
      </c>
      <c r="C405" s="7">
        <v>0.7</v>
      </c>
      <c r="D405" s="5">
        <v>8.2899999999999991</v>
      </c>
      <c r="E405" s="5">
        <v>393.6</v>
      </c>
      <c r="F405" s="5">
        <v>410</v>
      </c>
      <c r="G405" s="6">
        <v>45408</v>
      </c>
      <c r="H405" s="5"/>
      <c r="I405" s="5"/>
      <c r="J405" s="5">
        <f t="shared" si="44"/>
        <v>16.399999999999977</v>
      </c>
      <c r="K405" s="8" t="b">
        <f t="shared" si="45"/>
        <v>0</v>
      </c>
    </row>
    <row r="406" spans="1:11">
      <c r="A406" s="5" t="s">
        <v>129</v>
      </c>
      <c r="B406" s="6">
        <v>45417</v>
      </c>
      <c r="C406" s="7">
        <v>0.7</v>
      </c>
      <c r="D406" s="5">
        <v>8.2899999999999991</v>
      </c>
      <c r="E406" s="5">
        <v>410</v>
      </c>
      <c r="F406" s="5">
        <v>426.4</v>
      </c>
      <c r="G406" s="6">
        <v>45417</v>
      </c>
      <c r="H406" s="5"/>
      <c r="I406" s="5"/>
      <c r="J406" s="5">
        <f t="shared" si="44"/>
        <v>16.399999999999977</v>
      </c>
      <c r="K406" s="8" t="b">
        <f t="shared" si="45"/>
        <v>1</v>
      </c>
    </row>
    <row r="407" spans="1:11">
      <c r="A407" s="5" t="s">
        <v>129</v>
      </c>
      <c r="B407" s="6">
        <v>45421</v>
      </c>
      <c r="C407" s="7">
        <v>0.7</v>
      </c>
      <c r="D407" s="5">
        <v>8.2899999999999991</v>
      </c>
      <c r="E407" s="5">
        <v>426.4</v>
      </c>
      <c r="F407" s="5">
        <v>442.8</v>
      </c>
      <c r="G407" s="6">
        <v>45421</v>
      </c>
      <c r="H407" s="5"/>
      <c r="I407" s="5"/>
      <c r="J407" s="5">
        <f t="shared" si="44"/>
        <v>16.400000000000034</v>
      </c>
      <c r="K407" s="8" t="b">
        <f t="shared" si="45"/>
        <v>1</v>
      </c>
    </row>
    <row r="408" spans="1:11">
      <c r="A408" s="5" t="s">
        <v>129</v>
      </c>
      <c r="B408" s="6">
        <v>45426</v>
      </c>
      <c r="C408" s="7">
        <v>0.7</v>
      </c>
      <c r="D408" s="5">
        <v>8.2899999999999991</v>
      </c>
      <c r="E408" s="5">
        <v>442.8</v>
      </c>
      <c r="F408" s="5">
        <v>459.8</v>
      </c>
      <c r="G408" s="6">
        <v>45426</v>
      </c>
      <c r="H408" s="5"/>
      <c r="I408" s="5"/>
      <c r="J408" s="5">
        <f t="shared" si="44"/>
        <v>17</v>
      </c>
      <c r="K408" s="8" t="b">
        <f t="shared" si="45"/>
        <v>1</v>
      </c>
    </row>
    <row r="409" spans="1:11">
      <c r="A409" s="5" t="s">
        <v>129</v>
      </c>
      <c r="B409" s="6">
        <v>45430</v>
      </c>
      <c r="C409" s="7">
        <v>0.6</v>
      </c>
      <c r="D409" s="5">
        <v>9.67</v>
      </c>
      <c r="E409" s="5">
        <v>459.8</v>
      </c>
      <c r="F409" s="5">
        <v>466.2</v>
      </c>
      <c r="G409" s="6">
        <v>45430</v>
      </c>
      <c r="H409" s="5"/>
      <c r="I409" s="5"/>
      <c r="J409" s="5">
        <f t="shared" si="44"/>
        <v>6.3999999999999773</v>
      </c>
      <c r="K409" s="8" t="b">
        <f t="shared" si="45"/>
        <v>1</v>
      </c>
    </row>
    <row r="410" spans="1:11">
      <c r="A410" s="5" t="s">
        <v>129</v>
      </c>
      <c r="B410" s="6">
        <v>45455</v>
      </c>
      <c r="C410" s="7">
        <v>0.6</v>
      </c>
      <c r="D410" s="5">
        <v>9.67</v>
      </c>
      <c r="E410" s="5">
        <v>466.2</v>
      </c>
      <c r="F410" s="5">
        <v>475.6</v>
      </c>
      <c r="G410" s="6">
        <v>45455</v>
      </c>
      <c r="H410" s="5"/>
      <c r="I410" s="5"/>
      <c r="J410" s="5">
        <f t="shared" ref="J410:J473" si="46">F410-E410</f>
        <v>9.4000000000000341</v>
      </c>
      <c r="K410" s="8" t="b">
        <f t="shared" ref="K410:K473" si="47">E410=F409</f>
        <v>1</v>
      </c>
    </row>
    <row r="411" spans="1:11">
      <c r="A411" s="5" t="s">
        <v>129</v>
      </c>
      <c r="B411" s="6"/>
      <c r="C411" s="7"/>
      <c r="D411" s="5"/>
      <c r="E411" s="5"/>
      <c r="F411" s="5"/>
      <c r="G411" s="6"/>
      <c r="H411" s="5"/>
      <c r="I411" s="5"/>
      <c r="J411" s="5">
        <f t="shared" si="46"/>
        <v>0</v>
      </c>
      <c r="K411" s="8" t="b">
        <f t="shared" si="47"/>
        <v>0</v>
      </c>
    </row>
    <row r="412" spans="1:11">
      <c r="A412" s="5" t="s">
        <v>129</v>
      </c>
      <c r="B412" s="6"/>
      <c r="C412" s="7"/>
      <c r="D412" s="5"/>
      <c r="E412" s="5"/>
      <c r="F412" s="5"/>
      <c r="G412" s="6"/>
      <c r="H412" s="5"/>
      <c r="I412" s="5"/>
      <c r="J412" s="5">
        <f t="shared" si="46"/>
        <v>0</v>
      </c>
      <c r="K412" s="8" t="b">
        <f t="shared" si="47"/>
        <v>1</v>
      </c>
    </row>
    <row r="413" spans="1:11">
      <c r="A413" s="5" t="s">
        <v>129</v>
      </c>
      <c r="B413" s="6"/>
      <c r="C413" s="7"/>
      <c r="D413" s="5"/>
      <c r="E413" s="5"/>
      <c r="F413" s="5"/>
      <c r="G413" s="6"/>
      <c r="H413" s="5"/>
      <c r="I413" s="5"/>
      <c r="J413" s="5">
        <f t="shared" si="46"/>
        <v>0</v>
      </c>
      <c r="K413" s="8" t="b">
        <f t="shared" si="47"/>
        <v>1</v>
      </c>
    </row>
    <row r="414" spans="1:11">
      <c r="A414" s="5" t="s">
        <v>129</v>
      </c>
      <c r="B414" s="6"/>
      <c r="C414" s="7"/>
      <c r="D414" s="5"/>
      <c r="E414" s="5"/>
      <c r="F414" s="5"/>
      <c r="G414" s="6"/>
      <c r="H414" s="5"/>
      <c r="I414" s="5"/>
      <c r="J414" s="5">
        <f t="shared" si="46"/>
        <v>0</v>
      </c>
      <c r="K414" s="8" t="b">
        <f t="shared" si="47"/>
        <v>1</v>
      </c>
    </row>
    <row r="415" spans="1:11">
      <c r="A415" s="5" t="s">
        <v>129</v>
      </c>
      <c r="B415" s="6"/>
      <c r="C415" s="7"/>
      <c r="D415" s="5"/>
      <c r="E415" s="5"/>
      <c r="F415" s="5"/>
      <c r="G415" s="6"/>
      <c r="H415" s="5"/>
      <c r="I415" s="5"/>
      <c r="J415" s="5">
        <f t="shared" si="46"/>
        <v>0</v>
      </c>
      <c r="K415" s="8" t="b">
        <f t="shared" si="47"/>
        <v>1</v>
      </c>
    </row>
    <row r="416" spans="1:11">
      <c r="A416" s="5" t="s">
        <v>129</v>
      </c>
      <c r="B416" s="6"/>
      <c r="C416" s="7"/>
      <c r="D416" s="5"/>
      <c r="E416" s="5"/>
      <c r="F416" s="5"/>
      <c r="G416" s="6"/>
      <c r="H416" s="5"/>
      <c r="I416" s="5"/>
      <c r="J416" s="5">
        <f t="shared" si="46"/>
        <v>0</v>
      </c>
      <c r="K416" s="8" t="b">
        <f t="shared" si="47"/>
        <v>1</v>
      </c>
    </row>
    <row r="417" spans="1:11">
      <c r="A417" s="5" t="s">
        <v>129</v>
      </c>
      <c r="B417" s="6"/>
      <c r="C417" s="7"/>
      <c r="D417" s="5"/>
      <c r="E417" s="5"/>
      <c r="F417" s="5"/>
      <c r="G417" s="6"/>
      <c r="H417" s="5"/>
      <c r="I417" s="5"/>
      <c r="J417" s="5">
        <f t="shared" si="46"/>
        <v>0</v>
      </c>
      <c r="K417" s="8" t="b">
        <f t="shared" si="47"/>
        <v>1</v>
      </c>
    </row>
    <row r="418" spans="1:11">
      <c r="A418" s="5" t="s">
        <v>129</v>
      </c>
      <c r="B418" s="6"/>
      <c r="C418" s="7"/>
      <c r="D418" s="5"/>
      <c r="E418" s="5"/>
      <c r="F418" s="5"/>
      <c r="G418" s="6"/>
      <c r="H418" s="5"/>
      <c r="I418" s="5"/>
      <c r="J418" s="5">
        <f t="shared" si="46"/>
        <v>0</v>
      </c>
      <c r="K418" s="8" t="b">
        <f t="shared" si="47"/>
        <v>1</v>
      </c>
    </row>
    <row r="419" spans="1:11">
      <c r="A419" s="5" t="s">
        <v>129</v>
      </c>
      <c r="B419" s="6"/>
      <c r="C419" s="7"/>
      <c r="D419" s="5"/>
      <c r="E419" s="5"/>
      <c r="F419" s="5"/>
      <c r="G419" s="6"/>
      <c r="H419" s="5"/>
      <c r="I419" s="5"/>
      <c r="J419" s="5">
        <f t="shared" si="46"/>
        <v>0</v>
      </c>
      <c r="K419" s="8" t="b">
        <f t="shared" si="47"/>
        <v>1</v>
      </c>
    </row>
    <row r="420" spans="1:11">
      <c r="A420" s="5" t="s">
        <v>129</v>
      </c>
      <c r="B420" s="6"/>
      <c r="C420" s="7"/>
      <c r="D420" s="5"/>
      <c r="E420" s="5"/>
      <c r="F420" s="5"/>
      <c r="G420" s="6"/>
      <c r="H420" s="5"/>
      <c r="I420" s="5"/>
      <c r="J420" s="5">
        <f t="shared" si="46"/>
        <v>0</v>
      </c>
      <c r="K420" s="8" t="b">
        <f t="shared" si="47"/>
        <v>1</v>
      </c>
    </row>
    <row r="421" spans="1:11">
      <c r="A421" s="5" t="s">
        <v>129</v>
      </c>
      <c r="B421" s="6"/>
      <c r="C421" s="7"/>
      <c r="D421" s="5"/>
      <c r="E421" s="5"/>
      <c r="F421" s="5"/>
      <c r="G421" s="6"/>
      <c r="H421" s="5"/>
      <c r="I421" s="5"/>
      <c r="J421" s="5">
        <f t="shared" si="46"/>
        <v>0</v>
      </c>
      <c r="K421" s="8" t="b">
        <f t="shared" si="47"/>
        <v>1</v>
      </c>
    </row>
    <row r="422" spans="1:11">
      <c r="A422" s="5" t="s">
        <v>129</v>
      </c>
      <c r="B422" s="6"/>
      <c r="C422" s="7"/>
      <c r="D422" s="5"/>
      <c r="E422" s="5"/>
      <c r="F422" s="5"/>
      <c r="G422" s="6"/>
      <c r="H422" s="5"/>
      <c r="I422" s="5"/>
      <c r="J422" s="5">
        <f t="shared" si="46"/>
        <v>0</v>
      </c>
      <c r="K422" s="8" t="b">
        <f t="shared" si="47"/>
        <v>1</v>
      </c>
    </row>
    <row r="423" spans="1:11">
      <c r="A423" s="5" t="s">
        <v>129</v>
      </c>
      <c r="B423" s="6"/>
      <c r="C423" s="7"/>
      <c r="D423" s="5"/>
      <c r="E423" s="5"/>
      <c r="F423" s="5"/>
      <c r="G423" s="6"/>
      <c r="H423" s="5"/>
      <c r="I423" s="5"/>
      <c r="J423" s="5">
        <f t="shared" si="46"/>
        <v>0</v>
      </c>
      <c r="K423" s="8" t="b">
        <f t="shared" si="47"/>
        <v>1</v>
      </c>
    </row>
    <row r="424" spans="1:11">
      <c r="A424" s="5" t="s">
        <v>129</v>
      </c>
      <c r="B424" s="6"/>
      <c r="C424" s="7"/>
      <c r="D424" s="5"/>
      <c r="E424" s="5"/>
      <c r="F424" s="5"/>
      <c r="G424" s="6"/>
      <c r="H424" s="5"/>
      <c r="I424" s="5"/>
      <c r="J424" s="5">
        <f t="shared" si="46"/>
        <v>0</v>
      </c>
      <c r="K424" s="8" t="b">
        <f t="shared" si="47"/>
        <v>1</v>
      </c>
    </row>
    <row r="425" spans="1:11">
      <c r="A425" s="5" t="s">
        <v>129</v>
      </c>
      <c r="B425" s="6"/>
      <c r="C425" s="7"/>
      <c r="D425" s="5"/>
      <c r="E425" s="5"/>
      <c r="F425" s="5"/>
      <c r="G425" s="6"/>
      <c r="H425" s="5"/>
      <c r="I425" s="5"/>
      <c r="J425" s="5">
        <f t="shared" si="46"/>
        <v>0</v>
      </c>
      <c r="K425" s="8" t="b">
        <f t="shared" si="47"/>
        <v>1</v>
      </c>
    </row>
    <row r="426" spans="1:11">
      <c r="A426" s="5" t="s">
        <v>129</v>
      </c>
      <c r="B426" s="6"/>
      <c r="C426" s="7"/>
      <c r="D426" s="5"/>
      <c r="E426" s="5"/>
      <c r="F426" s="5"/>
      <c r="G426" s="6"/>
      <c r="H426" s="5"/>
      <c r="I426" s="5"/>
      <c r="J426" s="5">
        <f t="shared" si="46"/>
        <v>0</v>
      </c>
      <c r="K426" s="8" t="b">
        <f t="shared" si="47"/>
        <v>1</v>
      </c>
    </row>
    <row r="427" spans="1:11">
      <c r="A427" s="5" t="s">
        <v>129</v>
      </c>
      <c r="B427" s="6"/>
      <c r="C427" s="7"/>
      <c r="D427" s="5"/>
      <c r="E427" s="5"/>
      <c r="F427" s="5"/>
      <c r="G427" s="6"/>
      <c r="H427" s="5"/>
      <c r="I427" s="5"/>
      <c r="J427" s="5">
        <f t="shared" si="46"/>
        <v>0</v>
      </c>
      <c r="K427" s="8" t="b">
        <f t="shared" si="47"/>
        <v>1</v>
      </c>
    </row>
    <row r="428" spans="1:11">
      <c r="A428" s="5" t="s">
        <v>129</v>
      </c>
      <c r="B428" s="6"/>
      <c r="C428" s="7"/>
      <c r="D428" s="5"/>
      <c r="E428" s="5"/>
      <c r="F428" s="5"/>
      <c r="G428" s="6"/>
      <c r="H428" s="5"/>
      <c r="I428" s="5"/>
      <c r="J428" s="5">
        <f t="shared" si="46"/>
        <v>0</v>
      </c>
      <c r="K428" s="8" t="b">
        <f t="shared" si="47"/>
        <v>1</v>
      </c>
    </row>
    <row r="429" spans="1:11">
      <c r="A429" s="5" t="s">
        <v>129</v>
      </c>
      <c r="B429" s="6"/>
      <c r="C429" s="7"/>
      <c r="D429" s="5"/>
      <c r="E429" s="5"/>
      <c r="F429" s="5"/>
      <c r="G429" s="6"/>
      <c r="H429" s="5"/>
      <c r="I429" s="5"/>
      <c r="J429" s="5">
        <f t="shared" si="46"/>
        <v>0</v>
      </c>
      <c r="K429" s="8" t="b">
        <f t="shared" si="47"/>
        <v>1</v>
      </c>
    </row>
    <row r="430" spans="1:11">
      <c r="A430" s="5" t="s">
        <v>129</v>
      </c>
      <c r="B430" s="6"/>
      <c r="C430" s="7"/>
      <c r="D430" s="5"/>
      <c r="E430" s="5"/>
      <c r="F430" s="5"/>
      <c r="G430" s="6"/>
      <c r="H430" s="5"/>
      <c r="I430" s="5"/>
      <c r="J430" s="5">
        <f t="shared" si="46"/>
        <v>0</v>
      </c>
      <c r="K430" s="8" t="b">
        <f t="shared" si="47"/>
        <v>1</v>
      </c>
    </row>
    <row r="431" spans="1:11">
      <c r="A431" s="5" t="s">
        <v>129</v>
      </c>
      <c r="B431" s="6"/>
      <c r="C431" s="7"/>
      <c r="D431" s="5"/>
      <c r="E431" s="5"/>
      <c r="F431" s="5"/>
      <c r="G431" s="6"/>
      <c r="H431" s="5"/>
      <c r="I431" s="5"/>
      <c r="J431" s="5">
        <f t="shared" si="46"/>
        <v>0</v>
      </c>
      <c r="K431" s="8" t="b">
        <f t="shared" si="47"/>
        <v>1</v>
      </c>
    </row>
    <row r="432" spans="1:11">
      <c r="A432" s="5" t="s">
        <v>129</v>
      </c>
      <c r="B432" s="6"/>
      <c r="C432" s="7"/>
      <c r="D432" s="5"/>
      <c r="E432" s="5"/>
      <c r="F432" s="5"/>
      <c r="G432" s="6"/>
      <c r="H432" s="5"/>
      <c r="I432" s="5"/>
      <c r="J432" s="5">
        <f t="shared" si="46"/>
        <v>0</v>
      </c>
      <c r="K432" s="8" t="b">
        <f t="shared" si="47"/>
        <v>1</v>
      </c>
    </row>
    <row r="433" spans="1:11">
      <c r="A433" s="5" t="s">
        <v>129</v>
      </c>
      <c r="B433" s="6"/>
      <c r="C433" s="7"/>
      <c r="D433" s="5"/>
      <c r="E433" s="5"/>
      <c r="F433" s="5"/>
      <c r="G433" s="6"/>
      <c r="H433" s="5"/>
      <c r="I433" s="5"/>
      <c r="J433" s="5">
        <f t="shared" si="46"/>
        <v>0</v>
      </c>
      <c r="K433" s="8" t="b">
        <f t="shared" si="47"/>
        <v>1</v>
      </c>
    </row>
    <row r="434" spans="1:11">
      <c r="A434" s="5" t="s">
        <v>129</v>
      </c>
      <c r="B434" s="6"/>
      <c r="C434" s="7"/>
      <c r="D434" s="5"/>
      <c r="E434" s="5"/>
      <c r="F434" s="5"/>
      <c r="G434" s="6"/>
      <c r="H434" s="5"/>
      <c r="I434" s="5"/>
      <c r="J434" s="5">
        <f t="shared" si="46"/>
        <v>0</v>
      </c>
      <c r="K434" s="8" t="b">
        <f t="shared" si="47"/>
        <v>1</v>
      </c>
    </row>
    <row r="435" spans="1:11">
      <c r="A435" s="5" t="s">
        <v>129</v>
      </c>
      <c r="B435" s="6"/>
      <c r="C435" s="7"/>
      <c r="D435" s="5"/>
      <c r="E435" s="5"/>
      <c r="F435" s="5"/>
      <c r="G435" s="6"/>
      <c r="H435" s="5"/>
      <c r="I435" s="5"/>
      <c r="J435" s="5">
        <f t="shared" si="46"/>
        <v>0</v>
      </c>
      <c r="K435" s="8" t="b">
        <f t="shared" si="47"/>
        <v>1</v>
      </c>
    </row>
    <row r="436" spans="1:11">
      <c r="A436" s="5" t="s">
        <v>129</v>
      </c>
      <c r="B436" s="6"/>
      <c r="C436" s="7"/>
      <c r="D436" s="5"/>
      <c r="E436" s="5"/>
      <c r="F436" s="5"/>
      <c r="G436" s="6"/>
      <c r="H436" s="5"/>
      <c r="I436" s="5"/>
      <c r="J436" s="5">
        <f t="shared" si="46"/>
        <v>0</v>
      </c>
      <c r="K436" s="8" t="b">
        <f t="shared" si="47"/>
        <v>1</v>
      </c>
    </row>
    <row r="437" spans="1:11">
      <c r="A437" s="5" t="s">
        <v>129</v>
      </c>
      <c r="B437" s="6"/>
      <c r="C437" s="7"/>
      <c r="D437" s="5"/>
      <c r="E437" s="5"/>
      <c r="F437" s="5"/>
      <c r="G437" s="6"/>
      <c r="H437" s="5"/>
      <c r="I437" s="5"/>
      <c r="J437" s="5">
        <f t="shared" si="46"/>
        <v>0</v>
      </c>
      <c r="K437" s="8" t="b">
        <f t="shared" si="47"/>
        <v>1</v>
      </c>
    </row>
    <row r="438" spans="1:11">
      <c r="A438" s="5" t="s">
        <v>129</v>
      </c>
      <c r="B438" s="6"/>
      <c r="C438" s="7"/>
      <c r="D438" s="5"/>
      <c r="E438" s="5"/>
      <c r="F438" s="5"/>
      <c r="G438" s="6"/>
      <c r="H438" s="5"/>
      <c r="I438" s="5"/>
      <c r="J438" s="5">
        <f t="shared" si="46"/>
        <v>0</v>
      </c>
      <c r="K438" s="8" t="b">
        <f t="shared" si="47"/>
        <v>1</v>
      </c>
    </row>
    <row r="439" spans="1:11">
      <c r="A439" s="5" t="s">
        <v>129</v>
      </c>
      <c r="B439" s="6"/>
      <c r="C439" s="7"/>
      <c r="D439" s="5"/>
      <c r="E439" s="5"/>
      <c r="F439" s="5"/>
      <c r="G439" s="6"/>
      <c r="H439" s="5"/>
      <c r="I439" s="5"/>
      <c r="J439" s="5">
        <f t="shared" si="46"/>
        <v>0</v>
      </c>
      <c r="K439" s="8" t="b">
        <f t="shared" si="47"/>
        <v>1</v>
      </c>
    </row>
    <row r="440" spans="1:11">
      <c r="A440" s="5" t="s">
        <v>129</v>
      </c>
      <c r="B440" s="6"/>
      <c r="C440" s="7"/>
      <c r="D440" s="5"/>
      <c r="E440" s="5"/>
      <c r="F440" s="5"/>
      <c r="G440" s="6"/>
      <c r="H440" s="5"/>
      <c r="I440" s="5"/>
      <c r="J440" s="5">
        <f t="shared" si="46"/>
        <v>0</v>
      </c>
      <c r="K440" s="8" t="b">
        <f t="shared" si="47"/>
        <v>1</v>
      </c>
    </row>
    <row r="441" spans="1:11">
      <c r="A441" s="5" t="s">
        <v>129</v>
      </c>
      <c r="B441" s="6"/>
      <c r="C441" s="7"/>
      <c r="D441" s="5"/>
      <c r="E441" s="5"/>
      <c r="F441" s="5"/>
      <c r="G441" s="6"/>
      <c r="H441" s="5"/>
      <c r="I441" s="5"/>
      <c r="J441" s="5">
        <f t="shared" si="46"/>
        <v>0</v>
      </c>
      <c r="K441" s="8" t="b">
        <f t="shared" si="47"/>
        <v>1</v>
      </c>
    </row>
    <row r="442" spans="1:11">
      <c r="A442" s="5" t="s">
        <v>129</v>
      </c>
      <c r="B442" s="6"/>
      <c r="C442" s="7"/>
      <c r="D442" s="5"/>
      <c r="E442" s="5"/>
      <c r="F442" s="5"/>
      <c r="G442" s="6"/>
      <c r="H442" s="5"/>
      <c r="I442" s="5"/>
      <c r="J442" s="5">
        <f t="shared" si="46"/>
        <v>0</v>
      </c>
      <c r="K442" s="8" t="b">
        <f t="shared" si="47"/>
        <v>1</v>
      </c>
    </row>
    <row r="443" spans="1:11">
      <c r="A443" s="5" t="s">
        <v>129</v>
      </c>
      <c r="B443" s="6"/>
      <c r="C443" s="7"/>
      <c r="D443" s="5"/>
      <c r="E443" s="5"/>
      <c r="F443" s="5"/>
      <c r="G443" s="6"/>
      <c r="H443" s="5"/>
      <c r="I443" s="5"/>
      <c r="J443" s="5">
        <f t="shared" si="46"/>
        <v>0</v>
      </c>
      <c r="K443" s="8" t="b">
        <f t="shared" si="47"/>
        <v>1</v>
      </c>
    </row>
    <row r="444" spans="1:11">
      <c r="A444" s="5" t="s">
        <v>129</v>
      </c>
      <c r="B444" s="6"/>
      <c r="C444" s="7"/>
      <c r="D444" s="5"/>
      <c r="E444" s="5"/>
      <c r="F444" s="5"/>
      <c r="G444" s="6"/>
      <c r="H444" s="5"/>
      <c r="I444" s="5"/>
      <c r="J444" s="5">
        <f t="shared" si="46"/>
        <v>0</v>
      </c>
      <c r="K444" s="8" t="b">
        <f t="shared" si="47"/>
        <v>1</v>
      </c>
    </row>
    <row r="445" spans="1:11">
      <c r="A445" s="5" t="s">
        <v>129</v>
      </c>
      <c r="B445" s="6"/>
      <c r="C445" s="7"/>
      <c r="D445" s="5"/>
      <c r="E445" s="5"/>
      <c r="F445" s="5"/>
      <c r="G445" s="6"/>
      <c r="H445" s="5"/>
      <c r="I445" s="5"/>
      <c r="J445" s="5">
        <f t="shared" si="46"/>
        <v>0</v>
      </c>
      <c r="K445" s="8" t="b">
        <f t="shared" si="47"/>
        <v>1</v>
      </c>
    </row>
    <row r="446" spans="1:11">
      <c r="A446" s="5" t="s">
        <v>129</v>
      </c>
      <c r="B446" s="6"/>
      <c r="C446" s="7"/>
      <c r="D446" s="5"/>
      <c r="E446" s="5"/>
      <c r="F446" s="5"/>
      <c r="G446" s="6"/>
      <c r="H446" s="5"/>
      <c r="I446" s="5"/>
      <c r="J446" s="5">
        <f t="shared" si="46"/>
        <v>0</v>
      </c>
      <c r="K446" s="8" t="b">
        <f t="shared" si="47"/>
        <v>1</v>
      </c>
    </row>
    <row r="447" spans="1:11">
      <c r="A447" s="5" t="s">
        <v>129</v>
      </c>
      <c r="B447" s="6"/>
      <c r="C447" s="7"/>
      <c r="D447" s="5"/>
      <c r="E447" s="5"/>
      <c r="F447" s="5"/>
      <c r="G447" s="6"/>
      <c r="H447" s="5"/>
      <c r="I447" s="5"/>
      <c r="J447" s="5">
        <f t="shared" si="46"/>
        <v>0</v>
      </c>
      <c r="K447" s="8" t="b">
        <f t="shared" si="47"/>
        <v>1</v>
      </c>
    </row>
    <row r="448" spans="1:11">
      <c r="A448" s="5" t="s">
        <v>129</v>
      </c>
      <c r="B448" s="6"/>
      <c r="C448" s="7"/>
      <c r="D448" s="5"/>
      <c r="E448" s="5"/>
      <c r="F448" s="5"/>
      <c r="G448" s="6"/>
      <c r="H448" s="5"/>
      <c r="I448" s="5"/>
      <c r="J448" s="5">
        <f t="shared" si="46"/>
        <v>0</v>
      </c>
      <c r="K448" s="8" t="b">
        <f t="shared" si="47"/>
        <v>1</v>
      </c>
    </row>
    <row r="449" spans="1:11">
      <c r="A449" s="5" t="s">
        <v>129</v>
      </c>
      <c r="B449" s="6"/>
      <c r="C449" s="7"/>
      <c r="D449" s="5"/>
      <c r="E449" s="5"/>
      <c r="F449" s="5"/>
      <c r="G449" s="6"/>
      <c r="H449" s="5"/>
      <c r="I449" s="5"/>
      <c r="J449" s="5">
        <f t="shared" si="46"/>
        <v>0</v>
      </c>
      <c r="K449" s="8" t="b">
        <f t="shared" si="47"/>
        <v>1</v>
      </c>
    </row>
    <row r="450" spans="1:11">
      <c r="A450" s="5" t="s">
        <v>129</v>
      </c>
      <c r="B450" s="6"/>
      <c r="C450" s="7"/>
      <c r="D450" s="5"/>
      <c r="E450" s="5"/>
      <c r="F450" s="5"/>
      <c r="G450" s="6"/>
      <c r="H450" s="5"/>
      <c r="I450" s="5"/>
      <c r="J450" s="5">
        <f t="shared" si="46"/>
        <v>0</v>
      </c>
      <c r="K450" s="8" t="b">
        <f t="shared" si="47"/>
        <v>1</v>
      </c>
    </row>
    <row r="451" spans="1:11">
      <c r="A451" s="5" t="s">
        <v>129</v>
      </c>
      <c r="B451" s="6"/>
      <c r="C451" s="7"/>
      <c r="D451" s="5"/>
      <c r="E451" s="5"/>
      <c r="F451" s="5"/>
      <c r="G451" s="6"/>
      <c r="H451" s="5"/>
      <c r="I451" s="5"/>
      <c r="J451" s="5">
        <f t="shared" si="46"/>
        <v>0</v>
      </c>
      <c r="K451" s="8" t="b">
        <f t="shared" si="47"/>
        <v>1</v>
      </c>
    </row>
    <row r="452" spans="1:11">
      <c r="A452" s="5" t="s">
        <v>129</v>
      </c>
      <c r="B452" s="6"/>
      <c r="C452" s="7"/>
      <c r="D452" s="5"/>
      <c r="E452" s="5"/>
      <c r="F452" s="5"/>
      <c r="G452" s="6"/>
      <c r="H452" s="5"/>
      <c r="I452" s="5"/>
      <c r="J452" s="5">
        <f t="shared" si="46"/>
        <v>0</v>
      </c>
      <c r="K452" s="8" t="b">
        <f t="shared" si="47"/>
        <v>1</v>
      </c>
    </row>
    <row r="453" spans="1:11">
      <c r="A453" s="5" t="s">
        <v>129</v>
      </c>
      <c r="B453" s="6"/>
      <c r="C453" s="7"/>
      <c r="D453" s="5"/>
      <c r="E453" s="5"/>
      <c r="F453" s="5"/>
      <c r="G453" s="6"/>
      <c r="H453" s="5"/>
      <c r="I453" s="5"/>
      <c r="J453" s="5">
        <f t="shared" si="46"/>
        <v>0</v>
      </c>
      <c r="K453" s="8" t="b">
        <f t="shared" si="47"/>
        <v>1</v>
      </c>
    </row>
    <row r="454" spans="1:11">
      <c r="A454" s="5" t="s">
        <v>129</v>
      </c>
      <c r="B454" s="6"/>
      <c r="C454" s="7"/>
      <c r="D454" s="5"/>
      <c r="E454" s="5"/>
      <c r="F454" s="5"/>
      <c r="G454" s="6"/>
      <c r="H454" s="5"/>
      <c r="I454" s="5"/>
      <c r="J454" s="5">
        <f t="shared" si="46"/>
        <v>0</v>
      </c>
      <c r="K454" s="8" t="b">
        <f t="shared" si="47"/>
        <v>1</v>
      </c>
    </row>
    <row r="455" spans="1:11">
      <c r="A455" s="5" t="s">
        <v>129</v>
      </c>
      <c r="B455" s="6"/>
      <c r="C455" s="7"/>
      <c r="D455" s="5"/>
      <c r="E455" s="5"/>
      <c r="F455" s="5"/>
      <c r="G455" s="6"/>
      <c r="H455" s="5"/>
      <c r="I455" s="5"/>
      <c r="J455" s="5">
        <f t="shared" si="46"/>
        <v>0</v>
      </c>
      <c r="K455" s="8" t="b">
        <f t="shared" si="47"/>
        <v>1</v>
      </c>
    </row>
    <row r="456" spans="1:11">
      <c r="A456" s="5" t="s">
        <v>129</v>
      </c>
      <c r="B456" s="6"/>
      <c r="C456" s="7"/>
      <c r="D456" s="5"/>
      <c r="E456" s="5"/>
      <c r="F456" s="5"/>
      <c r="G456" s="6"/>
      <c r="H456" s="5"/>
      <c r="I456" s="5"/>
      <c r="J456" s="5">
        <f t="shared" si="46"/>
        <v>0</v>
      </c>
      <c r="K456" s="8" t="b">
        <f t="shared" si="47"/>
        <v>1</v>
      </c>
    </row>
    <row r="457" spans="1:11">
      <c r="A457" s="5" t="s">
        <v>129</v>
      </c>
      <c r="B457" s="6"/>
      <c r="C457" s="7"/>
      <c r="D457" s="5"/>
      <c r="E457" s="5"/>
      <c r="F457" s="5"/>
      <c r="G457" s="6"/>
      <c r="H457" s="5"/>
      <c r="I457" s="5"/>
      <c r="J457" s="5">
        <f t="shared" si="46"/>
        <v>0</v>
      </c>
      <c r="K457" s="8" t="b">
        <f t="shared" si="47"/>
        <v>1</v>
      </c>
    </row>
    <row r="458" spans="1:11">
      <c r="A458" s="5" t="s">
        <v>129</v>
      </c>
      <c r="B458" s="6"/>
      <c r="C458" s="7"/>
      <c r="D458" s="5"/>
      <c r="E458" s="5"/>
      <c r="F458" s="5"/>
      <c r="G458" s="6"/>
      <c r="H458" s="5"/>
      <c r="I458" s="5"/>
      <c r="J458" s="5">
        <f t="shared" si="46"/>
        <v>0</v>
      </c>
      <c r="K458" s="8" t="b">
        <f t="shared" si="47"/>
        <v>1</v>
      </c>
    </row>
    <row r="459" spans="1:11">
      <c r="A459" s="5" t="s">
        <v>129</v>
      </c>
      <c r="B459" s="6"/>
      <c r="C459" s="7"/>
      <c r="D459" s="5"/>
      <c r="E459" s="5"/>
      <c r="F459" s="5"/>
      <c r="G459" s="6"/>
      <c r="H459" s="5"/>
      <c r="I459" s="5"/>
      <c r="J459" s="5">
        <f t="shared" si="46"/>
        <v>0</v>
      </c>
      <c r="K459" s="8" t="b">
        <f t="shared" si="47"/>
        <v>1</v>
      </c>
    </row>
    <row r="460" spans="1:11">
      <c r="A460" s="5" t="s">
        <v>129</v>
      </c>
      <c r="B460" s="6"/>
      <c r="C460" s="7"/>
      <c r="D460" s="5"/>
      <c r="E460" s="5"/>
      <c r="F460" s="5"/>
      <c r="G460" s="6"/>
      <c r="H460" s="5"/>
      <c r="I460" s="5"/>
      <c r="J460" s="5">
        <f t="shared" si="46"/>
        <v>0</v>
      </c>
      <c r="K460" s="8" t="b">
        <f t="shared" si="47"/>
        <v>1</v>
      </c>
    </row>
    <row r="461" spans="1:11">
      <c r="A461" s="5" t="s">
        <v>129</v>
      </c>
      <c r="B461" s="6"/>
      <c r="C461" s="7"/>
      <c r="D461" s="5"/>
      <c r="E461" s="5"/>
      <c r="F461" s="5"/>
      <c r="G461" s="6"/>
      <c r="H461" s="5"/>
      <c r="I461" s="5"/>
      <c r="J461" s="5">
        <f t="shared" si="46"/>
        <v>0</v>
      </c>
      <c r="K461" s="8" t="b">
        <f t="shared" si="47"/>
        <v>1</v>
      </c>
    </row>
    <row r="462" spans="1:11">
      <c r="A462" s="5" t="s">
        <v>129</v>
      </c>
      <c r="B462" s="6"/>
      <c r="C462" s="7"/>
      <c r="D462" s="5"/>
      <c r="E462" s="5"/>
      <c r="F462" s="5"/>
      <c r="G462" s="6"/>
      <c r="H462" s="5"/>
      <c r="I462" s="5"/>
      <c r="J462" s="5">
        <f t="shared" si="46"/>
        <v>0</v>
      </c>
      <c r="K462" s="8" t="b">
        <f t="shared" si="47"/>
        <v>1</v>
      </c>
    </row>
    <row r="463" spans="1:11">
      <c r="A463" s="5" t="s">
        <v>129</v>
      </c>
      <c r="B463" s="6"/>
      <c r="C463" s="7"/>
      <c r="D463" s="5"/>
      <c r="E463" s="5"/>
      <c r="F463" s="5"/>
      <c r="G463" s="6"/>
      <c r="H463" s="5"/>
      <c r="I463" s="5"/>
      <c r="J463" s="5">
        <f t="shared" si="46"/>
        <v>0</v>
      </c>
      <c r="K463" s="8" t="b">
        <f t="shared" si="47"/>
        <v>1</v>
      </c>
    </row>
    <row r="464" spans="1:11">
      <c r="A464" s="5" t="s">
        <v>129</v>
      </c>
      <c r="B464" s="6"/>
      <c r="C464" s="7"/>
      <c r="D464" s="5"/>
      <c r="E464" s="5"/>
      <c r="F464" s="5"/>
      <c r="G464" s="6"/>
      <c r="H464" s="5"/>
      <c r="I464" s="5"/>
      <c r="J464" s="5">
        <f t="shared" si="46"/>
        <v>0</v>
      </c>
      <c r="K464" s="8" t="b">
        <f t="shared" si="47"/>
        <v>1</v>
      </c>
    </row>
    <row r="465" spans="1:11">
      <c r="A465" s="5" t="s">
        <v>129</v>
      </c>
      <c r="B465" s="6"/>
      <c r="C465" s="7"/>
      <c r="D465" s="5"/>
      <c r="E465" s="5"/>
      <c r="F465" s="5"/>
      <c r="G465" s="6"/>
      <c r="H465" s="5"/>
      <c r="I465" s="5"/>
      <c r="J465" s="5">
        <f t="shared" si="46"/>
        <v>0</v>
      </c>
      <c r="K465" s="8" t="b">
        <f t="shared" si="47"/>
        <v>1</v>
      </c>
    </row>
    <row r="466" spans="1:11">
      <c r="A466" s="5" t="s">
        <v>129</v>
      </c>
      <c r="B466" s="6"/>
      <c r="C466" s="7"/>
      <c r="D466" s="5"/>
      <c r="E466" s="5"/>
      <c r="F466" s="5"/>
      <c r="G466" s="6"/>
      <c r="H466" s="5"/>
      <c r="I466" s="5"/>
      <c r="J466" s="5">
        <f t="shared" si="46"/>
        <v>0</v>
      </c>
      <c r="K466" s="8" t="b">
        <f t="shared" si="47"/>
        <v>1</v>
      </c>
    </row>
    <row r="467" spans="1:11">
      <c r="A467" s="5" t="s">
        <v>129</v>
      </c>
      <c r="B467" s="6"/>
      <c r="C467" s="7"/>
      <c r="D467" s="5"/>
      <c r="E467" s="5"/>
      <c r="F467" s="5"/>
      <c r="G467" s="6"/>
      <c r="H467" s="5"/>
      <c r="I467" s="5"/>
      <c r="J467" s="5">
        <f t="shared" si="46"/>
        <v>0</v>
      </c>
      <c r="K467" s="8" t="b">
        <f t="shared" si="47"/>
        <v>1</v>
      </c>
    </row>
    <row r="468" spans="1:11">
      <c r="A468" s="5" t="s">
        <v>129</v>
      </c>
      <c r="B468" s="6"/>
      <c r="C468" s="7"/>
      <c r="D468" s="5"/>
      <c r="E468" s="5"/>
      <c r="F468" s="5"/>
      <c r="G468" s="6"/>
      <c r="H468" s="5"/>
      <c r="I468" s="5"/>
      <c r="J468" s="5">
        <f t="shared" si="46"/>
        <v>0</v>
      </c>
      <c r="K468" s="8" t="b">
        <f t="shared" si="47"/>
        <v>1</v>
      </c>
    </row>
    <row r="469" spans="1:11">
      <c r="A469" s="5" t="s">
        <v>129</v>
      </c>
      <c r="B469" s="6"/>
      <c r="C469" s="7"/>
      <c r="D469" s="5"/>
      <c r="E469" s="5"/>
      <c r="F469" s="5"/>
      <c r="G469" s="6"/>
      <c r="H469" s="5"/>
      <c r="I469" s="5"/>
      <c r="J469" s="5">
        <f t="shared" si="46"/>
        <v>0</v>
      </c>
      <c r="K469" s="8" t="b">
        <f t="shared" si="47"/>
        <v>1</v>
      </c>
    </row>
    <row r="470" spans="1:11">
      <c r="A470" s="5" t="s">
        <v>129</v>
      </c>
      <c r="B470" s="6"/>
      <c r="C470" s="7"/>
      <c r="D470" s="5"/>
      <c r="E470" s="5"/>
      <c r="F470" s="5"/>
      <c r="G470" s="6"/>
      <c r="H470" s="5"/>
      <c r="I470" s="5"/>
      <c r="J470" s="5">
        <f t="shared" si="46"/>
        <v>0</v>
      </c>
      <c r="K470" s="8" t="b">
        <f t="shared" si="47"/>
        <v>1</v>
      </c>
    </row>
    <row r="471" spans="1:11">
      <c r="A471" s="5" t="s">
        <v>129</v>
      </c>
      <c r="B471" s="6"/>
      <c r="C471" s="7"/>
      <c r="D471" s="5"/>
      <c r="E471" s="5"/>
      <c r="F471" s="5"/>
      <c r="G471" s="6"/>
      <c r="H471" s="5"/>
      <c r="I471" s="5"/>
      <c r="J471" s="5">
        <f t="shared" si="46"/>
        <v>0</v>
      </c>
      <c r="K471" s="8" t="b">
        <f t="shared" si="47"/>
        <v>1</v>
      </c>
    </row>
    <row r="472" spans="1:11">
      <c r="A472" s="5" t="s">
        <v>129</v>
      </c>
      <c r="B472" s="6"/>
      <c r="C472" s="7"/>
      <c r="D472" s="5"/>
      <c r="E472" s="5"/>
      <c r="F472" s="5"/>
      <c r="G472" s="6"/>
      <c r="H472" s="5"/>
      <c r="I472" s="5"/>
      <c r="J472" s="5">
        <f t="shared" si="46"/>
        <v>0</v>
      </c>
      <c r="K472" s="8" t="b">
        <f t="shared" si="47"/>
        <v>1</v>
      </c>
    </row>
    <row r="473" spans="1:11">
      <c r="A473" s="5" t="s">
        <v>129</v>
      </c>
      <c r="B473" s="6"/>
      <c r="C473" s="7"/>
      <c r="D473" s="5"/>
      <c r="E473" s="5"/>
      <c r="F473" s="5"/>
      <c r="G473" s="6"/>
      <c r="H473" s="5"/>
      <c r="I473" s="5"/>
      <c r="J473" s="5">
        <f t="shared" si="46"/>
        <v>0</v>
      </c>
      <c r="K473" s="8" t="b">
        <f t="shared" si="47"/>
        <v>1</v>
      </c>
    </row>
  </sheetData>
  <mergeCells count="21">
    <mergeCell ref="A273:K273"/>
    <mergeCell ref="A275:K275"/>
    <mergeCell ref="A210:K210"/>
    <mergeCell ref="A211:K211"/>
    <mergeCell ref="A213:K213"/>
    <mergeCell ref="A369:K369"/>
    <mergeCell ref="A370:K370"/>
    <mergeCell ref="A372:K372"/>
    <mergeCell ref="A48:K48"/>
    <mergeCell ref="A1:K1"/>
    <mergeCell ref="A2:K2"/>
    <mergeCell ref="A4:K4"/>
    <mergeCell ref="A45:K45"/>
    <mergeCell ref="A46:K46"/>
    <mergeCell ref="A314:K314"/>
    <mergeCell ref="A315:K315"/>
    <mergeCell ref="A317:K317"/>
    <mergeCell ref="A121:K121"/>
    <mergeCell ref="A122:K122"/>
    <mergeCell ref="A124:K124"/>
    <mergeCell ref="A272:K272"/>
  </mergeCells>
  <conditionalFormatting sqref="K1:K1048576">
    <cfRule type="containsText" dxfId="85" priority="1" operator="containsText" text="FALSO">
      <formula>NOT(ISERROR(SEARCH("FALSO",K1)))</formula>
    </cfRule>
    <cfRule type="containsText" dxfId="84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F493-94E4-4C61-A13C-D7AC3BB697D7}">
  <sheetPr codeName="Planilha10"/>
  <dimension ref="A1:K474"/>
  <sheetViews>
    <sheetView topLeftCell="A403" workbookViewId="0">
      <selection activeCell="G428" sqref="G428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44" t="s">
        <v>139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110</v>
      </c>
      <c r="B8" s="6">
        <v>43755</v>
      </c>
      <c r="C8" s="7">
        <v>0.7</v>
      </c>
      <c r="D8" s="5">
        <v>8.2899999999999991</v>
      </c>
      <c r="E8" s="5">
        <v>107.2</v>
      </c>
      <c r="F8" s="5">
        <v>125.1</v>
      </c>
      <c r="G8" s="6">
        <v>43755</v>
      </c>
      <c r="H8" s="5" t="s">
        <v>56</v>
      </c>
      <c r="I8" s="5" t="s">
        <v>57</v>
      </c>
      <c r="J8" s="5">
        <f t="shared" ref="J8:J40" si="0">F8-E8</f>
        <v>17.899999999999991</v>
      </c>
      <c r="K8" s="8" t="b">
        <f t="shared" ref="K8:K39" si="1">F8=E9</f>
        <v>1</v>
      </c>
    </row>
    <row r="9" spans="1:11">
      <c r="A9" s="5">
        <v>110</v>
      </c>
      <c r="B9" s="6">
        <v>43757</v>
      </c>
      <c r="C9" s="7">
        <v>0.4</v>
      </c>
      <c r="D9" s="5">
        <v>11.3</v>
      </c>
      <c r="E9" s="5">
        <v>125.1</v>
      </c>
      <c r="F9" s="5">
        <v>139.5</v>
      </c>
      <c r="G9" s="6">
        <v>43757</v>
      </c>
      <c r="H9" s="5" t="s">
        <v>60</v>
      </c>
      <c r="I9" s="5" t="s">
        <v>57</v>
      </c>
      <c r="J9" s="5">
        <f t="shared" si="0"/>
        <v>14.400000000000006</v>
      </c>
      <c r="K9" s="8" t="b">
        <f t="shared" si="1"/>
        <v>1</v>
      </c>
    </row>
    <row r="10" spans="1:11">
      <c r="A10" s="5">
        <v>110</v>
      </c>
      <c r="B10" s="6">
        <v>43758</v>
      </c>
      <c r="C10" s="7">
        <v>0.4</v>
      </c>
      <c r="D10" s="5">
        <v>11.3</v>
      </c>
      <c r="E10" s="5">
        <v>139.5</v>
      </c>
      <c r="F10" s="5">
        <v>154.9</v>
      </c>
      <c r="G10" s="6">
        <v>43758</v>
      </c>
      <c r="H10" s="5" t="s">
        <v>60</v>
      </c>
      <c r="I10" s="5" t="s">
        <v>57</v>
      </c>
      <c r="J10" s="5">
        <f t="shared" si="0"/>
        <v>15.400000000000006</v>
      </c>
      <c r="K10" s="8" t="b">
        <f t="shared" si="1"/>
        <v>1</v>
      </c>
    </row>
    <row r="11" spans="1:11">
      <c r="A11" s="5">
        <v>110</v>
      </c>
      <c r="B11" s="6">
        <v>43759</v>
      </c>
      <c r="C11" s="7">
        <v>1</v>
      </c>
      <c r="D11" s="5">
        <v>5.8</v>
      </c>
      <c r="E11" s="5">
        <v>154.9</v>
      </c>
      <c r="F11" s="5">
        <v>165.7</v>
      </c>
      <c r="G11" s="6">
        <v>43759</v>
      </c>
      <c r="H11" s="5" t="s">
        <v>58</v>
      </c>
      <c r="I11" s="5" t="s">
        <v>57</v>
      </c>
      <c r="J11" s="5">
        <f t="shared" si="0"/>
        <v>10.799999999999983</v>
      </c>
      <c r="K11" s="8" t="b">
        <f t="shared" si="1"/>
        <v>1</v>
      </c>
    </row>
    <row r="12" spans="1:11">
      <c r="A12" s="5">
        <v>110</v>
      </c>
      <c r="B12" s="6">
        <v>43760</v>
      </c>
      <c r="C12" s="7">
        <v>1</v>
      </c>
      <c r="D12" s="5">
        <v>5.8</v>
      </c>
      <c r="E12" s="5">
        <v>165.7</v>
      </c>
      <c r="F12" s="5">
        <v>175.4</v>
      </c>
      <c r="G12" s="6">
        <v>43760</v>
      </c>
      <c r="H12" s="5" t="s">
        <v>58</v>
      </c>
      <c r="I12" s="5" t="s">
        <v>57</v>
      </c>
      <c r="J12" s="5">
        <f t="shared" si="0"/>
        <v>9.7000000000000171</v>
      </c>
      <c r="K12" s="8" t="b">
        <f t="shared" si="1"/>
        <v>1</v>
      </c>
    </row>
    <row r="13" spans="1:11">
      <c r="A13" s="5">
        <v>110</v>
      </c>
      <c r="B13" s="6">
        <v>43765</v>
      </c>
      <c r="C13" s="7">
        <v>0.8</v>
      </c>
      <c r="D13" s="5">
        <v>7.25</v>
      </c>
      <c r="E13" s="5">
        <v>175.4</v>
      </c>
      <c r="F13" s="5">
        <v>189.7</v>
      </c>
      <c r="G13" s="6">
        <v>43765</v>
      </c>
      <c r="H13" s="5" t="s">
        <v>58</v>
      </c>
      <c r="I13" s="5" t="s">
        <v>57</v>
      </c>
      <c r="J13" s="5">
        <f t="shared" si="0"/>
        <v>14.299999999999983</v>
      </c>
      <c r="K13" s="8" t="b">
        <f t="shared" si="1"/>
        <v>1</v>
      </c>
    </row>
    <row r="14" spans="1:11">
      <c r="A14" s="5">
        <v>110</v>
      </c>
      <c r="B14" s="6">
        <v>43767</v>
      </c>
      <c r="C14" s="7">
        <v>0.8</v>
      </c>
      <c r="D14" s="5">
        <v>7.25</v>
      </c>
      <c r="E14" s="5">
        <v>189.7</v>
      </c>
      <c r="F14" s="5">
        <v>206.2</v>
      </c>
      <c r="G14" s="6">
        <v>43767</v>
      </c>
      <c r="H14" s="5" t="s">
        <v>56</v>
      </c>
      <c r="I14" s="5" t="s">
        <v>57</v>
      </c>
      <c r="J14" s="5">
        <f t="shared" si="0"/>
        <v>16.5</v>
      </c>
      <c r="K14" s="8" t="b">
        <f t="shared" si="1"/>
        <v>1</v>
      </c>
    </row>
    <row r="15" spans="1:11">
      <c r="A15" s="5">
        <v>110</v>
      </c>
      <c r="B15" s="6">
        <v>43769</v>
      </c>
      <c r="C15" s="7">
        <v>0.8</v>
      </c>
      <c r="D15" s="5">
        <v>7.25</v>
      </c>
      <c r="E15" s="5">
        <v>206.2</v>
      </c>
      <c r="F15" s="5">
        <v>219</v>
      </c>
      <c r="G15" s="6">
        <v>43769</v>
      </c>
      <c r="H15" s="5" t="s">
        <v>58</v>
      </c>
      <c r="I15" s="5" t="s">
        <v>57</v>
      </c>
      <c r="J15" s="5">
        <f t="shared" si="0"/>
        <v>12.800000000000011</v>
      </c>
      <c r="K15" s="8" t="b">
        <f t="shared" si="1"/>
        <v>1</v>
      </c>
    </row>
    <row r="16" spans="1:11">
      <c r="A16" s="5">
        <v>110</v>
      </c>
      <c r="B16" s="6">
        <v>43771</v>
      </c>
      <c r="C16" s="7">
        <v>0.8</v>
      </c>
      <c r="D16" s="5">
        <v>7.25</v>
      </c>
      <c r="E16" s="5">
        <v>219</v>
      </c>
      <c r="F16" s="5">
        <v>235.5</v>
      </c>
      <c r="G16" s="6">
        <v>43771</v>
      </c>
      <c r="H16" s="5" t="s">
        <v>58</v>
      </c>
      <c r="I16" s="5" t="s">
        <v>57</v>
      </c>
      <c r="J16" s="5">
        <f t="shared" si="0"/>
        <v>16.5</v>
      </c>
      <c r="K16" s="8" t="b">
        <f t="shared" si="1"/>
        <v>1</v>
      </c>
    </row>
    <row r="17" spans="1:11">
      <c r="A17" s="5">
        <v>110</v>
      </c>
      <c r="B17" s="6">
        <v>43773</v>
      </c>
      <c r="C17" s="7">
        <v>0.8</v>
      </c>
      <c r="D17" s="5">
        <v>7.25</v>
      </c>
      <c r="E17" s="5">
        <v>235.5</v>
      </c>
      <c r="F17" s="5">
        <v>249.9</v>
      </c>
      <c r="G17" s="6">
        <v>43773</v>
      </c>
      <c r="H17" s="5" t="s">
        <v>58</v>
      </c>
      <c r="I17" s="5" t="s">
        <v>57</v>
      </c>
      <c r="J17" s="5">
        <f t="shared" si="0"/>
        <v>14.400000000000006</v>
      </c>
      <c r="K17" s="8" t="b">
        <f t="shared" si="1"/>
        <v>1</v>
      </c>
    </row>
    <row r="18" spans="1:11">
      <c r="A18" s="5">
        <v>110</v>
      </c>
      <c r="B18" s="6">
        <v>43775</v>
      </c>
      <c r="C18" s="7">
        <v>0.8</v>
      </c>
      <c r="D18" s="5">
        <v>7.25</v>
      </c>
      <c r="E18" s="5">
        <v>249.9</v>
      </c>
      <c r="F18" s="5">
        <v>265.8</v>
      </c>
      <c r="G18" s="6">
        <v>43775</v>
      </c>
      <c r="H18" s="5" t="s">
        <v>59</v>
      </c>
      <c r="I18" s="5" t="s">
        <v>57</v>
      </c>
      <c r="J18" s="5">
        <f t="shared" si="0"/>
        <v>15.900000000000006</v>
      </c>
      <c r="K18" s="8" t="b">
        <f t="shared" si="1"/>
        <v>1</v>
      </c>
    </row>
    <row r="19" spans="1:11">
      <c r="A19" s="5">
        <v>110</v>
      </c>
      <c r="B19" s="6">
        <v>43777</v>
      </c>
      <c r="C19" s="7">
        <v>0.8</v>
      </c>
      <c r="D19" s="5">
        <v>7.25</v>
      </c>
      <c r="E19" s="5">
        <v>265.8</v>
      </c>
      <c r="F19" s="5">
        <v>285.10000000000002</v>
      </c>
      <c r="G19" s="6">
        <v>43777</v>
      </c>
      <c r="H19" s="5" t="s">
        <v>59</v>
      </c>
      <c r="I19" s="5" t="s">
        <v>57</v>
      </c>
      <c r="J19" s="5">
        <f t="shared" si="0"/>
        <v>19.300000000000011</v>
      </c>
      <c r="K19" s="8" t="b">
        <f t="shared" si="1"/>
        <v>1</v>
      </c>
    </row>
    <row r="20" spans="1:11">
      <c r="A20" s="5">
        <v>110</v>
      </c>
      <c r="B20" s="6">
        <v>43779</v>
      </c>
      <c r="C20" s="7">
        <v>1</v>
      </c>
      <c r="D20" s="5">
        <v>5.8</v>
      </c>
      <c r="E20" s="5">
        <v>285.10000000000002</v>
      </c>
      <c r="F20" s="5">
        <v>298.10000000000002</v>
      </c>
      <c r="G20" s="6">
        <v>43779</v>
      </c>
      <c r="H20" s="5" t="s">
        <v>58</v>
      </c>
      <c r="I20" s="5" t="s">
        <v>57</v>
      </c>
      <c r="J20" s="5">
        <f t="shared" si="0"/>
        <v>13</v>
      </c>
      <c r="K20" s="8" t="b">
        <f t="shared" si="1"/>
        <v>1</v>
      </c>
    </row>
    <row r="21" spans="1:11">
      <c r="A21" s="5">
        <v>110</v>
      </c>
      <c r="B21" s="6">
        <v>43780</v>
      </c>
      <c r="C21" s="7">
        <v>0.65</v>
      </c>
      <c r="D21" s="5">
        <v>5.68</v>
      </c>
      <c r="E21" s="5">
        <v>298.10000000000002</v>
      </c>
      <c r="F21" s="5">
        <v>313.2</v>
      </c>
      <c r="G21" s="6">
        <v>43780</v>
      </c>
      <c r="H21" s="5" t="s">
        <v>56</v>
      </c>
      <c r="I21" s="5" t="s">
        <v>57</v>
      </c>
      <c r="J21" s="5">
        <f t="shared" si="0"/>
        <v>15.099999999999966</v>
      </c>
      <c r="K21" s="8" t="b">
        <f t="shared" si="1"/>
        <v>1</v>
      </c>
    </row>
    <row r="22" spans="1:11">
      <c r="A22" s="5">
        <v>110</v>
      </c>
      <c r="B22" s="6">
        <v>43782</v>
      </c>
      <c r="C22" s="7">
        <v>0.65</v>
      </c>
      <c r="D22" s="5">
        <v>5.68</v>
      </c>
      <c r="E22" s="5">
        <v>313.2</v>
      </c>
      <c r="F22" s="5">
        <v>331.8</v>
      </c>
      <c r="G22" s="6">
        <v>43782</v>
      </c>
      <c r="H22" s="5" t="s">
        <v>60</v>
      </c>
      <c r="I22" s="5" t="s">
        <v>57</v>
      </c>
      <c r="J22" s="5">
        <f t="shared" si="0"/>
        <v>18.600000000000023</v>
      </c>
      <c r="K22" s="8" t="b">
        <f t="shared" si="1"/>
        <v>1</v>
      </c>
    </row>
    <row r="23" spans="1:11">
      <c r="A23" s="5">
        <v>110</v>
      </c>
      <c r="B23" s="6">
        <v>43785</v>
      </c>
      <c r="C23" s="7">
        <v>0.65</v>
      </c>
      <c r="D23" s="5">
        <v>5.68</v>
      </c>
      <c r="E23" s="5">
        <v>331.8</v>
      </c>
      <c r="F23" s="5">
        <v>353.8</v>
      </c>
      <c r="G23" s="6">
        <v>43785</v>
      </c>
      <c r="H23" s="5" t="s">
        <v>59</v>
      </c>
      <c r="I23" s="5" t="s">
        <v>57</v>
      </c>
      <c r="J23" s="5">
        <f t="shared" si="0"/>
        <v>22</v>
      </c>
      <c r="K23" s="8" t="b">
        <f t="shared" si="1"/>
        <v>1</v>
      </c>
    </row>
    <row r="24" spans="1:11">
      <c r="A24" s="5">
        <v>110</v>
      </c>
      <c r="B24" s="6">
        <v>43792</v>
      </c>
      <c r="C24" s="7">
        <v>0.8</v>
      </c>
      <c r="D24" s="5">
        <v>7.25</v>
      </c>
      <c r="E24" s="5">
        <v>353.8</v>
      </c>
      <c r="F24" s="5">
        <v>368.8</v>
      </c>
      <c r="G24" s="6">
        <v>43792</v>
      </c>
      <c r="H24" s="5" t="s">
        <v>61</v>
      </c>
      <c r="I24" s="5" t="s">
        <v>57</v>
      </c>
      <c r="J24" s="5">
        <f t="shared" si="0"/>
        <v>15</v>
      </c>
      <c r="K24" s="8" t="b">
        <f t="shared" si="1"/>
        <v>1</v>
      </c>
    </row>
    <row r="25" spans="1:11">
      <c r="A25" s="5">
        <v>110</v>
      </c>
      <c r="B25" s="6">
        <v>43797</v>
      </c>
      <c r="C25" s="7">
        <v>0.8</v>
      </c>
      <c r="D25" s="5">
        <v>7.25</v>
      </c>
      <c r="E25" s="5">
        <v>368.8</v>
      </c>
      <c r="F25" s="5">
        <v>392.6</v>
      </c>
      <c r="G25" s="6">
        <v>43797</v>
      </c>
      <c r="H25" s="5" t="s">
        <v>60</v>
      </c>
      <c r="I25" s="5" t="s">
        <v>57</v>
      </c>
      <c r="J25" s="5">
        <f t="shared" si="0"/>
        <v>23.800000000000011</v>
      </c>
      <c r="K25" s="8" t="b">
        <f t="shared" si="1"/>
        <v>1</v>
      </c>
    </row>
    <row r="26" spans="1:11">
      <c r="A26" s="5">
        <v>110</v>
      </c>
      <c r="B26" s="6">
        <v>43809</v>
      </c>
      <c r="C26" s="7">
        <v>0.7</v>
      </c>
      <c r="D26" s="5">
        <v>8.2899999999999991</v>
      </c>
      <c r="E26" s="5">
        <v>392.6</v>
      </c>
      <c r="F26" s="5">
        <v>410.2</v>
      </c>
      <c r="G26" s="6">
        <v>43809</v>
      </c>
      <c r="H26" s="5"/>
      <c r="I26" s="5"/>
      <c r="J26" s="5">
        <f t="shared" si="0"/>
        <v>17.599999999999966</v>
      </c>
      <c r="K26" s="8" t="b">
        <f t="shared" si="1"/>
        <v>1</v>
      </c>
    </row>
    <row r="27" spans="1:11">
      <c r="A27" s="5">
        <v>110</v>
      </c>
      <c r="B27" s="6">
        <v>43811</v>
      </c>
      <c r="C27" s="7">
        <v>0.7</v>
      </c>
      <c r="D27" s="5">
        <v>8.2899999999999991</v>
      </c>
      <c r="E27" s="5">
        <v>410.2</v>
      </c>
      <c r="F27" s="5">
        <v>414.8</v>
      </c>
      <c r="G27" s="6">
        <v>43811</v>
      </c>
      <c r="H27" s="5"/>
      <c r="I27" s="5"/>
      <c r="J27" s="5">
        <f t="shared" si="0"/>
        <v>4.6000000000000227</v>
      </c>
      <c r="K27" s="8" t="b">
        <f t="shared" si="1"/>
        <v>1</v>
      </c>
    </row>
    <row r="28" spans="1:11">
      <c r="A28" s="5">
        <v>110</v>
      </c>
      <c r="B28" s="6">
        <v>43812</v>
      </c>
      <c r="C28" s="7">
        <v>1</v>
      </c>
      <c r="D28" s="5">
        <v>5.8</v>
      </c>
      <c r="E28" s="5">
        <v>414.8</v>
      </c>
      <c r="F28" s="5">
        <v>427.2</v>
      </c>
      <c r="G28" s="6">
        <v>43812</v>
      </c>
      <c r="H28" s="5"/>
      <c r="I28" s="5"/>
      <c r="J28" s="5">
        <f t="shared" si="0"/>
        <v>12.399999999999977</v>
      </c>
      <c r="K28" s="8" t="b">
        <f t="shared" si="1"/>
        <v>1</v>
      </c>
    </row>
    <row r="29" spans="1:11">
      <c r="A29" s="5">
        <v>110</v>
      </c>
      <c r="B29" s="6">
        <v>43813</v>
      </c>
      <c r="C29" s="7">
        <v>0.7</v>
      </c>
      <c r="D29" s="5">
        <v>8.2899999999999991</v>
      </c>
      <c r="E29" s="5">
        <v>427.2</v>
      </c>
      <c r="F29" s="5">
        <v>444.5</v>
      </c>
      <c r="G29" s="6">
        <v>43813</v>
      </c>
      <c r="H29" s="5"/>
      <c r="I29" s="5"/>
      <c r="J29" s="5">
        <f t="shared" si="0"/>
        <v>17.300000000000011</v>
      </c>
      <c r="K29" s="8" t="b">
        <f t="shared" si="1"/>
        <v>1</v>
      </c>
    </row>
    <row r="30" spans="1:11">
      <c r="A30" s="5">
        <v>110</v>
      </c>
      <c r="B30" s="6">
        <v>43815</v>
      </c>
      <c r="C30" s="7">
        <v>0.7</v>
      </c>
      <c r="D30" s="5">
        <v>8.2899999999999991</v>
      </c>
      <c r="E30" s="5">
        <v>444.5</v>
      </c>
      <c r="F30" s="5">
        <v>462.4</v>
      </c>
      <c r="G30" s="6">
        <v>43815</v>
      </c>
      <c r="H30" s="5"/>
      <c r="I30" s="5"/>
      <c r="J30" s="5">
        <f t="shared" si="0"/>
        <v>17.899999999999977</v>
      </c>
      <c r="K30" s="8" t="b">
        <f t="shared" si="1"/>
        <v>1</v>
      </c>
    </row>
    <row r="31" spans="1:11">
      <c r="A31" s="5">
        <v>110</v>
      </c>
      <c r="B31" s="6">
        <v>43818</v>
      </c>
      <c r="C31" s="7">
        <v>0.7</v>
      </c>
      <c r="D31" s="5">
        <v>8.2899999999999991</v>
      </c>
      <c r="E31" s="5">
        <v>462.4</v>
      </c>
      <c r="F31" s="5">
        <v>480.5</v>
      </c>
      <c r="G31" s="6">
        <v>43818</v>
      </c>
      <c r="H31" s="5"/>
      <c r="I31" s="5"/>
      <c r="J31" s="5">
        <f t="shared" si="0"/>
        <v>18.100000000000023</v>
      </c>
      <c r="K31" s="8" t="b">
        <f t="shared" si="1"/>
        <v>1</v>
      </c>
    </row>
    <row r="32" spans="1:11">
      <c r="A32" s="5">
        <v>110</v>
      </c>
      <c r="B32" s="6">
        <v>43820</v>
      </c>
      <c r="C32" s="7">
        <v>0.7</v>
      </c>
      <c r="D32" s="5">
        <v>8.2899999999999991</v>
      </c>
      <c r="E32" s="5">
        <v>480.5</v>
      </c>
      <c r="F32" s="5">
        <v>497</v>
      </c>
      <c r="G32" s="6">
        <v>43820</v>
      </c>
      <c r="H32" s="5"/>
      <c r="I32" s="5"/>
      <c r="J32" s="5">
        <f t="shared" si="0"/>
        <v>16.5</v>
      </c>
      <c r="K32" s="8" t="b">
        <f t="shared" si="1"/>
        <v>1</v>
      </c>
    </row>
    <row r="33" spans="1:11">
      <c r="A33" s="5">
        <v>110</v>
      </c>
      <c r="B33" s="6">
        <v>43822</v>
      </c>
      <c r="C33" s="7">
        <v>1</v>
      </c>
      <c r="D33" s="5">
        <v>5.8</v>
      </c>
      <c r="E33" s="5">
        <v>497</v>
      </c>
      <c r="F33" s="5">
        <v>509</v>
      </c>
      <c r="G33" s="6">
        <v>43822</v>
      </c>
      <c r="H33" s="5"/>
      <c r="I33" s="5"/>
      <c r="J33" s="5">
        <f t="shared" si="0"/>
        <v>12</v>
      </c>
      <c r="K33" s="8" t="b">
        <f t="shared" si="1"/>
        <v>1</v>
      </c>
    </row>
    <row r="34" spans="1:11">
      <c r="A34" s="5">
        <v>110</v>
      </c>
      <c r="B34" s="6">
        <v>43825</v>
      </c>
      <c r="C34" s="7">
        <v>0.7</v>
      </c>
      <c r="D34" s="5">
        <v>8.2899999999999991</v>
      </c>
      <c r="E34" s="5">
        <v>509</v>
      </c>
      <c r="F34" s="5">
        <v>526</v>
      </c>
      <c r="G34" s="6">
        <v>43825</v>
      </c>
      <c r="H34" s="5"/>
      <c r="I34" s="5"/>
      <c r="J34" s="5">
        <f t="shared" si="0"/>
        <v>17</v>
      </c>
      <c r="K34" s="8" t="b">
        <f t="shared" si="1"/>
        <v>1</v>
      </c>
    </row>
    <row r="35" spans="1:11">
      <c r="A35" s="5">
        <v>110</v>
      </c>
      <c r="B35" s="6">
        <v>43827</v>
      </c>
      <c r="C35" s="7">
        <v>0.7</v>
      </c>
      <c r="D35" s="5">
        <v>8.2899999999999991</v>
      </c>
      <c r="E35" s="5">
        <v>526</v>
      </c>
      <c r="F35" s="5">
        <v>542.79999999999995</v>
      </c>
      <c r="G35" s="6">
        <v>43827</v>
      </c>
      <c r="H35" s="5"/>
      <c r="I35" s="5"/>
      <c r="J35" s="5">
        <f t="shared" si="0"/>
        <v>16.799999999999955</v>
      </c>
      <c r="K35" s="8" t="b">
        <f t="shared" si="1"/>
        <v>1</v>
      </c>
    </row>
    <row r="36" spans="1:11">
      <c r="A36" s="5">
        <v>110</v>
      </c>
      <c r="B36" s="6">
        <v>43829</v>
      </c>
      <c r="C36" s="7">
        <v>0.7</v>
      </c>
      <c r="D36" s="5">
        <v>8.2899999999999991</v>
      </c>
      <c r="E36" s="5">
        <v>542.79999999999995</v>
      </c>
      <c r="F36" s="5">
        <v>560.29999999999995</v>
      </c>
      <c r="G36" s="6">
        <v>43829</v>
      </c>
      <c r="H36" s="5"/>
      <c r="I36" s="5"/>
      <c r="J36" s="5">
        <f t="shared" si="0"/>
        <v>17.5</v>
      </c>
      <c r="K36" s="8" t="b">
        <f t="shared" si="1"/>
        <v>1</v>
      </c>
    </row>
    <row r="37" spans="1:11">
      <c r="A37" s="5">
        <v>110</v>
      </c>
      <c r="B37" s="6">
        <v>43478</v>
      </c>
      <c r="C37" s="7">
        <v>1</v>
      </c>
      <c r="D37" s="5">
        <v>5.8</v>
      </c>
      <c r="E37" s="5">
        <v>560.29999999999995</v>
      </c>
      <c r="F37" s="5">
        <v>575</v>
      </c>
      <c r="G37" s="6">
        <v>43478</v>
      </c>
      <c r="H37" s="5"/>
      <c r="I37" s="5"/>
      <c r="J37" s="5">
        <f t="shared" si="0"/>
        <v>14.700000000000045</v>
      </c>
      <c r="K37" s="8" t="b">
        <f t="shared" si="1"/>
        <v>1</v>
      </c>
    </row>
    <row r="38" spans="1:11">
      <c r="A38" s="5">
        <v>110</v>
      </c>
      <c r="B38" s="6">
        <v>43479</v>
      </c>
      <c r="C38" s="7">
        <v>0.8</v>
      </c>
      <c r="D38" s="5">
        <v>7.25</v>
      </c>
      <c r="E38" s="5">
        <v>575</v>
      </c>
      <c r="F38" s="5">
        <v>591</v>
      </c>
      <c r="G38" s="6">
        <v>43479</v>
      </c>
      <c r="H38" s="5"/>
      <c r="I38" s="5"/>
      <c r="J38" s="5">
        <f t="shared" si="0"/>
        <v>16</v>
      </c>
      <c r="K38" s="8" t="b">
        <f t="shared" si="1"/>
        <v>1</v>
      </c>
    </row>
    <row r="39" spans="1:11">
      <c r="A39" s="5">
        <v>110</v>
      </c>
      <c r="B39" s="6">
        <v>43846</v>
      </c>
      <c r="C39" s="7">
        <v>0.7</v>
      </c>
      <c r="D39" s="5">
        <v>8.2899999999999991</v>
      </c>
      <c r="E39" s="5">
        <v>591</v>
      </c>
      <c r="F39" s="5">
        <v>609.1</v>
      </c>
      <c r="G39" s="6">
        <v>43846</v>
      </c>
      <c r="H39" s="5"/>
      <c r="I39" s="5"/>
      <c r="J39" s="5">
        <f t="shared" si="0"/>
        <v>18.100000000000023</v>
      </c>
      <c r="K39" s="8" t="b">
        <f t="shared" si="1"/>
        <v>1</v>
      </c>
    </row>
    <row r="40" spans="1:11">
      <c r="A40" s="5">
        <v>110</v>
      </c>
      <c r="B40" s="6">
        <v>43848</v>
      </c>
      <c r="C40" s="7">
        <v>0.7</v>
      </c>
      <c r="D40" s="5">
        <v>8.2899999999999991</v>
      </c>
      <c r="E40" s="5">
        <v>609.1</v>
      </c>
      <c r="F40" s="5">
        <v>613.20000000000005</v>
      </c>
      <c r="G40" s="6">
        <v>43848</v>
      </c>
      <c r="H40" s="5"/>
      <c r="I40" s="5"/>
      <c r="J40" s="5">
        <f t="shared" si="0"/>
        <v>4.1000000000000227</v>
      </c>
      <c r="K40" s="8" t="b">
        <f>F40=E44</f>
        <v>0</v>
      </c>
    </row>
    <row r="41" spans="1:11">
      <c r="A41" s="5"/>
      <c r="B41" s="6"/>
      <c r="C41" s="7"/>
      <c r="D41" s="5"/>
      <c r="E41" s="5"/>
      <c r="F41" s="5"/>
      <c r="G41" s="6"/>
      <c r="H41" s="5"/>
      <c r="I41" s="5"/>
      <c r="J41" s="5"/>
      <c r="K41" s="8"/>
    </row>
    <row r="42" spans="1:11" ht="26.25">
      <c r="A42" s="156" t="s">
        <v>139</v>
      </c>
      <c r="B42" s="179"/>
      <c r="C42" s="179"/>
      <c r="D42" s="179"/>
      <c r="E42" s="179"/>
      <c r="F42" s="179"/>
      <c r="G42" s="179"/>
      <c r="H42" s="179"/>
      <c r="I42" s="179"/>
      <c r="J42" s="179"/>
      <c r="K42" s="180"/>
    </row>
    <row r="43" spans="1:11" ht="26.25">
      <c r="A43" s="156" t="s">
        <v>51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80"/>
    </row>
    <row r="44" spans="1:11" ht="15.75" thickBot="1"/>
    <row r="45" spans="1:11" ht="15.75" thickBot="1">
      <c r="A45" s="132" t="s">
        <v>2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4"/>
    </row>
    <row r="47" spans="1:11" ht="19.5" thickBot="1">
      <c r="A47" s="1" t="s">
        <v>3</v>
      </c>
      <c r="B47" s="1"/>
      <c r="C47" s="1"/>
      <c r="D47" s="1"/>
      <c r="E47" s="1"/>
      <c r="F47" s="1"/>
      <c r="G47" s="1"/>
      <c r="H47" s="1"/>
      <c r="I47" s="1"/>
    </row>
    <row r="48" spans="1:11" ht="30.75" thickBot="1">
      <c r="A48" s="2" t="s">
        <v>4</v>
      </c>
      <c r="B48" s="3" t="s">
        <v>5</v>
      </c>
      <c r="C48" s="3" t="s">
        <v>6</v>
      </c>
      <c r="D48" s="3" t="s">
        <v>7</v>
      </c>
      <c r="E48" s="3" t="s">
        <v>8</v>
      </c>
      <c r="F48" s="3" t="s">
        <v>9</v>
      </c>
      <c r="G48" s="3" t="s">
        <v>10</v>
      </c>
      <c r="H48" s="3" t="s">
        <v>21</v>
      </c>
      <c r="I48" s="4" t="s">
        <v>22</v>
      </c>
      <c r="J48" s="4" t="s">
        <v>11</v>
      </c>
      <c r="K48" s="4" t="s">
        <v>12</v>
      </c>
    </row>
    <row r="49" spans="1:11">
      <c r="A49" s="5">
        <v>110</v>
      </c>
      <c r="B49" s="6">
        <v>43912</v>
      </c>
      <c r="C49" s="7">
        <v>0.8</v>
      </c>
      <c r="D49" s="5">
        <v>7.25</v>
      </c>
      <c r="E49" s="5">
        <v>717.5</v>
      </c>
      <c r="F49" s="5">
        <v>734.9</v>
      </c>
      <c r="G49" s="6">
        <v>43912</v>
      </c>
      <c r="H49" s="5"/>
      <c r="I49" s="5"/>
      <c r="J49" s="5">
        <f t="shared" ref="J49:J62" si="2">F49-E49</f>
        <v>17.399999999999977</v>
      </c>
      <c r="K49" s="8" t="b">
        <f t="shared" ref="K49:K71" si="3">F49=E50</f>
        <v>1</v>
      </c>
    </row>
    <row r="50" spans="1:11">
      <c r="A50" s="5">
        <v>110</v>
      </c>
      <c r="B50" s="6">
        <v>43922</v>
      </c>
      <c r="C50" s="7">
        <v>0.8</v>
      </c>
      <c r="D50" s="5">
        <v>7.25</v>
      </c>
      <c r="E50" s="5">
        <v>734.9</v>
      </c>
      <c r="F50" s="5">
        <v>748.5</v>
      </c>
      <c r="G50" s="6">
        <v>43922</v>
      </c>
      <c r="H50" s="5"/>
      <c r="I50" s="5"/>
      <c r="J50" s="5">
        <f t="shared" si="2"/>
        <v>13.600000000000023</v>
      </c>
      <c r="K50" s="8" t="b">
        <f t="shared" si="3"/>
        <v>1</v>
      </c>
    </row>
    <row r="51" spans="1:11">
      <c r="A51" s="5">
        <v>110</v>
      </c>
      <c r="B51" s="6">
        <v>43924</v>
      </c>
      <c r="C51" s="7">
        <v>0.8</v>
      </c>
      <c r="D51" s="5">
        <v>7.25</v>
      </c>
      <c r="E51" s="5">
        <v>748.5</v>
      </c>
      <c r="F51" s="5">
        <v>761</v>
      </c>
      <c r="G51" s="6">
        <v>43924</v>
      </c>
      <c r="H51" s="5"/>
      <c r="I51" s="5"/>
      <c r="J51" s="5">
        <f t="shared" si="2"/>
        <v>12.5</v>
      </c>
      <c r="K51" s="8" t="b">
        <f t="shared" si="3"/>
        <v>1</v>
      </c>
    </row>
    <row r="52" spans="1:11">
      <c r="A52" s="5">
        <v>110</v>
      </c>
      <c r="B52" s="6">
        <v>43925</v>
      </c>
      <c r="C52" s="7">
        <v>1</v>
      </c>
      <c r="D52" s="5">
        <v>5.8</v>
      </c>
      <c r="E52" s="5">
        <v>761</v>
      </c>
      <c r="F52" s="5">
        <v>774</v>
      </c>
      <c r="G52" s="6">
        <v>43925</v>
      </c>
      <c r="H52" s="5"/>
      <c r="I52" s="5"/>
      <c r="J52" s="5">
        <f t="shared" si="2"/>
        <v>13</v>
      </c>
      <c r="K52" s="8" t="b">
        <f t="shared" si="3"/>
        <v>1</v>
      </c>
    </row>
    <row r="53" spans="1:11">
      <c r="A53" s="5">
        <v>110</v>
      </c>
      <c r="B53" s="6">
        <v>43928</v>
      </c>
      <c r="C53" s="7">
        <v>0.8</v>
      </c>
      <c r="D53" s="5">
        <v>7.25</v>
      </c>
      <c r="E53" s="5">
        <v>774</v>
      </c>
      <c r="F53" s="5">
        <v>790</v>
      </c>
      <c r="G53" s="6">
        <v>43928</v>
      </c>
      <c r="H53" s="5"/>
      <c r="I53" s="5"/>
      <c r="J53" s="5">
        <f t="shared" si="2"/>
        <v>16</v>
      </c>
      <c r="K53" s="8" t="b">
        <f t="shared" si="3"/>
        <v>0</v>
      </c>
    </row>
    <row r="54" spans="1:11">
      <c r="A54" s="5">
        <v>110</v>
      </c>
      <c r="B54" s="6">
        <v>43947</v>
      </c>
      <c r="C54" s="7">
        <v>0.8</v>
      </c>
      <c r="D54" s="5">
        <v>7.25</v>
      </c>
      <c r="E54" s="5">
        <v>823</v>
      </c>
      <c r="F54" s="5">
        <v>839</v>
      </c>
      <c r="G54" s="6">
        <v>43947</v>
      </c>
      <c r="H54" s="5"/>
      <c r="I54" s="5"/>
      <c r="J54" s="5">
        <f t="shared" si="2"/>
        <v>16</v>
      </c>
      <c r="K54" s="8" t="b">
        <f t="shared" si="3"/>
        <v>1</v>
      </c>
    </row>
    <row r="55" spans="1:11">
      <c r="A55" s="5">
        <v>110</v>
      </c>
      <c r="B55" s="6">
        <v>43949</v>
      </c>
      <c r="C55" s="7">
        <v>0.8</v>
      </c>
      <c r="D55" s="5">
        <v>7.25</v>
      </c>
      <c r="E55" s="5">
        <v>839</v>
      </c>
      <c r="F55" s="5">
        <v>855</v>
      </c>
      <c r="G55" s="6">
        <v>43949</v>
      </c>
      <c r="H55" s="5"/>
      <c r="I55" s="5"/>
      <c r="J55" s="5">
        <f t="shared" si="2"/>
        <v>16</v>
      </c>
      <c r="K55" s="8" t="b">
        <f t="shared" si="3"/>
        <v>0</v>
      </c>
    </row>
    <row r="56" spans="1:11">
      <c r="A56" s="5">
        <v>110</v>
      </c>
      <c r="B56" s="6">
        <v>43955</v>
      </c>
      <c r="C56" s="7">
        <v>0.8</v>
      </c>
      <c r="D56" s="5">
        <v>7.25</v>
      </c>
      <c r="E56" s="5">
        <v>868</v>
      </c>
      <c r="F56" s="5">
        <v>884</v>
      </c>
      <c r="G56" s="6">
        <v>43955</v>
      </c>
      <c r="H56" s="5"/>
      <c r="I56" s="5"/>
      <c r="J56" s="5">
        <f t="shared" si="2"/>
        <v>16</v>
      </c>
      <c r="K56" s="8" t="b">
        <f t="shared" si="3"/>
        <v>1</v>
      </c>
    </row>
    <row r="57" spans="1:11">
      <c r="A57" s="5">
        <v>110</v>
      </c>
      <c r="B57" s="6">
        <v>43957</v>
      </c>
      <c r="C57" s="7">
        <v>0.8</v>
      </c>
      <c r="D57" s="5">
        <v>7.25</v>
      </c>
      <c r="E57" s="5">
        <v>884</v>
      </c>
      <c r="F57" s="5">
        <v>889</v>
      </c>
      <c r="G57" s="6">
        <v>43957</v>
      </c>
      <c r="H57" s="5"/>
      <c r="I57" s="5"/>
      <c r="J57" s="5">
        <f t="shared" si="2"/>
        <v>5</v>
      </c>
      <c r="K57" s="8" t="b">
        <f t="shared" si="3"/>
        <v>0</v>
      </c>
    </row>
    <row r="58" spans="1:11">
      <c r="A58" s="5">
        <v>110</v>
      </c>
      <c r="B58" s="6">
        <v>43958</v>
      </c>
      <c r="C58" s="7">
        <v>1</v>
      </c>
      <c r="D58" s="5">
        <v>5.8</v>
      </c>
      <c r="E58" s="5">
        <v>0</v>
      </c>
      <c r="F58" s="5">
        <v>7</v>
      </c>
      <c r="G58" s="6">
        <v>43958</v>
      </c>
      <c r="H58" s="5"/>
      <c r="I58" s="5"/>
      <c r="J58" s="5">
        <f t="shared" si="2"/>
        <v>7</v>
      </c>
      <c r="K58" s="8" t="b">
        <f t="shared" si="3"/>
        <v>1</v>
      </c>
    </row>
    <row r="59" spans="1:11">
      <c r="A59" s="5">
        <v>110</v>
      </c>
      <c r="B59" s="6">
        <v>43972</v>
      </c>
      <c r="C59" s="7">
        <v>0.8</v>
      </c>
      <c r="D59" s="5">
        <v>7.25</v>
      </c>
      <c r="E59" s="5">
        <v>7</v>
      </c>
      <c r="F59" s="5">
        <v>31</v>
      </c>
      <c r="G59" s="6">
        <v>43972</v>
      </c>
      <c r="H59" s="5"/>
      <c r="I59" s="5"/>
      <c r="J59" s="5">
        <f t="shared" si="2"/>
        <v>24</v>
      </c>
      <c r="K59" s="8" t="b">
        <f t="shared" si="3"/>
        <v>1</v>
      </c>
    </row>
    <row r="60" spans="1:11">
      <c r="A60" s="5">
        <v>110</v>
      </c>
      <c r="B60" s="6">
        <v>43974</v>
      </c>
      <c r="C60" s="7">
        <v>0.8</v>
      </c>
      <c r="D60" s="5">
        <v>7.25</v>
      </c>
      <c r="E60" s="5">
        <v>31</v>
      </c>
      <c r="F60" s="5">
        <v>45.1</v>
      </c>
      <c r="G60" s="6">
        <v>43974</v>
      </c>
      <c r="H60" s="5"/>
      <c r="I60" s="5"/>
      <c r="J60" s="5">
        <f t="shared" si="2"/>
        <v>14.100000000000001</v>
      </c>
      <c r="K60" s="8" t="b">
        <f t="shared" si="3"/>
        <v>1</v>
      </c>
    </row>
    <row r="61" spans="1:11">
      <c r="A61" s="5">
        <v>110</v>
      </c>
      <c r="B61" s="6">
        <v>43981</v>
      </c>
      <c r="C61" s="7">
        <v>0.7</v>
      </c>
      <c r="D61" s="5">
        <v>8.2899999999999991</v>
      </c>
      <c r="E61" s="5">
        <v>45.1</v>
      </c>
      <c r="F61" s="5">
        <v>62.2</v>
      </c>
      <c r="G61" s="6">
        <v>43981</v>
      </c>
      <c r="H61" s="5"/>
      <c r="I61" s="5"/>
      <c r="J61" s="5">
        <f t="shared" si="2"/>
        <v>17.100000000000001</v>
      </c>
      <c r="K61" s="8" t="b">
        <f t="shared" si="3"/>
        <v>0</v>
      </c>
    </row>
    <row r="62" spans="1:11">
      <c r="A62" s="5">
        <v>110</v>
      </c>
      <c r="B62" s="6">
        <v>43991</v>
      </c>
      <c r="C62" s="7">
        <v>0.7</v>
      </c>
      <c r="D62" s="5">
        <v>8.2899999999999991</v>
      </c>
      <c r="E62" s="5">
        <v>80</v>
      </c>
      <c r="F62" s="5">
        <v>97</v>
      </c>
      <c r="G62" s="6">
        <v>43991</v>
      </c>
      <c r="H62" s="5"/>
      <c r="I62" s="5"/>
      <c r="J62" s="5">
        <f t="shared" si="2"/>
        <v>17</v>
      </c>
      <c r="K62" s="8" t="b">
        <f t="shared" si="3"/>
        <v>1</v>
      </c>
    </row>
    <row r="63" spans="1:11">
      <c r="A63" s="5">
        <v>110</v>
      </c>
      <c r="B63" s="6">
        <v>43997</v>
      </c>
      <c r="C63" s="7">
        <v>0.7</v>
      </c>
      <c r="D63" s="5">
        <v>8.2899999999999991</v>
      </c>
      <c r="E63" s="5">
        <v>97</v>
      </c>
      <c r="F63" s="5">
        <v>115</v>
      </c>
      <c r="G63" s="6">
        <v>43995</v>
      </c>
      <c r="H63" s="5"/>
      <c r="I63" s="5"/>
      <c r="J63" s="5">
        <f t="shared" ref="J63:J77" si="4">F63-E63</f>
        <v>18</v>
      </c>
      <c r="K63" s="8" t="b">
        <f t="shared" si="3"/>
        <v>1</v>
      </c>
    </row>
    <row r="64" spans="1:11">
      <c r="A64" s="5">
        <v>110</v>
      </c>
      <c r="B64" s="6">
        <v>44001</v>
      </c>
      <c r="C64" s="7">
        <v>0.7</v>
      </c>
      <c r="D64" s="5">
        <v>8.2899999999999991</v>
      </c>
      <c r="E64" s="5">
        <v>115</v>
      </c>
      <c r="F64" s="5">
        <v>133.1</v>
      </c>
      <c r="G64" s="6">
        <v>44001</v>
      </c>
      <c r="H64" s="5"/>
      <c r="I64" s="5"/>
      <c r="J64" s="5">
        <f t="shared" si="4"/>
        <v>18.099999999999994</v>
      </c>
      <c r="K64" s="8" t="b">
        <f t="shared" si="3"/>
        <v>1</v>
      </c>
    </row>
    <row r="65" spans="1:11">
      <c r="A65" s="5">
        <v>110</v>
      </c>
      <c r="B65" s="6">
        <v>44006</v>
      </c>
      <c r="C65" s="7">
        <v>0.7</v>
      </c>
      <c r="D65" s="5">
        <v>8.2899999999999991</v>
      </c>
      <c r="E65" s="5">
        <v>133.1</v>
      </c>
      <c r="F65" s="5">
        <v>149.80000000000001</v>
      </c>
      <c r="G65" s="6">
        <v>44006</v>
      </c>
      <c r="H65" s="5"/>
      <c r="I65" s="5"/>
      <c r="J65" s="5">
        <f t="shared" si="4"/>
        <v>16.700000000000017</v>
      </c>
      <c r="K65" s="8" t="b">
        <f t="shared" si="3"/>
        <v>1</v>
      </c>
    </row>
    <row r="66" spans="1:11">
      <c r="A66" s="5">
        <v>110</v>
      </c>
      <c r="B66" s="6">
        <v>44018</v>
      </c>
      <c r="C66" s="7">
        <v>0.7</v>
      </c>
      <c r="D66" s="5">
        <v>8.2899999999999991</v>
      </c>
      <c r="E66" s="5">
        <v>149.80000000000001</v>
      </c>
      <c r="F66" s="5">
        <v>166</v>
      </c>
      <c r="G66" s="6">
        <v>44019</v>
      </c>
      <c r="H66" s="5"/>
      <c r="I66" s="5"/>
      <c r="J66" s="5">
        <f t="shared" si="4"/>
        <v>16.199999999999989</v>
      </c>
      <c r="K66" s="8" t="b">
        <f t="shared" si="3"/>
        <v>0</v>
      </c>
    </row>
    <row r="67" spans="1:11">
      <c r="A67" s="5">
        <v>110</v>
      </c>
      <c r="B67" s="6">
        <v>44023</v>
      </c>
      <c r="C67" s="7">
        <v>0.4</v>
      </c>
      <c r="D67" s="5">
        <v>14.5</v>
      </c>
      <c r="E67" s="5">
        <v>215</v>
      </c>
      <c r="F67" s="5">
        <v>229</v>
      </c>
      <c r="G67" s="6">
        <v>44023</v>
      </c>
      <c r="H67" s="5"/>
      <c r="I67" s="5"/>
      <c r="J67" s="5">
        <f t="shared" si="4"/>
        <v>14</v>
      </c>
      <c r="K67" s="8" t="b">
        <f t="shared" si="3"/>
        <v>1</v>
      </c>
    </row>
    <row r="68" spans="1:11">
      <c r="A68" s="5">
        <v>110</v>
      </c>
      <c r="B68" s="6">
        <v>44028</v>
      </c>
      <c r="C68" s="7">
        <v>0.4</v>
      </c>
      <c r="D68" s="5">
        <v>14.5</v>
      </c>
      <c r="E68" s="5">
        <v>229</v>
      </c>
      <c r="F68" s="5">
        <v>245</v>
      </c>
      <c r="G68" s="6">
        <v>44029</v>
      </c>
      <c r="H68" s="5"/>
      <c r="I68" s="5"/>
      <c r="J68" s="5">
        <f t="shared" si="4"/>
        <v>16</v>
      </c>
      <c r="K68" s="8" t="b">
        <f t="shared" si="3"/>
        <v>1</v>
      </c>
    </row>
    <row r="69" spans="1:11">
      <c r="A69" s="5">
        <v>110</v>
      </c>
      <c r="B69" s="6">
        <v>44037</v>
      </c>
      <c r="C69" s="7">
        <v>0.4</v>
      </c>
      <c r="D69" s="5">
        <v>14.8</v>
      </c>
      <c r="E69" s="5">
        <v>245</v>
      </c>
      <c r="F69" s="5">
        <v>261</v>
      </c>
      <c r="G69" s="6">
        <v>44037</v>
      </c>
      <c r="H69" s="5"/>
      <c r="I69" s="5"/>
      <c r="J69" s="5">
        <f t="shared" si="4"/>
        <v>16</v>
      </c>
      <c r="K69" s="8" t="b">
        <f t="shared" si="3"/>
        <v>1</v>
      </c>
    </row>
    <row r="70" spans="1:11">
      <c r="A70" s="5">
        <v>110</v>
      </c>
      <c r="B70" s="6">
        <v>44038</v>
      </c>
      <c r="C70" s="7">
        <v>0.4</v>
      </c>
      <c r="D70" s="5">
        <v>14.8</v>
      </c>
      <c r="E70" s="5">
        <v>261</v>
      </c>
      <c r="F70" s="5">
        <v>275</v>
      </c>
      <c r="G70" s="6">
        <v>44038</v>
      </c>
      <c r="H70" s="5"/>
      <c r="I70" s="5"/>
      <c r="J70" s="5">
        <f t="shared" si="4"/>
        <v>14</v>
      </c>
      <c r="K70" s="8" t="b">
        <f t="shared" si="3"/>
        <v>1</v>
      </c>
    </row>
    <row r="71" spans="1:11">
      <c r="A71" s="5">
        <v>110</v>
      </c>
      <c r="B71" s="6">
        <v>44044</v>
      </c>
      <c r="C71" s="7">
        <v>0.4</v>
      </c>
      <c r="D71" s="5">
        <v>14.8</v>
      </c>
      <c r="E71" s="5">
        <v>275</v>
      </c>
      <c r="F71" s="5">
        <v>290</v>
      </c>
      <c r="G71" s="6">
        <v>44044</v>
      </c>
      <c r="H71" s="5"/>
      <c r="I71" s="5"/>
      <c r="J71" s="5">
        <f t="shared" si="4"/>
        <v>15</v>
      </c>
      <c r="K71" s="8" t="b">
        <f t="shared" si="3"/>
        <v>1</v>
      </c>
    </row>
    <row r="72" spans="1:11">
      <c r="A72" s="5">
        <v>110</v>
      </c>
      <c r="B72" s="6">
        <v>44045</v>
      </c>
      <c r="C72" s="7">
        <v>0.4</v>
      </c>
      <c r="D72" s="5">
        <v>14.8</v>
      </c>
      <c r="E72" s="5">
        <v>290</v>
      </c>
      <c r="F72" s="5">
        <v>305</v>
      </c>
      <c r="G72" s="6">
        <v>44045</v>
      </c>
      <c r="H72" s="5"/>
      <c r="I72" s="5"/>
      <c r="J72" s="5">
        <f t="shared" si="4"/>
        <v>15</v>
      </c>
      <c r="K72" s="8" t="b">
        <f>F72=E73</f>
        <v>1</v>
      </c>
    </row>
    <row r="73" spans="1:11">
      <c r="A73" s="5">
        <v>110</v>
      </c>
      <c r="B73" s="6">
        <v>44119</v>
      </c>
      <c r="C73" s="7">
        <v>0.5</v>
      </c>
      <c r="D73" s="5"/>
      <c r="E73" s="5">
        <v>305</v>
      </c>
      <c r="F73" s="5">
        <v>320</v>
      </c>
      <c r="G73" s="6">
        <v>44119</v>
      </c>
      <c r="H73" s="5"/>
      <c r="I73" s="5"/>
      <c r="J73" s="5">
        <f t="shared" si="4"/>
        <v>15</v>
      </c>
      <c r="K73" s="8" t="b">
        <f>F73=E74</f>
        <v>0</v>
      </c>
    </row>
    <row r="74" spans="1:11">
      <c r="A74" s="5">
        <v>110</v>
      </c>
      <c r="B74" s="6">
        <v>44197</v>
      </c>
      <c r="C74" s="7">
        <v>1</v>
      </c>
      <c r="D74" s="5">
        <v>5.8</v>
      </c>
      <c r="E74" s="5">
        <v>393.6</v>
      </c>
      <c r="F74" s="5">
        <v>407.1</v>
      </c>
      <c r="G74" s="6">
        <v>44197</v>
      </c>
      <c r="H74" s="5"/>
      <c r="I74" s="5"/>
      <c r="J74" s="5">
        <f t="shared" si="4"/>
        <v>13.5</v>
      </c>
      <c r="K74" s="8" t="b">
        <f>F74=E75</f>
        <v>0</v>
      </c>
    </row>
    <row r="75" spans="1:11">
      <c r="A75" s="5">
        <v>110</v>
      </c>
      <c r="B75" s="6">
        <v>44205</v>
      </c>
      <c r="C75" s="7">
        <v>1</v>
      </c>
      <c r="D75" s="5">
        <v>5.8</v>
      </c>
      <c r="E75" s="5">
        <v>407</v>
      </c>
      <c r="F75" s="5">
        <v>420</v>
      </c>
      <c r="G75" s="6">
        <v>44205</v>
      </c>
      <c r="H75" s="5"/>
      <c r="I75" s="5"/>
      <c r="J75" s="5">
        <f t="shared" si="4"/>
        <v>13</v>
      </c>
      <c r="K75" s="8" t="b">
        <f>F75=E76</f>
        <v>1</v>
      </c>
    </row>
    <row r="76" spans="1:11">
      <c r="A76" s="5">
        <v>110</v>
      </c>
      <c r="B76" s="6">
        <v>44206</v>
      </c>
      <c r="C76" s="7">
        <v>0.7</v>
      </c>
      <c r="D76" s="5">
        <v>8.2899999999999991</v>
      </c>
      <c r="E76" s="5">
        <v>420</v>
      </c>
      <c r="F76" s="5">
        <v>439.7</v>
      </c>
      <c r="G76" s="6">
        <v>44206</v>
      </c>
      <c r="H76" s="5"/>
      <c r="I76" s="5"/>
      <c r="J76" s="5">
        <f t="shared" si="4"/>
        <v>19.699999999999989</v>
      </c>
      <c r="K76" s="8" t="b">
        <f>F76=E77</f>
        <v>1</v>
      </c>
    </row>
    <row r="77" spans="1:11">
      <c r="A77" s="5">
        <v>110</v>
      </c>
      <c r="B77" s="6">
        <v>44217</v>
      </c>
      <c r="C77" s="7">
        <v>0.7</v>
      </c>
      <c r="D77" s="5">
        <v>8.2899999999999991</v>
      </c>
      <c r="E77" s="5">
        <v>439.7</v>
      </c>
      <c r="F77" s="5">
        <v>453.1</v>
      </c>
      <c r="G77" s="6">
        <v>44217</v>
      </c>
      <c r="H77" s="5"/>
      <c r="I77" s="5"/>
      <c r="J77" s="5">
        <f t="shared" si="4"/>
        <v>13.400000000000034</v>
      </c>
      <c r="K77" s="8" t="b">
        <f>F77=E87</f>
        <v>0</v>
      </c>
    </row>
    <row r="78" spans="1:11">
      <c r="A78" s="5">
        <v>110</v>
      </c>
      <c r="B78" s="6">
        <v>44218</v>
      </c>
      <c r="C78" s="7">
        <v>1</v>
      </c>
      <c r="D78" s="5">
        <v>5.8</v>
      </c>
      <c r="E78" s="5">
        <v>453</v>
      </c>
      <c r="F78" s="5">
        <v>466</v>
      </c>
      <c r="G78" s="6">
        <v>44218</v>
      </c>
      <c r="H78" s="5"/>
      <c r="I78" s="5"/>
      <c r="J78" s="5">
        <f t="shared" ref="J78:J86" si="5">F78-E78</f>
        <v>13</v>
      </c>
      <c r="K78" s="8" t="b">
        <f>F78=E88</f>
        <v>0</v>
      </c>
    </row>
    <row r="79" spans="1:11">
      <c r="A79" s="5">
        <v>110</v>
      </c>
      <c r="B79" s="6">
        <v>44221</v>
      </c>
      <c r="C79" s="7">
        <v>0.7</v>
      </c>
      <c r="D79" s="5">
        <v>8.2899999999999991</v>
      </c>
      <c r="E79" s="5">
        <v>954</v>
      </c>
      <c r="F79" s="5">
        <v>971</v>
      </c>
      <c r="G79" s="6">
        <v>44221</v>
      </c>
      <c r="H79" s="5"/>
      <c r="I79" s="5"/>
      <c r="J79" s="5">
        <f t="shared" si="5"/>
        <v>17</v>
      </c>
      <c r="K79" s="8" t="b">
        <f t="shared" ref="K79:K85" si="6">F79=E112</f>
        <v>0</v>
      </c>
    </row>
    <row r="80" spans="1:11">
      <c r="A80" s="5">
        <v>110</v>
      </c>
      <c r="B80" s="6">
        <v>44223</v>
      </c>
      <c r="C80" s="7">
        <v>0.7</v>
      </c>
      <c r="D80" s="5">
        <v>8.2899999999999991</v>
      </c>
      <c r="E80" s="5">
        <v>482.9</v>
      </c>
      <c r="F80" s="5">
        <v>499.4</v>
      </c>
      <c r="G80" s="6">
        <v>44223</v>
      </c>
      <c r="H80" s="5"/>
      <c r="I80" s="5"/>
      <c r="J80" s="5">
        <f t="shared" si="5"/>
        <v>16.5</v>
      </c>
      <c r="K80" s="8" t="b">
        <f t="shared" si="6"/>
        <v>0</v>
      </c>
    </row>
    <row r="81" spans="1:11">
      <c r="A81" s="5">
        <v>110</v>
      </c>
      <c r="B81" s="6">
        <v>44226</v>
      </c>
      <c r="C81" s="7">
        <v>0.7</v>
      </c>
      <c r="D81" s="5">
        <v>8.2899999999999991</v>
      </c>
      <c r="E81" s="5">
        <v>499.4</v>
      </c>
      <c r="F81" s="5">
        <v>518.9</v>
      </c>
      <c r="G81" s="6">
        <v>44226</v>
      </c>
      <c r="H81" s="5"/>
      <c r="I81" s="5"/>
      <c r="J81" s="5">
        <f t="shared" si="5"/>
        <v>19.5</v>
      </c>
      <c r="K81" s="8" t="b">
        <f t="shared" si="6"/>
        <v>0</v>
      </c>
    </row>
    <row r="82" spans="1:11">
      <c r="A82" s="5">
        <v>110</v>
      </c>
      <c r="B82" s="6">
        <v>44227</v>
      </c>
      <c r="C82" s="7">
        <v>1</v>
      </c>
      <c r="D82" s="5">
        <v>5.8</v>
      </c>
      <c r="E82" s="5">
        <v>518</v>
      </c>
      <c r="F82" s="5">
        <v>531</v>
      </c>
      <c r="G82" s="6">
        <v>44227</v>
      </c>
      <c r="H82" s="5"/>
      <c r="I82" s="5"/>
      <c r="J82" s="5">
        <f t="shared" si="5"/>
        <v>13</v>
      </c>
      <c r="K82" s="8" t="b">
        <f t="shared" si="6"/>
        <v>0</v>
      </c>
    </row>
    <row r="83" spans="1:11">
      <c r="A83" s="5">
        <v>110</v>
      </c>
      <c r="B83" s="6">
        <v>44228</v>
      </c>
      <c r="C83" s="7">
        <v>0.8</v>
      </c>
      <c r="D83" s="5">
        <v>7.25</v>
      </c>
      <c r="E83" s="5">
        <v>531.79999999999995</v>
      </c>
      <c r="F83" s="5">
        <v>547.79999999999995</v>
      </c>
      <c r="G83" s="6">
        <v>44228</v>
      </c>
      <c r="H83" s="5"/>
      <c r="I83" s="5"/>
      <c r="J83" s="5">
        <f>F83-E83</f>
        <v>16</v>
      </c>
      <c r="K83" s="8" t="b">
        <f t="shared" si="6"/>
        <v>0</v>
      </c>
    </row>
    <row r="84" spans="1:11">
      <c r="A84" s="5">
        <v>110</v>
      </c>
      <c r="B84" s="6">
        <v>44231</v>
      </c>
      <c r="C84" s="7">
        <v>0.6</v>
      </c>
      <c r="D84" s="5">
        <v>9.57</v>
      </c>
      <c r="E84" s="5">
        <v>547.79999999999995</v>
      </c>
      <c r="F84" s="5">
        <v>566.70000000000005</v>
      </c>
      <c r="G84" s="6">
        <v>44231</v>
      </c>
      <c r="H84" s="5"/>
      <c r="I84" s="5"/>
      <c r="J84" s="5">
        <f>F84-E84</f>
        <v>18.900000000000091</v>
      </c>
      <c r="K84" s="8" t="b">
        <f t="shared" si="6"/>
        <v>0</v>
      </c>
    </row>
    <row r="85" spans="1:11">
      <c r="A85" s="5">
        <v>110</v>
      </c>
      <c r="B85" s="6">
        <v>44238</v>
      </c>
      <c r="C85" s="7">
        <v>1</v>
      </c>
      <c r="D85" s="5">
        <v>5.8</v>
      </c>
      <c r="E85" s="5">
        <v>574.20000000000005</v>
      </c>
      <c r="F85" s="5">
        <v>585.79999999999995</v>
      </c>
      <c r="G85" s="6">
        <v>44238</v>
      </c>
      <c r="H85" s="5"/>
      <c r="I85" s="5"/>
      <c r="J85" s="5">
        <f>F85-E85</f>
        <v>11.599999999999909</v>
      </c>
      <c r="K85" s="8" t="b">
        <f t="shared" si="6"/>
        <v>0</v>
      </c>
    </row>
    <row r="86" spans="1:11">
      <c r="A86" s="5">
        <v>110</v>
      </c>
      <c r="B86" s="6">
        <v>44253</v>
      </c>
      <c r="C86" s="7">
        <v>1</v>
      </c>
      <c r="D86" s="5">
        <v>5.8</v>
      </c>
      <c r="E86" s="5">
        <v>589.20000000000005</v>
      </c>
      <c r="F86" s="5">
        <v>599</v>
      </c>
      <c r="G86" s="6">
        <v>44253</v>
      </c>
      <c r="H86" s="5"/>
      <c r="I86" s="5"/>
      <c r="J86" s="5">
        <f t="shared" si="5"/>
        <v>9.7999999999999545</v>
      </c>
      <c r="K86" s="8" t="b">
        <f t="shared" ref="K86:K106" si="7">F86=E116</f>
        <v>0</v>
      </c>
    </row>
    <row r="87" spans="1:11">
      <c r="A87" s="5">
        <v>110</v>
      </c>
      <c r="B87" s="6">
        <v>44260</v>
      </c>
      <c r="C87" s="7">
        <v>0.7</v>
      </c>
      <c r="D87" s="5">
        <v>8.2899999999999991</v>
      </c>
      <c r="E87" s="5">
        <v>599</v>
      </c>
      <c r="F87" s="5">
        <v>615.70000000000005</v>
      </c>
      <c r="G87" s="6">
        <v>44260</v>
      </c>
      <c r="H87" s="5"/>
      <c r="I87" s="5"/>
      <c r="J87" s="5">
        <f t="shared" ref="J87:J92" si="8">F87-E87</f>
        <v>16.700000000000045</v>
      </c>
      <c r="K87" s="8" t="b">
        <f t="shared" si="7"/>
        <v>0</v>
      </c>
    </row>
    <row r="88" spans="1:11">
      <c r="A88" s="5">
        <v>110</v>
      </c>
      <c r="B88" s="6">
        <v>44270</v>
      </c>
      <c r="C88" s="7">
        <v>0.7</v>
      </c>
      <c r="D88" s="5">
        <v>8.2899999999999991</v>
      </c>
      <c r="E88" s="5">
        <v>616.5</v>
      </c>
      <c r="F88" s="5">
        <v>633.20000000000005</v>
      </c>
      <c r="G88" s="6">
        <v>44242</v>
      </c>
      <c r="H88" s="5"/>
      <c r="I88" s="5"/>
      <c r="J88" s="5">
        <f t="shared" si="8"/>
        <v>16.700000000000045</v>
      </c>
      <c r="K88" s="8" t="b">
        <f t="shared" si="7"/>
        <v>0</v>
      </c>
    </row>
    <row r="89" spans="1:11">
      <c r="A89" s="5">
        <v>110</v>
      </c>
      <c r="B89" s="6">
        <v>44273</v>
      </c>
      <c r="C89" s="7">
        <v>0.7</v>
      </c>
      <c r="D89" s="5">
        <v>8.2899999999999991</v>
      </c>
      <c r="E89" s="5">
        <v>633.20000000000005</v>
      </c>
      <c r="F89" s="5">
        <v>650.1</v>
      </c>
      <c r="G89" s="6">
        <v>44245</v>
      </c>
      <c r="H89" s="5"/>
      <c r="I89" s="5"/>
      <c r="J89" s="5">
        <f t="shared" si="8"/>
        <v>16.899999999999977</v>
      </c>
      <c r="K89" s="8" t="b">
        <f t="shared" si="7"/>
        <v>0</v>
      </c>
    </row>
    <row r="90" spans="1:11">
      <c r="A90" s="5">
        <v>110</v>
      </c>
      <c r="B90" s="6">
        <v>44276</v>
      </c>
      <c r="C90" s="7">
        <v>0.7</v>
      </c>
      <c r="D90" s="5">
        <v>8.2899999999999991</v>
      </c>
      <c r="E90" s="5">
        <v>650.1</v>
      </c>
      <c r="F90" s="5">
        <v>660.3</v>
      </c>
      <c r="G90" s="6">
        <v>44276</v>
      </c>
      <c r="H90" s="5"/>
      <c r="I90" s="5"/>
      <c r="J90" s="5">
        <f t="shared" si="8"/>
        <v>10.199999999999932</v>
      </c>
      <c r="K90" s="8" t="b">
        <f t="shared" si="7"/>
        <v>0</v>
      </c>
    </row>
    <row r="91" spans="1:11">
      <c r="A91" s="5">
        <v>110</v>
      </c>
      <c r="B91" s="6">
        <v>44279</v>
      </c>
      <c r="C91" s="7">
        <v>0.7</v>
      </c>
      <c r="D91" s="5">
        <v>8.2899999999999991</v>
      </c>
      <c r="E91" s="5">
        <v>667.2</v>
      </c>
      <c r="F91" s="5">
        <v>684.4</v>
      </c>
      <c r="G91" s="6">
        <v>44279</v>
      </c>
      <c r="H91" s="5"/>
      <c r="I91" s="5"/>
      <c r="J91" s="5">
        <f t="shared" si="8"/>
        <v>17.199999999999932</v>
      </c>
      <c r="K91" s="8" t="b">
        <f t="shared" si="7"/>
        <v>0</v>
      </c>
    </row>
    <row r="92" spans="1:11">
      <c r="A92" s="5">
        <v>110</v>
      </c>
      <c r="B92" s="6">
        <v>44282</v>
      </c>
      <c r="C92" s="7">
        <v>0.7</v>
      </c>
      <c r="D92" s="5">
        <v>8.2899999999999991</v>
      </c>
      <c r="E92" s="5">
        <v>685.1</v>
      </c>
      <c r="F92" s="5">
        <v>701.1</v>
      </c>
      <c r="G92" s="6">
        <v>44282</v>
      </c>
      <c r="H92" s="5"/>
      <c r="I92" s="5"/>
      <c r="J92" s="5">
        <f t="shared" si="8"/>
        <v>16</v>
      </c>
      <c r="K92" s="8" t="b">
        <f t="shared" si="7"/>
        <v>0</v>
      </c>
    </row>
    <row r="93" spans="1:11">
      <c r="A93" s="5">
        <v>110</v>
      </c>
      <c r="B93" s="6">
        <v>44285</v>
      </c>
      <c r="C93" s="7">
        <v>0.7</v>
      </c>
      <c r="D93" s="5">
        <v>8.2899999999999991</v>
      </c>
      <c r="E93" s="5">
        <v>701.1</v>
      </c>
      <c r="F93" s="5">
        <v>717.4</v>
      </c>
      <c r="G93" s="6">
        <v>44285</v>
      </c>
      <c r="H93" s="5"/>
      <c r="I93" s="5"/>
      <c r="J93" s="5">
        <f t="shared" ref="J93:J106" si="9">F93-E93</f>
        <v>16.299999999999955</v>
      </c>
      <c r="K93" s="8" t="b">
        <f t="shared" si="7"/>
        <v>0</v>
      </c>
    </row>
    <row r="94" spans="1:11">
      <c r="A94" s="5">
        <v>110</v>
      </c>
      <c r="B94" s="6">
        <v>44288</v>
      </c>
      <c r="C94" s="7">
        <v>0.7</v>
      </c>
      <c r="D94" s="5">
        <v>8.2899999999999991</v>
      </c>
      <c r="E94" s="5">
        <v>717.4</v>
      </c>
      <c r="F94" s="5">
        <v>735.4</v>
      </c>
      <c r="G94" s="6">
        <v>44288</v>
      </c>
      <c r="H94" s="5"/>
      <c r="I94" s="5"/>
      <c r="J94" s="5">
        <f t="shared" si="9"/>
        <v>18</v>
      </c>
      <c r="K94" s="8" t="b">
        <f t="shared" si="7"/>
        <v>0</v>
      </c>
    </row>
    <row r="95" spans="1:11">
      <c r="A95" s="5">
        <v>110</v>
      </c>
      <c r="B95" s="6">
        <v>44290</v>
      </c>
      <c r="C95" s="7">
        <v>0.6</v>
      </c>
      <c r="D95" s="5">
        <v>9.67</v>
      </c>
      <c r="E95" s="5">
        <v>735.4</v>
      </c>
      <c r="F95" s="5">
        <v>746.2</v>
      </c>
      <c r="G95" s="6">
        <v>44290</v>
      </c>
      <c r="H95" s="5"/>
      <c r="I95" s="5"/>
      <c r="J95" s="5">
        <f t="shared" si="9"/>
        <v>10.800000000000068</v>
      </c>
      <c r="K95" s="8" t="b">
        <f t="shared" si="7"/>
        <v>0</v>
      </c>
    </row>
    <row r="96" spans="1:11">
      <c r="A96" s="5">
        <v>110</v>
      </c>
      <c r="B96" s="6">
        <v>44291</v>
      </c>
      <c r="C96" s="7">
        <v>0.6</v>
      </c>
      <c r="D96" s="5">
        <v>9.67</v>
      </c>
      <c r="E96" s="5">
        <v>746.2</v>
      </c>
      <c r="F96" s="5">
        <v>755.8</v>
      </c>
      <c r="G96" s="6">
        <v>44291</v>
      </c>
      <c r="H96" s="5"/>
      <c r="I96" s="5"/>
      <c r="J96" s="5">
        <f t="shared" si="9"/>
        <v>9.5999999999999091</v>
      </c>
      <c r="K96" s="8" t="b">
        <f t="shared" si="7"/>
        <v>0</v>
      </c>
    </row>
    <row r="97" spans="1:11">
      <c r="A97" s="5">
        <v>110</v>
      </c>
      <c r="B97" s="6">
        <v>44293</v>
      </c>
      <c r="C97" s="7">
        <v>0.6</v>
      </c>
      <c r="D97" s="5">
        <v>9.67</v>
      </c>
      <c r="E97" s="5">
        <v>755.8</v>
      </c>
      <c r="F97" s="5">
        <v>765.2</v>
      </c>
      <c r="G97" s="6">
        <v>44293</v>
      </c>
      <c r="H97" s="5"/>
      <c r="I97" s="5"/>
      <c r="J97" s="5">
        <f t="shared" si="9"/>
        <v>9.4000000000000909</v>
      </c>
      <c r="K97" s="8" t="b">
        <f t="shared" si="7"/>
        <v>0</v>
      </c>
    </row>
    <row r="98" spans="1:11">
      <c r="A98" s="5">
        <v>110</v>
      </c>
      <c r="B98" s="6">
        <v>44294</v>
      </c>
      <c r="C98" s="7">
        <v>0.6</v>
      </c>
      <c r="D98" s="5">
        <v>9.67</v>
      </c>
      <c r="E98" s="5">
        <v>765.2</v>
      </c>
      <c r="F98" s="5">
        <v>775.4</v>
      </c>
      <c r="G98" s="6">
        <v>44294</v>
      </c>
      <c r="H98" s="5"/>
      <c r="I98" s="5"/>
      <c r="J98" s="5">
        <f t="shared" si="9"/>
        <v>10.199999999999932</v>
      </c>
      <c r="K98" s="8" t="b">
        <f t="shared" si="7"/>
        <v>0</v>
      </c>
    </row>
    <row r="99" spans="1:11">
      <c r="A99" s="5">
        <v>110</v>
      </c>
      <c r="B99" s="6">
        <v>44298</v>
      </c>
      <c r="C99" s="7">
        <v>0.55000000000000004</v>
      </c>
      <c r="D99" s="5">
        <v>10.55</v>
      </c>
      <c r="E99" s="5">
        <v>775.4</v>
      </c>
      <c r="F99" s="5">
        <v>785.8</v>
      </c>
      <c r="G99" s="6">
        <v>44298</v>
      </c>
      <c r="H99" s="5"/>
      <c r="I99" s="5"/>
      <c r="J99" s="5">
        <f t="shared" si="9"/>
        <v>10.399999999999977</v>
      </c>
      <c r="K99" s="8" t="b">
        <f t="shared" si="7"/>
        <v>0</v>
      </c>
    </row>
    <row r="100" spans="1:11">
      <c r="A100" s="5">
        <v>110</v>
      </c>
      <c r="B100" s="6">
        <v>44299</v>
      </c>
      <c r="C100" s="7">
        <v>0.55000000000000004</v>
      </c>
      <c r="D100" s="5">
        <v>10.55</v>
      </c>
      <c r="E100" s="5">
        <v>785.8</v>
      </c>
      <c r="F100" s="5">
        <v>796.2</v>
      </c>
      <c r="G100" s="6">
        <v>44299</v>
      </c>
      <c r="H100" s="5"/>
      <c r="I100" s="5"/>
      <c r="J100" s="5">
        <f t="shared" si="9"/>
        <v>10.400000000000091</v>
      </c>
      <c r="K100" s="8" t="b">
        <f t="shared" si="7"/>
        <v>0</v>
      </c>
    </row>
    <row r="101" spans="1:11">
      <c r="A101" s="5">
        <v>110</v>
      </c>
      <c r="B101" s="6">
        <v>44302</v>
      </c>
      <c r="C101" s="7">
        <v>0.55000000000000004</v>
      </c>
      <c r="D101" s="5">
        <v>10.55</v>
      </c>
      <c r="E101" s="5">
        <v>796.2</v>
      </c>
      <c r="F101" s="5">
        <v>807</v>
      </c>
      <c r="G101" s="6">
        <v>44302</v>
      </c>
      <c r="H101" s="5"/>
      <c r="I101" s="5"/>
      <c r="J101" s="5">
        <f t="shared" si="9"/>
        <v>10.799999999999955</v>
      </c>
      <c r="K101" s="8" t="b">
        <f t="shared" si="7"/>
        <v>0</v>
      </c>
    </row>
    <row r="102" spans="1:11">
      <c r="A102" s="5">
        <v>110</v>
      </c>
      <c r="B102" s="6">
        <v>44311</v>
      </c>
      <c r="C102" s="7">
        <v>0.7</v>
      </c>
      <c r="D102" s="5">
        <v>8.2899999999999991</v>
      </c>
      <c r="E102" s="5">
        <v>807</v>
      </c>
      <c r="F102" s="5">
        <v>823.3</v>
      </c>
      <c r="G102" s="6">
        <v>44311</v>
      </c>
      <c r="H102" s="5"/>
      <c r="I102" s="5"/>
      <c r="J102" s="5">
        <f t="shared" si="9"/>
        <v>16.299999999999955</v>
      </c>
      <c r="K102" s="8" t="b">
        <f t="shared" si="7"/>
        <v>0</v>
      </c>
    </row>
    <row r="103" spans="1:11">
      <c r="A103" s="5">
        <v>110</v>
      </c>
      <c r="B103" s="6">
        <v>44321</v>
      </c>
      <c r="C103" s="7">
        <v>0.7</v>
      </c>
      <c r="D103" s="5">
        <v>8.2899999999999991</v>
      </c>
      <c r="E103" s="5">
        <v>839.8</v>
      </c>
      <c r="F103" s="5">
        <v>858.4</v>
      </c>
      <c r="G103" s="6">
        <v>44321</v>
      </c>
      <c r="H103" s="5"/>
      <c r="I103" s="5"/>
      <c r="J103" s="5">
        <f t="shared" si="9"/>
        <v>18.600000000000023</v>
      </c>
      <c r="K103" s="8" t="b">
        <f t="shared" si="7"/>
        <v>0</v>
      </c>
    </row>
    <row r="104" spans="1:11">
      <c r="A104" s="5">
        <v>110</v>
      </c>
      <c r="B104" s="6">
        <v>44324</v>
      </c>
      <c r="C104" s="7">
        <v>0.7</v>
      </c>
      <c r="D104" s="5">
        <v>8.2899999999999991</v>
      </c>
      <c r="E104" s="5">
        <v>858.4</v>
      </c>
      <c r="F104" s="5">
        <v>874.8</v>
      </c>
      <c r="G104" s="6">
        <v>44324</v>
      </c>
      <c r="H104" s="5"/>
      <c r="I104" s="5"/>
      <c r="J104" s="5">
        <f t="shared" si="9"/>
        <v>16.399999999999977</v>
      </c>
      <c r="K104" s="8" t="b">
        <f t="shared" si="7"/>
        <v>0</v>
      </c>
    </row>
    <row r="105" spans="1:11">
      <c r="A105" s="5">
        <v>110</v>
      </c>
      <c r="B105" s="6">
        <v>44328</v>
      </c>
      <c r="C105" s="7">
        <v>0.7</v>
      </c>
      <c r="D105" s="5">
        <v>8.2899999999999991</v>
      </c>
      <c r="E105" s="5">
        <v>874.8</v>
      </c>
      <c r="F105" s="5">
        <v>891.5</v>
      </c>
      <c r="G105" s="6">
        <v>44328</v>
      </c>
      <c r="H105" s="5"/>
      <c r="I105" s="5"/>
      <c r="J105" s="5">
        <f t="shared" si="9"/>
        <v>16.700000000000045</v>
      </c>
      <c r="K105" s="8" t="b">
        <f t="shared" si="7"/>
        <v>0</v>
      </c>
    </row>
    <row r="106" spans="1:11">
      <c r="A106" s="5">
        <v>110</v>
      </c>
      <c r="B106" s="6">
        <v>44334</v>
      </c>
      <c r="C106" s="7">
        <v>0.5</v>
      </c>
      <c r="D106" s="5">
        <v>11.6</v>
      </c>
      <c r="E106" s="5">
        <v>891.5</v>
      </c>
      <c r="F106" s="5">
        <v>902.4</v>
      </c>
      <c r="G106" s="6">
        <v>44334</v>
      </c>
      <c r="H106" s="5"/>
      <c r="I106" s="5"/>
      <c r="J106" s="5">
        <f t="shared" si="9"/>
        <v>10.899999999999977</v>
      </c>
      <c r="K106" s="8" t="b">
        <f t="shared" si="7"/>
        <v>0</v>
      </c>
    </row>
    <row r="107" spans="1:11">
      <c r="A107" s="5">
        <v>110</v>
      </c>
      <c r="B107" s="6">
        <v>44335</v>
      </c>
      <c r="C107" s="7">
        <v>0.5</v>
      </c>
      <c r="D107" s="5">
        <v>11.6</v>
      </c>
      <c r="E107" s="5">
        <v>902.4</v>
      </c>
      <c r="F107" s="5">
        <v>914.8</v>
      </c>
      <c r="G107" s="6">
        <v>44335</v>
      </c>
      <c r="H107" s="5"/>
      <c r="I107" s="5"/>
      <c r="J107" s="5">
        <f>F107-E107</f>
        <v>12.399999999999977</v>
      </c>
      <c r="K107" s="8" t="b">
        <f>F107=E135</f>
        <v>0</v>
      </c>
    </row>
    <row r="108" spans="1:11">
      <c r="A108" s="5">
        <v>110</v>
      </c>
      <c r="B108" s="6">
        <v>44340</v>
      </c>
      <c r="C108" s="7">
        <v>0.5</v>
      </c>
      <c r="D108" s="5">
        <v>11.6</v>
      </c>
      <c r="E108" s="5">
        <v>914.8</v>
      </c>
      <c r="F108" s="5">
        <v>926.1</v>
      </c>
      <c r="G108" s="6">
        <v>44340</v>
      </c>
      <c r="H108" s="5"/>
      <c r="I108" s="5"/>
      <c r="J108" s="5">
        <f>F108-E108</f>
        <v>11.300000000000068</v>
      </c>
      <c r="K108" s="8" t="b">
        <f>F108=E136</f>
        <v>0</v>
      </c>
    </row>
    <row r="109" spans="1:11">
      <c r="A109" s="5">
        <v>110</v>
      </c>
      <c r="B109" s="6">
        <v>44341</v>
      </c>
      <c r="C109" s="7">
        <v>0.5</v>
      </c>
      <c r="D109" s="5">
        <v>11.6</v>
      </c>
      <c r="E109" s="5">
        <v>926.1</v>
      </c>
      <c r="F109" s="5">
        <v>937.9</v>
      </c>
      <c r="G109" s="6">
        <v>44341</v>
      </c>
      <c r="H109" s="5"/>
      <c r="I109" s="5"/>
      <c r="J109" s="5">
        <f>F109-E109</f>
        <v>11.799999999999955</v>
      </c>
      <c r="K109" s="8" t="b">
        <f>F109=E137</f>
        <v>0</v>
      </c>
    </row>
    <row r="110" spans="1:11">
      <c r="A110" s="5">
        <v>110</v>
      </c>
      <c r="B110" s="6"/>
      <c r="C110" s="7"/>
      <c r="D110" s="5"/>
      <c r="E110" s="5"/>
      <c r="F110" s="5"/>
      <c r="G110" s="6"/>
      <c r="H110" s="5"/>
      <c r="I110" s="5"/>
      <c r="J110" s="5">
        <f>F110-E110</f>
        <v>0</v>
      </c>
      <c r="K110" s="8" t="b">
        <f>F110=E138</f>
        <v>0</v>
      </c>
    </row>
    <row r="112" spans="1:11" ht="26.25">
      <c r="A112" s="138" t="s">
        <v>139</v>
      </c>
      <c r="B112" s="159"/>
      <c r="C112" s="159"/>
      <c r="D112" s="159"/>
      <c r="E112" s="159"/>
      <c r="F112" s="159"/>
      <c r="G112" s="159"/>
      <c r="H112" s="159"/>
      <c r="I112" s="159"/>
      <c r="J112" s="159"/>
      <c r="K112" s="160"/>
    </row>
    <row r="113" spans="1:11" ht="26.25">
      <c r="A113" s="138" t="s">
        <v>75</v>
      </c>
      <c r="B113" s="159"/>
      <c r="C113" s="159"/>
      <c r="D113" s="159"/>
      <c r="E113" s="159"/>
      <c r="F113" s="159"/>
      <c r="G113" s="159"/>
      <c r="H113" s="159"/>
      <c r="I113" s="159"/>
      <c r="J113" s="159"/>
      <c r="K113" s="160"/>
    </row>
    <row r="114" spans="1:11" ht="15.75" thickBot="1"/>
    <row r="115" spans="1:11" ht="15.75" thickBot="1">
      <c r="A115" s="132" t="s">
        <v>2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4"/>
    </row>
    <row r="117" spans="1:11" ht="19.5" thickBot="1">
      <c r="A117" s="1" t="s">
        <v>3</v>
      </c>
      <c r="B117" s="1"/>
      <c r="C117" s="1"/>
      <c r="D117" s="1"/>
      <c r="E117" s="1"/>
      <c r="F117" s="1"/>
      <c r="G117" s="1"/>
      <c r="H117" s="1"/>
      <c r="I117" s="1"/>
    </row>
    <row r="118" spans="1:11" ht="30.75" thickBot="1">
      <c r="A118" s="2" t="s">
        <v>4</v>
      </c>
      <c r="B118" s="3" t="s">
        <v>5</v>
      </c>
      <c r="C118" s="3" t="s">
        <v>6</v>
      </c>
      <c r="D118" s="3" t="s">
        <v>7</v>
      </c>
      <c r="E118" s="3" t="s">
        <v>8</v>
      </c>
      <c r="F118" s="3" t="s">
        <v>9</v>
      </c>
      <c r="G118" s="3" t="s">
        <v>10</v>
      </c>
      <c r="H118" s="3" t="s">
        <v>21</v>
      </c>
      <c r="I118" s="4" t="s">
        <v>22</v>
      </c>
      <c r="J118" s="4" t="s">
        <v>11</v>
      </c>
      <c r="K118" s="4" t="s">
        <v>12</v>
      </c>
    </row>
    <row r="119" spans="1:11">
      <c r="A119" s="5" t="s">
        <v>140</v>
      </c>
      <c r="B119" s="6">
        <v>44387</v>
      </c>
      <c r="C119" s="7">
        <v>0.5</v>
      </c>
      <c r="D119" s="5">
        <v>11.6</v>
      </c>
      <c r="E119" s="5">
        <v>0.2</v>
      </c>
      <c r="F119" s="5">
        <v>14.2</v>
      </c>
      <c r="G119" s="6">
        <v>44387</v>
      </c>
      <c r="H119" s="5"/>
      <c r="I119" s="5"/>
      <c r="J119" s="5">
        <f t="shared" ref="J119:J124" si="10">F119-E119</f>
        <v>14</v>
      </c>
      <c r="K119" s="8" t="b">
        <f>E119=F109</f>
        <v>0</v>
      </c>
    </row>
    <row r="120" spans="1:11">
      <c r="A120" s="5" t="s">
        <v>140</v>
      </c>
      <c r="B120" s="6">
        <v>44388</v>
      </c>
      <c r="C120" s="7">
        <v>0.5</v>
      </c>
      <c r="D120" s="5">
        <v>11.6</v>
      </c>
      <c r="E120" s="5">
        <v>14.2</v>
      </c>
      <c r="F120" s="5">
        <v>26.4</v>
      </c>
      <c r="G120" s="6">
        <v>44388</v>
      </c>
      <c r="H120" s="5"/>
      <c r="I120" s="5"/>
      <c r="J120" s="5">
        <f t="shared" si="10"/>
        <v>12.2</v>
      </c>
      <c r="K120" s="8" t="b">
        <f>E120=F119</f>
        <v>1</v>
      </c>
    </row>
    <row r="121" spans="1:11">
      <c r="A121" s="5" t="s">
        <v>140</v>
      </c>
      <c r="B121" s="6">
        <v>44389</v>
      </c>
      <c r="C121" s="7">
        <v>0.7</v>
      </c>
      <c r="D121" s="5">
        <v>8.2899999999999991</v>
      </c>
      <c r="E121" s="5">
        <v>26.4</v>
      </c>
      <c r="F121" s="5">
        <v>43</v>
      </c>
      <c r="G121" s="6">
        <v>44389</v>
      </c>
      <c r="H121" s="5"/>
      <c r="I121" s="5"/>
      <c r="J121" s="5">
        <f t="shared" si="10"/>
        <v>16.600000000000001</v>
      </c>
      <c r="K121" s="8" t="b">
        <f>E121=F120</f>
        <v>1</v>
      </c>
    </row>
    <row r="122" spans="1:11">
      <c r="A122" s="5" t="s">
        <v>140</v>
      </c>
      <c r="B122" s="6">
        <v>44391</v>
      </c>
      <c r="C122" s="7">
        <v>0.5</v>
      </c>
      <c r="D122" s="5">
        <v>11.6</v>
      </c>
      <c r="E122" s="5">
        <v>43</v>
      </c>
      <c r="F122" s="5">
        <v>55</v>
      </c>
      <c r="G122" s="6">
        <v>44391</v>
      </c>
      <c r="H122" s="5"/>
      <c r="I122" s="5"/>
      <c r="J122" s="5">
        <f t="shared" si="10"/>
        <v>12</v>
      </c>
      <c r="K122" s="8" t="b">
        <f>E122=F121</f>
        <v>1</v>
      </c>
    </row>
    <row r="123" spans="1:11">
      <c r="A123" s="5" t="s">
        <v>140</v>
      </c>
      <c r="B123" s="6">
        <v>44398</v>
      </c>
      <c r="C123" s="7">
        <v>0.7</v>
      </c>
      <c r="D123" s="5">
        <v>8.2899999999999991</v>
      </c>
      <c r="E123" s="5">
        <v>55.8</v>
      </c>
      <c r="F123" s="5">
        <v>72.5</v>
      </c>
      <c r="G123" s="6">
        <v>44398</v>
      </c>
      <c r="H123" s="5"/>
      <c r="I123" s="5"/>
      <c r="J123" s="5">
        <f t="shared" si="10"/>
        <v>16.700000000000003</v>
      </c>
      <c r="K123" s="8" t="b">
        <f>E123=F122</f>
        <v>0</v>
      </c>
    </row>
    <row r="124" spans="1:11">
      <c r="A124" s="5" t="s">
        <v>140</v>
      </c>
      <c r="B124" s="6">
        <v>44399</v>
      </c>
      <c r="C124" s="7">
        <v>1</v>
      </c>
      <c r="D124" s="5">
        <v>5.8</v>
      </c>
      <c r="E124" s="5">
        <v>72.5</v>
      </c>
      <c r="F124" s="5">
        <v>83.5</v>
      </c>
      <c r="G124" s="6">
        <v>44399</v>
      </c>
      <c r="H124" s="5"/>
      <c r="I124" s="5"/>
      <c r="J124" s="5">
        <f t="shared" si="10"/>
        <v>11</v>
      </c>
      <c r="K124" s="8" t="b">
        <f>E124=F123</f>
        <v>1</v>
      </c>
    </row>
    <row r="125" spans="1:11">
      <c r="A125" s="5" t="s">
        <v>140</v>
      </c>
      <c r="B125" s="6">
        <v>44400</v>
      </c>
      <c r="C125" s="7">
        <v>1</v>
      </c>
      <c r="D125" s="5">
        <v>5.8</v>
      </c>
      <c r="E125" s="5">
        <v>83.5</v>
      </c>
      <c r="F125" s="5">
        <v>95.7</v>
      </c>
      <c r="G125" s="6">
        <v>44400</v>
      </c>
      <c r="H125" s="5"/>
      <c r="I125" s="5"/>
      <c r="J125" s="5">
        <f t="shared" ref="J125:J137" si="11">F125-E125</f>
        <v>12.200000000000003</v>
      </c>
      <c r="K125" s="8" t="b">
        <f t="shared" ref="K125:K145" si="12">E125=F124</f>
        <v>1</v>
      </c>
    </row>
    <row r="126" spans="1:11">
      <c r="A126" s="5" t="s">
        <v>140</v>
      </c>
      <c r="B126" s="6">
        <v>44403</v>
      </c>
      <c r="C126" s="7">
        <v>0.8</v>
      </c>
      <c r="D126" s="5">
        <v>7.25</v>
      </c>
      <c r="E126" s="5">
        <v>95.7</v>
      </c>
      <c r="F126" s="5">
        <v>110</v>
      </c>
      <c r="G126" s="6">
        <v>44403</v>
      </c>
      <c r="H126" s="5"/>
      <c r="I126" s="5"/>
      <c r="J126" s="5">
        <f t="shared" si="11"/>
        <v>14.299999999999997</v>
      </c>
      <c r="K126" s="8" t="b">
        <f t="shared" si="12"/>
        <v>1</v>
      </c>
    </row>
    <row r="127" spans="1:11">
      <c r="A127" s="5" t="s">
        <v>140</v>
      </c>
      <c r="B127" s="6">
        <v>44405</v>
      </c>
      <c r="C127" s="7">
        <v>0.6</v>
      </c>
      <c r="D127" s="5">
        <v>9.67</v>
      </c>
      <c r="E127" s="5">
        <v>110</v>
      </c>
      <c r="F127" s="5">
        <v>119.9</v>
      </c>
      <c r="G127" s="6">
        <v>44405</v>
      </c>
      <c r="H127" s="5"/>
      <c r="I127" s="5"/>
      <c r="J127" s="5">
        <f t="shared" si="11"/>
        <v>9.9000000000000057</v>
      </c>
      <c r="K127" s="8" t="b">
        <f t="shared" si="12"/>
        <v>1</v>
      </c>
    </row>
    <row r="128" spans="1:11">
      <c r="A128" s="5" t="s">
        <v>140</v>
      </c>
      <c r="B128" s="6">
        <v>44406</v>
      </c>
      <c r="C128" s="7">
        <v>0.7</v>
      </c>
      <c r="D128" s="5">
        <v>7.25</v>
      </c>
      <c r="E128" s="5">
        <v>119.9</v>
      </c>
      <c r="F128" s="5">
        <v>128.19999999999999</v>
      </c>
      <c r="G128" s="6">
        <v>44406</v>
      </c>
      <c r="H128" s="5"/>
      <c r="I128" s="5"/>
      <c r="J128" s="5">
        <f t="shared" si="11"/>
        <v>8.2999999999999829</v>
      </c>
      <c r="K128" s="8" t="b">
        <f t="shared" si="12"/>
        <v>1</v>
      </c>
    </row>
    <row r="129" spans="1:11">
      <c r="A129" s="5" t="s">
        <v>140</v>
      </c>
      <c r="B129" s="6">
        <v>44407</v>
      </c>
      <c r="C129" s="7">
        <v>1</v>
      </c>
      <c r="D129" s="5">
        <v>5.8</v>
      </c>
      <c r="E129" s="5">
        <v>128.19999999999999</v>
      </c>
      <c r="F129" s="5">
        <v>140.1</v>
      </c>
      <c r="G129" s="6">
        <v>44407</v>
      </c>
      <c r="H129" s="5"/>
      <c r="I129" s="5"/>
      <c r="J129" s="5">
        <f t="shared" si="11"/>
        <v>11.900000000000006</v>
      </c>
      <c r="K129" s="8" t="b">
        <f t="shared" si="12"/>
        <v>1</v>
      </c>
    </row>
    <row r="130" spans="1:11">
      <c r="A130" s="5" t="s">
        <v>140</v>
      </c>
      <c r="B130" s="6">
        <v>44398</v>
      </c>
      <c r="C130" s="7">
        <v>1</v>
      </c>
      <c r="D130" s="5">
        <v>5.8</v>
      </c>
      <c r="E130" s="5">
        <v>140.1</v>
      </c>
      <c r="F130" s="5">
        <v>152.9</v>
      </c>
      <c r="G130" s="6">
        <v>44408</v>
      </c>
      <c r="H130" s="5"/>
      <c r="I130" s="5"/>
      <c r="J130" s="5">
        <f t="shared" si="11"/>
        <v>12.800000000000011</v>
      </c>
      <c r="K130" s="8" t="b">
        <f>E130=F129</f>
        <v>1</v>
      </c>
    </row>
    <row r="131" spans="1:11">
      <c r="A131" s="5" t="s">
        <v>140</v>
      </c>
      <c r="B131" s="6">
        <v>44409</v>
      </c>
      <c r="C131" s="7">
        <v>1</v>
      </c>
      <c r="D131" s="5">
        <v>5.8</v>
      </c>
      <c r="E131" s="5">
        <v>152.9</v>
      </c>
      <c r="F131" s="5">
        <v>165.6</v>
      </c>
      <c r="G131" s="6">
        <v>44409</v>
      </c>
      <c r="H131" s="5"/>
      <c r="I131" s="5"/>
      <c r="J131" s="5">
        <f t="shared" si="11"/>
        <v>12.699999999999989</v>
      </c>
      <c r="K131" s="8" t="b">
        <f t="shared" si="12"/>
        <v>1</v>
      </c>
    </row>
    <row r="132" spans="1:11">
      <c r="A132" s="5" t="s">
        <v>140</v>
      </c>
      <c r="B132" s="6">
        <v>44379</v>
      </c>
      <c r="C132" s="7">
        <v>1</v>
      </c>
      <c r="D132" s="5">
        <v>5.8</v>
      </c>
      <c r="E132" s="5">
        <v>165.6</v>
      </c>
      <c r="F132" s="5">
        <v>170.5</v>
      </c>
      <c r="G132" s="6">
        <v>44379</v>
      </c>
      <c r="H132" s="5"/>
      <c r="I132" s="5"/>
      <c r="J132" s="5">
        <f t="shared" si="11"/>
        <v>4.9000000000000057</v>
      </c>
      <c r="K132" s="8" t="b">
        <f t="shared" si="12"/>
        <v>1</v>
      </c>
    </row>
    <row r="133" spans="1:11">
      <c r="A133" s="5" t="s">
        <v>140</v>
      </c>
      <c r="B133" s="6">
        <v>44411</v>
      </c>
      <c r="C133" s="7">
        <v>1</v>
      </c>
      <c r="D133" s="5">
        <v>5.8</v>
      </c>
      <c r="E133" s="5">
        <v>170.5</v>
      </c>
      <c r="F133" s="5">
        <v>177.5</v>
      </c>
      <c r="G133" s="6">
        <v>44411</v>
      </c>
      <c r="H133" s="5"/>
      <c r="I133" s="5"/>
      <c r="J133" s="5">
        <f t="shared" si="11"/>
        <v>7</v>
      </c>
      <c r="K133" s="8" t="b">
        <f t="shared" si="12"/>
        <v>1</v>
      </c>
    </row>
    <row r="134" spans="1:11">
      <c r="A134" s="5" t="s">
        <v>140</v>
      </c>
      <c r="B134" s="6">
        <v>44412</v>
      </c>
      <c r="C134" s="7">
        <v>1</v>
      </c>
      <c r="D134" s="5">
        <v>5.8</v>
      </c>
      <c r="E134" s="5">
        <v>177.5</v>
      </c>
      <c r="F134" s="5">
        <v>189.4</v>
      </c>
      <c r="G134" s="6">
        <v>44412</v>
      </c>
      <c r="H134" s="5"/>
      <c r="I134" s="5"/>
      <c r="J134" s="5">
        <f t="shared" si="11"/>
        <v>11.900000000000006</v>
      </c>
      <c r="K134" s="8" t="b">
        <f t="shared" si="12"/>
        <v>1</v>
      </c>
    </row>
    <row r="135" spans="1:11">
      <c r="A135" s="5" t="s">
        <v>140</v>
      </c>
      <c r="B135" s="6">
        <v>44413</v>
      </c>
      <c r="C135" s="7">
        <v>1</v>
      </c>
      <c r="D135" s="5">
        <v>5.8</v>
      </c>
      <c r="E135" s="5">
        <v>189.4</v>
      </c>
      <c r="F135" s="5">
        <v>201.2</v>
      </c>
      <c r="G135" s="6">
        <v>44413</v>
      </c>
      <c r="H135" s="5"/>
      <c r="I135" s="5"/>
      <c r="J135" s="5">
        <f t="shared" si="11"/>
        <v>11.799999999999983</v>
      </c>
      <c r="K135" s="8" t="b">
        <f t="shared" si="12"/>
        <v>1</v>
      </c>
    </row>
    <row r="136" spans="1:11">
      <c r="A136" s="5" t="s">
        <v>140</v>
      </c>
      <c r="B136" s="6">
        <v>44414</v>
      </c>
      <c r="C136" s="7">
        <v>1</v>
      </c>
      <c r="D136" s="5">
        <v>5.8</v>
      </c>
      <c r="E136" s="5">
        <v>201.2</v>
      </c>
      <c r="F136" s="5">
        <v>213</v>
      </c>
      <c r="G136" s="6">
        <v>44414</v>
      </c>
      <c r="H136" s="5"/>
      <c r="I136" s="5"/>
      <c r="J136" s="5">
        <f t="shared" si="11"/>
        <v>11.800000000000011</v>
      </c>
      <c r="K136" s="8" t="b">
        <f t="shared" si="12"/>
        <v>1</v>
      </c>
    </row>
    <row r="137" spans="1:11">
      <c r="A137" s="5" t="s">
        <v>140</v>
      </c>
      <c r="B137" s="6">
        <v>44415</v>
      </c>
      <c r="C137" s="7">
        <v>1</v>
      </c>
      <c r="D137" s="5">
        <v>5.8</v>
      </c>
      <c r="E137" s="5">
        <v>213</v>
      </c>
      <c r="F137" s="5">
        <v>224.9</v>
      </c>
      <c r="G137" s="6">
        <v>44415</v>
      </c>
      <c r="H137" s="5"/>
      <c r="I137" s="5"/>
      <c r="J137" s="5">
        <f t="shared" si="11"/>
        <v>11.900000000000006</v>
      </c>
      <c r="K137" s="8" t="b">
        <f t="shared" si="12"/>
        <v>1</v>
      </c>
    </row>
    <row r="138" spans="1:11">
      <c r="A138" s="5" t="s">
        <v>140</v>
      </c>
      <c r="B138" s="6">
        <v>44416</v>
      </c>
      <c r="C138" s="7">
        <v>1</v>
      </c>
      <c r="D138" s="5">
        <v>5.8</v>
      </c>
      <c r="E138" s="5">
        <v>224.9</v>
      </c>
      <c r="F138" s="5">
        <v>236.8</v>
      </c>
      <c r="G138" s="6">
        <v>44416</v>
      </c>
      <c r="H138" s="5"/>
      <c r="I138" s="5"/>
      <c r="J138" s="5">
        <f t="shared" ref="J138:J145" si="13">F138-E138</f>
        <v>11.900000000000006</v>
      </c>
      <c r="K138" s="8" t="b">
        <f t="shared" si="12"/>
        <v>1</v>
      </c>
    </row>
    <row r="139" spans="1:11">
      <c r="A139" s="5" t="s">
        <v>140</v>
      </c>
      <c r="B139" s="6">
        <v>44417</v>
      </c>
      <c r="C139" s="7">
        <v>1</v>
      </c>
      <c r="D139" s="5">
        <v>5.8</v>
      </c>
      <c r="E139" s="5">
        <v>236.8</v>
      </c>
      <c r="F139" s="5">
        <v>248.1</v>
      </c>
      <c r="G139" s="6">
        <v>44417</v>
      </c>
      <c r="H139" s="5"/>
      <c r="I139" s="5"/>
      <c r="J139" s="5">
        <f t="shared" si="13"/>
        <v>11.299999999999983</v>
      </c>
      <c r="K139" s="8" t="b">
        <f>E139=F138</f>
        <v>1</v>
      </c>
    </row>
    <row r="140" spans="1:11">
      <c r="A140" s="5" t="s">
        <v>140</v>
      </c>
      <c r="B140" s="6">
        <v>44418</v>
      </c>
      <c r="C140" s="7">
        <v>1</v>
      </c>
      <c r="D140" s="5">
        <v>5.8</v>
      </c>
      <c r="E140" s="5">
        <v>248.1</v>
      </c>
      <c r="F140" s="5">
        <v>260.7</v>
      </c>
      <c r="G140" s="6">
        <v>44418</v>
      </c>
      <c r="H140" s="5"/>
      <c r="I140" s="5"/>
      <c r="J140" s="5">
        <f t="shared" si="13"/>
        <v>12.599999999999994</v>
      </c>
      <c r="K140" s="8" t="b">
        <f t="shared" si="12"/>
        <v>1</v>
      </c>
    </row>
    <row r="141" spans="1:11">
      <c r="A141" s="5" t="s">
        <v>140</v>
      </c>
      <c r="B141" s="6">
        <v>44420</v>
      </c>
      <c r="C141" s="7">
        <v>1</v>
      </c>
      <c r="D141" s="5">
        <v>5.8</v>
      </c>
      <c r="E141" s="5">
        <v>260.7</v>
      </c>
      <c r="F141" s="5">
        <v>272.5</v>
      </c>
      <c r="G141" s="6">
        <v>44420</v>
      </c>
      <c r="H141" s="5"/>
      <c r="I141" s="5"/>
      <c r="J141" s="5">
        <f t="shared" si="13"/>
        <v>11.800000000000011</v>
      </c>
      <c r="K141" s="8" t="b">
        <f t="shared" si="12"/>
        <v>1</v>
      </c>
    </row>
    <row r="142" spans="1:11">
      <c r="A142" s="5" t="s">
        <v>141</v>
      </c>
      <c r="B142" s="6">
        <v>44423</v>
      </c>
      <c r="C142" s="7">
        <v>1</v>
      </c>
      <c r="D142" s="5">
        <v>5.8</v>
      </c>
      <c r="E142" s="5">
        <v>272.5</v>
      </c>
      <c r="F142" s="5">
        <v>284.5</v>
      </c>
      <c r="G142" s="6">
        <v>44423</v>
      </c>
      <c r="H142" s="5"/>
      <c r="I142" s="5"/>
      <c r="J142" s="5">
        <f t="shared" si="13"/>
        <v>12</v>
      </c>
      <c r="K142" s="8" t="b">
        <f t="shared" si="12"/>
        <v>1</v>
      </c>
    </row>
    <row r="143" spans="1:11">
      <c r="A143" s="5" t="s">
        <v>141</v>
      </c>
      <c r="B143" s="6">
        <v>44426</v>
      </c>
      <c r="C143" s="7">
        <v>0.8</v>
      </c>
      <c r="D143" s="5">
        <v>7.25</v>
      </c>
      <c r="E143" s="5">
        <v>284.5</v>
      </c>
      <c r="F143" s="5">
        <v>299.5</v>
      </c>
      <c r="G143" s="6">
        <v>44426</v>
      </c>
      <c r="H143" s="5"/>
      <c r="I143" s="5"/>
      <c r="J143" s="5">
        <f t="shared" si="13"/>
        <v>15</v>
      </c>
      <c r="K143" s="8" t="b">
        <f t="shared" si="12"/>
        <v>1</v>
      </c>
    </row>
    <row r="144" spans="1:11">
      <c r="A144" s="5" t="s">
        <v>141</v>
      </c>
      <c r="B144" s="6">
        <v>44429</v>
      </c>
      <c r="C144" s="7">
        <v>0.8</v>
      </c>
      <c r="D144" s="5">
        <v>7.25</v>
      </c>
      <c r="E144" s="5">
        <v>299.5</v>
      </c>
      <c r="F144" s="5">
        <v>314</v>
      </c>
      <c r="G144" s="6">
        <v>44429</v>
      </c>
      <c r="H144" s="5"/>
      <c r="I144" s="5"/>
      <c r="J144" s="5">
        <f t="shared" si="13"/>
        <v>14.5</v>
      </c>
      <c r="K144" s="8" t="b">
        <f t="shared" si="12"/>
        <v>1</v>
      </c>
    </row>
    <row r="145" spans="1:11">
      <c r="A145" s="5" t="s">
        <v>141</v>
      </c>
      <c r="B145" s="6">
        <v>44431</v>
      </c>
      <c r="C145" s="7">
        <v>1</v>
      </c>
      <c r="D145" s="5">
        <v>5.8</v>
      </c>
      <c r="E145" s="5">
        <v>314</v>
      </c>
      <c r="F145" s="5">
        <v>326.10000000000002</v>
      </c>
      <c r="G145" s="6">
        <v>44431</v>
      </c>
      <c r="H145" s="5"/>
      <c r="I145" s="5"/>
      <c r="J145" s="5">
        <f t="shared" si="13"/>
        <v>12.100000000000023</v>
      </c>
      <c r="K145" s="8" t="b">
        <f t="shared" si="12"/>
        <v>1</v>
      </c>
    </row>
    <row r="146" spans="1:11">
      <c r="A146" s="5" t="s">
        <v>141</v>
      </c>
      <c r="B146" s="6">
        <v>44432</v>
      </c>
      <c r="C146" s="7">
        <v>1</v>
      </c>
      <c r="D146" s="5">
        <v>5.8</v>
      </c>
      <c r="E146" s="5">
        <v>326.10000000000002</v>
      </c>
      <c r="F146" s="5">
        <v>338.8</v>
      </c>
      <c r="G146" s="6">
        <v>44432</v>
      </c>
      <c r="H146" s="5"/>
      <c r="I146" s="5"/>
      <c r="J146" s="5">
        <f t="shared" ref="J146:J155" si="14">F146-E146</f>
        <v>12.699999999999989</v>
      </c>
      <c r="K146" s="8" t="b">
        <f t="shared" ref="K146:K155" si="15">E146=F145</f>
        <v>1</v>
      </c>
    </row>
    <row r="147" spans="1:11">
      <c r="A147" s="5" t="s">
        <v>141</v>
      </c>
      <c r="B147" s="6">
        <v>44434</v>
      </c>
      <c r="C147" s="7">
        <v>1</v>
      </c>
      <c r="D147" s="5">
        <v>5.8</v>
      </c>
      <c r="E147" s="5">
        <v>338.8</v>
      </c>
      <c r="F147" s="5">
        <v>350.8</v>
      </c>
      <c r="G147" s="6">
        <v>44434</v>
      </c>
      <c r="H147" s="5"/>
      <c r="I147" s="5"/>
      <c r="J147" s="5">
        <f t="shared" si="14"/>
        <v>12</v>
      </c>
      <c r="K147" s="8" t="b">
        <f t="shared" si="15"/>
        <v>1</v>
      </c>
    </row>
    <row r="148" spans="1:11">
      <c r="A148" s="5" t="s">
        <v>141</v>
      </c>
      <c r="B148" s="6">
        <v>44435</v>
      </c>
      <c r="C148" s="7">
        <v>0.6</v>
      </c>
      <c r="D148" s="5">
        <v>9.67</v>
      </c>
      <c r="E148" s="5">
        <v>350.8</v>
      </c>
      <c r="F148" s="5">
        <v>371</v>
      </c>
      <c r="G148" s="6">
        <v>44435</v>
      </c>
      <c r="H148" s="5"/>
      <c r="I148" s="5"/>
      <c r="J148" s="5">
        <f t="shared" si="14"/>
        <v>20.199999999999989</v>
      </c>
      <c r="K148" s="8" t="b">
        <f t="shared" si="15"/>
        <v>1</v>
      </c>
    </row>
    <row r="149" spans="1:11">
      <c r="A149" s="5" t="s">
        <v>141</v>
      </c>
      <c r="B149" s="6">
        <v>44436</v>
      </c>
      <c r="C149" s="7">
        <v>1</v>
      </c>
      <c r="D149" s="5">
        <v>5.8</v>
      </c>
      <c r="E149" s="5">
        <v>371</v>
      </c>
      <c r="F149" s="5">
        <v>383</v>
      </c>
      <c r="G149" s="6">
        <v>44436</v>
      </c>
      <c r="H149" s="5"/>
      <c r="I149" s="5"/>
      <c r="J149" s="5">
        <f t="shared" si="14"/>
        <v>12</v>
      </c>
      <c r="K149" s="8" t="b">
        <f t="shared" si="15"/>
        <v>1</v>
      </c>
    </row>
    <row r="150" spans="1:11">
      <c r="A150" s="5" t="s">
        <v>141</v>
      </c>
      <c r="B150" s="6">
        <v>44437</v>
      </c>
      <c r="C150" s="7">
        <v>0.6</v>
      </c>
      <c r="D150" s="5">
        <v>9.67</v>
      </c>
      <c r="E150" s="5">
        <v>383</v>
      </c>
      <c r="F150" s="5">
        <v>402.3</v>
      </c>
      <c r="G150" s="6">
        <v>44437</v>
      </c>
      <c r="H150" s="5"/>
      <c r="I150" s="5"/>
      <c r="J150" s="5">
        <f t="shared" si="14"/>
        <v>19.300000000000011</v>
      </c>
      <c r="K150" s="8" t="b">
        <f t="shared" si="15"/>
        <v>1</v>
      </c>
    </row>
    <row r="151" spans="1:11">
      <c r="A151" s="5" t="s">
        <v>142</v>
      </c>
      <c r="B151" s="6">
        <v>44438</v>
      </c>
      <c r="C151" s="7">
        <v>0.6</v>
      </c>
      <c r="D151" s="5">
        <v>9.67</v>
      </c>
      <c r="E151" s="5">
        <v>402.3</v>
      </c>
      <c r="F151" s="5">
        <v>412.7</v>
      </c>
      <c r="G151" s="6">
        <v>44438</v>
      </c>
      <c r="H151" s="5"/>
      <c r="I151" s="5"/>
      <c r="J151" s="5">
        <f t="shared" si="14"/>
        <v>10.399999999999977</v>
      </c>
      <c r="K151" s="8" t="b">
        <f t="shared" si="15"/>
        <v>1</v>
      </c>
    </row>
    <row r="152" spans="1:11">
      <c r="A152" s="5" t="s">
        <v>143</v>
      </c>
      <c r="B152" s="6">
        <v>44439</v>
      </c>
      <c r="C152" s="7">
        <v>0.6</v>
      </c>
      <c r="D152" s="5">
        <v>9.67</v>
      </c>
      <c r="E152" s="5">
        <v>412.7</v>
      </c>
      <c r="F152" s="5">
        <v>422.5</v>
      </c>
      <c r="G152" s="6">
        <v>44439</v>
      </c>
      <c r="H152" s="5"/>
      <c r="I152" s="5"/>
      <c r="J152" s="5">
        <f t="shared" si="14"/>
        <v>9.8000000000000114</v>
      </c>
      <c r="K152" s="8" t="b">
        <f t="shared" si="15"/>
        <v>1</v>
      </c>
    </row>
    <row r="153" spans="1:11">
      <c r="A153" s="5" t="s">
        <v>144</v>
      </c>
      <c r="B153" s="6">
        <v>44440</v>
      </c>
      <c r="C153" s="7">
        <v>0.6</v>
      </c>
      <c r="D153" s="5">
        <v>9.67</v>
      </c>
      <c r="E153" s="5">
        <v>422.5</v>
      </c>
      <c r="F153" s="5">
        <v>432.5</v>
      </c>
      <c r="G153" s="6">
        <v>44440</v>
      </c>
      <c r="H153" s="5"/>
      <c r="I153" s="5"/>
      <c r="J153" s="5">
        <f t="shared" si="14"/>
        <v>10</v>
      </c>
      <c r="K153" s="8" t="b">
        <f t="shared" si="15"/>
        <v>1</v>
      </c>
    </row>
    <row r="154" spans="1:11">
      <c r="A154" s="5" t="s">
        <v>143</v>
      </c>
      <c r="B154" s="6">
        <v>44441</v>
      </c>
      <c r="C154" s="7">
        <v>0.6</v>
      </c>
      <c r="D154" s="5">
        <v>9.67</v>
      </c>
      <c r="E154" s="5">
        <v>432.5</v>
      </c>
      <c r="F154" s="5">
        <v>442.1</v>
      </c>
      <c r="G154" s="6">
        <v>44441</v>
      </c>
      <c r="H154" s="5"/>
      <c r="I154" s="5"/>
      <c r="J154" s="5">
        <f t="shared" si="14"/>
        <v>9.6000000000000227</v>
      </c>
      <c r="K154" s="8" t="b">
        <f t="shared" si="15"/>
        <v>1</v>
      </c>
    </row>
    <row r="155" spans="1:11">
      <c r="A155" s="5" t="s">
        <v>144</v>
      </c>
      <c r="B155" s="6">
        <v>44442</v>
      </c>
      <c r="C155" s="7">
        <v>0.6</v>
      </c>
      <c r="D155" s="5">
        <v>9.67</v>
      </c>
      <c r="E155" s="5">
        <v>442.1</v>
      </c>
      <c r="F155" s="5">
        <v>451.8</v>
      </c>
      <c r="G155" s="6">
        <v>44442</v>
      </c>
      <c r="H155" s="5"/>
      <c r="I155" s="5"/>
      <c r="J155" s="5">
        <f t="shared" si="14"/>
        <v>9.6999999999999886</v>
      </c>
      <c r="K155" s="8" t="b">
        <f t="shared" si="15"/>
        <v>1</v>
      </c>
    </row>
    <row r="156" spans="1:11">
      <c r="A156" s="5" t="s">
        <v>143</v>
      </c>
      <c r="B156" s="6">
        <v>44443</v>
      </c>
      <c r="C156" s="7">
        <v>0.5</v>
      </c>
      <c r="D156" s="5">
        <v>11.6</v>
      </c>
      <c r="E156" s="5">
        <v>451.8</v>
      </c>
      <c r="F156" s="5">
        <v>464.1</v>
      </c>
      <c r="G156" s="6">
        <v>44443</v>
      </c>
      <c r="H156" s="5"/>
      <c r="I156" s="5"/>
      <c r="J156" s="5">
        <f t="shared" ref="J156:J163" si="16">F156-E156</f>
        <v>12.300000000000011</v>
      </c>
      <c r="K156" s="8" t="b">
        <f t="shared" ref="K156:K163" si="17">E156=F155</f>
        <v>1</v>
      </c>
    </row>
    <row r="157" spans="1:11">
      <c r="A157" s="5" t="s">
        <v>144</v>
      </c>
      <c r="B157" s="6">
        <v>44444</v>
      </c>
      <c r="C157" s="7">
        <v>0.5</v>
      </c>
      <c r="D157" s="5">
        <v>11.6</v>
      </c>
      <c r="E157" s="5">
        <v>464.1</v>
      </c>
      <c r="F157" s="5">
        <v>476.6</v>
      </c>
      <c r="G157" s="6">
        <v>44444</v>
      </c>
      <c r="H157" s="5"/>
      <c r="I157" s="5"/>
      <c r="J157" s="5">
        <f t="shared" si="16"/>
        <v>12.5</v>
      </c>
      <c r="K157" s="8" t="b">
        <f t="shared" si="17"/>
        <v>1</v>
      </c>
    </row>
    <row r="158" spans="1:11">
      <c r="A158" s="5" t="s">
        <v>143</v>
      </c>
      <c r="B158" s="6">
        <v>44445</v>
      </c>
      <c r="C158" s="7">
        <v>0.5</v>
      </c>
      <c r="D158" s="5">
        <v>11.6</v>
      </c>
      <c r="E158" s="5">
        <v>476.6</v>
      </c>
      <c r="F158" s="5">
        <v>488.2</v>
      </c>
      <c r="G158" s="6">
        <v>44445</v>
      </c>
      <c r="H158" s="5"/>
      <c r="I158" s="5"/>
      <c r="J158" s="5">
        <f t="shared" si="16"/>
        <v>11.599999999999966</v>
      </c>
      <c r="K158" s="8" t="b">
        <f t="shared" si="17"/>
        <v>1</v>
      </c>
    </row>
    <row r="159" spans="1:11">
      <c r="A159" s="5" t="s">
        <v>144</v>
      </c>
      <c r="B159" s="6">
        <v>44446</v>
      </c>
      <c r="C159" s="7">
        <v>0.5</v>
      </c>
      <c r="D159" s="5">
        <v>11.6</v>
      </c>
      <c r="E159" s="5">
        <v>488.2</v>
      </c>
      <c r="F159" s="5">
        <v>499.7</v>
      </c>
      <c r="G159" s="6">
        <v>44446</v>
      </c>
      <c r="H159" s="5"/>
      <c r="I159" s="5"/>
      <c r="J159" s="5">
        <f t="shared" si="16"/>
        <v>11.5</v>
      </c>
      <c r="K159" s="8" t="b">
        <f t="shared" si="17"/>
        <v>1</v>
      </c>
    </row>
    <row r="160" spans="1:11">
      <c r="A160" s="5" t="s">
        <v>143</v>
      </c>
      <c r="B160" s="6">
        <v>44447</v>
      </c>
      <c r="C160" s="7">
        <v>0.5</v>
      </c>
      <c r="D160" s="5">
        <v>11.6</v>
      </c>
      <c r="E160" s="5">
        <v>499.7</v>
      </c>
      <c r="F160" s="5">
        <v>511.3</v>
      </c>
      <c r="G160" s="6">
        <v>44447</v>
      </c>
      <c r="H160" s="5"/>
      <c r="I160" s="5"/>
      <c r="J160" s="5">
        <f t="shared" si="16"/>
        <v>11.600000000000023</v>
      </c>
      <c r="K160" s="8" t="b">
        <f t="shared" si="17"/>
        <v>1</v>
      </c>
    </row>
    <row r="161" spans="1:11">
      <c r="A161" s="5" t="s">
        <v>144</v>
      </c>
      <c r="B161" s="6">
        <v>44448</v>
      </c>
      <c r="C161" s="7">
        <v>0.5</v>
      </c>
      <c r="D161" s="5">
        <v>11.6</v>
      </c>
      <c r="E161" s="5">
        <v>511.3</v>
      </c>
      <c r="F161" s="5">
        <v>523.1</v>
      </c>
      <c r="G161" s="6">
        <v>44448</v>
      </c>
      <c r="H161" s="5"/>
      <c r="I161" s="5"/>
      <c r="J161" s="5">
        <f t="shared" si="16"/>
        <v>11.800000000000011</v>
      </c>
      <c r="K161" s="8" t="b">
        <f t="shared" si="17"/>
        <v>1</v>
      </c>
    </row>
    <row r="162" spans="1:11">
      <c r="A162" s="5" t="s">
        <v>145</v>
      </c>
      <c r="B162" s="6">
        <v>44449</v>
      </c>
      <c r="C162" s="7">
        <v>0.4</v>
      </c>
      <c r="D162" s="5">
        <v>14.5</v>
      </c>
      <c r="E162" s="5">
        <v>523.1</v>
      </c>
      <c r="F162" s="5">
        <v>552.20000000000005</v>
      </c>
      <c r="G162" s="6">
        <v>44449</v>
      </c>
      <c r="H162" s="5"/>
      <c r="I162" s="5"/>
      <c r="J162" s="5">
        <f t="shared" si="16"/>
        <v>29.100000000000023</v>
      </c>
      <c r="K162" s="8" t="b">
        <f t="shared" si="17"/>
        <v>1</v>
      </c>
    </row>
    <row r="163" spans="1:11">
      <c r="A163" s="5" t="s">
        <v>143</v>
      </c>
      <c r="B163" s="6">
        <v>44450</v>
      </c>
      <c r="C163" s="7">
        <v>0.4</v>
      </c>
      <c r="D163" s="5">
        <v>14.5</v>
      </c>
      <c r="E163" s="5">
        <v>552.20000000000005</v>
      </c>
      <c r="F163" s="5">
        <v>566.70000000000005</v>
      </c>
      <c r="G163" s="6">
        <v>44450</v>
      </c>
      <c r="H163" s="5"/>
      <c r="I163" s="5"/>
      <c r="J163" s="5">
        <f t="shared" si="16"/>
        <v>14.5</v>
      </c>
      <c r="K163" s="8" t="b">
        <f t="shared" si="17"/>
        <v>1</v>
      </c>
    </row>
    <row r="164" spans="1:11">
      <c r="A164" s="5" t="s">
        <v>144</v>
      </c>
      <c r="B164" s="6">
        <v>44451</v>
      </c>
      <c r="C164" s="7">
        <v>0.4</v>
      </c>
      <c r="D164" s="5">
        <v>14.5</v>
      </c>
      <c r="E164" s="5">
        <v>566.70000000000005</v>
      </c>
      <c r="F164" s="5">
        <v>581.29999999999995</v>
      </c>
      <c r="G164" s="6">
        <v>44451</v>
      </c>
      <c r="H164" s="5"/>
      <c r="I164" s="5"/>
      <c r="J164" s="5">
        <f t="shared" ref="J164:J169" si="18">F164-E164</f>
        <v>14.599999999999909</v>
      </c>
      <c r="K164" s="8" t="b">
        <f t="shared" ref="K164:K169" si="19">E164=F163</f>
        <v>1</v>
      </c>
    </row>
    <row r="165" spans="1:11">
      <c r="A165" s="5" t="s">
        <v>143</v>
      </c>
      <c r="B165" s="6">
        <v>44452</v>
      </c>
      <c r="C165" s="7">
        <v>0.4</v>
      </c>
      <c r="D165" s="5">
        <v>14.5</v>
      </c>
      <c r="E165" s="5">
        <v>581.29999999999995</v>
      </c>
      <c r="F165" s="5">
        <v>595.5</v>
      </c>
      <c r="G165" s="6">
        <v>44452</v>
      </c>
      <c r="H165" s="5"/>
      <c r="I165" s="5"/>
      <c r="J165" s="5">
        <f t="shared" si="18"/>
        <v>14.200000000000045</v>
      </c>
      <c r="K165" s="8" t="b">
        <f t="shared" si="19"/>
        <v>1</v>
      </c>
    </row>
    <row r="166" spans="1:11">
      <c r="A166" s="5" t="s">
        <v>146</v>
      </c>
      <c r="B166" s="6">
        <v>44453</v>
      </c>
      <c r="C166" s="7">
        <v>0.4</v>
      </c>
      <c r="D166" s="5">
        <v>14.5</v>
      </c>
      <c r="E166" s="5">
        <v>595.5</v>
      </c>
      <c r="F166" s="5">
        <v>610.5</v>
      </c>
      <c r="G166" s="6">
        <v>44453</v>
      </c>
      <c r="H166" s="5"/>
      <c r="I166" s="5"/>
      <c r="J166" s="5">
        <f t="shared" si="18"/>
        <v>15</v>
      </c>
      <c r="K166" s="8" t="b">
        <f t="shared" si="19"/>
        <v>1</v>
      </c>
    </row>
    <row r="167" spans="1:11">
      <c r="A167" s="5" t="s">
        <v>143</v>
      </c>
      <c r="B167" s="6">
        <v>44454</v>
      </c>
      <c r="C167" s="7">
        <v>0.4</v>
      </c>
      <c r="D167" s="5">
        <v>14.5</v>
      </c>
      <c r="E167" s="5">
        <v>610.5</v>
      </c>
      <c r="F167" s="5">
        <v>624.9</v>
      </c>
      <c r="G167" s="6">
        <v>44454</v>
      </c>
      <c r="H167" s="5"/>
      <c r="I167" s="5"/>
      <c r="J167" s="5">
        <f t="shared" si="18"/>
        <v>14.399999999999977</v>
      </c>
      <c r="K167" s="8" t="b">
        <f t="shared" si="19"/>
        <v>1</v>
      </c>
    </row>
    <row r="168" spans="1:11">
      <c r="A168" s="5" t="s">
        <v>144</v>
      </c>
      <c r="B168" s="6">
        <v>44455</v>
      </c>
      <c r="C168" s="7">
        <v>0.4</v>
      </c>
      <c r="D168" s="5">
        <v>14.5</v>
      </c>
      <c r="E168" s="5">
        <v>624.9</v>
      </c>
      <c r="F168" s="5">
        <v>640.1</v>
      </c>
      <c r="G168" s="6">
        <v>44455</v>
      </c>
      <c r="H168" s="5"/>
      <c r="I168" s="5"/>
      <c r="J168" s="5">
        <f t="shared" si="18"/>
        <v>15.200000000000045</v>
      </c>
      <c r="K168" s="8" t="b">
        <f t="shared" si="19"/>
        <v>1</v>
      </c>
    </row>
    <row r="169" spans="1:11">
      <c r="A169" s="5" t="s">
        <v>147</v>
      </c>
      <c r="B169" s="6">
        <v>44456</v>
      </c>
      <c r="C169" s="7">
        <v>0.4</v>
      </c>
      <c r="D169" s="5">
        <v>14.5</v>
      </c>
      <c r="E169" s="5">
        <v>640.1</v>
      </c>
      <c r="F169" s="5">
        <v>654.70000000000005</v>
      </c>
      <c r="G169" s="6">
        <v>44456</v>
      </c>
      <c r="H169" s="5"/>
      <c r="I169" s="5"/>
      <c r="J169" s="5">
        <f t="shared" si="18"/>
        <v>14.600000000000023</v>
      </c>
      <c r="K169" s="8" t="b">
        <f t="shared" si="19"/>
        <v>1</v>
      </c>
    </row>
    <row r="170" spans="1:11">
      <c r="A170" s="5" t="s">
        <v>144</v>
      </c>
      <c r="B170" s="6">
        <v>44457</v>
      </c>
      <c r="C170" s="7">
        <v>0.4</v>
      </c>
      <c r="D170" s="5">
        <v>14.5</v>
      </c>
      <c r="E170" s="5">
        <v>654.70000000000005</v>
      </c>
      <c r="F170" s="5">
        <v>669.4</v>
      </c>
      <c r="G170" s="6">
        <v>44457</v>
      </c>
      <c r="H170" s="5"/>
      <c r="I170" s="5"/>
      <c r="J170" s="5">
        <f>F170-E170</f>
        <v>14.699999999999932</v>
      </c>
      <c r="K170" s="8" t="b">
        <f>E170=F169</f>
        <v>1</v>
      </c>
    </row>
    <row r="171" spans="1:11">
      <c r="A171" s="5" t="s">
        <v>143</v>
      </c>
      <c r="B171" s="6">
        <v>44458</v>
      </c>
      <c r="C171" s="7">
        <v>0.4</v>
      </c>
      <c r="D171" s="5">
        <v>14.5</v>
      </c>
      <c r="E171" s="5">
        <v>669.4</v>
      </c>
      <c r="F171" s="5">
        <v>683.9</v>
      </c>
      <c r="G171" s="6">
        <v>44458</v>
      </c>
      <c r="H171" s="5"/>
      <c r="I171" s="5"/>
      <c r="J171" s="5">
        <f>F171-E171</f>
        <v>14.5</v>
      </c>
      <c r="K171" s="8" t="b">
        <f>E171=F170</f>
        <v>1</v>
      </c>
    </row>
    <row r="172" spans="1:11">
      <c r="A172" s="5" t="s">
        <v>145</v>
      </c>
      <c r="B172" s="6">
        <v>44459</v>
      </c>
      <c r="C172" s="7">
        <v>1</v>
      </c>
      <c r="D172" s="5">
        <v>5.8</v>
      </c>
      <c r="E172" s="5">
        <v>683.9</v>
      </c>
      <c r="F172" s="5">
        <v>701.2</v>
      </c>
      <c r="G172" s="6">
        <v>44459</v>
      </c>
      <c r="H172" s="5"/>
      <c r="I172" s="5"/>
      <c r="J172" s="5">
        <f>F172-E172</f>
        <v>17.300000000000068</v>
      </c>
      <c r="K172" s="8" t="b">
        <f>E172=F171</f>
        <v>1</v>
      </c>
    </row>
    <row r="173" spans="1:11">
      <c r="A173" s="5" t="s">
        <v>143</v>
      </c>
      <c r="B173" s="6">
        <v>44460</v>
      </c>
      <c r="C173" s="7">
        <v>0.4</v>
      </c>
      <c r="D173" s="5">
        <v>14.5</v>
      </c>
      <c r="E173" s="5">
        <v>701.2</v>
      </c>
      <c r="F173" s="5">
        <v>716.9</v>
      </c>
      <c r="G173" s="6">
        <v>44460</v>
      </c>
      <c r="H173" s="5"/>
      <c r="I173" s="5"/>
      <c r="J173" s="5">
        <f t="shared" ref="J173:J179" si="20">F173-E173</f>
        <v>15.699999999999932</v>
      </c>
      <c r="K173" s="8" t="b">
        <f t="shared" ref="K173:K179" si="21">E173=F172</f>
        <v>1</v>
      </c>
    </row>
    <row r="174" spans="1:11">
      <c r="A174" s="5" t="s">
        <v>144</v>
      </c>
      <c r="B174" s="6">
        <v>44461</v>
      </c>
      <c r="C174" s="7">
        <v>0.4</v>
      </c>
      <c r="D174" s="5">
        <v>14.5</v>
      </c>
      <c r="E174" s="5">
        <v>716.9</v>
      </c>
      <c r="F174" s="5">
        <v>731.7</v>
      </c>
      <c r="G174" s="6">
        <v>44461</v>
      </c>
      <c r="H174" s="5"/>
      <c r="I174" s="5"/>
      <c r="J174" s="5">
        <f t="shared" si="20"/>
        <v>14.800000000000068</v>
      </c>
      <c r="K174" s="8" t="b">
        <f t="shared" si="21"/>
        <v>1</v>
      </c>
    </row>
    <row r="175" spans="1:11">
      <c r="A175" s="5" t="s">
        <v>143</v>
      </c>
      <c r="B175" s="6">
        <v>44462</v>
      </c>
      <c r="C175" s="7">
        <v>0.4</v>
      </c>
      <c r="D175" s="5">
        <v>14.5</v>
      </c>
      <c r="E175" s="5">
        <v>731.7</v>
      </c>
      <c r="F175" s="5">
        <v>746.6</v>
      </c>
      <c r="G175" s="6">
        <v>44462</v>
      </c>
      <c r="H175" s="5"/>
      <c r="I175" s="5"/>
      <c r="J175" s="5">
        <f t="shared" si="20"/>
        <v>14.899999999999977</v>
      </c>
      <c r="K175" s="8" t="b">
        <f t="shared" si="21"/>
        <v>1</v>
      </c>
    </row>
    <row r="176" spans="1:11">
      <c r="A176" s="5" t="s">
        <v>144</v>
      </c>
      <c r="B176" s="6">
        <v>44463</v>
      </c>
      <c r="C176" s="7">
        <v>0.4</v>
      </c>
      <c r="D176" s="5">
        <v>14.5</v>
      </c>
      <c r="E176" s="5">
        <v>746.6</v>
      </c>
      <c r="F176" s="5">
        <v>762.1</v>
      </c>
      <c r="G176" s="6">
        <v>44463</v>
      </c>
      <c r="H176" s="5"/>
      <c r="I176" s="5"/>
      <c r="J176" s="5">
        <f t="shared" si="20"/>
        <v>15.5</v>
      </c>
      <c r="K176" s="8" t="b">
        <f t="shared" si="21"/>
        <v>1</v>
      </c>
    </row>
    <row r="177" spans="1:11">
      <c r="A177" s="5" t="s">
        <v>147</v>
      </c>
      <c r="B177" s="6">
        <v>44464</v>
      </c>
      <c r="C177" s="7">
        <v>0.4</v>
      </c>
      <c r="D177" s="5">
        <v>14.5</v>
      </c>
      <c r="E177" s="5">
        <v>762.1</v>
      </c>
      <c r="F177" s="5">
        <v>776.7</v>
      </c>
      <c r="G177" s="6">
        <v>44464</v>
      </c>
      <c r="H177" s="5"/>
      <c r="I177" s="5"/>
      <c r="J177" s="5">
        <f t="shared" si="20"/>
        <v>14.600000000000023</v>
      </c>
      <c r="K177" s="8" t="b">
        <f t="shared" si="21"/>
        <v>1</v>
      </c>
    </row>
    <row r="178" spans="1:11">
      <c r="A178" s="5" t="s">
        <v>144</v>
      </c>
      <c r="B178" s="6">
        <v>44465</v>
      </c>
      <c r="C178" s="7">
        <v>0.4</v>
      </c>
      <c r="D178" s="5">
        <v>14.5</v>
      </c>
      <c r="E178" s="5">
        <v>776.7</v>
      </c>
      <c r="F178" s="5">
        <v>791.3</v>
      </c>
      <c r="G178" s="6">
        <v>44465</v>
      </c>
      <c r="H178" s="5"/>
      <c r="I178" s="5"/>
      <c r="J178" s="5">
        <f t="shared" si="20"/>
        <v>14.599999999999909</v>
      </c>
      <c r="K178" s="8" t="b">
        <f t="shared" si="21"/>
        <v>1</v>
      </c>
    </row>
    <row r="179" spans="1:11">
      <c r="A179" s="5" t="s">
        <v>147</v>
      </c>
      <c r="B179" s="6">
        <v>44466</v>
      </c>
      <c r="C179" s="7">
        <v>0.4</v>
      </c>
      <c r="D179" s="5">
        <v>14.5</v>
      </c>
      <c r="E179" s="5">
        <v>791.3</v>
      </c>
      <c r="F179" s="5">
        <v>805.3</v>
      </c>
      <c r="G179" s="6">
        <v>44466</v>
      </c>
      <c r="H179" s="5"/>
      <c r="I179" s="5"/>
      <c r="J179" s="5">
        <f t="shared" si="20"/>
        <v>14</v>
      </c>
      <c r="K179" s="8" t="b">
        <f t="shared" si="21"/>
        <v>1</v>
      </c>
    </row>
    <row r="180" spans="1:11">
      <c r="A180" s="5" t="s">
        <v>145</v>
      </c>
      <c r="B180" s="6">
        <v>44467</v>
      </c>
      <c r="C180" s="7">
        <v>1</v>
      </c>
      <c r="D180" s="5">
        <v>5.8</v>
      </c>
      <c r="E180" s="5">
        <v>805.3</v>
      </c>
      <c r="F180" s="5">
        <v>818</v>
      </c>
      <c r="G180" s="6">
        <v>44467</v>
      </c>
      <c r="H180" s="5"/>
      <c r="I180" s="5"/>
      <c r="J180" s="5">
        <f t="shared" ref="J180:J190" si="22">F180-E180</f>
        <v>12.700000000000045</v>
      </c>
      <c r="K180" s="8" t="b">
        <f t="shared" ref="K180:K190" si="23">E180=F179</f>
        <v>1</v>
      </c>
    </row>
    <row r="181" spans="1:11">
      <c r="A181" s="5" t="s">
        <v>144</v>
      </c>
      <c r="B181" s="6">
        <v>44468</v>
      </c>
      <c r="C181" s="7">
        <v>0.4</v>
      </c>
      <c r="D181" s="5">
        <v>14.5</v>
      </c>
      <c r="E181" s="5">
        <v>818</v>
      </c>
      <c r="F181" s="5">
        <v>833.5</v>
      </c>
      <c r="G181" s="6">
        <v>44468</v>
      </c>
      <c r="H181" s="5"/>
      <c r="I181" s="5"/>
      <c r="J181" s="5">
        <f t="shared" si="22"/>
        <v>15.5</v>
      </c>
      <c r="K181" s="8" t="b">
        <f t="shared" si="23"/>
        <v>1</v>
      </c>
    </row>
    <row r="182" spans="1:11">
      <c r="A182" s="5" t="s">
        <v>143</v>
      </c>
      <c r="B182" s="6">
        <v>44469</v>
      </c>
      <c r="C182" s="7">
        <v>0.4</v>
      </c>
      <c r="D182" s="5">
        <v>14.5</v>
      </c>
      <c r="E182" s="5">
        <v>833.5</v>
      </c>
      <c r="F182" s="5">
        <v>848</v>
      </c>
      <c r="G182" s="6">
        <v>44469</v>
      </c>
      <c r="H182" s="5"/>
      <c r="I182" s="5"/>
      <c r="J182" s="5">
        <f t="shared" si="22"/>
        <v>14.5</v>
      </c>
      <c r="K182" s="8" t="b">
        <f t="shared" si="23"/>
        <v>1</v>
      </c>
    </row>
    <row r="183" spans="1:11">
      <c r="A183" s="5" t="s">
        <v>144</v>
      </c>
      <c r="B183" s="6">
        <v>44470</v>
      </c>
      <c r="C183" s="7">
        <v>0.4</v>
      </c>
      <c r="D183" s="5">
        <v>14.5</v>
      </c>
      <c r="E183" s="5">
        <v>848</v>
      </c>
      <c r="F183" s="5">
        <v>861.8</v>
      </c>
      <c r="G183" s="6">
        <v>44470</v>
      </c>
      <c r="H183" s="5"/>
      <c r="I183" s="5"/>
      <c r="J183" s="5">
        <f t="shared" si="22"/>
        <v>13.799999999999955</v>
      </c>
      <c r="K183" s="8" t="b">
        <f t="shared" si="23"/>
        <v>1</v>
      </c>
    </row>
    <row r="184" spans="1:11">
      <c r="A184" s="5" t="s">
        <v>143</v>
      </c>
      <c r="B184" s="6">
        <v>44471</v>
      </c>
      <c r="C184" s="7">
        <v>0.40100000000000002</v>
      </c>
      <c r="D184" s="5">
        <v>14.5</v>
      </c>
      <c r="E184" s="5">
        <v>861.8</v>
      </c>
      <c r="F184" s="5">
        <v>876.4</v>
      </c>
      <c r="G184" s="6">
        <v>44471</v>
      </c>
      <c r="H184" s="5"/>
      <c r="I184" s="5"/>
      <c r="J184" s="5">
        <f t="shared" si="22"/>
        <v>14.600000000000023</v>
      </c>
      <c r="K184" s="8" t="b">
        <f t="shared" si="23"/>
        <v>1</v>
      </c>
    </row>
    <row r="185" spans="1:11">
      <c r="A185" s="5" t="s">
        <v>144</v>
      </c>
      <c r="B185" s="6">
        <v>44472</v>
      </c>
      <c r="C185" s="7">
        <v>0.4</v>
      </c>
      <c r="D185" s="5">
        <v>14.5</v>
      </c>
      <c r="E185" s="5">
        <v>876.4</v>
      </c>
      <c r="F185" s="5">
        <v>890.8</v>
      </c>
      <c r="G185" s="6">
        <v>44472</v>
      </c>
      <c r="H185" s="5"/>
      <c r="I185" s="5"/>
      <c r="J185" s="5">
        <f t="shared" si="22"/>
        <v>14.399999999999977</v>
      </c>
      <c r="K185" s="8" t="b">
        <f t="shared" si="23"/>
        <v>1</v>
      </c>
    </row>
    <row r="186" spans="1:11">
      <c r="A186" s="5" t="s">
        <v>143</v>
      </c>
      <c r="B186" s="6">
        <v>44473</v>
      </c>
      <c r="C186" s="7">
        <v>0.4</v>
      </c>
      <c r="D186" s="5">
        <v>14.5</v>
      </c>
      <c r="E186" s="5">
        <v>890.8</v>
      </c>
      <c r="F186" s="5">
        <v>905.5</v>
      </c>
      <c r="G186" s="6">
        <v>44473</v>
      </c>
      <c r="H186" s="5"/>
      <c r="I186" s="5"/>
      <c r="J186" s="5">
        <f t="shared" si="22"/>
        <v>14.700000000000045</v>
      </c>
      <c r="K186" s="8" t="b">
        <f t="shared" si="23"/>
        <v>1</v>
      </c>
    </row>
    <row r="187" spans="1:11">
      <c r="A187" s="5" t="s">
        <v>144</v>
      </c>
      <c r="B187" s="6">
        <v>44474</v>
      </c>
      <c r="C187" s="7">
        <v>0.4</v>
      </c>
      <c r="D187" s="5">
        <v>14.5</v>
      </c>
      <c r="E187" s="5">
        <v>905.5</v>
      </c>
      <c r="F187" s="5">
        <v>919.6</v>
      </c>
      <c r="G187" s="6">
        <v>44475</v>
      </c>
      <c r="H187" s="5"/>
      <c r="I187" s="5"/>
      <c r="J187" s="5">
        <f t="shared" si="22"/>
        <v>14.100000000000023</v>
      </c>
      <c r="K187" s="8" t="b">
        <f t="shared" si="23"/>
        <v>1</v>
      </c>
    </row>
    <row r="188" spans="1:11">
      <c r="A188" s="5" t="s">
        <v>143</v>
      </c>
      <c r="B188" s="6">
        <v>44476</v>
      </c>
      <c r="C188" s="7">
        <v>0.6</v>
      </c>
      <c r="D188" s="5">
        <v>11.6</v>
      </c>
      <c r="E188" s="5">
        <v>919.6</v>
      </c>
      <c r="F188" s="5">
        <v>930.2</v>
      </c>
      <c r="G188" s="6">
        <v>44476</v>
      </c>
      <c r="H188" s="5"/>
      <c r="I188" s="5"/>
      <c r="J188" s="5">
        <f t="shared" si="22"/>
        <v>10.600000000000023</v>
      </c>
      <c r="K188" s="8" t="b">
        <f t="shared" si="23"/>
        <v>1</v>
      </c>
    </row>
    <row r="189" spans="1:11">
      <c r="A189" s="5" t="s">
        <v>146</v>
      </c>
      <c r="B189" s="6">
        <v>44478</v>
      </c>
      <c r="C189" s="7">
        <v>0.4</v>
      </c>
      <c r="D189" s="5">
        <v>14.5</v>
      </c>
      <c r="E189" s="5">
        <v>930.2</v>
      </c>
      <c r="F189" s="5">
        <v>945.6</v>
      </c>
      <c r="G189" s="6">
        <v>44478</v>
      </c>
      <c r="H189" s="5"/>
      <c r="I189" s="5"/>
      <c r="J189" s="5">
        <f t="shared" si="22"/>
        <v>15.399999999999977</v>
      </c>
      <c r="K189" s="8" t="b">
        <f t="shared" si="23"/>
        <v>1</v>
      </c>
    </row>
    <row r="190" spans="1:11">
      <c r="A190" s="5" t="s">
        <v>148</v>
      </c>
      <c r="B190" s="6">
        <v>44479</v>
      </c>
      <c r="C190" s="7">
        <v>0.4</v>
      </c>
      <c r="D190" s="5">
        <v>14.5</v>
      </c>
      <c r="E190" s="5">
        <v>945.6</v>
      </c>
      <c r="F190" s="5">
        <v>974.3</v>
      </c>
      <c r="G190" s="6">
        <v>44479</v>
      </c>
      <c r="H190" s="5"/>
      <c r="I190" s="5"/>
      <c r="J190" s="5">
        <f t="shared" si="22"/>
        <v>28.699999999999932</v>
      </c>
      <c r="K190" s="8" t="b">
        <f t="shared" si="23"/>
        <v>1</v>
      </c>
    </row>
    <row r="191" spans="1:11">
      <c r="A191" s="5" t="s">
        <v>143</v>
      </c>
      <c r="B191" s="6">
        <v>44480</v>
      </c>
      <c r="C191" s="7">
        <v>0.6</v>
      </c>
      <c r="D191" s="5">
        <v>9.67</v>
      </c>
      <c r="E191" s="5">
        <v>974.3</v>
      </c>
      <c r="F191" s="5">
        <v>984.3</v>
      </c>
      <c r="G191" s="6">
        <v>44480</v>
      </c>
      <c r="H191" s="5"/>
      <c r="I191" s="5"/>
      <c r="J191" s="5">
        <f t="shared" ref="J191:J197" si="24">F191-E191</f>
        <v>10</v>
      </c>
      <c r="K191" s="8" t="b">
        <f t="shared" ref="K191:K197" si="25">E191=F190</f>
        <v>1</v>
      </c>
    </row>
    <row r="192" spans="1:11">
      <c r="A192" s="5" t="s">
        <v>144</v>
      </c>
      <c r="B192" s="6">
        <v>44481</v>
      </c>
      <c r="C192" s="7">
        <v>0.6</v>
      </c>
      <c r="D192" s="5">
        <v>9.67</v>
      </c>
      <c r="E192" s="5">
        <v>984.3</v>
      </c>
      <c r="F192" s="5">
        <v>994.1</v>
      </c>
      <c r="G192" s="6">
        <v>44481</v>
      </c>
      <c r="H192" s="5"/>
      <c r="I192" s="5"/>
      <c r="J192" s="5">
        <f t="shared" si="24"/>
        <v>9.8000000000000682</v>
      </c>
      <c r="K192" s="8" t="b">
        <f t="shared" si="25"/>
        <v>1</v>
      </c>
    </row>
    <row r="193" spans="1:11">
      <c r="A193" s="5" t="s">
        <v>143</v>
      </c>
      <c r="B193" s="6">
        <v>44482</v>
      </c>
      <c r="C193" s="7">
        <v>0.6</v>
      </c>
      <c r="D193" s="5">
        <v>9.67</v>
      </c>
      <c r="E193" s="5">
        <v>994.1</v>
      </c>
      <c r="F193" s="5">
        <v>1004.6</v>
      </c>
      <c r="G193" s="6">
        <v>44482</v>
      </c>
      <c r="H193" s="5"/>
      <c r="I193" s="5"/>
      <c r="J193" s="5">
        <f t="shared" si="24"/>
        <v>10.5</v>
      </c>
      <c r="K193" s="8" t="b">
        <f t="shared" si="25"/>
        <v>1</v>
      </c>
    </row>
    <row r="194" spans="1:11">
      <c r="A194" s="5" t="s">
        <v>144</v>
      </c>
      <c r="B194" s="6">
        <v>44483</v>
      </c>
      <c r="C194" s="7">
        <v>0.4</v>
      </c>
      <c r="D194" s="5">
        <v>14.5</v>
      </c>
      <c r="E194" s="5">
        <v>1004.6</v>
      </c>
      <c r="F194" s="5">
        <v>1009.4</v>
      </c>
      <c r="G194" s="6">
        <v>44483</v>
      </c>
      <c r="H194" s="5"/>
      <c r="I194" s="5"/>
      <c r="J194" s="5">
        <f t="shared" si="24"/>
        <v>4.7999999999999545</v>
      </c>
      <c r="K194" s="8" t="b">
        <f t="shared" si="25"/>
        <v>1</v>
      </c>
    </row>
    <row r="195" spans="1:11">
      <c r="A195" s="5" t="s">
        <v>144</v>
      </c>
      <c r="B195" s="6">
        <v>44484</v>
      </c>
      <c r="C195" s="7">
        <v>0.4</v>
      </c>
      <c r="D195" s="5">
        <v>14.5</v>
      </c>
      <c r="E195" s="5">
        <v>1009.4</v>
      </c>
      <c r="F195" s="5">
        <v>1024.3</v>
      </c>
      <c r="G195" s="6">
        <v>44484</v>
      </c>
      <c r="H195" s="5"/>
      <c r="I195" s="5"/>
      <c r="J195" s="5">
        <f t="shared" si="24"/>
        <v>14.899999999999977</v>
      </c>
      <c r="K195" s="8" t="b">
        <f t="shared" si="25"/>
        <v>1</v>
      </c>
    </row>
    <row r="196" spans="1:11">
      <c r="A196" s="5" t="s">
        <v>143</v>
      </c>
      <c r="B196" s="6">
        <v>44486</v>
      </c>
      <c r="C196" s="7">
        <v>0.6</v>
      </c>
      <c r="D196" s="5">
        <v>9.67</v>
      </c>
      <c r="E196" s="5">
        <v>1024.3</v>
      </c>
      <c r="F196" s="5">
        <v>1035.0999999999999</v>
      </c>
      <c r="G196" s="6">
        <v>44486</v>
      </c>
      <c r="H196" s="5"/>
      <c r="I196" s="5"/>
      <c r="J196" s="5">
        <f t="shared" si="24"/>
        <v>10.799999999999955</v>
      </c>
      <c r="K196" s="8" t="b">
        <f t="shared" si="25"/>
        <v>1</v>
      </c>
    </row>
    <row r="197" spans="1:11">
      <c r="A197" s="5" t="s">
        <v>144</v>
      </c>
      <c r="B197" s="6">
        <v>44487</v>
      </c>
      <c r="C197" s="7">
        <v>0.6</v>
      </c>
      <c r="D197" s="5">
        <v>9.67</v>
      </c>
      <c r="E197" s="5">
        <v>1035.0999999999999</v>
      </c>
      <c r="F197" s="5">
        <v>1045.3</v>
      </c>
      <c r="G197" s="6">
        <v>44487</v>
      </c>
      <c r="H197" s="5"/>
      <c r="I197" s="5"/>
      <c r="J197" s="5">
        <f t="shared" si="24"/>
        <v>10.200000000000045</v>
      </c>
      <c r="K197" s="8" t="b">
        <f t="shared" si="25"/>
        <v>1</v>
      </c>
    </row>
    <row r="198" spans="1:11">
      <c r="A198" s="5" t="s">
        <v>143</v>
      </c>
      <c r="B198" s="6">
        <v>44488</v>
      </c>
      <c r="C198" s="7">
        <v>0.6</v>
      </c>
      <c r="D198" s="5">
        <v>9.67</v>
      </c>
      <c r="E198" s="5">
        <v>1045.3</v>
      </c>
      <c r="F198" s="5">
        <v>1055.3</v>
      </c>
      <c r="G198" s="6">
        <v>44488</v>
      </c>
      <c r="H198" s="5"/>
      <c r="I198" s="5"/>
      <c r="J198" s="5">
        <f t="shared" ref="J198:J205" si="26">F198-E198</f>
        <v>10</v>
      </c>
      <c r="K198" s="8" t="b">
        <f t="shared" ref="K198:K205" si="27">E198=F197</f>
        <v>1</v>
      </c>
    </row>
    <row r="199" spans="1:11">
      <c r="A199" s="5" t="s">
        <v>144</v>
      </c>
      <c r="B199" s="6">
        <v>44489</v>
      </c>
      <c r="C199" s="7">
        <v>0.4</v>
      </c>
      <c r="D199" s="5">
        <v>14.5</v>
      </c>
      <c r="E199" s="5">
        <v>1055.3</v>
      </c>
      <c r="F199" s="5">
        <v>1069.4000000000001</v>
      </c>
      <c r="G199" s="6">
        <v>44489</v>
      </c>
      <c r="H199" s="5"/>
      <c r="I199" s="5"/>
      <c r="J199" s="5">
        <f t="shared" si="26"/>
        <v>14.100000000000136</v>
      </c>
      <c r="K199" s="8" t="b">
        <f t="shared" si="27"/>
        <v>1</v>
      </c>
    </row>
    <row r="200" spans="1:11">
      <c r="A200" s="5" t="s">
        <v>143</v>
      </c>
      <c r="B200" s="6">
        <v>44490</v>
      </c>
      <c r="C200" s="7">
        <v>0.4</v>
      </c>
      <c r="D200" s="5">
        <v>14.5</v>
      </c>
      <c r="E200" s="5">
        <v>1069.4000000000001</v>
      </c>
      <c r="F200" s="5">
        <v>1082.5999999999999</v>
      </c>
      <c r="G200" s="6">
        <v>44217</v>
      </c>
      <c r="H200" s="5"/>
      <c r="I200" s="5"/>
      <c r="J200" s="5">
        <f t="shared" si="26"/>
        <v>13.199999999999818</v>
      </c>
      <c r="K200" s="8" t="b">
        <f t="shared" si="27"/>
        <v>1</v>
      </c>
    </row>
    <row r="201" spans="1:11">
      <c r="A201" s="5" t="s">
        <v>143</v>
      </c>
      <c r="B201" s="6">
        <v>44496</v>
      </c>
      <c r="C201" s="7">
        <v>0.7</v>
      </c>
      <c r="D201" s="5">
        <v>8.2899999999999991</v>
      </c>
      <c r="E201" s="5">
        <v>1082.5999999999999</v>
      </c>
      <c r="F201" s="5">
        <v>1092.0999999999999</v>
      </c>
      <c r="G201" s="6">
        <v>44496</v>
      </c>
      <c r="H201" s="5"/>
      <c r="I201" s="5"/>
      <c r="J201" s="5">
        <f t="shared" si="26"/>
        <v>9.5</v>
      </c>
      <c r="K201" s="8" t="b">
        <f t="shared" si="27"/>
        <v>1</v>
      </c>
    </row>
    <row r="202" spans="1:11">
      <c r="A202" s="5" t="s">
        <v>143</v>
      </c>
      <c r="B202" s="6">
        <v>44497</v>
      </c>
      <c r="C202" s="7">
        <v>0.7</v>
      </c>
      <c r="D202" s="5">
        <v>8.2899999999999991</v>
      </c>
      <c r="E202" s="5">
        <v>1092.0999999999999</v>
      </c>
      <c r="F202" s="5">
        <v>1100.5999999999999</v>
      </c>
      <c r="G202" s="6">
        <v>44497</v>
      </c>
      <c r="H202" s="5"/>
      <c r="I202" s="5"/>
      <c r="J202" s="5">
        <f t="shared" si="26"/>
        <v>8.5</v>
      </c>
      <c r="K202" s="8" t="b">
        <f t="shared" si="27"/>
        <v>1</v>
      </c>
    </row>
    <row r="203" spans="1:11">
      <c r="A203" s="5" t="s">
        <v>145</v>
      </c>
      <c r="B203" s="6">
        <v>44499</v>
      </c>
      <c r="C203" s="7">
        <v>0.7</v>
      </c>
      <c r="D203" s="5">
        <v>8.2899999999999991</v>
      </c>
      <c r="E203" s="5">
        <v>1100.5999999999999</v>
      </c>
      <c r="F203" s="5">
        <v>1118</v>
      </c>
      <c r="G203" s="6">
        <v>44499</v>
      </c>
      <c r="H203" s="5"/>
      <c r="I203" s="5"/>
      <c r="J203" s="5">
        <f t="shared" si="26"/>
        <v>17.400000000000091</v>
      </c>
      <c r="K203" s="8" t="b">
        <f t="shared" si="27"/>
        <v>1</v>
      </c>
    </row>
    <row r="204" spans="1:11">
      <c r="A204" s="5" t="s">
        <v>145</v>
      </c>
      <c r="B204" s="6">
        <v>44500</v>
      </c>
      <c r="C204" s="7">
        <v>0.7</v>
      </c>
      <c r="D204" s="5">
        <v>8.2899999999999991</v>
      </c>
      <c r="E204" s="5">
        <v>1118</v>
      </c>
      <c r="F204" s="5">
        <v>1136.3</v>
      </c>
      <c r="G204" s="6">
        <v>44500</v>
      </c>
      <c r="H204" s="5"/>
      <c r="I204" s="5"/>
      <c r="J204" s="5">
        <f t="shared" si="26"/>
        <v>18.299999999999955</v>
      </c>
      <c r="K204" s="8" t="b">
        <f t="shared" si="27"/>
        <v>1</v>
      </c>
    </row>
    <row r="205" spans="1:11">
      <c r="A205" s="5" t="s">
        <v>149</v>
      </c>
      <c r="B205" s="6"/>
      <c r="C205" s="7"/>
      <c r="D205" s="5"/>
      <c r="E205" s="5"/>
      <c r="F205" s="5"/>
      <c r="G205" s="6"/>
      <c r="H205" s="5"/>
      <c r="I205" s="5"/>
      <c r="J205" s="5">
        <f t="shared" si="26"/>
        <v>0</v>
      </c>
      <c r="K205" s="8" t="b">
        <f t="shared" si="27"/>
        <v>0</v>
      </c>
    </row>
    <row r="208" spans="1:11" ht="26.25">
      <c r="A208" s="129" t="s">
        <v>139</v>
      </c>
      <c r="B208" s="164"/>
      <c r="C208" s="164"/>
      <c r="D208" s="164"/>
      <c r="E208" s="164"/>
      <c r="F208" s="164"/>
      <c r="G208" s="164"/>
      <c r="H208" s="164"/>
      <c r="I208" s="164"/>
      <c r="J208" s="164"/>
      <c r="K208" s="165"/>
    </row>
    <row r="209" spans="1:11" ht="26.25">
      <c r="A209" s="129" t="s">
        <v>15</v>
      </c>
      <c r="B209" s="164"/>
      <c r="C209" s="164"/>
      <c r="D209" s="164"/>
      <c r="E209" s="164"/>
      <c r="F209" s="164"/>
      <c r="G209" s="164"/>
      <c r="H209" s="164"/>
      <c r="I209" s="164"/>
      <c r="J209" s="164"/>
      <c r="K209" s="165"/>
    </row>
    <row r="210" spans="1:11" ht="15.75" thickBot="1"/>
    <row r="211" spans="1:11" ht="15.75" thickBot="1">
      <c r="A211" s="132" t="s">
        <v>2</v>
      </c>
      <c r="B211" s="133"/>
      <c r="C211" s="133"/>
      <c r="D211" s="133"/>
      <c r="E211" s="133"/>
      <c r="F211" s="133"/>
      <c r="G211" s="133"/>
      <c r="H211" s="133"/>
      <c r="I211" s="133"/>
      <c r="J211" s="133"/>
      <c r="K211" s="134"/>
    </row>
    <row r="213" spans="1:11" ht="18.75">
      <c r="A213" s="1" t="s">
        <v>3</v>
      </c>
      <c r="B213" s="1"/>
      <c r="C213" s="1"/>
      <c r="D213" s="1"/>
      <c r="E213" s="1"/>
      <c r="F213" s="1"/>
      <c r="G213" s="1"/>
      <c r="H213" s="1"/>
      <c r="I213" s="1"/>
    </row>
    <row r="214" spans="1:11" ht="30">
      <c r="A214" s="32" t="s">
        <v>4</v>
      </c>
      <c r="B214" s="32" t="s">
        <v>5</v>
      </c>
      <c r="C214" s="32" t="s">
        <v>6</v>
      </c>
      <c r="D214" s="32" t="s">
        <v>7</v>
      </c>
      <c r="E214" s="32" t="s">
        <v>8</v>
      </c>
      <c r="F214" s="32" t="s">
        <v>9</v>
      </c>
      <c r="G214" s="32" t="s">
        <v>10</v>
      </c>
      <c r="H214" s="32" t="s">
        <v>21</v>
      </c>
      <c r="I214" s="32" t="s">
        <v>22</v>
      </c>
      <c r="J214" s="32" t="s">
        <v>11</v>
      </c>
      <c r="K214" s="32" t="s">
        <v>12</v>
      </c>
    </row>
    <row r="215" spans="1:11">
      <c r="A215" s="25" t="s">
        <v>140</v>
      </c>
      <c r="B215" s="26">
        <v>44580</v>
      </c>
      <c r="C215" s="27">
        <v>1</v>
      </c>
      <c r="D215" s="25">
        <v>5.8</v>
      </c>
      <c r="E215" s="25">
        <v>1183.0999999999999</v>
      </c>
      <c r="F215" s="25">
        <v>1189.0999999999999</v>
      </c>
      <c r="G215" s="26">
        <v>44580</v>
      </c>
      <c r="H215" s="25"/>
      <c r="I215" s="25"/>
      <c r="J215" s="25">
        <f>F215-E215</f>
        <v>6</v>
      </c>
      <c r="K215" s="25" t="b">
        <f>E215=F204</f>
        <v>0</v>
      </c>
    </row>
    <row r="216" spans="1:11">
      <c r="A216" s="5" t="s">
        <v>140</v>
      </c>
      <c r="B216" s="6">
        <v>44581</v>
      </c>
      <c r="C216" s="7">
        <v>0.6</v>
      </c>
      <c r="D216" s="5">
        <v>9.67</v>
      </c>
      <c r="E216" s="5">
        <v>1189.0999999999999</v>
      </c>
      <c r="F216" s="5">
        <v>1199.8</v>
      </c>
      <c r="G216" s="6">
        <v>44581</v>
      </c>
      <c r="H216" s="5"/>
      <c r="I216" s="5"/>
      <c r="J216" s="5">
        <f>F216-E216</f>
        <v>10.700000000000045</v>
      </c>
      <c r="K216" s="5" t="b">
        <f>E216=F205</f>
        <v>0</v>
      </c>
    </row>
    <row r="217" spans="1:11">
      <c r="A217" s="25" t="s">
        <v>140</v>
      </c>
      <c r="B217" s="26">
        <v>44582</v>
      </c>
      <c r="C217" s="27">
        <v>1</v>
      </c>
      <c r="D217" s="25">
        <v>5.8</v>
      </c>
      <c r="E217" s="25">
        <v>1199.8</v>
      </c>
      <c r="F217" s="25">
        <v>1206</v>
      </c>
      <c r="G217" s="26">
        <v>44582</v>
      </c>
      <c r="H217" s="25"/>
      <c r="I217" s="25"/>
      <c r="J217" s="25">
        <f>F217-E217</f>
        <v>6.2000000000000455</v>
      </c>
      <c r="K217" s="28" t="b">
        <f>E217=F216</f>
        <v>1</v>
      </c>
    </row>
    <row r="218" spans="1:11">
      <c r="A218" s="5" t="s">
        <v>140</v>
      </c>
      <c r="B218" s="6">
        <v>44582</v>
      </c>
      <c r="C218" s="7">
        <v>0.6</v>
      </c>
      <c r="D218" s="5">
        <v>9.67</v>
      </c>
      <c r="E218" s="5">
        <v>1209</v>
      </c>
      <c r="F218" s="5">
        <v>1214.9000000000001</v>
      </c>
      <c r="G218" s="6">
        <v>44582</v>
      </c>
      <c r="H218" s="5"/>
      <c r="I218" s="5"/>
      <c r="J218" s="5">
        <f>F218-E218</f>
        <v>5.9000000000000909</v>
      </c>
      <c r="K218" s="8" t="b">
        <f>E218=F217</f>
        <v>0</v>
      </c>
    </row>
    <row r="219" spans="1:11">
      <c r="A219" s="5" t="s">
        <v>140</v>
      </c>
      <c r="B219" s="6">
        <v>44583</v>
      </c>
      <c r="C219" s="7">
        <v>1</v>
      </c>
      <c r="D219" s="5">
        <v>5.8</v>
      </c>
      <c r="E219" s="5">
        <v>1214.9000000000001</v>
      </c>
      <c r="F219" s="5">
        <v>1226.2</v>
      </c>
      <c r="G219" s="6">
        <v>44583</v>
      </c>
      <c r="H219" s="5"/>
      <c r="I219" s="5"/>
      <c r="J219" s="5">
        <f>F219-E219</f>
        <v>11.299999999999955</v>
      </c>
      <c r="K219" s="8" t="b">
        <f>E219=F218</f>
        <v>1</v>
      </c>
    </row>
    <row r="220" spans="1:11">
      <c r="A220" s="5" t="s">
        <v>140</v>
      </c>
      <c r="B220" s="6">
        <v>44584</v>
      </c>
      <c r="C220" s="7">
        <v>1</v>
      </c>
      <c r="D220" s="5">
        <v>5.8</v>
      </c>
      <c r="E220" s="5">
        <v>1226.2</v>
      </c>
      <c r="F220" s="5">
        <v>1238.4000000000001</v>
      </c>
      <c r="G220" s="6">
        <v>44584</v>
      </c>
      <c r="H220" s="5"/>
      <c r="I220" s="5"/>
      <c r="J220" s="5">
        <f t="shared" ref="J220:J225" si="28">F220-E220</f>
        <v>12.200000000000045</v>
      </c>
      <c r="K220" s="8" t="b">
        <f t="shared" ref="K220:K225" si="29">E220=F219</f>
        <v>1</v>
      </c>
    </row>
    <row r="221" spans="1:11">
      <c r="A221" s="5" t="s">
        <v>140</v>
      </c>
      <c r="B221" s="6">
        <v>44585</v>
      </c>
      <c r="C221" s="7">
        <v>1</v>
      </c>
      <c r="D221" s="5">
        <v>5.8</v>
      </c>
      <c r="E221" s="5">
        <v>1238.4000000000001</v>
      </c>
      <c r="F221" s="5">
        <v>1245</v>
      </c>
      <c r="G221" s="6">
        <v>44585</v>
      </c>
      <c r="H221" s="5"/>
      <c r="I221" s="5"/>
      <c r="J221" s="5">
        <f t="shared" si="28"/>
        <v>6.5999999999999091</v>
      </c>
      <c r="K221" s="8" t="b">
        <f t="shared" si="29"/>
        <v>1</v>
      </c>
    </row>
    <row r="222" spans="1:11">
      <c r="A222" s="5" t="s">
        <v>140</v>
      </c>
      <c r="B222" s="6">
        <v>44586</v>
      </c>
      <c r="C222" s="7">
        <v>1</v>
      </c>
      <c r="D222" s="5">
        <v>5.8</v>
      </c>
      <c r="E222" s="5">
        <v>1245</v>
      </c>
      <c r="F222" s="5">
        <v>1253.8</v>
      </c>
      <c r="G222" s="6">
        <v>44586</v>
      </c>
      <c r="H222" s="5"/>
      <c r="I222" s="5"/>
      <c r="J222" s="5">
        <f t="shared" si="28"/>
        <v>8.7999999999999545</v>
      </c>
      <c r="K222" s="8" t="b">
        <f t="shared" si="29"/>
        <v>1</v>
      </c>
    </row>
    <row r="223" spans="1:11">
      <c r="A223" s="5" t="s">
        <v>140</v>
      </c>
      <c r="B223" s="6">
        <v>44587</v>
      </c>
      <c r="C223" s="7">
        <v>1</v>
      </c>
      <c r="D223" s="5">
        <v>5.8</v>
      </c>
      <c r="E223" s="5">
        <v>1253.8</v>
      </c>
      <c r="F223" s="5">
        <v>1262.2</v>
      </c>
      <c r="G223" s="6">
        <v>44587</v>
      </c>
      <c r="H223" s="5"/>
      <c r="I223" s="5"/>
      <c r="J223" s="5">
        <f t="shared" si="28"/>
        <v>8.4000000000000909</v>
      </c>
      <c r="K223" s="8" t="b">
        <f t="shared" si="29"/>
        <v>1</v>
      </c>
    </row>
    <row r="224" spans="1:11">
      <c r="A224" s="5" t="s">
        <v>140</v>
      </c>
      <c r="B224" s="6">
        <v>44591</v>
      </c>
      <c r="C224" s="7">
        <v>0.7</v>
      </c>
      <c r="D224" s="5">
        <v>8.2899999999999991</v>
      </c>
      <c r="E224" s="5">
        <v>51.3</v>
      </c>
      <c r="F224" s="5">
        <v>68.3</v>
      </c>
      <c r="G224" s="6">
        <v>44591</v>
      </c>
      <c r="H224" s="5"/>
      <c r="I224" s="5"/>
      <c r="J224" s="5">
        <f t="shared" si="28"/>
        <v>17</v>
      </c>
      <c r="K224" s="8" t="b">
        <f t="shared" si="29"/>
        <v>0</v>
      </c>
    </row>
    <row r="225" spans="1:11">
      <c r="A225" s="5" t="s">
        <v>140</v>
      </c>
      <c r="B225" s="6">
        <v>44597</v>
      </c>
      <c r="C225" s="7">
        <v>0.7</v>
      </c>
      <c r="D225" s="5">
        <v>8.2899999999999991</v>
      </c>
      <c r="E225" s="5">
        <v>55</v>
      </c>
      <c r="F225" s="5">
        <v>71.599999999999994</v>
      </c>
      <c r="G225" s="6">
        <v>44597</v>
      </c>
      <c r="H225" s="5"/>
      <c r="I225" s="5"/>
      <c r="J225" s="5">
        <f t="shared" si="28"/>
        <v>16.599999999999994</v>
      </c>
      <c r="K225" s="8" t="b">
        <f t="shared" si="29"/>
        <v>0</v>
      </c>
    </row>
    <row r="226" spans="1:11">
      <c r="A226" s="25" t="s">
        <v>140</v>
      </c>
      <c r="B226" s="26">
        <v>44603</v>
      </c>
      <c r="C226" s="27">
        <v>1</v>
      </c>
      <c r="D226" s="25">
        <v>5.8</v>
      </c>
      <c r="E226" s="25">
        <v>71.599999999999994</v>
      </c>
      <c r="F226" s="25">
        <v>82.3</v>
      </c>
      <c r="G226" s="26">
        <v>44606</v>
      </c>
      <c r="H226" s="25"/>
      <c r="I226" s="25"/>
      <c r="J226" s="25">
        <f t="shared" ref="J226:J238" si="30">F226-E226</f>
        <v>10.700000000000003</v>
      </c>
      <c r="K226" s="28" t="b">
        <f t="shared" ref="K226:K238" si="31">E226=F225</f>
        <v>1</v>
      </c>
    </row>
    <row r="227" spans="1:11">
      <c r="A227" s="5" t="s">
        <v>140</v>
      </c>
      <c r="B227" s="6">
        <v>44617</v>
      </c>
      <c r="C227" s="7">
        <v>0.8</v>
      </c>
      <c r="D227" s="5">
        <v>7.25</v>
      </c>
      <c r="E227" s="5">
        <v>82.3</v>
      </c>
      <c r="F227" s="5">
        <v>96.4</v>
      </c>
      <c r="G227" s="6">
        <v>44617</v>
      </c>
      <c r="H227" s="5"/>
      <c r="I227" s="5"/>
      <c r="J227" s="5">
        <f t="shared" si="30"/>
        <v>14.100000000000009</v>
      </c>
      <c r="K227" s="8" t="b">
        <f t="shared" si="31"/>
        <v>1</v>
      </c>
    </row>
    <row r="228" spans="1:11">
      <c r="A228" s="5" t="s">
        <v>140</v>
      </c>
      <c r="B228" s="6">
        <v>44620</v>
      </c>
      <c r="C228" s="7">
        <v>0.8</v>
      </c>
      <c r="D228" s="5">
        <v>7.25</v>
      </c>
      <c r="E228" s="5">
        <v>96.4</v>
      </c>
      <c r="F228" s="5">
        <v>111.7</v>
      </c>
      <c r="G228" s="6">
        <v>44620</v>
      </c>
      <c r="H228" s="5"/>
      <c r="I228" s="5"/>
      <c r="J228" s="5">
        <f t="shared" si="30"/>
        <v>15.299999999999997</v>
      </c>
      <c r="K228" s="8" t="b">
        <f t="shared" si="31"/>
        <v>1</v>
      </c>
    </row>
    <row r="229" spans="1:11">
      <c r="A229" s="5" t="s">
        <v>140</v>
      </c>
      <c r="B229" s="6">
        <v>44623</v>
      </c>
      <c r="C229" s="7">
        <v>0.8</v>
      </c>
      <c r="D229" s="5">
        <v>7.25</v>
      </c>
      <c r="E229" s="5">
        <v>111.7</v>
      </c>
      <c r="F229" s="5">
        <v>126.6</v>
      </c>
      <c r="G229" s="6">
        <v>44623</v>
      </c>
      <c r="H229" s="5"/>
      <c r="I229" s="5"/>
      <c r="J229" s="5">
        <f t="shared" si="30"/>
        <v>14.899999999999991</v>
      </c>
      <c r="K229" s="8" t="b">
        <f t="shared" si="31"/>
        <v>1</v>
      </c>
    </row>
    <row r="230" spans="1:11">
      <c r="A230" s="5" t="s">
        <v>140</v>
      </c>
      <c r="B230" s="6">
        <v>44627</v>
      </c>
      <c r="C230" s="7">
        <v>0.8</v>
      </c>
      <c r="D230" s="5">
        <v>7.25</v>
      </c>
      <c r="E230" s="5">
        <v>126.6</v>
      </c>
      <c r="F230" s="5">
        <v>140.5</v>
      </c>
      <c r="G230" s="6">
        <v>44627</v>
      </c>
      <c r="H230" s="5"/>
      <c r="I230" s="5"/>
      <c r="J230" s="5">
        <f t="shared" si="30"/>
        <v>13.900000000000006</v>
      </c>
      <c r="K230" s="8" t="b">
        <f t="shared" si="31"/>
        <v>1</v>
      </c>
    </row>
    <row r="231" spans="1:11">
      <c r="A231" s="5" t="s">
        <v>140</v>
      </c>
      <c r="B231" s="6">
        <v>44630</v>
      </c>
      <c r="C231" s="7">
        <v>0.8</v>
      </c>
      <c r="D231" s="5">
        <v>7.25</v>
      </c>
      <c r="E231" s="5">
        <v>140.5</v>
      </c>
      <c r="F231" s="5">
        <v>156</v>
      </c>
      <c r="G231" s="6">
        <v>44630</v>
      </c>
      <c r="H231" s="5"/>
      <c r="I231" s="5"/>
      <c r="J231" s="5">
        <f t="shared" si="30"/>
        <v>15.5</v>
      </c>
      <c r="K231" s="8" t="b">
        <f t="shared" si="31"/>
        <v>1</v>
      </c>
    </row>
    <row r="232" spans="1:11">
      <c r="A232" s="5" t="s">
        <v>140</v>
      </c>
      <c r="B232" s="6">
        <v>44641</v>
      </c>
      <c r="C232" s="7">
        <v>0.7</v>
      </c>
      <c r="D232" s="5">
        <v>8.2899999999999991</v>
      </c>
      <c r="E232" s="5">
        <v>198.8</v>
      </c>
      <c r="F232" s="5">
        <v>217.2</v>
      </c>
      <c r="G232" s="6">
        <v>44641</v>
      </c>
      <c r="H232" s="5"/>
      <c r="I232" s="5"/>
      <c r="J232" s="5">
        <f t="shared" si="30"/>
        <v>18.399999999999977</v>
      </c>
      <c r="K232" s="8" t="b">
        <f t="shared" si="31"/>
        <v>0</v>
      </c>
    </row>
    <row r="233" spans="1:11">
      <c r="A233" s="25" t="s">
        <v>140</v>
      </c>
      <c r="B233" s="26">
        <v>44644</v>
      </c>
      <c r="C233" s="27">
        <v>1</v>
      </c>
      <c r="D233" s="25">
        <v>5.8</v>
      </c>
      <c r="E233" s="25">
        <v>217.2</v>
      </c>
      <c r="F233" s="25">
        <v>229.8</v>
      </c>
      <c r="G233" s="26">
        <v>44644</v>
      </c>
      <c r="H233" s="25"/>
      <c r="I233" s="25"/>
      <c r="J233" s="25">
        <f t="shared" si="30"/>
        <v>12.600000000000023</v>
      </c>
      <c r="K233" s="28" t="b">
        <f t="shared" si="31"/>
        <v>1</v>
      </c>
    </row>
    <row r="234" spans="1:11">
      <c r="A234" s="5" t="s">
        <v>140</v>
      </c>
      <c r="B234" s="6">
        <v>44647</v>
      </c>
      <c r="C234" s="7">
        <v>0.7</v>
      </c>
      <c r="D234" s="5">
        <v>8.2899999999999991</v>
      </c>
      <c r="E234" s="5">
        <v>229.8</v>
      </c>
      <c r="F234" s="5">
        <v>246.3</v>
      </c>
      <c r="G234" s="6">
        <v>44647</v>
      </c>
      <c r="H234" s="5"/>
      <c r="I234" s="5"/>
      <c r="J234" s="5">
        <f t="shared" si="30"/>
        <v>16.5</v>
      </c>
      <c r="K234" s="8" t="b">
        <f t="shared" si="31"/>
        <v>1</v>
      </c>
    </row>
    <row r="235" spans="1:11">
      <c r="A235" s="5" t="s">
        <v>140</v>
      </c>
      <c r="B235" s="6">
        <v>44650</v>
      </c>
      <c r="C235" s="7">
        <v>0.7</v>
      </c>
      <c r="D235" s="5">
        <v>8.2899999999999991</v>
      </c>
      <c r="E235" s="5">
        <v>246.3</v>
      </c>
      <c r="F235" s="5">
        <v>263.3</v>
      </c>
      <c r="G235" s="6">
        <v>44650</v>
      </c>
      <c r="H235" s="5"/>
      <c r="I235" s="5"/>
      <c r="J235" s="5">
        <f t="shared" si="30"/>
        <v>17</v>
      </c>
      <c r="K235" s="8" t="b">
        <f t="shared" si="31"/>
        <v>1</v>
      </c>
    </row>
    <row r="236" spans="1:11">
      <c r="A236" s="39" t="s">
        <v>140</v>
      </c>
      <c r="B236" s="40"/>
      <c r="C236" s="41"/>
      <c r="D236" s="39"/>
      <c r="E236" s="39"/>
      <c r="F236" s="39"/>
      <c r="G236" s="40"/>
      <c r="H236" s="39"/>
      <c r="I236" s="39"/>
      <c r="J236" s="39">
        <f t="shared" si="30"/>
        <v>0</v>
      </c>
      <c r="K236" s="8" t="b">
        <f t="shared" si="31"/>
        <v>0</v>
      </c>
    </row>
    <row r="237" spans="1:11">
      <c r="A237" s="39" t="s">
        <v>140</v>
      </c>
      <c r="B237" s="40"/>
      <c r="C237" s="41"/>
      <c r="D237" s="39"/>
      <c r="E237" s="39"/>
      <c r="F237" s="39"/>
      <c r="G237" s="40"/>
      <c r="H237" s="39"/>
      <c r="I237" s="39"/>
      <c r="J237" s="39">
        <f t="shared" si="30"/>
        <v>0</v>
      </c>
      <c r="K237" s="8" t="b">
        <f t="shared" si="31"/>
        <v>1</v>
      </c>
    </row>
    <row r="238" spans="1:11">
      <c r="A238" s="39" t="s">
        <v>140</v>
      </c>
      <c r="B238" s="40"/>
      <c r="C238" s="41"/>
      <c r="D238" s="39"/>
      <c r="E238" s="39"/>
      <c r="F238" s="39"/>
      <c r="G238" s="40"/>
      <c r="H238" s="39"/>
      <c r="I238" s="39"/>
      <c r="J238" s="39">
        <f t="shared" si="30"/>
        <v>0</v>
      </c>
      <c r="K238" s="8" t="b">
        <f t="shared" si="31"/>
        <v>1</v>
      </c>
    </row>
    <row r="239" spans="1:11">
      <c r="A239" s="39" t="s">
        <v>140</v>
      </c>
      <c r="B239" s="40"/>
      <c r="C239" s="41"/>
      <c r="D239" s="39"/>
      <c r="E239" s="39"/>
      <c r="F239" s="39"/>
      <c r="G239" s="40"/>
      <c r="H239" s="39"/>
      <c r="I239" s="39"/>
      <c r="J239" s="39">
        <f>F239-E239</f>
        <v>0</v>
      </c>
      <c r="K239" s="8" t="b">
        <f>E239=F238</f>
        <v>1</v>
      </c>
    </row>
    <row r="240" spans="1:11">
      <c r="A240" s="39" t="s">
        <v>140</v>
      </c>
      <c r="B240" s="40"/>
      <c r="C240" s="41"/>
      <c r="D240" s="39"/>
      <c r="E240" s="39"/>
      <c r="F240" s="39"/>
      <c r="G240" s="40"/>
      <c r="H240" s="39"/>
      <c r="I240" s="39"/>
      <c r="J240" s="39">
        <f>F240-E240</f>
        <v>0</v>
      </c>
      <c r="K240" s="8" t="b">
        <f t="shared" ref="K240:K246" si="32">E240=F239</f>
        <v>1</v>
      </c>
    </row>
    <row r="241" spans="1:11">
      <c r="A241" s="5" t="s">
        <v>140</v>
      </c>
      <c r="B241" s="6">
        <v>44674</v>
      </c>
      <c r="C241" s="7">
        <v>0.55000000000000004</v>
      </c>
      <c r="D241" s="5">
        <v>10.55</v>
      </c>
      <c r="E241" s="5">
        <v>416.2</v>
      </c>
      <c r="F241" s="5">
        <v>427.7</v>
      </c>
      <c r="G241" s="6">
        <v>44674</v>
      </c>
      <c r="H241" s="5"/>
      <c r="I241" s="5"/>
      <c r="J241" s="5">
        <f t="shared" ref="J241:J271" si="33">F241-E241</f>
        <v>11.5</v>
      </c>
      <c r="K241" s="8" t="b">
        <f>E241=F240</f>
        <v>0</v>
      </c>
    </row>
    <row r="242" spans="1:11">
      <c r="A242" s="5" t="s">
        <v>140</v>
      </c>
      <c r="B242" s="6">
        <v>44675</v>
      </c>
      <c r="C242" s="7">
        <v>0.55000000000000004</v>
      </c>
      <c r="D242" s="5">
        <v>10.55</v>
      </c>
      <c r="E242" s="5">
        <v>427.7</v>
      </c>
      <c r="F242" s="5">
        <v>437.4</v>
      </c>
      <c r="G242" s="6">
        <v>44675</v>
      </c>
      <c r="H242" s="5"/>
      <c r="I242" s="5"/>
      <c r="J242" s="5">
        <f t="shared" si="33"/>
        <v>9.6999999999999886</v>
      </c>
      <c r="K242" s="8" t="b">
        <f t="shared" si="32"/>
        <v>1</v>
      </c>
    </row>
    <row r="243" spans="1:11">
      <c r="A243" s="5" t="s">
        <v>140</v>
      </c>
      <c r="B243" s="6">
        <v>44677</v>
      </c>
      <c r="C243" s="7">
        <v>0.55000000000000004</v>
      </c>
      <c r="D243" s="5">
        <v>10.55</v>
      </c>
      <c r="E243" s="5">
        <v>437.4</v>
      </c>
      <c r="F243" s="5">
        <v>449.3</v>
      </c>
      <c r="G243" s="6">
        <v>44677</v>
      </c>
      <c r="H243" s="5"/>
      <c r="I243" s="5"/>
      <c r="J243" s="5">
        <f t="shared" si="33"/>
        <v>11.900000000000034</v>
      </c>
      <c r="K243" s="8" t="b">
        <f t="shared" si="32"/>
        <v>1</v>
      </c>
    </row>
    <row r="244" spans="1:11">
      <c r="A244" s="5" t="s">
        <v>140</v>
      </c>
      <c r="B244" s="6">
        <v>44678</v>
      </c>
      <c r="C244" s="7">
        <v>0.55000000000000004</v>
      </c>
      <c r="D244" s="5">
        <v>10.55</v>
      </c>
      <c r="E244" s="5">
        <v>449.3</v>
      </c>
      <c r="F244" s="5">
        <v>463.6</v>
      </c>
      <c r="G244" s="6">
        <v>44678</v>
      </c>
      <c r="H244" s="5"/>
      <c r="I244" s="5"/>
      <c r="J244" s="5">
        <f t="shared" si="33"/>
        <v>14.300000000000011</v>
      </c>
      <c r="K244" s="8" t="b">
        <f t="shared" si="32"/>
        <v>1</v>
      </c>
    </row>
    <row r="245" spans="1:11">
      <c r="A245" s="5" t="s">
        <v>140</v>
      </c>
      <c r="B245" s="6">
        <v>44680</v>
      </c>
      <c r="C245" s="7">
        <v>0.55000000000000004</v>
      </c>
      <c r="D245" s="5">
        <v>10.55</v>
      </c>
      <c r="E245" s="5">
        <v>459.6</v>
      </c>
      <c r="F245" s="5">
        <v>469.9</v>
      </c>
      <c r="G245" s="6">
        <v>44680</v>
      </c>
      <c r="H245" s="5"/>
      <c r="I245" s="5"/>
      <c r="J245" s="5">
        <f t="shared" si="33"/>
        <v>10.299999999999955</v>
      </c>
      <c r="K245" s="8" t="b">
        <f t="shared" si="32"/>
        <v>0</v>
      </c>
    </row>
    <row r="246" spans="1:11">
      <c r="A246" s="5" t="s">
        <v>140</v>
      </c>
      <c r="B246" s="6">
        <v>44681</v>
      </c>
      <c r="C246" s="7">
        <v>0.55000000000000004</v>
      </c>
      <c r="D246" s="5">
        <v>10.55</v>
      </c>
      <c r="E246" s="5">
        <v>469.9</v>
      </c>
      <c r="F246" s="5">
        <v>482.5</v>
      </c>
      <c r="G246" s="6">
        <v>44681</v>
      </c>
      <c r="H246" s="5"/>
      <c r="I246" s="5"/>
      <c r="J246" s="5">
        <f t="shared" si="33"/>
        <v>12.600000000000023</v>
      </c>
      <c r="K246" s="8" t="b">
        <f t="shared" si="32"/>
        <v>1</v>
      </c>
    </row>
    <row r="247" spans="1:11">
      <c r="A247" s="5" t="s">
        <v>140</v>
      </c>
      <c r="B247" s="6">
        <v>44683</v>
      </c>
      <c r="C247" s="7">
        <v>0.55000000000000004</v>
      </c>
      <c r="D247" s="5">
        <v>10.55</v>
      </c>
      <c r="E247" s="5">
        <v>482.5</v>
      </c>
      <c r="F247" s="5">
        <v>492.8</v>
      </c>
      <c r="G247" s="6">
        <v>44683</v>
      </c>
      <c r="H247" s="5"/>
      <c r="I247" s="5"/>
      <c r="J247" s="5">
        <f t="shared" si="33"/>
        <v>10.300000000000011</v>
      </c>
      <c r="K247" s="8" t="b">
        <f>E247=F246</f>
        <v>1</v>
      </c>
    </row>
    <row r="248" spans="1:11">
      <c r="A248" s="5" t="s">
        <v>140</v>
      </c>
      <c r="B248" s="6">
        <v>44684</v>
      </c>
      <c r="C248" s="7">
        <v>0.55000000000000004</v>
      </c>
      <c r="D248" s="5">
        <v>10.55</v>
      </c>
      <c r="E248" s="5">
        <v>492.8</v>
      </c>
      <c r="F248" s="5">
        <v>503.6</v>
      </c>
      <c r="G248" s="6">
        <v>44684</v>
      </c>
      <c r="H248" s="5"/>
      <c r="I248" s="5"/>
      <c r="J248" s="5">
        <f t="shared" si="33"/>
        <v>10.800000000000011</v>
      </c>
      <c r="K248" s="8" t="b">
        <f t="shared" ref="K248:K271" si="34">E248=F247</f>
        <v>1</v>
      </c>
    </row>
    <row r="249" spans="1:11">
      <c r="A249" s="5" t="s">
        <v>140</v>
      </c>
      <c r="B249" s="6">
        <v>44686</v>
      </c>
      <c r="C249" s="7">
        <v>0.55000000000000004</v>
      </c>
      <c r="D249" s="5">
        <v>10.55</v>
      </c>
      <c r="E249" s="5">
        <v>503.6</v>
      </c>
      <c r="F249" s="5">
        <v>513.9</v>
      </c>
      <c r="G249" s="6">
        <v>44686</v>
      </c>
      <c r="H249" s="5"/>
      <c r="I249" s="5"/>
      <c r="J249" s="5">
        <f t="shared" si="33"/>
        <v>10.299999999999955</v>
      </c>
      <c r="K249" s="8" t="b">
        <f t="shared" si="34"/>
        <v>1</v>
      </c>
    </row>
    <row r="250" spans="1:11">
      <c r="A250" s="5" t="s">
        <v>140</v>
      </c>
      <c r="B250" s="6">
        <v>44687</v>
      </c>
      <c r="C250" s="7">
        <v>0.55000000000000004</v>
      </c>
      <c r="D250" s="5">
        <v>10.55</v>
      </c>
      <c r="E250" s="5">
        <v>513.9</v>
      </c>
      <c r="F250" s="5">
        <v>524.20000000000005</v>
      </c>
      <c r="G250" s="6">
        <v>44687</v>
      </c>
      <c r="H250" s="5"/>
      <c r="I250" s="5"/>
      <c r="J250" s="5">
        <f t="shared" si="33"/>
        <v>10.300000000000068</v>
      </c>
      <c r="K250" s="8" t="b">
        <f t="shared" si="34"/>
        <v>1</v>
      </c>
    </row>
    <row r="251" spans="1:11">
      <c r="A251" s="5" t="s">
        <v>140</v>
      </c>
      <c r="B251" s="6">
        <v>44690</v>
      </c>
      <c r="C251" s="7">
        <v>0.55000000000000004</v>
      </c>
      <c r="D251" s="5">
        <v>10.55</v>
      </c>
      <c r="E251" s="5">
        <v>524.20000000000005</v>
      </c>
      <c r="F251" s="5">
        <v>534.5</v>
      </c>
      <c r="G251" s="6">
        <v>44690</v>
      </c>
      <c r="H251" s="5"/>
      <c r="I251" s="5"/>
      <c r="J251" s="5">
        <f t="shared" si="33"/>
        <v>10.299999999999955</v>
      </c>
      <c r="K251" s="8" t="b">
        <f t="shared" si="34"/>
        <v>1</v>
      </c>
    </row>
    <row r="252" spans="1:11">
      <c r="A252" s="5" t="s">
        <v>140</v>
      </c>
      <c r="B252" s="6">
        <v>44691</v>
      </c>
      <c r="C252" s="7">
        <v>0.55000000000000004</v>
      </c>
      <c r="D252" s="5">
        <v>10.55</v>
      </c>
      <c r="E252" s="5">
        <v>534.5</v>
      </c>
      <c r="F252" s="5">
        <v>549.70000000000005</v>
      </c>
      <c r="G252" s="6">
        <v>44691</v>
      </c>
      <c r="H252" s="5"/>
      <c r="I252" s="5"/>
      <c r="J252" s="5">
        <f t="shared" si="33"/>
        <v>15.200000000000045</v>
      </c>
      <c r="K252" s="8" t="b">
        <f t="shared" si="34"/>
        <v>1</v>
      </c>
    </row>
    <row r="253" spans="1:11">
      <c r="A253" s="5" t="s">
        <v>140</v>
      </c>
      <c r="B253" s="6">
        <v>44693</v>
      </c>
      <c r="C253" s="7">
        <v>0.5</v>
      </c>
      <c r="D253" s="5">
        <v>11.6</v>
      </c>
      <c r="E253" s="5">
        <v>549.70000000000005</v>
      </c>
      <c r="F253" s="5">
        <v>561.6</v>
      </c>
      <c r="G253" s="6">
        <v>44693</v>
      </c>
      <c r="H253" s="5"/>
      <c r="I253" s="5"/>
      <c r="J253" s="5">
        <f t="shared" si="33"/>
        <v>11.899999999999977</v>
      </c>
      <c r="K253" s="8" t="b">
        <f t="shared" si="34"/>
        <v>1</v>
      </c>
    </row>
    <row r="254" spans="1:11">
      <c r="A254" s="5" t="s">
        <v>140</v>
      </c>
      <c r="B254" s="6">
        <v>44694</v>
      </c>
      <c r="C254" s="7">
        <v>0.5</v>
      </c>
      <c r="D254" s="5">
        <v>11.6</v>
      </c>
      <c r="E254" s="5">
        <v>561.6</v>
      </c>
      <c r="F254" s="5">
        <v>573.1</v>
      </c>
      <c r="G254" s="6">
        <v>44694</v>
      </c>
      <c r="H254" s="5"/>
      <c r="I254" s="5"/>
      <c r="J254" s="5">
        <f t="shared" si="33"/>
        <v>11.5</v>
      </c>
      <c r="K254" s="8" t="b">
        <f t="shared" si="34"/>
        <v>1</v>
      </c>
    </row>
    <row r="255" spans="1:11">
      <c r="A255" s="5" t="s">
        <v>140</v>
      </c>
      <c r="B255" s="6">
        <v>44696</v>
      </c>
      <c r="C255" s="7">
        <v>0.7</v>
      </c>
      <c r="D255" s="5">
        <v>8.2899999999999991</v>
      </c>
      <c r="E255" s="5">
        <v>573.1</v>
      </c>
      <c r="F255" s="5">
        <v>589.5</v>
      </c>
      <c r="G255" s="6">
        <v>44696</v>
      </c>
      <c r="H255" s="5"/>
      <c r="I255" s="5"/>
      <c r="J255" s="5">
        <f t="shared" si="33"/>
        <v>16.399999999999977</v>
      </c>
      <c r="K255" s="8" t="b">
        <f t="shared" si="34"/>
        <v>1</v>
      </c>
    </row>
    <row r="256" spans="1:11">
      <c r="A256" s="5" t="s">
        <v>140</v>
      </c>
      <c r="B256" s="6">
        <v>44698</v>
      </c>
      <c r="C256" s="7">
        <v>0.7</v>
      </c>
      <c r="D256" s="5">
        <v>8.2899999999999991</v>
      </c>
      <c r="E256" s="5">
        <v>589.5</v>
      </c>
      <c r="F256" s="5">
        <v>606</v>
      </c>
      <c r="G256" s="6">
        <v>44698</v>
      </c>
      <c r="H256" s="5"/>
      <c r="I256" s="5"/>
      <c r="J256" s="5">
        <f t="shared" si="33"/>
        <v>16.5</v>
      </c>
      <c r="K256" s="8" t="b">
        <f t="shared" si="34"/>
        <v>1</v>
      </c>
    </row>
    <row r="257" spans="1:11">
      <c r="A257" s="5" t="s">
        <v>140</v>
      </c>
      <c r="B257" s="6">
        <v>44700</v>
      </c>
      <c r="C257" s="7">
        <v>0.7</v>
      </c>
      <c r="D257" s="5">
        <v>8.2899999999999991</v>
      </c>
      <c r="E257" s="5">
        <v>606</v>
      </c>
      <c r="F257" s="5">
        <v>622.5</v>
      </c>
      <c r="G257" s="6">
        <v>44700</v>
      </c>
      <c r="H257" s="5"/>
      <c r="I257" s="5"/>
      <c r="J257" s="5">
        <f t="shared" si="33"/>
        <v>16.5</v>
      </c>
      <c r="K257" s="8" t="b">
        <f t="shared" si="34"/>
        <v>1</v>
      </c>
    </row>
    <row r="258" spans="1:11">
      <c r="A258" s="5" t="s">
        <v>140</v>
      </c>
      <c r="B258" s="6">
        <v>44702</v>
      </c>
      <c r="C258" s="7">
        <v>0.7</v>
      </c>
      <c r="D258" s="5">
        <v>8.2899999999999991</v>
      </c>
      <c r="E258" s="5">
        <v>622.5</v>
      </c>
      <c r="F258" s="5">
        <v>639</v>
      </c>
      <c r="G258" s="6">
        <v>44702</v>
      </c>
      <c r="H258" s="5"/>
      <c r="I258" s="5"/>
      <c r="J258" s="5">
        <f t="shared" si="33"/>
        <v>16.5</v>
      </c>
      <c r="K258" s="8" t="b">
        <f t="shared" si="34"/>
        <v>1</v>
      </c>
    </row>
    <row r="259" spans="1:11">
      <c r="A259" s="5" t="s">
        <v>140</v>
      </c>
      <c r="B259" s="6">
        <v>44705</v>
      </c>
      <c r="C259" s="7">
        <v>0.7</v>
      </c>
      <c r="D259" s="5">
        <v>8.2899999999999991</v>
      </c>
      <c r="E259" s="5">
        <v>639</v>
      </c>
      <c r="F259" s="5">
        <v>655.4</v>
      </c>
      <c r="G259" s="6">
        <v>44705</v>
      </c>
      <c r="H259" s="5"/>
      <c r="I259" s="5"/>
      <c r="J259" s="5">
        <f t="shared" si="33"/>
        <v>16.399999999999977</v>
      </c>
      <c r="K259" s="8" t="b">
        <f t="shared" si="34"/>
        <v>1</v>
      </c>
    </row>
    <row r="260" spans="1:11">
      <c r="A260" s="5" t="s">
        <v>140</v>
      </c>
      <c r="B260" s="6">
        <v>44707</v>
      </c>
      <c r="C260" s="7">
        <v>0.7</v>
      </c>
      <c r="D260" s="5">
        <v>8.2899999999999991</v>
      </c>
      <c r="E260" s="5">
        <v>655.4</v>
      </c>
      <c r="F260" s="5">
        <v>672</v>
      </c>
      <c r="G260" s="6">
        <v>44707</v>
      </c>
      <c r="H260" s="5"/>
      <c r="I260" s="5"/>
      <c r="J260" s="5">
        <f t="shared" si="33"/>
        <v>16.600000000000023</v>
      </c>
      <c r="K260" s="8" t="b">
        <f t="shared" si="34"/>
        <v>1</v>
      </c>
    </row>
    <row r="261" spans="1:11">
      <c r="A261" s="5" t="s">
        <v>140</v>
      </c>
      <c r="B261" s="6">
        <v>44709</v>
      </c>
      <c r="C261" s="7">
        <v>0.7</v>
      </c>
      <c r="D261" s="5">
        <v>8.2899999999999991</v>
      </c>
      <c r="E261" s="5">
        <v>672</v>
      </c>
      <c r="F261" s="5">
        <v>688.5</v>
      </c>
      <c r="G261" s="6">
        <v>44709</v>
      </c>
      <c r="H261" s="5"/>
      <c r="I261" s="5"/>
      <c r="J261" s="5">
        <f t="shared" si="33"/>
        <v>16.5</v>
      </c>
      <c r="K261" s="8" t="b">
        <f t="shared" si="34"/>
        <v>1</v>
      </c>
    </row>
    <row r="262" spans="1:11">
      <c r="A262" s="5" t="s">
        <v>140</v>
      </c>
      <c r="B262" s="6">
        <v>44711</v>
      </c>
      <c r="C262" s="7">
        <v>0.7</v>
      </c>
      <c r="D262" s="5">
        <v>8.2899999999999991</v>
      </c>
      <c r="E262" s="5">
        <v>688.5</v>
      </c>
      <c r="F262" s="5">
        <v>705.1</v>
      </c>
      <c r="G262" s="6">
        <v>44711</v>
      </c>
      <c r="H262" s="5"/>
      <c r="I262" s="5"/>
      <c r="J262" s="5">
        <f t="shared" si="33"/>
        <v>16.600000000000023</v>
      </c>
      <c r="K262" s="8" t="b">
        <f t="shared" si="34"/>
        <v>1</v>
      </c>
    </row>
    <row r="263" spans="1:11">
      <c r="A263" s="5" t="s">
        <v>140</v>
      </c>
      <c r="B263" s="6">
        <v>44713</v>
      </c>
      <c r="C263" s="7">
        <v>0.7</v>
      </c>
      <c r="D263" s="5">
        <v>8.2899999999999991</v>
      </c>
      <c r="E263" s="5">
        <v>705.1</v>
      </c>
      <c r="F263" s="5">
        <v>722.1</v>
      </c>
      <c r="G263" s="6">
        <v>44713</v>
      </c>
      <c r="H263" s="5"/>
      <c r="I263" s="5"/>
      <c r="J263" s="5">
        <f t="shared" si="33"/>
        <v>17</v>
      </c>
      <c r="K263" s="8" t="b">
        <f t="shared" si="34"/>
        <v>1</v>
      </c>
    </row>
    <row r="264" spans="1:11">
      <c r="A264" s="5" t="s">
        <v>140</v>
      </c>
      <c r="B264" s="6">
        <v>44715</v>
      </c>
      <c r="C264" s="7">
        <v>0.7</v>
      </c>
      <c r="D264" s="5">
        <v>8.2899999999999991</v>
      </c>
      <c r="E264" s="5">
        <v>722.1</v>
      </c>
      <c r="F264" s="5">
        <v>738.3</v>
      </c>
      <c r="G264" s="6">
        <v>44715</v>
      </c>
      <c r="H264" s="5"/>
      <c r="I264" s="5"/>
      <c r="J264" s="5">
        <f t="shared" si="33"/>
        <v>16.199999999999932</v>
      </c>
      <c r="K264" s="8" t="b">
        <f t="shared" si="34"/>
        <v>1</v>
      </c>
    </row>
    <row r="265" spans="1:11">
      <c r="A265" s="5" t="s">
        <v>140</v>
      </c>
      <c r="B265" s="6">
        <v>44717</v>
      </c>
      <c r="C265" s="7">
        <v>0.7</v>
      </c>
      <c r="D265" s="5">
        <v>8.2899999999999991</v>
      </c>
      <c r="E265" s="5">
        <v>738.3</v>
      </c>
      <c r="F265" s="5">
        <v>754.6</v>
      </c>
      <c r="G265" s="6">
        <v>44717</v>
      </c>
      <c r="H265" s="5"/>
      <c r="I265" s="5"/>
      <c r="J265" s="5">
        <f t="shared" si="33"/>
        <v>16.300000000000068</v>
      </c>
      <c r="K265" s="8" t="b">
        <f t="shared" si="34"/>
        <v>1</v>
      </c>
    </row>
    <row r="266" spans="1:11">
      <c r="A266" s="5" t="s">
        <v>140</v>
      </c>
      <c r="B266" s="6">
        <v>44719</v>
      </c>
      <c r="C266" s="7">
        <v>0.6</v>
      </c>
      <c r="D266" s="5">
        <v>9.67</v>
      </c>
      <c r="E266" s="5">
        <v>754.6</v>
      </c>
      <c r="F266" s="5">
        <v>773.4</v>
      </c>
      <c r="G266" s="6">
        <v>44719</v>
      </c>
      <c r="H266" s="5"/>
      <c r="I266" s="5"/>
      <c r="J266" s="5">
        <f t="shared" si="33"/>
        <v>18.799999999999955</v>
      </c>
      <c r="K266" s="8" t="b">
        <f t="shared" si="34"/>
        <v>1</v>
      </c>
    </row>
    <row r="267" spans="1:11">
      <c r="A267" s="5" t="s">
        <v>140</v>
      </c>
      <c r="B267" s="6">
        <v>44690</v>
      </c>
      <c r="C267" s="7">
        <v>0.6</v>
      </c>
      <c r="D267" s="5">
        <v>9.67</v>
      </c>
      <c r="E267" s="5">
        <v>773.4</v>
      </c>
      <c r="F267" s="5">
        <v>792.3</v>
      </c>
      <c r="G267" s="6">
        <v>44687</v>
      </c>
      <c r="H267" s="5"/>
      <c r="I267" s="5"/>
      <c r="J267" s="5">
        <f t="shared" si="33"/>
        <v>18.899999999999977</v>
      </c>
      <c r="K267" s="8" t="b">
        <f t="shared" si="34"/>
        <v>1</v>
      </c>
    </row>
    <row r="268" spans="1:11">
      <c r="A268" s="5" t="s">
        <v>140</v>
      </c>
      <c r="B268" s="6">
        <v>44724</v>
      </c>
      <c r="C268" s="7">
        <v>0.6</v>
      </c>
      <c r="D268" s="5">
        <v>9.67</v>
      </c>
      <c r="E268" s="5">
        <v>792.3</v>
      </c>
      <c r="F268" s="5">
        <v>811.2</v>
      </c>
      <c r="G268" s="6">
        <v>44724</v>
      </c>
      <c r="H268" s="5"/>
      <c r="I268" s="5"/>
      <c r="J268" s="5">
        <f t="shared" si="33"/>
        <v>18.900000000000091</v>
      </c>
      <c r="K268" s="8" t="b">
        <f t="shared" si="34"/>
        <v>1</v>
      </c>
    </row>
    <row r="269" spans="1:11">
      <c r="A269" s="5" t="s">
        <v>140</v>
      </c>
      <c r="B269" s="6">
        <v>44727</v>
      </c>
      <c r="C269" s="7">
        <v>0.6</v>
      </c>
      <c r="D269" s="5">
        <v>9.67</v>
      </c>
      <c r="E269" s="5">
        <v>811.2</v>
      </c>
      <c r="F269" s="5">
        <v>830.3</v>
      </c>
      <c r="G269" s="6">
        <v>44727</v>
      </c>
      <c r="H269" s="5"/>
      <c r="I269" s="5"/>
      <c r="J269" s="5">
        <f t="shared" si="33"/>
        <v>19.099999999999909</v>
      </c>
      <c r="K269" s="8" t="b">
        <f t="shared" si="34"/>
        <v>1</v>
      </c>
    </row>
    <row r="270" spans="1:11">
      <c r="A270" s="5" t="s">
        <v>140</v>
      </c>
      <c r="B270" s="6"/>
      <c r="C270" s="7"/>
      <c r="D270" s="5"/>
      <c r="E270" s="5"/>
      <c r="F270" s="5"/>
      <c r="G270" s="6"/>
      <c r="H270" s="5"/>
      <c r="I270" s="5"/>
      <c r="J270" s="5">
        <f t="shared" si="33"/>
        <v>0</v>
      </c>
      <c r="K270" s="8" t="b">
        <f t="shared" si="34"/>
        <v>0</v>
      </c>
    </row>
    <row r="271" spans="1:11">
      <c r="A271" s="5" t="s">
        <v>140</v>
      </c>
      <c r="B271" s="6"/>
      <c r="C271" s="7"/>
      <c r="D271" s="5"/>
      <c r="E271" s="5"/>
      <c r="F271" s="5"/>
      <c r="G271" s="6"/>
      <c r="H271" s="5"/>
      <c r="I271" s="5"/>
      <c r="J271" s="5">
        <f t="shared" si="33"/>
        <v>0</v>
      </c>
      <c r="K271" s="8" t="b">
        <f t="shared" si="34"/>
        <v>1</v>
      </c>
    </row>
    <row r="273" spans="1:11" ht="26.25">
      <c r="A273" s="138" t="s">
        <v>139</v>
      </c>
      <c r="B273" s="159"/>
      <c r="C273" s="159"/>
      <c r="D273" s="159"/>
      <c r="E273" s="159"/>
      <c r="F273" s="159"/>
      <c r="G273" s="159"/>
      <c r="H273" s="159"/>
      <c r="I273" s="159"/>
      <c r="J273" s="159"/>
      <c r="K273" s="160"/>
    </row>
    <row r="274" spans="1:11" ht="26.25">
      <c r="A274" s="138" t="s">
        <v>69</v>
      </c>
      <c r="B274" s="159"/>
      <c r="C274" s="159"/>
      <c r="D274" s="159"/>
      <c r="E274" s="159"/>
      <c r="F274" s="159"/>
      <c r="G274" s="159"/>
      <c r="H274" s="159"/>
      <c r="I274" s="159"/>
      <c r="J274" s="159"/>
      <c r="K274" s="160"/>
    </row>
    <row r="275" spans="1:11" ht="15.75" thickBot="1"/>
    <row r="276" spans="1:11" ht="15.75" thickBot="1">
      <c r="A276" s="132" t="s">
        <v>2</v>
      </c>
      <c r="B276" s="133"/>
      <c r="C276" s="133"/>
      <c r="D276" s="133"/>
      <c r="E276" s="133"/>
      <c r="F276" s="133"/>
      <c r="G276" s="133"/>
      <c r="H276" s="133"/>
      <c r="I276" s="133"/>
      <c r="J276" s="133"/>
      <c r="K276" s="134"/>
    </row>
    <row r="278" spans="1:11" ht="18.75">
      <c r="A278" s="1" t="s">
        <v>3</v>
      </c>
      <c r="B278" s="1"/>
      <c r="C278" s="1"/>
      <c r="D278" s="1"/>
      <c r="E278" s="1"/>
      <c r="F278" s="1"/>
      <c r="G278" s="1"/>
      <c r="H278" s="1"/>
      <c r="I278" s="1"/>
    </row>
    <row r="279" spans="1:11" ht="30">
      <c r="A279" s="32" t="s">
        <v>4</v>
      </c>
      <c r="B279" s="32" t="s">
        <v>5</v>
      </c>
      <c r="C279" s="32" t="s">
        <v>6</v>
      </c>
      <c r="D279" s="32" t="s">
        <v>7</v>
      </c>
      <c r="E279" s="32" t="s">
        <v>8</v>
      </c>
      <c r="F279" s="32" t="s">
        <v>9</v>
      </c>
      <c r="G279" s="32" t="s">
        <v>10</v>
      </c>
      <c r="H279" s="32" t="s">
        <v>21</v>
      </c>
      <c r="I279" s="32" t="s">
        <v>22</v>
      </c>
      <c r="J279" s="32" t="s">
        <v>11</v>
      </c>
      <c r="K279" s="32" t="s">
        <v>12</v>
      </c>
    </row>
    <row r="280" spans="1:11">
      <c r="A280" s="5" t="s">
        <v>140</v>
      </c>
      <c r="B280" s="6">
        <v>44821</v>
      </c>
      <c r="C280" s="7">
        <v>0.5</v>
      </c>
      <c r="D280" s="5">
        <v>11.6</v>
      </c>
      <c r="E280" s="5">
        <v>829</v>
      </c>
      <c r="F280" s="5">
        <v>853</v>
      </c>
      <c r="G280" s="6">
        <v>44821</v>
      </c>
      <c r="H280" s="5"/>
      <c r="I280" s="5"/>
      <c r="J280" s="5">
        <f t="shared" ref="J280:J285" si="35">F280-E280</f>
        <v>24</v>
      </c>
      <c r="K280" s="8" t="b">
        <f>E280=F269</f>
        <v>0</v>
      </c>
    </row>
    <row r="281" spans="1:11">
      <c r="A281" s="5" t="s">
        <v>140</v>
      </c>
      <c r="B281" s="6">
        <v>44822</v>
      </c>
      <c r="C281" s="7">
        <v>0.5</v>
      </c>
      <c r="D281" s="5">
        <v>11.6</v>
      </c>
      <c r="E281" s="5">
        <v>853</v>
      </c>
      <c r="F281" s="5">
        <v>876.1</v>
      </c>
      <c r="G281" s="6">
        <v>44822</v>
      </c>
      <c r="H281" s="5"/>
      <c r="I281" s="5"/>
      <c r="J281" s="5">
        <f t="shared" si="35"/>
        <v>23.100000000000023</v>
      </c>
      <c r="K281" s="8" t="b">
        <f>E281=F280</f>
        <v>1</v>
      </c>
    </row>
    <row r="282" spans="1:11">
      <c r="A282" s="5" t="s">
        <v>140</v>
      </c>
      <c r="B282" s="6">
        <v>44823</v>
      </c>
      <c r="C282" s="7">
        <v>0.5</v>
      </c>
      <c r="D282" s="5">
        <v>11.6</v>
      </c>
      <c r="E282" s="5">
        <v>876.1</v>
      </c>
      <c r="F282" s="5">
        <v>893.4</v>
      </c>
      <c r="G282" s="6">
        <v>44823</v>
      </c>
      <c r="H282" s="5"/>
      <c r="I282" s="5"/>
      <c r="J282" s="5">
        <f t="shared" si="35"/>
        <v>17.299999999999955</v>
      </c>
      <c r="K282" s="8" t="b">
        <f t="shared" ref="K282:K310" si="36">E282=F281</f>
        <v>1</v>
      </c>
    </row>
    <row r="283" spans="1:11">
      <c r="A283" s="5" t="s">
        <v>140</v>
      </c>
      <c r="B283" s="6">
        <v>44843</v>
      </c>
      <c r="C283" s="7">
        <v>0.5</v>
      </c>
      <c r="D283" s="5">
        <v>11.6</v>
      </c>
      <c r="E283" s="5">
        <v>893.4</v>
      </c>
      <c r="F283" s="5">
        <v>911</v>
      </c>
      <c r="G283" s="6">
        <v>44843</v>
      </c>
      <c r="H283" s="5"/>
      <c r="I283" s="5"/>
      <c r="J283" s="5">
        <f t="shared" si="35"/>
        <v>17.600000000000023</v>
      </c>
      <c r="K283" s="8" t="b">
        <f t="shared" si="36"/>
        <v>1</v>
      </c>
    </row>
    <row r="284" spans="1:11">
      <c r="A284" s="5" t="s">
        <v>140</v>
      </c>
      <c r="B284" s="6">
        <v>44844</v>
      </c>
      <c r="C284" s="7">
        <v>1</v>
      </c>
      <c r="D284" s="5">
        <v>5.8</v>
      </c>
      <c r="E284" s="5">
        <v>911</v>
      </c>
      <c r="F284" s="5">
        <v>928.8</v>
      </c>
      <c r="G284" s="6">
        <v>44844</v>
      </c>
      <c r="H284" s="5"/>
      <c r="I284" s="5"/>
      <c r="J284" s="5">
        <f t="shared" si="35"/>
        <v>17.799999999999955</v>
      </c>
      <c r="K284" s="8" t="b">
        <f t="shared" si="36"/>
        <v>1</v>
      </c>
    </row>
    <row r="285" spans="1:11">
      <c r="A285" s="5" t="s">
        <v>140</v>
      </c>
      <c r="B285" s="6">
        <v>44845</v>
      </c>
      <c r="C285" s="7">
        <v>1</v>
      </c>
      <c r="D285" s="5">
        <v>5.8</v>
      </c>
      <c r="E285" s="5">
        <v>928.8</v>
      </c>
      <c r="F285" s="5">
        <v>940.8</v>
      </c>
      <c r="G285" s="6">
        <v>44845</v>
      </c>
      <c r="H285" s="5"/>
      <c r="I285" s="5"/>
      <c r="J285" s="5">
        <f t="shared" si="35"/>
        <v>12</v>
      </c>
      <c r="K285" s="8" t="b">
        <f t="shared" si="36"/>
        <v>1</v>
      </c>
    </row>
    <row r="286" spans="1:11">
      <c r="A286" s="5" t="s">
        <v>140</v>
      </c>
      <c r="B286" s="6">
        <v>44846</v>
      </c>
      <c r="C286" s="7">
        <v>1</v>
      </c>
      <c r="D286" s="5">
        <v>5.8</v>
      </c>
      <c r="E286" s="5">
        <v>940.8</v>
      </c>
      <c r="F286" s="5">
        <v>952.8</v>
      </c>
      <c r="G286" s="6">
        <v>44846</v>
      </c>
      <c r="H286" s="5"/>
      <c r="I286" s="5"/>
      <c r="J286" s="5">
        <f t="shared" ref="J286:J294" si="37">F286-E286</f>
        <v>12</v>
      </c>
      <c r="K286" s="8" t="b">
        <f t="shared" si="36"/>
        <v>1</v>
      </c>
    </row>
    <row r="287" spans="1:11">
      <c r="A287" s="5" t="s">
        <v>140</v>
      </c>
      <c r="B287" s="6">
        <v>44848</v>
      </c>
      <c r="C287" s="7">
        <v>1</v>
      </c>
      <c r="D287" s="5">
        <v>5.8</v>
      </c>
      <c r="E287" s="5">
        <v>0.1</v>
      </c>
      <c r="F287" s="5">
        <v>12.5</v>
      </c>
      <c r="G287" s="6">
        <v>44848</v>
      </c>
      <c r="H287" s="5"/>
      <c r="I287" s="5"/>
      <c r="J287" s="5">
        <f t="shared" si="37"/>
        <v>12.4</v>
      </c>
      <c r="K287" s="8" t="b">
        <f t="shared" si="36"/>
        <v>0</v>
      </c>
    </row>
    <row r="288" spans="1:11">
      <c r="A288" s="5" t="s">
        <v>140</v>
      </c>
      <c r="B288" s="6">
        <v>44849</v>
      </c>
      <c r="C288" s="7">
        <v>1</v>
      </c>
      <c r="D288" s="5">
        <v>5.8</v>
      </c>
      <c r="E288" s="5">
        <v>12.5</v>
      </c>
      <c r="F288" s="5">
        <v>24.2</v>
      </c>
      <c r="G288" s="6">
        <v>44849</v>
      </c>
      <c r="H288" s="5"/>
      <c r="I288" s="5"/>
      <c r="J288" s="5">
        <f t="shared" si="37"/>
        <v>11.7</v>
      </c>
      <c r="K288" s="8" t="b">
        <f t="shared" si="36"/>
        <v>1</v>
      </c>
    </row>
    <row r="289" spans="1:11">
      <c r="A289" s="5" t="s">
        <v>140</v>
      </c>
      <c r="B289" s="6">
        <v>44850</v>
      </c>
      <c r="C289" s="7">
        <v>1</v>
      </c>
      <c r="D289" s="5">
        <v>5.8</v>
      </c>
      <c r="E289" s="5">
        <v>24.2</v>
      </c>
      <c r="F289" s="5">
        <v>35.9</v>
      </c>
      <c r="G289" s="6">
        <v>44850</v>
      </c>
      <c r="H289" s="5"/>
      <c r="I289" s="5"/>
      <c r="J289" s="5">
        <f t="shared" si="37"/>
        <v>11.7</v>
      </c>
      <c r="K289" s="8" t="b">
        <f t="shared" si="36"/>
        <v>1</v>
      </c>
    </row>
    <row r="290" spans="1:11">
      <c r="A290" s="5" t="s">
        <v>140</v>
      </c>
      <c r="B290" s="6">
        <v>44851</v>
      </c>
      <c r="C290" s="7">
        <v>1</v>
      </c>
      <c r="D290" s="5">
        <v>5.8</v>
      </c>
      <c r="E290" s="5">
        <v>35.9</v>
      </c>
      <c r="F290" s="5">
        <v>47.5</v>
      </c>
      <c r="G290" s="6">
        <v>44851</v>
      </c>
      <c r="H290" s="5"/>
      <c r="I290" s="5"/>
      <c r="J290" s="5">
        <f t="shared" si="37"/>
        <v>11.600000000000001</v>
      </c>
      <c r="K290" s="8" t="b">
        <f t="shared" si="36"/>
        <v>1</v>
      </c>
    </row>
    <row r="291" spans="1:11">
      <c r="A291" s="5" t="s">
        <v>140</v>
      </c>
      <c r="B291" s="6">
        <v>44852</v>
      </c>
      <c r="C291" s="7">
        <v>1</v>
      </c>
      <c r="D291" s="5">
        <v>5.8</v>
      </c>
      <c r="E291" s="5">
        <v>47.5</v>
      </c>
      <c r="F291" s="5">
        <v>59.4</v>
      </c>
      <c r="G291" s="6">
        <v>44852</v>
      </c>
      <c r="H291" s="5"/>
      <c r="I291" s="5"/>
      <c r="J291" s="5">
        <f t="shared" si="37"/>
        <v>11.899999999999999</v>
      </c>
      <c r="K291" s="8" t="b">
        <f t="shared" si="36"/>
        <v>1</v>
      </c>
    </row>
    <row r="292" spans="1:11">
      <c r="A292" s="5" t="s">
        <v>140</v>
      </c>
      <c r="B292" s="6">
        <v>44853</v>
      </c>
      <c r="C292" s="7">
        <v>0.7</v>
      </c>
      <c r="D292" s="5">
        <v>8.2899999999999991</v>
      </c>
      <c r="E292" s="5">
        <v>59.4</v>
      </c>
      <c r="F292" s="5">
        <v>70.400000000000006</v>
      </c>
      <c r="G292" s="6">
        <v>44853</v>
      </c>
      <c r="H292" s="5"/>
      <c r="I292" s="5"/>
      <c r="J292" s="5">
        <f t="shared" si="37"/>
        <v>11.000000000000007</v>
      </c>
      <c r="K292" s="8" t="b">
        <f t="shared" si="36"/>
        <v>1</v>
      </c>
    </row>
    <row r="293" spans="1:11">
      <c r="A293" s="5" t="s">
        <v>140</v>
      </c>
      <c r="B293" s="6">
        <v>44855</v>
      </c>
      <c r="C293" s="7">
        <v>0.7</v>
      </c>
      <c r="D293" s="5">
        <v>8.2899999999999991</v>
      </c>
      <c r="E293" s="5">
        <v>70.400000000000006</v>
      </c>
      <c r="F293" s="5">
        <v>94.8</v>
      </c>
      <c r="G293" s="6">
        <v>44855</v>
      </c>
      <c r="H293" s="5"/>
      <c r="I293" s="5"/>
      <c r="J293" s="5">
        <f t="shared" si="37"/>
        <v>24.399999999999991</v>
      </c>
      <c r="K293" s="8" t="b">
        <f t="shared" si="36"/>
        <v>1</v>
      </c>
    </row>
    <row r="294" spans="1:11">
      <c r="A294" s="5" t="s">
        <v>140</v>
      </c>
      <c r="B294" s="6">
        <v>44857</v>
      </c>
      <c r="C294" s="7">
        <v>0.7</v>
      </c>
      <c r="D294" s="5">
        <v>8.2899999999999991</v>
      </c>
      <c r="E294" s="5">
        <v>94.8</v>
      </c>
      <c r="F294" s="5">
        <v>111.9</v>
      </c>
      <c r="G294" s="6">
        <v>44857</v>
      </c>
      <c r="H294" s="5"/>
      <c r="I294" s="5"/>
      <c r="J294" s="5">
        <f t="shared" si="37"/>
        <v>17.100000000000009</v>
      </c>
      <c r="K294" s="8" t="b">
        <f t="shared" si="36"/>
        <v>1</v>
      </c>
    </row>
    <row r="295" spans="1:11">
      <c r="A295" s="5" t="s">
        <v>140</v>
      </c>
      <c r="B295" s="6">
        <v>44859</v>
      </c>
      <c r="C295" s="7">
        <v>0.7</v>
      </c>
      <c r="D295" s="5">
        <v>8.2899999999999991</v>
      </c>
      <c r="E295" s="5">
        <v>111.9</v>
      </c>
      <c r="F295" s="5">
        <v>128.9</v>
      </c>
      <c r="G295" s="6">
        <v>44859</v>
      </c>
      <c r="H295" s="5"/>
      <c r="I295" s="5"/>
      <c r="J295" s="5">
        <f t="shared" ref="J295:J309" si="38">F295-E295</f>
        <v>17</v>
      </c>
      <c r="K295" s="8" t="b">
        <f t="shared" si="36"/>
        <v>1</v>
      </c>
    </row>
    <row r="296" spans="1:11">
      <c r="A296" s="5" t="s">
        <v>140</v>
      </c>
      <c r="B296" s="6">
        <v>44861</v>
      </c>
      <c r="C296" s="7">
        <v>0.7</v>
      </c>
      <c r="D296" s="5">
        <v>8.2899999999999991</v>
      </c>
      <c r="E296" s="5">
        <v>128.9</v>
      </c>
      <c r="F296" s="5">
        <v>146.30000000000001</v>
      </c>
      <c r="G296" s="6">
        <v>44861</v>
      </c>
      <c r="H296" s="5"/>
      <c r="I296" s="5"/>
      <c r="J296" s="5">
        <f t="shared" si="38"/>
        <v>17.400000000000006</v>
      </c>
      <c r="K296" s="8" t="b">
        <f t="shared" si="36"/>
        <v>1</v>
      </c>
    </row>
    <row r="297" spans="1:11">
      <c r="A297" s="5" t="s">
        <v>140</v>
      </c>
      <c r="B297" s="6">
        <v>44865</v>
      </c>
      <c r="C297" s="7">
        <v>0.7</v>
      </c>
      <c r="D297" s="5">
        <v>8.2899999999999991</v>
      </c>
      <c r="E297" s="5">
        <v>146.30000000000001</v>
      </c>
      <c r="F297" s="5">
        <v>162.9</v>
      </c>
      <c r="G297" s="6">
        <v>44865</v>
      </c>
      <c r="H297" s="5"/>
      <c r="I297" s="5"/>
      <c r="J297" s="5">
        <f t="shared" si="38"/>
        <v>16.599999999999994</v>
      </c>
      <c r="K297" s="8" t="b">
        <f t="shared" si="36"/>
        <v>1</v>
      </c>
    </row>
    <row r="298" spans="1:11">
      <c r="A298" s="5" t="s">
        <v>140</v>
      </c>
      <c r="B298" s="6">
        <v>44871</v>
      </c>
      <c r="C298" s="7">
        <v>0.8</v>
      </c>
      <c r="D298" s="5">
        <v>7.34</v>
      </c>
      <c r="E298" s="5">
        <v>162.9</v>
      </c>
      <c r="F298" s="5">
        <v>177.5</v>
      </c>
      <c r="G298" s="6">
        <v>44871</v>
      </c>
      <c r="H298" s="5"/>
      <c r="I298" s="5"/>
      <c r="J298" s="5">
        <f t="shared" si="38"/>
        <v>14.599999999999994</v>
      </c>
      <c r="K298" s="8" t="b">
        <f t="shared" si="36"/>
        <v>1</v>
      </c>
    </row>
    <row r="299" spans="1:11">
      <c r="A299" s="5" t="s">
        <v>140</v>
      </c>
      <c r="B299" s="6">
        <v>44872</v>
      </c>
      <c r="C299" s="7">
        <v>0.8</v>
      </c>
      <c r="D299" s="5">
        <v>7.34</v>
      </c>
      <c r="E299" s="5">
        <v>177.5</v>
      </c>
      <c r="F299" s="5">
        <v>192</v>
      </c>
      <c r="G299" s="6">
        <v>44872</v>
      </c>
      <c r="H299" s="5"/>
      <c r="I299" s="5"/>
      <c r="J299" s="5">
        <f t="shared" si="38"/>
        <v>14.5</v>
      </c>
      <c r="K299" s="8" t="b">
        <f t="shared" si="36"/>
        <v>1</v>
      </c>
    </row>
    <row r="300" spans="1:11">
      <c r="A300" s="5" t="s">
        <v>140</v>
      </c>
      <c r="B300" s="6">
        <v>44874</v>
      </c>
      <c r="C300" s="7">
        <v>1</v>
      </c>
      <c r="D300" s="5">
        <v>5.8</v>
      </c>
      <c r="E300" s="5">
        <v>192</v>
      </c>
      <c r="F300" s="5">
        <v>204.1</v>
      </c>
      <c r="G300" s="6">
        <v>44874</v>
      </c>
      <c r="H300" s="5"/>
      <c r="I300" s="5"/>
      <c r="J300" s="5">
        <f t="shared" si="38"/>
        <v>12.099999999999994</v>
      </c>
      <c r="K300" s="8" t="b">
        <f t="shared" si="36"/>
        <v>1</v>
      </c>
    </row>
    <row r="301" spans="1:11">
      <c r="A301" s="5" t="s">
        <v>140</v>
      </c>
      <c r="B301" s="6">
        <v>44877</v>
      </c>
      <c r="C301" s="7">
        <v>0.7</v>
      </c>
      <c r="D301" s="5">
        <v>8.2899999999999991</v>
      </c>
      <c r="E301" s="5">
        <v>204.1</v>
      </c>
      <c r="F301" s="5">
        <v>222</v>
      </c>
      <c r="G301" s="6">
        <v>44877</v>
      </c>
      <c r="H301" s="5"/>
      <c r="I301" s="5"/>
      <c r="J301" s="5">
        <f t="shared" si="38"/>
        <v>17.900000000000006</v>
      </c>
      <c r="K301" s="8" t="b">
        <f t="shared" si="36"/>
        <v>1</v>
      </c>
    </row>
    <row r="302" spans="1:11">
      <c r="A302" s="5" t="s">
        <v>140</v>
      </c>
      <c r="B302" s="6">
        <v>44879</v>
      </c>
      <c r="C302" s="7">
        <v>0.55000000000000004</v>
      </c>
      <c r="D302" s="5">
        <v>14.55</v>
      </c>
      <c r="E302" s="5">
        <v>222</v>
      </c>
      <c r="F302" s="5">
        <v>243.2</v>
      </c>
      <c r="G302" s="6">
        <v>44879</v>
      </c>
      <c r="H302" s="5"/>
      <c r="I302" s="5"/>
      <c r="J302" s="5">
        <f t="shared" si="38"/>
        <v>21.199999999999989</v>
      </c>
      <c r="K302" s="8" t="b">
        <f t="shared" si="36"/>
        <v>1</v>
      </c>
    </row>
    <row r="303" spans="1:11">
      <c r="A303" s="5" t="s">
        <v>140</v>
      </c>
      <c r="B303" s="6">
        <v>44886</v>
      </c>
      <c r="C303" s="7">
        <v>0.7</v>
      </c>
      <c r="D303" s="5">
        <v>8.2899999999999991</v>
      </c>
      <c r="E303" s="5">
        <v>243.2</v>
      </c>
      <c r="F303" s="5">
        <v>259.8</v>
      </c>
      <c r="G303" s="6">
        <v>44886</v>
      </c>
      <c r="H303" s="5"/>
      <c r="I303" s="5"/>
      <c r="J303" s="5">
        <f t="shared" si="38"/>
        <v>16.600000000000023</v>
      </c>
      <c r="K303" s="8" t="b">
        <f t="shared" si="36"/>
        <v>1</v>
      </c>
    </row>
    <row r="304" spans="1:11">
      <c r="A304" s="5" t="s">
        <v>140</v>
      </c>
      <c r="B304" s="6">
        <v>44897</v>
      </c>
      <c r="C304" s="7">
        <v>1</v>
      </c>
      <c r="D304" s="5">
        <v>5.8</v>
      </c>
      <c r="E304" s="5">
        <v>259.8</v>
      </c>
      <c r="F304" s="5">
        <v>267.2</v>
      </c>
      <c r="G304" s="6">
        <v>44897</v>
      </c>
      <c r="H304" s="5"/>
      <c r="I304" s="5"/>
      <c r="J304" s="5">
        <f>F304-E304</f>
        <v>7.3999999999999773</v>
      </c>
      <c r="K304" s="8" t="b">
        <f>E304=F303</f>
        <v>1</v>
      </c>
    </row>
    <row r="305" spans="1:11">
      <c r="A305" s="5" t="s">
        <v>140</v>
      </c>
      <c r="B305" s="6">
        <v>44899</v>
      </c>
      <c r="C305" s="7">
        <v>1</v>
      </c>
      <c r="D305" s="5">
        <v>5.8</v>
      </c>
      <c r="E305" s="5">
        <v>267.2</v>
      </c>
      <c r="F305" s="5">
        <v>278.3</v>
      </c>
      <c r="G305" s="6">
        <v>44899</v>
      </c>
      <c r="H305" s="5"/>
      <c r="I305" s="5"/>
      <c r="J305" s="5">
        <f t="shared" si="38"/>
        <v>11.100000000000023</v>
      </c>
      <c r="K305" s="8" t="b">
        <f t="shared" si="36"/>
        <v>1</v>
      </c>
    </row>
    <row r="306" spans="1:11">
      <c r="A306" s="5" t="s">
        <v>140</v>
      </c>
      <c r="B306" s="6">
        <v>44900</v>
      </c>
      <c r="C306" s="7">
        <v>1</v>
      </c>
      <c r="D306" s="5">
        <v>5.8</v>
      </c>
      <c r="E306" s="5">
        <v>278.3</v>
      </c>
      <c r="F306" s="5">
        <v>295.3</v>
      </c>
      <c r="G306" s="6">
        <v>44900</v>
      </c>
      <c r="H306" s="5"/>
      <c r="I306" s="5"/>
      <c r="J306" s="5">
        <f t="shared" si="38"/>
        <v>17</v>
      </c>
      <c r="K306" s="8" t="b">
        <f t="shared" si="36"/>
        <v>1</v>
      </c>
    </row>
    <row r="307" spans="1:11">
      <c r="A307" s="5" t="s">
        <v>140</v>
      </c>
      <c r="B307" s="6">
        <v>44901</v>
      </c>
      <c r="C307" s="7">
        <v>1</v>
      </c>
      <c r="D307" s="5">
        <v>5.8</v>
      </c>
      <c r="E307" s="5">
        <v>295.3</v>
      </c>
      <c r="F307" s="5">
        <v>315.60000000000002</v>
      </c>
      <c r="G307" s="6">
        <v>44901</v>
      </c>
      <c r="H307" s="5"/>
      <c r="I307" s="5"/>
      <c r="J307" s="5">
        <f t="shared" si="38"/>
        <v>20.300000000000011</v>
      </c>
      <c r="K307" s="8" t="b">
        <f t="shared" si="36"/>
        <v>1</v>
      </c>
    </row>
    <row r="308" spans="1:11">
      <c r="A308" s="5" t="s">
        <v>140</v>
      </c>
      <c r="B308" s="6">
        <v>44929</v>
      </c>
      <c r="C308" s="7">
        <v>0.7</v>
      </c>
      <c r="D308" s="5">
        <v>8.2899999999999991</v>
      </c>
      <c r="E308" s="5">
        <v>315.60000000000002</v>
      </c>
      <c r="F308" s="5">
        <v>335.6</v>
      </c>
      <c r="G308" s="6">
        <v>44929</v>
      </c>
      <c r="H308" s="5"/>
      <c r="I308" s="5"/>
      <c r="J308" s="5">
        <f t="shared" si="38"/>
        <v>20</v>
      </c>
      <c r="K308" s="8" t="b">
        <f>E308=F307</f>
        <v>1</v>
      </c>
    </row>
    <row r="309" spans="1:11">
      <c r="A309" s="5" t="s">
        <v>140</v>
      </c>
      <c r="B309" s="6">
        <v>44958</v>
      </c>
      <c r="C309" s="7">
        <v>1</v>
      </c>
      <c r="D309" s="5">
        <v>5.8</v>
      </c>
      <c r="E309" s="5">
        <v>335.6</v>
      </c>
      <c r="F309" s="5">
        <v>352.4</v>
      </c>
      <c r="G309" s="6">
        <v>44958</v>
      </c>
      <c r="H309" s="5"/>
      <c r="I309" s="5"/>
      <c r="J309" s="5">
        <f t="shared" si="38"/>
        <v>16.799999999999955</v>
      </c>
      <c r="K309" s="8" t="b">
        <f t="shared" si="36"/>
        <v>1</v>
      </c>
    </row>
    <row r="310" spans="1:11">
      <c r="A310" s="5" t="s">
        <v>140</v>
      </c>
      <c r="B310" s="6">
        <v>44959</v>
      </c>
      <c r="C310" s="7">
        <v>1</v>
      </c>
      <c r="D310" s="5">
        <v>5.8</v>
      </c>
      <c r="E310" s="5">
        <v>352.4</v>
      </c>
      <c r="F310" s="5">
        <v>364.4</v>
      </c>
      <c r="G310" s="6">
        <v>44959</v>
      </c>
      <c r="H310" s="5"/>
      <c r="I310" s="5"/>
      <c r="J310" s="5">
        <f t="shared" ref="J310:J320" si="39">F310-E310</f>
        <v>12</v>
      </c>
      <c r="K310" s="8" t="b">
        <f t="shared" si="36"/>
        <v>1</v>
      </c>
    </row>
    <row r="311" spans="1:11">
      <c r="A311" s="5" t="s">
        <v>140</v>
      </c>
      <c r="B311" s="6"/>
      <c r="C311" s="7"/>
      <c r="D311" s="5"/>
      <c r="E311" s="5"/>
      <c r="F311" s="5"/>
      <c r="G311" s="6"/>
      <c r="H311" s="5"/>
      <c r="I311" s="5"/>
      <c r="J311" s="5">
        <f t="shared" si="39"/>
        <v>0</v>
      </c>
      <c r="K311" s="8" t="b">
        <f t="shared" ref="K311:K320" si="40">E311=F310</f>
        <v>0</v>
      </c>
    </row>
    <row r="312" spans="1:11">
      <c r="A312" s="5" t="s">
        <v>140</v>
      </c>
      <c r="B312" s="6"/>
      <c r="C312" s="7"/>
      <c r="D312" s="5"/>
      <c r="E312" s="5"/>
      <c r="F312" s="5"/>
      <c r="G312" s="6"/>
      <c r="H312" s="5"/>
      <c r="I312" s="5"/>
      <c r="J312" s="5">
        <f t="shared" si="39"/>
        <v>0</v>
      </c>
      <c r="K312" s="8" t="b">
        <f t="shared" si="40"/>
        <v>1</v>
      </c>
    </row>
    <row r="313" spans="1:11">
      <c r="A313" s="5" t="s">
        <v>140</v>
      </c>
      <c r="B313" s="6"/>
      <c r="C313" s="7"/>
      <c r="D313" s="5"/>
      <c r="E313" s="5"/>
      <c r="F313" s="5"/>
      <c r="G313" s="6"/>
      <c r="H313" s="5"/>
      <c r="I313" s="5"/>
      <c r="J313" s="5">
        <f t="shared" si="39"/>
        <v>0</v>
      </c>
      <c r="K313" s="8" t="b">
        <f t="shared" si="40"/>
        <v>1</v>
      </c>
    </row>
    <row r="314" spans="1:11">
      <c r="A314" s="5" t="s">
        <v>140</v>
      </c>
      <c r="B314" s="6"/>
      <c r="C314" s="7"/>
      <c r="D314" s="5"/>
      <c r="E314" s="5"/>
      <c r="F314" s="5"/>
      <c r="G314" s="6"/>
      <c r="H314" s="5"/>
      <c r="I314" s="5"/>
      <c r="J314" s="5">
        <f t="shared" si="39"/>
        <v>0</v>
      </c>
      <c r="K314" s="8" t="b">
        <f t="shared" si="40"/>
        <v>1</v>
      </c>
    </row>
    <row r="315" spans="1:11">
      <c r="A315" s="5" t="s">
        <v>140</v>
      </c>
      <c r="B315" s="6"/>
      <c r="C315" s="7"/>
      <c r="D315" s="5"/>
      <c r="E315" s="5"/>
      <c r="F315" s="5"/>
      <c r="G315" s="6"/>
      <c r="H315" s="5"/>
      <c r="I315" s="5"/>
      <c r="J315" s="5">
        <f t="shared" si="39"/>
        <v>0</v>
      </c>
      <c r="K315" s="8" t="b">
        <f t="shared" si="40"/>
        <v>1</v>
      </c>
    </row>
    <row r="316" spans="1:11">
      <c r="A316" s="5" t="s">
        <v>140</v>
      </c>
      <c r="B316" s="6"/>
      <c r="C316" s="7"/>
      <c r="D316" s="5"/>
      <c r="E316" s="5"/>
      <c r="F316" s="5"/>
      <c r="G316" s="6"/>
      <c r="H316" s="5"/>
      <c r="I316" s="5"/>
      <c r="J316" s="5">
        <f t="shared" si="39"/>
        <v>0</v>
      </c>
      <c r="K316" s="8" t="b">
        <f t="shared" si="40"/>
        <v>1</v>
      </c>
    </row>
    <row r="317" spans="1:11">
      <c r="A317" s="5" t="s">
        <v>140</v>
      </c>
      <c r="B317" s="6"/>
      <c r="C317" s="7"/>
      <c r="D317" s="5"/>
      <c r="E317" s="5"/>
      <c r="F317" s="5"/>
      <c r="G317" s="6"/>
      <c r="H317" s="5"/>
      <c r="I317" s="5"/>
      <c r="J317" s="5">
        <f t="shared" si="39"/>
        <v>0</v>
      </c>
      <c r="K317" s="8" t="b">
        <f t="shared" si="40"/>
        <v>1</v>
      </c>
    </row>
    <row r="318" spans="1:11">
      <c r="A318" s="5" t="s">
        <v>140</v>
      </c>
      <c r="B318" s="6"/>
      <c r="C318" s="7"/>
      <c r="D318" s="5"/>
      <c r="E318" s="5"/>
      <c r="F318" s="5"/>
      <c r="G318" s="6"/>
      <c r="H318" s="5"/>
      <c r="I318" s="5"/>
      <c r="J318" s="5">
        <f t="shared" si="39"/>
        <v>0</v>
      </c>
      <c r="K318" s="8" t="b">
        <f t="shared" si="40"/>
        <v>1</v>
      </c>
    </row>
    <row r="319" spans="1:11">
      <c r="A319" s="5" t="s">
        <v>140</v>
      </c>
      <c r="B319" s="6"/>
      <c r="C319" s="7"/>
      <c r="D319" s="5"/>
      <c r="E319" s="5"/>
      <c r="F319" s="5"/>
      <c r="G319" s="6"/>
      <c r="H319" s="5"/>
      <c r="I319" s="5"/>
      <c r="J319" s="5">
        <f t="shared" si="39"/>
        <v>0</v>
      </c>
      <c r="K319" s="8" t="b">
        <f t="shared" si="40"/>
        <v>1</v>
      </c>
    </row>
    <row r="320" spans="1:11">
      <c r="A320" s="5" t="s">
        <v>140</v>
      </c>
      <c r="B320" s="6"/>
      <c r="C320" s="7"/>
      <c r="D320" s="5"/>
      <c r="E320" s="5"/>
      <c r="F320" s="5"/>
      <c r="G320" s="6"/>
      <c r="H320" s="5"/>
      <c r="I320" s="5"/>
      <c r="J320" s="5">
        <f t="shared" si="39"/>
        <v>0</v>
      </c>
      <c r="K320" s="8" t="b">
        <f t="shared" si="40"/>
        <v>1</v>
      </c>
    </row>
    <row r="322" spans="1:11" ht="26.25">
      <c r="A322" s="181" t="s">
        <v>139</v>
      </c>
      <c r="B322" s="182"/>
      <c r="C322" s="182"/>
      <c r="D322" s="182"/>
      <c r="E322" s="182"/>
      <c r="F322" s="182"/>
      <c r="G322" s="182"/>
      <c r="H322" s="182"/>
      <c r="I322" s="182"/>
      <c r="J322" s="182"/>
      <c r="K322" s="183"/>
    </row>
    <row r="323" spans="1:11" ht="26.25">
      <c r="A323" s="181" t="s">
        <v>17</v>
      </c>
      <c r="B323" s="182"/>
      <c r="C323" s="182"/>
      <c r="D323" s="182"/>
      <c r="E323" s="182"/>
      <c r="F323" s="182"/>
      <c r="G323" s="182"/>
      <c r="H323" s="182"/>
      <c r="I323" s="182"/>
      <c r="J323" s="182"/>
      <c r="K323" s="183"/>
    </row>
    <row r="324" spans="1:11" ht="15.75" thickBot="1"/>
    <row r="325" spans="1:11" ht="15.75" thickBot="1">
      <c r="A325" s="132" t="s">
        <v>2</v>
      </c>
      <c r="B325" s="133"/>
      <c r="C325" s="133"/>
      <c r="D325" s="133"/>
      <c r="E325" s="133"/>
      <c r="F325" s="133"/>
      <c r="G325" s="133"/>
      <c r="H325" s="133"/>
      <c r="I325" s="133"/>
      <c r="J325" s="133"/>
      <c r="K325" s="134"/>
    </row>
    <row r="327" spans="1:11" ht="18.75">
      <c r="A327" s="1" t="s">
        <v>3</v>
      </c>
      <c r="B327" s="1"/>
      <c r="C327" s="1"/>
      <c r="D327" s="1"/>
      <c r="E327" s="1"/>
      <c r="F327" s="1"/>
      <c r="G327" s="1"/>
      <c r="H327" s="1"/>
      <c r="I327" s="1"/>
    </row>
    <row r="328" spans="1:11" ht="30">
      <c r="A328" s="32" t="s">
        <v>4</v>
      </c>
      <c r="B328" s="32" t="s">
        <v>5</v>
      </c>
      <c r="C328" s="32" t="s">
        <v>6</v>
      </c>
      <c r="D328" s="32" t="s">
        <v>7</v>
      </c>
      <c r="E328" s="32" t="s">
        <v>8</v>
      </c>
      <c r="F328" s="32" t="s">
        <v>9</v>
      </c>
      <c r="G328" s="32" t="s">
        <v>10</v>
      </c>
      <c r="H328" s="32" t="s">
        <v>21</v>
      </c>
      <c r="I328" s="32" t="s">
        <v>22</v>
      </c>
      <c r="J328" s="32" t="s">
        <v>11</v>
      </c>
      <c r="K328" s="32" t="s">
        <v>12</v>
      </c>
    </row>
    <row r="329" spans="1:11">
      <c r="A329" s="5" t="s">
        <v>140</v>
      </c>
      <c r="B329" s="6">
        <v>44960</v>
      </c>
      <c r="C329" s="7">
        <v>1</v>
      </c>
      <c r="D329" s="5">
        <v>5.8</v>
      </c>
      <c r="E329" s="5">
        <v>364.4</v>
      </c>
      <c r="F329" s="5">
        <v>376.6</v>
      </c>
      <c r="G329" s="6">
        <v>44960</v>
      </c>
      <c r="H329" s="5"/>
      <c r="I329" s="5"/>
      <c r="J329" s="5">
        <f t="shared" ref="J329:J342" si="41">F329-E329</f>
        <v>12.200000000000045</v>
      </c>
      <c r="K329" s="8" t="b">
        <f>E329=F318</f>
        <v>0</v>
      </c>
    </row>
    <row r="330" spans="1:11">
      <c r="A330" s="5" t="s">
        <v>140</v>
      </c>
      <c r="B330" s="6">
        <v>44961</v>
      </c>
      <c r="C330" s="7">
        <v>0.7</v>
      </c>
      <c r="D330" s="5">
        <v>8.2899999999999991</v>
      </c>
      <c r="E330" s="5">
        <v>376.6</v>
      </c>
      <c r="F330" s="5">
        <v>393.6</v>
      </c>
      <c r="G330" s="6">
        <v>44961</v>
      </c>
      <c r="H330" s="5"/>
      <c r="I330" s="5"/>
      <c r="J330" s="5">
        <f t="shared" si="41"/>
        <v>17</v>
      </c>
      <c r="K330" s="8" t="b">
        <f>E330=F329</f>
        <v>1</v>
      </c>
    </row>
    <row r="331" spans="1:11">
      <c r="A331" s="5" t="s">
        <v>140</v>
      </c>
      <c r="B331" s="6">
        <v>44962</v>
      </c>
      <c r="C331" s="7">
        <v>0.7</v>
      </c>
      <c r="D331" s="5">
        <v>8.2899999999999991</v>
      </c>
      <c r="E331" s="5">
        <v>393.6</v>
      </c>
      <c r="F331" s="5">
        <v>410.1</v>
      </c>
      <c r="G331" s="6">
        <v>44962</v>
      </c>
      <c r="H331" s="5"/>
      <c r="I331" s="5"/>
      <c r="J331" s="5">
        <f t="shared" si="41"/>
        <v>16.5</v>
      </c>
      <c r="K331" s="8" t="b">
        <f t="shared" ref="K331" si="42">E331=F330</f>
        <v>1</v>
      </c>
    </row>
    <row r="332" spans="1:11">
      <c r="A332" s="5" t="s">
        <v>140</v>
      </c>
      <c r="B332" s="6">
        <v>44963</v>
      </c>
      <c r="C332" s="7">
        <v>1</v>
      </c>
      <c r="D332" s="5">
        <v>5.8</v>
      </c>
      <c r="E332" s="5">
        <v>410.1</v>
      </c>
      <c r="F332" s="5">
        <v>421.9</v>
      </c>
      <c r="G332" s="6">
        <v>44963</v>
      </c>
      <c r="H332" s="5"/>
      <c r="I332" s="5"/>
      <c r="J332" s="5">
        <f t="shared" si="41"/>
        <v>11.799999999999955</v>
      </c>
      <c r="K332" s="8" t="b">
        <f t="shared" ref="K332:K342" si="43">E332=F331</f>
        <v>1</v>
      </c>
    </row>
    <row r="333" spans="1:11">
      <c r="A333" s="5" t="s">
        <v>140</v>
      </c>
      <c r="B333" s="6">
        <v>44966</v>
      </c>
      <c r="C333" s="7">
        <v>0.8</v>
      </c>
      <c r="D333" s="5">
        <v>7.34</v>
      </c>
      <c r="E333" s="5">
        <v>421.9</v>
      </c>
      <c r="F333" s="5">
        <v>436.4</v>
      </c>
      <c r="G333" s="6">
        <v>44966</v>
      </c>
      <c r="H333" s="5"/>
      <c r="I333" s="5"/>
      <c r="J333" s="5">
        <f t="shared" si="41"/>
        <v>14.5</v>
      </c>
      <c r="K333" s="8" t="b">
        <f t="shared" si="43"/>
        <v>1</v>
      </c>
    </row>
    <row r="334" spans="1:11">
      <c r="A334" s="5" t="s">
        <v>140</v>
      </c>
      <c r="B334" s="6">
        <v>44968</v>
      </c>
      <c r="C334" s="7">
        <v>0.7</v>
      </c>
      <c r="D334" s="5">
        <v>8.2899999999999991</v>
      </c>
      <c r="E334" s="5">
        <v>436.4</v>
      </c>
      <c r="F334" s="5">
        <v>453.4</v>
      </c>
      <c r="G334" s="6">
        <v>44968</v>
      </c>
      <c r="H334" s="5"/>
      <c r="I334" s="5"/>
      <c r="J334" s="5">
        <f t="shared" si="41"/>
        <v>17</v>
      </c>
      <c r="K334" s="8" t="b">
        <f t="shared" si="43"/>
        <v>1</v>
      </c>
    </row>
    <row r="335" spans="1:11">
      <c r="A335" s="5" t="s">
        <v>140</v>
      </c>
      <c r="B335" s="6">
        <v>44971</v>
      </c>
      <c r="C335" s="7">
        <v>0.7</v>
      </c>
      <c r="D335" s="5">
        <v>8.2899999999999991</v>
      </c>
      <c r="E335" s="5">
        <v>453.4</v>
      </c>
      <c r="F335" s="5">
        <v>463</v>
      </c>
      <c r="G335" s="6">
        <v>44971</v>
      </c>
      <c r="H335" s="5"/>
      <c r="I335" s="5"/>
      <c r="J335" s="5">
        <f t="shared" si="41"/>
        <v>9.6000000000000227</v>
      </c>
      <c r="K335" s="8" t="b">
        <f t="shared" si="43"/>
        <v>1</v>
      </c>
    </row>
    <row r="336" spans="1:11">
      <c r="A336" s="5" t="s">
        <v>140</v>
      </c>
      <c r="B336" s="6">
        <v>44974</v>
      </c>
      <c r="C336" s="7">
        <v>0.7</v>
      </c>
      <c r="D336" s="5">
        <v>8.2899999999999991</v>
      </c>
      <c r="E336" s="5">
        <v>463</v>
      </c>
      <c r="F336" s="5">
        <v>486.9</v>
      </c>
      <c r="G336" s="6">
        <v>44974</v>
      </c>
      <c r="H336" s="5"/>
      <c r="I336" s="5"/>
      <c r="J336" s="5">
        <f t="shared" si="41"/>
        <v>23.899999999999977</v>
      </c>
      <c r="K336" s="8" t="b">
        <f t="shared" si="43"/>
        <v>1</v>
      </c>
    </row>
    <row r="337" spans="1:11">
      <c r="A337" s="5" t="s">
        <v>140</v>
      </c>
      <c r="B337" s="6">
        <v>44977</v>
      </c>
      <c r="C337" s="7">
        <v>0.7</v>
      </c>
      <c r="D337" s="5">
        <v>8.2899999999999991</v>
      </c>
      <c r="E337" s="5">
        <v>486.9</v>
      </c>
      <c r="F337" s="5">
        <v>503.4</v>
      </c>
      <c r="G337" s="6">
        <v>44977</v>
      </c>
      <c r="H337" s="5"/>
      <c r="I337" s="5"/>
      <c r="J337" s="5">
        <f t="shared" si="41"/>
        <v>16.5</v>
      </c>
      <c r="K337" s="8" t="b">
        <f t="shared" si="43"/>
        <v>1</v>
      </c>
    </row>
    <row r="338" spans="1:11">
      <c r="A338" s="5" t="s">
        <v>140</v>
      </c>
      <c r="B338" s="6">
        <v>44980</v>
      </c>
      <c r="C338" s="7">
        <v>0.7</v>
      </c>
      <c r="D338" s="5">
        <v>8.2899999999999991</v>
      </c>
      <c r="E338" s="5">
        <v>503.4</v>
      </c>
      <c r="F338" s="5">
        <v>522.5</v>
      </c>
      <c r="G338" s="6">
        <v>44980</v>
      </c>
      <c r="H338" s="5"/>
      <c r="I338" s="5"/>
      <c r="J338" s="5">
        <f t="shared" si="41"/>
        <v>19.100000000000023</v>
      </c>
      <c r="K338" s="8" t="b">
        <f t="shared" si="43"/>
        <v>1</v>
      </c>
    </row>
    <row r="339" spans="1:11">
      <c r="A339" s="5" t="s">
        <v>140</v>
      </c>
      <c r="B339" s="6">
        <v>44987</v>
      </c>
      <c r="C339" s="7">
        <v>0.6</v>
      </c>
      <c r="D339" s="5">
        <v>9.67</v>
      </c>
      <c r="E339" s="5">
        <v>522.5</v>
      </c>
      <c r="F339" s="5">
        <v>541.6</v>
      </c>
      <c r="G339" s="6">
        <v>44987</v>
      </c>
      <c r="H339" s="5"/>
      <c r="I339" s="5"/>
      <c r="J339" s="5">
        <f t="shared" si="41"/>
        <v>19.100000000000023</v>
      </c>
      <c r="K339" s="8" t="b">
        <f t="shared" si="43"/>
        <v>1</v>
      </c>
    </row>
    <row r="340" spans="1:11">
      <c r="A340" s="5" t="s">
        <v>140</v>
      </c>
      <c r="B340" s="6">
        <v>44991</v>
      </c>
      <c r="C340" s="7">
        <v>0.7</v>
      </c>
      <c r="D340" s="5">
        <v>8.2899999999999991</v>
      </c>
      <c r="E340" s="5">
        <v>541.6</v>
      </c>
      <c r="F340" s="5">
        <v>558.20000000000005</v>
      </c>
      <c r="G340" s="6">
        <v>44991</v>
      </c>
      <c r="H340" s="5"/>
      <c r="I340" s="5"/>
      <c r="J340" s="5">
        <f t="shared" si="41"/>
        <v>16.600000000000023</v>
      </c>
      <c r="K340" s="8" t="b">
        <f t="shared" si="43"/>
        <v>1</v>
      </c>
    </row>
    <row r="341" spans="1:11">
      <c r="A341" s="5" t="s">
        <v>140</v>
      </c>
      <c r="B341" s="6">
        <v>44997</v>
      </c>
      <c r="C341" s="7">
        <v>0.7</v>
      </c>
      <c r="D341" s="5">
        <v>8.2899999999999991</v>
      </c>
      <c r="E341" s="5">
        <v>558.20000000000005</v>
      </c>
      <c r="F341" s="5">
        <v>574.9</v>
      </c>
      <c r="G341" s="6">
        <v>44997</v>
      </c>
      <c r="H341" s="5"/>
      <c r="I341" s="5"/>
      <c r="J341" s="5">
        <f t="shared" si="41"/>
        <v>16.699999999999932</v>
      </c>
      <c r="K341" s="8" t="b">
        <f t="shared" si="43"/>
        <v>1</v>
      </c>
    </row>
    <row r="342" spans="1:11">
      <c r="A342" s="5" t="s">
        <v>140</v>
      </c>
      <c r="B342" s="6">
        <v>45000</v>
      </c>
      <c r="C342" s="7">
        <v>0.7</v>
      </c>
      <c r="D342" s="5">
        <v>8.2899999999999991</v>
      </c>
      <c r="E342" s="5">
        <v>574.9</v>
      </c>
      <c r="F342" s="5">
        <v>591.9</v>
      </c>
      <c r="G342" s="6">
        <v>45000</v>
      </c>
      <c r="H342" s="5"/>
      <c r="I342" s="5"/>
      <c r="J342" s="5">
        <f t="shared" si="41"/>
        <v>17</v>
      </c>
      <c r="K342" s="8" t="b">
        <f t="shared" si="43"/>
        <v>1</v>
      </c>
    </row>
    <row r="343" spans="1:11">
      <c r="A343" s="5" t="s">
        <v>140</v>
      </c>
      <c r="B343" s="6">
        <v>45003</v>
      </c>
      <c r="C343" s="7">
        <v>0.6</v>
      </c>
      <c r="D343" s="5">
        <v>9.67</v>
      </c>
      <c r="E343" s="5">
        <v>591.9</v>
      </c>
      <c r="F343" s="5">
        <v>612.5</v>
      </c>
      <c r="G343" s="6">
        <v>45003</v>
      </c>
      <c r="H343" s="5"/>
      <c r="I343" s="5"/>
      <c r="J343" s="5">
        <f t="shared" ref="J343:J345" si="44">F343-E343</f>
        <v>20.600000000000023</v>
      </c>
      <c r="K343" s="8" t="b">
        <f t="shared" ref="K343:K356" si="45">E343=F342</f>
        <v>1</v>
      </c>
    </row>
    <row r="344" spans="1:11">
      <c r="A344" s="5" t="s">
        <v>140</v>
      </c>
      <c r="B344" s="6">
        <v>45006</v>
      </c>
      <c r="C344" s="7">
        <v>0.6</v>
      </c>
      <c r="D344" s="5">
        <v>9.67</v>
      </c>
      <c r="E344" s="5">
        <v>612.5</v>
      </c>
      <c r="F344" s="5">
        <v>634.20000000000005</v>
      </c>
      <c r="G344" s="6">
        <v>45006</v>
      </c>
      <c r="H344" s="5"/>
      <c r="I344" s="5"/>
      <c r="J344" s="5">
        <f t="shared" si="44"/>
        <v>21.700000000000045</v>
      </c>
      <c r="K344" s="8" t="b">
        <f t="shared" si="45"/>
        <v>1</v>
      </c>
    </row>
    <row r="345" spans="1:11">
      <c r="A345" s="5" t="s">
        <v>140</v>
      </c>
      <c r="B345" s="6">
        <v>45009</v>
      </c>
      <c r="C345" s="7">
        <v>1</v>
      </c>
      <c r="D345" s="5">
        <v>5.8</v>
      </c>
      <c r="E345" s="5">
        <v>634.20000000000005</v>
      </c>
      <c r="F345" s="5">
        <v>646.5</v>
      </c>
      <c r="G345" s="6">
        <v>45009</v>
      </c>
      <c r="H345" s="5"/>
      <c r="I345" s="5"/>
      <c r="J345" s="5">
        <f t="shared" si="44"/>
        <v>12.299999999999955</v>
      </c>
      <c r="K345" s="8" t="b">
        <f t="shared" si="45"/>
        <v>1</v>
      </c>
    </row>
    <row r="346" spans="1:11">
      <c r="A346" s="5" t="s">
        <v>140</v>
      </c>
      <c r="B346" s="6">
        <v>45012</v>
      </c>
      <c r="C346" s="7">
        <v>0.6</v>
      </c>
      <c r="D346" s="5">
        <v>9.67</v>
      </c>
      <c r="E346" s="5">
        <v>646.5</v>
      </c>
      <c r="F346" s="5">
        <v>666.1</v>
      </c>
      <c r="G346" s="6">
        <v>45012</v>
      </c>
      <c r="H346" s="5"/>
      <c r="I346" s="5"/>
      <c r="J346" s="5">
        <f t="shared" ref="J346:J348" si="46">F346-E346</f>
        <v>19.600000000000023</v>
      </c>
      <c r="K346" s="8" t="b">
        <f t="shared" si="45"/>
        <v>1</v>
      </c>
    </row>
    <row r="347" spans="1:11">
      <c r="A347" s="5" t="s">
        <v>140</v>
      </c>
      <c r="B347" s="6">
        <v>45015</v>
      </c>
      <c r="C347" s="7">
        <v>0.6</v>
      </c>
      <c r="D347" s="5">
        <v>9.67</v>
      </c>
      <c r="E347" s="5">
        <v>666.1</v>
      </c>
      <c r="F347" s="5">
        <v>686.2</v>
      </c>
      <c r="G347" s="6">
        <v>45015</v>
      </c>
      <c r="H347" s="5"/>
      <c r="I347" s="5"/>
      <c r="J347" s="5">
        <f t="shared" si="46"/>
        <v>20.100000000000023</v>
      </c>
      <c r="K347" s="8" t="b">
        <f t="shared" si="45"/>
        <v>1</v>
      </c>
    </row>
    <row r="348" spans="1:11">
      <c r="A348" s="5" t="s">
        <v>140</v>
      </c>
      <c r="B348" s="6">
        <v>45019</v>
      </c>
      <c r="C348" s="7">
        <v>0.6</v>
      </c>
      <c r="D348" s="5">
        <v>9.67</v>
      </c>
      <c r="E348" s="5">
        <v>686.2</v>
      </c>
      <c r="F348" s="5">
        <v>707</v>
      </c>
      <c r="G348" s="6">
        <v>45019</v>
      </c>
      <c r="H348" s="5"/>
      <c r="I348" s="5"/>
      <c r="J348" s="5">
        <f t="shared" si="46"/>
        <v>20.799999999999955</v>
      </c>
      <c r="K348" s="8" t="b">
        <f t="shared" si="45"/>
        <v>1</v>
      </c>
    </row>
    <row r="349" spans="1:11">
      <c r="A349" s="5" t="s">
        <v>140</v>
      </c>
      <c r="B349" s="6">
        <v>45021</v>
      </c>
      <c r="C349" s="7">
        <v>0.7</v>
      </c>
      <c r="D349" s="5">
        <v>8.2899999999999991</v>
      </c>
      <c r="E349" s="5">
        <v>707</v>
      </c>
      <c r="F349" s="5">
        <v>726</v>
      </c>
      <c r="G349" s="6">
        <v>45021</v>
      </c>
      <c r="H349" s="5"/>
      <c r="I349" s="5"/>
      <c r="J349" s="5">
        <f t="shared" ref="J349:J351" si="47">F349-E349</f>
        <v>19</v>
      </c>
      <c r="K349" s="8" t="b">
        <f t="shared" si="45"/>
        <v>1</v>
      </c>
    </row>
    <row r="350" spans="1:11">
      <c r="A350" s="5" t="s">
        <v>140</v>
      </c>
      <c r="B350" s="6">
        <v>45025</v>
      </c>
      <c r="C350" s="7">
        <v>0.6</v>
      </c>
      <c r="D350" s="5">
        <v>9.67</v>
      </c>
      <c r="E350" s="5">
        <v>726</v>
      </c>
      <c r="F350" s="5">
        <v>746.9</v>
      </c>
      <c r="G350" s="6">
        <v>45025</v>
      </c>
      <c r="H350" s="5"/>
      <c r="I350" s="5"/>
      <c r="J350" s="5">
        <f t="shared" si="47"/>
        <v>20.899999999999977</v>
      </c>
      <c r="K350" s="8" t="b">
        <f t="shared" si="45"/>
        <v>1</v>
      </c>
    </row>
    <row r="351" spans="1:11">
      <c r="A351" s="5" t="s">
        <v>140</v>
      </c>
      <c r="B351" s="6">
        <v>45028</v>
      </c>
      <c r="C351" s="7">
        <v>0.8</v>
      </c>
      <c r="D351" s="5">
        <v>7.34</v>
      </c>
      <c r="E351" s="5">
        <v>746.9</v>
      </c>
      <c r="F351" s="5">
        <v>761.8</v>
      </c>
      <c r="G351" s="6">
        <v>45028</v>
      </c>
      <c r="H351" s="5"/>
      <c r="I351" s="5"/>
      <c r="J351" s="5">
        <f t="shared" si="47"/>
        <v>14.899999999999977</v>
      </c>
      <c r="K351" s="8" t="b">
        <f t="shared" si="45"/>
        <v>1</v>
      </c>
    </row>
    <row r="352" spans="1:11">
      <c r="A352" s="5" t="s">
        <v>140</v>
      </c>
      <c r="B352" s="6">
        <v>45031</v>
      </c>
      <c r="C352" s="7">
        <v>0.6</v>
      </c>
      <c r="D352" s="5">
        <v>9.67</v>
      </c>
      <c r="E352" s="5">
        <v>761.8</v>
      </c>
      <c r="F352" s="5">
        <v>783.3</v>
      </c>
      <c r="G352" s="6">
        <v>45031</v>
      </c>
      <c r="H352" s="5"/>
      <c r="I352" s="5"/>
      <c r="J352" s="5">
        <f t="shared" ref="J352:J354" si="48">F352-E352</f>
        <v>21.5</v>
      </c>
      <c r="K352" s="8" t="b">
        <f t="shared" si="45"/>
        <v>1</v>
      </c>
    </row>
    <row r="353" spans="1:11">
      <c r="A353" s="5" t="s">
        <v>140</v>
      </c>
      <c r="B353" s="6">
        <v>45034</v>
      </c>
      <c r="C353" s="7">
        <v>0.8</v>
      </c>
      <c r="D353" s="5">
        <v>7.34</v>
      </c>
      <c r="E353" s="5">
        <v>783.3</v>
      </c>
      <c r="F353" s="5">
        <v>798.6</v>
      </c>
      <c r="G353" s="6">
        <v>45034</v>
      </c>
      <c r="H353" s="5"/>
      <c r="I353" s="5"/>
      <c r="J353" s="5">
        <f t="shared" si="48"/>
        <v>15.300000000000068</v>
      </c>
      <c r="K353" s="8" t="b">
        <f t="shared" si="45"/>
        <v>1</v>
      </c>
    </row>
    <row r="354" spans="1:11">
      <c r="A354" s="5" t="s">
        <v>140</v>
      </c>
      <c r="B354" s="6">
        <v>45037</v>
      </c>
      <c r="C354" s="7">
        <v>0.7</v>
      </c>
      <c r="D354" s="5">
        <v>8.2899999999999991</v>
      </c>
      <c r="E354" s="5">
        <v>798.6</v>
      </c>
      <c r="F354" s="5">
        <v>810.7</v>
      </c>
      <c r="G354" s="6">
        <v>45037</v>
      </c>
      <c r="H354" s="5"/>
      <c r="I354" s="5"/>
      <c r="J354" s="5">
        <f t="shared" si="48"/>
        <v>12.100000000000023</v>
      </c>
      <c r="K354" s="8" t="b">
        <f t="shared" si="45"/>
        <v>1</v>
      </c>
    </row>
    <row r="355" spans="1:11">
      <c r="A355" s="5" t="s">
        <v>140</v>
      </c>
      <c r="B355" s="6">
        <v>45046</v>
      </c>
      <c r="C355" s="7">
        <v>0.8</v>
      </c>
      <c r="D355" s="5">
        <v>7.34</v>
      </c>
      <c r="E355" s="5">
        <v>810.7</v>
      </c>
      <c r="F355" s="5">
        <v>825.1</v>
      </c>
      <c r="G355" s="6">
        <v>45046</v>
      </c>
      <c r="H355" s="5"/>
      <c r="I355" s="5"/>
      <c r="J355" s="5">
        <f t="shared" ref="J355:J357" si="49">F355-E355</f>
        <v>14.399999999999977</v>
      </c>
      <c r="K355" s="8" t="b">
        <f t="shared" si="45"/>
        <v>1</v>
      </c>
    </row>
    <row r="356" spans="1:11">
      <c r="A356" s="25" t="s">
        <v>140</v>
      </c>
      <c r="B356" s="26">
        <v>45049</v>
      </c>
      <c r="C356" s="27">
        <v>1</v>
      </c>
      <c r="D356" s="25">
        <v>5.8</v>
      </c>
      <c r="E356" s="25">
        <v>825.1</v>
      </c>
      <c r="F356" s="25">
        <v>840.1</v>
      </c>
      <c r="G356" s="26">
        <v>45049</v>
      </c>
      <c r="H356" s="25"/>
      <c r="I356" s="25"/>
      <c r="J356" s="25">
        <f t="shared" si="49"/>
        <v>15</v>
      </c>
      <c r="K356" s="8" t="b">
        <f t="shared" si="45"/>
        <v>1</v>
      </c>
    </row>
    <row r="357" spans="1:11">
      <c r="A357" s="5" t="s">
        <v>140</v>
      </c>
      <c r="B357" s="6">
        <v>45050</v>
      </c>
      <c r="C357" s="7">
        <v>0.7</v>
      </c>
      <c r="D357" s="5">
        <v>8.2899999999999991</v>
      </c>
      <c r="E357" s="5">
        <v>840.1</v>
      </c>
      <c r="F357" s="5">
        <v>856.8</v>
      </c>
      <c r="G357" s="6">
        <v>45050</v>
      </c>
      <c r="H357" s="5"/>
      <c r="I357" s="5"/>
      <c r="J357" s="5">
        <f t="shared" si="49"/>
        <v>16.699999999999932</v>
      </c>
      <c r="K357" s="8" t="b">
        <f t="shared" ref="K357:K365" si="50">E357=F356</f>
        <v>1</v>
      </c>
    </row>
    <row r="358" spans="1:11">
      <c r="A358" s="5" t="s">
        <v>140</v>
      </c>
      <c r="B358" s="6">
        <v>45055</v>
      </c>
      <c r="C358" s="7">
        <v>0.45</v>
      </c>
      <c r="D358" s="5">
        <v>12.89</v>
      </c>
      <c r="E358" s="5">
        <v>856.8</v>
      </c>
      <c r="F358" s="5">
        <v>869.8</v>
      </c>
      <c r="G358" s="6">
        <v>45055</v>
      </c>
      <c r="H358" s="5"/>
      <c r="I358" s="5"/>
      <c r="J358" s="5">
        <f t="shared" ref="J358:J360" si="51">F358-E358</f>
        <v>13</v>
      </c>
      <c r="K358" s="8" t="b">
        <f t="shared" si="50"/>
        <v>1</v>
      </c>
    </row>
    <row r="359" spans="1:11">
      <c r="A359" s="5" t="s">
        <v>140</v>
      </c>
      <c r="B359" s="6">
        <v>45056</v>
      </c>
      <c r="C359" s="7">
        <v>0.45</v>
      </c>
      <c r="D359" s="5">
        <v>12.89</v>
      </c>
      <c r="E359" s="5">
        <v>869.8</v>
      </c>
      <c r="F359" s="5">
        <v>884.2</v>
      </c>
      <c r="G359" s="6">
        <v>45056</v>
      </c>
      <c r="H359" s="5"/>
      <c r="I359" s="5"/>
      <c r="J359" s="5">
        <f t="shared" si="51"/>
        <v>14.400000000000091</v>
      </c>
      <c r="K359" s="8" t="b">
        <f t="shared" si="50"/>
        <v>1</v>
      </c>
    </row>
    <row r="360" spans="1:11">
      <c r="A360" s="5" t="s">
        <v>140</v>
      </c>
      <c r="B360" s="6">
        <v>45061</v>
      </c>
      <c r="C360" s="7">
        <v>0.45</v>
      </c>
      <c r="D360" s="5">
        <v>12.89</v>
      </c>
      <c r="E360" s="5">
        <v>884.2</v>
      </c>
      <c r="F360" s="5">
        <v>897.1</v>
      </c>
      <c r="G360" s="6">
        <v>45061</v>
      </c>
      <c r="H360" s="5"/>
      <c r="I360" s="5"/>
      <c r="J360" s="5">
        <f t="shared" si="51"/>
        <v>12.899999999999977</v>
      </c>
      <c r="K360" s="8" t="b">
        <f t="shared" si="50"/>
        <v>1</v>
      </c>
    </row>
    <row r="361" spans="1:11">
      <c r="A361" s="5" t="s">
        <v>140</v>
      </c>
      <c r="B361" s="6">
        <v>45062</v>
      </c>
      <c r="C361" s="7">
        <v>0.45</v>
      </c>
      <c r="D361" s="5">
        <v>12.89</v>
      </c>
      <c r="E361" s="5">
        <v>897.1</v>
      </c>
      <c r="F361" s="5">
        <v>910.2</v>
      </c>
      <c r="G361" s="6">
        <v>45062</v>
      </c>
      <c r="H361" s="5"/>
      <c r="I361" s="5"/>
      <c r="J361" s="5">
        <f t="shared" ref="J361:J363" si="52">F361-E361</f>
        <v>13.100000000000023</v>
      </c>
      <c r="K361" s="8" t="b">
        <f t="shared" si="50"/>
        <v>1</v>
      </c>
    </row>
    <row r="362" spans="1:11">
      <c r="A362" s="5" t="s">
        <v>140</v>
      </c>
      <c r="B362" s="6">
        <v>45067</v>
      </c>
      <c r="C362" s="7">
        <v>0.6</v>
      </c>
      <c r="D362" s="5">
        <v>9.67</v>
      </c>
      <c r="E362" s="5">
        <v>910.2</v>
      </c>
      <c r="F362" s="5">
        <v>929.8</v>
      </c>
      <c r="G362" s="6">
        <v>45067</v>
      </c>
      <c r="H362" s="5"/>
      <c r="I362" s="5"/>
      <c r="J362" s="5">
        <f t="shared" si="52"/>
        <v>19.599999999999909</v>
      </c>
      <c r="K362" s="8" t="b">
        <f t="shared" si="50"/>
        <v>1</v>
      </c>
    </row>
    <row r="363" spans="1:11">
      <c r="A363" s="5" t="s">
        <v>140</v>
      </c>
      <c r="B363" s="6" t="s">
        <v>137</v>
      </c>
      <c r="C363" s="7">
        <v>0.45</v>
      </c>
      <c r="D363" s="5">
        <v>12.89</v>
      </c>
      <c r="E363" s="5">
        <v>929.8</v>
      </c>
      <c r="F363" s="5">
        <v>942.7</v>
      </c>
      <c r="G363" s="6" t="s">
        <v>137</v>
      </c>
      <c r="H363" s="5"/>
      <c r="I363" s="5"/>
      <c r="J363" s="5">
        <f t="shared" si="52"/>
        <v>12.900000000000091</v>
      </c>
      <c r="K363" s="8" t="b">
        <f t="shared" si="50"/>
        <v>1</v>
      </c>
    </row>
    <row r="364" spans="1:11">
      <c r="A364" s="5" t="s">
        <v>140</v>
      </c>
      <c r="B364" s="6" t="s">
        <v>138</v>
      </c>
      <c r="C364" s="7">
        <v>0.45</v>
      </c>
      <c r="D364" s="5">
        <v>12.89</v>
      </c>
      <c r="E364" s="5">
        <v>942.7</v>
      </c>
      <c r="F364" s="5">
        <v>956.1</v>
      </c>
      <c r="G364" s="6" t="s">
        <v>138</v>
      </c>
      <c r="H364" s="5"/>
      <c r="I364" s="5"/>
      <c r="J364" s="5">
        <f t="shared" ref="J364:J372" si="53">F364-E364</f>
        <v>13.399999999999977</v>
      </c>
      <c r="K364" s="8" t="b">
        <f t="shared" si="50"/>
        <v>1</v>
      </c>
    </row>
    <row r="365" spans="1:11">
      <c r="A365" s="5" t="s">
        <v>140</v>
      </c>
      <c r="B365" s="6">
        <v>45079</v>
      </c>
      <c r="C365" s="7">
        <v>0.45</v>
      </c>
      <c r="D365" s="5">
        <v>12.89</v>
      </c>
      <c r="E365" s="5">
        <v>956.1</v>
      </c>
      <c r="F365" s="5">
        <v>969.6</v>
      </c>
      <c r="G365" s="6">
        <v>45079</v>
      </c>
      <c r="H365" s="5"/>
      <c r="I365" s="5"/>
      <c r="J365" s="5">
        <f t="shared" si="53"/>
        <v>13.5</v>
      </c>
      <c r="K365" s="8" t="b">
        <f t="shared" si="50"/>
        <v>1</v>
      </c>
    </row>
    <row r="366" spans="1:11">
      <c r="A366" s="5" t="s">
        <v>140</v>
      </c>
      <c r="B366" s="6">
        <v>45080</v>
      </c>
      <c r="C366" s="7">
        <v>0.45</v>
      </c>
      <c r="D366" s="5">
        <v>12.89</v>
      </c>
      <c r="E366" s="5">
        <v>969.6</v>
      </c>
      <c r="F366" s="5">
        <v>1011.5</v>
      </c>
      <c r="G366" s="6">
        <v>45080</v>
      </c>
      <c r="H366" s="5"/>
      <c r="I366" s="5"/>
      <c r="J366" s="5">
        <f t="shared" si="53"/>
        <v>41.899999999999977</v>
      </c>
      <c r="K366" s="8" t="b">
        <f t="shared" ref="K366:K372" si="54">E366=F365</f>
        <v>1</v>
      </c>
    </row>
    <row r="367" spans="1:11">
      <c r="A367" s="5" t="s">
        <v>140</v>
      </c>
      <c r="B367" s="6">
        <v>45094</v>
      </c>
      <c r="C367" s="7">
        <v>0.5</v>
      </c>
      <c r="D367" s="5">
        <v>11.6</v>
      </c>
      <c r="E367" s="5">
        <v>1011.5</v>
      </c>
      <c r="F367" s="5">
        <v>1023.9</v>
      </c>
      <c r="G367" s="6">
        <v>45094</v>
      </c>
      <c r="H367" s="5"/>
      <c r="I367" s="5"/>
      <c r="J367" s="5">
        <f t="shared" si="53"/>
        <v>12.399999999999977</v>
      </c>
      <c r="K367" s="8" t="b">
        <f t="shared" si="54"/>
        <v>1</v>
      </c>
    </row>
    <row r="368" spans="1:11">
      <c r="A368" s="5" t="s">
        <v>140</v>
      </c>
      <c r="B368" s="6">
        <v>45095</v>
      </c>
      <c r="C368" s="7">
        <v>0.5</v>
      </c>
      <c r="D368" s="5">
        <v>11.6</v>
      </c>
      <c r="E368" s="5">
        <v>1023.9</v>
      </c>
      <c r="F368" s="5">
        <v>1035.9000000000001</v>
      </c>
      <c r="G368" s="6">
        <v>45095</v>
      </c>
      <c r="H368" s="5"/>
      <c r="I368" s="5"/>
      <c r="J368" s="5">
        <f t="shared" si="53"/>
        <v>12.000000000000114</v>
      </c>
      <c r="K368" s="8" t="b">
        <f t="shared" si="54"/>
        <v>1</v>
      </c>
    </row>
    <row r="369" spans="1:11">
      <c r="A369" s="5" t="s">
        <v>140</v>
      </c>
      <c r="B369" s="6">
        <v>45098</v>
      </c>
      <c r="C369" s="7">
        <v>0.6</v>
      </c>
      <c r="D369" s="5">
        <v>9.67</v>
      </c>
      <c r="E369" s="5">
        <v>1035.9000000000001</v>
      </c>
      <c r="F369" s="5">
        <v>1055.3</v>
      </c>
      <c r="G369" s="6">
        <v>45098</v>
      </c>
      <c r="H369" s="5"/>
      <c r="I369" s="5"/>
      <c r="J369" s="5">
        <f t="shared" si="53"/>
        <v>19.399999999999864</v>
      </c>
      <c r="K369" s="8" t="b">
        <f t="shared" si="54"/>
        <v>1</v>
      </c>
    </row>
    <row r="370" spans="1:11">
      <c r="A370" s="5" t="s">
        <v>140</v>
      </c>
      <c r="B370" s="6">
        <v>45101</v>
      </c>
      <c r="C370" s="7">
        <v>0.6</v>
      </c>
      <c r="D370" s="5">
        <v>9.67</v>
      </c>
      <c r="E370" s="5">
        <v>1055.3</v>
      </c>
      <c r="F370" s="5">
        <v>1074.5999999999999</v>
      </c>
      <c r="G370" s="6">
        <v>45101</v>
      </c>
      <c r="H370" s="5"/>
      <c r="I370" s="5"/>
      <c r="J370" s="5">
        <f t="shared" si="53"/>
        <v>19.299999999999955</v>
      </c>
      <c r="K370" s="8" t="b">
        <f t="shared" si="54"/>
        <v>1</v>
      </c>
    </row>
    <row r="371" spans="1:11">
      <c r="A371" s="5" t="s">
        <v>140</v>
      </c>
      <c r="B371" s="6">
        <v>45105</v>
      </c>
      <c r="C371" s="7">
        <v>0.6</v>
      </c>
      <c r="D371" s="5">
        <v>9.67</v>
      </c>
      <c r="E371" s="5">
        <v>1074.5999999999999</v>
      </c>
      <c r="F371" s="5">
        <v>1094.5</v>
      </c>
      <c r="G371" s="6">
        <v>45105</v>
      </c>
      <c r="H371" s="5"/>
      <c r="I371" s="5"/>
      <c r="J371" s="5">
        <f t="shared" si="53"/>
        <v>19.900000000000091</v>
      </c>
      <c r="K371" s="8" t="b">
        <f t="shared" si="54"/>
        <v>1</v>
      </c>
    </row>
    <row r="372" spans="1:11">
      <c r="A372" s="5" t="s">
        <v>140</v>
      </c>
      <c r="B372" s="6">
        <v>45108</v>
      </c>
      <c r="C372" s="7">
        <v>0.6</v>
      </c>
      <c r="D372" s="5">
        <v>9.67</v>
      </c>
      <c r="E372" s="5">
        <v>1094.5</v>
      </c>
      <c r="F372" s="5">
        <v>1113.8</v>
      </c>
      <c r="G372" s="6">
        <v>45108</v>
      </c>
      <c r="H372" s="5"/>
      <c r="I372" s="5"/>
      <c r="J372" s="5">
        <f t="shared" si="53"/>
        <v>19.299999999999955</v>
      </c>
      <c r="K372" s="8" t="b">
        <f t="shared" si="54"/>
        <v>1</v>
      </c>
    </row>
    <row r="373" spans="1:11">
      <c r="A373" s="11"/>
      <c r="B373" s="12"/>
      <c r="C373" s="13"/>
      <c r="D373" s="15"/>
      <c r="E373" s="15"/>
      <c r="F373" s="15"/>
      <c r="G373" s="12"/>
      <c r="H373" s="15"/>
      <c r="I373" s="15"/>
      <c r="J373" s="15"/>
      <c r="K373" s="16"/>
    </row>
    <row r="374" spans="1:11" ht="26.25">
      <c r="A374" s="181" t="s">
        <v>139</v>
      </c>
      <c r="B374" s="182"/>
      <c r="C374" s="182"/>
      <c r="D374" s="182"/>
      <c r="E374" s="182"/>
      <c r="F374" s="182"/>
      <c r="G374" s="182"/>
      <c r="H374" s="182"/>
      <c r="I374" s="182"/>
      <c r="J374" s="182"/>
      <c r="K374" s="183"/>
    </row>
    <row r="375" spans="1:11" ht="26.25">
      <c r="A375" s="181" t="s">
        <v>19</v>
      </c>
      <c r="B375" s="182"/>
      <c r="C375" s="182"/>
      <c r="D375" s="182"/>
      <c r="E375" s="182"/>
      <c r="F375" s="182"/>
      <c r="G375" s="182"/>
      <c r="H375" s="182"/>
      <c r="I375" s="182"/>
      <c r="J375" s="182"/>
      <c r="K375" s="183"/>
    </row>
    <row r="376" spans="1:11" ht="15.75" thickBot="1"/>
    <row r="377" spans="1:11" ht="15.75" thickBot="1">
      <c r="A377" s="132" t="s">
        <v>2</v>
      </c>
      <c r="B377" s="133"/>
      <c r="C377" s="133"/>
      <c r="D377" s="133"/>
      <c r="E377" s="133"/>
      <c r="F377" s="133"/>
      <c r="G377" s="133"/>
      <c r="H377" s="133"/>
      <c r="I377" s="133"/>
      <c r="J377" s="133"/>
      <c r="K377" s="134"/>
    </row>
    <row r="379" spans="1:11" ht="18.75">
      <c r="A379" s="1" t="s">
        <v>3</v>
      </c>
      <c r="B379" s="1"/>
      <c r="C379" s="1"/>
      <c r="D379" s="1"/>
      <c r="E379" s="1"/>
      <c r="F379" s="1"/>
      <c r="G379" s="1"/>
      <c r="H379" s="1"/>
      <c r="I379" s="1"/>
    </row>
    <row r="380" spans="1:11" ht="30">
      <c r="A380" s="32" t="s">
        <v>4</v>
      </c>
      <c r="B380" s="32" t="s">
        <v>5</v>
      </c>
      <c r="C380" s="32" t="s">
        <v>6</v>
      </c>
      <c r="D380" s="32" t="s">
        <v>7</v>
      </c>
      <c r="E380" s="32" t="s">
        <v>8</v>
      </c>
      <c r="F380" s="32" t="s">
        <v>9</v>
      </c>
      <c r="G380" s="32" t="s">
        <v>10</v>
      </c>
      <c r="H380" s="32" t="s">
        <v>21</v>
      </c>
      <c r="I380" s="32" t="s">
        <v>22</v>
      </c>
      <c r="J380" s="32" t="s">
        <v>11</v>
      </c>
      <c r="K380" s="32" t="s">
        <v>12</v>
      </c>
    </row>
    <row r="381" spans="1:11">
      <c r="A381" s="5" t="s">
        <v>140</v>
      </c>
      <c r="B381" s="6">
        <v>45193</v>
      </c>
      <c r="C381" s="7">
        <v>0.5</v>
      </c>
      <c r="D381" s="5">
        <v>11.6</v>
      </c>
      <c r="E381" s="5">
        <v>1111.3</v>
      </c>
      <c r="F381" s="5">
        <v>1137.4000000000001</v>
      </c>
      <c r="G381" s="6">
        <v>45193</v>
      </c>
      <c r="H381" s="5"/>
      <c r="I381" s="5"/>
      <c r="J381" s="5">
        <f t="shared" ref="J381:J390" si="55">F381-E381</f>
        <v>26.100000000000136</v>
      </c>
      <c r="K381" s="8" t="b">
        <f t="shared" ref="K381:K415" si="56">E381=F380</f>
        <v>0</v>
      </c>
    </row>
    <row r="382" spans="1:11">
      <c r="A382" s="5" t="s">
        <v>140</v>
      </c>
      <c r="B382" s="6">
        <v>45291</v>
      </c>
      <c r="C382" s="7">
        <v>0.6</v>
      </c>
      <c r="D382" s="5">
        <v>9.67</v>
      </c>
      <c r="E382" s="5">
        <v>0</v>
      </c>
      <c r="F382" s="5">
        <v>19.600000000000001</v>
      </c>
      <c r="G382" s="6">
        <v>45291</v>
      </c>
      <c r="H382" s="5"/>
      <c r="I382" s="5"/>
      <c r="J382" s="5">
        <f t="shared" si="55"/>
        <v>19.600000000000001</v>
      </c>
      <c r="K382" s="8" t="b">
        <f t="shared" si="56"/>
        <v>0</v>
      </c>
    </row>
    <row r="383" spans="1:11">
      <c r="A383" s="5" t="s">
        <v>140</v>
      </c>
      <c r="B383" s="6">
        <v>45292</v>
      </c>
      <c r="C383" s="7">
        <v>1</v>
      </c>
      <c r="D383" s="5">
        <v>5.8</v>
      </c>
      <c r="E383" s="5">
        <v>19.600000000000001</v>
      </c>
      <c r="F383" s="5">
        <v>30.3</v>
      </c>
      <c r="G383" s="6">
        <v>45292</v>
      </c>
      <c r="H383" s="5"/>
      <c r="I383" s="5"/>
      <c r="J383" s="5">
        <f t="shared" si="55"/>
        <v>10.7</v>
      </c>
      <c r="K383" s="8" t="b">
        <f t="shared" si="56"/>
        <v>1</v>
      </c>
    </row>
    <row r="384" spans="1:11">
      <c r="A384" s="5" t="s">
        <v>140</v>
      </c>
      <c r="B384" s="6">
        <v>45293</v>
      </c>
      <c r="C384" s="7">
        <v>0.7</v>
      </c>
      <c r="D384" s="5">
        <v>8.2899999999999991</v>
      </c>
      <c r="E384" s="5">
        <v>30.3</v>
      </c>
      <c r="F384" s="5">
        <v>47.9</v>
      </c>
      <c r="G384" s="6">
        <v>45293</v>
      </c>
      <c r="H384" s="5"/>
      <c r="I384" s="5"/>
      <c r="J384" s="5">
        <f t="shared" si="55"/>
        <v>17.599999999999998</v>
      </c>
      <c r="K384" s="8" t="b">
        <f t="shared" si="56"/>
        <v>1</v>
      </c>
    </row>
    <row r="385" spans="1:11">
      <c r="A385" s="5" t="s">
        <v>140</v>
      </c>
      <c r="B385" s="6">
        <v>45302</v>
      </c>
      <c r="C385" s="7">
        <v>1</v>
      </c>
      <c r="D385" s="5">
        <v>5.8</v>
      </c>
      <c r="E385" s="5">
        <v>47.9</v>
      </c>
      <c r="F385" s="5">
        <v>59.2</v>
      </c>
      <c r="G385" s="6">
        <v>45302</v>
      </c>
      <c r="H385" s="5"/>
      <c r="I385" s="5"/>
      <c r="J385" s="5">
        <f t="shared" si="55"/>
        <v>11.300000000000004</v>
      </c>
      <c r="K385" s="8" t="b">
        <f t="shared" si="56"/>
        <v>1</v>
      </c>
    </row>
    <row r="386" spans="1:11">
      <c r="A386" s="5" t="s">
        <v>140</v>
      </c>
      <c r="B386" s="6">
        <v>45303</v>
      </c>
      <c r="C386" s="7">
        <v>1</v>
      </c>
      <c r="D386" s="5">
        <v>5.8</v>
      </c>
      <c r="E386" s="5">
        <v>59.2</v>
      </c>
      <c r="F386" s="5">
        <v>71.7</v>
      </c>
      <c r="G386" s="6">
        <v>45303</v>
      </c>
      <c r="H386" s="5"/>
      <c r="I386" s="5"/>
      <c r="J386" s="5">
        <f t="shared" si="55"/>
        <v>12.5</v>
      </c>
      <c r="K386" s="8" t="b">
        <f t="shared" si="56"/>
        <v>1</v>
      </c>
    </row>
    <row r="387" spans="1:11">
      <c r="A387" s="5" t="s">
        <v>140</v>
      </c>
      <c r="B387" s="6">
        <v>45304</v>
      </c>
      <c r="C387" s="7">
        <v>1</v>
      </c>
      <c r="D387" s="5">
        <v>5.8</v>
      </c>
      <c r="E387" s="5">
        <v>71.7</v>
      </c>
      <c r="F387" s="5">
        <v>83.3</v>
      </c>
      <c r="G387" s="6">
        <v>45304</v>
      </c>
      <c r="H387" s="5"/>
      <c r="I387" s="5"/>
      <c r="J387" s="5">
        <f t="shared" si="55"/>
        <v>11.599999999999994</v>
      </c>
      <c r="K387" s="8" t="b">
        <f t="shared" si="56"/>
        <v>1</v>
      </c>
    </row>
    <row r="388" spans="1:11">
      <c r="A388" s="5" t="s">
        <v>140</v>
      </c>
      <c r="B388" s="6">
        <v>45305</v>
      </c>
      <c r="C388" s="7">
        <v>1</v>
      </c>
      <c r="D388" s="5">
        <v>5.8</v>
      </c>
      <c r="E388" s="5">
        <v>83.6</v>
      </c>
      <c r="F388" s="5">
        <v>94.9</v>
      </c>
      <c r="G388" s="6">
        <v>45305</v>
      </c>
      <c r="H388" s="5"/>
      <c r="I388" s="5"/>
      <c r="J388" s="5">
        <f t="shared" si="55"/>
        <v>11.300000000000011</v>
      </c>
      <c r="K388" s="8" t="b">
        <f t="shared" si="56"/>
        <v>0</v>
      </c>
    </row>
    <row r="389" spans="1:11">
      <c r="A389" s="5" t="s">
        <v>140</v>
      </c>
      <c r="B389" s="6">
        <v>45308</v>
      </c>
      <c r="C389" s="7">
        <v>1</v>
      </c>
      <c r="D389" s="5">
        <v>5.8</v>
      </c>
      <c r="E389" s="5">
        <v>94.9</v>
      </c>
      <c r="F389" s="5">
        <v>106.5</v>
      </c>
      <c r="G389" s="6">
        <v>45308</v>
      </c>
      <c r="H389" s="5"/>
      <c r="I389" s="5"/>
      <c r="J389" s="5">
        <f t="shared" si="55"/>
        <v>11.599999999999994</v>
      </c>
      <c r="K389" s="8" t="b">
        <f t="shared" si="56"/>
        <v>1</v>
      </c>
    </row>
    <row r="390" spans="1:11">
      <c r="A390" s="5" t="s">
        <v>140</v>
      </c>
      <c r="B390" s="6">
        <v>45315</v>
      </c>
      <c r="C390" s="7">
        <v>1</v>
      </c>
      <c r="D390" s="5">
        <v>5.8</v>
      </c>
      <c r="E390" s="5">
        <v>106.5</v>
      </c>
      <c r="F390" s="5">
        <v>118.3</v>
      </c>
      <c r="G390" s="6">
        <v>45315</v>
      </c>
      <c r="H390" s="5"/>
      <c r="I390" s="5"/>
      <c r="J390" s="5">
        <f t="shared" si="55"/>
        <v>11.799999999999997</v>
      </c>
      <c r="K390" s="8" t="b">
        <f t="shared" si="56"/>
        <v>1</v>
      </c>
    </row>
    <row r="391" spans="1:11">
      <c r="A391" s="80" t="s">
        <v>140</v>
      </c>
      <c r="B391" s="81">
        <v>45317</v>
      </c>
      <c r="C391" s="82">
        <v>1</v>
      </c>
      <c r="D391" s="80">
        <v>5.8</v>
      </c>
      <c r="E391" s="80">
        <v>118.3</v>
      </c>
      <c r="F391" s="80">
        <v>130</v>
      </c>
      <c r="G391" s="81">
        <v>45317</v>
      </c>
      <c r="H391" s="80"/>
      <c r="I391" s="80"/>
      <c r="J391" s="80">
        <f t="shared" ref="J391:J415" si="57">F391-E391</f>
        <v>11.700000000000003</v>
      </c>
      <c r="K391" s="8" t="b">
        <f t="shared" si="56"/>
        <v>1</v>
      </c>
    </row>
    <row r="392" spans="1:11">
      <c r="A392" s="5" t="s">
        <v>140</v>
      </c>
      <c r="B392" s="6">
        <v>45329</v>
      </c>
      <c r="C392" s="7">
        <v>0.4</v>
      </c>
      <c r="D392" s="5">
        <v>8.2899999999999991</v>
      </c>
      <c r="E392" s="5">
        <v>130</v>
      </c>
      <c r="F392" s="5">
        <v>144.5</v>
      </c>
      <c r="G392" s="6">
        <v>45329</v>
      </c>
      <c r="H392" s="5"/>
      <c r="I392" s="5"/>
      <c r="J392" s="5">
        <f t="shared" si="57"/>
        <v>14.5</v>
      </c>
      <c r="K392" s="8" t="b">
        <f t="shared" si="56"/>
        <v>1</v>
      </c>
    </row>
    <row r="393" spans="1:11">
      <c r="A393" s="5" t="s">
        <v>140</v>
      </c>
      <c r="B393" s="6">
        <v>45330</v>
      </c>
      <c r="C393" s="7">
        <v>0.4</v>
      </c>
      <c r="D393" s="5">
        <v>8.2899999999999991</v>
      </c>
      <c r="E393" s="5">
        <v>144.5</v>
      </c>
      <c r="F393" s="5">
        <v>159</v>
      </c>
      <c r="G393" s="6">
        <v>45330</v>
      </c>
      <c r="H393" s="5"/>
      <c r="I393" s="5"/>
      <c r="J393" s="5">
        <f t="shared" si="57"/>
        <v>14.5</v>
      </c>
      <c r="K393" s="8" t="b">
        <f t="shared" si="56"/>
        <v>1</v>
      </c>
    </row>
    <row r="394" spans="1:11">
      <c r="A394" s="5" t="s">
        <v>140</v>
      </c>
      <c r="B394" s="6">
        <v>45347</v>
      </c>
      <c r="C394" s="7">
        <v>1</v>
      </c>
      <c r="D394" s="5">
        <v>5.8</v>
      </c>
      <c r="E394" s="5">
        <v>159</v>
      </c>
      <c r="F394" s="5">
        <v>171.6</v>
      </c>
      <c r="G394" s="6">
        <v>45347</v>
      </c>
      <c r="H394" s="5"/>
      <c r="I394" s="5"/>
      <c r="J394" s="5">
        <f t="shared" si="57"/>
        <v>12.599999999999994</v>
      </c>
      <c r="K394" s="8" t="b">
        <f t="shared" si="56"/>
        <v>1</v>
      </c>
    </row>
    <row r="395" spans="1:11">
      <c r="A395" s="5" t="s">
        <v>140</v>
      </c>
      <c r="B395" s="6">
        <v>45349</v>
      </c>
      <c r="C395" s="7">
        <v>1</v>
      </c>
      <c r="D395" s="5">
        <v>5.8</v>
      </c>
      <c r="E395" s="5">
        <v>171.6</v>
      </c>
      <c r="F395" s="5">
        <v>184.3</v>
      </c>
      <c r="G395" s="6">
        <v>45349</v>
      </c>
      <c r="H395" s="5"/>
      <c r="I395" s="5"/>
      <c r="J395" s="5">
        <f t="shared" si="57"/>
        <v>12.700000000000017</v>
      </c>
      <c r="K395" s="8" t="b">
        <f t="shared" si="56"/>
        <v>1</v>
      </c>
    </row>
    <row r="396" spans="1:11">
      <c r="A396" s="5" t="s">
        <v>140</v>
      </c>
      <c r="B396" s="6">
        <v>45350</v>
      </c>
      <c r="C396" s="7">
        <v>1</v>
      </c>
      <c r="D396" s="5">
        <v>5.8</v>
      </c>
      <c r="E396" s="5">
        <v>184.3</v>
      </c>
      <c r="F396" s="5">
        <v>197</v>
      </c>
      <c r="G396" s="6">
        <v>45350</v>
      </c>
      <c r="H396" s="5"/>
      <c r="I396" s="5"/>
      <c r="J396" s="5">
        <f t="shared" si="57"/>
        <v>12.699999999999989</v>
      </c>
      <c r="K396" s="8" t="b">
        <f t="shared" si="56"/>
        <v>1</v>
      </c>
    </row>
    <row r="397" spans="1:11">
      <c r="A397" s="5" t="s">
        <v>140</v>
      </c>
      <c r="B397" s="6">
        <v>45354</v>
      </c>
      <c r="C397" s="7">
        <v>0.7</v>
      </c>
      <c r="D397" s="5">
        <v>8.2899999999999991</v>
      </c>
      <c r="E397" s="5">
        <v>197</v>
      </c>
      <c r="F397" s="5">
        <v>208.2</v>
      </c>
      <c r="G397" s="6">
        <v>45354</v>
      </c>
      <c r="H397" s="5"/>
      <c r="I397" s="5"/>
      <c r="J397" s="5">
        <f t="shared" si="57"/>
        <v>11.199999999999989</v>
      </c>
      <c r="K397" s="8" t="b">
        <f t="shared" si="56"/>
        <v>1</v>
      </c>
    </row>
    <row r="398" spans="1:11">
      <c r="A398" s="5" t="s">
        <v>140</v>
      </c>
      <c r="B398" s="6">
        <v>45356</v>
      </c>
      <c r="C398" s="7">
        <v>1</v>
      </c>
      <c r="D398" s="5">
        <v>5.8</v>
      </c>
      <c r="E398" s="5">
        <v>208.2</v>
      </c>
      <c r="F398" s="5">
        <v>221.7</v>
      </c>
      <c r="G398" s="6">
        <v>45356</v>
      </c>
      <c r="H398" s="5"/>
      <c r="I398" s="5"/>
      <c r="J398" s="5">
        <f t="shared" si="57"/>
        <v>13.5</v>
      </c>
      <c r="K398" s="8" t="b">
        <f t="shared" si="56"/>
        <v>1</v>
      </c>
    </row>
    <row r="399" spans="1:11">
      <c r="A399" s="5" t="s">
        <v>140</v>
      </c>
      <c r="B399" s="6">
        <v>45360</v>
      </c>
      <c r="C399" s="7">
        <v>1</v>
      </c>
      <c r="D399" s="5">
        <v>5.8</v>
      </c>
      <c r="E399" s="5">
        <v>221.7</v>
      </c>
      <c r="F399" s="5">
        <v>233.6</v>
      </c>
      <c r="G399" s="6">
        <v>45360</v>
      </c>
      <c r="H399" s="5"/>
      <c r="I399" s="5"/>
      <c r="J399" s="5">
        <f t="shared" si="57"/>
        <v>11.900000000000006</v>
      </c>
      <c r="K399" s="8" t="b">
        <f t="shared" si="56"/>
        <v>1</v>
      </c>
    </row>
    <row r="400" spans="1:11">
      <c r="A400" s="5" t="s">
        <v>140</v>
      </c>
      <c r="B400" s="6">
        <v>45364</v>
      </c>
      <c r="C400" s="7">
        <v>0.7</v>
      </c>
      <c r="D400" s="5">
        <v>8.2899999999999991</v>
      </c>
      <c r="E400" s="5">
        <v>233.6</v>
      </c>
      <c r="F400" s="5">
        <v>250</v>
      </c>
      <c r="G400" s="6">
        <v>45364</v>
      </c>
      <c r="H400" s="5"/>
      <c r="I400" s="5"/>
      <c r="J400" s="5">
        <f t="shared" si="57"/>
        <v>16.400000000000006</v>
      </c>
      <c r="K400" s="8" t="b">
        <f t="shared" si="56"/>
        <v>1</v>
      </c>
    </row>
    <row r="401" spans="1:11">
      <c r="A401" s="5" t="s">
        <v>140</v>
      </c>
      <c r="B401" s="6">
        <v>45366</v>
      </c>
      <c r="C401" s="7">
        <v>0.7</v>
      </c>
      <c r="D401" s="5">
        <v>8.2899999999999991</v>
      </c>
      <c r="E401" s="5">
        <v>250</v>
      </c>
      <c r="F401" s="5">
        <v>267.8</v>
      </c>
      <c r="G401" s="6">
        <v>45366</v>
      </c>
      <c r="H401" s="5"/>
      <c r="I401" s="5"/>
      <c r="J401" s="5">
        <f t="shared" si="57"/>
        <v>17.800000000000011</v>
      </c>
      <c r="K401" s="8" t="b">
        <f t="shared" si="56"/>
        <v>1</v>
      </c>
    </row>
    <row r="402" spans="1:11">
      <c r="A402" s="5" t="s">
        <v>140</v>
      </c>
      <c r="B402" s="6">
        <v>45371</v>
      </c>
      <c r="C402" s="7">
        <v>0.7</v>
      </c>
      <c r="D402" s="5">
        <v>8.2899999999999991</v>
      </c>
      <c r="E402" s="5">
        <v>267.8</v>
      </c>
      <c r="F402" s="5">
        <v>284.5</v>
      </c>
      <c r="G402" s="6">
        <v>45371</v>
      </c>
      <c r="H402" s="5"/>
      <c r="I402" s="5"/>
      <c r="J402" s="5">
        <f t="shared" si="57"/>
        <v>16.699999999999989</v>
      </c>
      <c r="K402" s="8" t="b">
        <f t="shared" si="56"/>
        <v>1</v>
      </c>
    </row>
    <row r="403" spans="1:11">
      <c r="A403" s="5" t="s">
        <v>140</v>
      </c>
      <c r="B403" s="6">
        <v>45377</v>
      </c>
      <c r="C403" s="7">
        <v>1</v>
      </c>
      <c r="D403" s="5">
        <v>5.8</v>
      </c>
      <c r="E403" s="5">
        <v>284.5</v>
      </c>
      <c r="F403" s="5">
        <v>297.10000000000002</v>
      </c>
      <c r="G403" s="6">
        <v>45377</v>
      </c>
      <c r="H403" s="5"/>
      <c r="I403" s="5"/>
      <c r="J403" s="5">
        <f t="shared" si="57"/>
        <v>12.600000000000023</v>
      </c>
      <c r="K403" s="8" t="b">
        <f t="shared" si="56"/>
        <v>1</v>
      </c>
    </row>
    <row r="404" spans="1:11">
      <c r="A404" s="5" t="s">
        <v>140</v>
      </c>
      <c r="B404" s="6">
        <v>45379</v>
      </c>
      <c r="C404" s="7">
        <v>0.7</v>
      </c>
      <c r="D404" s="5">
        <v>8.2899999999999991</v>
      </c>
      <c r="E404" s="5">
        <v>297.10000000000002</v>
      </c>
      <c r="F404" s="5">
        <v>313.3</v>
      </c>
      <c r="G404" s="6">
        <v>45379</v>
      </c>
      <c r="H404" s="5"/>
      <c r="I404" s="5"/>
      <c r="J404" s="5">
        <f t="shared" si="57"/>
        <v>16.199999999999989</v>
      </c>
      <c r="K404" s="8" t="b">
        <f t="shared" si="56"/>
        <v>1</v>
      </c>
    </row>
    <row r="405" spans="1:11">
      <c r="A405" s="5" t="s">
        <v>140</v>
      </c>
      <c r="B405" s="6">
        <v>45381</v>
      </c>
      <c r="C405" s="7">
        <v>0.7</v>
      </c>
      <c r="D405" s="5">
        <v>8.2899999999999991</v>
      </c>
      <c r="E405" s="5">
        <v>313.3</v>
      </c>
      <c r="F405" s="5">
        <v>330.1</v>
      </c>
      <c r="G405" s="6">
        <v>45381</v>
      </c>
      <c r="H405" s="5"/>
      <c r="I405" s="5"/>
      <c r="J405" s="5">
        <f t="shared" si="57"/>
        <v>16.800000000000011</v>
      </c>
      <c r="K405" s="8" t="b">
        <f t="shared" si="56"/>
        <v>1</v>
      </c>
    </row>
    <row r="406" spans="1:11">
      <c r="A406" s="5" t="s">
        <v>140</v>
      </c>
      <c r="B406" s="6">
        <v>45383</v>
      </c>
      <c r="C406" s="7">
        <v>1</v>
      </c>
      <c r="D406" s="5">
        <v>5.8</v>
      </c>
      <c r="E406" s="5">
        <v>330.1</v>
      </c>
      <c r="F406" s="5">
        <v>341.3</v>
      </c>
      <c r="G406" s="6">
        <v>45383</v>
      </c>
      <c r="H406" s="5"/>
      <c r="I406" s="5"/>
      <c r="J406" s="5">
        <f t="shared" si="57"/>
        <v>11.199999999999989</v>
      </c>
      <c r="K406" s="8" t="b">
        <f t="shared" si="56"/>
        <v>1</v>
      </c>
    </row>
    <row r="407" spans="1:11">
      <c r="A407" s="5" t="s">
        <v>140</v>
      </c>
      <c r="B407" s="6">
        <v>45385</v>
      </c>
      <c r="C407" s="7">
        <v>1</v>
      </c>
      <c r="D407" s="5">
        <v>5.8</v>
      </c>
      <c r="E407" s="5">
        <v>341.3</v>
      </c>
      <c r="F407" s="5">
        <v>353.5</v>
      </c>
      <c r="G407" s="6">
        <v>45385</v>
      </c>
      <c r="H407" s="5"/>
      <c r="I407" s="5"/>
      <c r="J407" s="5">
        <f t="shared" si="57"/>
        <v>12.199999999999989</v>
      </c>
      <c r="K407" s="8" t="b">
        <f t="shared" si="56"/>
        <v>1</v>
      </c>
    </row>
    <row r="408" spans="1:11">
      <c r="A408" s="5" t="s">
        <v>140</v>
      </c>
      <c r="B408" s="6">
        <v>45389</v>
      </c>
      <c r="C408" s="7">
        <v>1</v>
      </c>
      <c r="D408" s="5">
        <v>5.8</v>
      </c>
      <c r="E408" s="5">
        <v>353.5</v>
      </c>
      <c r="F408" s="5">
        <v>365.1</v>
      </c>
      <c r="G408" s="6">
        <v>45389</v>
      </c>
      <c r="H408" s="5"/>
      <c r="I408" s="5"/>
      <c r="J408" s="5">
        <f t="shared" si="57"/>
        <v>11.600000000000023</v>
      </c>
      <c r="K408" s="8" t="b">
        <f t="shared" si="56"/>
        <v>1</v>
      </c>
    </row>
    <row r="409" spans="1:11">
      <c r="A409" s="5" t="s">
        <v>140</v>
      </c>
      <c r="B409" s="6">
        <v>45392</v>
      </c>
      <c r="C409" s="7">
        <v>0.7</v>
      </c>
      <c r="D409" s="5">
        <v>8.2899999999999991</v>
      </c>
      <c r="E409" s="5">
        <v>365.1</v>
      </c>
      <c r="F409" s="5">
        <v>381.5</v>
      </c>
      <c r="G409" s="6">
        <v>45392</v>
      </c>
      <c r="H409" s="5"/>
      <c r="I409" s="5"/>
      <c r="J409" s="5">
        <f t="shared" si="57"/>
        <v>16.399999999999977</v>
      </c>
      <c r="K409" s="8" t="b">
        <f t="shared" si="56"/>
        <v>1</v>
      </c>
    </row>
    <row r="410" spans="1:11">
      <c r="A410" s="5" t="s">
        <v>140</v>
      </c>
      <c r="B410" s="6">
        <v>45399</v>
      </c>
      <c r="C410" s="7">
        <v>0.7</v>
      </c>
      <c r="D410" s="5">
        <v>8.2899999999999991</v>
      </c>
      <c r="E410" s="5">
        <v>381.5</v>
      </c>
      <c r="F410" s="5">
        <v>398</v>
      </c>
      <c r="G410" s="6">
        <v>45399</v>
      </c>
      <c r="H410" s="5"/>
      <c r="I410" s="5"/>
      <c r="J410" s="5">
        <f t="shared" si="57"/>
        <v>16.5</v>
      </c>
      <c r="K410" s="8" t="b">
        <f t="shared" si="56"/>
        <v>1</v>
      </c>
    </row>
    <row r="411" spans="1:11">
      <c r="A411" s="5" t="s">
        <v>140</v>
      </c>
      <c r="B411" s="6">
        <v>45402</v>
      </c>
      <c r="C411" s="7">
        <v>0.9</v>
      </c>
      <c r="D411" s="5">
        <v>6.36</v>
      </c>
      <c r="E411" s="5">
        <v>398</v>
      </c>
      <c r="F411" s="5">
        <v>410.9</v>
      </c>
      <c r="G411" s="6">
        <v>45402</v>
      </c>
      <c r="H411" s="5"/>
      <c r="I411" s="5"/>
      <c r="J411" s="5">
        <f t="shared" si="57"/>
        <v>12.899999999999977</v>
      </c>
      <c r="K411" s="8" t="b">
        <f t="shared" si="56"/>
        <v>1</v>
      </c>
    </row>
    <row r="412" spans="1:11">
      <c r="A412" s="5" t="s">
        <v>140</v>
      </c>
      <c r="B412" s="6">
        <v>45408</v>
      </c>
      <c r="C412" s="7">
        <v>0.7</v>
      </c>
      <c r="D412" s="5">
        <v>8.2899999999999991</v>
      </c>
      <c r="E412" s="5">
        <v>427.4</v>
      </c>
      <c r="F412" s="5">
        <v>444.2</v>
      </c>
      <c r="G412" s="6">
        <v>45408</v>
      </c>
      <c r="H412" s="5"/>
      <c r="I412" s="5"/>
      <c r="J412" s="5">
        <f t="shared" si="57"/>
        <v>16.800000000000011</v>
      </c>
      <c r="K412" s="8" t="b">
        <f t="shared" si="56"/>
        <v>0</v>
      </c>
    </row>
    <row r="413" spans="1:11">
      <c r="A413" s="5" t="s">
        <v>140</v>
      </c>
      <c r="B413" s="6">
        <v>45417</v>
      </c>
      <c r="C413" s="7">
        <v>0.7</v>
      </c>
      <c r="D413" s="5">
        <v>8.2899999999999991</v>
      </c>
      <c r="E413" s="5">
        <v>444.2</v>
      </c>
      <c r="F413" s="5">
        <v>460.6</v>
      </c>
      <c r="G413" s="6">
        <v>45417</v>
      </c>
      <c r="H413" s="5"/>
      <c r="I413" s="5"/>
      <c r="J413" s="5">
        <f t="shared" si="57"/>
        <v>16.400000000000034</v>
      </c>
      <c r="K413" s="8" t="b">
        <f t="shared" si="56"/>
        <v>1</v>
      </c>
    </row>
    <row r="414" spans="1:11">
      <c r="A414" s="5" t="s">
        <v>140</v>
      </c>
      <c r="B414" s="6">
        <v>45421</v>
      </c>
      <c r="C414" s="7">
        <v>0.7</v>
      </c>
      <c r="D414" s="5">
        <v>8.2899999999999991</v>
      </c>
      <c r="E414" s="5">
        <v>460.6</v>
      </c>
      <c r="F414" s="5">
        <v>476.7</v>
      </c>
      <c r="G414" s="6">
        <v>45421</v>
      </c>
      <c r="H414" s="5"/>
      <c r="I414" s="5"/>
      <c r="J414" s="5">
        <f t="shared" si="57"/>
        <v>16.099999999999966</v>
      </c>
      <c r="K414" s="8" t="b">
        <f t="shared" si="56"/>
        <v>1</v>
      </c>
    </row>
    <row r="415" spans="1:11">
      <c r="A415" s="5" t="s">
        <v>140</v>
      </c>
      <c r="B415" s="6">
        <v>45426</v>
      </c>
      <c r="C415" s="7">
        <v>0.7</v>
      </c>
      <c r="D415" s="5">
        <v>8.2899999999999991</v>
      </c>
      <c r="E415" s="5">
        <v>476.7</v>
      </c>
      <c r="F415" s="5">
        <v>493</v>
      </c>
      <c r="G415" s="6">
        <v>45426</v>
      </c>
      <c r="H415" s="5"/>
      <c r="I415" s="5"/>
      <c r="J415" s="5">
        <f t="shared" si="57"/>
        <v>16.300000000000011</v>
      </c>
      <c r="K415" s="8" t="b">
        <f t="shared" si="56"/>
        <v>1</v>
      </c>
    </row>
    <row r="416" spans="1:11">
      <c r="A416" s="5" t="s">
        <v>140</v>
      </c>
      <c r="B416" s="6">
        <v>45431</v>
      </c>
      <c r="C416" s="7">
        <v>0.6</v>
      </c>
      <c r="D416" s="5">
        <v>9.67</v>
      </c>
      <c r="E416" s="5">
        <v>493</v>
      </c>
      <c r="F416" s="5">
        <v>512</v>
      </c>
      <c r="G416" s="6">
        <v>45431</v>
      </c>
      <c r="H416" s="5"/>
      <c r="I416" s="5"/>
      <c r="J416" s="5">
        <f t="shared" ref="J416:J474" si="58">F416-E416</f>
        <v>19</v>
      </c>
      <c r="K416" s="8" t="b">
        <f t="shared" ref="K416:K474" si="59">E416=F415</f>
        <v>1</v>
      </c>
    </row>
    <row r="417" spans="1:11">
      <c r="A417" s="5" t="s">
        <v>140</v>
      </c>
      <c r="B417" s="6">
        <v>45435</v>
      </c>
      <c r="C417" s="7">
        <v>0.6</v>
      </c>
      <c r="D417" s="5">
        <v>9.67</v>
      </c>
      <c r="E417" s="5">
        <v>512</v>
      </c>
      <c r="F417" s="5">
        <v>531</v>
      </c>
      <c r="G417" s="6">
        <v>45435</v>
      </c>
      <c r="H417" s="5"/>
      <c r="I417" s="5"/>
      <c r="J417" s="5">
        <f t="shared" si="58"/>
        <v>19</v>
      </c>
      <c r="K417" s="8" t="b">
        <f t="shared" si="59"/>
        <v>1</v>
      </c>
    </row>
    <row r="418" spans="1:11">
      <c r="A418" s="5" t="s">
        <v>140</v>
      </c>
      <c r="B418" s="6">
        <v>45441</v>
      </c>
      <c r="C418" s="7">
        <v>0.7</v>
      </c>
      <c r="D418" s="5">
        <v>8.2899999999999991</v>
      </c>
      <c r="E418" s="5">
        <v>531</v>
      </c>
      <c r="F418" s="5">
        <v>548</v>
      </c>
      <c r="G418" s="6">
        <v>45441</v>
      </c>
      <c r="H418" s="5"/>
      <c r="I418" s="5"/>
      <c r="J418" s="5">
        <f t="shared" si="58"/>
        <v>17</v>
      </c>
      <c r="K418" s="8" t="b">
        <f t="shared" si="59"/>
        <v>1</v>
      </c>
    </row>
    <row r="419" spans="1:11">
      <c r="A419" s="5" t="s">
        <v>140</v>
      </c>
      <c r="B419" s="6"/>
      <c r="C419" s="7"/>
      <c r="D419" s="5"/>
      <c r="E419" s="5"/>
      <c r="F419" s="5"/>
      <c r="G419" s="6"/>
      <c r="H419" s="5"/>
      <c r="I419" s="5"/>
      <c r="J419" s="5">
        <f t="shared" si="58"/>
        <v>0</v>
      </c>
      <c r="K419" s="8" t="b">
        <f t="shared" si="59"/>
        <v>0</v>
      </c>
    </row>
    <row r="420" spans="1:11" ht="26.25">
      <c r="A420" s="181" t="s">
        <v>139</v>
      </c>
      <c r="B420" s="182"/>
      <c r="C420" s="182"/>
      <c r="D420" s="182"/>
      <c r="E420" s="182"/>
      <c r="F420" s="182"/>
      <c r="G420" s="182"/>
      <c r="H420" s="182"/>
      <c r="I420" s="182"/>
      <c r="J420" s="182"/>
      <c r="K420" s="183"/>
    </row>
    <row r="421" spans="1:11" ht="26.25">
      <c r="A421" s="181" t="s">
        <v>48</v>
      </c>
      <c r="B421" s="182"/>
      <c r="C421" s="182"/>
      <c r="D421" s="182"/>
      <c r="E421" s="182"/>
      <c r="F421" s="182"/>
      <c r="G421" s="182"/>
      <c r="H421" s="182"/>
      <c r="I421" s="182"/>
      <c r="J421" s="182"/>
      <c r="K421" s="183"/>
    </row>
    <row r="422" spans="1:11" ht="15.75" thickBot="1"/>
    <row r="423" spans="1:11" ht="15.75" thickBot="1">
      <c r="A423" s="132" t="s">
        <v>2</v>
      </c>
      <c r="B423" s="133"/>
      <c r="C423" s="133"/>
      <c r="D423" s="133"/>
      <c r="E423" s="133"/>
      <c r="F423" s="133"/>
      <c r="G423" s="133"/>
      <c r="H423" s="133"/>
      <c r="I423" s="133"/>
      <c r="J423" s="133"/>
      <c r="K423" s="134"/>
    </row>
    <row r="425" spans="1:11" ht="18.75">
      <c r="A425" s="1" t="s">
        <v>3</v>
      </c>
      <c r="B425" s="1"/>
      <c r="C425" s="1"/>
      <c r="D425" s="1"/>
      <c r="E425" s="1"/>
      <c r="F425" s="1"/>
      <c r="G425" s="1"/>
      <c r="H425" s="1"/>
      <c r="I425" s="1"/>
    </row>
    <row r="426" spans="1:11" ht="30">
      <c r="A426" s="32" t="s">
        <v>4</v>
      </c>
      <c r="B426" s="32" t="s">
        <v>5</v>
      </c>
      <c r="C426" s="32" t="s">
        <v>6</v>
      </c>
      <c r="D426" s="32" t="s">
        <v>7</v>
      </c>
      <c r="E426" s="32" t="s">
        <v>8</v>
      </c>
      <c r="F426" s="32" t="s">
        <v>9</v>
      </c>
      <c r="G426" s="32" t="s">
        <v>10</v>
      </c>
      <c r="H426" s="32" t="s">
        <v>21</v>
      </c>
      <c r="I426" s="32" t="s">
        <v>22</v>
      </c>
      <c r="J426" s="32" t="s">
        <v>11</v>
      </c>
      <c r="K426" s="32" t="s">
        <v>12</v>
      </c>
    </row>
    <row r="427" spans="1:11">
      <c r="A427" s="5" t="s">
        <v>140</v>
      </c>
      <c r="B427" s="6">
        <v>45570</v>
      </c>
      <c r="C427" s="7">
        <v>1</v>
      </c>
      <c r="D427" s="5">
        <v>5.72</v>
      </c>
      <c r="E427" s="5">
        <v>548</v>
      </c>
      <c r="F427" s="5">
        <v>561</v>
      </c>
      <c r="G427" s="6">
        <v>45570</v>
      </c>
      <c r="H427" s="5"/>
      <c r="I427" s="5"/>
      <c r="J427" s="5">
        <f t="shared" ref="J427" si="60">F427-E427</f>
        <v>13</v>
      </c>
      <c r="K427" s="8" t="b">
        <f t="shared" ref="K427" si="61">E427=F426</f>
        <v>0</v>
      </c>
    </row>
    <row r="428" spans="1:11">
      <c r="A428" s="5" t="s">
        <v>140</v>
      </c>
      <c r="B428" s="6"/>
      <c r="C428" s="7"/>
      <c r="D428" s="5"/>
      <c r="E428" s="5"/>
      <c r="F428" s="5"/>
      <c r="G428" s="6"/>
      <c r="H428" s="5"/>
      <c r="I428" s="5"/>
      <c r="J428" s="5">
        <f t="shared" si="58"/>
        <v>0</v>
      </c>
      <c r="K428" s="8" t="b">
        <f t="shared" si="59"/>
        <v>0</v>
      </c>
    </row>
    <row r="429" spans="1:11">
      <c r="A429" s="5" t="s">
        <v>140</v>
      </c>
      <c r="B429" s="6"/>
      <c r="C429" s="7"/>
      <c r="D429" s="5"/>
      <c r="E429" s="5"/>
      <c r="F429" s="5"/>
      <c r="G429" s="6"/>
      <c r="H429" s="5"/>
      <c r="I429" s="5"/>
      <c r="J429" s="5">
        <f t="shared" si="58"/>
        <v>0</v>
      </c>
      <c r="K429" s="8" t="b">
        <f t="shared" si="59"/>
        <v>1</v>
      </c>
    </row>
    <row r="430" spans="1:11">
      <c r="A430" s="5" t="s">
        <v>140</v>
      </c>
      <c r="B430" s="6"/>
      <c r="C430" s="7"/>
      <c r="D430" s="5"/>
      <c r="E430" s="5"/>
      <c r="F430" s="5"/>
      <c r="G430" s="6"/>
      <c r="H430" s="5"/>
      <c r="I430" s="5"/>
      <c r="J430" s="5">
        <f t="shared" si="58"/>
        <v>0</v>
      </c>
      <c r="K430" s="8" t="b">
        <f t="shared" si="59"/>
        <v>1</v>
      </c>
    </row>
    <row r="431" spans="1:11">
      <c r="A431" s="5" t="s">
        <v>140</v>
      </c>
      <c r="B431" s="6"/>
      <c r="C431" s="7"/>
      <c r="D431" s="5"/>
      <c r="E431" s="5"/>
      <c r="F431" s="5"/>
      <c r="G431" s="6"/>
      <c r="H431" s="5"/>
      <c r="I431" s="5"/>
      <c r="J431" s="5">
        <f t="shared" si="58"/>
        <v>0</v>
      </c>
      <c r="K431" s="8" t="b">
        <f t="shared" si="59"/>
        <v>1</v>
      </c>
    </row>
    <row r="432" spans="1:11">
      <c r="A432" s="5" t="s">
        <v>140</v>
      </c>
      <c r="B432" s="6"/>
      <c r="C432" s="7"/>
      <c r="D432" s="5"/>
      <c r="E432" s="5"/>
      <c r="F432" s="5"/>
      <c r="G432" s="6"/>
      <c r="H432" s="5"/>
      <c r="I432" s="5"/>
      <c r="J432" s="5">
        <f t="shared" si="58"/>
        <v>0</v>
      </c>
      <c r="K432" s="8" t="b">
        <f t="shared" si="59"/>
        <v>1</v>
      </c>
    </row>
    <row r="433" spans="1:11">
      <c r="A433" s="5" t="s">
        <v>140</v>
      </c>
      <c r="B433" s="6"/>
      <c r="C433" s="7"/>
      <c r="D433" s="5"/>
      <c r="E433" s="5"/>
      <c r="F433" s="5"/>
      <c r="G433" s="6"/>
      <c r="H433" s="5"/>
      <c r="I433" s="5"/>
      <c r="J433" s="5">
        <f t="shared" si="58"/>
        <v>0</v>
      </c>
      <c r="K433" s="8" t="b">
        <f t="shared" si="59"/>
        <v>1</v>
      </c>
    </row>
    <row r="434" spans="1:11">
      <c r="A434" s="5" t="s">
        <v>140</v>
      </c>
      <c r="B434" s="6"/>
      <c r="C434" s="7"/>
      <c r="D434" s="5"/>
      <c r="E434" s="5"/>
      <c r="F434" s="5"/>
      <c r="G434" s="6"/>
      <c r="H434" s="5"/>
      <c r="I434" s="5"/>
      <c r="J434" s="5">
        <f t="shared" si="58"/>
        <v>0</v>
      </c>
      <c r="K434" s="8" t="b">
        <f t="shared" si="59"/>
        <v>1</v>
      </c>
    </row>
    <row r="435" spans="1:11">
      <c r="A435" s="5" t="s">
        <v>140</v>
      </c>
      <c r="B435" s="6"/>
      <c r="C435" s="7"/>
      <c r="D435" s="5"/>
      <c r="E435" s="5"/>
      <c r="F435" s="5"/>
      <c r="G435" s="6"/>
      <c r="H435" s="5"/>
      <c r="I435" s="5"/>
      <c r="J435" s="5">
        <f t="shared" si="58"/>
        <v>0</v>
      </c>
      <c r="K435" s="8" t="b">
        <f t="shared" si="59"/>
        <v>1</v>
      </c>
    </row>
    <row r="436" spans="1:11">
      <c r="A436" s="5" t="s">
        <v>140</v>
      </c>
      <c r="B436" s="6"/>
      <c r="C436" s="7"/>
      <c r="D436" s="5"/>
      <c r="E436" s="5"/>
      <c r="F436" s="5"/>
      <c r="G436" s="6"/>
      <c r="H436" s="5"/>
      <c r="I436" s="5"/>
      <c r="J436" s="5">
        <f t="shared" si="58"/>
        <v>0</v>
      </c>
      <c r="K436" s="8" t="b">
        <f t="shared" si="59"/>
        <v>1</v>
      </c>
    </row>
    <row r="437" spans="1:11">
      <c r="A437" s="5" t="s">
        <v>140</v>
      </c>
      <c r="B437" s="6"/>
      <c r="C437" s="7"/>
      <c r="D437" s="5"/>
      <c r="E437" s="5"/>
      <c r="F437" s="5"/>
      <c r="G437" s="6"/>
      <c r="H437" s="5"/>
      <c r="I437" s="5"/>
      <c r="J437" s="5">
        <f t="shared" si="58"/>
        <v>0</v>
      </c>
      <c r="K437" s="8" t="b">
        <f t="shared" si="59"/>
        <v>1</v>
      </c>
    </row>
    <row r="438" spans="1:11">
      <c r="A438" s="5" t="s">
        <v>140</v>
      </c>
      <c r="B438" s="6"/>
      <c r="C438" s="7"/>
      <c r="D438" s="5"/>
      <c r="E438" s="5"/>
      <c r="F438" s="5"/>
      <c r="G438" s="6"/>
      <c r="H438" s="5"/>
      <c r="I438" s="5"/>
      <c r="J438" s="5">
        <f t="shared" si="58"/>
        <v>0</v>
      </c>
      <c r="K438" s="8" t="b">
        <f t="shared" si="59"/>
        <v>1</v>
      </c>
    </row>
    <row r="439" spans="1:11">
      <c r="A439" s="5" t="s">
        <v>140</v>
      </c>
      <c r="B439" s="6"/>
      <c r="C439" s="7"/>
      <c r="D439" s="5"/>
      <c r="E439" s="5"/>
      <c r="F439" s="5"/>
      <c r="G439" s="6"/>
      <c r="H439" s="5"/>
      <c r="I439" s="5"/>
      <c r="J439" s="5">
        <f t="shared" si="58"/>
        <v>0</v>
      </c>
      <c r="K439" s="8" t="b">
        <f t="shared" si="59"/>
        <v>1</v>
      </c>
    </row>
    <row r="440" spans="1:11">
      <c r="A440" s="5" t="s">
        <v>140</v>
      </c>
      <c r="B440" s="6"/>
      <c r="C440" s="7"/>
      <c r="D440" s="5"/>
      <c r="E440" s="5"/>
      <c r="F440" s="5"/>
      <c r="G440" s="6"/>
      <c r="H440" s="5"/>
      <c r="I440" s="5"/>
      <c r="J440" s="5">
        <f t="shared" si="58"/>
        <v>0</v>
      </c>
      <c r="K440" s="8" t="b">
        <f t="shared" si="59"/>
        <v>1</v>
      </c>
    </row>
    <row r="441" spans="1:11">
      <c r="A441" s="5" t="s">
        <v>140</v>
      </c>
      <c r="B441" s="6"/>
      <c r="C441" s="7"/>
      <c r="D441" s="5"/>
      <c r="E441" s="5"/>
      <c r="F441" s="5"/>
      <c r="G441" s="6"/>
      <c r="H441" s="5"/>
      <c r="I441" s="5"/>
      <c r="J441" s="5">
        <f t="shared" si="58"/>
        <v>0</v>
      </c>
      <c r="K441" s="8" t="b">
        <f t="shared" si="59"/>
        <v>1</v>
      </c>
    </row>
    <row r="442" spans="1:11">
      <c r="A442" s="5" t="s">
        <v>140</v>
      </c>
      <c r="B442" s="6"/>
      <c r="C442" s="7"/>
      <c r="D442" s="5"/>
      <c r="E442" s="5"/>
      <c r="F442" s="5"/>
      <c r="G442" s="6"/>
      <c r="H442" s="5"/>
      <c r="I442" s="5"/>
      <c r="J442" s="5">
        <f t="shared" si="58"/>
        <v>0</v>
      </c>
      <c r="K442" s="8" t="b">
        <f t="shared" si="59"/>
        <v>1</v>
      </c>
    </row>
    <row r="443" spans="1:11">
      <c r="A443" s="5" t="s">
        <v>140</v>
      </c>
      <c r="B443" s="6"/>
      <c r="C443" s="7"/>
      <c r="D443" s="5"/>
      <c r="E443" s="5"/>
      <c r="F443" s="5"/>
      <c r="G443" s="6"/>
      <c r="H443" s="5"/>
      <c r="I443" s="5"/>
      <c r="J443" s="5">
        <f t="shared" si="58"/>
        <v>0</v>
      </c>
      <c r="K443" s="8" t="b">
        <f t="shared" si="59"/>
        <v>1</v>
      </c>
    </row>
    <row r="444" spans="1:11">
      <c r="A444" s="5" t="s">
        <v>140</v>
      </c>
      <c r="B444" s="6"/>
      <c r="C444" s="7"/>
      <c r="D444" s="5"/>
      <c r="E444" s="5"/>
      <c r="F444" s="5"/>
      <c r="G444" s="6"/>
      <c r="H444" s="5"/>
      <c r="I444" s="5"/>
      <c r="J444" s="5">
        <f t="shared" si="58"/>
        <v>0</v>
      </c>
      <c r="K444" s="8" t="b">
        <f t="shared" si="59"/>
        <v>1</v>
      </c>
    </row>
    <row r="445" spans="1:11">
      <c r="A445" s="5" t="s">
        <v>140</v>
      </c>
      <c r="B445" s="6"/>
      <c r="C445" s="7"/>
      <c r="D445" s="5"/>
      <c r="E445" s="5"/>
      <c r="F445" s="5"/>
      <c r="G445" s="6"/>
      <c r="H445" s="5"/>
      <c r="I445" s="5"/>
      <c r="J445" s="5">
        <f t="shared" si="58"/>
        <v>0</v>
      </c>
      <c r="K445" s="8" t="b">
        <f t="shared" si="59"/>
        <v>1</v>
      </c>
    </row>
    <row r="446" spans="1:11">
      <c r="A446" s="5" t="s">
        <v>140</v>
      </c>
      <c r="B446" s="6"/>
      <c r="C446" s="7"/>
      <c r="D446" s="5"/>
      <c r="E446" s="5"/>
      <c r="F446" s="5"/>
      <c r="G446" s="6"/>
      <c r="H446" s="5"/>
      <c r="I446" s="5"/>
      <c r="J446" s="5">
        <f t="shared" si="58"/>
        <v>0</v>
      </c>
      <c r="K446" s="8" t="b">
        <f t="shared" si="59"/>
        <v>1</v>
      </c>
    </row>
    <row r="447" spans="1:11">
      <c r="A447" s="5" t="s">
        <v>140</v>
      </c>
      <c r="B447" s="6"/>
      <c r="C447" s="7"/>
      <c r="D447" s="5"/>
      <c r="E447" s="5"/>
      <c r="F447" s="5"/>
      <c r="G447" s="6"/>
      <c r="H447" s="5"/>
      <c r="I447" s="5"/>
      <c r="J447" s="5">
        <f t="shared" si="58"/>
        <v>0</v>
      </c>
      <c r="K447" s="8" t="b">
        <f t="shared" si="59"/>
        <v>1</v>
      </c>
    </row>
    <row r="448" spans="1:11">
      <c r="A448" s="5" t="s">
        <v>140</v>
      </c>
      <c r="B448" s="6"/>
      <c r="C448" s="7"/>
      <c r="D448" s="5"/>
      <c r="E448" s="5"/>
      <c r="F448" s="5"/>
      <c r="G448" s="6"/>
      <c r="H448" s="5"/>
      <c r="I448" s="5"/>
      <c r="J448" s="5">
        <f t="shared" si="58"/>
        <v>0</v>
      </c>
      <c r="K448" s="8" t="b">
        <f t="shared" si="59"/>
        <v>1</v>
      </c>
    </row>
    <row r="449" spans="1:11">
      <c r="A449" s="5" t="s">
        <v>140</v>
      </c>
      <c r="B449" s="6"/>
      <c r="C449" s="7"/>
      <c r="D449" s="5"/>
      <c r="E449" s="5"/>
      <c r="F449" s="5"/>
      <c r="G449" s="6"/>
      <c r="H449" s="5"/>
      <c r="I449" s="5"/>
      <c r="J449" s="5">
        <f t="shared" si="58"/>
        <v>0</v>
      </c>
      <c r="K449" s="8" t="b">
        <f t="shared" si="59"/>
        <v>1</v>
      </c>
    </row>
    <row r="450" spans="1:11">
      <c r="A450" s="5" t="s">
        <v>140</v>
      </c>
      <c r="B450" s="6"/>
      <c r="C450" s="7"/>
      <c r="D450" s="5"/>
      <c r="E450" s="5"/>
      <c r="F450" s="5"/>
      <c r="G450" s="6"/>
      <c r="H450" s="5"/>
      <c r="I450" s="5"/>
      <c r="J450" s="5">
        <f t="shared" si="58"/>
        <v>0</v>
      </c>
      <c r="K450" s="8" t="b">
        <f t="shared" si="59"/>
        <v>1</v>
      </c>
    </row>
    <row r="451" spans="1:11">
      <c r="A451" s="5" t="s">
        <v>140</v>
      </c>
      <c r="B451" s="6"/>
      <c r="C451" s="7"/>
      <c r="D451" s="5"/>
      <c r="E451" s="5"/>
      <c r="F451" s="5"/>
      <c r="G451" s="6"/>
      <c r="H451" s="5"/>
      <c r="I451" s="5"/>
      <c r="J451" s="5">
        <f t="shared" si="58"/>
        <v>0</v>
      </c>
      <c r="K451" s="8" t="b">
        <f t="shared" si="59"/>
        <v>1</v>
      </c>
    </row>
    <row r="452" spans="1:11">
      <c r="A452" s="5" t="s">
        <v>140</v>
      </c>
      <c r="B452" s="6"/>
      <c r="C452" s="7"/>
      <c r="D452" s="5"/>
      <c r="E452" s="5"/>
      <c r="F452" s="5"/>
      <c r="G452" s="6"/>
      <c r="H452" s="5"/>
      <c r="I452" s="5"/>
      <c r="J452" s="5">
        <f t="shared" si="58"/>
        <v>0</v>
      </c>
      <c r="K452" s="8" t="b">
        <f t="shared" si="59"/>
        <v>1</v>
      </c>
    </row>
    <row r="453" spans="1:11">
      <c r="A453" s="5" t="s">
        <v>140</v>
      </c>
      <c r="B453" s="6"/>
      <c r="C453" s="7"/>
      <c r="D453" s="5"/>
      <c r="E453" s="5"/>
      <c r="F453" s="5"/>
      <c r="G453" s="6"/>
      <c r="H453" s="5"/>
      <c r="I453" s="5"/>
      <c r="J453" s="5">
        <f t="shared" si="58"/>
        <v>0</v>
      </c>
      <c r="K453" s="8" t="b">
        <f t="shared" si="59"/>
        <v>1</v>
      </c>
    </row>
    <row r="454" spans="1:11">
      <c r="A454" s="5" t="s">
        <v>140</v>
      </c>
      <c r="B454" s="6"/>
      <c r="C454" s="7"/>
      <c r="D454" s="5"/>
      <c r="E454" s="5"/>
      <c r="F454" s="5"/>
      <c r="G454" s="6"/>
      <c r="H454" s="5"/>
      <c r="I454" s="5"/>
      <c r="J454" s="5">
        <f t="shared" si="58"/>
        <v>0</v>
      </c>
      <c r="K454" s="8" t="b">
        <f t="shared" si="59"/>
        <v>1</v>
      </c>
    </row>
    <row r="455" spans="1:11">
      <c r="A455" s="5" t="s">
        <v>140</v>
      </c>
      <c r="B455" s="6"/>
      <c r="C455" s="7"/>
      <c r="D455" s="5"/>
      <c r="E455" s="5"/>
      <c r="F455" s="5"/>
      <c r="G455" s="6"/>
      <c r="H455" s="5"/>
      <c r="I455" s="5"/>
      <c r="J455" s="5">
        <f t="shared" si="58"/>
        <v>0</v>
      </c>
      <c r="K455" s="8" t="b">
        <f t="shared" si="59"/>
        <v>1</v>
      </c>
    </row>
    <row r="456" spans="1:11">
      <c r="A456" s="5" t="s">
        <v>140</v>
      </c>
      <c r="B456" s="6"/>
      <c r="C456" s="7"/>
      <c r="D456" s="5"/>
      <c r="E456" s="5"/>
      <c r="F456" s="5"/>
      <c r="G456" s="6"/>
      <c r="H456" s="5"/>
      <c r="I456" s="5"/>
      <c r="J456" s="5">
        <f t="shared" si="58"/>
        <v>0</v>
      </c>
      <c r="K456" s="8" t="b">
        <f t="shared" si="59"/>
        <v>1</v>
      </c>
    </row>
    <row r="457" spans="1:11">
      <c r="A457" s="5" t="s">
        <v>140</v>
      </c>
      <c r="B457" s="6"/>
      <c r="C457" s="7"/>
      <c r="D457" s="5"/>
      <c r="E457" s="5"/>
      <c r="F457" s="5"/>
      <c r="G457" s="6"/>
      <c r="H457" s="5"/>
      <c r="I457" s="5"/>
      <c r="J457" s="5">
        <f t="shared" si="58"/>
        <v>0</v>
      </c>
      <c r="K457" s="8" t="b">
        <f t="shared" si="59"/>
        <v>1</v>
      </c>
    </row>
    <row r="458" spans="1:11">
      <c r="A458" s="5" t="s">
        <v>140</v>
      </c>
      <c r="B458" s="6"/>
      <c r="C458" s="7"/>
      <c r="D458" s="5"/>
      <c r="E458" s="5"/>
      <c r="F458" s="5"/>
      <c r="G458" s="6"/>
      <c r="H458" s="5"/>
      <c r="I458" s="5"/>
      <c r="J458" s="5">
        <f t="shared" si="58"/>
        <v>0</v>
      </c>
      <c r="K458" s="8" t="b">
        <f t="shared" si="59"/>
        <v>1</v>
      </c>
    </row>
    <row r="459" spans="1:11">
      <c r="A459" s="5" t="s">
        <v>140</v>
      </c>
      <c r="B459" s="6"/>
      <c r="C459" s="7"/>
      <c r="D459" s="5"/>
      <c r="E459" s="5"/>
      <c r="F459" s="5"/>
      <c r="G459" s="6"/>
      <c r="H459" s="5"/>
      <c r="I459" s="5"/>
      <c r="J459" s="5">
        <f t="shared" si="58"/>
        <v>0</v>
      </c>
      <c r="K459" s="8" t="b">
        <f t="shared" si="59"/>
        <v>1</v>
      </c>
    </row>
    <row r="460" spans="1:11">
      <c r="A460" s="5" t="s">
        <v>140</v>
      </c>
      <c r="B460" s="6"/>
      <c r="C460" s="7"/>
      <c r="D460" s="5"/>
      <c r="E460" s="5"/>
      <c r="F460" s="5"/>
      <c r="G460" s="6"/>
      <c r="H460" s="5"/>
      <c r="I460" s="5"/>
      <c r="J460" s="5">
        <f t="shared" si="58"/>
        <v>0</v>
      </c>
      <c r="K460" s="8" t="b">
        <f t="shared" si="59"/>
        <v>1</v>
      </c>
    </row>
    <row r="461" spans="1:11">
      <c r="A461" s="5" t="s">
        <v>140</v>
      </c>
      <c r="B461" s="6"/>
      <c r="C461" s="7"/>
      <c r="D461" s="5"/>
      <c r="E461" s="5"/>
      <c r="F461" s="5"/>
      <c r="G461" s="6"/>
      <c r="H461" s="5"/>
      <c r="I461" s="5"/>
      <c r="J461" s="5">
        <f t="shared" si="58"/>
        <v>0</v>
      </c>
      <c r="K461" s="8" t="b">
        <f t="shared" si="59"/>
        <v>1</v>
      </c>
    </row>
    <row r="462" spans="1:11">
      <c r="A462" s="5" t="s">
        <v>140</v>
      </c>
      <c r="B462" s="6"/>
      <c r="C462" s="7"/>
      <c r="D462" s="5"/>
      <c r="E462" s="5"/>
      <c r="F462" s="5"/>
      <c r="G462" s="6"/>
      <c r="H462" s="5"/>
      <c r="I462" s="5"/>
      <c r="J462" s="5">
        <f t="shared" si="58"/>
        <v>0</v>
      </c>
      <c r="K462" s="8" t="b">
        <f t="shared" si="59"/>
        <v>1</v>
      </c>
    </row>
    <row r="463" spans="1:11">
      <c r="A463" s="5" t="s">
        <v>140</v>
      </c>
      <c r="B463" s="6"/>
      <c r="C463" s="7"/>
      <c r="D463" s="5"/>
      <c r="E463" s="5"/>
      <c r="F463" s="5"/>
      <c r="G463" s="6"/>
      <c r="H463" s="5"/>
      <c r="I463" s="5"/>
      <c r="J463" s="5">
        <f t="shared" si="58"/>
        <v>0</v>
      </c>
      <c r="K463" s="8" t="b">
        <f t="shared" si="59"/>
        <v>1</v>
      </c>
    </row>
    <row r="464" spans="1:11">
      <c r="A464" s="5" t="s">
        <v>140</v>
      </c>
      <c r="B464" s="6"/>
      <c r="C464" s="7"/>
      <c r="D464" s="5"/>
      <c r="E464" s="5"/>
      <c r="F464" s="5"/>
      <c r="G464" s="6"/>
      <c r="H464" s="5"/>
      <c r="I464" s="5"/>
      <c r="J464" s="5">
        <f t="shared" si="58"/>
        <v>0</v>
      </c>
      <c r="K464" s="8" t="b">
        <f t="shared" si="59"/>
        <v>1</v>
      </c>
    </row>
    <row r="465" spans="1:11">
      <c r="A465" s="5" t="s">
        <v>140</v>
      </c>
      <c r="B465" s="6"/>
      <c r="C465" s="7"/>
      <c r="D465" s="5"/>
      <c r="E465" s="5"/>
      <c r="F465" s="5"/>
      <c r="G465" s="6"/>
      <c r="H465" s="5"/>
      <c r="I465" s="5"/>
      <c r="J465" s="5">
        <f t="shared" si="58"/>
        <v>0</v>
      </c>
      <c r="K465" s="8" t="b">
        <f t="shared" si="59"/>
        <v>1</v>
      </c>
    </row>
    <row r="466" spans="1:11">
      <c r="A466" s="5" t="s">
        <v>140</v>
      </c>
      <c r="B466" s="6"/>
      <c r="C466" s="7"/>
      <c r="D466" s="5"/>
      <c r="E466" s="5"/>
      <c r="F466" s="5"/>
      <c r="G466" s="6"/>
      <c r="H466" s="5"/>
      <c r="I466" s="5"/>
      <c r="J466" s="5">
        <f t="shared" si="58"/>
        <v>0</v>
      </c>
      <c r="K466" s="8" t="b">
        <f t="shared" si="59"/>
        <v>1</v>
      </c>
    </row>
    <row r="467" spans="1:11">
      <c r="A467" s="5" t="s">
        <v>140</v>
      </c>
      <c r="B467" s="6"/>
      <c r="C467" s="7"/>
      <c r="D467" s="5"/>
      <c r="E467" s="5"/>
      <c r="F467" s="5"/>
      <c r="G467" s="6"/>
      <c r="H467" s="5"/>
      <c r="I467" s="5"/>
      <c r="J467" s="5">
        <f t="shared" si="58"/>
        <v>0</v>
      </c>
      <c r="K467" s="8" t="b">
        <f t="shared" si="59"/>
        <v>1</v>
      </c>
    </row>
    <row r="468" spans="1:11">
      <c r="A468" s="5" t="s">
        <v>140</v>
      </c>
      <c r="B468" s="6"/>
      <c r="C468" s="7"/>
      <c r="D468" s="5"/>
      <c r="E468" s="5"/>
      <c r="F468" s="5"/>
      <c r="G468" s="6"/>
      <c r="H468" s="5"/>
      <c r="I468" s="5"/>
      <c r="J468" s="5">
        <f t="shared" si="58"/>
        <v>0</v>
      </c>
      <c r="K468" s="8" t="b">
        <f t="shared" si="59"/>
        <v>1</v>
      </c>
    </row>
    <row r="469" spans="1:11">
      <c r="A469" s="5" t="s">
        <v>140</v>
      </c>
      <c r="B469" s="6"/>
      <c r="C469" s="7"/>
      <c r="D469" s="5"/>
      <c r="E469" s="5"/>
      <c r="F469" s="5"/>
      <c r="G469" s="6"/>
      <c r="H469" s="5"/>
      <c r="I469" s="5"/>
      <c r="J469" s="5">
        <f t="shared" si="58"/>
        <v>0</v>
      </c>
      <c r="K469" s="8" t="b">
        <f t="shared" si="59"/>
        <v>1</v>
      </c>
    </row>
    <row r="470" spans="1:11">
      <c r="A470" s="5" t="s">
        <v>140</v>
      </c>
      <c r="B470" s="6"/>
      <c r="C470" s="7"/>
      <c r="D470" s="5"/>
      <c r="E470" s="5"/>
      <c r="F470" s="5"/>
      <c r="G470" s="6"/>
      <c r="H470" s="5"/>
      <c r="I470" s="5"/>
      <c r="J470" s="5">
        <f t="shared" si="58"/>
        <v>0</v>
      </c>
      <c r="K470" s="8" t="b">
        <f t="shared" si="59"/>
        <v>1</v>
      </c>
    </row>
    <row r="471" spans="1:11">
      <c r="A471" s="5" t="s">
        <v>140</v>
      </c>
      <c r="B471" s="6"/>
      <c r="C471" s="7"/>
      <c r="D471" s="5"/>
      <c r="E471" s="5"/>
      <c r="F471" s="5"/>
      <c r="G471" s="6"/>
      <c r="H471" s="5"/>
      <c r="I471" s="5"/>
      <c r="J471" s="5">
        <f t="shared" si="58"/>
        <v>0</v>
      </c>
      <c r="K471" s="8" t="b">
        <f t="shared" si="59"/>
        <v>1</v>
      </c>
    </row>
    <row r="472" spans="1:11">
      <c r="A472" s="5" t="s">
        <v>140</v>
      </c>
      <c r="B472" s="6"/>
      <c r="C472" s="7"/>
      <c r="D472" s="5"/>
      <c r="E472" s="5"/>
      <c r="F472" s="5"/>
      <c r="G472" s="6"/>
      <c r="H472" s="5"/>
      <c r="I472" s="5"/>
      <c r="J472" s="5">
        <f t="shared" si="58"/>
        <v>0</v>
      </c>
      <c r="K472" s="8" t="b">
        <f t="shared" si="59"/>
        <v>1</v>
      </c>
    </row>
    <row r="473" spans="1:11">
      <c r="A473" s="5" t="s">
        <v>140</v>
      </c>
      <c r="B473" s="6"/>
      <c r="C473" s="7"/>
      <c r="D473" s="5"/>
      <c r="E473" s="5"/>
      <c r="F473" s="5"/>
      <c r="G473" s="6"/>
      <c r="H473" s="5"/>
      <c r="I473" s="5"/>
      <c r="J473" s="5">
        <f t="shared" si="58"/>
        <v>0</v>
      </c>
      <c r="K473" s="8" t="b">
        <f t="shared" si="59"/>
        <v>1</v>
      </c>
    </row>
    <row r="474" spans="1:11">
      <c r="A474" s="5" t="s">
        <v>140</v>
      </c>
      <c r="B474" s="6"/>
      <c r="C474" s="7"/>
      <c r="D474" s="5"/>
      <c r="E474" s="5"/>
      <c r="F474" s="5"/>
      <c r="G474" s="6"/>
      <c r="H474" s="5"/>
      <c r="I474" s="5"/>
      <c r="J474" s="5">
        <f t="shared" si="58"/>
        <v>0</v>
      </c>
      <c r="K474" s="8" t="b">
        <f t="shared" si="59"/>
        <v>1</v>
      </c>
    </row>
  </sheetData>
  <mergeCells count="24">
    <mergeCell ref="A45:K45"/>
    <mergeCell ref="A1:K1"/>
    <mergeCell ref="A2:K2"/>
    <mergeCell ref="A4:K4"/>
    <mergeCell ref="A42:K42"/>
    <mergeCell ref="A43:K43"/>
    <mergeCell ref="A325:K325"/>
    <mergeCell ref="A273:K273"/>
    <mergeCell ref="A274:K274"/>
    <mergeCell ref="A276:K276"/>
    <mergeCell ref="A112:K112"/>
    <mergeCell ref="A113:K113"/>
    <mergeCell ref="A115:K115"/>
    <mergeCell ref="A208:K208"/>
    <mergeCell ref="A209:K209"/>
    <mergeCell ref="A211:K211"/>
    <mergeCell ref="A322:K322"/>
    <mergeCell ref="A323:K323"/>
    <mergeCell ref="A420:K420"/>
    <mergeCell ref="A421:K421"/>
    <mergeCell ref="A423:K423"/>
    <mergeCell ref="A374:K374"/>
    <mergeCell ref="A375:K375"/>
    <mergeCell ref="A377:K377"/>
  </mergeCells>
  <conditionalFormatting sqref="K1:K1048576">
    <cfRule type="containsText" dxfId="83" priority="1" operator="containsText" text="FALSO">
      <formula>NOT(ISERROR(SEARCH("FALSO",K1)))</formula>
    </cfRule>
    <cfRule type="containsText" dxfId="82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7401-951C-40E0-B7CE-C0BC67ED2D3A}">
  <sheetPr codeName="Planilha15"/>
  <dimension ref="A1:K279"/>
  <sheetViews>
    <sheetView topLeftCell="A249" workbookViewId="0">
      <selection activeCell="G273" sqref="G273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93" t="s">
        <v>150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151</v>
      </c>
      <c r="B8" s="6">
        <v>44530</v>
      </c>
      <c r="C8" s="7">
        <v>1</v>
      </c>
      <c r="D8" s="5">
        <v>7.27</v>
      </c>
      <c r="E8" s="5">
        <v>0</v>
      </c>
      <c r="F8" s="5">
        <v>14.3</v>
      </c>
      <c r="G8" s="6">
        <v>44531</v>
      </c>
      <c r="H8" s="5"/>
      <c r="I8" s="5"/>
      <c r="J8" s="5">
        <f>F8-E8</f>
        <v>14.3</v>
      </c>
      <c r="K8" s="8" t="b">
        <f>E8=F8</f>
        <v>0</v>
      </c>
    </row>
    <row r="9" spans="1:11">
      <c r="A9" s="5" t="s">
        <v>151</v>
      </c>
      <c r="B9" s="6">
        <v>44531</v>
      </c>
      <c r="C9" s="7">
        <v>0.8</v>
      </c>
      <c r="D9" s="5">
        <v>9.09</v>
      </c>
      <c r="E9" s="5">
        <v>14.3</v>
      </c>
      <c r="F9" s="5">
        <v>33</v>
      </c>
      <c r="G9" s="6">
        <v>44532</v>
      </c>
      <c r="H9" s="5"/>
      <c r="I9" s="5"/>
      <c r="J9" s="5">
        <f>F9-E9</f>
        <v>18.7</v>
      </c>
      <c r="K9" s="8" t="b">
        <f>E9=F8</f>
        <v>1</v>
      </c>
    </row>
    <row r="10" spans="1:11">
      <c r="A10" s="5" t="s">
        <v>151</v>
      </c>
      <c r="B10" s="6">
        <v>44533</v>
      </c>
      <c r="C10" s="7">
        <v>1</v>
      </c>
      <c r="D10" s="5">
        <v>7.27</v>
      </c>
      <c r="E10" s="5">
        <v>33</v>
      </c>
      <c r="F10" s="5">
        <v>47.3</v>
      </c>
      <c r="G10" s="6">
        <v>44533</v>
      </c>
      <c r="H10" s="5"/>
      <c r="I10" s="5"/>
      <c r="J10" s="5">
        <f>F10-E10</f>
        <v>14.299999999999997</v>
      </c>
      <c r="K10" s="8" t="b">
        <f t="shared" ref="K10:K29" si="0">E10=F9</f>
        <v>1</v>
      </c>
    </row>
    <row r="11" spans="1:11">
      <c r="A11" s="5" t="s">
        <v>151</v>
      </c>
      <c r="B11" s="6">
        <v>44581</v>
      </c>
      <c r="C11" s="7">
        <v>1</v>
      </c>
      <c r="D11" s="5">
        <v>7.27</v>
      </c>
      <c r="E11" s="5">
        <v>46.4</v>
      </c>
      <c r="F11" s="5">
        <v>61.7</v>
      </c>
      <c r="G11" s="6">
        <v>44581</v>
      </c>
      <c r="H11" s="5"/>
      <c r="I11" s="5"/>
      <c r="J11" s="5">
        <f>F11-E11</f>
        <v>15.300000000000004</v>
      </c>
      <c r="K11" s="8" t="b">
        <f t="shared" si="0"/>
        <v>0</v>
      </c>
    </row>
    <row r="12" spans="1:11">
      <c r="A12" s="5" t="s">
        <v>151</v>
      </c>
      <c r="B12" s="6">
        <v>44583</v>
      </c>
      <c r="C12" s="7">
        <v>0.7</v>
      </c>
      <c r="D12" s="5">
        <v>10.39</v>
      </c>
      <c r="E12" s="5">
        <v>61.7</v>
      </c>
      <c r="F12" s="5">
        <v>80.400000000000006</v>
      </c>
      <c r="G12" s="6">
        <v>44583</v>
      </c>
      <c r="H12" s="5"/>
      <c r="I12" s="5"/>
      <c r="J12" s="5">
        <f t="shared" ref="J12:J19" si="1">F12-E12</f>
        <v>18.700000000000003</v>
      </c>
      <c r="K12" s="8" t="b">
        <f t="shared" si="0"/>
        <v>1</v>
      </c>
    </row>
    <row r="13" spans="1:11">
      <c r="A13" s="5" t="s">
        <v>151</v>
      </c>
      <c r="B13" s="6">
        <v>44591</v>
      </c>
      <c r="C13" s="7">
        <v>0.7</v>
      </c>
      <c r="D13" s="5">
        <v>10.39</v>
      </c>
      <c r="E13" s="5">
        <v>80.400000000000006</v>
      </c>
      <c r="F13" s="5">
        <v>98.5</v>
      </c>
      <c r="G13" s="6">
        <v>44591</v>
      </c>
      <c r="H13" s="5"/>
      <c r="I13" s="5"/>
      <c r="J13" s="5">
        <f t="shared" si="1"/>
        <v>18.099999999999994</v>
      </c>
      <c r="K13" s="8" t="b">
        <f t="shared" si="0"/>
        <v>1</v>
      </c>
    </row>
    <row r="14" spans="1:11">
      <c r="A14" s="5" t="s">
        <v>151</v>
      </c>
      <c r="B14" s="6">
        <v>44595</v>
      </c>
      <c r="C14" s="7">
        <v>0.7</v>
      </c>
      <c r="D14" s="5">
        <v>10.39</v>
      </c>
      <c r="E14" s="5">
        <v>98.5</v>
      </c>
      <c r="F14" s="5">
        <v>111</v>
      </c>
      <c r="G14" s="6">
        <v>44595</v>
      </c>
      <c r="H14" s="5"/>
      <c r="I14" s="5"/>
      <c r="J14" s="5">
        <f t="shared" si="1"/>
        <v>12.5</v>
      </c>
      <c r="K14" s="8" t="b">
        <f t="shared" si="0"/>
        <v>1</v>
      </c>
    </row>
    <row r="15" spans="1:11">
      <c r="A15" s="5" t="s">
        <v>151</v>
      </c>
      <c r="B15" s="6">
        <v>44618</v>
      </c>
      <c r="C15" s="7">
        <v>0.8</v>
      </c>
      <c r="D15" s="5">
        <v>9.09</v>
      </c>
      <c r="E15" s="5">
        <v>111</v>
      </c>
      <c r="F15" s="5">
        <v>129.5</v>
      </c>
      <c r="G15" s="6">
        <v>44618</v>
      </c>
      <c r="H15" s="5"/>
      <c r="I15" s="5"/>
      <c r="J15" s="5">
        <f t="shared" si="1"/>
        <v>18.5</v>
      </c>
      <c r="K15" s="8" t="b">
        <f t="shared" si="0"/>
        <v>1</v>
      </c>
    </row>
    <row r="16" spans="1:11">
      <c r="A16" s="5" t="s">
        <v>151</v>
      </c>
      <c r="B16" s="6">
        <v>44621</v>
      </c>
      <c r="C16" s="7">
        <v>0.8</v>
      </c>
      <c r="D16" s="5">
        <v>9.09</v>
      </c>
      <c r="E16" s="5">
        <v>129.5</v>
      </c>
      <c r="F16" s="5">
        <v>147.30000000000001</v>
      </c>
      <c r="G16" s="6">
        <v>44621</v>
      </c>
      <c r="H16" s="5"/>
      <c r="I16" s="5"/>
      <c r="J16" s="5">
        <f t="shared" si="1"/>
        <v>17.800000000000011</v>
      </c>
      <c r="K16" s="8" t="b">
        <f t="shared" si="0"/>
        <v>1</v>
      </c>
    </row>
    <row r="17" spans="1:11">
      <c r="A17" s="25" t="s">
        <v>151</v>
      </c>
      <c r="B17" s="26">
        <v>44623</v>
      </c>
      <c r="C17" s="27">
        <v>1</v>
      </c>
      <c r="D17" s="25">
        <v>7.27</v>
      </c>
      <c r="E17" s="25">
        <v>147.30000000000001</v>
      </c>
      <c r="F17" s="25">
        <v>161.80000000000001</v>
      </c>
      <c r="G17" s="26">
        <v>44623</v>
      </c>
      <c r="H17" s="25"/>
      <c r="I17" s="25"/>
      <c r="J17" s="25">
        <f t="shared" si="1"/>
        <v>14.5</v>
      </c>
      <c r="K17" s="8" t="b">
        <f t="shared" si="0"/>
        <v>1</v>
      </c>
    </row>
    <row r="18" spans="1:11">
      <c r="A18" s="5" t="s">
        <v>151</v>
      </c>
      <c r="B18" s="6">
        <v>44624</v>
      </c>
      <c r="C18" s="7">
        <v>1</v>
      </c>
      <c r="D18" s="5">
        <v>7.27</v>
      </c>
      <c r="E18" s="5">
        <v>161.80000000000001</v>
      </c>
      <c r="F18" s="5">
        <v>176.1</v>
      </c>
      <c r="G18" s="6">
        <v>44624</v>
      </c>
      <c r="H18" s="5"/>
      <c r="I18" s="5"/>
      <c r="J18" s="5">
        <f t="shared" si="1"/>
        <v>14.299999999999983</v>
      </c>
      <c r="K18" s="8" t="b">
        <f t="shared" si="0"/>
        <v>1</v>
      </c>
    </row>
    <row r="19" spans="1:11">
      <c r="A19" s="5" t="s">
        <v>151</v>
      </c>
      <c r="B19" s="6">
        <v>44627</v>
      </c>
      <c r="C19" s="7">
        <v>0.8</v>
      </c>
      <c r="D19" s="5">
        <v>7.27</v>
      </c>
      <c r="E19" s="5">
        <v>176.1</v>
      </c>
      <c r="F19" s="5">
        <v>193.3</v>
      </c>
      <c r="G19" s="6">
        <v>44627</v>
      </c>
      <c r="H19" s="5"/>
      <c r="I19" s="5"/>
      <c r="J19" s="5">
        <f t="shared" si="1"/>
        <v>17.200000000000017</v>
      </c>
      <c r="K19" s="8" t="b">
        <f t="shared" si="0"/>
        <v>1</v>
      </c>
    </row>
    <row r="20" spans="1:11">
      <c r="A20" s="5" t="s">
        <v>151</v>
      </c>
      <c r="B20" s="6">
        <v>44638</v>
      </c>
      <c r="C20" s="7">
        <v>0.7</v>
      </c>
      <c r="D20" s="5">
        <v>10.39</v>
      </c>
      <c r="E20" s="5">
        <v>229.6</v>
      </c>
      <c r="F20" s="5">
        <v>249.3</v>
      </c>
      <c r="G20" s="6">
        <v>44638</v>
      </c>
      <c r="H20" s="5"/>
      <c r="I20" s="5"/>
      <c r="J20" s="5">
        <f t="shared" ref="J20:J42" si="2">F20-E20</f>
        <v>19.700000000000017</v>
      </c>
      <c r="K20" s="8" t="b">
        <f t="shared" si="0"/>
        <v>0</v>
      </c>
    </row>
    <row r="21" spans="1:11">
      <c r="A21" s="5" t="s">
        <v>151</v>
      </c>
      <c r="B21" s="6">
        <v>44642</v>
      </c>
      <c r="C21" s="7">
        <v>0.7</v>
      </c>
      <c r="D21" s="5">
        <v>10.39</v>
      </c>
      <c r="E21" s="5">
        <v>249.3</v>
      </c>
      <c r="F21" s="5">
        <v>269.8</v>
      </c>
      <c r="G21" s="6">
        <v>44642</v>
      </c>
      <c r="H21" s="5"/>
      <c r="I21" s="5"/>
      <c r="J21" s="5">
        <f t="shared" si="2"/>
        <v>20.5</v>
      </c>
      <c r="K21" s="8" t="b">
        <f t="shared" si="0"/>
        <v>1</v>
      </c>
    </row>
    <row r="22" spans="1:11">
      <c r="A22" s="5" t="s">
        <v>151</v>
      </c>
      <c r="B22" s="6">
        <v>44645</v>
      </c>
      <c r="C22" s="7">
        <v>0.7</v>
      </c>
      <c r="D22" s="5">
        <v>10.39</v>
      </c>
      <c r="E22" s="5">
        <v>269.8</v>
      </c>
      <c r="F22" s="5">
        <v>290.89999999999998</v>
      </c>
      <c r="G22" s="6">
        <v>44645</v>
      </c>
      <c r="H22" s="5"/>
      <c r="I22" s="5"/>
      <c r="J22" s="5">
        <f t="shared" si="2"/>
        <v>21.099999999999966</v>
      </c>
      <c r="K22" s="8" t="b">
        <f t="shared" si="0"/>
        <v>1</v>
      </c>
    </row>
    <row r="23" spans="1:11">
      <c r="A23" s="5" t="s">
        <v>151</v>
      </c>
      <c r="B23" s="6">
        <v>44647</v>
      </c>
      <c r="C23" s="7">
        <v>0.7</v>
      </c>
      <c r="D23" s="5">
        <v>10.39</v>
      </c>
      <c r="E23" s="5">
        <v>290.89999999999998</v>
      </c>
      <c r="F23" s="5">
        <v>310.5</v>
      </c>
      <c r="G23" s="6">
        <v>44647</v>
      </c>
      <c r="H23" s="5"/>
      <c r="I23" s="5"/>
      <c r="J23" s="5">
        <f t="shared" si="2"/>
        <v>19.600000000000023</v>
      </c>
      <c r="K23" s="8" t="b">
        <f>E23=F22</f>
        <v>1</v>
      </c>
    </row>
    <row r="24" spans="1:11">
      <c r="A24" s="5" t="s">
        <v>151</v>
      </c>
      <c r="B24" s="6">
        <v>44650</v>
      </c>
      <c r="C24" s="7">
        <v>0.7</v>
      </c>
      <c r="D24" s="5">
        <v>10.39</v>
      </c>
      <c r="E24" s="5">
        <v>310.5</v>
      </c>
      <c r="F24" s="5">
        <v>331</v>
      </c>
      <c r="G24" s="6">
        <v>44650</v>
      </c>
      <c r="H24" s="5"/>
      <c r="I24" s="5"/>
      <c r="J24" s="5">
        <f t="shared" si="2"/>
        <v>20.5</v>
      </c>
      <c r="K24" s="8" t="b">
        <f t="shared" si="0"/>
        <v>1</v>
      </c>
    </row>
    <row r="25" spans="1:11">
      <c r="A25" s="39" t="s">
        <v>151</v>
      </c>
      <c r="B25" s="40"/>
      <c r="C25" s="41"/>
      <c r="D25" s="39"/>
      <c r="E25" s="39"/>
      <c r="F25" s="39"/>
      <c r="G25" s="40"/>
      <c r="H25" s="39"/>
      <c r="I25" s="39"/>
      <c r="J25" s="39">
        <f t="shared" si="2"/>
        <v>0</v>
      </c>
      <c r="K25" s="8" t="b">
        <f t="shared" si="0"/>
        <v>0</v>
      </c>
    </row>
    <row r="26" spans="1:11">
      <c r="A26" s="39" t="s">
        <v>151</v>
      </c>
      <c r="B26" s="40"/>
      <c r="C26" s="41"/>
      <c r="D26" s="39"/>
      <c r="E26" s="39"/>
      <c r="F26" s="39"/>
      <c r="G26" s="40"/>
      <c r="H26" s="39"/>
      <c r="I26" s="39"/>
      <c r="J26" s="39">
        <f t="shared" si="2"/>
        <v>0</v>
      </c>
      <c r="K26" s="8" t="b">
        <f t="shared" si="0"/>
        <v>1</v>
      </c>
    </row>
    <row r="27" spans="1:11">
      <c r="A27" s="39" t="s">
        <v>151</v>
      </c>
      <c r="B27" s="40"/>
      <c r="C27" s="41"/>
      <c r="D27" s="39"/>
      <c r="E27" s="39"/>
      <c r="F27" s="39"/>
      <c r="G27" s="40"/>
      <c r="H27" s="39"/>
      <c r="I27" s="39"/>
      <c r="J27" s="39">
        <f t="shared" si="2"/>
        <v>0</v>
      </c>
      <c r="K27" s="8" t="b">
        <f t="shared" si="0"/>
        <v>1</v>
      </c>
    </row>
    <row r="28" spans="1:11">
      <c r="A28" s="39" t="s">
        <v>151</v>
      </c>
      <c r="B28" s="40"/>
      <c r="C28" s="41"/>
      <c r="D28" s="39"/>
      <c r="E28" s="39"/>
      <c r="F28" s="39"/>
      <c r="G28" s="40"/>
      <c r="H28" s="39"/>
      <c r="I28" s="39"/>
      <c r="J28" s="39">
        <f t="shared" si="2"/>
        <v>0</v>
      </c>
      <c r="K28" s="8" t="b">
        <f t="shared" si="0"/>
        <v>1</v>
      </c>
    </row>
    <row r="29" spans="1:11">
      <c r="A29" s="39" t="s">
        <v>151</v>
      </c>
      <c r="B29" s="40"/>
      <c r="C29" s="41"/>
      <c r="D29" s="39"/>
      <c r="E29" s="39"/>
      <c r="F29" s="39"/>
      <c r="G29" s="40"/>
      <c r="H29" s="39"/>
      <c r="I29" s="39"/>
      <c r="J29" s="39">
        <f t="shared" si="2"/>
        <v>0</v>
      </c>
      <c r="K29" s="8" t="b">
        <f t="shared" si="0"/>
        <v>1</v>
      </c>
    </row>
    <row r="30" spans="1:11">
      <c r="A30" s="5" t="s">
        <v>151</v>
      </c>
      <c r="B30" s="6">
        <v>44677</v>
      </c>
      <c r="C30" s="7">
        <v>0.55000000000000004</v>
      </c>
      <c r="D30" s="5">
        <v>13.22</v>
      </c>
      <c r="E30" s="5">
        <v>436.3</v>
      </c>
      <c r="F30" s="5">
        <v>449.8</v>
      </c>
      <c r="G30" s="6">
        <v>44677</v>
      </c>
      <c r="H30" s="5"/>
      <c r="I30" s="5"/>
      <c r="J30" s="5">
        <f t="shared" si="2"/>
        <v>13.5</v>
      </c>
      <c r="K30" s="8" t="b">
        <f>E30=F29</f>
        <v>0</v>
      </c>
    </row>
    <row r="31" spans="1:11">
      <c r="A31" s="5" t="s">
        <v>151</v>
      </c>
      <c r="B31" s="6">
        <v>44678</v>
      </c>
      <c r="C31" s="7">
        <v>0.55000000000000004</v>
      </c>
      <c r="D31" s="5">
        <v>13.22</v>
      </c>
      <c r="E31" s="5">
        <v>449.8</v>
      </c>
      <c r="F31" s="5">
        <v>463.6</v>
      </c>
      <c r="G31" s="6">
        <v>44678</v>
      </c>
      <c r="H31" s="5"/>
      <c r="I31" s="5"/>
      <c r="J31" s="5">
        <f t="shared" si="2"/>
        <v>13.800000000000011</v>
      </c>
      <c r="K31" s="8" t="b">
        <f t="shared" ref="K31:K44" si="3">E31=F30</f>
        <v>1</v>
      </c>
    </row>
    <row r="32" spans="1:11">
      <c r="A32" s="5" t="s">
        <v>151</v>
      </c>
      <c r="B32" s="6">
        <v>44679</v>
      </c>
      <c r="C32" s="7">
        <v>0.55000000000000004</v>
      </c>
      <c r="D32" s="5">
        <v>13.22</v>
      </c>
      <c r="E32" s="5">
        <v>463.6</v>
      </c>
      <c r="F32" s="5">
        <v>484.4</v>
      </c>
      <c r="G32" s="6">
        <v>44679</v>
      </c>
      <c r="H32" s="5"/>
      <c r="I32" s="5"/>
      <c r="J32" s="5">
        <f t="shared" si="2"/>
        <v>20.799999999999955</v>
      </c>
      <c r="K32" s="8" t="b">
        <f t="shared" si="3"/>
        <v>1</v>
      </c>
    </row>
    <row r="33" spans="1:11">
      <c r="A33" s="5" t="s">
        <v>151</v>
      </c>
      <c r="B33" s="6">
        <v>44681</v>
      </c>
      <c r="C33" s="7">
        <v>0.55000000000000004</v>
      </c>
      <c r="D33" s="5">
        <v>13.22</v>
      </c>
      <c r="E33" s="5">
        <v>484.4</v>
      </c>
      <c r="F33" s="5">
        <v>496.9</v>
      </c>
      <c r="G33" s="6">
        <v>44681</v>
      </c>
      <c r="H33" s="5"/>
      <c r="I33" s="5"/>
      <c r="J33" s="5">
        <f t="shared" si="2"/>
        <v>12.5</v>
      </c>
      <c r="K33" s="8" t="b">
        <f t="shared" si="3"/>
        <v>1</v>
      </c>
    </row>
    <row r="34" spans="1:11">
      <c r="A34" s="5" t="s">
        <v>151</v>
      </c>
      <c r="B34" s="6">
        <v>44682</v>
      </c>
      <c r="C34" s="7">
        <v>0.55000000000000004</v>
      </c>
      <c r="D34" s="5">
        <v>13.22</v>
      </c>
      <c r="E34" s="5">
        <v>496.9</v>
      </c>
      <c r="F34" s="5">
        <v>510.7</v>
      </c>
      <c r="G34" s="6">
        <v>44682</v>
      </c>
      <c r="H34" s="5"/>
      <c r="I34" s="5"/>
      <c r="J34" s="5">
        <f t="shared" si="2"/>
        <v>13.800000000000011</v>
      </c>
      <c r="K34" s="8" t="b">
        <f t="shared" si="3"/>
        <v>1</v>
      </c>
    </row>
    <row r="35" spans="1:11">
      <c r="A35" s="5" t="s">
        <v>151</v>
      </c>
      <c r="B35" s="6">
        <v>44684</v>
      </c>
      <c r="C35" s="7">
        <v>0.55000000000000004</v>
      </c>
      <c r="D35" s="5">
        <v>13.22</v>
      </c>
      <c r="E35" s="5">
        <v>510.7</v>
      </c>
      <c r="F35" s="5">
        <v>523.4</v>
      </c>
      <c r="G35" s="6">
        <v>44684</v>
      </c>
      <c r="H35" s="5"/>
      <c r="I35" s="5"/>
      <c r="J35" s="5">
        <f t="shared" si="2"/>
        <v>12.699999999999989</v>
      </c>
      <c r="K35" s="8" t="b">
        <f t="shared" si="3"/>
        <v>1</v>
      </c>
    </row>
    <row r="36" spans="1:11">
      <c r="A36" s="5" t="s">
        <v>151</v>
      </c>
      <c r="B36" s="6">
        <v>44685</v>
      </c>
      <c r="C36" s="7">
        <v>0.55000000000000004</v>
      </c>
      <c r="D36" s="5">
        <v>13.22</v>
      </c>
      <c r="E36" s="5">
        <v>523.4</v>
      </c>
      <c r="F36" s="5">
        <v>536.9</v>
      </c>
      <c r="G36" s="6">
        <v>44685</v>
      </c>
      <c r="H36" s="5"/>
      <c r="I36" s="5"/>
      <c r="J36" s="5">
        <f t="shared" si="2"/>
        <v>13.5</v>
      </c>
      <c r="K36" s="8" t="b">
        <f t="shared" si="3"/>
        <v>1</v>
      </c>
    </row>
    <row r="37" spans="1:11">
      <c r="A37" s="5" t="s">
        <v>151</v>
      </c>
      <c r="B37" s="6">
        <v>44687</v>
      </c>
      <c r="C37" s="7">
        <v>0.55000000000000004</v>
      </c>
      <c r="D37" s="5">
        <v>13.22</v>
      </c>
      <c r="E37" s="5">
        <v>536.9</v>
      </c>
      <c r="F37" s="5">
        <v>549.29999999999995</v>
      </c>
      <c r="G37" s="6">
        <v>44687</v>
      </c>
      <c r="H37" s="5"/>
      <c r="I37" s="5"/>
      <c r="J37" s="5">
        <f t="shared" si="2"/>
        <v>12.399999999999977</v>
      </c>
      <c r="K37" s="8" t="b">
        <f t="shared" si="3"/>
        <v>1</v>
      </c>
    </row>
    <row r="38" spans="1:11">
      <c r="A38" s="5" t="s">
        <v>151</v>
      </c>
      <c r="B38" s="6">
        <v>44719</v>
      </c>
      <c r="C38" s="7">
        <v>0.55000000000000004</v>
      </c>
      <c r="D38" s="5">
        <v>13.22</v>
      </c>
      <c r="E38" s="5">
        <v>549.29999999999995</v>
      </c>
      <c r="F38" s="5">
        <v>562.70000000000005</v>
      </c>
      <c r="G38" s="6">
        <v>44688</v>
      </c>
      <c r="H38" s="5"/>
      <c r="I38" s="5"/>
      <c r="J38" s="5">
        <f t="shared" si="2"/>
        <v>13.400000000000091</v>
      </c>
      <c r="K38" s="8" t="b">
        <f t="shared" si="3"/>
        <v>1</v>
      </c>
    </row>
    <row r="39" spans="1:11">
      <c r="A39" s="5" t="s">
        <v>151</v>
      </c>
      <c r="B39" s="6">
        <v>44691</v>
      </c>
      <c r="C39" s="7">
        <v>0.55000000000000004</v>
      </c>
      <c r="D39" s="5">
        <v>13.22</v>
      </c>
      <c r="E39" s="5">
        <v>562.70000000000005</v>
      </c>
      <c r="F39" s="5">
        <v>577.1</v>
      </c>
      <c r="G39" s="6">
        <v>44691</v>
      </c>
      <c r="H39" s="5"/>
      <c r="I39" s="5"/>
      <c r="J39" s="5">
        <f t="shared" si="2"/>
        <v>14.399999999999977</v>
      </c>
      <c r="K39" s="8" t="b">
        <f t="shared" si="3"/>
        <v>1</v>
      </c>
    </row>
    <row r="40" spans="1:11">
      <c r="A40" s="5" t="s">
        <v>151</v>
      </c>
      <c r="B40" s="6">
        <v>44692</v>
      </c>
      <c r="C40" s="7">
        <v>0.55000000000000004</v>
      </c>
      <c r="D40" s="5">
        <v>13.22</v>
      </c>
      <c r="E40" s="5">
        <v>577.1</v>
      </c>
      <c r="F40" s="5">
        <v>590.6</v>
      </c>
      <c r="G40" s="6">
        <v>44692</v>
      </c>
      <c r="H40" s="5"/>
      <c r="I40" s="5"/>
      <c r="J40" s="5">
        <f t="shared" si="2"/>
        <v>13.5</v>
      </c>
      <c r="K40" s="8" t="b">
        <f t="shared" si="3"/>
        <v>1</v>
      </c>
    </row>
    <row r="41" spans="1:11">
      <c r="A41" s="5" t="s">
        <v>151</v>
      </c>
      <c r="B41" s="6">
        <v>44694</v>
      </c>
      <c r="C41" s="7">
        <v>0.55000000000000004</v>
      </c>
      <c r="D41" s="5">
        <v>13.22</v>
      </c>
      <c r="E41" s="5">
        <v>590.6</v>
      </c>
      <c r="F41" s="5">
        <v>605.4</v>
      </c>
      <c r="G41" s="6">
        <v>44694</v>
      </c>
      <c r="H41" s="5"/>
      <c r="I41" s="5"/>
      <c r="J41" s="5">
        <f t="shared" si="2"/>
        <v>14.799999999999955</v>
      </c>
      <c r="K41" s="8" t="b">
        <f t="shared" si="3"/>
        <v>1</v>
      </c>
    </row>
    <row r="42" spans="1:11">
      <c r="A42" s="5" t="s">
        <v>151</v>
      </c>
      <c r="B42" s="6">
        <v>44695</v>
      </c>
      <c r="C42" s="7">
        <v>0.5</v>
      </c>
      <c r="D42" s="5">
        <v>14.54</v>
      </c>
      <c r="E42" s="5">
        <v>605.4</v>
      </c>
      <c r="F42" s="5">
        <v>616.4</v>
      </c>
      <c r="G42" s="6">
        <v>44695</v>
      </c>
      <c r="H42" s="5"/>
      <c r="I42" s="5"/>
      <c r="J42" s="5">
        <f t="shared" si="2"/>
        <v>11</v>
      </c>
      <c r="K42" s="8" t="b">
        <f t="shared" si="3"/>
        <v>1</v>
      </c>
    </row>
    <row r="43" spans="1:11">
      <c r="A43" s="5"/>
      <c r="B43" s="6"/>
      <c r="C43" s="7"/>
      <c r="D43" s="5"/>
      <c r="E43" s="5"/>
      <c r="F43" s="5"/>
      <c r="G43" s="6"/>
      <c r="H43" s="5"/>
      <c r="I43" s="5"/>
      <c r="J43" s="5"/>
      <c r="K43" s="8" t="b">
        <f t="shared" si="3"/>
        <v>0</v>
      </c>
    </row>
    <row r="44" spans="1:11">
      <c r="A44" s="5"/>
      <c r="B44" s="6"/>
      <c r="C44" s="7"/>
      <c r="D44" s="5"/>
      <c r="E44" s="5"/>
      <c r="F44" s="5"/>
      <c r="G44" s="6"/>
      <c r="H44" s="5"/>
      <c r="I44" s="5"/>
      <c r="J44" s="5"/>
      <c r="K44" s="8" t="b">
        <f t="shared" si="3"/>
        <v>1</v>
      </c>
    </row>
    <row r="47" spans="1:11" ht="26.25">
      <c r="A47" s="135" t="s">
        <v>150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7"/>
    </row>
    <row r="48" spans="1:11" ht="26.25">
      <c r="A48" s="138" t="s">
        <v>16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40"/>
    </row>
    <row r="49" spans="1:11" ht="15.75" thickBot="1"/>
    <row r="50" spans="1:11" ht="15.75" thickBot="1">
      <c r="A50" s="132" t="s">
        <v>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4"/>
    </row>
    <row r="52" spans="1:11" ht="19.5" thickBot="1">
      <c r="A52" s="1" t="s">
        <v>3</v>
      </c>
      <c r="B52" s="1"/>
      <c r="C52" s="1"/>
      <c r="D52" s="1"/>
      <c r="E52" s="1"/>
      <c r="F52" s="1"/>
      <c r="G52" s="1"/>
      <c r="H52" s="1"/>
      <c r="I52" s="1"/>
    </row>
    <row r="53" spans="1:11" ht="30.75" thickBot="1">
      <c r="A53" s="2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9</v>
      </c>
      <c r="G53" s="3" t="s">
        <v>10</v>
      </c>
      <c r="H53" s="3" t="s">
        <v>21</v>
      </c>
      <c r="I53" s="4" t="s">
        <v>22</v>
      </c>
      <c r="J53" s="4" t="s">
        <v>11</v>
      </c>
      <c r="K53" s="4" t="s">
        <v>12</v>
      </c>
    </row>
    <row r="54" spans="1:11">
      <c r="A54" s="5" t="s">
        <v>151</v>
      </c>
      <c r="B54" s="6">
        <v>44728</v>
      </c>
      <c r="C54" s="7">
        <v>0.6</v>
      </c>
      <c r="D54" s="5">
        <v>12.12</v>
      </c>
      <c r="E54" s="5">
        <v>616.4</v>
      </c>
      <c r="F54" s="5">
        <v>628.29999999999995</v>
      </c>
      <c r="G54" s="6">
        <v>44728</v>
      </c>
      <c r="H54" s="5"/>
      <c r="I54" s="5"/>
      <c r="J54" s="5">
        <f t="shared" ref="J54:J78" si="4">F54-E54</f>
        <v>11.899999999999977</v>
      </c>
      <c r="K54" s="53" t="b">
        <f>E54=F42</f>
        <v>1</v>
      </c>
    </row>
    <row r="55" spans="1:11">
      <c r="A55" s="5" t="s">
        <v>151</v>
      </c>
      <c r="B55" s="6">
        <v>44729</v>
      </c>
      <c r="C55" s="7">
        <v>0.6</v>
      </c>
      <c r="D55" s="5">
        <v>12.12</v>
      </c>
      <c r="E55" s="5">
        <v>628.29999999999995</v>
      </c>
      <c r="F55" s="5">
        <v>640.20000000000005</v>
      </c>
      <c r="G55" s="6">
        <v>44729</v>
      </c>
      <c r="H55" s="5"/>
      <c r="I55" s="5"/>
      <c r="J55" s="5">
        <f t="shared" si="4"/>
        <v>11.900000000000091</v>
      </c>
      <c r="K55" s="53" t="b">
        <f>E55=F54</f>
        <v>1</v>
      </c>
    </row>
    <row r="56" spans="1:11">
      <c r="A56" s="5" t="s">
        <v>151</v>
      </c>
      <c r="B56" s="6">
        <v>44731</v>
      </c>
      <c r="C56" s="7">
        <v>1</v>
      </c>
      <c r="D56" s="5">
        <v>8.08</v>
      </c>
      <c r="E56" s="5">
        <v>640.20000000000005</v>
      </c>
      <c r="F56" s="5">
        <v>647.6</v>
      </c>
      <c r="G56" s="6">
        <v>44731</v>
      </c>
      <c r="H56" s="5"/>
      <c r="I56" s="5"/>
      <c r="J56" s="5">
        <f t="shared" si="4"/>
        <v>7.3999999999999773</v>
      </c>
      <c r="K56" s="53" t="b">
        <f t="shared" ref="K56:K119" si="5">E56=F55</f>
        <v>1</v>
      </c>
    </row>
    <row r="57" spans="1:11">
      <c r="A57" s="5" t="s">
        <v>151</v>
      </c>
      <c r="B57" s="6">
        <v>44731</v>
      </c>
      <c r="C57" s="7">
        <v>0.8</v>
      </c>
      <c r="D57" s="5">
        <v>9.09</v>
      </c>
      <c r="E57" s="5">
        <v>647.6</v>
      </c>
      <c r="F57" s="5">
        <v>654.9</v>
      </c>
      <c r="G57" s="6">
        <v>44731</v>
      </c>
      <c r="H57" s="5"/>
      <c r="I57" s="5"/>
      <c r="J57" s="5">
        <f t="shared" si="4"/>
        <v>7.2999999999999545</v>
      </c>
      <c r="K57" s="53" t="b">
        <f t="shared" si="5"/>
        <v>1</v>
      </c>
    </row>
    <row r="58" spans="1:11">
      <c r="A58" s="5" t="s">
        <v>151</v>
      </c>
      <c r="B58" s="6">
        <v>44733</v>
      </c>
      <c r="C58" s="7">
        <v>0.6</v>
      </c>
      <c r="D58" s="5">
        <v>12.12</v>
      </c>
      <c r="E58" s="5">
        <v>654.9</v>
      </c>
      <c r="F58" s="5">
        <v>667.2</v>
      </c>
      <c r="G58" s="6">
        <v>44733</v>
      </c>
      <c r="H58" s="5"/>
      <c r="I58" s="5"/>
      <c r="J58" s="5">
        <f t="shared" si="4"/>
        <v>12.300000000000068</v>
      </c>
      <c r="K58" s="53" t="b">
        <f t="shared" si="5"/>
        <v>1</v>
      </c>
    </row>
    <row r="59" spans="1:11">
      <c r="A59" s="5" t="s">
        <v>151</v>
      </c>
      <c r="B59" s="6">
        <v>44737</v>
      </c>
      <c r="C59" s="7">
        <v>0.6</v>
      </c>
      <c r="D59" s="5">
        <v>12.12</v>
      </c>
      <c r="E59" s="5">
        <v>667.2</v>
      </c>
      <c r="F59" s="5">
        <v>679</v>
      </c>
      <c r="G59" s="6">
        <v>44737</v>
      </c>
      <c r="H59" s="5"/>
      <c r="I59" s="5"/>
      <c r="J59" s="5">
        <f t="shared" si="4"/>
        <v>11.799999999999955</v>
      </c>
      <c r="K59" s="53" t="b">
        <f t="shared" si="5"/>
        <v>1</v>
      </c>
    </row>
    <row r="60" spans="1:11">
      <c r="A60" s="5" t="s">
        <v>151</v>
      </c>
      <c r="B60" s="6">
        <v>44741</v>
      </c>
      <c r="C60" s="7">
        <v>0.6</v>
      </c>
      <c r="D60" s="5">
        <v>12.12</v>
      </c>
      <c r="E60" s="5">
        <v>679</v>
      </c>
      <c r="F60" s="5">
        <v>689.2</v>
      </c>
      <c r="G60" s="6">
        <v>44741</v>
      </c>
      <c r="H60" s="5"/>
      <c r="I60" s="5"/>
      <c r="J60" s="5">
        <f t="shared" si="4"/>
        <v>10.200000000000045</v>
      </c>
      <c r="K60" s="53" t="b">
        <f t="shared" si="5"/>
        <v>1</v>
      </c>
    </row>
    <row r="61" spans="1:11">
      <c r="A61" s="5" t="s">
        <v>151</v>
      </c>
      <c r="B61" s="6">
        <v>44742</v>
      </c>
      <c r="C61" s="7">
        <v>0.6</v>
      </c>
      <c r="D61" s="5">
        <v>12.12</v>
      </c>
      <c r="E61" s="5">
        <v>689.2</v>
      </c>
      <c r="F61" s="5">
        <v>699.5</v>
      </c>
      <c r="G61" s="6">
        <v>44742</v>
      </c>
      <c r="H61" s="5"/>
      <c r="I61" s="5"/>
      <c r="J61" s="5">
        <f t="shared" si="4"/>
        <v>10.299999999999955</v>
      </c>
      <c r="K61" s="53" t="b">
        <f t="shared" si="5"/>
        <v>1</v>
      </c>
    </row>
    <row r="62" spans="1:11">
      <c r="A62" s="5" t="s">
        <v>151</v>
      </c>
      <c r="B62" s="6">
        <v>44744</v>
      </c>
      <c r="C62" s="7">
        <v>0.6</v>
      </c>
      <c r="D62" s="5">
        <v>12.12</v>
      </c>
      <c r="E62" s="5">
        <v>699.5</v>
      </c>
      <c r="F62" s="5">
        <v>719.1</v>
      </c>
      <c r="G62" s="6">
        <v>44744</v>
      </c>
      <c r="H62" s="5"/>
      <c r="I62" s="5"/>
      <c r="J62" s="5">
        <f t="shared" si="4"/>
        <v>19.600000000000023</v>
      </c>
      <c r="K62" s="53" t="b">
        <f t="shared" si="5"/>
        <v>1</v>
      </c>
    </row>
    <row r="63" spans="1:11">
      <c r="A63" s="5" t="s">
        <v>151</v>
      </c>
      <c r="B63" s="6">
        <v>44745</v>
      </c>
      <c r="C63" s="7">
        <v>0.6</v>
      </c>
      <c r="D63" s="5">
        <v>12.12</v>
      </c>
      <c r="E63" s="5">
        <v>719.1</v>
      </c>
      <c r="F63" s="5">
        <v>723.3</v>
      </c>
      <c r="G63" s="6">
        <v>44745</v>
      </c>
      <c r="H63" s="5"/>
      <c r="I63" s="5"/>
      <c r="J63" s="5">
        <f t="shared" si="4"/>
        <v>4.1999999999999318</v>
      </c>
      <c r="K63" s="53" t="b">
        <f t="shared" si="5"/>
        <v>1</v>
      </c>
    </row>
    <row r="64" spans="1:11">
      <c r="A64" s="5" t="s">
        <v>151</v>
      </c>
      <c r="B64" s="6">
        <v>44746</v>
      </c>
      <c r="C64" s="7">
        <v>1</v>
      </c>
      <c r="D64" s="5">
        <v>7.27</v>
      </c>
      <c r="E64" s="5">
        <v>723.3</v>
      </c>
      <c r="F64" s="5">
        <v>738.6</v>
      </c>
      <c r="G64" s="6">
        <v>44746</v>
      </c>
      <c r="H64" s="5"/>
      <c r="I64" s="5"/>
      <c r="J64" s="5">
        <f t="shared" si="4"/>
        <v>15.300000000000068</v>
      </c>
      <c r="K64" s="53" t="b">
        <f t="shared" si="5"/>
        <v>1</v>
      </c>
    </row>
    <row r="65" spans="1:11">
      <c r="A65" s="5" t="s">
        <v>151</v>
      </c>
      <c r="B65" s="6">
        <v>44747</v>
      </c>
      <c r="C65" s="7">
        <v>1</v>
      </c>
      <c r="D65" s="5">
        <v>7.27</v>
      </c>
      <c r="E65" s="5">
        <v>738.6</v>
      </c>
      <c r="F65" s="5">
        <v>752.2</v>
      </c>
      <c r="G65" s="6">
        <v>44747</v>
      </c>
      <c r="H65" s="5"/>
      <c r="I65" s="5"/>
      <c r="J65" s="5">
        <f t="shared" si="4"/>
        <v>13.600000000000023</v>
      </c>
      <c r="K65" s="53" t="b">
        <f t="shared" si="5"/>
        <v>1</v>
      </c>
    </row>
    <row r="66" spans="1:11">
      <c r="A66" s="5" t="s">
        <v>151</v>
      </c>
      <c r="B66" s="6">
        <v>44749</v>
      </c>
      <c r="C66" s="7">
        <v>1</v>
      </c>
      <c r="D66" s="5">
        <v>7.27</v>
      </c>
      <c r="E66" s="5">
        <v>752.2</v>
      </c>
      <c r="F66" s="5">
        <v>767.8</v>
      </c>
      <c r="G66" s="6">
        <v>44749</v>
      </c>
      <c r="H66" s="5"/>
      <c r="I66" s="5"/>
      <c r="J66" s="5">
        <f t="shared" si="4"/>
        <v>15.599999999999909</v>
      </c>
      <c r="K66" s="53" t="b">
        <f t="shared" si="5"/>
        <v>1</v>
      </c>
    </row>
    <row r="67" spans="1:11">
      <c r="A67" s="5" t="s">
        <v>151</v>
      </c>
      <c r="B67" s="6">
        <v>44751</v>
      </c>
      <c r="C67" s="7">
        <v>1</v>
      </c>
      <c r="D67" s="5">
        <v>7.27</v>
      </c>
      <c r="E67" s="5">
        <v>767.8</v>
      </c>
      <c r="F67" s="5">
        <v>781.3</v>
      </c>
      <c r="G67" s="6">
        <v>44751</v>
      </c>
      <c r="H67" s="5"/>
      <c r="I67" s="5"/>
      <c r="J67" s="5">
        <f t="shared" si="4"/>
        <v>13.5</v>
      </c>
      <c r="K67" s="53" t="b">
        <f t="shared" si="5"/>
        <v>1</v>
      </c>
    </row>
    <row r="68" spans="1:11">
      <c r="A68" s="5" t="s">
        <v>151</v>
      </c>
      <c r="B68" s="6">
        <v>44752</v>
      </c>
      <c r="C68" s="7">
        <v>1</v>
      </c>
      <c r="D68" s="5">
        <v>7.27</v>
      </c>
      <c r="E68" s="5">
        <v>195.2</v>
      </c>
      <c r="F68" s="5">
        <v>209</v>
      </c>
      <c r="G68" s="6">
        <v>44752</v>
      </c>
      <c r="H68" s="5"/>
      <c r="I68" s="5"/>
      <c r="J68" s="5">
        <f t="shared" si="4"/>
        <v>13.800000000000011</v>
      </c>
      <c r="K68" s="53" t="b">
        <f t="shared" si="5"/>
        <v>0</v>
      </c>
    </row>
    <row r="69" spans="1:11">
      <c r="A69" s="5" t="s">
        <v>151</v>
      </c>
      <c r="B69" s="6">
        <v>44753</v>
      </c>
      <c r="C69" s="7">
        <v>1</v>
      </c>
      <c r="D69" s="5">
        <v>7.27</v>
      </c>
      <c r="E69" s="5">
        <v>209</v>
      </c>
      <c r="F69" s="5">
        <v>224.1</v>
      </c>
      <c r="G69" s="6">
        <v>44753</v>
      </c>
      <c r="H69" s="5"/>
      <c r="I69" s="5"/>
      <c r="J69" s="5">
        <f t="shared" si="4"/>
        <v>15.099999999999994</v>
      </c>
      <c r="K69" s="53" t="b">
        <f t="shared" si="5"/>
        <v>1</v>
      </c>
    </row>
    <row r="70" spans="1:11">
      <c r="A70" s="5" t="s">
        <v>151</v>
      </c>
      <c r="B70" s="6">
        <v>44724</v>
      </c>
      <c r="C70" s="7">
        <v>1</v>
      </c>
      <c r="D70" s="5">
        <v>7.27</v>
      </c>
      <c r="E70" s="5">
        <v>224.1</v>
      </c>
      <c r="F70" s="5">
        <v>238.7</v>
      </c>
      <c r="G70" s="6">
        <v>44754</v>
      </c>
      <c r="H70" s="5"/>
      <c r="I70" s="5"/>
      <c r="J70" s="5">
        <f t="shared" si="4"/>
        <v>14.599999999999994</v>
      </c>
      <c r="K70" s="53" t="b">
        <f t="shared" si="5"/>
        <v>1</v>
      </c>
    </row>
    <row r="71" spans="1:11">
      <c r="A71" s="5" t="s">
        <v>151</v>
      </c>
      <c r="B71" s="6">
        <v>44755</v>
      </c>
      <c r="C71" s="7">
        <v>1</v>
      </c>
      <c r="D71" s="5">
        <v>7.27</v>
      </c>
      <c r="E71" s="5">
        <v>238.7</v>
      </c>
      <c r="F71" s="5">
        <v>245.2</v>
      </c>
      <c r="G71" s="6">
        <v>44755</v>
      </c>
      <c r="H71" s="5"/>
      <c r="I71" s="5"/>
      <c r="J71" s="5">
        <f t="shared" si="4"/>
        <v>6.5</v>
      </c>
      <c r="K71" s="53" t="b">
        <f t="shared" si="5"/>
        <v>1</v>
      </c>
    </row>
    <row r="72" spans="1:11">
      <c r="A72" s="5" t="s">
        <v>151</v>
      </c>
      <c r="B72" s="6">
        <v>44756</v>
      </c>
      <c r="C72" s="7">
        <v>1</v>
      </c>
      <c r="D72" s="5">
        <v>7.27</v>
      </c>
      <c r="E72" s="5">
        <v>245.2</v>
      </c>
      <c r="F72" s="5">
        <v>259.39999999999998</v>
      </c>
      <c r="G72" s="6">
        <v>44756</v>
      </c>
      <c r="H72" s="5"/>
      <c r="I72" s="5"/>
      <c r="J72" s="5">
        <f t="shared" si="4"/>
        <v>14.199999999999989</v>
      </c>
      <c r="K72" s="53" t="b">
        <f t="shared" si="5"/>
        <v>1</v>
      </c>
    </row>
    <row r="73" spans="1:11">
      <c r="A73" s="5" t="s">
        <v>151</v>
      </c>
      <c r="B73" s="6">
        <v>44757</v>
      </c>
      <c r="C73" s="7">
        <v>1</v>
      </c>
      <c r="D73" s="5">
        <v>7.27</v>
      </c>
      <c r="E73" s="5">
        <v>259.39999999999998</v>
      </c>
      <c r="F73" s="5">
        <v>273.5</v>
      </c>
      <c r="G73" s="6">
        <v>44757</v>
      </c>
      <c r="H73" s="5"/>
      <c r="I73" s="5"/>
      <c r="J73" s="5">
        <f t="shared" si="4"/>
        <v>14.100000000000023</v>
      </c>
      <c r="K73" s="53" t="b">
        <f t="shared" si="5"/>
        <v>1</v>
      </c>
    </row>
    <row r="74" spans="1:11">
      <c r="A74" s="5" t="s">
        <v>151</v>
      </c>
      <c r="B74" s="6">
        <v>44758</v>
      </c>
      <c r="C74" s="7">
        <v>1</v>
      </c>
      <c r="D74" s="5">
        <v>7.27</v>
      </c>
      <c r="E74" s="5">
        <v>273.5</v>
      </c>
      <c r="F74" s="5">
        <v>288.2</v>
      </c>
      <c r="G74" s="6">
        <v>44758</v>
      </c>
      <c r="H74" s="5"/>
      <c r="I74" s="5"/>
      <c r="J74" s="5">
        <f t="shared" si="4"/>
        <v>14.699999999999989</v>
      </c>
      <c r="K74" s="53" t="b">
        <f t="shared" si="5"/>
        <v>1</v>
      </c>
    </row>
    <row r="75" spans="1:11">
      <c r="A75" s="5" t="s">
        <v>151</v>
      </c>
      <c r="B75" s="6">
        <v>44760</v>
      </c>
      <c r="C75" s="7">
        <v>1</v>
      </c>
      <c r="D75" s="5">
        <v>7.27</v>
      </c>
      <c r="E75" s="5">
        <v>288.2</v>
      </c>
      <c r="F75" s="5">
        <v>302.2</v>
      </c>
      <c r="G75" s="6">
        <v>44760</v>
      </c>
      <c r="H75" s="5"/>
      <c r="I75" s="5"/>
      <c r="J75" s="5">
        <f t="shared" si="4"/>
        <v>14</v>
      </c>
      <c r="K75" s="53" t="b">
        <f t="shared" si="5"/>
        <v>1</v>
      </c>
    </row>
    <row r="76" spans="1:11">
      <c r="A76" s="5" t="s">
        <v>151</v>
      </c>
      <c r="B76" s="6">
        <v>44763</v>
      </c>
      <c r="C76" s="7">
        <v>1</v>
      </c>
      <c r="D76" s="5">
        <v>7.27</v>
      </c>
      <c r="E76" s="5">
        <v>302.2</v>
      </c>
      <c r="F76" s="5">
        <v>316.39999999999998</v>
      </c>
      <c r="G76" s="6">
        <v>44763</v>
      </c>
      <c r="H76" s="5"/>
      <c r="I76" s="5"/>
      <c r="J76" s="5">
        <f t="shared" si="4"/>
        <v>14.199999999999989</v>
      </c>
      <c r="K76" s="53" t="b">
        <f t="shared" si="5"/>
        <v>1</v>
      </c>
    </row>
    <row r="77" spans="1:11">
      <c r="A77" s="5" t="s">
        <v>151</v>
      </c>
      <c r="B77" s="6">
        <v>44765</v>
      </c>
      <c r="C77" s="7">
        <v>1</v>
      </c>
      <c r="D77" s="5">
        <v>7.27</v>
      </c>
      <c r="E77" s="5">
        <v>316.39999999999998</v>
      </c>
      <c r="F77" s="5">
        <v>330.4</v>
      </c>
      <c r="G77" s="6">
        <v>44765</v>
      </c>
      <c r="H77" s="5"/>
      <c r="I77" s="5"/>
      <c r="J77" s="5">
        <f t="shared" si="4"/>
        <v>14</v>
      </c>
      <c r="K77" s="53" t="b">
        <f t="shared" si="5"/>
        <v>1</v>
      </c>
    </row>
    <row r="78" spans="1:11">
      <c r="A78" s="5" t="s">
        <v>151</v>
      </c>
      <c r="B78" s="6">
        <v>44767</v>
      </c>
      <c r="C78" s="7">
        <v>0.8</v>
      </c>
      <c r="D78" s="5">
        <v>9.09</v>
      </c>
      <c r="E78" s="5">
        <v>330.4</v>
      </c>
      <c r="F78" s="5">
        <v>346.5</v>
      </c>
      <c r="G78" s="6">
        <v>44767</v>
      </c>
      <c r="H78" s="5"/>
      <c r="I78" s="5"/>
      <c r="J78" s="5">
        <f t="shared" si="4"/>
        <v>16.100000000000023</v>
      </c>
      <c r="K78" s="53" t="b">
        <f t="shared" si="5"/>
        <v>1</v>
      </c>
    </row>
    <row r="79" spans="1:11">
      <c r="A79" s="5" t="s">
        <v>151</v>
      </c>
      <c r="B79" s="6">
        <v>44771</v>
      </c>
      <c r="C79" s="7">
        <v>0.7</v>
      </c>
      <c r="D79" s="5">
        <v>10.39</v>
      </c>
      <c r="E79" s="5">
        <v>346.5</v>
      </c>
      <c r="F79" s="5">
        <v>364.6</v>
      </c>
      <c r="G79" s="6">
        <v>44771</v>
      </c>
      <c r="H79" s="5"/>
      <c r="I79" s="5"/>
      <c r="J79" s="5">
        <f t="shared" ref="J79:J89" si="6">F79-E79</f>
        <v>18.100000000000023</v>
      </c>
      <c r="K79" s="53" t="b">
        <f t="shared" si="5"/>
        <v>1</v>
      </c>
    </row>
    <row r="80" spans="1:11">
      <c r="A80" s="5" t="s">
        <v>151</v>
      </c>
      <c r="B80" s="6">
        <v>44774</v>
      </c>
      <c r="C80" s="7">
        <v>0.9</v>
      </c>
      <c r="D80" s="5">
        <v>8.08</v>
      </c>
      <c r="E80" s="5">
        <v>364.6</v>
      </c>
      <c r="F80" s="5">
        <v>384.2</v>
      </c>
      <c r="G80" s="6">
        <v>44774</v>
      </c>
      <c r="H80" s="5"/>
      <c r="I80" s="5"/>
      <c r="J80" s="5">
        <f t="shared" si="6"/>
        <v>19.599999999999966</v>
      </c>
      <c r="K80" s="53" t="b">
        <f t="shared" si="5"/>
        <v>1</v>
      </c>
    </row>
    <row r="81" spans="1:11">
      <c r="A81" s="5" t="s">
        <v>151</v>
      </c>
      <c r="B81" s="6">
        <v>44777</v>
      </c>
      <c r="C81" s="7">
        <v>1</v>
      </c>
      <c r="D81" s="5">
        <v>7.27</v>
      </c>
      <c r="E81" s="5">
        <v>384.2</v>
      </c>
      <c r="F81" s="5">
        <v>398.2</v>
      </c>
      <c r="G81" s="6">
        <v>44777</v>
      </c>
      <c r="H81" s="5"/>
      <c r="I81" s="5"/>
      <c r="J81" s="5">
        <f t="shared" si="6"/>
        <v>14</v>
      </c>
      <c r="K81" s="53" t="b">
        <f t="shared" si="5"/>
        <v>1</v>
      </c>
    </row>
    <row r="82" spans="1:11">
      <c r="A82" s="5" t="s">
        <v>151</v>
      </c>
      <c r="B82" s="6">
        <v>44780</v>
      </c>
      <c r="C82" s="7">
        <v>0.7</v>
      </c>
      <c r="D82" s="5">
        <v>10.39</v>
      </c>
      <c r="E82" s="5">
        <v>398.2</v>
      </c>
      <c r="F82" s="5">
        <v>419.2</v>
      </c>
      <c r="G82" s="6">
        <v>44780</v>
      </c>
      <c r="H82" s="5"/>
      <c r="I82" s="5"/>
      <c r="J82" s="5">
        <f t="shared" si="6"/>
        <v>21</v>
      </c>
      <c r="K82" s="53" t="b">
        <f t="shared" si="5"/>
        <v>1</v>
      </c>
    </row>
    <row r="83" spans="1:11">
      <c r="A83" s="5" t="s">
        <v>151</v>
      </c>
      <c r="B83" s="6">
        <v>44782</v>
      </c>
      <c r="C83" s="7">
        <v>1</v>
      </c>
      <c r="D83" s="5">
        <v>7.27</v>
      </c>
      <c r="E83" s="5">
        <v>419.2</v>
      </c>
      <c r="F83" s="5">
        <v>433.9</v>
      </c>
      <c r="G83" s="6">
        <v>44782</v>
      </c>
      <c r="H83" s="5"/>
      <c r="I83" s="5"/>
      <c r="J83" s="5">
        <f t="shared" si="6"/>
        <v>14.699999999999989</v>
      </c>
      <c r="K83" s="53" t="b">
        <f t="shared" si="5"/>
        <v>1</v>
      </c>
    </row>
    <row r="84" spans="1:11">
      <c r="A84" s="5" t="s">
        <v>151</v>
      </c>
      <c r="B84" s="6">
        <v>44783</v>
      </c>
      <c r="C84" s="7">
        <v>1</v>
      </c>
      <c r="D84" s="5">
        <v>7.27</v>
      </c>
      <c r="E84" s="5">
        <v>433.9</v>
      </c>
      <c r="F84" s="5">
        <v>449.4</v>
      </c>
      <c r="G84" s="6">
        <v>44783</v>
      </c>
      <c r="H84" s="5"/>
      <c r="I84" s="5"/>
      <c r="J84" s="5">
        <f t="shared" si="6"/>
        <v>15.5</v>
      </c>
      <c r="K84" s="53" t="b">
        <f t="shared" si="5"/>
        <v>1</v>
      </c>
    </row>
    <row r="85" spans="1:11">
      <c r="A85" s="5" t="s">
        <v>151</v>
      </c>
      <c r="B85" s="6">
        <v>44786</v>
      </c>
      <c r="C85" s="7">
        <v>0.7</v>
      </c>
      <c r="D85" s="5">
        <v>10.39</v>
      </c>
      <c r="E85" s="5">
        <v>449.4</v>
      </c>
      <c r="F85" s="5">
        <v>470.3</v>
      </c>
      <c r="G85" s="6">
        <v>44786</v>
      </c>
      <c r="H85" s="5"/>
      <c r="I85" s="5"/>
      <c r="J85" s="5">
        <f t="shared" si="6"/>
        <v>20.900000000000034</v>
      </c>
      <c r="K85" s="53" t="b">
        <f t="shared" si="5"/>
        <v>1</v>
      </c>
    </row>
    <row r="86" spans="1:11">
      <c r="A86" s="5" t="s">
        <v>151</v>
      </c>
      <c r="B86" s="6">
        <v>44788</v>
      </c>
      <c r="C86" s="7">
        <v>0.7</v>
      </c>
      <c r="D86" s="5">
        <v>10.39</v>
      </c>
      <c r="E86" s="5">
        <v>470.3</v>
      </c>
      <c r="F86" s="5">
        <v>491.8</v>
      </c>
      <c r="G86" s="6">
        <v>44788</v>
      </c>
      <c r="H86" s="5"/>
      <c r="I86" s="5"/>
      <c r="J86" s="5">
        <f t="shared" si="6"/>
        <v>21.5</v>
      </c>
      <c r="K86" s="53" t="b">
        <f t="shared" si="5"/>
        <v>1</v>
      </c>
    </row>
    <row r="87" spans="1:11">
      <c r="A87" s="5" t="s">
        <v>151</v>
      </c>
      <c r="B87" s="6">
        <v>44790</v>
      </c>
      <c r="C87" s="7">
        <v>0.6</v>
      </c>
      <c r="D87" s="5">
        <v>12.12</v>
      </c>
      <c r="E87" s="5">
        <v>491.8</v>
      </c>
      <c r="F87" s="5">
        <v>502.7</v>
      </c>
      <c r="G87" s="6">
        <v>44790</v>
      </c>
      <c r="H87" s="5"/>
      <c r="I87" s="5"/>
      <c r="J87" s="5">
        <f t="shared" si="6"/>
        <v>10.899999999999977</v>
      </c>
      <c r="K87" s="53" t="b">
        <f t="shared" si="5"/>
        <v>1</v>
      </c>
    </row>
    <row r="88" spans="1:11">
      <c r="A88" s="5" t="s">
        <v>151</v>
      </c>
      <c r="B88" s="6">
        <v>44791</v>
      </c>
      <c r="C88" s="7">
        <v>0.6</v>
      </c>
      <c r="D88" s="5">
        <v>12.12</v>
      </c>
      <c r="E88" s="5">
        <v>502.7</v>
      </c>
      <c r="F88" s="5">
        <v>515.70000000000005</v>
      </c>
      <c r="G88" s="6">
        <v>44791</v>
      </c>
      <c r="H88" s="5"/>
      <c r="I88" s="5"/>
      <c r="J88" s="5">
        <f t="shared" si="6"/>
        <v>13.000000000000057</v>
      </c>
      <c r="K88" s="53" t="b">
        <f t="shared" si="5"/>
        <v>1</v>
      </c>
    </row>
    <row r="89" spans="1:11">
      <c r="A89" s="5" t="s">
        <v>151</v>
      </c>
      <c r="B89" s="6">
        <v>44793</v>
      </c>
      <c r="C89" s="7">
        <v>0.6</v>
      </c>
      <c r="D89" s="5">
        <v>12.12</v>
      </c>
      <c r="E89" s="5">
        <v>515.70000000000005</v>
      </c>
      <c r="F89" s="5">
        <v>526.70000000000005</v>
      </c>
      <c r="G89" s="6">
        <v>44793</v>
      </c>
      <c r="H89" s="5"/>
      <c r="I89" s="5"/>
      <c r="J89" s="5">
        <f t="shared" si="6"/>
        <v>11</v>
      </c>
      <c r="K89" s="53" t="b">
        <f t="shared" si="5"/>
        <v>1</v>
      </c>
    </row>
    <row r="90" spans="1:11">
      <c r="A90" s="5" t="s">
        <v>151</v>
      </c>
      <c r="B90" s="6">
        <v>44794</v>
      </c>
      <c r="C90" s="7">
        <v>0.6</v>
      </c>
      <c r="D90" s="5">
        <v>12.12</v>
      </c>
      <c r="E90" s="5">
        <v>526.70000000000005</v>
      </c>
      <c r="F90" s="5">
        <v>537.79999999999995</v>
      </c>
      <c r="G90" s="6">
        <v>44794</v>
      </c>
      <c r="H90" s="5"/>
      <c r="I90" s="5"/>
      <c r="J90" s="5">
        <f t="shared" ref="J90:J100" si="7">F90-E90</f>
        <v>11.099999999999909</v>
      </c>
      <c r="K90" s="53" t="b">
        <f t="shared" si="5"/>
        <v>1</v>
      </c>
    </row>
    <row r="91" spans="1:11">
      <c r="A91" s="5" t="s">
        <v>151</v>
      </c>
      <c r="B91" s="6">
        <v>44796</v>
      </c>
      <c r="C91" s="7">
        <v>0.7</v>
      </c>
      <c r="D91" s="5">
        <v>10.39</v>
      </c>
      <c r="E91" s="5">
        <v>537.79999999999995</v>
      </c>
      <c r="F91" s="5">
        <v>558.79999999999995</v>
      </c>
      <c r="G91" s="6">
        <v>44796</v>
      </c>
      <c r="H91" s="5"/>
      <c r="I91" s="5"/>
      <c r="J91" s="5">
        <f t="shared" si="7"/>
        <v>21</v>
      </c>
      <c r="K91" s="53" t="b">
        <f t="shared" si="5"/>
        <v>1</v>
      </c>
    </row>
    <row r="92" spans="1:11">
      <c r="A92" s="5" t="s">
        <v>151</v>
      </c>
      <c r="B92" s="6">
        <v>44797</v>
      </c>
      <c r="C92" s="7">
        <v>1</v>
      </c>
      <c r="D92" s="5">
        <v>7.27</v>
      </c>
      <c r="E92" s="5">
        <v>558.79999999999995</v>
      </c>
      <c r="F92" s="5">
        <v>579.79999999999995</v>
      </c>
      <c r="G92" s="6">
        <v>44798</v>
      </c>
      <c r="H92" s="5"/>
      <c r="I92" s="5"/>
      <c r="J92" s="5">
        <f t="shared" si="7"/>
        <v>21</v>
      </c>
      <c r="K92" s="53" t="b">
        <f t="shared" si="5"/>
        <v>1</v>
      </c>
    </row>
    <row r="93" spans="1:11">
      <c r="A93" s="5" t="s">
        <v>151</v>
      </c>
      <c r="B93" s="6">
        <v>44800</v>
      </c>
      <c r="C93" s="7">
        <v>0.7</v>
      </c>
      <c r="D93" s="5">
        <v>10.39</v>
      </c>
      <c r="E93" s="5">
        <v>579.79999999999995</v>
      </c>
      <c r="F93" s="5">
        <v>600.5</v>
      </c>
      <c r="G93" s="6">
        <v>44800</v>
      </c>
      <c r="H93" s="5"/>
      <c r="I93" s="5"/>
      <c r="J93" s="5">
        <f t="shared" si="7"/>
        <v>20.700000000000045</v>
      </c>
      <c r="K93" s="53" t="b">
        <f t="shared" si="5"/>
        <v>1</v>
      </c>
    </row>
    <row r="94" spans="1:11">
      <c r="A94" s="5" t="s">
        <v>151</v>
      </c>
      <c r="B94" s="6">
        <v>44802</v>
      </c>
      <c r="C94" s="7">
        <v>0.7</v>
      </c>
      <c r="D94" s="5">
        <v>10.39</v>
      </c>
      <c r="E94" s="5">
        <v>600.5</v>
      </c>
      <c r="F94" s="5">
        <v>621.20000000000005</v>
      </c>
      <c r="G94" s="6">
        <v>44802</v>
      </c>
      <c r="H94" s="5"/>
      <c r="I94" s="5"/>
      <c r="J94" s="5">
        <f t="shared" si="7"/>
        <v>20.700000000000045</v>
      </c>
      <c r="K94" s="53" t="b">
        <f t="shared" si="5"/>
        <v>1</v>
      </c>
    </row>
    <row r="95" spans="1:11">
      <c r="A95" s="5" t="s">
        <v>151</v>
      </c>
      <c r="B95" s="6">
        <v>44804</v>
      </c>
      <c r="C95" s="7">
        <v>0.7</v>
      </c>
      <c r="D95" s="5">
        <v>10.39</v>
      </c>
      <c r="E95" s="5">
        <v>621.20000000000005</v>
      </c>
      <c r="F95" s="5">
        <v>638.20000000000005</v>
      </c>
      <c r="G95" s="6">
        <v>44804</v>
      </c>
      <c r="H95" s="5"/>
      <c r="I95" s="5"/>
      <c r="J95" s="5">
        <f t="shared" si="7"/>
        <v>17</v>
      </c>
      <c r="K95" s="53" t="b">
        <f t="shared" si="5"/>
        <v>1</v>
      </c>
    </row>
    <row r="96" spans="1:11">
      <c r="A96" s="5" t="s">
        <v>151</v>
      </c>
      <c r="B96" s="6">
        <v>44806</v>
      </c>
      <c r="C96" s="7">
        <v>0.7</v>
      </c>
      <c r="D96" s="5">
        <v>10.39</v>
      </c>
      <c r="E96" s="5">
        <v>638.20000000000005</v>
      </c>
      <c r="F96" s="5">
        <v>655.20000000000005</v>
      </c>
      <c r="G96" s="6">
        <v>44806</v>
      </c>
      <c r="H96" s="5"/>
      <c r="I96" s="5"/>
      <c r="J96" s="5">
        <f t="shared" si="7"/>
        <v>17</v>
      </c>
      <c r="K96" s="53" t="b">
        <f t="shared" si="5"/>
        <v>1</v>
      </c>
    </row>
    <row r="97" spans="1:11">
      <c r="A97" s="5" t="s">
        <v>151</v>
      </c>
      <c r="B97" s="6">
        <v>44808</v>
      </c>
      <c r="C97" s="7">
        <v>0.7</v>
      </c>
      <c r="D97" s="5">
        <v>10.39</v>
      </c>
      <c r="E97" s="5">
        <v>655.20000000000005</v>
      </c>
      <c r="F97" s="5">
        <v>676.9</v>
      </c>
      <c r="G97" s="6">
        <v>44808</v>
      </c>
      <c r="H97" s="5"/>
      <c r="I97" s="5"/>
      <c r="J97" s="5">
        <f t="shared" si="7"/>
        <v>21.699999999999932</v>
      </c>
      <c r="K97" s="53" t="b">
        <f t="shared" si="5"/>
        <v>1</v>
      </c>
    </row>
    <row r="98" spans="1:11">
      <c r="A98" s="5" t="s">
        <v>151</v>
      </c>
      <c r="B98" s="6">
        <v>44809</v>
      </c>
      <c r="C98" s="7">
        <v>0.65</v>
      </c>
      <c r="D98" s="5">
        <v>11.18</v>
      </c>
      <c r="E98" s="5">
        <v>676.9</v>
      </c>
      <c r="F98" s="5">
        <v>688.4</v>
      </c>
      <c r="G98" s="6">
        <v>44809</v>
      </c>
      <c r="H98" s="5"/>
      <c r="I98" s="5"/>
      <c r="J98" s="5">
        <f t="shared" si="7"/>
        <v>11.5</v>
      </c>
      <c r="K98" s="53" t="b">
        <f t="shared" si="5"/>
        <v>1</v>
      </c>
    </row>
    <row r="99" spans="1:11">
      <c r="A99" s="5" t="s">
        <v>151</v>
      </c>
      <c r="B99" s="6">
        <v>44810</v>
      </c>
      <c r="C99" s="7">
        <v>0.65</v>
      </c>
      <c r="D99" s="5">
        <v>11.18</v>
      </c>
      <c r="E99" s="5">
        <v>688.4</v>
      </c>
      <c r="F99" s="5">
        <v>699.9</v>
      </c>
      <c r="G99" s="6">
        <v>44810</v>
      </c>
      <c r="H99" s="5"/>
      <c r="I99" s="5"/>
      <c r="J99" s="5">
        <f t="shared" si="7"/>
        <v>11.5</v>
      </c>
      <c r="K99" s="53" t="b">
        <f t="shared" si="5"/>
        <v>1</v>
      </c>
    </row>
    <row r="100" spans="1:11">
      <c r="A100" s="5" t="s">
        <v>151</v>
      </c>
      <c r="B100" s="6">
        <v>44811</v>
      </c>
      <c r="C100" s="7">
        <v>0.65</v>
      </c>
      <c r="D100" s="5">
        <v>11.18</v>
      </c>
      <c r="E100" s="5">
        <v>699.9</v>
      </c>
      <c r="F100" s="5">
        <v>711.4</v>
      </c>
      <c r="G100" s="6">
        <v>44811</v>
      </c>
      <c r="H100" s="5"/>
      <c r="I100" s="5"/>
      <c r="J100" s="5">
        <f t="shared" si="7"/>
        <v>11.5</v>
      </c>
      <c r="K100" s="53" t="b">
        <f t="shared" si="5"/>
        <v>1</v>
      </c>
    </row>
    <row r="101" spans="1:11">
      <c r="A101" s="5" t="s">
        <v>151</v>
      </c>
      <c r="B101" s="6">
        <v>44812</v>
      </c>
      <c r="C101" s="7">
        <v>0.65</v>
      </c>
      <c r="D101" s="5">
        <v>11.18</v>
      </c>
      <c r="E101" s="5">
        <v>711.4</v>
      </c>
      <c r="F101" s="5">
        <v>722.9</v>
      </c>
      <c r="G101" s="6">
        <v>44812</v>
      </c>
      <c r="H101" s="5"/>
      <c r="I101" s="5"/>
      <c r="J101" s="5">
        <f t="shared" ref="J101:J113" si="8">F101-E101</f>
        <v>11.5</v>
      </c>
      <c r="K101" s="53" t="b">
        <f t="shared" si="5"/>
        <v>1</v>
      </c>
    </row>
    <row r="102" spans="1:11">
      <c r="A102" s="5" t="s">
        <v>151</v>
      </c>
      <c r="B102" s="6">
        <v>44813</v>
      </c>
      <c r="C102" s="7">
        <v>0.65</v>
      </c>
      <c r="D102" s="5">
        <v>11.18</v>
      </c>
      <c r="E102" s="5">
        <v>722.9</v>
      </c>
      <c r="F102" s="5">
        <v>734.4</v>
      </c>
      <c r="G102" s="6">
        <v>44813</v>
      </c>
      <c r="H102" s="5"/>
      <c r="I102" s="5"/>
      <c r="J102" s="5">
        <f t="shared" si="8"/>
        <v>11.5</v>
      </c>
      <c r="K102" s="53" t="b">
        <f t="shared" si="5"/>
        <v>1</v>
      </c>
    </row>
    <row r="103" spans="1:11">
      <c r="A103" s="5" t="s">
        <v>151</v>
      </c>
      <c r="B103" s="6">
        <v>44814</v>
      </c>
      <c r="C103" s="7">
        <v>0.65</v>
      </c>
      <c r="D103" s="5">
        <v>11.18</v>
      </c>
      <c r="E103" s="5">
        <v>734.4</v>
      </c>
      <c r="F103" s="5">
        <v>747.1</v>
      </c>
      <c r="G103" s="6">
        <v>44814</v>
      </c>
      <c r="H103" s="5"/>
      <c r="I103" s="5"/>
      <c r="J103" s="5">
        <f t="shared" si="8"/>
        <v>12.700000000000045</v>
      </c>
      <c r="K103" s="53" t="b">
        <f t="shared" si="5"/>
        <v>1</v>
      </c>
    </row>
    <row r="104" spans="1:11">
      <c r="A104" s="5" t="s">
        <v>151</v>
      </c>
      <c r="B104" s="6">
        <v>44815</v>
      </c>
      <c r="C104" s="7">
        <v>0.55000000000000004</v>
      </c>
      <c r="D104" s="5">
        <v>13.22</v>
      </c>
      <c r="E104" s="5">
        <v>747.1</v>
      </c>
      <c r="F104" s="5">
        <v>760.8</v>
      </c>
      <c r="G104" s="6">
        <v>44815</v>
      </c>
      <c r="H104" s="5"/>
      <c r="I104" s="5"/>
      <c r="J104" s="5">
        <f t="shared" si="8"/>
        <v>13.699999999999932</v>
      </c>
      <c r="K104" s="53" t="b">
        <f t="shared" si="5"/>
        <v>1</v>
      </c>
    </row>
    <row r="105" spans="1:11">
      <c r="A105" s="5" t="s">
        <v>151</v>
      </c>
      <c r="B105" s="6">
        <v>44816</v>
      </c>
      <c r="C105" s="7">
        <v>0.55000000000000004</v>
      </c>
      <c r="D105" s="5">
        <v>13.22</v>
      </c>
      <c r="E105" s="5">
        <v>760.8</v>
      </c>
      <c r="F105" s="5">
        <v>774.6</v>
      </c>
      <c r="G105" s="6">
        <v>44816</v>
      </c>
      <c r="H105" s="5"/>
      <c r="I105" s="5"/>
      <c r="J105" s="5">
        <f t="shared" si="8"/>
        <v>13.800000000000068</v>
      </c>
      <c r="K105" s="53" t="b">
        <f t="shared" si="5"/>
        <v>1</v>
      </c>
    </row>
    <row r="106" spans="1:11">
      <c r="A106" s="5" t="s">
        <v>151</v>
      </c>
      <c r="B106" s="6">
        <v>44818</v>
      </c>
      <c r="C106" s="7">
        <v>0.55000000000000004</v>
      </c>
      <c r="D106" s="5">
        <v>13.22</v>
      </c>
      <c r="E106" s="5">
        <v>774.6</v>
      </c>
      <c r="F106" s="5">
        <v>791.6</v>
      </c>
      <c r="G106" s="6">
        <v>44818</v>
      </c>
      <c r="H106" s="5"/>
      <c r="I106" s="5"/>
      <c r="J106" s="5">
        <f t="shared" si="8"/>
        <v>17</v>
      </c>
      <c r="K106" s="53" t="b">
        <f t="shared" si="5"/>
        <v>1</v>
      </c>
    </row>
    <row r="107" spans="1:11">
      <c r="A107" s="5" t="s">
        <v>151</v>
      </c>
      <c r="B107" s="6">
        <v>44819</v>
      </c>
      <c r="C107" s="7">
        <v>0.55000000000000004</v>
      </c>
      <c r="D107" s="5">
        <v>13.22</v>
      </c>
      <c r="E107" s="5">
        <v>791.6</v>
      </c>
      <c r="F107" s="5">
        <v>805.6</v>
      </c>
      <c r="G107" s="6">
        <v>44819</v>
      </c>
      <c r="H107" s="5"/>
      <c r="I107" s="5"/>
      <c r="J107" s="5">
        <f t="shared" si="8"/>
        <v>14</v>
      </c>
      <c r="K107" s="53" t="b">
        <f t="shared" si="5"/>
        <v>1</v>
      </c>
    </row>
    <row r="108" spans="1:11">
      <c r="A108" s="5" t="s">
        <v>151</v>
      </c>
      <c r="B108" s="6">
        <v>44821</v>
      </c>
      <c r="C108" s="7">
        <v>0.5</v>
      </c>
      <c r="D108" s="5">
        <v>14.54</v>
      </c>
      <c r="E108" s="5">
        <v>805.6</v>
      </c>
      <c r="F108" s="5">
        <v>823</v>
      </c>
      <c r="G108" s="6">
        <v>44821</v>
      </c>
      <c r="H108" s="5"/>
      <c r="I108" s="5"/>
      <c r="J108" s="5">
        <f t="shared" si="8"/>
        <v>17.399999999999977</v>
      </c>
      <c r="K108" s="53" t="b">
        <f t="shared" si="5"/>
        <v>1</v>
      </c>
    </row>
    <row r="109" spans="1:11">
      <c r="A109" s="5" t="s">
        <v>151</v>
      </c>
      <c r="B109" s="6">
        <v>44823</v>
      </c>
      <c r="C109" s="7">
        <v>1</v>
      </c>
      <c r="D109" s="5">
        <v>7.27</v>
      </c>
      <c r="E109" s="5">
        <v>823</v>
      </c>
      <c r="F109" s="5">
        <v>830.5</v>
      </c>
      <c r="G109" s="6">
        <v>44823</v>
      </c>
      <c r="H109" s="5"/>
      <c r="I109" s="5"/>
      <c r="J109" s="5">
        <f t="shared" si="8"/>
        <v>7.5</v>
      </c>
      <c r="K109" s="53" t="b">
        <f t="shared" si="5"/>
        <v>1</v>
      </c>
    </row>
    <row r="110" spans="1:11">
      <c r="A110" s="5" t="s">
        <v>151</v>
      </c>
      <c r="B110" s="6">
        <v>44824</v>
      </c>
      <c r="C110" s="7">
        <v>1</v>
      </c>
      <c r="D110" s="5">
        <v>7.27</v>
      </c>
      <c r="E110" s="5">
        <v>830.5</v>
      </c>
      <c r="F110" s="5">
        <v>838</v>
      </c>
      <c r="G110" s="6">
        <v>44824</v>
      </c>
      <c r="H110" s="5"/>
      <c r="I110" s="5"/>
      <c r="J110" s="5">
        <f t="shared" si="8"/>
        <v>7.5</v>
      </c>
      <c r="K110" s="53" t="b">
        <f t="shared" si="5"/>
        <v>1</v>
      </c>
    </row>
    <row r="111" spans="1:11">
      <c r="A111" s="5" t="s">
        <v>151</v>
      </c>
      <c r="B111" s="6">
        <v>44825</v>
      </c>
      <c r="C111" s="7">
        <v>1</v>
      </c>
      <c r="D111" s="5">
        <v>7.27</v>
      </c>
      <c r="E111" s="5">
        <v>838</v>
      </c>
      <c r="F111" s="5">
        <v>845.5</v>
      </c>
      <c r="G111" s="6">
        <v>44825</v>
      </c>
      <c r="H111" s="5"/>
      <c r="I111" s="5"/>
      <c r="J111" s="5">
        <f t="shared" si="8"/>
        <v>7.5</v>
      </c>
      <c r="K111" s="53" t="b">
        <f t="shared" si="5"/>
        <v>1</v>
      </c>
    </row>
    <row r="112" spans="1:11">
      <c r="A112" s="5" t="s">
        <v>151</v>
      </c>
      <c r="B112" s="6">
        <v>44826</v>
      </c>
      <c r="C112" s="7">
        <v>1</v>
      </c>
      <c r="D112" s="5">
        <v>7.27</v>
      </c>
      <c r="E112" s="5">
        <v>845.5</v>
      </c>
      <c r="F112" s="5">
        <v>860.9</v>
      </c>
      <c r="G112" s="6">
        <v>44826</v>
      </c>
      <c r="H112" s="5"/>
      <c r="I112" s="5"/>
      <c r="J112" s="5">
        <f t="shared" si="8"/>
        <v>15.399999999999977</v>
      </c>
      <c r="K112" s="53" t="b">
        <f t="shared" si="5"/>
        <v>1</v>
      </c>
    </row>
    <row r="113" spans="1:11">
      <c r="A113" s="5" t="s">
        <v>151</v>
      </c>
      <c r="B113" s="6">
        <v>44827</v>
      </c>
      <c r="C113" s="7">
        <v>1</v>
      </c>
      <c r="D113" s="5">
        <v>7.27</v>
      </c>
      <c r="E113" s="5">
        <v>860.9</v>
      </c>
      <c r="F113" s="5">
        <v>874.5</v>
      </c>
      <c r="G113" s="6">
        <v>44827</v>
      </c>
      <c r="H113" s="5"/>
      <c r="I113" s="5"/>
      <c r="J113" s="5">
        <f t="shared" si="8"/>
        <v>13.600000000000023</v>
      </c>
      <c r="K113" s="53" t="b">
        <f t="shared" si="5"/>
        <v>1</v>
      </c>
    </row>
    <row r="114" spans="1:11">
      <c r="A114" s="5" t="s">
        <v>151</v>
      </c>
      <c r="B114" s="6">
        <v>44828</v>
      </c>
      <c r="C114" s="7">
        <v>0.4</v>
      </c>
      <c r="D114" s="5">
        <v>18.18</v>
      </c>
      <c r="E114" s="5">
        <v>874.5</v>
      </c>
      <c r="F114" s="5">
        <v>889.8</v>
      </c>
      <c r="G114" s="6">
        <v>44828</v>
      </c>
      <c r="H114" s="5"/>
      <c r="I114" s="5"/>
      <c r="J114" s="5">
        <f t="shared" ref="J114:J121" si="9">F114-E114</f>
        <v>15.299999999999955</v>
      </c>
      <c r="K114" s="53" t="b">
        <f t="shared" si="5"/>
        <v>1</v>
      </c>
    </row>
    <row r="115" spans="1:11">
      <c r="A115" s="5" t="s">
        <v>151</v>
      </c>
      <c r="B115" s="6">
        <v>44829</v>
      </c>
      <c r="C115" s="7">
        <v>0.4</v>
      </c>
      <c r="D115" s="5">
        <v>18.18</v>
      </c>
      <c r="E115" s="5">
        <v>889.8</v>
      </c>
      <c r="F115" s="5">
        <v>905.6</v>
      </c>
      <c r="G115" s="6">
        <v>44829</v>
      </c>
      <c r="H115" s="5"/>
      <c r="I115" s="5"/>
      <c r="J115" s="5">
        <f t="shared" si="9"/>
        <v>15.800000000000068</v>
      </c>
      <c r="K115" s="53" t="b">
        <f t="shared" si="5"/>
        <v>1</v>
      </c>
    </row>
    <row r="116" spans="1:11">
      <c r="A116" s="5" t="s">
        <v>151</v>
      </c>
      <c r="B116" s="6">
        <v>44830</v>
      </c>
      <c r="C116" s="7">
        <v>0.4</v>
      </c>
      <c r="D116" s="5">
        <v>18.18</v>
      </c>
      <c r="E116" s="5">
        <v>905.6</v>
      </c>
      <c r="F116" s="5">
        <v>920.8</v>
      </c>
      <c r="G116" s="6">
        <v>44830</v>
      </c>
      <c r="H116" s="5"/>
      <c r="I116" s="5"/>
      <c r="J116" s="5">
        <f t="shared" si="9"/>
        <v>15.199999999999932</v>
      </c>
      <c r="K116" s="53" t="b">
        <f t="shared" si="5"/>
        <v>1</v>
      </c>
    </row>
    <row r="117" spans="1:11">
      <c r="A117" s="5" t="s">
        <v>151</v>
      </c>
      <c r="B117" s="6">
        <v>44832</v>
      </c>
      <c r="C117" s="7">
        <v>1</v>
      </c>
      <c r="D117" s="5">
        <v>7.27</v>
      </c>
      <c r="E117" s="5">
        <v>920.8</v>
      </c>
      <c r="F117" s="5">
        <v>935.3</v>
      </c>
      <c r="G117" s="6">
        <v>44832</v>
      </c>
      <c r="H117" s="5"/>
      <c r="I117" s="5"/>
      <c r="J117" s="5">
        <f t="shared" si="9"/>
        <v>14.5</v>
      </c>
      <c r="K117" s="53" t="b">
        <f t="shared" si="5"/>
        <v>1</v>
      </c>
    </row>
    <row r="118" spans="1:11">
      <c r="A118" s="5" t="s">
        <v>151</v>
      </c>
      <c r="B118" s="6">
        <v>44833</v>
      </c>
      <c r="C118" s="7">
        <v>0.4</v>
      </c>
      <c r="D118" s="5">
        <v>18.18</v>
      </c>
      <c r="E118" s="5">
        <v>935.3</v>
      </c>
      <c r="F118" s="5">
        <v>957.3</v>
      </c>
      <c r="G118" s="6">
        <v>44833</v>
      </c>
      <c r="H118" s="5"/>
      <c r="I118" s="5"/>
      <c r="J118" s="5">
        <f t="shared" si="9"/>
        <v>22</v>
      </c>
      <c r="K118" s="53" t="b">
        <f t="shared" si="5"/>
        <v>1</v>
      </c>
    </row>
    <row r="119" spans="1:11">
      <c r="A119" s="5" t="s">
        <v>151</v>
      </c>
      <c r="B119" s="6">
        <v>44834</v>
      </c>
      <c r="C119" s="7">
        <v>0.4</v>
      </c>
      <c r="D119" s="5">
        <v>18.18</v>
      </c>
      <c r="E119" s="5">
        <v>957.3</v>
      </c>
      <c r="F119" s="5">
        <v>967.3</v>
      </c>
      <c r="G119" s="6">
        <v>44834</v>
      </c>
      <c r="H119" s="5"/>
      <c r="I119" s="5"/>
      <c r="J119" s="5">
        <f t="shared" si="9"/>
        <v>10</v>
      </c>
      <c r="K119" s="53" t="b">
        <f t="shared" si="5"/>
        <v>1</v>
      </c>
    </row>
    <row r="120" spans="1:11">
      <c r="A120" s="5" t="s">
        <v>151</v>
      </c>
      <c r="B120" s="6">
        <v>44835</v>
      </c>
      <c r="C120" s="7">
        <v>0.4</v>
      </c>
      <c r="D120" s="5">
        <v>18.18</v>
      </c>
      <c r="E120" s="5">
        <v>967.3</v>
      </c>
      <c r="F120" s="5">
        <v>982.5</v>
      </c>
      <c r="G120" s="6">
        <v>44835</v>
      </c>
      <c r="H120" s="5"/>
      <c r="I120" s="5"/>
      <c r="J120" s="5">
        <f t="shared" si="9"/>
        <v>15.200000000000045</v>
      </c>
      <c r="K120" s="53" t="b">
        <f t="shared" ref="K120:K152" si="10">E120=F119</f>
        <v>1</v>
      </c>
    </row>
    <row r="121" spans="1:11">
      <c r="A121" s="5" t="s">
        <v>151</v>
      </c>
      <c r="B121" s="6">
        <v>44836</v>
      </c>
      <c r="C121" s="7">
        <v>0.4</v>
      </c>
      <c r="D121" s="5">
        <v>18.18</v>
      </c>
      <c r="E121" s="5">
        <v>982.5</v>
      </c>
      <c r="F121" s="5">
        <v>1002.5</v>
      </c>
      <c r="G121" s="6">
        <v>44836</v>
      </c>
      <c r="H121" s="5"/>
      <c r="I121" s="5"/>
      <c r="J121" s="5">
        <f t="shared" si="9"/>
        <v>20</v>
      </c>
      <c r="K121" s="53" t="b">
        <f t="shared" si="10"/>
        <v>1</v>
      </c>
    </row>
    <row r="122" spans="1:11">
      <c r="A122" s="5" t="s">
        <v>151</v>
      </c>
      <c r="B122" s="6">
        <v>44837</v>
      </c>
      <c r="C122" s="7">
        <v>0.4</v>
      </c>
      <c r="D122" s="5">
        <v>18.18</v>
      </c>
      <c r="E122" s="5">
        <v>1002.5</v>
      </c>
      <c r="F122" s="5">
        <v>1025.2</v>
      </c>
      <c r="G122" s="6">
        <v>44837</v>
      </c>
      <c r="H122" s="5"/>
      <c r="I122" s="5"/>
      <c r="J122" s="5">
        <f t="shared" ref="J122:J137" si="11">F122-E122</f>
        <v>22.700000000000045</v>
      </c>
      <c r="K122" s="53" t="b">
        <f t="shared" si="10"/>
        <v>1</v>
      </c>
    </row>
    <row r="123" spans="1:11">
      <c r="A123" s="5" t="s">
        <v>151</v>
      </c>
      <c r="B123" s="6">
        <v>44838</v>
      </c>
      <c r="C123" s="7">
        <v>0.4</v>
      </c>
      <c r="D123" s="5">
        <v>18.18</v>
      </c>
      <c r="E123" s="5">
        <v>1025.2</v>
      </c>
      <c r="F123" s="5">
        <v>1041.8</v>
      </c>
      <c r="G123" s="6">
        <v>44838</v>
      </c>
      <c r="H123" s="5"/>
      <c r="I123" s="5"/>
      <c r="J123" s="5">
        <f t="shared" si="11"/>
        <v>16.599999999999909</v>
      </c>
      <c r="K123" s="53" t="b">
        <f t="shared" si="10"/>
        <v>1</v>
      </c>
    </row>
    <row r="124" spans="1:11">
      <c r="A124" s="5" t="s">
        <v>151</v>
      </c>
      <c r="B124" s="6">
        <v>44839</v>
      </c>
      <c r="C124" s="7">
        <v>0.4</v>
      </c>
      <c r="D124" s="5">
        <v>18.18</v>
      </c>
      <c r="E124" s="5">
        <v>1041.8</v>
      </c>
      <c r="F124" s="5">
        <v>1057.8</v>
      </c>
      <c r="G124" s="6">
        <v>44839</v>
      </c>
      <c r="H124" s="5"/>
      <c r="I124" s="5"/>
      <c r="J124" s="5">
        <f t="shared" si="11"/>
        <v>16</v>
      </c>
      <c r="K124" s="53" t="b">
        <f t="shared" si="10"/>
        <v>1</v>
      </c>
    </row>
    <row r="125" spans="1:11">
      <c r="A125" s="5" t="s">
        <v>151</v>
      </c>
      <c r="B125" s="6">
        <v>44840</v>
      </c>
      <c r="C125" s="7">
        <v>0.4</v>
      </c>
      <c r="D125" s="5">
        <v>18.18</v>
      </c>
      <c r="E125" s="5">
        <v>1057.8</v>
      </c>
      <c r="F125" s="5">
        <v>1074.7</v>
      </c>
      <c r="G125" s="6">
        <v>44840</v>
      </c>
      <c r="H125" s="5"/>
      <c r="I125" s="5"/>
      <c r="J125" s="5">
        <f t="shared" si="11"/>
        <v>16.900000000000091</v>
      </c>
      <c r="K125" s="53" t="b">
        <f t="shared" si="10"/>
        <v>1</v>
      </c>
    </row>
    <row r="126" spans="1:11">
      <c r="A126" s="5" t="s">
        <v>151</v>
      </c>
      <c r="B126" s="6">
        <v>44841</v>
      </c>
      <c r="C126" s="7">
        <v>0.4</v>
      </c>
      <c r="D126" s="5">
        <v>18.18</v>
      </c>
      <c r="E126" s="5">
        <v>1074.7</v>
      </c>
      <c r="F126" s="5">
        <v>1108.5999999999999</v>
      </c>
      <c r="G126" s="6">
        <v>44841</v>
      </c>
      <c r="H126" s="5"/>
      <c r="I126" s="5"/>
      <c r="J126" s="5">
        <f t="shared" si="11"/>
        <v>33.899999999999864</v>
      </c>
      <c r="K126" s="53" t="b">
        <f t="shared" si="10"/>
        <v>1</v>
      </c>
    </row>
    <row r="127" spans="1:11">
      <c r="A127" s="5" t="s">
        <v>151</v>
      </c>
      <c r="B127" s="6">
        <v>44842</v>
      </c>
      <c r="C127" s="7">
        <v>0.4</v>
      </c>
      <c r="D127" s="5">
        <v>18.18</v>
      </c>
      <c r="E127" s="5">
        <v>1108.5999999999999</v>
      </c>
      <c r="F127" s="5">
        <v>1124.7</v>
      </c>
      <c r="G127" s="6">
        <v>44842</v>
      </c>
      <c r="H127" s="5"/>
      <c r="I127" s="5"/>
      <c r="J127" s="5">
        <f t="shared" si="11"/>
        <v>16.100000000000136</v>
      </c>
      <c r="K127" s="53" t="b">
        <f t="shared" si="10"/>
        <v>1</v>
      </c>
    </row>
    <row r="128" spans="1:11">
      <c r="A128" s="5" t="s">
        <v>151</v>
      </c>
      <c r="B128" s="6">
        <v>44843</v>
      </c>
      <c r="C128" s="7">
        <v>0.4</v>
      </c>
      <c r="D128" s="5">
        <v>18.18</v>
      </c>
      <c r="E128" s="5">
        <v>1124.7</v>
      </c>
      <c r="F128" s="5">
        <v>1140.0999999999999</v>
      </c>
      <c r="G128" s="6">
        <v>44843</v>
      </c>
      <c r="H128" s="5"/>
      <c r="I128" s="5"/>
      <c r="J128" s="5">
        <f t="shared" si="11"/>
        <v>15.399999999999864</v>
      </c>
      <c r="K128" s="53" t="b">
        <f t="shared" si="10"/>
        <v>1</v>
      </c>
    </row>
    <row r="129" spans="1:11">
      <c r="A129" s="5" t="s">
        <v>151</v>
      </c>
      <c r="B129" s="6">
        <v>44844</v>
      </c>
      <c r="C129" s="7">
        <v>0.4</v>
      </c>
      <c r="D129" s="5">
        <v>18.18</v>
      </c>
      <c r="E129" s="5">
        <v>1140.0999999999999</v>
      </c>
      <c r="F129" s="5">
        <v>1156.0999999999999</v>
      </c>
      <c r="G129" s="6">
        <v>44844</v>
      </c>
      <c r="H129" s="5"/>
      <c r="I129" s="5"/>
      <c r="J129" s="5">
        <f t="shared" si="11"/>
        <v>16</v>
      </c>
      <c r="K129" s="53" t="b">
        <f t="shared" si="10"/>
        <v>1</v>
      </c>
    </row>
    <row r="130" spans="1:11">
      <c r="A130" s="5" t="s">
        <v>151</v>
      </c>
      <c r="B130" s="6">
        <v>44845</v>
      </c>
      <c r="C130" s="7">
        <v>0.4</v>
      </c>
      <c r="D130" s="5">
        <v>18.18</v>
      </c>
      <c r="E130" s="5">
        <v>1156.0999999999999</v>
      </c>
      <c r="F130" s="5">
        <v>1172.0999999999999</v>
      </c>
      <c r="G130" s="6">
        <v>44845</v>
      </c>
      <c r="H130" s="5"/>
      <c r="I130" s="5"/>
      <c r="J130" s="5">
        <f t="shared" si="11"/>
        <v>16</v>
      </c>
      <c r="K130" s="53" t="b">
        <f t="shared" si="10"/>
        <v>1</v>
      </c>
    </row>
    <row r="131" spans="1:11">
      <c r="A131" s="5" t="s">
        <v>151</v>
      </c>
      <c r="B131" s="6">
        <v>44846</v>
      </c>
      <c r="C131" s="7">
        <v>0.4</v>
      </c>
      <c r="D131" s="5">
        <v>18.18</v>
      </c>
      <c r="E131" s="5">
        <v>1172.0999999999999</v>
      </c>
      <c r="F131" s="5">
        <v>1188.7</v>
      </c>
      <c r="G131" s="6">
        <v>44846</v>
      </c>
      <c r="H131" s="5"/>
      <c r="I131" s="5"/>
      <c r="J131" s="5">
        <f t="shared" si="11"/>
        <v>16.600000000000136</v>
      </c>
      <c r="K131" s="53" t="b">
        <f t="shared" si="10"/>
        <v>1</v>
      </c>
    </row>
    <row r="132" spans="1:11">
      <c r="A132" s="5" t="s">
        <v>151</v>
      </c>
      <c r="B132" s="6">
        <v>44847</v>
      </c>
      <c r="C132" s="7">
        <v>0.4</v>
      </c>
      <c r="D132" s="5">
        <v>18.18</v>
      </c>
      <c r="E132" s="5">
        <v>1188.7</v>
      </c>
      <c r="F132" s="5">
        <v>1204.7</v>
      </c>
      <c r="G132" s="6">
        <v>44847</v>
      </c>
      <c r="H132" s="5"/>
      <c r="I132" s="5"/>
      <c r="J132" s="5">
        <f t="shared" si="11"/>
        <v>16</v>
      </c>
      <c r="K132" s="53" t="b">
        <f t="shared" si="10"/>
        <v>1</v>
      </c>
    </row>
    <row r="133" spans="1:11">
      <c r="A133" s="5" t="s">
        <v>151</v>
      </c>
      <c r="B133" s="6">
        <v>44848</v>
      </c>
      <c r="C133" s="7">
        <v>0.4</v>
      </c>
      <c r="D133" s="5">
        <v>18.18</v>
      </c>
      <c r="E133" s="5">
        <v>1204.7</v>
      </c>
      <c r="F133" s="5">
        <v>1220.0999999999999</v>
      </c>
      <c r="G133" s="6">
        <v>44848</v>
      </c>
      <c r="H133" s="5"/>
      <c r="I133" s="5"/>
      <c r="J133" s="5">
        <f t="shared" si="11"/>
        <v>15.399999999999864</v>
      </c>
      <c r="K133" s="53" t="b">
        <f t="shared" si="10"/>
        <v>1</v>
      </c>
    </row>
    <row r="134" spans="1:11">
      <c r="A134" s="5" t="s">
        <v>151</v>
      </c>
      <c r="B134" s="6">
        <v>44849</v>
      </c>
      <c r="C134" s="7">
        <v>0.4</v>
      </c>
      <c r="D134" s="5">
        <v>18.18</v>
      </c>
      <c r="E134" s="5">
        <v>1220.0999999999999</v>
      </c>
      <c r="F134" s="5">
        <v>1236</v>
      </c>
      <c r="G134" s="6">
        <v>44849</v>
      </c>
      <c r="H134" s="5"/>
      <c r="I134" s="5"/>
      <c r="J134" s="5">
        <f t="shared" si="11"/>
        <v>15.900000000000091</v>
      </c>
      <c r="K134" s="53" t="b">
        <f t="shared" si="10"/>
        <v>1</v>
      </c>
    </row>
    <row r="135" spans="1:11">
      <c r="A135" s="5" t="s">
        <v>151</v>
      </c>
      <c r="B135" s="6">
        <v>44850</v>
      </c>
      <c r="C135" s="7">
        <v>0.4</v>
      </c>
      <c r="D135" s="5">
        <v>18.18</v>
      </c>
      <c r="E135" s="5">
        <v>1236</v>
      </c>
      <c r="F135" s="5">
        <v>1252.4000000000001</v>
      </c>
      <c r="G135" s="6">
        <v>44850</v>
      </c>
      <c r="H135" s="5"/>
      <c r="I135" s="5"/>
      <c r="J135" s="5">
        <f t="shared" si="11"/>
        <v>16.400000000000091</v>
      </c>
      <c r="K135" s="53" t="b">
        <f t="shared" si="10"/>
        <v>1</v>
      </c>
    </row>
    <row r="136" spans="1:11">
      <c r="A136" s="5" t="s">
        <v>151</v>
      </c>
      <c r="B136" s="6">
        <v>44851</v>
      </c>
      <c r="C136" s="7">
        <v>0.4</v>
      </c>
      <c r="D136" s="5">
        <v>18.18</v>
      </c>
      <c r="E136" s="5">
        <v>0.1</v>
      </c>
      <c r="F136" s="5">
        <v>17</v>
      </c>
      <c r="G136" s="6">
        <v>44851</v>
      </c>
      <c r="H136" s="5"/>
      <c r="I136" s="5"/>
      <c r="J136" s="5">
        <f t="shared" si="11"/>
        <v>16.899999999999999</v>
      </c>
      <c r="K136" s="53" t="b">
        <f t="shared" si="10"/>
        <v>0</v>
      </c>
    </row>
    <row r="137" spans="1:11">
      <c r="A137" s="5" t="s">
        <v>151</v>
      </c>
      <c r="B137" s="6">
        <v>44853</v>
      </c>
      <c r="C137" s="7">
        <v>0.4</v>
      </c>
      <c r="D137" s="5">
        <v>18.18</v>
      </c>
      <c r="E137" s="5">
        <v>17</v>
      </c>
      <c r="F137" s="5">
        <v>36</v>
      </c>
      <c r="G137" s="6">
        <v>44853</v>
      </c>
      <c r="H137" s="5"/>
      <c r="I137" s="5"/>
      <c r="J137" s="5">
        <f t="shared" si="11"/>
        <v>19</v>
      </c>
      <c r="K137" s="53" t="b">
        <f t="shared" si="10"/>
        <v>1</v>
      </c>
    </row>
    <row r="138" spans="1:11">
      <c r="A138" s="5" t="s">
        <v>151</v>
      </c>
      <c r="B138" s="6">
        <v>44854</v>
      </c>
      <c r="C138" s="7">
        <v>0.4</v>
      </c>
      <c r="D138" s="5">
        <v>18.18</v>
      </c>
      <c r="E138" s="5">
        <v>36</v>
      </c>
      <c r="F138" s="5">
        <v>54.7</v>
      </c>
      <c r="G138" s="6">
        <v>44854</v>
      </c>
      <c r="H138" s="5"/>
      <c r="I138" s="5"/>
      <c r="J138" s="5">
        <f t="shared" ref="J138:J152" si="12">F138-E138</f>
        <v>18.700000000000003</v>
      </c>
      <c r="K138" s="53" t="b">
        <f t="shared" si="10"/>
        <v>1</v>
      </c>
    </row>
    <row r="139" spans="1:11">
      <c r="A139" s="5" t="s">
        <v>151</v>
      </c>
      <c r="B139" s="6">
        <v>44855</v>
      </c>
      <c r="C139" s="7">
        <v>0.4</v>
      </c>
      <c r="D139" s="5">
        <v>18.18</v>
      </c>
      <c r="E139" s="5">
        <v>54.7</v>
      </c>
      <c r="F139" s="5">
        <v>71.400000000000006</v>
      </c>
      <c r="G139" s="6">
        <v>44855</v>
      </c>
      <c r="H139" s="5"/>
      <c r="I139" s="5"/>
      <c r="J139" s="5">
        <f t="shared" si="12"/>
        <v>16.700000000000003</v>
      </c>
      <c r="K139" s="53" t="b">
        <f t="shared" si="10"/>
        <v>1</v>
      </c>
    </row>
    <row r="140" spans="1:11">
      <c r="A140" s="5" t="s">
        <v>151</v>
      </c>
      <c r="B140" s="6">
        <v>44856</v>
      </c>
      <c r="C140" s="7">
        <v>0.4</v>
      </c>
      <c r="D140" s="5">
        <v>18.18</v>
      </c>
      <c r="E140" s="5">
        <v>71.400000000000006</v>
      </c>
      <c r="F140" s="5">
        <v>87.3</v>
      </c>
      <c r="G140" s="6">
        <v>44856</v>
      </c>
      <c r="H140" s="5"/>
      <c r="I140" s="5"/>
      <c r="J140" s="5">
        <f t="shared" si="12"/>
        <v>15.899999999999991</v>
      </c>
      <c r="K140" s="53" t="b">
        <f t="shared" si="10"/>
        <v>1</v>
      </c>
    </row>
    <row r="141" spans="1:11">
      <c r="A141" s="5" t="s">
        <v>151</v>
      </c>
      <c r="B141" s="6">
        <v>44857</v>
      </c>
      <c r="C141" s="7">
        <v>0.4</v>
      </c>
      <c r="D141" s="5">
        <v>18.18</v>
      </c>
      <c r="E141" s="5">
        <v>87.3</v>
      </c>
      <c r="F141" s="5">
        <v>106.8</v>
      </c>
      <c r="G141" s="6">
        <v>44857</v>
      </c>
      <c r="H141" s="5"/>
      <c r="I141" s="5"/>
      <c r="J141" s="5">
        <f t="shared" si="12"/>
        <v>19.5</v>
      </c>
      <c r="K141" s="53" t="b">
        <f t="shared" si="10"/>
        <v>1</v>
      </c>
    </row>
    <row r="142" spans="1:11">
      <c r="A142" s="5" t="s">
        <v>151</v>
      </c>
      <c r="B142" s="6">
        <v>44858</v>
      </c>
      <c r="C142" s="7">
        <v>0.4</v>
      </c>
      <c r="D142" s="5">
        <v>18.18</v>
      </c>
      <c r="E142" s="5">
        <v>106.8</v>
      </c>
      <c r="F142" s="5">
        <v>127</v>
      </c>
      <c r="G142" s="6">
        <v>44858</v>
      </c>
      <c r="H142" s="5"/>
      <c r="I142" s="5"/>
      <c r="J142" s="5">
        <f t="shared" si="12"/>
        <v>20.200000000000003</v>
      </c>
      <c r="K142" s="53" t="b">
        <f t="shared" si="10"/>
        <v>1</v>
      </c>
    </row>
    <row r="143" spans="1:11">
      <c r="A143" s="5" t="s">
        <v>151</v>
      </c>
      <c r="B143" s="6">
        <v>44860</v>
      </c>
      <c r="C143" s="7">
        <v>0.4</v>
      </c>
      <c r="D143" s="5">
        <v>18.18</v>
      </c>
      <c r="E143" s="5">
        <v>127</v>
      </c>
      <c r="F143" s="5">
        <v>144.4</v>
      </c>
      <c r="G143" s="6">
        <v>44860</v>
      </c>
      <c r="H143" s="5"/>
      <c r="I143" s="5"/>
      <c r="J143" s="5">
        <f t="shared" si="12"/>
        <v>17.400000000000006</v>
      </c>
      <c r="K143" s="53" t="b">
        <f t="shared" si="10"/>
        <v>1</v>
      </c>
    </row>
    <row r="144" spans="1:11">
      <c r="A144" s="5" t="s">
        <v>151</v>
      </c>
      <c r="B144" s="6">
        <v>44861</v>
      </c>
      <c r="C144" s="7">
        <v>0.4</v>
      </c>
      <c r="D144" s="5">
        <v>18.18</v>
      </c>
      <c r="E144" s="5">
        <v>144.4</v>
      </c>
      <c r="F144" s="5">
        <v>162.19999999999999</v>
      </c>
      <c r="G144" s="6">
        <v>44861</v>
      </c>
      <c r="H144" s="5"/>
      <c r="I144" s="5"/>
      <c r="J144" s="5">
        <f t="shared" si="12"/>
        <v>17.799999999999983</v>
      </c>
      <c r="K144" s="53" t="b">
        <f t="shared" si="10"/>
        <v>1</v>
      </c>
    </row>
    <row r="145" spans="1:11">
      <c r="A145" s="5" t="s">
        <v>151</v>
      </c>
      <c r="B145" s="6">
        <v>44862</v>
      </c>
      <c r="C145" s="7">
        <v>0.4</v>
      </c>
      <c r="D145" s="5">
        <v>18.18</v>
      </c>
      <c r="E145" s="5">
        <v>162.19999999999999</v>
      </c>
      <c r="F145" s="5">
        <v>179.5</v>
      </c>
      <c r="G145" s="6">
        <v>44862</v>
      </c>
      <c r="H145" s="5"/>
      <c r="I145" s="5"/>
      <c r="J145" s="5">
        <f t="shared" si="12"/>
        <v>17.300000000000011</v>
      </c>
      <c r="K145" s="53" t="b">
        <f t="shared" si="10"/>
        <v>1</v>
      </c>
    </row>
    <row r="146" spans="1:11">
      <c r="A146" s="5" t="s">
        <v>151</v>
      </c>
      <c r="B146" s="6">
        <v>44863</v>
      </c>
      <c r="C146" s="7">
        <v>0.4</v>
      </c>
      <c r="D146" s="5">
        <v>18.18</v>
      </c>
      <c r="E146" s="5">
        <v>179.5</v>
      </c>
      <c r="F146" s="5">
        <v>198.6</v>
      </c>
      <c r="G146" s="6">
        <v>44863</v>
      </c>
      <c r="H146" s="5"/>
      <c r="I146" s="5"/>
      <c r="J146" s="5">
        <f t="shared" si="12"/>
        <v>19.099999999999994</v>
      </c>
      <c r="K146" s="53" t="b">
        <f t="shared" si="10"/>
        <v>1</v>
      </c>
    </row>
    <row r="147" spans="1:11">
      <c r="A147" s="5" t="s">
        <v>151</v>
      </c>
      <c r="B147" s="6">
        <v>44864</v>
      </c>
      <c r="C147" s="7">
        <v>0.4</v>
      </c>
      <c r="D147" s="5">
        <v>18.18</v>
      </c>
      <c r="E147" s="5">
        <v>198.6</v>
      </c>
      <c r="F147" s="5">
        <v>215.8</v>
      </c>
      <c r="G147" s="6">
        <v>44864</v>
      </c>
      <c r="H147" s="5"/>
      <c r="I147" s="5"/>
      <c r="J147" s="5">
        <f t="shared" si="12"/>
        <v>17.200000000000017</v>
      </c>
      <c r="K147" s="53" t="b">
        <f t="shared" si="10"/>
        <v>1</v>
      </c>
    </row>
    <row r="148" spans="1:11">
      <c r="A148" s="5" t="s">
        <v>151</v>
      </c>
      <c r="B148" s="6">
        <v>44865</v>
      </c>
      <c r="C148" s="7">
        <v>0.4</v>
      </c>
      <c r="D148" s="5">
        <v>18.18</v>
      </c>
      <c r="E148" s="5">
        <v>215.8</v>
      </c>
      <c r="F148" s="5">
        <v>226.6</v>
      </c>
      <c r="G148" s="6">
        <v>44865</v>
      </c>
      <c r="H148" s="5"/>
      <c r="I148" s="5"/>
      <c r="J148" s="5">
        <f t="shared" si="12"/>
        <v>10.799999999999983</v>
      </c>
      <c r="K148" s="53" t="b">
        <f t="shared" si="10"/>
        <v>1</v>
      </c>
    </row>
    <row r="149" spans="1:11">
      <c r="A149" s="5" t="s">
        <v>151</v>
      </c>
      <c r="B149" s="6">
        <v>44872</v>
      </c>
      <c r="C149" s="7">
        <v>0.4</v>
      </c>
      <c r="D149" s="5">
        <v>18.18</v>
      </c>
      <c r="E149" s="5">
        <v>226.6</v>
      </c>
      <c r="F149" s="5">
        <v>246.8</v>
      </c>
      <c r="G149" s="6">
        <v>44872</v>
      </c>
      <c r="H149" s="5"/>
      <c r="I149" s="5"/>
      <c r="J149" s="5">
        <f t="shared" si="12"/>
        <v>20.200000000000017</v>
      </c>
      <c r="K149" s="53" t="b">
        <f t="shared" si="10"/>
        <v>1</v>
      </c>
    </row>
    <row r="150" spans="1:11">
      <c r="A150" s="5" t="s">
        <v>151</v>
      </c>
      <c r="B150" s="6">
        <v>44873</v>
      </c>
      <c r="C150" s="7">
        <v>0.7</v>
      </c>
      <c r="D150" s="5">
        <v>10.39</v>
      </c>
      <c r="E150" s="5">
        <v>246.8</v>
      </c>
      <c r="F150" s="5">
        <v>261.7</v>
      </c>
      <c r="G150" s="6">
        <v>44873</v>
      </c>
      <c r="H150" s="5"/>
      <c r="I150" s="5"/>
      <c r="J150" s="5">
        <f t="shared" si="12"/>
        <v>14.899999999999977</v>
      </c>
      <c r="K150" s="53" t="b">
        <f t="shared" si="10"/>
        <v>1</v>
      </c>
    </row>
    <row r="151" spans="1:11">
      <c r="A151" s="5" t="s">
        <v>151</v>
      </c>
      <c r="B151" s="6"/>
      <c r="C151" s="7"/>
      <c r="D151" s="5"/>
      <c r="E151" s="5"/>
      <c r="F151" s="5"/>
      <c r="G151" s="6"/>
      <c r="H151" s="5"/>
      <c r="I151" s="5"/>
      <c r="J151" s="5">
        <f t="shared" si="12"/>
        <v>0</v>
      </c>
      <c r="K151" s="53" t="b">
        <f t="shared" si="10"/>
        <v>0</v>
      </c>
    </row>
    <row r="152" spans="1:11">
      <c r="A152" s="5" t="s">
        <v>151</v>
      </c>
      <c r="B152" s="6"/>
      <c r="C152" s="7"/>
      <c r="D152" s="5"/>
      <c r="E152" s="5"/>
      <c r="F152" s="5"/>
      <c r="G152" s="6"/>
      <c r="H152" s="5"/>
      <c r="I152" s="5"/>
      <c r="J152" s="5">
        <f t="shared" si="12"/>
        <v>0</v>
      </c>
      <c r="K152" s="53" t="b">
        <f t="shared" si="10"/>
        <v>1</v>
      </c>
    </row>
    <row r="155" spans="1:11" ht="26.25">
      <c r="A155" s="193" t="s">
        <v>150</v>
      </c>
      <c r="B155" s="194"/>
      <c r="C155" s="194"/>
      <c r="D155" s="194"/>
      <c r="E155" s="194"/>
      <c r="F155" s="194"/>
      <c r="G155" s="194"/>
      <c r="H155" s="194"/>
      <c r="I155" s="194"/>
      <c r="J155" s="194"/>
      <c r="K155" s="195"/>
    </row>
    <row r="156" spans="1:11" ht="26.25">
      <c r="A156" s="176" t="s">
        <v>17</v>
      </c>
      <c r="B156" s="196"/>
      <c r="C156" s="196"/>
      <c r="D156" s="196"/>
      <c r="E156" s="196"/>
      <c r="F156" s="196"/>
      <c r="G156" s="196"/>
      <c r="H156" s="196"/>
      <c r="I156" s="196"/>
      <c r="J156" s="196"/>
      <c r="K156" s="197"/>
    </row>
    <row r="157" spans="1:11" ht="15.75" thickBot="1"/>
    <row r="158" spans="1:11" ht="15.75" thickBot="1">
      <c r="A158" s="132" t="s">
        <v>2</v>
      </c>
      <c r="B158" s="133"/>
      <c r="C158" s="133"/>
      <c r="D158" s="133"/>
      <c r="E158" s="133"/>
      <c r="F158" s="133"/>
      <c r="G158" s="133"/>
      <c r="H158" s="133"/>
      <c r="I158" s="133"/>
      <c r="J158" s="133"/>
      <c r="K158" s="134"/>
    </row>
    <row r="160" spans="1:11" ht="19.5" thickBot="1">
      <c r="A160" s="1" t="s">
        <v>3</v>
      </c>
      <c r="B160" s="1"/>
      <c r="C160" s="1"/>
      <c r="D160" s="1"/>
      <c r="E160" s="1"/>
      <c r="F160" s="1"/>
      <c r="G160" s="1"/>
      <c r="H160" s="1"/>
      <c r="I160" s="1"/>
    </row>
    <row r="161" spans="1:11" ht="30.75" thickBot="1">
      <c r="A161" s="2" t="s">
        <v>4</v>
      </c>
      <c r="B161" s="3" t="s">
        <v>5</v>
      </c>
      <c r="C161" s="3" t="s">
        <v>6</v>
      </c>
      <c r="D161" s="3" t="s">
        <v>7</v>
      </c>
      <c r="E161" s="3" t="s">
        <v>8</v>
      </c>
      <c r="F161" s="3" t="s">
        <v>9</v>
      </c>
      <c r="G161" s="3" t="s">
        <v>10</v>
      </c>
      <c r="H161" s="3" t="s">
        <v>21</v>
      </c>
      <c r="I161" s="4" t="s">
        <v>22</v>
      </c>
      <c r="J161" s="4" t="s">
        <v>11</v>
      </c>
      <c r="K161" s="4" t="s">
        <v>12</v>
      </c>
    </row>
    <row r="162" spans="1:11">
      <c r="A162" s="5" t="s">
        <v>151</v>
      </c>
      <c r="B162" s="6">
        <v>44906</v>
      </c>
      <c r="C162" s="7">
        <v>1</v>
      </c>
      <c r="D162" s="5">
        <v>7.27</v>
      </c>
      <c r="E162" s="5">
        <v>261.7</v>
      </c>
      <c r="F162" s="5">
        <v>274.2</v>
      </c>
      <c r="G162" s="6">
        <v>44906</v>
      </c>
      <c r="H162" s="5"/>
      <c r="I162" s="5"/>
      <c r="J162" s="5">
        <f>F162-E162</f>
        <v>12.5</v>
      </c>
      <c r="K162" s="8" t="b">
        <f>E162=F150</f>
        <v>1</v>
      </c>
    </row>
    <row r="163" spans="1:11">
      <c r="A163" s="25" t="s">
        <v>151</v>
      </c>
      <c r="B163" s="26">
        <v>44924</v>
      </c>
      <c r="C163" s="27">
        <v>1</v>
      </c>
      <c r="D163" s="25">
        <v>7.27</v>
      </c>
      <c r="E163" s="25">
        <v>0</v>
      </c>
      <c r="F163" s="25">
        <v>14.5</v>
      </c>
      <c r="G163" s="26">
        <v>44924</v>
      </c>
      <c r="H163" s="5"/>
      <c r="I163" s="5"/>
      <c r="J163" s="5">
        <f>F163-E163</f>
        <v>14.5</v>
      </c>
      <c r="K163" s="8" t="b">
        <f>E163=F162</f>
        <v>0</v>
      </c>
    </row>
    <row r="164" spans="1:11">
      <c r="A164" s="5" t="s">
        <v>152</v>
      </c>
      <c r="B164" s="6">
        <v>44929</v>
      </c>
      <c r="C164" s="7">
        <v>0.8</v>
      </c>
      <c r="D164" s="5">
        <v>9.09</v>
      </c>
      <c r="E164" s="5">
        <v>14.5</v>
      </c>
      <c r="F164" s="5">
        <v>26.3</v>
      </c>
      <c r="G164" s="6">
        <v>44929</v>
      </c>
      <c r="H164" s="5"/>
      <c r="I164" s="5"/>
      <c r="J164" s="5">
        <f>F164-E164</f>
        <v>11.8</v>
      </c>
      <c r="K164" s="8" t="b">
        <f>E164=F163</f>
        <v>1</v>
      </c>
    </row>
    <row r="165" spans="1:11">
      <c r="A165" s="5" t="s">
        <v>151</v>
      </c>
      <c r="B165" s="6">
        <v>44947</v>
      </c>
      <c r="C165" s="7">
        <v>1</v>
      </c>
      <c r="D165" s="5">
        <v>7.27</v>
      </c>
      <c r="E165" s="5">
        <v>26.3</v>
      </c>
      <c r="F165" s="5">
        <v>32.4</v>
      </c>
      <c r="G165" s="6">
        <v>44947</v>
      </c>
      <c r="H165" s="5"/>
      <c r="I165" s="5"/>
      <c r="J165" s="5">
        <f>F165-E165</f>
        <v>6.0999999999999979</v>
      </c>
      <c r="K165" s="8" t="b">
        <f>E165=F164</f>
        <v>1</v>
      </c>
    </row>
    <row r="166" spans="1:11">
      <c r="A166" s="5" t="s">
        <v>151</v>
      </c>
      <c r="B166" s="6">
        <v>44957</v>
      </c>
      <c r="C166" s="7">
        <v>0.8</v>
      </c>
      <c r="D166" s="5">
        <v>9.09</v>
      </c>
      <c r="E166" s="5">
        <v>32.4</v>
      </c>
      <c r="F166" s="5">
        <v>56.6</v>
      </c>
      <c r="G166" s="6">
        <v>44957</v>
      </c>
      <c r="H166" s="5"/>
      <c r="I166" s="5"/>
      <c r="J166" s="5">
        <f>F166-E166</f>
        <v>24.200000000000003</v>
      </c>
      <c r="K166" s="8" t="b">
        <f>E166=F165</f>
        <v>1</v>
      </c>
    </row>
    <row r="167" spans="1:11">
      <c r="A167" s="5" t="s">
        <v>151</v>
      </c>
      <c r="B167" s="6">
        <v>44962</v>
      </c>
      <c r="C167" s="7">
        <v>0.7</v>
      </c>
      <c r="D167" s="5">
        <v>10.39</v>
      </c>
      <c r="E167" s="5">
        <v>56.6</v>
      </c>
      <c r="F167" s="5">
        <v>74.900000000000006</v>
      </c>
      <c r="G167" s="6">
        <v>44962</v>
      </c>
      <c r="H167" s="5"/>
      <c r="I167" s="5"/>
      <c r="J167" s="5">
        <f t="shared" ref="J167:J176" si="13">F167-E167</f>
        <v>18.300000000000004</v>
      </c>
      <c r="K167" s="8" t="b">
        <f t="shared" ref="K167:K174" si="14">E167=F166</f>
        <v>1</v>
      </c>
    </row>
    <row r="168" spans="1:11">
      <c r="A168" s="5" t="s">
        <v>151</v>
      </c>
      <c r="B168" s="6">
        <v>44965</v>
      </c>
      <c r="C168" s="7">
        <v>0.7</v>
      </c>
      <c r="D168" s="5">
        <v>10.39</v>
      </c>
      <c r="E168" s="5">
        <v>74.900000000000006</v>
      </c>
      <c r="F168" s="5">
        <v>91.2</v>
      </c>
      <c r="G168" s="6">
        <v>44965</v>
      </c>
      <c r="H168" s="5"/>
      <c r="I168" s="5"/>
      <c r="J168" s="5">
        <f t="shared" si="13"/>
        <v>16.299999999999997</v>
      </c>
      <c r="K168" s="8" t="b">
        <f t="shared" si="14"/>
        <v>1</v>
      </c>
    </row>
    <row r="169" spans="1:11">
      <c r="A169" s="5" t="s">
        <v>151</v>
      </c>
      <c r="B169" s="6">
        <v>44969</v>
      </c>
      <c r="C169" s="7">
        <v>0.7</v>
      </c>
      <c r="D169" s="5">
        <v>10.39</v>
      </c>
      <c r="E169" s="5">
        <v>91.2</v>
      </c>
      <c r="F169" s="5">
        <v>118.3</v>
      </c>
      <c r="G169" s="6">
        <v>44969</v>
      </c>
      <c r="H169" s="5"/>
      <c r="I169" s="5"/>
      <c r="J169" s="5">
        <f t="shared" si="13"/>
        <v>27.099999999999994</v>
      </c>
      <c r="K169" s="8" t="b">
        <f t="shared" si="14"/>
        <v>1</v>
      </c>
    </row>
    <row r="170" spans="1:11">
      <c r="A170" s="5" t="s">
        <v>151</v>
      </c>
      <c r="B170" s="6">
        <v>44975</v>
      </c>
      <c r="C170" s="7">
        <v>0.6</v>
      </c>
      <c r="D170" s="5">
        <v>12.12</v>
      </c>
      <c r="E170" s="5">
        <v>118.3</v>
      </c>
      <c r="F170" s="5">
        <v>141.5</v>
      </c>
      <c r="G170" s="6">
        <v>44975</v>
      </c>
      <c r="H170" s="5"/>
      <c r="I170" s="5"/>
      <c r="J170" s="5">
        <f t="shared" si="13"/>
        <v>23.200000000000003</v>
      </c>
      <c r="K170" s="8" t="b">
        <f t="shared" si="14"/>
        <v>1</v>
      </c>
    </row>
    <row r="171" spans="1:11">
      <c r="A171" s="5" t="s">
        <v>151</v>
      </c>
      <c r="B171" s="6">
        <v>44979</v>
      </c>
      <c r="C171" s="7">
        <v>0.7</v>
      </c>
      <c r="D171" s="5">
        <v>10.39</v>
      </c>
      <c r="E171" s="5">
        <v>141.5</v>
      </c>
      <c r="F171" s="5">
        <v>161.1</v>
      </c>
      <c r="G171" s="6">
        <v>44979</v>
      </c>
      <c r="H171" s="5"/>
      <c r="I171" s="5"/>
      <c r="J171" s="5">
        <f t="shared" si="13"/>
        <v>19.599999999999994</v>
      </c>
      <c r="K171" s="8" t="b">
        <f t="shared" si="14"/>
        <v>1</v>
      </c>
    </row>
    <row r="172" spans="1:11">
      <c r="A172" s="5" t="s">
        <v>151</v>
      </c>
      <c r="B172" s="6">
        <v>44987</v>
      </c>
      <c r="C172" s="7">
        <v>0.7</v>
      </c>
      <c r="D172" s="5">
        <v>10.39</v>
      </c>
      <c r="E172" s="5">
        <v>161.1</v>
      </c>
      <c r="F172" s="5">
        <v>181.4</v>
      </c>
      <c r="G172" s="6">
        <v>44987</v>
      </c>
      <c r="H172" s="5"/>
      <c r="I172" s="5"/>
      <c r="J172" s="5">
        <f t="shared" si="13"/>
        <v>20.300000000000011</v>
      </c>
      <c r="K172" s="8" t="b">
        <f t="shared" si="14"/>
        <v>1</v>
      </c>
    </row>
    <row r="173" spans="1:11">
      <c r="A173" s="5" t="s">
        <v>151</v>
      </c>
      <c r="B173" s="6">
        <v>44995</v>
      </c>
      <c r="C173" s="7">
        <v>0.6</v>
      </c>
      <c r="D173" s="5">
        <v>12.12</v>
      </c>
      <c r="E173" s="5">
        <v>181.4</v>
      </c>
      <c r="F173" s="5">
        <v>204.7</v>
      </c>
      <c r="G173" s="6">
        <v>44995</v>
      </c>
      <c r="H173" s="5"/>
      <c r="I173" s="5"/>
      <c r="J173" s="5">
        <f t="shared" si="13"/>
        <v>23.299999999999983</v>
      </c>
      <c r="K173" s="8" t="b">
        <f t="shared" si="14"/>
        <v>1</v>
      </c>
    </row>
    <row r="174" spans="1:11">
      <c r="A174" s="5" t="s">
        <v>151</v>
      </c>
      <c r="B174" s="6">
        <v>44998</v>
      </c>
      <c r="C174" s="7">
        <v>0.6</v>
      </c>
      <c r="D174" s="5">
        <v>12.12</v>
      </c>
      <c r="E174" s="5">
        <v>204.7</v>
      </c>
      <c r="F174" s="5">
        <v>230.1</v>
      </c>
      <c r="G174" s="6">
        <v>44999</v>
      </c>
      <c r="H174" s="5"/>
      <c r="I174" s="5"/>
      <c r="J174" s="5">
        <f t="shared" si="13"/>
        <v>25.400000000000006</v>
      </c>
      <c r="K174" s="8" t="b">
        <f t="shared" si="14"/>
        <v>1</v>
      </c>
    </row>
    <row r="175" spans="1:11">
      <c r="A175" s="5" t="s">
        <v>151</v>
      </c>
      <c r="B175" s="6">
        <v>45010</v>
      </c>
      <c r="C175" s="7">
        <v>0.5</v>
      </c>
      <c r="D175" s="5">
        <v>14.54</v>
      </c>
      <c r="E175" s="5">
        <v>230.1</v>
      </c>
      <c r="F175" s="5">
        <v>257.10000000000002</v>
      </c>
      <c r="G175" s="6">
        <v>45021</v>
      </c>
      <c r="H175" s="5"/>
      <c r="I175" s="5"/>
      <c r="J175" s="5">
        <f t="shared" si="13"/>
        <v>27.000000000000028</v>
      </c>
      <c r="K175" s="8" t="b">
        <f>E176=F174</f>
        <v>0</v>
      </c>
    </row>
    <row r="176" spans="1:11">
      <c r="A176" s="5" t="s">
        <v>151</v>
      </c>
      <c r="B176" s="6"/>
      <c r="C176" s="7"/>
      <c r="D176" s="5"/>
      <c r="E176" s="5"/>
      <c r="F176" s="5"/>
      <c r="G176" s="6"/>
      <c r="H176" s="5"/>
      <c r="I176" s="5"/>
      <c r="J176" s="5">
        <f t="shared" si="13"/>
        <v>0</v>
      </c>
      <c r="K176" s="8" t="b">
        <f>E175=F176</f>
        <v>0</v>
      </c>
    </row>
    <row r="178" spans="1:11" ht="26.25">
      <c r="A178" s="193" t="s">
        <v>150</v>
      </c>
      <c r="B178" s="194"/>
      <c r="C178" s="194"/>
      <c r="D178" s="194"/>
      <c r="E178" s="194"/>
      <c r="F178" s="194"/>
      <c r="G178" s="194"/>
      <c r="H178" s="194"/>
      <c r="I178" s="194"/>
      <c r="J178" s="194"/>
      <c r="K178" s="195"/>
    </row>
    <row r="179" spans="1:11" ht="26.25">
      <c r="A179" s="176" t="s">
        <v>18</v>
      </c>
      <c r="B179" s="196"/>
      <c r="C179" s="196"/>
      <c r="D179" s="196"/>
      <c r="E179" s="196"/>
      <c r="F179" s="196"/>
      <c r="G179" s="196"/>
      <c r="H179" s="196"/>
      <c r="I179" s="196"/>
      <c r="J179" s="196"/>
      <c r="K179" s="197"/>
    </row>
    <row r="181" spans="1:11">
      <c r="A181" s="132" t="s">
        <v>2</v>
      </c>
      <c r="B181" s="133"/>
      <c r="C181" s="133"/>
      <c r="D181" s="133"/>
      <c r="E181" s="133"/>
      <c r="F181" s="133"/>
      <c r="G181" s="133"/>
      <c r="H181" s="133"/>
      <c r="I181" s="133"/>
      <c r="J181" s="133"/>
      <c r="K181" s="134"/>
    </row>
    <row r="183" spans="1:11" ht="18.75">
      <c r="A183" s="1" t="s">
        <v>3</v>
      </c>
      <c r="B183" s="1"/>
      <c r="C183" s="1"/>
      <c r="D183" s="1"/>
      <c r="E183" s="1"/>
      <c r="F183" s="1"/>
      <c r="G183" s="1"/>
      <c r="H183" s="1"/>
      <c r="I183" s="1"/>
    </row>
    <row r="184" spans="1:11" ht="30">
      <c r="A184" s="2" t="s">
        <v>4</v>
      </c>
      <c r="B184" s="3" t="s">
        <v>5</v>
      </c>
      <c r="C184" s="3" t="s">
        <v>6</v>
      </c>
      <c r="D184" s="3" t="s">
        <v>7</v>
      </c>
      <c r="E184" s="3" t="s">
        <v>8</v>
      </c>
      <c r="F184" s="3" t="s">
        <v>9</v>
      </c>
      <c r="G184" s="3" t="s">
        <v>10</v>
      </c>
      <c r="H184" s="3" t="s">
        <v>21</v>
      </c>
      <c r="I184" s="4" t="s">
        <v>22</v>
      </c>
      <c r="J184" s="4" t="s">
        <v>11</v>
      </c>
      <c r="K184" s="4" t="s">
        <v>12</v>
      </c>
    </row>
    <row r="185" spans="1:11">
      <c r="A185" s="5" t="s">
        <v>153</v>
      </c>
      <c r="B185" s="6">
        <v>45115</v>
      </c>
      <c r="C185" s="7">
        <v>0.4</v>
      </c>
      <c r="D185" s="5">
        <v>18.18</v>
      </c>
      <c r="E185" s="5">
        <v>257.10000000000002</v>
      </c>
      <c r="F185" s="5">
        <v>293.39999999999998</v>
      </c>
      <c r="G185" s="6">
        <v>45116</v>
      </c>
      <c r="H185" s="5"/>
      <c r="I185" s="5"/>
      <c r="J185" s="5">
        <f>F185-E185</f>
        <v>36.299999999999955</v>
      </c>
      <c r="K185" s="8" t="b">
        <f>E185=F175</f>
        <v>1</v>
      </c>
    </row>
    <row r="186" spans="1:11">
      <c r="A186" s="5" t="s">
        <v>154</v>
      </c>
      <c r="B186" s="6">
        <v>45117</v>
      </c>
      <c r="C186" s="7">
        <v>0.4</v>
      </c>
      <c r="D186" s="5">
        <v>18.18</v>
      </c>
      <c r="E186" s="5">
        <v>293.39999999999998</v>
      </c>
      <c r="F186" s="5">
        <v>310.7</v>
      </c>
      <c r="G186" s="6">
        <v>45117</v>
      </c>
      <c r="H186" s="5"/>
      <c r="I186" s="5"/>
      <c r="J186" s="5">
        <f>F186-E186</f>
        <v>17.300000000000011</v>
      </c>
      <c r="K186" s="8" t="b">
        <f>E186=F185</f>
        <v>1</v>
      </c>
    </row>
    <row r="187" spans="1:11">
      <c r="A187" s="5" t="s">
        <v>155</v>
      </c>
      <c r="B187" s="6">
        <v>45119</v>
      </c>
      <c r="C187" s="7">
        <v>0.4</v>
      </c>
      <c r="D187" s="5">
        <v>18.18</v>
      </c>
      <c r="E187" s="5">
        <v>310.7</v>
      </c>
      <c r="F187" s="5">
        <v>317.89999999999998</v>
      </c>
      <c r="G187" s="6">
        <v>45119</v>
      </c>
      <c r="H187" s="5"/>
      <c r="I187" s="5"/>
      <c r="J187" s="5">
        <f>F187-E187</f>
        <v>7.1999999999999886</v>
      </c>
      <c r="K187" s="8" t="b">
        <f>E187=F186</f>
        <v>1</v>
      </c>
    </row>
    <row r="188" spans="1:11">
      <c r="A188" s="5" t="s">
        <v>153</v>
      </c>
      <c r="B188" s="6">
        <v>45129</v>
      </c>
      <c r="C188" s="7">
        <v>0.4</v>
      </c>
      <c r="D188" s="5">
        <v>18.18</v>
      </c>
      <c r="E188" s="5">
        <v>317.89999999999998</v>
      </c>
      <c r="F188" s="5">
        <v>356.5</v>
      </c>
      <c r="G188" s="6">
        <v>45130</v>
      </c>
      <c r="H188" s="5"/>
      <c r="I188" s="5"/>
      <c r="J188" s="5">
        <f t="shared" ref="J188:J203" si="15">F188-E188</f>
        <v>38.600000000000023</v>
      </c>
      <c r="K188" s="8" t="b">
        <f t="shared" ref="K188:K203" si="16">E188=F187</f>
        <v>1</v>
      </c>
    </row>
    <row r="189" spans="1:11">
      <c r="A189" s="5" t="s">
        <v>154</v>
      </c>
      <c r="B189" s="6">
        <v>45133</v>
      </c>
      <c r="C189" s="7">
        <v>0.45</v>
      </c>
      <c r="D189" s="5">
        <v>14.76</v>
      </c>
      <c r="E189" s="5">
        <v>356.5</v>
      </c>
      <c r="F189" s="5">
        <v>373</v>
      </c>
      <c r="G189" s="6">
        <v>45133</v>
      </c>
      <c r="H189" s="5"/>
      <c r="I189" s="5"/>
      <c r="J189" s="5">
        <f t="shared" si="15"/>
        <v>16.5</v>
      </c>
      <c r="K189" s="8" t="b">
        <f t="shared" si="16"/>
        <v>1</v>
      </c>
    </row>
    <row r="190" spans="1:11">
      <c r="A190" s="5" t="s">
        <v>156</v>
      </c>
      <c r="B190" s="6">
        <v>45134</v>
      </c>
      <c r="C190" s="7">
        <v>0.45</v>
      </c>
      <c r="D190" s="5">
        <v>14.76</v>
      </c>
      <c r="E190" s="5">
        <v>373</v>
      </c>
      <c r="F190" s="5">
        <v>389.5</v>
      </c>
      <c r="G190" s="6">
        <v>45134</v>
      </c>
      <c r="H190" s="5"/>
      <c r="I190" s="5"/>
      <c r="J190" s="5">
        <f t="shared" si="15"/>
        <v>16.5</v>
      </c>
      <c r="K190" s="8" t="b">
        <f t="shared" si="16"/>
        <v>1</v>
      </c>
    </row>
    <row r="191" spans="1:11">
      <c r="A191" s="5" t="s">
        <v>153</v>
      </c>
      <c r="B191" s="6">
        <v>45166</v>
      </c>
      <c r="C191" s="7">
        <v>0.7</v>
      </c>
      <c r="D191" s="5">
        <v>9.49</v>
      </c>
      <c r="E191" s="5">
        <v>0</v>
      </c>
      <c r="F191" s="5">
        <v>4.2</v>
      </c>
      <c r="G191" s="6">
        <v>45167</v>
      </c>
      <c r="H191" s="5"/>
      <c r="I191" s="5"/>
      <c r="J191" s="5">
        <f t="shared" si="15"/>
        <v>4.2</v>
      </c>
      <c r="K191" s="8" t="b">
        <f t="shared" si="16"/>
        <v>0</v>
      </c>
    </row>
    <row r="192" spans="1:11">
      <c r="A192" s="5" t="s">
        <v>153</v>
      </c>
      <c r="B192" s="6"/>
      <c r="C192" s="7"/>
      <c r="D192" s="5"/>
      <c r="E192" s="5"/>
      <c r="F192" s="5"/>
      <c r="G192" s="6"/>
      <c r="H192" s="5"/>
      <c r="I192" s="5"/>
      <c r="J192" s="5">
        <f t="shared" si="15"/>
        <v>0</v>
      </c>
      <c r="K192" s="8" t="b">
        <f t="shared" si="16"/>
        <v>0</v>
      </c>
    </row>
    <row r="193" spans="1:11" ht="26.25">
      <c r="A193" s="193" t="s">
        <v>150</v>
      </c>
      <c r="B193" s="194"/>
      <c r="C193" s="194"/>
      <c r="D193" s="194"/>
      <c r="E193" s="194"/>
      <c r="F193" s="194"/>
      <c r="G193" s="194"/>
      <c r="H193" s="194"/>
      <c r="I193" s="194"/>
      <c r="J193" s="194"/>
      <c r="K193" s="195"/>
    </row>
    <row r="194" spans="1:11" ht="26.25">
      <c r="A194" s="176" t="s">
        <v>19</v>
      </c>
      <c r="B194" s="196"/>
      <c r="C194" s="196"/>
      <c r="D194" s="196"/>
      <c r="E194" s="196"/>
      <c r="F194" s="196"/>
      <c r="G194" s="196"/>
      <c r="H194" s="196"/>
      <c r="I194" s="196"/>
      <c r="J194" s="196"/>
      <c r="K194" s="197"/>
    </row>
    <row r="195" spans="1:11" ht="15.75" thickBot="1"/>
    <row r="196" spans="1:11" ht="15.75" thickBot="1">
      <c r="A196" s="132" t="s">
        <v>2</v>
      </c>
      <c r="B196" s="133"/>
      <c r="C196" s="133"/>
      <c r="D196" s="133"/>
      <c r="E196" s="133"/>
      <c r="F196" s="133"/>
      <c r="G196" s="133"/>
      <c r="H196" s="133"/>
      <c r="I196" s="133"/>
      <c r="J196" s="133"/>
      <c r="K196" s="134"/>
    </row>
    <row r="198" spans="1:11" ht="19.5" thickBot="1">
      <c r="A198" s="1" t="s">
        <v>3</v>
      </c>
      <c r="B198" s="1"/>
      <c r="C198" s="1"/>
      <c r="D198" s="1"/>
      <c r="E198" s="1"/>
      <c r="F198" s="1"/>
      <c r="G198" s="1"/>
      <c r="H198" s="1"/>
      <c r="I198" s="1"/>
    </row>
    <row r="199" spans="1:11" ht="30.75" thickBot="1">
      <c r="A199" s="2" t="s">
        <v>4</v>
      </c>
      <c r="B199" s="3" t="s">
        <v>5</v>
      </c>
      <c r="C199" s="3" t="s">
        <v>6</v>
      </c>
      <c r="D199" s="3" t="s">
        <v>7</v>
      </c>
      <c r="E199" s="3" t="s">
        <v>8</v>
      </c>
      <c r="F199" s="3" t="s">
        <v>9</v>
      </c>
      <c r="G199" s="3" t="s">
        <v>10</v>
      </c>
      <c r="H199" s="3" t="s">
        <v>21</v>
      </c>
      <c r="I199" s="4" t="s">
        <v>22</v>
      </c>
      <c r="J199" s="4" t="s">
        <v>11</v>
      </c>
      <c r="K199" s="4" t="s">
        <v>12</v>
      </c>
    </row>
    <row r="200" spans="1:11">
      <c r="A200" s="5" t="s">
        <v>153</v>
      </c>
      <c r="B200" s="6">
        <v>45301</v>
      </c>
      <c r="C200" s="7">
        <v>1</v>
      </c>
      <c r="D200" s="21">
        <v>7.27</v>
      </c>
      <c r="E200" s="5">
        <v>0</v>
      </c>
      <c r="F200" s="5">
        <v>15</v>
      </c>
      <c r="G200" s="6">
        <v>45301</v>
      </c>
      <c r="H200" s="5"/>
      <c r="I200" s="5"/>
      <c r="J200" s="5">
        <f t="shared" si="15"/>
        <v>15</v>
      </c>
      <c r="K200" s="8" t="b">
        <f t="shared" si="16"/>
        <v>0</v>
      </c>
    </row>
    <row r="201" spans="1:11">
      <c r="A201" s="5" t="s">
        <v>153</v>
      </c>
      <c r="B201" s="6">
        <v>45302</v>
      </c>
      <c r="C201" s="7">
        <v>1</v>
      </c>
      <c r="D201" s="5">
        <v>7.27</v>
      </c>
      <c r="E201" s="5">
        <v>15</v>
      </c>
      <c r="F201" s="5">
        <v>30</v>
      </c>
      <c r="G201" s="6">
        <v>45302</v>
      </c>
      <c r="H201" s="5"/>
      <c r="I201" s="5"/>
      <c r="J201" s="5">
        <f t="shared" si="15"/>
        <v>15</v>
      </c>
      <c r="K201" s="8" t="b">
        <f t="shared" si="16"/>
        <v>1</v>
      </c>
    </row>
    <row r="202" spans="1:11">
      <c r="A202" s="5" t="s">
        <v>153</v>
      </c>
      <c r="B202" s="6">
        <v>45303</v>
      </c>
      <c r="C202" s="7">
        <v>1</v>
      </c>
      <c r="D202" s="5">
        <v>7.27</v>
      </c>
      <c r="E202" s="5">
        <v>30</v>
      </c>
      <c r="F202" s="5">
        <v>45.2</v>
      </c>
      <c r="G202" s="6">
        <v>45303</v>
      </c>
      <c r="H202" s="5"/>
      <c r="I202" s="5"/>
      <c r="J202" s="5">
        <f t="shared" si="15"/>
        <v>15.200000000000003</v>
      </c>
      <c r="K202" s="8" t="b">
        <f t="shared" si="16"/>
        <v>1</v>
      </c>
    </row>
    <row r="203" spans="1:11">
      <c r="A203" s="5" t="s">
        <v>153</v>
      </c>
      <c r="B203" s="6">
        <v>45304</v>
      </c>
      <c r="C203" s="7">
        <v>1</v>
      </c>
      <c r="D203" s="21">
        <v>7.27</v>
      </c>
      <c r="E203" s="5">
        <v>45.2</v>
      </c>
      <c r="F203" s="5">
        <v>60</v>
      </c>
      <c r="G203" s="6">
        <v>45304</v>
      </c>
      <c r="H203" s="5"/>
      <c r="I203" s="5"/>
      <c r="J203" s="5">
        <f t="shared" si="15"/>
        <v>14.799999999999997</v>
      </c>
      <c r="K203" s="8" t="b">
        <f t="shared" si="16"/>
        <v>1</v>
      </c>
    </row>
    <row r="204" spans="1:11">
      <c r="A204" s="5" t="s">
        <v>153</v>
      </c>
      <c r="B204" s="6">
        <v>45305</v>
      </c>
      <c r="C204" s="7">
        <v>1</v>
      </c>
      <c r="D204" s="5">
        <v>7.27</v>
      </c>
      <c r="E204" s="5">
        <v>60</v>
      </c>
      <c r="F204" s="5">
        <v>75.099999999999994</v>
      </c>
      <c r="G204" s="6">
        <v>45305</v>
      </c>
      <c r="H204" s="5"/>
      <c r="I204" s="5"/>
      <c r="J204" s="5">
        <f t="shared" ref="J204:J217" si="17">F204-E204</f>
        <v>15.099999999999994</v>
      </c>
      <c r="K204" s="8" t="b">
        <f t="shared" ref="K204:K217" si="18">E204=F203</f>
        <v>1</v>
      </c>
    </row>
    <row r="205" spans="1:11">
      <c r="A205" s="5" t="s">
        <v>153</v>
      </c>
      <c r="B205" s="6">
        <v>45307</v>
      </c>
      <c r="C205" s="7">
        <v>1</v>
      </c>
      <c r="D205" s="5">
        <v>7.27</v>
      </c>
      <c r="E205" s="5">
        <v>75.099999999999994</v>
      </c>
      <c r="F205" s="5">
        <v>86.5</v>
      </c>
      <c r="G205" s="6">
        <v>45307</v>
      </c>
      <c r="H205" s="5"/>
      <c r="I205" s="5"/>
      <c r="J205" s="5">
        <f t="shared" si="17"/>
        <v>11.400000000000006</v>
      </c>
      <c r="K205" s="8" t="b">
        <f t="shared" si="18"/>
        <v>1</v>
      </c>
    </row>
    <row r="206" spans="1:11">
      <c r="A206" s="21" t="s">
        <v>153</v>
      </c>
      <c r="B206" s="22">
        <v>45308</v>
      </c>
      <c r="C206" s="23">
        <v>1</v>
      </c>
      <c r="D206" s="21">
        <v>7.27</v>
      </c>
      <c r="E206" s="21">
        <v>86.5</v>
      </c>
      <c r="F206" s="21">
        <v>101.5</v>
      </c>
      <c r="G206" s="22">
        <v>45308</v>
      </c>
      <c r="H206" s="21"/>
      <c r="I206" s="21"/>
      <c r="J206" s="21">
        <f t="shared" si="17"/>
        <v>15</v>
      </c>
      <c r="K206" s="8" t="b">
        <f t="shared" si="18"/>
        <v>1</v>
      </c>
    </row>
    <row r="207" spans="1:11">
      <c r="A207" s="5" t="s">
        <v>153</v>
      </c>
      <c r="B207" s="6">
        <v>45309</v>
      </c>
      <c r="C207" s="7">
        <v>1</v>
      </c>
      <c r="D207" s="5">
        <v>7.27</v>
      </c>
      <c r="E207" s="5">
        <v>101.5</v>
      </c>
      <c r="F207" s="5">
        <v>116.5</v>
      </c>
      <c r="G207" s="6">
        <v>45309</v>
      </c>
      <c r="H207" s="5"/>
      <c r="I207" s="5"/>
      <c r="J207" s="5">
        <f t="shared" si="17"/>
        <v>15</v>
      </c>
      <c r="K207" s="8" t="b">
        <f t="shared" si="18"/>
        <v>1</v>
      </c>
    </row>
    <row r="208" spans="1:11">
      <c r="A208" s="5" t="s">
        <v>153</v>
      </c>
      <c r="B208" s="6">
        <v>45328</v>
      </c>
      <c r="C208" s="7">
        <v>0.7</v>
      </c>
      <c r="D208" s="5">
        <v>9.49</v>
      </c>
      <c r="E208" s="5">
        <v>116.5</v>
      </c>
      <c r="F208" s="5">
        <v>137.19999999999999</v>
      </c>
      <c r="G208" s="6">
        <v>45328</v>
      </c>
      <c r="H208" s="5"/>
      <c r="I208" s="5"/>
      <c r="J208" s="5">
        <f t="shared" si="17"/>
        <v>20.699999999999989</v>
      </c>
      <c r="K208" s="8" t="b">
        <f t="shared" si="18"/>
        <v>1</v>
      </c>
    </row>
    <row r="209" spans="1:11">
      <c r="A209" s="5" t="s">
        <v>153</v>
      </c>
      <c r="B209" s="6">
        <v>45337</v>
      </c>
      <c r="C209" s="7">
        <v>1</v>
      </c>
      <c r="D209" s="5">
        <v>7.27</v>
      </c>
      <c r="E209" s="5">
        <v>137.19999999999999</v>
      </c>
      <c r="F209" s="5">
        <v>151.30000000000001</v>
      </c>
      <c r="G209" s="6">
        <v>45337</v>
      </c>
      <c r="H209" s="5"/>
      <c r="I209" s="5"/>
      <c r="J209" s="5">
        <f t="shared" si="17"/>
        <v>14.100000000000023</v>
      </c>
      <c r="K209" s="8" t="b">
        <f t="shared" si="18"/>
        <v>1</v>
      </c>
    </row>
    <row r="210" spans="1:11">
      <c r="A210" s="101" t="s">
        <v>153</v>
      </c>
      <c r="B210" s="102">
        <v>45338</v>
      </c>
      <c r="C210" s="103">
        <v>1</v>
      </c>
      <c r="D210" s="101">
        <v>7.27</v>
      </c>
      <c r="E210" s="101">
        <v>151.30000000000001</v>
      </c>
      <c r="F210" s="101">
        <v>156.5</v>
      </c>
      <c r="G210" s="102">
        <v>45338</v>
      </c>
      <c r="H210" s="101"/>
      <c r="I210" s="101"/>
      <c r="J210" s="101">
        <f t="shared" si="17"/>
        <v>5.1999999999999886</v>
      </c>
      <c r="K210" s="8" t="b">
        <f t="shared" si="18"/>
        <v>1</v>
      </c>
    </row>
    <row r="211" spans="1:11">
      <c r="A211" s="5" t="s">
        <v>153</v>
      </c>
      <c r="B211" s="6">
        <v>45350</v>
      </c>
      <c r="C211" s="7">
        <v>1</v>
      </c>
      <c r="D211" s="5">
        <v>7.27</v>
      </c>
      <c r="E211" s="5">
        <v>156.5</v>
      </c>
      <c r="F211" s="5">
        <v>170.3</v>
      </c>
      <c r="G211" s="6">
        <v>45350</v>
      </c>
      <c r="H211" s="5"/>
      <c r="I211" s="5"/>
      <c r="J211" s="5">
        <f t="shared" si="17"/>
        <v>13.800000000000011</v>
      </c>
      <c r="K211" s="8" t="b">
        <f t="shared" si="18"/>
        <v>1</v>
      </c>
    </row>
    <row r="212" spans="1:11">
      <c r="A212" s="5" t="s">
        <v>153</v>
      </c>
      <c r="B212" s="6">
        <v>45353</v>
      </c>
      <c r="C212" s="7">
        <v>0.8</v>
      </c>
      <c r="D212" s="5">
        <v>9.09</v>
      </c>
      <c r="E212" s="5">
        <v>170.3</v>
      </c>
      <c r="F212" s="5">
        <v>189.3</v>
      </c>
      <c r="G212" s="6">
        <v>45353</v>
      </c>
      <c r="H212" s="5"/>
      <c r="I212" s="5"/>
      <c r="J212" s="5">
        <f t="shared" si="17"/>
        <v>19</v>
      </c>
      <c r="K212" s="8" t="b">
        <f t="shared" si="18"/>
        <v>1</v>
      </c>
    </row>
    <row r="213" spans="1:11">
      <c r="A213" s="5" t="s">
        <v>153</v>
      </c>
      <c r="B213" s="6">
        <v>45357</v>
      </c>
      <c r="C213" s="7">
        <v>1</v>
      </c>
      <c r="D213" s="5">
        <v>7.27</v>
      </c>
      <c r="E213" s="5">
        <v>189.3</v>
      </c>
      <c r="F213" s="5" t="s">
        <v>157</v>
      </c>
      <c r="G213" s="6">
        <v>45357</v>
      </c>
      <c r="H213" s="5"/>
      <c r="I213" s="5"/>
      <c r="J213" s="5"/>
      <c r="K213" s="8" t="b">
        <f t="shared" si="18"/>
        <v>1</v>
      </c>
    </row>
    <row r="214" spans="1:11">
      <c r="A214" s="5" t="s">
        <v>153</v>
      </c>
      <c r="B214" s="6">
        <v>45358</v>
      </c>
      <c r="C214" s="7">
        <v>1</v>
      </c>
      <c r="D214" s="5">
        <v>7.27</v>
      </c>
      <c r="E214" s="5">
        <v>189.3</v>
      </c>
      <c r="F214" s="5">
        <v>203.8</v>
      </c>
      <c r="G214" s="6">
        <v>45358</v>
      </c>
      <c r="H214" s="5"/>
      <c r="I214" s="5"/>
      <c r="J214" s="5">
        <f t="shared" si="17"/>
        <v>14.5</v>
      </c>
      <c r="K214" s="8" t="b">
        <f>E214=F212</f>
        <v>1</v>
      </c>
    </row>
    <row r="215" spans="1:11">
      <c r="A215" s="5" t="s">
        <v>153</v>
      </c>
      <c r="B215" s="6">
        <v>45361</v>
      </c>
      <c r="C215" s="7">
        <v>0.8</v>
      </c>
      <c r="D215" s="5">
        <v>9.09</v>
      </c>
      <c r="E215" s="5">
        <v>203.8</v>
      </c>
      <c r="F215" s="5">
        <v>222.8</v>
      </c>
      <c r="G215" s="6">
        <v>45361</v>
      </c>
      <c r="H215" s="5"/>
      <c r="I215" s="5"/>
      <c r="J215" s="5">
        <f t="shared" si="17"/>
        <v>19</v>
      </c>
      <c r="K215" s="8" t="b">
        <f t="shared" si="18"/>
        <v>1</v>
      </c>
    </row>
    <row r="216" spans="1:11">
      <c r="A216" s="5" t="s">
        <v>153</v>
      </c>
      <c r="B216" s="6">
        <v>45364</v>
      </c>
      <c r="C216" s="7">
        <v>0.7</v>
      </c>
      <c r="D216" s="5">
        <v>9.49</v>
      </c>
      <c r="E216" s="5">
        <v>222.8</v>
      </c>
      <c r="F216" s="5">
        <v>243.8</v>
      </c>
      <c r="G216" s="6">
        <v>45364</v>
      </c>
      <c r="H216" s="5"/>
      <c r="I216" s="5"/>
      <c r="J216" s="5">
        <f t="shared" si="17"/>
        <v>21</v>
      </c>
      <c r="K216" s="8" t="b">
        <f t="shared" si="18"/>
        <v>1</v>
      </c>
    </row>
    <row r="217" spans="1:11">
      <c r="A217" s="5" t="s">
        <v>153</v>
      </c>
      <c r="B217" s="6">
        <v>45366</v>
      </c>
      <c r="C217" s="7">
        <v>0.7</v>
      </c>
      <c r="D217" s="5">
        <v>9.49</v>
      </c>
      <c r="E217" s="5">
        <v>243.8</v>
      </c>
      <c r="F217" s="5" t="s">
        <v>157</v>
      </c>
      <c r="G217" s="6">
        <v>45366</v>
      </c>
      <c r="H217" s="5"/>
      <c r="I217" s="5"/>
      <c r="J217" s="5" t="e">
        <f t="shared" si="17"/>
        <v>#VALUE!</v>
      </c>
      <c r="K217" s="8" t="b">
        <f t="shared" si="18"/>
        <v>1</v>
      </c>
    </row>
    <row r="218" spans="1:11">
      <c r="A218" s="5" t="s">
        <v>153</v>
      </c>
      <c r="B218" s="6">
        <v>45369</v>
      </c>
      <c r="C218" s="7">
        <v>0.7</v>
      </c>
      <c r="D218" s="5">
        <v>9.49</v>
      </c>
      <c r="E218" s="5">
        <v>243.8</v>
      </c>
      <c r="F218" s="5">
        <v>265.60000000000002</v>
      </c>
      <c r="G218" s="6">
        <v>45369</v>
      </c>
      <c r="H218" s="5"/>
      <c r="I218" s="5"/>
      <c r="J218" s="5">
        <f t="shared" ref="J218:J237" si="19">F218-E218</f>
        <v>21.800000000000011</v>
      </c>
      <c r="K218" s="8" t="b">
        <f t="shared" ref="K218:K237" si="20">E218=F217</f>
        <v>0</v>
      </c>
    </row>
    <row r="219" spans="1:11">
      <c r="A219" s="5" t="s">
        <v>153</v>
      </c>
      <c r="B219" s="6">
        <v>45378</v>
      </c>
      <c r="C219" s="7">
        <v>0.9</v>
      </c>
      <c r="D219" s="5">
        <v>8.08</v>
      </c>
      <c r="E219" s="5">
        <v>265.60000000000002</v>
      </c>
      <c r="F219" s="5">
        <v>281.39999999999998</v>
      </c>
      <c r="G219" s="6">
        <v>45378</v>
      </c>
      <c r="H219" s="5"/>
      <c r="I219" s="5"/>
      <c r="J219" s="5">
        <f t="shared" si="19"/>
        <v>15.799999999999955</v>
      </c>
      <c r="K219" s="8" t="b">
        <f t="shared" si="20"/>
        <v>1</v>
      </c>
    </row>
    <row r="220" spans="1:11">
      <c r="A220" s="5" t="s">
        <v>153</v>
      </c>
      <c r="B220" s="6">
        <v>45380</v>
      </c>
      <c r="C220" s="7">
        <v>0.6</v>
      </c>
      <c r="D220" s="5">
        <v>12.12</v>
      </c>
      <c r="E220" s="5">
        <v>281.39999999999998</v>
      </c>
      <c r="F220" s="5">
        <v>306.39999999999998</v>
      </c>
      <c r="G220" s="6">
        <v>45380</v>
      </c>
      <c r="H220" s="5"/>
      <c r="I220" s="5"/>
      <c r="J220" s="5">
        <f t="shared" si="19"/>
        <v>25</v>
      </c>
      <c r="K220" s="8" t="b">
        <f t="shared" si="20"/>
        <v>1</v>
      </c>
    </row>
    <row r="221" spans="1:11">
      <c r="A221" s="5" t="s">
        <v>153</v>
      </c>
      <c r="B221" s="6">
        <v>45382</v>
      </c>
      <c r="C221" s="7">
        <v>0.6</v>
      </c>
      <c r="D221" s="5">
        <v>12.12</v>
      </c>
      <c r="E221" s="5">
        <v>306.39999999999998</v>
      </c>
      <c r="F221" s="5">
        <v>331.4</v>
      </c>
      <c r="G221" s="6">
        <v>45382</v>
      </c>
      <c r="H221" s="5"/>
      <c r="I221" s="5"/>
      <c r="J221" s="5">
        <f t="shared" si="19"/>
        <v>25</v>
      </c>
      <c r="K221" s="8" t="b">
        <f t="shared" si="20"/>
        <v>1</v>
      </c>
    </row>
    <row r="222" spans="1:11">
      <c r="A222" s="5" t="s">
        <v>153</v>
      </c>
      <c r="B222" s="6">
        <v>45384</v>
      </c>
      <c r="C222" s="7">
        <v>1</v>
      </c>
      <c r="D222" s="5">
        <v>7.27</v>
      </c>
      <c r="E222" s="5">
        <v>331.4</v>
      </c>
      <c r="F222" s="5">
        <v>346.6</v>
      </c>
      <c r="G222" s="6">
        <v>45384</v>
      </c>
      <c r="H222" s="5"/>
      <c r="I222" s="5"/>
      <c r="J222" s="5">
        <f t="shared" si="19"/>
        <v>15.200000000000045</v>
      </c>
      <c r="K222" s="8" t="b">
        <f t="shared" si="20"/>
        <v>1</v>
      </c>
    </row>
    <row r="223" spans="1:11">
      <c r="A223" s="5" t="s">
        <v>153</v>
      </c>
      <c r="B223" s="6">
        <v>45386</v>
      </c>
      <c r="C223" s="7">
        <v>1</v>
      </c>
      <c r="D223" s="5">
        <v>7.27</v>
      </c>
      <c r="E223" s="5">
        <v>346.6</v>
      </c>
      <c r="F223" s="5">
        <v>360.6</v>
      </c>
      <c r="G223" s="6">
        <v>45386</v>
      </c>
      <c r="H223" s="5"/>
      <c r="I223" s="5"/>
      <c r="J223" s="5">
        <f t="shared" si="19"/>
        <v>14</v>
      </c>
      <c r="K223" s="8" t="b">
        <f t="shared" si="20"/>
        <v>1</v>
      </c>
    </row>
    <row r="224" spans="1:11">
      <c r="A224" s="5" t="s">
        <v>153</v>
      </c>
      <c r="B224" s="6">
        <v>45387</v>
      </c>
      <c r="C224" s="7">
        <v>1</v>
      </c>
      <c r="D224" s="5">
        <v>7.27</v>
      </c>
      <c r="E224" s="5">
        <v>360.6</v>
      </c>
      <c r="F224" s="5">
        <v>367.6</v>
      </c>
      <c r="G224" s="6">
        <v>45387</v>
      </c>
      <c r="H224" s="5"/>
      <c r="I224" s="5"/>
      <c r="J224" s="5">
        <f t="shared" si="19"/>
        <v>7</v>
      </c>
      <c r="K224" s="8" t="b">
        <f t="shared" si="20"/>
        <v>1</v>
      </c>
    </row>
    <row r="225" spans="1:11">
      <c r="A225" s="5" t="s">
        <v>153</v>
      </c>
      <c r="B225" s="6">
        <v>45390</v>
      </c>
      <c r="C225" s="7">
        <v>1</v>
      </c>
      <c r="D225" s="5">
        <v>7.27</v>
      </c>
      <c r="E225" s="5">
        <v>367.6</v>
      </c>
      <c r="F225" s="5">
        <v>375.6</v>
      </c>
      <c r="G225" s="6">
        <v>45390</v>
      </c>
      <c r="H225" s="5"/>
      <c r="I225" s="5"/>
      <c r="J225" s="5">
        <f t="shared" si="19"/>
        <v>8</v>
      </c>
      <c r="K225" s="8" t="b">
        <f t="shared" si="20"/>
        <v>1</v>
      </c>
    </row>
    <row r="226" spans="1:11">
      <c r="A226" s="5" t="s">
        <v>153</v>
      </c>
      <c r="B226" s="6">
        <v>45391</v>
      </c>
      <c r="C226" s="7">
        <v>1</v>
      </c>
      <c r="D226" s="5">
        <v>7.27</v>
      </c>
      <c r="E226" s="5">
        <v>375.6</v>
      </c>
      <c r="F226" s="5">
        <v>390.6</v>
      </c>
      <c r="G226" s="6">
        <v>45391</v>
      </c>
      <c r="H226" s="5"/>
      <c r="I226" s="5"/>
      <c r="J226" s="5">
        <f t="shared" si="19"/>
        <v>15</v>
      </c>
      <c r="K226" s="8" t="b">
        <f t="shared" si="20"/>
        <v>1</v>
      </c>
    </row>
    <row r="227" spans="1:11">
      <c r="A227" s="5" t="s">
        <v>153</v>
      </c>
      <c r="B227" s="6">
        <v>45401</v>
      </c>
      <c r="C227" s="7">
        <v>0.7</v>
      </c>
      <c r="D227" s="5">
        <v>9.49</v>
      </c>
      <c r="E227" s="5">
        <v>390.6</v>
      </c>
      <c r="F227" s="5">
        <v>412.4</v>
      </c>
      <c r="G227" s="6">
        <v>45401</v>
      </c>
      <c r="H227" s="5"/>
      <c r="I227" s="5"/>
      <c r="J227" s="5">
        <f t="shared" si="19"/>
        <v>21.799999999999955</v>
      </c>
      <c r="K227" s="8" t="b">
        <f t="shared" si="20"/>
        <v>1</v>
      </c>
    </row>
    <row r="228" spans="1:11">
      <c r="A228" s="5" t="s">
        <v>153</v>
      </c>
      <c r="B228" s="6">
        <v>45403</v>
      </c>
      <c r="C228" s="7">
        <v>0.7</v>
      </c>
      <c r="D228" s="5">
        <v>9.49</v>
      </c>
      <c r="E228" s="5">
        <v>412.4</v>
      </c>
      <c r="F228" s="5">
        <v>434.2</v>
      </c>
      <c r="G228" s="6">
        <v>45403</v>
      </c>
      <c r="H228" s="5"/>
      <c r="I228" s="5"/>
      <c r="J228" s="5">
        <f t="shared" si="19"/>
        <v>21.800000000000011</v>
      </c>
      <c r="K228" s="8" t="b">
        <f t="shared" si="20"/>
        <v>1</v>
      </c>
    </row>
    <row r="229" spans="1:11">
      <c r="A229" s="5" t="s">
        <v>153</v>
      </c>
      <c r="B229" s="6">
        <v>45406</v>
      </c>
      <c r="C229" s="7">
        <v>0.7</v>
      </c>
      <c r="D229" s="5">
        <v>9.49</v>
      </c>
      <c r="E229" s="5">
        <v>434.2</v>
      </c>
      <c r="F229" s="5">
        <v>454.2</v>
      </c>
      <c r="G229" s="6">
        <v>45406</v>
      </c>
      <c r="H229" s="5"/>
      <c r="I229" s="5"/>
      <c r="J229" s="5">
        <f t="shared" si="19"/>
        <v>20</v>
      </c>
      <c r="K229" s="8" t="b">
        <f t="shared" si="20"/>
        <v>1</v>
      </c>
    </row>
    <row r="230" spans="1:11">
      <c r="A230" s="5" t="s">
        <v>153</v>
      </c>
      <c r="B230" s="6">
        <v>45410</v>
      </c>
      <c r="C230" s="7">
        <v>0.8</v>
      </c>
      <c r="D230" s="5">
        <v>9.09</v>
      </c>
      <c r="E230" s="5">
        <v>454.2</v>
      </c>
      <c r="F230" s="5">
        <v>475.9</v>
      </c>
      <c r="G230" s="6">
        <v>45410</v>
      </c>
      <c r="H230" s="5"/>
      <c r="I230" s="5"/>
      <c r="J230" s="5">
        <f t="shared" si="19"/>
        <v>21.699999999999989</v>
      </c>
      <c r="K230" s="8" t="b">
        <f t="shared" si="20"/>
        <v>1</v>
      </c>
    </row>
    <row r="231" spans="1:11">
      <c r="A231" s="5" t="s">
        <v>153</v>
      </c>
      <c r="B231" s="6">
        <v>45415</v>
      </c>
      <c r="C231" s="7">
        <v>0.8</v>
      </c>
      <c r="D231" s="5">
        <v>9.09</v>
      </c>
      <c r="E231" s="5">
        <v>475.9</v>
      </c>
      <c r="F231" s="5">
        <v>495.7</v>
      </c>
      <c r="G231" s="6">
        <v>45415</v>
      </c>
      <c r="H231" s="5"/>
      <c r="I231" s="5"/>
      <c r="J231" s="5">
        <f t="shared" si="19"/>
        <v>19.800000000000011</v>
      </c>
      <c r="K231" s="8" t="b">
        <f t="shared" si="20"/>
        <v>1</v>
      </c>
    </row>
    <row r="232" spans="1:11">
      <c r="A232" s="5" t="s">
        <v>153</v>
      </c>
      <c r="B232" s="6">
        <v>45419</v>
      </c>
      <c r="C232" s="7">
        <v>0.8</v>
      </c>
      <c r="D232" s="5">
        <v>9.09</v>
      </c>
      <c r="E232" s="5">
        <v>495.7</v>
      </c>
      <c r="F232" s="5">
        <v>514.79999999999995</v>
      </c>
      <c r="G232" s="6">
        <v>45419</v>
      </c>
      <c r="H232" s="5"/>
      <c r="I232" s="5"/>
      <c r="J232" s="5">
        <f t="shared" si="19"/>
        <v>19.099999999999966</v>
      </c>
      <c r="K232" s="8" t="b">
        <f t="shared" si="20"/>
        <v>1</v>
      </c>
    </row>
    <row r="233" spans="1:11">
      <c r="A233" s="5" t="s">
        <v>153</v>
      </c>
      <c r="B233" s="6">
        <v>45428</v>
      </c>
      <c r="C233" s="7">
        <v>0.7</v>
      </c>
      <c r="D233" s="5">
        <v>9.49</v>
      </c>
      <c r="E233" s="5">
        <v>514.79999999999995</v>
      </c>
      <c r="F233" s="5">
        <v>534.9</v>
      </c>
      <c r="G233" s="6">
        <v>45428</v>
      </c>
      <c r="H233" s="5"/>
      <c r="I233" s="5"/>
      <c r="J233" s="5">
        <f t="shared" si="19"/>
        <v>20.100000000000023</v>
      </c>
      <c r="K233" s="8" t="b">
        <f t="shared" si="20"/>
        <v>1</v>
      </c>
    </row>
    <row r="234" spans="1:11">
      <c r="A234" s="5" t="s">
        <v>153</v>
      </c>
      <c r="B234" s="6">
        <v>45432</v>
      </c>
      <c r="C234" s="7">
        <v>0.7</v>
      </c>
      <c r="D234" s="5">
        <v>9.49</v>
      </c>
      <c r="E234" s="5">
        <v>534.9</v>
      </c>
      <c r="F234" s="5">
        <v>556.70000000000005</v>
      </c>
      <c r="G234" s="6">
        <v>45432</v>
      </c>
      <c r="H234" s="5"/>
      <c r="I234" s="5"/>
      <c r="J234" s="5">
        <f t="shared" si="19"/>
        <v>21.800000000000068</v>
      </c>
      <c r="K234" s="8" t="b">
        <f t="shared" si="20"/>
        <v>1</v>
      </c>
    </row>
    <row r="235" spans="1:11">
      <c r="A235" s="5" t="s">
        <v>153</v>
      </c>
      <c r="B235" s="6">
        <v>45436</v>
      </c>
      <c r="C235" s="7">
        <v>0.6</v>
      </c>
      <c r="D235" s="5">
        <v>12.12</v>
      </c>
      <c r="E235" s="5">
        <v>556.70000000000005</v>
      </c>
      <c r="F235" s="5">
        <v>581.70000000000005</v>
      </c>
      <c r="G235" s="6">
        <v>45436</v>
      </c>
      <c r="H235" s="5"/>
      <c r="I235" s="5"/>
      <c r="J235" s="5">
        <f t="shared" si="19"/>
        <v>25</v>
      </c>
      <c r="K235" s="8" t="b">
        <f t="shared" si="20"/>
        <v>1</v>
      </c>
    </row>
    <row r="236" spans="1:11">
      <c r="A236" s="5" t="s">
        <v>153</v>
      </c>
      <c r="B236" s="6">
        <v>45440</v>
      </c>
      <c r="C236" s="7">
        <v>0.6</v>
      </c>
      <c r="D236" s="5">
        <v>12.12</v>
      </c>
      <c r="E236" s="5">
        <v>581.70000000000005</v>
      </c>
      <c r="F236" s="5">
        <v>606.70000000000005</v>
      </c>
      <c r="G236" s="6">
        <v>45440</v>
      </c>
      <c r="H236" s="5"/>
      <c r="I236" s="5"/>
      <c r="J236" s="5">
        <f t="shared" si="19"/>
        <v>25</v>
      </c>
      <c r="K236" s="8" t="b">
        <f t="shared" si="20"/>
        <v>1</v>
      </c>
    </row>
    <row r="237" spans="1:11">
      <c r="A237" s="5" t="s">
        <v>153</v>
      </c>
      <c r="B237" s="6">
        <v>45443</v>
      </c>
      <c r="C237" s="7">
        <v>0.5</v>
      </c>
      <c r="D237" s="5">
        <v>14.54</v>
      </c>
      <c r="E237" s="5">
        <v>606.70000000000005</v>
      </c>
      <c r="F237" s="5">
        <v>620.70000000000005</v>
      </c>
      <c r="G237" s="6">
        <v>45443</v>
      </c>
      <c r="H237" s="5"/>
      <c r="I237" s="5"/>
      <c r="J237" s="5">
        <f t="shared" si="19"/>
        <v>14</v>
      </c>
      <c r="K237" s="8" t="b">
        <f t="shared" si="20"/>
        <v>1</v>
      </c>
    </row>
    <row r="238" spans="1:11">
      <c r="A238" s="5" t="s">
        <v>153</v>
      </c>
      <c r="B238" s="6">
        <v>45444</v>
      </c>
      <c r="C238" s="7">
        <v>0.5</v>
      </c>
      <c r="D238" s="5">
        <v>14.54</v>
      </c>
      <c r="E238" s="5">
        <v>620.70000000000005</v>
      </c>
      <c r="F238" s="5">
        <v>634.29999999999995</v>
      </c>
      <c r="G238" s="6">
        <v>45444</v>
      </c>
      <c r="H238" s="5"/>
      <c r="I238" s="5"/>
      <c r="J238" s="5">
        <f t="shared" ref="J238:J279" si="21">F238-E238</f>
        <v>13.599999999999909</v>
      </c>
      <c r="K238" s="8" t="b">
        <f t="shared" ref="K238:K279" si="22">E238=F237</f>
        <v>1</v>
      </c>
    </row>
    <row r="239" spans="1:11">
      <c r="A239" s="5" t="s">
        <v>153</v>
      </c>
      <c r="B239" s="6">
        <v>45452</v>
      </c>
      <c r="C239" s="7">
        <v>0.5</v>
      </c>
      <c r="D239" s="5">
        <v>14.54</v>
      </c>
      <c r="E239" s="5">
        <v>634.29999999999995</v>
      </c>
      <c r="F239" s="5">
        <v>648.79999999999995</v>
      </c>
      <c r="G239" s="6">
        <v>45452</v>
      </c>
      <c r="H239" s="5"/>
      <c r="I239" s="5"/>
      <c r="J239" s="5">
        <f t="shared" si="21"/>
        <v>14.5</v>
      </c>
      <c r="K239" s="8" t="b">
        <f t="shared" si="22"/>
        <v>1</v>
      </c>
    </row>
    <row r="240" spans="1:11">
      <c r="A240" s="5" t="s">
        <v>153</v>
      </c>
      <c r="B240" s="6">
        <v>45453</v>
      </c>
      <c r="C240" s="7">
        <v>0.5</v>
      </c>
      <c r="D240" s="5">
        <v>14.54</v>
      </c>
      <c r="E240" s="5">
        <v>648.79999999999995</v>
      </c>
      <c r="F240" s="5">
        <v>662.3</v>
      </c>
      <c r="G240" s="6">
        <v>45453</v>
      </c>
      <c r="H240" s="5"/>
      <c r="I240" s="5"/>
      <c r="J240" s="5">
        <f t="shared" si="21"/>
        <v>13.5</v>
      </c>
      <c r="K240" s="8" t="b">
        <f t="shared" si="22"/>
        <v>1</v>
      </c>
    </row>
    <row r="241" spans="1:11">
      <c r="A241" s="5" t="s">
        <v>153</v>
      </c>
      <c r="B241" s="6">
        <v>45461</v>
      </c>
      <c r="C241" s="7">
        <v>0.5</v>
      </c>
      <c r="D241" s="5">
        <v>14.54</v>
      </c>
      <c r="E241" s="5">
        <v>662.3</v>
      </c>
      <c r="F241" s="5">
        <v>677.3</v>
      </c>
      <c r="G241" s="6">
        <v>45461</v>
      </c>
      <c r="H241" s="5"/>
      <c r="I241" s="5"/>
      <c r="J241" s="5">
        <f t="shared" si="21"/>
        <v>15</v>
      </c>
      <c r="K241" s="8" t="b">
        <f t="shared" si="22"/>
        <v>1</v>
      </c>
    </row>
    <row r="242" spans="1:11">
      <c r="A242" s="5" t="s">
        <v>153</v>
      </c>
      <c r="B242" s="6">
        <v>45462</v>
      </c>
      <c r="C242" s="7">
        <v>0.5</v>
      </c>
      <c r="D242" s="5">
        <v>14.54</v>
      </c>
      <c r="E242" s="5">
        <v>677.3</v>
      </c>
      <c r="F242" s="5">
        <v>692.3</v>
      </c>
      <c r="G242" s="6">
        <v>45462</v>
      </c>
      <c r="H242" s="5"/>
      <c r="I242" s="5"/>
      <c r="J242" s="5">
        <f t="shared" si="21"/>
        <v>15</v>
      </c>
      <c r="K242" s="8" t="b">
        <f t="shared" si="22"/>
        <v>1</v>
      </c>
    </row>
    <row r="243" spans="1:11">
      <c r="A243" s="5" t="s">
        <v>153</v>
      </c>
      <c r="B243" s="6">
        <v>45464</v>
      </c>
      <c r="C243" s="7">
        <v>0.75</v>
      </c>
      <c r="D243" s="5">
        <v>9.16</v>
      </c>
      <c r="E243" s="5">
        <v>692.3</v>
      </c>
      <c r="F243" s="5">
        <v>712.6</v>
      </c>
      <c r="G243" s="6">
        <v>45464</v>
      </c>
      <c r="H243" s="5"/>
      <c r="I243" s="5"/>
      <c r="J243" s="5">
        <f t="shared" si="21"/>
        <v>20.300000000000068</v>
      </c>
      <c r="K243" s="8" t="b">
        <f t="shared" si="22"/>
        <v>1</v>
      </c>
    </row>
    <row r="244" spans="1:11">
      <c r="A244" s="5" t="s">
        <v>153</v>
      </c>
      <c r="B244" s="6">
        <v>45470</v>
      </c>
      <c r="C244" s="7">
        <v>0.5</v>
      </c>
      <c r="D244" s="5">
        <v>14.54</v>
      </c>
      <c r="E244" s="5">
        <v>712.6</v>
      </c>
      <c r="F244" s="5">
        <v>727.4</v>
      </c>
      <c r="G244" s="6">
        <v>45470</v>
      </c>
      <c r="H244" s="5"/>
      <c r="I244" s="5"/>
      <c r="J244" s="5">
        <f t="shared" si="21"/>
        <v>14.799999999999955</v>
      </c>
      <c r="K244" s="8" t="b">
        <f t="shared" si="22"/>
        <v>1</v>
      </c>
    </row>
    <row r="245" spans="1:11">
      <c r="A245" s="5" t="s">
        <v>153</v>
      </c>
      <c r="B245" s="6">
        <v>45471</v>
      </c>
      <c r="C245" s="7">
        <v>0.5</v>
      </c>
      <c r="D245" s="5">
        <v>14.54</v>
      </c>
      <c r="E245" s="5">
        <v>727.4</v>
      </c>
      <c r="F245" s="5">
        <v>742.2</v>
      </c>
      <c r="G245" s="6">
        <v>45471</v>
      </c>
      <c r="H245" s="5"/>
      <c r="I245" s="5"/>
      <c r="J245" s="5">
        <f t="shared" si="21"/>
        <v>14.800000000000068</v>
      </c>
      <c r="K245" s="8" t="b">
        <f t="shared" si="22"/>
        <v>1</v>
      </c>
    </row>
    <row r="246" spans="1:11">
      <c r="A246" s="5" t="s">
        <v>153</v>
      </c>
      <c r="B246" s="6">
        <v>45477</v>
      </c>
      <c r="C246" s="7">
        <v>0.7</v>
      </c>
      <c r="D246" s="5">
        <v>10.4</v>
      </c>
      <c r="E246" s="5">
        <v>742.2</v>
      </c>
      <c r="F246" s="5">
        <v>763.4</v>
      </c>
      <c r="G246" s="6">
        <v>45477</v>
      </c>
      <c r="H246" s="5"/>
      <c r="I246" s="5"/>
      <c r="J246" s="5">
        <f t="shared" si="21"/>
        <v>21.199999999999932</v>
      </c>
      <c r="K246" s="8" t="b">
        <f t="shared" si="22"/>
        <v>1</v>
      </c>
    </row>
    <row r="247" spans="1:11">
      <c r="A247" s="5" t="s">
        <v>153</v>
      </c>
      <c r="B247" s="6">
        <v>45480</v>
      </c>
      <c r="C247" s="7">
        <v>0.7</v>
      </c>
      <c r="D247" s="5">
        <v>10.4</v>
      </c>
      <c r="E247" s="5">
        <v>763.4</v>
      </c>
      <c r="F247" s="5">
        <v>784.7</v>
      </c>
      <c r="G247" s="6">
        <v>45480</v>
      </c>
      <c r="H247" s="5"/>
      <c r="I247" s="5"/>
      <c r="J247" s="5">
        <f t="shared" si="21"/>
        <v>21.300000000000068</v>
      </c>
      <c r="K247" s="8" t="b">
        <f t="shared" si="22"/>
        <v>1</v>
      </c>
    </row>
    <row r="248" spans="1:11" ht="26.25">
      <c r="A248" s="193" t="s">
        <v>150</v>
      </c>
      <c r="B248" s="194"/>
      <c r="C248" s="194"/>
      <c r="D248" s="194"/>
      <c r="E248" s="194"/>
      <c r="F248" s="194"/>
      <c r="G248" s="194"/>
      <c r="H248" s="194"/>
      <c r="I248" s="194"/>
      <c r="J248" s="194"/>
      <c r="K248" s="195"/>
    </row>
    <row r="249" spans="1:11" ht="26.25">
      <c r="A249" s="176" t="s">
        <v>46</v>
      </c>
      <c r="B249" s="196"/>
      <c r="C249" s="196"/>
      <c r="D249" s="196"/>
      <c r="E249" s="196"/>
      <c r="F249" s="196"/>
      <c r="G249" s="196"/>
      <c r="H249" s="196"/>
      <c r="I249" s="196"/>
      <c r="J249" s="196"/>
      <c r="K249" s="197"/>
    </row>
    <row r="250" spans="1:11" ht="15.75" thickBot="1"/>
    <row r="251" spans="1:11" ht="15.75" thickBot="1">
      <c r="A251" s="132" t="s">
        <v>2</v>
      </c>
      <c r="B251" s="133"/>
      <c r="C251" s="133"/>
      <c r="D251" s="133"/>
      <c r="E251" s="133"/>
      <c r="F251" s="133"/>
      <c r="G251" s="133"/>
      <c r="H251" s="133"/>
      <c r="I251" s="133"/>
      <c r="J251" s="133"/>
      <c r="K251" s="134"/>
    </row>
    <row r="253" spans="1:11" ht="19.5" thickBot="1">
      <c r="A253" s="1" t="s">
        <v>3</v>
      </c>
      <c r="B253" s="1"/>
      <c r="C253" s="1"/>
      <c r="D253" s="1"/>
      <c r="E253" s="1"/>
      <c r="F253" s="1"/>
      <c r="G253" s="1"/>
      <c r="H253" s="1"/>
      <c r="I253" s="1"/>
    </row>
    <row r="254" spans="1:11" ht="30.75" thickBot="1">
      <c r="A254" s="2" t="s">
        <v>4</v>
      </c>
      <c r="B254" s="3" t="s">
        <v>5</v>
      </c>
      <c r="C254" s="3" t="s">
        <v>6</v>
      </c>
      <c r="D254" s="3" t="s">
        <v>7</v>
      </c>
      <c r="E254" s="3" t="s">
        <v>8</v>
      </c>
      <c r="F254" s="3" t="s">
        <v>9</v>
      </c>
      <c r="G254" s="3" t="s">
        <v>10</v>
      </c>
      <c r="H254" s="3" t="s">
        <v>21</v>
      </c>
      <c r="I254" s="4" t="s">
        <v>22</v>
      </c>
      <c r="J254" s="4" t="s">
        <v>11</v>
      </c>
      <c r="K254" s="4" t="s">
        <v>12</v>
      </c>
    </row>
    <row r="255" spans="1:11">
      <c r="A255" s="5" t="s">
        <v>151</v>
      </c>
      <c r="B255" s="6">
        <v>45484</v>
      </c>
      <c r="C255" s="7">
        <v>0.7</v>
      </c>
      <c r="D255" s="5">
        <v>10.4</v>
      </c>
      <c r="E255" s="5">
        <v>784.7</v>
      </c>
      <c r="F255" s="5">
        <v>805.7</v>
      </c>
      <c r="G255" s="6">
        <v>45484</v>
      </c>
      <c r="H255" s="5"/>
      <c r="I255" s="5"/>
      <c r="J255" s="5">
        <f t="shared" si="21"/>
        <v>21</v>
      </c>
      <c r="K255" s="8" t="b">
        <f>E255=F247</f>
        <v>1</v>
      </c>
    </row>
    <row r="256" spans="1:11">
      <c r="A256" s="5" t="s">
        <v>151</v>
      </c>
      <c r="B256" s="6">
        <v>45550</v>
      </c>
      <c r="C256" s="7">
        <v>0.5</v>
      </c>
      <c r="D256" s="5" t="s">
        <v>158</v>
      </c>
      <c r="E256" s="5">
        <v>0</v>
      </c>
      <c r="F256" s="5">
        <v>30</v>
      </c>
      <c r="G256" s="6">
        <v>45550</v>
      </c>
      <c r="H256" s="5"/>
      <c r="I256" s="5"/>
      <c r="J256" s="5">
        <f t="shared" si="21"/>
        <v>30</v>
      </c>
      <c r="K256" s="8" t="b">
        <f t="shared" si="22"/>
        <v>0</v>
      </c>
    </row>
    <row r="257" spans="1:11">
      <c r="A257" s="5" t="s">
        <v>151</v>
      </c>
      <c r="B257" s="6">
        <v>45553</v>
      </c>
      <c r="C257" s="7">
        <v>0.6</v>
      </c>
      <c r="D257" s="5">
        <v>11.45</v>
      </c>
      <c r="E257" s="5">
        <v>30</v>
      </c>
      <c r="F257" s="5">
        <v>60.5</v>
      </c>
      <c r="G257" s="6">
        <v>45553</v>
      </c>
      <c r="H257" s="5"/>
      <c r="I257" s="5"/>
      <c r="J257" s="5">
        <f t="shared" si="21"/>
        <v>30.5</v>
      </c>
      <c r="K257" s="8" t="b">
        <f t="shared" si="22"/>
        <v>1</v>
      </c>
    </row>
    <row r="258" spans="1:11">
      <c r="A258" s="5" t="s">
        <v>151</v>
      </c>
      <c r="B258" s="6">
        <v>45554</v>
      </c>
      <c r="C258" s="7">
        <v>0.65</v>
      </c>
      <c r="D258" s="5">
        <v>10.57</v>
      </c>
      <c r="E258" s="5">
        <v>60.5</v>
      </c>
      <c r="F258" s="5">
        <v>73.400000000000006</v>
      </c>
      <c r="G258" s="6">
        <v>45554</v>
      </c>
      <c r="H258" s="5"/>
      <c r="I258" s="5"/>
      <c r="J258" s="5">
        <f t="shared" si="21"/>
        <v>12.900000000000006</v>
      </c>
      <c r="K258" s="8" t="b">
        <f t="shared" si="22"/>
        <v>1</v>
      </c>
    </row>
    <row r="259" spans="1:11">
      <c r="A259" s="5" t="s">
        <v>151</v>
      </c>
      <c r="B259" s="6">
        <v>45562</v>
      </c>
      <c r="C259" s="7">
        <v>0.85</v>
      </c>
      <c r="D259" s="5">
        <v>8.08</v>
      </c>
      <c r="E259" s="5">
        <v>73.400000000000006</v>
      </c>
      <c r="F259" s="5">
        <v>90.4</v>
      </c>
      <c r="G259" s="6">
        <v>45562</v>
      </c>
      <c r="H259" s="5"/>
      <c r="I259" s="5"/>
      <c r="J259" s="5">
        <f t="shared" si="21"/>
        <v>17</v>
      </c>
      <c r="K259" s="8" t="b">
        <f t="shared" si="22"/>
        <v>1</v>
      </c>
    </row>
    <row r="260" spans="1:11">
      <c r="A260" s="5" t="s">
        <v>151</v>
      </c>
      <c r="B260" s="6">
        <v>45564</v>
      </c>
      <c r="C260" s="7">
        <v>0.9</v>
      </c>
      <c r="D260" s="5">
        <v>7.63</v>
      </c>
      <c r="E260" s="5">
        <v>90.4</v>
      </c>
      <c r="F260" s="5">
        <v>106.4</v>
      </c>
      <c r="G260" s="6">
        <v>45564</v>
      </c>
      <c r="H260" s="5"/>
      <c r="I260" s="5"/>
      <c r="J260" s="5">
        <f t="shared" si="21"/>
        <v>16</v>
      </c>
      <c r="K260" s="8" t="b">
        <f t="shared" si="22"/>
        <v>1</v>
      </c>
    </row>
    <row r="261" spans="1:11">
      <c r="A261" s="5" t="s">
        <v>151</v>
      </c>
      <c r="B261" s="6">
        <v>45565</v>
      </c>
      <c r="C261" s="7">
        <v>1</v>
      </c>
      <c r="D261" s="5">
        <v>6.87</v>
      </c>
      <c r="E261" s="5">
        <v>106.4</v>
      </c>
      <c r="F261" s="5">
        <v>120.9</v>
      </c>
      <c r="G261" s="6">
        <v>45565</v>
      </c>
      <c r="H261" s="5"/>
      <c r="I261" s="5"/>
      <c r="J261" s="5">
        <f t="shared" si="21"/>
        <v>14.5</v>
      </c>
      <c r="K261" s="8" t="b">
        <f t="shared" si="22"/>
        <v>1</v>
      </c>
    </row>
    <row r="262" spans="1:11">
      <c r="A262" s="5" t="s">
        <v>151</v>
      </c>
      <c r="B262" s="6">
        <v>45566</v>
      </c>
      <c r="C262" s="7">
        <v>1</v>
      </c>
      <c r="D262" s="5">
        <v>6.87</v>
      </c>
      <c r="E262" s="5">
        <v>120.9</v>
      </c>
      <c r="F262" s="5">
        <v>135.4</v>
      </c>
      <c r="G262" s="6">
        <v>45566</v>
      </c>
      <c r="H262" s="5"/>
      <c r="I262" s="5"/>
      <c r="J262" s="5">
        <f t="shared" si="21"/>
        <v>14.5</v>
      </c>
      <c r="K262" s="8" t="b">
        <f t="shared" si="22"/>
        <v>1</v>
      </c>
    </row>
    <row r="263" spans="1:11">
      <c r="A263" s="5" t="s">
        <v>151</v>
      </c>
      <c r="B263" s="6">
        <v>45567</v>
      </c>
      <c r="C263" s="7">
        <v>1</v>
      </c>
      <c r="D263" s="5">
        <v>6.87</v>
      </c>
      <c r="E263" s="5">
        <v>135.4</v>
      </c>
      <c r="F263" s="5">
        <v>149.9</v>
      </c>
      <c r="G263" s="6">
        <v>45567</v>
      </c>
      <c r="H263" s="5"/>
      <c r="I263" s="5"/>
      <c r="J263" s="5">
        <f t="shared" si="21"/>
        <v>14.5</v>
      </c>
      <c r="K263" s="8" t="b">
        <f t="shared" si="22"/>
        <v>1</v>
      </c>
    </row>
    <row r="264" spans="1:11">
      <c r="A264" s="5" t="s">
        <v>151</v>
      </c>
      <c r="B264" s="6">
        <v>45568</v>
      </c>
      <c r="C264" s="7">
        <v>1</v>
      </c>
      <c r="D264" s="5">
        <v>6.87</v>
      </c>
      <c r="E264" s="5">
        <v>149.9</v>
      </c>
      <c r="F264" s="5">
        <v>178.9</v>
      </c>
      <c r="G264" s="6">
        <v>45568</v>
      </c>
      <c r="H264" s="5"/>
      <c r="I264" s="5"/>
      <c r="J264" s="5">
        <f t="shared" si="21"/>
        <v>29</v>
      </c>
      <c r="K264" s="8" t="b">
        <f t="shared" si="22"/>
        <v>1</v>
      </c>
    </row>
    <row r="265" spans="1:11">
      <c r="A265" s="5" t="s">
        <v>151</v>
      </c>
      <c r="B265" s="6">
        <v>45569</v>
      </c>
      <c r="C265" s="7">
        <v>1</v>
      </c>
      <c r="D265" s="5">
        <v>6.87</v>
      </c>
      <c r="E265" s="5">
        <v>178.9</v>
      </c>
      <c r="F265" s="5">
        <v>193.4</v>
      </c>
      <c r="G265" s="6">
        <v>45569</v>
      </c>
      <c r="H265" s="5"/>
      <c r="I265" s="5"/>
      <c r="J265" s="5">
        <f t="shared" si="21"/>
        <v>14.5</v>
      </c>
      <c r="K265" s="8" t="b">
        <f t="shared" si="22"/>
        <v>1</v>
      </c>
    </row>
    <row r="266" spans="1:11">
      <c r="A266" s="5" t="s">
        <v>151</v>
      </c>
      <c r="B266" s="6">
        <v>45570</v>
      </c>
      <c r="C266" s="7">
        <v>1</v>
      </c>
      <c r="D266" s="5">
        <v>6.87</v>
      </c>
      <c r="E266" s="5">
        <v>193.4</v>
      </c>
      <c r="F266" s="5">
        <v>207.9</v>
      </c>
      <c r="G266" s="6">
        <v>45570</v>
      </c>
      <c r="H266" s="5"/>
      <c r="I266" s="5"/>
      <c r="J266" s="5">
        <f t="shared" si="21"/>
        <v>14.5</v>
      </c>
      <c r="K266" s="8" t="b">
        <f t="shared" si="22"/>
        <v>1</v>
      </c>
    </row>
    <row r="267" spans="1:11">
      <c r="A267" s="5" t="s">
        <v>151</v>
      </c>
      <c r="B267" s="6">
        <v>45571</v>
      </c>
      <c r="C267" s="7">
        <v>1</v>
      </c>
      <c r="D267" s="5">
        <v>6.87</v>
      </c>
      <c r="E267" s="5">
        <v>207.9</v>
      </c>
      <c r="F267" s="5">
        <v>222.4</v>
      </c>
      <c r="G267" s="6">
        <v>45571</v>
      </c>
      <c r="H267" s="5"/>
      <c r="I267" s="5"/>
      <c r="J267" s="5">
        <f t="shared" si="21"/>
        <v>14.5</v>
      </c>
      <c r="K267" s="8" t="b">
        <f t="shared" si="22"/>
        <v>1</v>
      </c>
    </row>
    <row r="268" spans="1:11">
      <c r="A268" s="5" t="s">
        <v>151</v>
      </c>
      <c r="B268" s="6">
        <v>45572</v>
      </c>
      <c r="C268" s="7">
        <v>1</v>
      </c>
      <c r="D268" s="5">
        <v>6.87</v>
      </c>
      <c r="E268" s="5">
        <v>222.4</v>
      </c>
      <c r="F268" s="5">
        <v>236.9</v>
      </c>
      <c r="G268" s="6">
        <v>45572</v>
      </c>
      <c r="H268" s="5"/>
      <c r="I268" s="5"/>
      <c r="J268" s="5">
        <f t="shared" si="21"/>
        <v>14.5</v>
      </c>
      <c r="K268" s="8" t="b">
        <f t="shared" si="22"/>
        <v>1</v>
      </c>
    </row>
    <row r="269" spans="1:11">
      <c r="A269" s="5" t="s">
        <v>151</v>
      </c>
      <c r="B269" s="6">
        <v>45573</v>
      </c>
      <c r="C269" s="7">
        <v>1</v>
      </c>
      <c r="D269" s="5">
        <v>6.87</v>
      </c>
      <c r="E269" s="5">
        <v>236.9</v>
      </c>
      <c r="F269" s="5">
        <v>251.4</v>
      </c>
      <c r="G269" s="6">
        <v>45573</v>
      </c>
      <c r="H269" s="5"/>
      <c r="I269" s="5"/>
      <c r="J269" s="5">
        <f t="shared" si="21"/>
        <v>14.5</v>
      </c>
      <c r="K269" s="8" t="b">
        <f t="shared" si="22"/>
        <v>1</v>
      </c>
    </row>
    <row r="270" spans="1:11">
      <c r="A270" s="5" t="s">
        <v>151</v>
      </c>
      <c r="B270" s="6">
        <v>45574</v>
      </c>
      <c r="C270" s="7">
        <v>1</v>
      </c>
      <c r="D270" s="5">
        <v>6.87</v>
      </c>
      <c r="E270" s="5">
        <v>251.4</v>
      </c>
      <c r="F270" s="5">
        <v>265.89999999999998</v>
      </c>
      <c r="G270" s="6">
        <v>45574</v>
      </c>
      <c r="H270" s="5"/>
      <c r="I270" s="5"/>
      <c r="J270" s="5">
        <f t="shared" si="21"/>
        <v>14.499999999999972</v>
      </c>
      <c r="K270" s="8" t="b">
        <f t="shared" si="22"/>
        <v>1</v>
      </c>
    </row>
    <row r="271" spans="1:11">
      <c r="A271" s="5" t="s">
        <v>151</v>
      </c>
      <c r="B271" s="6">
        <v>45575</v>
      </c>
      <c r="C271" s="7">
        <v>1</v>
      </c>
      <c r="D271" s="5">
        <v>6.87</v>
      </c>
      <c r="E271" s="5">
        <v>265.89999999999998</v>
      </c>
      <c r="F271" s="5">
        <v>273.2</v>
      </c>
      <c r="G271" s="6">
        <v>45575</v>
      </c>
      <c r="H271" s="5"/>
      <c r="I271" s="5"/>
      <c r="J271" s="5">
        <f t="shared" si="21"/>
        <v>7.3000000000000114</v>
      </c>
      <c r="K271" s="8" t="b">
        <f t="shared" si="22"/>
        <v>1</v>
      </c>
    </row>
    <row r="272" spans="1:11">
      <c r="A272" s="5" t="s">
        <v>151</v>
      </c>
      <c r="B272" s="6">
        <v>45579</v>
      </c>
      <c r="C272" s="7">
        <v>0.6</v>
      </c>
      <c r="D272" s="5">
        <v>11.45</v>
      </c>
      <c r="E272" s="5">
        <v>273.2</v>
      </c>
      <c r="F272" s="5">
        <v>298.2</v>
      </c>
      <c r="G272" s="6">
        <v>45579</v>
      </c>
      <c r="H272" s="5"/>
      <c r="I272" s="5"/>
      <c r="J272" s="5">
        <f t="shared" si="21"/>
        <v>25</v>
      </c>
      <c r="K272" s="8" t="b">
        <f t="shared" si="22"/>
        <v>1</v>
      </c>
    </row>
    <row r="273" spans="1:11">
      <c r="A273" s="5" t="s">
        <v>151</v>
      </c>
      <c r="B273" s="6"/>
      <c r="C273" s="7"/>
      <c r="D273" s="5"/>
      <c r="E273" s="5"/>
      <c r="F273" s="5"/>
      <c r="G273" s="6"/>
      <c r="H273" s="5"/>
      <c r="I273" s="5"/>
      <c r="J273" s="5">
        <f t="shared" si="21"/>
        <v>0</v>
      </c>
      <c r="K273" s="8" t="b">
        <f t="shared" si="22"/>
        <v>0</v>
      </c>
    </row>
    <row r="274" spans="1:11">
      <c r="A274" s="5" t="s">
        <v>151</v>
      </c>
      <c r="B274" s="6"/>
      <c r="C274" s="7"/>
      <c r="D274" s="5"/>
      <c r="E274" s="5"/>
      <c r="F274" s="5"/>
      <c r="G274" s="6"/>
      <c r="H274" s="5"/>
      <c r="I274" s="5"/>
      <c r="J274" s="5">
        <f t="shared" si="21"/>
        <v>0</v>
      </c>
      <c r="K274" s="8" t="b">
        <f t="shared" si="22"/>
        <v>1</v>
      </c>
    </row>
    <row r="275" spans="1:11">
      <c r="A275" s="5" t="s">
        <v>151</v>
      </c>
      <c r="B275" s="6"/>
      <c r="C275" s="7"/>
      <c r="D275" s="5"/>
      <c r="E275" s="5"/>
      <c r="F275" s="5"/>
      <c r="G275" s="6"/>
      <c r="H275" s="5"/>
      <c r="I275" s="5"/>
      <c r="J275" s="5">
        <f t="shared" si="21"/>
        <v>0</v>
      </c>
      <c r="K275" s="8" t="b">
        <f t="shared" si="22"/>
        <v>1</v>
      </c>
    </row>
    <row r="276" spans="1:11">
      <c r="A276" s="5" t="s">
        <v>151</v>
      </c>
      <c r="B276" s="6"/>
      <c r="C276" s="7"/>
      <c r="D276" s="5"/>
      <c r="E276" s="5"/>
      <c r="F276" s="5"/>
      <c r="G276" s="6"/>
      <c r="H276" s="5"/>
      <c r="I276" s="5"/>
      <c r="J276" s="5">
        <f t="shared" si="21"/>
        <v>0</v>
      </c>
      <c r="K276" s="8" t="b">
        <f t="shared" si="22"/>
        <v>1</v>
      </c>
    </row>
    <row r="277" spans="1:11">
      <c r="A277" s="5" t="s">
        <v>151</v>
      </c>
      <c r="B277" s="6"/>
      <c r="C277" s="7"/>
      <c r="D277" s="5"/>
      <c r="E277" s="5"/>
      <c r="F277" s="5"/>
      <c r="G277" s="6"/>
      <c r="H277" s="5"/>
      <c r="I277" s="5"/>
      <c r="J277" s="5">
        <f t="shared" si="21"/>
        <v>0</v>
      </c>
      <c r="K277" s="8" t="b">
        <f t="shared" si="22"/>
        <v>1</v>
      </c>
    </row>
    <row r="278" spans="1:11">
      <c r="A278" s="5" t="s">
        <v>151</v>
      </c>
      <c r="B278" s="6"/>
      <c r="C278" s="7"/>
      <c r="D278" s="5"/>
      <c r="E278" s="5"/>
      <c r="F278" s="5"/>
      <c r="G278" s="6"/>
      <c r="H278" s="5"/>
      <c r="I278" s="5"/>
      <c r="J278" s="5">
        <f t="shared" si="21"/>
        <v>0</v>
      </c>
      <c r="K278" s="8" t="b">
        <f t="shared" si="22"/>
        <v>1</v>
      </c>
    </row>
    <row r="279" spans="1:11">
      <c r="A279" s="5" t="s">
        <v>151</v>
      </c>
      <c r="B279" s="6"/>
      <c r="C279" s="7"/>
      <c r="D279" s="5"/>
      <c r="E279" s="5"/>
      <c r="F279" s="5"/>
      <c r="G279" s="6"/>
      <c r="H279" s="5"/>
      <c r="I279" s="5"/>
      <c r="J279" s="5">
        <f t="shared" si="21"/>
        <v>0</v>
      </c>
      <c r="K279" s="8" t="b">
        <f t="shared" si="22"/>
        <v>1</v>
      </c>
    </row>
  </sheetData>
  <autoFilter ref="A199:K279" xr:uid="{E9977401-951C-40E0-B7CE-C0BC67ED2D3A}"/>
  <mergeCells count="18">
    <mergeCell ref="A1:K1"/>
    <mergeCell ref="A2:K2"/>
    <mergeCell ref="A4:K4"/>
    <mergeCell ref="A155:K155"/>
    <mergeCell ref="A156:K156"/>
    <mergeCell ref="A178:K178"/>
    <mergeCell ref="A179:K179"/>
    <mergeCell ref="A181:K181"/>
    <mergeCell ref="A158:K158"/>
    <mergeCell ref="A47:K47"/>
    <mergeCell ref="A48:K48"/>
    <mergeCell ref="A50:K50"/>
    <mergeCell ref="A248:K248"/>
    <mergeCell ref="A249:K249"/>
    <mergeCell ref="A251:K251"/>
    <mergeCell ref="A193:K193"/>
    <mergeCell ref="A194:K194"/>
    <mergeCell ref="A196:K196"/>
  </mergeCells>
  <conditionalFormatting sqref="K1:K44 K47:K1048576">
    <cfRule type="containsText" dxfId="81" priority="1" operator="containsText" text="FALSO">
      <formula>NOT(ISERROR(SEARCH("FALSO",K1)))</formula>
    </cfRule>
    <cfRule type="containsText" dxfId="80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0EA-A269-40E5-AFEF-6C4CFA5BF9DB}">
  <sheetPr codeName="Planilha16"/>
  <dimension ref="A1:K369"/>
  <sheetViews>
    <sheetView topLeftCell="A321" zoomScale="110" zoomScaleNormal="110" workbookViewId="0">
      <selection activeCell="G332" sqref="G332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9" width="0.140625" hidden="1" customWidth="1"/>
    <col min="10" max="10" width="6" customWidth="1"/>
    <col min="11" max="11" width="12.42578125" bestFit="1" customWidth="1"/>
    <col min="12" max="12" width="9.140625" customWidth="1"/>
  </cols>
  <sheetData>
    <row r="1" spans="1:11" ht="26.25">
      <c r="A1" s="199" t="s">
        <v>159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 ht="26.25">
      <c r="A2" s="202" t="s">
        <v>160</v>
      </c>
      <c r="B2" s="203"/>
      <c r="C2" s="203"/>
      <c r="D2" s="203"/>
      <c r="E2" s="203"/>
      <c r="F2" s="203"/>
      <c r="G2" s="203"/>
      <c r="H2" s="203"/>
      <c r="I2" s="203"/>
      <c r="J2" s="203"/>
      <c r="K2" s="33"/>
    </row>
    <row r="3" spans="1:11" ht="15.75" thickBot="1"/>
    <row r="4" spans="1:11" ht="15.75" thickBot="1">
      <c r="A4" s="29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1"/>
    </row>
    <row r="6" spans="1:11" ht="19.5" thickBot="1">
      <c r="A6" s="198" t="s">
        <v>3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161</v>
      </c>
      <c r="B8" s="6">
        <v>44579</v>
      </c>
      <c r="C8" s="7">
        <v>0.6</v>
      </c>
      <c r="D8" s="5">
        <v>12.1</v>
      </c>
      <c r="E8" s="5">
        <v>10</v>
      </c>
      <c r="F8" s="5">
        <v>34.799999999999997</v>
      </c>
      <c r="G8" s="6">
        <v>44579</v>
      </c>
      <c r="H8" s="5"/>
      <c r="I8" s="5"/>
      <c r="J8" s="5">
        <f>F8-E8</f>
        <v>24.799999999999997</v>
      </c>
      <c r="K8" s="8" t="b">
        <f>E8=F8</f>
        <v>0</v>
      </c>
    </row>
    <row r="9" spans="1:11">
      <c r="A9" s="5" t="s">
        <v>161</v>
      </c>
      <c r="B9" s="6">
        <v>44580</v>
      </c>
      <c r="C9" s="7">
        <v>1</v>
      </c>
      <c r="D9" s="5">
        <v>7.26</v>
      </c>
      <c r="E9" s="5">
        <v>37.200000000000003</v>
      </c>
      <c r="F9" s="5">
        <v>65.099999999999994</v>
      </c>
      <c r="G9" s="6">
        <v>44580</v>
      </c>
      <c r="H9" s="5"/>
      <c r="I9" s="5"/>
      <c r="J9" s="5">
        <f>F9-E9</f>
        <v>27.899999999999991</v>
      </c>
      <c r="K9" s="8" t="b">
        <f>E9=F8</f>
        <v>0</v>
      </c>
    </row>
    <row r="10" spans="1:11">
      <c r="A10" s="5" t="s">
        <v>161</v>
      </c>
      <c r="B10" s="6">
        <v>44582</v>
      </c>
      <c r="C10" s="7">
        <v>1</v>
      </c>
      <c r="D10" s="5">
        <v>7.26</v>
      </c>
      <c r="E10" s="5">
        <v>65.099999999999994</v>
      </c>
      <c r="F10" s="5">
        <v>72.5</v>
      </c>
      <c r="G10" s="6">
        <v>44582</v>
      </c>
      <c r="H10" s="5"/>
      <c r="I10" s="5"/>
      <c r="J10" s="5">
        <f>F10-E10</f>
        <v>7.4000000000000057</v>
      </c>
      <c r="K10" s="8" t="b">
        <f t="shared" ref="K10:K73" si="0">E10=F9</f>
        <v>1</v>
      </c>
    </row>
    <row r="11" spans="1:11">
      <c r="A11" s="5" t="s">
        <v>162</v>
      </c>
      <c r="B11" s="6">
        <v>44582</v>
      </c>
      <c r="C11" s="7">
        <v>0.8</v>
      </c>
      <c r="D11" s="5">
        <v>9.08</v>
      </c>
      <c r="E11" s="5">
        <v>72.5</v>
      </c>
      <c r="F11" s="5">
        <v>81.099999999999994</v>
      </c>
      <c r="G11" s="6">
        <v>44582</v>
      </c>
      <c r="H11" s="5"/>
      <c r="I11" s="5"/>
      <c r="J11" s="5">
        <f>F11-E11</f>
        <v>8.5999999999999943</v>
      </c>
      <c r="K11" s="8" t="b">
        <f t="shared" si="0"/>
        <v>1</v>
      </c>
    </row>
    <row r="12" spans="1:11">
      <c r="A12" s="5" t="s">
        <v>161</v>
      </c>
      <c r="B12" s="6">
        <v>44583</v>
      </c>
      <c r="C12" s="7">
        <v>1</v>
      </c>
      <c r="D12" s="5">
        <v>7.26</v>
      </c>
      <c r="E12" s="5">
        <v>81.099999999999994</v>
      </c>
      <c r="F12" s="5">
        <v>88.5</v>
      </c>
      <c r="G12" s="6">
        <v>44583</v>
      </c>
      <c r="H12" s="5"/>
      <c r="I12" s="5"/>
      <c r="J12" s="5">
        <f t="shared" ref="J12:J18" si="1">F12-E12</f>
        <v>7.4000000000000057</v>
      </c>
      <c r="K12" s="8" t="b">
        <f t="shared" si="0"/>
        <v>1</v>
      </c>
    </row>
    <row r="13" spans="1:11">
      <c r="A13" s="5" t="s">
        <v>162</v>
      </c>
      <c r="B13" s="6">
        <v>44583</v>
      </c>
      <c r="C13" s="7">
        <v>0.8</v>
      </c>
      <c r="D13" s="5">
        <v>9.08</v>
      </c>
      <c r="E13" s="5">
        <v>88.5</v>
      </c>
      <c r="F13" s="5">
        <v>96.3</v>
      </c>
      <c r="G13" s="6">
        <v>44563</v>
      </c>
      <c r="H13" s="5"/>
      <c r="I13" s="5"/>
      <c r="J13" s="5">
        <f t="shared" si="1"/>
        <v>7.7999999999999972</v>
      </c>
      <c r="K13" s="8" t="b">
        <f t="shared" si="0"/>
        <v>1</v>
      </c>
    </row>
    <row r="14" spans="1:11">
      <c r="A14" s="5" t="s">
        <v>163</v>
      </c>
      <c r="B14" s="6">
        <v>44584</v>
      </c>
      <c r="C14" s="7">
        <v>1</v>
      </c>
      <c r="D14" s="5">
        <v>7.26</v>
      </c>
      <c r="E14" s="5">
        <v>96.3</v>
      </c>
      <c r="F14" s="5">
        <v>111.3</v>
      </c>
      <c r="G14" s="6">
        <v>44584</v>
      </c>
      <c r="H14" s="5"/>
      <c r="I14" s="5"/>
      <c r="J14" s="5">
        <f t="shared" si="1"/>
        <v>15</v>
      </c>
      <c r="K14" s="8" t="b">
        <f t="shared" si="0"/>
        <v>1</v>
      </c>
    </row>
    <row r="15" spans="1:11">
      <c r="A15" s="5" t="s">
        <v>163</v>
      </c>
      <c r="B15" s="6">
        <v>44585</v>
      </c>
      <c r="C15" s="7">
        <v>1</v>
      </c>
      <c r="D15" s="5">
        <v>7.26</v>
      </c>
      <c r="E15" s="5">
        <v>111.3</v>
      </c>
      <c r="F15" s="5">
        <v>125.1</v>
      </c>
      <c r="G15" s="6">
        <v>44585</v>
      </c>
      <c r="H15" s="5"/>
      <c r="I15" s="5"/>
      <c r="J15" s="5">
        <f t="shared" si="1"/>
        <v>13.799999999999997</v>
      </c>
      <c r="K15" s="8" t="b">
        <f t="shared" si="0"/>
        <v>1</v>
      </c>
    </row>
    <row r="16" spans="1:11">
      <c r="A16" s="5" t="s">
        <v>163</v>
      </c>
      <c r="B16" s="6">
        <v>44586</v>
      </c>
      <c r="C16" s="7">
        <v>1</v>
      </c>
      <c r="D16" s="5">
        <v>7.26</v>
      </c>
      <c r="E16" s="5">
        <v>125.1</v>
      </c>
      <c r="F16" s="5">
        <v>138.30000000000001</v>
      </c>
      <c r="G16" s="6">
        <v>44586</v>
      </c>
      <c r="H16" s="5"/>
      <c r="I16" s="5"/>
      <c r="J16" s="5">
        <f t="shared" si="1"/>
        <v>13.200000000000017</v>
      </c>
      <c r="K16" s="8" t="b">
        <f t="shared" si="0"/>
        <v>1</v>
      </c>
    </row>
    <row r="17" spans="1:11">
      <c r="A17" s="5" t="s">
        <v>163</v>
      </c>
      <c r="B17" s="6">
        <v>44587</v>
      </c>
      <c r="C17" s="7">
        <v>1</v>
      </c>
      <c r="D17" s="5">
        <v>7.26</v>
      </c>
      <c r="E17" s="5">
        <v>138.30000000000001</v>
      </c>
      <c r="F17" s="5">
        <v>154.19999999999999</v>
      </c>
      <c r="G17" s="6">
        <v>44587</v>
      </c>
      <c r="H17" s="5"/>
      <c r="I17" s="5"/>
      <c r="J17" s="5">
        <f t="shared" si="1"/>
        <v>15.899999999999977</v>
      </c>
      <c r="K17" s="8" t="b">
        <f t="shared" si="0"/>
        <v>1</v>
      </c>
    </row>
    <row r="18" spans="1:11">
      <c r="A18" s="5" t="s">
        <v>163</v>
      </c>
      <c r="B18" s="6">
        <v>44590</v>
      </c>
      <c r="C18" s="7">
        <v>1</v>
      </c>
      <c r="D18" s="5">
        <v>7.26</v>
      </c>
      <c r="E18" s="5">
        <v>154.19999999999999</v>
      </c>
      <c r="F18" s="5">
        <v>168</v>
      </c>
      <c r="G18" s="6">
        <v>44590</v>
      </c>
      <c r="H18" s="5"/>
      <c r="I18" s="5"/>
      <c r="J18" s="5">
        <f t="shared" si="1"/>
        <v>13.800000000000011</v>
      </c>
      <c r="K18" s="8" t="b">
        <f t="shared" si="0"/>
        <v>1</v>
      </c>
    </row>
    <row r="19" spans="1:11">
      <c r="A19" s="5" t="s">
        <v>164</v>
      </c>
      <c r="B19" s="6">
        <v>44591</v>
      </c>
      <c r="C19" s="7">
        <v>1</v>
      </c>
      <c r="D19" s="5">
        <v>7.26</v>
      </c>
      <c r="E19" s="5">
        <v>168</v>
      </c>
      <c r="F19" s="5">
        <v>175.8</v>
      </c>
      <c r="G19" s="6">
        <v>44591</v>
      </c>
      <c r="H19" s="5"/>
      <c r="I19" s="5"/>
      <c r="J19" s="5">
        <f>F19-E19</f>
        <v>7.8000000000000114</v>
      </c>
      <c r="K19" s="8" t="b">
        <f t="shared" si="0"/>
        <v>1</v>
      </c>
    </row>
    <row r="20" spans="1:11">
      <c r="A20" s="5" t="s">
        <v>163</v>
      </c>
      <c r="B20" s="6">
        <v>44592</v>
      </c>
      <c r="C20" s="7">
        <v>1</v>
      </c>
      <c r="D20" s="5">
        <v>7.26</v>
      </c>
      <c r="E20" s="5">
        <v>175.8</v>
      </c>
      <c r="F20" s="5">
        <v>190.2</v>
      </c>
      <c r="G20" s="6">
        <v>44592</v>
      </c>
      <c r="H20" s="5"/>
      <c r="I20" s="5"/>
      <c r="J20" s="5">
        <f>F20-E20</f>
        <v>14.399999999999977</v>
      </c>
      <c r="K20" s="8" t="b">
        <f t="shared" si="0"/>
        <v>1</v>
      </c>
    </row>
    <row r="21" spans="1:11">
      <c r="A21" s="5" t="s">
        <v>164</v>
      </c>
      <c r="B21" s="6">
        <v>44593</v>
      </c>
      <c r="C21" s="7">
        <v>1</v>
      </c>
      <c r="D21" s="5">
        <v>7.26</v>
      </c>
      <c r="E21" s="5">
        <v>190.2</v>
      </c>
      <c r="F21" s="5">
        <v>197.3</v>
      </c>
      <c r="G21" s="6">
        <v>44593</v>
      </c>
      <c r="H21" s="5"/>
      <c r="I21" s="5"/>
      <c r="J21" s="5">
        <f>F21-E21</f>
        <v>7.1000000000000227</v>
      </c>
      <c r="K21" s="8" t="b">
        <f t="shared" si="0"/>
        <v>1</v>
      </c>
    </row>
    <row r="22" spans="1:11">
      <c r="A22" s="5" t="s">
        <v>165</v>
      </c>
      <c r="B22" s="6">
        <v>44594</v>
      </c>
      <c r="C22" s="7">
        <v>1</v>
      </c>
      <c r="D22" s="5">
        <v>7.26</v>
      </c>
      <c r="E22" s="5">
        <v>197.3</v>
      </c>
      <c r="F22" s="5">
        <v>201.3</v>
      </c>
      <c r="G22" s="6">
        <v>44594</v>
      </c>
      <c r="H22" s="5"/>
      <c r="I22" s="5"/>
      <c r="J22" s="5">
        <f t="shared" ref="J22:J31" si="2">F22-E22</f>
        <v>4</v>
      </c>
      <c r="K22" s="8" t="b">
        <f t="shared" si="0"/>
        <v>1</v>
      </c>
    </row>
    <row r="23" spans="1:11">
      <c r="A23" s="5" t="s">
        <v>163</v>
      </c>
      <c r="B23" s="6">
        <v>44595</v>
      </c>
      <c r="C23" s="7">
        <v>1</v>
      </c>
      <c r="D23" s="5">
        <v>7.26</v>
      </c>
      <c r="E23" s="5">
        <v>201.3</v>
      </c>
      <c r="F23" s="5">
        <v>210.1</v>
      </c>
      <c r="G23" s="6">
        <v>44595</v>
      </c>
      <c r="H23" s="5"/>
      <c r="I23" s="5"/>
      <c r="J23" s="5">
        <f t="shared" si="2"/>
        <v>8.7999999999999829</v>
      </c>
      <c r="K23" s="8" t="b">
        <f t="shared" si="0"/>
        <v>1</v>
      </c>
    </row>
    <row r="24" spans="1:11">
      <c r="A24" s="5" t="s">
        <v>164</v>
      </c>
      <c r="B24" s="6">
        <v>44597</v>
      </c>
      <c r="C24" s="7">
        <v>1</v>
      </c>
      <c r="D24" s="5">
        <v>7.26</v>
      </c>
      <c r="E24" s="5">
        <v>210.1</v>
      </c>
      <c r="F24" s="5">
        <v>224.8</v>
      </c>
      <c r="G24" s="6">
        <v>44597</v>
      </c>
      <c r="H24" s="5"/>
      <c r="I24" s="5"/>
      <c r="J24" s="5">
        <f t="shared" si="2"/>
        <v>14.700000000000017</v>
      </c>
      <c r="K24" s="8" t="b">
        <f t="shared" si="0"/>
        <v>1</v>
      </c>
    </row>
    <row r="25" spans="1:11">
      <c r="A25" s="5" t="s">
        <v>164</v>
      </c>
      <c r="B25" s="6">
        <v>44599</v>
      </c>
      <c r="C25" s="7">
        <v>1</v>
      </c>
      <c r="D25" s="5">
        <v>7.26</v>
      </c>
      <c r="E25" s="5">
        <v>224.8</v>
      </c>
      <c r="F25" s="5">
        <v>232.5</v>
      </c>
      <c r="G25" s="6">
        <v>44599</v>
      </c>
      <c r="H25" s="5"/>
      <c r="I25" s="5"/>
      <c r="J25" s="5">
        <f t="shared" si="2"/>
        <v>7.6999999999999886</v>
      </c>
      <c r="K25" s="8" t="b">
        <f t="shared" si="0"/>
        <v>1</v>
      </c>
    </row>
    <row r="26" spans="1:11">
      <c r="A26" s="25" t="s">
        <v>165</v>
      </c>
      <c r="B26" s="26">
        <v>44606</v>
      </c>
      <c r="C26" s="27">
        <v>1</v>
      </c>
      <c r="D26" s="25">
        <v>7.26</v>
      </c>
      <c r="E26" s="25">
        <v>232.5</v>
      </c>
      <c r="F26" s="25">
        <v>236.2</v>
      </c>
      <c r="G26" s="26">
        <v>44606</v>
      </c>
      <c r="H26" s="25"/>
      <c r="I26" s="25"/>
      <c r="J26" s="25">
        <f t="shared" si="2"/>
        <v>3.6999999999999886</v>
      </c>
      <c r="K26" s="8" t="b">
        <f t="shared" si="0"/>
        <v>1</v>
      </c>
    </row>
    <row r="27" spans="1:11">
      <c r="A27" s="25" t="s">
        <v>166</v>
      </c>
      <c r="B27" s="26">
        <v>44608</v>
      </c>
      <c r="C27" s="27">
        <v>1</v>
      </c>
      <c r="D27" s="25">
        <v>7.26</v>
      </c>
      <c r="E27" s="25">
        <v>236.2</v>
      </c>
      <c r="F27" s="25">
        <v>247.2</v>
      </c>
      <c r="G27" s="26">
        <v>44608</v>
      </c>
      <c r="H27" s="25"/>
      <c r="I27" s="25"/>
      <c r="J27" s="25">
        <f t="shared" si="2"/>
        <v>11</v>
      </c>
      <c r="K27" s="8" t="b">
        <f t="shared" si="0"/>
        <v>1</v>
      </c>
    </row>
    <row r="28" spans="1:11">
      <c r="A28" s="5" t="s">
        <v>164</v>
      </c>
      <c r="B28" s="6">
        <v>44614</v>
      </c>
      <c r="C28" s="7">
        <v>1</v>
      </c>
      <c r="D28" s="5">
        <v>7.26</v>
      </c>
      <c r="E28" s="5">
        <v>247.2</v>
      </c>
      <c r="F28" s="5">
        <v>256.5</v>
      </c>
      <c r="G28" s="6">
        <v>44614</v>
      </c>
      <c r="H28" s="5"/>
      <c r="I28" s="5"/>
      <c r="J28" s="5">
        <f t="shared" si="2"/>
        <v>9.3000000000000114</v>
      </c>
      <c r="K28" s="8" t="b">
        <f t="shared" si="0"/>
        <v>1</v>
      </c>
    </row>
    <row r="29" spans="1:11">
      <c r="A29" s="25" t="s">
        <v>163</v>
      </c>
      <c r="B29" s="26">
        <v>44617</v>
      </c>
      <c r="C29" s="27">
        <v>1</v>
      </c>
      <c r="D29" s="25">
        <v>7.26</v>
      </c>
      <c r="E29" s="25">
        <v>256.5</v>
      </c>
      <c r="F29" s="25">
        <v>270.89999999999998</v>
      </c>
      <c r="G29" s="26">
        <v>44617</v>
      </c>
      <c r="H29" s="25"/>
      <c r="I29" s="25"/>
      <c r="J29" s="25">
        <f t="shared" si="2"/>
        <v>14.399999999999977</v>
      </c>
      <c r="K29" s="8" t="b">
        <f t="shared" si="0"/>
        <v>1</v>
      </c>
    </row>
    <row r="30" spans="1:11">
      <c r="A30" s="25" t="s">
        <v>163</v>
      </c>
      <c r="B30" s="26">
        <v>44621</v>
      </c>
      <c r="C30" s="27">
        <v>1</v>
      </c>
      <c r="D30" s="25">
        <v>7.26</v>
      </c>
      <c r="E30" s="25">
        <v>271.2</v>
      </c>
      <c r="F30" s="25">
        <v>285.60000000000002</v>
      </c>
      <c r="G30" s="26">
        <v>44621</v>
      </c>
      <c r="H30" s="25"/>
      <c r="I30" s="25"/>
      <c r="J30" s="25">
        <f t="shared" si="2"/>
        <v>14.400000000000034</v>
      </c>
      <c r="K30" s="8" t="b">
        <f t="shared" si="0"/>
        <v>0</v>
      </c>
    </row>
    <row r="31" spans="1:11">
      <c r="A31" s="5" t="s">
        <v>163</v>
      </c>
      <c r="B31" s="6">
        <v>44623</v>
      </c>
      <c r="C31" s="7">
        <v>0.8</v>
      </c>
      <c r="D31" s="5">
        <v>9.08</v>
      </c>
      <c r="E31" s="5">
        <v>285.60000000000002</v>
      </c>
      <c r="F31" s="5">
        <v>303.5</v>
      </c>
      <c r="G31" s="6">
        <v>44623</v>
      </c>
      <c r="H31" s="5"/>
      <c r="I31" s="5"/>
      <c r="J31" s="5">
        <f t="shared" si="2"/>
        <v>17.899999999999977</v>
      </c>
      <c r="K31" s="8" t="b">
        <f t="shared" si="0"/>
        <v>1</v>
      </c>
    </row>
    <row r="32" spans="1:11">
      <c r="A32" s="5" t="s">
        <v>163</v>
      </c>
      <c r="B32" s="6">
        <v>44626</v>
      </c>
      <c r="C32" s="7">
        <v>0.7</v>
      </c>
      <c r="D32" s="5">
        <v>10.27</v>
      </c>
      <c r="E32" s="5">
        <v>303.5</v>
      </c>
      <c r="F32" s="5">
        <v>324</v>
      </c>
      <c r="G32" s="6">
        <v>44626</v>
      </c>
      <c r="H32" s="5"/>
      <c r="I32" s="5"/>
      <c r="J32" s="5">
        <f t="shared" ref="J32:J41" si="3">F32-E32</f>
        <v>20.5</v>
      </c>
      <c r="K32" s="8" t="b">
        <f t="shared" si="0"/>
        <v>1</v>
      </c>
    </row>
    <row r="33" spans="1:11">
      <c r="A33" s="5" t="s">
        <v>163</v>
      </c>
      <c r="B33" s="6">
        <v>44628</v>
      </c>
      <c r="C33" s="7">
        <v>0.8</v>
      </c>
      <c r="D33" s="5">
        <v>9.08</v>
      </c>
      <c r="E33" s="5">
        <v>324</v>
      </c>
      <c r="F33" s="5">
        <v>342</v>
      </c>
      <c r="G33" s="6">
        <v>44628</v>
      </c>
      <c r="H33" s="5"/>
      <c r="I33" s="5"/>
      <c r="J33" s="5">
        <f t="shared" si="3"/>
        <v>18</v>
      </c>
      <c r="K33" s="8" t="b">
        <f t="shared" si="0"/>
        <v>1</v>
      </c>
    </row>
    <row r="34" spans="1:11">
      <c r="A34" s="25" t="s">
        <v>163</v>
      </c>
      <c r="B34" s="26">
        <v>44629</v>
      </c>
      <c r="C34" s="27">
        <v>1</v>
      </c>
      <c r="D34" s="25">
        <v>7.26</v>
      </c>
      <c r="E34" s="25">
        <v>342</v>
      </c>
      <c r="F34" s="25">
        <v>357.3</v>
      </c>
      <c r="G34" s="26">
        <v>44630</v>
      </c>
      <c r="H34" s="25"/>
      <c r="I34" s="25"/>
      <c r="J34" s="25">
        <f t="shared" si="3"/>
        <v>15.300000000000011</v>
      </c>
      <c r="K34" s="8" t="b">
        <f t="shared" si="0"/>
        <v>1</v>
      </c>
    </row>
    <row r="35" spans="1:11">
      <c r="A35" s="5" t="s">
        <v>163</v>
      </c>
      <c r="B35" s="6">
        <v>44633</v>
      </c>
      <c r="C35" s="7">
        <v>0.7</v>
      </c>
      <c r="D35" s="5">
        <v>10.27</v>
      </c>
      <c r="E35" s="5">
        <v>357.3</v>
      </c>
      <c r="F35" s="5">
        <v>377.8</v>
      </c>
      <c r="G35" s="6">
        <v>44633</v>
      </c>
      <c r="H35" s="5"/>
      <c r="I35" s="5"/>
      <c r="J35" s="5">
        <f t="shared" si="3"/>
        <v>20.5</v>
      </c>
      <c r="K35" s="8" t="b">
        <f t="shared" si="0"/>
        <v>1</v>
      </c>
    </row>
    <row r="36" spans="1:11">
      <c r="A36" s="25" t="s">
        <v>163</v>
      </c>
      <c r="B36" s="26">
        <v>44635</v>
      </c>
      <c r="C36" s="27">
        <v>1</v>
      </c>
      <c r="D36" s="25">
        <v>7.26</v>
      </c>
      <c r="E36" s="25">
        <v>377.8</v>
      </c>
      <c r="F36" s="25">
        <v>392.4</v>
      </c>
      <c r="G36" s="26">
        <v>44635</v>
      </c>
      <c r="H36" s="25"/>
      <c r="I36" s="25"/>
      <c r="J36" s="25">
        <f t="shared" si="3"/>
        <v>14.599999999999966</v>
      </c>
      <c r="K36" s="8" t="b">
        <f t="shared" si="0"/>
        <v>1</v>
      </c>
    </row>
    <row r="37" spans="1:11">
      <c r="A37" s="21" t="s">
        <v>163</v>
      </c>
      <c r="B37" s="22">
        <v>44637</v>
      </c>
      <c r="C37" s="23">
        <v>0.8</v>
      </c>
      <c r="D37" s="21">
        <v>9.08</v>
      </c>
      <c r="E37" s="21">
        <v>392.4</v>
      </c>
      <c r="F37" s="21">
        <v>410.5</v>
      </c>
      <c r="G37" s="22">
        <v>44637</v>
      </c>
      <c r="H37" s="21"/>
      <c r="I37" s="21"/>
      <c r="J37" s="21">
        <f t="shared" si="3"/>
        <v>18.100000000000023</v>
      </c>
      <c r="K37" s="8" t="b">
        <f t="shared" si="0"/>
        <v>1</v>
      </c>
    </row>
    <row r="38" spans="1:11">
      <c r="A38" s="25" t="s">
        <v>163</v>
      </c>
      <c r="B38" s="26">
        <v>44638</v>
      </c>
      <c r="C38" s="27">
        <v>1</v>
      </c>
      <c r="D38" s="25">
        <v>7.26</v>
      </c>
      <c r="E38" s="25">
        <v>410.5</v>
      </c>
      <c r="F38" s="25">
        <v>425.2</v>
      </c>
      <c r="G38" s="26">
        <v>44638</v>
      </c>
      <c r="H38" s="25"/>
      <c r="I38" s="25"/>
      <c r="J38" s="25">
        <f t="shared" si="3"/>
        <v>14.699999999999989</v>
      </c>
      <c r="K38" s="8" t="b">
        <f t="shared" si="0"/>
        <v>1</v>
      </c>
    </row>
    <row r="39" spans="1:11">
      <c r="A39" s="5" t="s">
        <v>163</v>
      </c>
      <c r="B39" s="35">
        <v>44640</v>
      </c>
      <c r="C39" s="7">
        <v>0.7</v>
      </c>
      <c r="D39" s="5">
        <v>10.27</v>
      </c>
      <c r="E39" s="5">
        <v>425.2</v>
      </c>
      <c r="F39" s="5">
        <v>445.2</v>
      </c>
      <c r="G39" s="6">
        <v>44640</v>
      </c>
      <c r="H39" s="5"/>
      <c r="I39" s="5"/>
      <c r="J39" s="5">
        <f t="shared" si="3"/>
        <v>20</v>
      </c>
      <c r="K39" s="8" t="b">
        <f t="shared" si="0"/>
        <v>1</v>
      </c>
    </row>
    <row r="40" spans="1:11">
      <c r="A40" s="25" t="s">
        <v>163</v>
      </c>
      <c r="B40" s="26">
        <v>44641</v>
      </c>
      <c r="C40" s="27">
        <v>1</v>
      </c>
      <c r="D40" s="25">
        <v>7.26</v>
      </c>
      <c r="E40" s="25">
        <v>445.5</v>
      </c>
      <c r="F40" s="25">
        <v>460</v>
      </c>
      <c r="G40" s="26">
        <v>44641</v>
      </c>
      <c r="H40" s="25"/>
      <c r="I40" s="25"/>
      <c r="J40" s="25">
        <f t="shared" si="3"/>
        <v>14.5</v>
      </c>
      <c r="K40" s="8" t="b">
        <f t="shared" si="0"/>
        <v>0</v>
      </c>
    </row>
    <row r="41" spans="1:11">
      <c r="A41" s="5" t="s">
        <v>163</v>
      </c>
      <c r="B41" s="6">
        <v>44644</v>
      </c>
      <c r="C41" s="7">
        <v>0.7</v>
      </c>
      <c r="D41" s="5">
        <v>10.27</v>
      </c>
      <c r="E41" s="5">
        <v>460</v>
      </c>
      <c r="F41" s="5">
        <v>480.9</v>
      </c>
      <c r="G41" s="6">
        <v>44644</v>
      </c>
      <c r="H41" s="5"/>
      <c r="I41" s="5"/>
      <c r="J41" s="5">
        <f t="shared" si="3"/>
        <v>20.899999999999977</v>
      </c>
      <c r="K41" s="8" t="b">
        <f t="shared" si="0"/>
        <v>1</v>
      </c>
    </row>
    <row r="42" spans="1:11">
      <c r="A42" s="5" t="s">
        <v>163</v>
      </c>
      <c r="B42" s="6">
        <v>44646</v>
      </c>
      <c r="C42" s="7">
        <v>0.7</v>
      </c>
      <c r="D42" s="5">
        <v>10.27</v>
      </c>
      <c r="E42" s="5">
        <v>480.9</v>
      </c>
      <c r="F42" s="5">
        <v>501.5</v>
      </c>
      <c r="G42" s="6">
        <v>44646</v>
      </c>
      <c r="H42" s="5"/>
      <c r="I42" s="5"/>
      <c r="J42" s="5">
        <f t="shared" ref="J42:J49" si="4">F42-E42</f>
        <v>20.600000000000023</v>
      </c>
      <c r="K42" s="8" t="b">
        <f t="shared" si="0"/>
        <v>1</v>
      </c>
    </row>
    <row r="43" spans="1:11">
      <c r="A43" s="5" t="s">
        <v>163</v>
      </c>
      <c r="B43" s="6">
        <v>44648</v>
      </c>
      <c r="C43" s="7">
        <v>0.8</v>
      </c>
      <c r="D43" s="5">
        <v>9.08</v>
      </c>
      <c r="E43" s="5">
        <v>501.5</v>
      </c>
      <c r="F43" s="5">
        <v>519.5</v>
      </c>
      <c r="G43" s="6">
        <v>44648</v>
      </c>
      <c r="H43" s="5"/>
      <c r="I43" s="5"/>
      <c r="J43" s="5">
        <f t="shared" si="4"/>
        <v>18</v>
      </c>
      <c r="K43" s="8" t="b">
        <f t="shared" si="0"/>
        <v>1</v>
      </c>
    </row>
    <row r="44" spans="1:11">
      <c r="A44" s="25" t="s">
        <v>163</v>
      </c>
      <c r="B44" s="26">
        <v>44649</v>
      </c>
      <c r="C44" s="27">
        <v>1</v>
      </c>
      <c r="D44" s="25">
        <v>7.26</v>
      </c>
      <c r="E44" s="25">
        <v>519.5</v>
      </c>
      <c r="F44" s="25">
        <v>535</v>
      </c>
      <c r="G44" s="26">
        <v>44649</v>
      </c>
      <c r="H44" s="25"/>
      <c r="I44" s="25"/>
      <c r="J44" s="25">
        <f t="shared" si="4"/>
        <v>15.5</v>
      </c>
      <c r="K44" s="8" t="b">
        <f t="shared" si="0"/>
        <v>1</v>
      </c>
    </row>
    <row r="45" spans="1:11">
      <c r="A45" s="39" t="s">
        <v>163</v>
      </c>
      <c r="B45" s="40"/>
      <c r="C45" s="41"/>
      <c r="D45" s="39"/>
      <c r="E45" s="39"/>
      <c r="F45" s="39"/>
      <c r="G45" s="40"/>
      <c r="H45" s="39"/>
      <c r="I45" s="39"/>
      <c r="J45" s="39">
        <f t="shared" si="4"/>
        <v>0</v>
      </c>
      <c r="K45" s="8" t="b">
        <f t="shared" si="0"/>
        <v>0</v>
      </c>
    </row>
    <row r="46" spans="1:11">
      <c r="A46" s="39" t="s">
        <v>163</v>
      </c>
      <c r="B46" s="40"/>
      <c r="C46" s="41"/>
      <c r="D46" s="39"/>
      <c r="E46" s="39"/>
      <c r="F46" s="39"/>
      <c r="G46" s="40"/>
      <c r="H46" s="39"/>
      <c r="I46" s="39"/>
      <c r="J46" s="39">
        <f t="shared" si="4"/>
        <v>0</v>
      </c>
      <c r="K46" s="8" t="b">
        <f t="shared" si="0"/>
        <v>1</v>
      </c>
    </row>
    <row r="47" spans="1:11">
      <c r="A47" s="39" t="s">
        <v>163</v>
      </c>
      <c r="B47" s="40"/>
      <c r="C47" s="41"/>
      <c r="D47" s="39"/>
      <c r="E47" s="39"/>
      <c r="F47" s="39"/>
      <c r="G47" s="40"/>
      <c r="H47" s="39"/>
      <c r="I47" s="39"/>
      <c r="J47" s="39">
        <f t="shared" si="4"/>
        <v>0</v>
      </c>
      <c r="K47" s="8" t="b">
        <f t="shared" si="0"/>
        <v>1</v>
      </c>
    </row>
    <row r="48" spans="1:11">
      <c r="A48" s="39" t="s">
        <v>163</v>
      </c>
      <c r="B48" s="40"/>
      <c r="C48" s="41"/>
      <c r="D48" s="39"/>
      <c r="E48" s="39"/>
      <c r="F48" s="39"/>
      <c r="G48" s="40"/>
      <c r="H48" s="39"/>
      <c r="I48" s="39"/>
      <c r="J48" s="39">
        <f t="shared" si="4"/>
        <v>0</v>
      </c>
      <c r="K48" s="8" t="b">
        <f t="shared" si="0"/>
        <v>1</v>
      </c>
    </row>
    <row r="49" spans="1:11">
      <c r="A49" s="39" t="s">
        <v>163</v>
      </c>
      <c r="B49" s="40"/>
      <c r="C49" s="41"/>
      <c r="D49" s="39"/>
      <c r="E49" s="39"/>
      <c r="F49" s="39"/>
      <c r="G49" s="40"/>
      <c r="H49" s="39"/>
      <c r="I49" s="39"/>
      <c r="J49" s="39">
        <f t="shared" si="4"/>
        <v>0</v>
      </c>
      <c r="K49" s="8" t="b">
        <f t="shared" si="0"/>
        <v>1</v>
      </c>
    </row>
    <row r="50" spans="1:11">
      <c r="A50" s="5" t="s">
        <v>164</v>
      </c>
      <c r="B50" s="6">
        <v>44674</v>
      </c>
      <c r="C50" s="7">
        <v>0.6</v>
      </c>
      <c r="D50" s="5">
        <v>12.1</v>
      </c>
      <c r="E50" s="5">
        <v>756.9</v>
      </c>
      <c r="F50" s="5">
        <v>769</v>
      </c>
      <c r="G50" s="6">
        <v>44674</v>
      </c>
      <c r="H50" s="5"/>
      <c r="I50" s="5"/>
      <c r="J50" s="5">
        <f t="shared" ref="J50:J63" si="5">F50-E50</f>
        <v>12.100000000000023</v>
      </c>
      <c r="K50" s="8" t="b">
        <f t="shared" si="0"/>
        <v>0</v>
      </c>
    </row>
    <row r="51" spans="1:11">
      <c r="A51" s="5" t="s">
        <v>164</v>
      </c>
      <c r="B51" s="6">
        <v>44675</v>
      </c>
      <c r="C51" s="7">
        <v>0.6</v>
      </c>
      <c r="D51" s="5">
        <v>12.1</v>
      </c>
      <c r="E51" s="5">
        <v>769</v>
      </c>
      <c r="F51" s="5">
        <v>780</v>
      </c>
      <c r="G51" s="6">
        <v>44675</v>
      </c>
      <c r="H51" s="5"/>
      <c r="I51" s="5"/>
      <c r="J51" s="5">
        <f t="shared" si="5"/>
        <v>11</v>
      </c>
      <c r="K51" s="8" t="b">
        <f t="shared" si="0"/>
        <v>1</v>
      </c>
    </row>
    <row r="52" spans="1:11">
      <c r="A52" s="5" t="s">
        <v>167</v>
      </c>
      <c r="B52" s="6">
        <v>44676</v>
      </c>
      <c r="C52" s="7">
        <v>0.6</v>
      </c>
      <c r="D52" s="5">
        <v>12.1</v>
      </c>
      <c r="E52" s="5">
        <v>780</v>
      </c>
      <c r="F52" s="5">
        <v>791.1</v>
      </c>
      <c r="G52" s="6">
        <v>44676</v>
      </c>
      <c r="H52" s="5"/>
      <c r="I52" s="5"/>
      <c r="J52" s="5">
        <f t="shared" si="5"/>
        <v>11.100000000000023</v>
      </c>
      <c r="K52" s="8" t="b">
        <f t="shared" si="0"/>
        <v>1</v>
      </c>
    </row>
    <row r="53" spans="1:11">
      <c r="A53" s="5" t="s">
        <v>164</v>
      </c>
      <c r="B53" s="6">
        <v>44677</v>
      </c>
      <c r="C53" s="7">
        <v>0.6</v>
      </c>
      <c r="D53" s="5">
        <v>12.1</v>
      </c>
      <c r="E53" s="5">
        <v>791.1</v>
      </c>
      <c r="F53" s="5">
        <v>804.6</v>
      </c>
      <c r="G53" s="6">
        <v>44677</v>
      </c>
      <c r="H53" s="5"/>
      <c r="I53" s="5"/>
      <c r="J53" s="5">
        <f t="shared" si="5"/>
        <v>13.5</v>
      </c>
      <c r="K53" s="8" t="b">
        <f t="shared" si="0"/>
        <v>1</v>
      </c>
    </row>
    <row r="54" spans="1:11">
      <c r="A54" s="5" t="s">
        <v>161</v>
      </c>
      <c r="B54" s="6">
        <v>44678</v>
      </c>
      <c r="C54" s="7">
        <v>0.6</v>
      </c>
      <c r="D54" s="5">
        <v>12.1</v>
      </c>
      <c r="E54" s="5">
        <v>804.6</v>
      </c>
      <c r="F54" s="5">
        <v>816.7</v>
      </c>
      <c r="G54" s="6">
        <v>44678</v>
      </c>
      <c r="H54" s="5"/>
      <c r="I54" s="5"/>
      <c r="J54" s="5">
        <f t="shared" si="5"/>
        <v>12.100000000000023</v>
      </c>
      <c r="K54" s="8" t="b">
        <f t="shared" si="0"/>
        <v>1</v>
      </c>
    </row>
    <row r="55" spans="1:11">
      <c r="A55" s="5" t="s">
        <v>164</v>
      </c>
      <c r="B55" s="6">
        <v>44680</v>
      </c>
      <c r="C55" s="7">
        <v>0.8</v>
      </c>
      <c r="D55" s="5">
        <v>9.08</v>
      </c>
      <c r="E55" s="5">
        <v>816.7</v>
      </c>
      <c r="F55" s="5">
        <v>825.5</v>
      </c>
      <c r="G55" s="6">
        <v>44680</v>
      </c>
      <c r="H55" s="5"/>
      <c r="I55" s="5"/>
      <c r="J55" s="5">
        <f t="shared" si="5"/>
        <v>8.7999999999999545</v>
      </c>
      <c r="K55" s="8" t="b">
        <f t="shared" si="0"/>
        <v>1</v>
      </c>
    </row>
    <row r="56" spans="1:11">
      <c r="A56" s="5" t="s">
        <v>161</v>
      </c>
      <c r="B56" s="6">
        <v>44681</v>
      </c>
      <c r="C56" s="7">
        <v>0.8</v>
      </c>
      <c r="D56" s="5">
        <v>9.08</v>
      </c>
      <c r="E56" s="5">
        <v>825.5</v>
      </c>
      <c r="F56" s="5">
        <v>834.7</v>
      </c>
      <c r="G56" s="6">
        <v>44681</v>
      </c>
      <c r="H56" s="5"/>
      <c r="I56" s="5"/>
      <c r="J56" s="5">
        <f t="shared" si="5"/>
        <v>9.2000000000000455</v>
      </c>
      <c r="K56" s="8" t="b">
        <f t="shared" si="0"/>
        <v>1</v>
      </c>
    </row>
    <row r="57" spans="1:11">
      <c r="A57" s="5" t="s">
        <v>164</v>
      </c>
      <c r="B57" s="6">
        <v>44682</v>
      </c>
      <c r="C57" s="7">
        <v>0.8</v>
      </c>
      <c r="D57" s="5">
        <v>9.08</v>
      </c>
      <c r="E57" s="5">
        <v>834.7</v>
      </c>
      <c r="F57" s="5">
        <v>844.1</v>
      </c>
      <c r="G57" s="6">
        <v>44682</v>
      </c>
      <c r="H57" s="5"/>
      <c r="I57" s="5"/>
      <c r="J57" s="5">
        <f t="shared" si="5"/>
        <v>9.3999999999999773</v>
      </c>
      <c r="K57" s="8" t="b">
        <f t="shared" si="0"/>
        <v>1</v>
      </c>
    </row>
    <row r="58" spans="1:11">
      <c r="A58" s="5" t="s">
        <v>164</v>
      </c>
      <c r="B58" s="6">
        <v>44685</v>
      </c>
      <c r="C58" s="7">
        <v>0.8</v>
      </c>
      <c r="D58" s="5">
        <v>9.08</v>
      </c>
      <c r="E58" s="5">
        <v>844.1</v>
      </c>
      <c r="F58" s="5">
        <v>853.1</v>
      </c>
      <c r="G58" s="6">
        <v>44685</v>
      </c>
      <c r="H58" s="5"/>
      <c r="I58" s="5"/>
      <c r="J58" s="5">
        <f t="shared" si="5"/>
        <v>9</v>
      </c>
      <c r="K58" s="8" t="b">
        <f t="shared" si="0"/>
        <v>1</v>
      </c>
    </row>
    <row r="59" spans="1:11">
      <c r="A59" s="5" t="s">
        <v>168</v>
      </c>
      <c r="B59" s="6">
        <v>44686</v>
      </c>
      <c r="C59" s="7">
        <v>1</v>
      </c>
      <c r="D59" s="5">
        <v>7.26</v>
      </c>
      <c r="E59" s="5">
        <v>853.1</v>
      </c>
      <c r="F59" s="5">
        <v>856.9</v>
      </c>
      <c r="G59" s="6">
        <v>44686</v>
      </c>
      <c r="H59" s="5"/>
      <c r="I59" s="5"/>
      <c r="J59" s="5">
        <f t="shared" si="5"/>
        <v>3.7999999999999545</v>
      </c>
      <c r="K59" s="8" t="b">
        <f t="shared" si="0"/>
        <v>1</v>
      </c>
    </row>
    <row r="60" spans="1:11">
      <c r="A60" s="5" t="s">
        <v>169</v>
      </c>
      <c r="B60" s="6">
        <v>44687</v>
      </c>
      <c r="C60" s="7">
        <v>0.8</v>
      </c>
      <c r="D60" s="5">
        <v>9.08</v>
      </c>
      <c r="E60" s="5">
        <v>856.9</v>
      </c>
      <c r="F60" s="5">
        <v>861</v>
      </c>
      <c r="G60" s="6">
        <v>44687</v>
      </c>
      <c r="H60" s="5"/>
      <c r="I60" s="5"/>
      <c r="J60" s="5">
        <f t="shared" si="5"/>
        <v>4.1000000000000227</v>
      </c>
      <c r="K60" s="8" t="b">
        <f t="shared" si="0"/>
        <v>1</v>
      </c>
    </row>
    <row r="61" spans="1:11">
      <c r="A61" s="5" t="s">
        <v>165</v>
      </c>
      <c r="B61" s="6">
        <v>44688</v>
      </c>
      <c r="C61" s="7">
        <v>1</v>
      </c>
      <c r="D61" s="5">
        <v>7.26</v>
      </c>
      <c r="E61" s="5">
        <v>861</v>
      </c>
      <c r="F61" s="5">
        <v>864.9</v>
      </c>
      <c r="G61" s="6">
        <v>44688</v>
      </c>
      <c r="H61" s="5"/>
      <c r="I61" s="5"/>
      <c r="J61" s="5">
        <f t="shared" si="5"/>
        <v>3.8999999999999773</v>
      </c>
      <c r="K61" s="8" t="b">
        <f t="shared" si="0"/>
        <v>1</v>
      </c>
    </row>
    <row r="62" spans="1:11">
      <c r="A62" s="5" t="s">
        <v>161</v>
      </c>
      <c r="B62" s="6">
        <v>44689</v>
      </c>
      <c r="C62" s="7">
        <v>1</v>
      </c>
      <c r="D62" s="5">
        <v>7.26</v>
      </c>
      <c r="E62" s="5">
        <v>864.9</v>
      </c>
      <c r="F62" s="5">
        <v>872.9</v>
      </c>
      <c r="G62" s="6">
        <v>44689</v>
      </c>
      <c r="H62" s="5"/>
      <c r="I62" s="5"/>
      <c r="J62" s="5">
        <f t="shared" si="5"/>
        <v>8</v>
      </c>
      <c r="K62" s="8" t="b">
        <f t="shared" si="0"/>
        <v>1</v>
      </c>
    </row>
    <row r="63" spans="1:11">
      <c r="A63" s="5" t="s">
        <v>170</v>
      </c>
      <c r="B63" s="6">
        <v>44691</v>
      </c>
      <c r="C63" s="7">
        <v>0.8</v>
      </c>
      <c r="D63" s="5">
        <v>9.08</v>
      </c>
      <c r="E63" s="5">
        <v>872.9</v>
      </c>
      <c r="F63" s="5">
        <v>885.2</v>
      </c>
      <c r="G63" s="6">
        <v>44691</v>
      </c>
      <c r="H63" s="5"/>
      <c r="I63" s="5"/>
      <c r="J63" s="5">
        <f t="shared" si="5"/>
        <v>12.300000000000068</v>
      </c>
      <c r="K63" s="8" t="b">
        <f t="shared" si="0"/>
        <v>1</v>
      </c>
    </row>
    <row r="64" spans="1:11">
      <c r="A64" s="5" t="s">
        <v>169</v>
      </c>
      <c r="B64" s="6">
        <v>44693</v>
      </c>
      <c r="C64" s="7">
        <v>0.8</v>
      </c>
      <c r="D64" s="5">
        <v>9.08</v>
      </c>
      <c r="E64" s="5">
        <v>885.2</v>
      </c>
      <c r="F64" s="5">
        <v>890.1</v>
      </c>
      <c r="G64" s="6">
        <v>44693</v>
      </c>
      <c r="H64" s="5"/>
      <c r="I64" s="5"/>
      <c r="J64" s="5">
        <f t="shared" ref="J64:J82" si="6">F64-E64</f>
        <v>4.8999999999999773</v>
      </c>
      <c r="K64" s="8" t="b">
        <f t="shared" si="0"/>
        <v>1</v>
      </c>
    </row>
    <row r="65" spans="1:11">
      <c r="A65" s="5" t="s">
        <v>171</v>
      </c>
      <c r="B65" s="6">
        <v>44694</v>
      </c>
      <c r="C65" s="7">
        <v>1</v>
      </c>
      <c r="D65" s="5">
        <v>7.26</v>
      </c>
      <c r="E65" s="5">
        <v>890.1</v>
      </c>
      <c r="F65" s="5">
        <v>897.8</v>
      </c>
      <c r="G65" s="6">
        <v>44694</v>
      </c>
      <c r="H65" s="5"/>
      <c r="I65" s="5"/>
      <c r="J65" s="5">
        <f t="shared" si="6"/>
        <v>7.6999999999999318</v>
      </c>
      <c r="K65" s="8" t="b">
        <f t="shared" si="0"/>
        <v>1</v>
      </c>
    </row>
    <row r="66" spans="1:11">
      <c r="A66" s="5" t="s">
        <v>172</v>
      </c>
      <c r="B66" s="6">
        <v>44695</v>
      </c>
      <c r="C66" s="7">
        <v>1</v>
      </c>
      <c r="D66" s="5">
        <v>7.26</v>
      </c>
      <c r="E66" s="5">
        <v>897.8</v>
      </c>
      <c r="F66" s="5">
        <v>905</v>
      </c>
      <c r="G66" s="6">
        <v>44695</v>
      </c>
      <c r="H66" s="5"/>
      <c r="I66" s="5"/>
      <c r="J66" s="5">
        <f t="shared" si="6"/>
        <v>7.2000000000000455</v>
      </c>
      <c r="K66" s="8" t="b">
        <f t="shared" si="0"/>
        <v>1</v>
      </c>
    </row>
    <row r="67" spans="1:11">
      <c r="A67" s="5" t="s">
        <v>164</v>
      </c>
      <c r="B67" s="6">
        <v>44697</v>
      </c>
      <c r="C67" s="7">
        <v>1</v>
      </c>
      <c r="D67" s="5">
        <v>7.26</v>
      </c>
      <c r="E67" s="5">
        <v>905</v>
      </c>
      <c r="F67" s="5">
        <v>912.2</v>
      </c>
      <c r="G67" s="6">
        <v>44697</v>
      </c>
      <c r="H67" s="5"/>
      <c r="I67" s="5"/>
      <c r="J67" s="5">
        <f t="shared" si="6"/>
        <v>7.2000000000000455</v>
      </c>
      <c r="K67" s="8" t="b">
        <f t="shared" si="0"/>
        <v>1</v>
      </c>
    </row>
    <row r="68" spans="1:11">
      <c r="A68" s="5" t="s">
        <v>173</v>
      </c>
      <c r="B68" s="6">
        <v>44698</v>
      </c>
      <c r="C68" s="7">
        <v>1</v>
      </c>
      <c r="D68" s="5">
        <v>7.26</v>
      </c>
      <c r="E68" s="5">
        <v>912.2</v>
      </c>
      <c r="F68" s="5">
        <v>913.7</v>
      </c>
      <c r="G68" s="6">
        <v>44698</v>
      </c>
      <c r="H68" s="5"/>
      <c r="I68" s="5"/>
      <c r="J68" s="5">
        <f t="shared" si="6"/>
        <v>1.5</v>
      </c>
      <c r="K68" s="8" t="b">
        <f t="shared" si="0"/>
        <v>1</v>
      </c>
    </row>
    <row r="69" spans="1:11">
      <c r="A69" s="5" t="s">
        <v>174</v>
      </c>
      <c r="B69" s="6">
        <v>44700</v>
      </c>
      <c r="C69" s="7">
        <v>1</v>
      </c>
      <c r="D69" s="5">
        <v>7.26</v>
      </c>
      <c r="E69" s="5">
        <v>913.7</v>
      </c>
      <c r="F69" s="5">
        <v>924.3</v>
      </c>
      <c r="G69" s="6">
        <v>44823</v>
      </c>
      <c r="H69" s="5"/>
      <c r="I69" s="5"/>
      <c r="J69" s="5">
        <f t="shared" si="6"/>
        <v>10.599999999999909</v>
      </c>
      <c r="K69" s="8" t="b">
        <f t="shared" si="0"/>
        <v>1</v>
      </c>
    </row>
    <row r="70" spans="1:11">
      <c r="A70" s="5" t="s">
        <v>173</v>
      </c>
      <c r="B70" s="6">
        <v>44701</v>
      </c>
      <c r="C70" s="7">
        <v>1</v>
      </c>
      <c r="D70" s="5">
        <v>7.26</v>
      </c>
      <c r="E70" s="5">
        <v>924.3</v>
      </c>
      <c r="F70" s="5">
        <v>927.9</v>
      </c>
      <c r="G70" s="6">
        <v>44701</v>
      </c>
      <c r="H70" s="5"/>
      <c r="I70" s="5"/>
      <c r="J70" s="5">
        <f t="shared" si="6"/>
        <v>3.6000000000000227</v>
      </c>
      <c r="K70" s="8" t="b">
        <f t="shared" si="0"/>
        <v>1</v>
      </c>
    </row>
    <row r="71" spans="1:11">
      <c r="A71" s="5" t="s">
        <v>164</v>
      </c>
      <c r="B71" s="6">
        <v>44703</v>
      </c>
      <c r="C71" s="7">
        <v>1</v>
      </c>
      <c r="D71" s="5">
        <v>7.26</v>
      </c>
      <c r="E71" s="5">
        <v>927.9</v>
      </c>
      <c r="F71" s="5">
        <v>934.8</v>
      </c>
      <c r="G71" s="6">
        <v>44703</v>
      </c>
      <c r="H71" s="5"/>
      <c r="I71" s="5"/>
      <c r="J71" s="5">
        <f t="shared" si="6"/>
        <v>6.8999999999999773</v>
      </c>
      <c r="K71" s="8" t="b">
        <f t="shared" si="0"/>
        <v>1</v>
      </c>
    </row>
    <row r="72" spans="1:11">
      <c r="A72" s="5" t="s">
        <v>167</v>
      </c>
      <c r="B72" s="6">
        <v>44704</v>
      </c>
      <c r="C72" s="7">
        <v>1</v>
      </c>
      <c r="D72" s="5">
        <v>7.26</v>
      </c>
      <c r="E72" s="5">
        <v>934.8</v>
      </c>
      <c r="F72" s="5">
        <v>943.1</v>
      </c>
      <c r="G72" s="6">
        <v>44704</v>
      </c>
      <c r="H72" s="5"/>
      <c r="I72" s="5"/>
      <c r="J72" s="5">
        <f t="shared" si="6"/>
        <v>8.3000000000000682</v>
      </c>
      <c r="K72" s="8" t="b">
        <f t="shared" si="0"/>
        <v>1</v>
      </c>
    </row>
    <row r="73" spans="1:11">
      <c r="A73" s="5" t="s">
        <v>164</v>
      </c>
      <c r="B73" s="6">
        <v>44706</v>
      </c>
      <c r="C73" s="7">
        <v>1</v>
      </c>
      <c r="D73" s="5">
        <v>7.26</v>
      </c>
      <c r="E73" s="5">
        <v>943.1</v>
      </c>
      <c r="F73" s="5">
        <v>950</v>
      </c>
      <c r="G73" s="6">
        <v>44706</v>
      </c>
      <c r="H73" s="5"/>
      <c r="I73" s="5"/>
      <c r="J73" s="5">
        <f t="shared" si="6"/>
        <v>6.8999999999999773</v>
      </c>
      <c r="K73" s="8" t="b">
        <f t="shared" si="0"/>
        <v>1</v>
      </c>
    </row>
    <row r="74" spans="1:11">
      <c r="A74" s="5" t="s">
        <v>167</v>
      </c>
      <c r="B74" s="6">
        <v>44708</v>
      </c>
      <c r="C74" s="7">
        <v>1</v>
      </c>
      <c r="D74" s="5">
        <v>7.26</v>
      </c>
      <c r="E74" s="5">
        <v>950</v>
      </c>
      <c r="F74" s="5">
        <v>957.5</v>
      </c>
      <c r="G74" s="6">
        <v>44708</v>
      </c>
      <c r="H74" s="5"/>
      <c r="I74" s="5"/>
      <c r="J74" s="5">
        <f t="shared" si="6"/>
        <v>7.5</v>
      </c>
      <c r="K74" s="8" t="b">
        <f t="shared" ref="K74:K84" si="7">E74=F73</f>
        <v>1</v>
      </c>
    </row>
    <row r="75" spans="1:11">
      <c r="A75" s="5" t="s">
        <v>164</v>
      </c>
      <c r="B75" s="6">
        <v>44709</v>
      </c>
      <c r="C75" s="7">
        <v>1</v>
      </c>
      <c r="D75" s="5">
        <v>7.26</v>
      </c>
      <c r="E75" s="5">
        <v>957.5</v>
      </c>
      <c r="F75" s="5">
        <v>964.2</v>
      </c>
      <c r="G75" s="6">
        <v>44709</v>
      </c>
      <c r="H75" s="5"/>
      <c r="I75" s="5"/>
      <c r="J75" s="5">
        <f t="shared" si="6"/>
        <v>6.7000000000000455</v>
      </c>
      <c r="K75" s="8" t="b">
        <f t="shared" si="7"/>
        <v>1</v>
      </c>
    </row>
    <row r="76" spans="1:11">
      <c r="A76" s="5" t="s">
        <v>164</v>
      </c>
      <c r="B76" s="6">
        <v>44711</v>
      </c>
      <c r="C76" s="7">
        <v>1</v>
      </c>
      <c r="D76" s="5">
        <v>7.26</v>
      </c>
      <c r="E76" s="5">
        <v>964.2</v>
      </c>
      <c r="F76" s="5">
        <v>970.9</v>
      </c>
      <c r="G76" s="6">
        <v>44711</v>
      </c>
      <c r="H76" s="5"/>
      <c r="I76" s="5"/>
      <c r="J76" s="5">
        <f t="shared" si="6"/>
        <v>6.6999999999999318</v>
      </c>
      <c r="K76" s="8" t="b">
        <f t="shared" si="7"/>
        <v>1</v>
      </c>
    </row>
    <row r="77" spans="1:11">
      <c r="A77" s="5" t="s">
        <v>173</v>
      </c>
      <c r="B77" s="6">
        <v>44712</v>
      </c>
      <c r="C77" s="7">
        <v>1</v>
      </c>
      <c r="D77" s="5">
        <v>7.26</v>
      </c>
      <c r="E77" s="5">
        <v>970.9</v>
      </c>
      <c r="F77" s="5">
        <v>974.7</v>
      </c>
      <c r="G77" s="6">
        <v>44712</v>
      </c>
      <c r="H77" s="5"/>
      <c r="I77" s="5"/>
      <c r="J77" s="5">
        <f t="shared" si="6"/>
        <v>3.8000000000000682</v>
      </c>
      <c r="K77" s="8" t="b">
        <f t="shared" si="7"/>
        <v>1</v>
      </c>
    </row>
    <row r="78" spans="1:11">
      <c r="A78" s="5" t="s">
        <v>165</v>
      </c>
      <c r="B78" s="6">
        <v>44714</v>
      </c>
      <c r="C78" s="7">
        <v>1</v>
      </c>
      <c r="D78" s="5">
        <v>7.26</v>
      </c>
      <c r="E78" s="5">
        <v>974.7</v>
      </c>
      <c r="F78" s="5">
        <v>978.2</v>
      </c>
      <c r="G78" s="6">
        <v>44714</v>
      </c>
      <c r="H78" s="5"/>
      <c r="I78" s="5"/>
      <c r="J78" s="5">
        <f t="shared" si="6"/>
        <v>3.5</v>
      </c>
      <c r="K78" s="8" t="b">
        <f t="shared" si="7"/>
        <v>1</v>
      </c>
    </row>
    <row r="79" spans="1:11">
      <c r="A79" s="39" t="s">
        <v>163</v>
      </c>
      <c r="B79" s="40">
        <v>44716</v>
      </c>
      <c r="C79" s="41">
        <v>0.8</v>
      </c>
      <c r="D79" s="39">
        <v>9.08</v>
      </c>
      <c r="E79" s="39">
        <v>978.2</v>
      </c>
      <c r="F79" s="39">
        <v>996.1</v>
      </c>
      <c r="G79" s="40">
        <v>44716</v>
      </c>
      <c r="H79" s="39"/>
      <c r="I79" s="39"/>
      <c r="J79" s="39">
        <f t="shared" si="6"/>
        <v>17.899999999999977</v>
      </c>
      <c r="K79" s="8" t="b">
        <f t="shared" si="7"/>
        <v>1</v>
      </c>
    </row>
    <row r="80" spans="1:11">
      <c r="A80" s="39" t="s">
        <v>163</v>
      </c>
      <c r="B80" s="40">
        <v>44717</v>
      </c>
      <c r="C80" s="41">
        <v>0.8</v>
      </c>
      <c r="D80" s="39">
        <v>9.08</v>
      </c>
      <c r="E80" s="39">
        <v>996.1</v>
      </c>
      <c r="F80" s="39">
        <v>1014</v>
      </c>
      <c r="G80" s="40">
        <v>44717</v>
      </c>
      <c r="H80" s="39"/>
      <c r="I80" s="39"/>
      <c r="J80" s="39">
        <f t="shared" si="6"/>
        <v>17.899999999999977</v>
      </c>
      <c r="K80" s="8" t="b">
        <f t="shared" si="7"/>
        <v>1</v>
      </c>
    </row>
    <row r="81" spans="1:11">
      <c r="A81" s="39" t="s">
        <v>163</v>
      </c>
      <c r="B81" s="40">
        <v>44721</v>
      </c>
      <c r="C81" s="41">
        <v>1</v>
      </c>
      <c r="D81" s="39">
        <v>7.26</v>
      </c>
      <c r="E81" s="39">
        <v>1014</v>
      </c>
      <c r="F81" s="39">
        <v>1028.9000000000001</v>
      </c>
      <c r="G81" s="40">
        <v>44721</v>
      </c>
      <c r="H81" s="39"/>
      <c r="I81" s="39"/>
      <c r="J81" s="39">
        <f t="shared" si="6"/>
        <v>14.900000000000091</v>
      </c>
      <c r="K81" s="8" t="b">
        <f t="shared" si="7"/>
        <v>1</v>
      </c>
    </row>
    <row r="82" spans="1:11">
      <c r="A82" s="39" t="s">
        <v>163</v>
      </c>
      <c r="B82" s="40">
        <v>44725</v>
      </c>
      <c r="C82" s="41">
        <v>1</v>
      </c>
      <c r="D82" s="39">
        <v>7.26</v>
      </c>
      <c r="E82" s="39">
        <v>1028.9000000000001</v>
      </c>
      <c r="F82" s="39">
        <v>1042.5</v>
      </c>
      <c r="G82" s="40">
        <v>44725</v>
      </c>
      <c r="H82" s="39"/>
      <c r="I82" s="39"/>
      <c r="J82" s="39">
        <f t="shared" si="6"/>
        <v>13.599999999999909</v>
      </c>
      <c r="K82" s="8" t="b">
        <f t="shared" si="7"/>
        <v>1</v>
      </c>
    </row>
    <row r="83" spans="1:11">
      <c r="A83" s="5" t="s">
        <v>163</v>
      </c>
      <c r="B83" s="6"/>
      <c r="C83" s="7"/>
      <c r="D83" s="5"/>
      <c r="E83" s="5"/>
      <c r="F83" s="5"/>
      <c r="G83" s="6"/>
      <c r="H83" s="5"/>
      <c r="I83" s="5"/>
      <c r="J83" s="5"/>
      <c r="K83" s="8" t="b">
        <f t="shared" si="7"/>
        <v>0</v>
      </c>
    </row>
    <row r="84" spans="1:11">
      <c r="A84" s="5" t="s">
        <v>163</v>
      </c>
      <c r="B84" s="6"/>
      <c r="C84" s="7"/>
      <c r="D84" s="5"/>
      <c r="E84" s="5"/>
      <c r="F84" s="5"/>
      <c r="G84" s="6"/>
      <c r="H84" s="5"/>
      <c r="I84" s="5"/>
      <c r="J84" s="5"/>
      <c r="K84" s="8" t="b">
        <f t="shared" si="7"/>
        <v>1</v>
      </c>
    </row>
    <row r="86" spans="1:11" ht="26.25">
      <c r="A86" s="199" t="s">
        <v>159</v>
      </c>
      <c r="B86" s="200"/>
      <c r="C86" s="200"/>
      <c r="D86" s="200"/>
      <c r="E86" s="200"/>
      <c r="F86" s="200"/>
      <c r="G86" s="200"/>
      <c r="H86" s="200"/>
      <c r="I86" s="200"/>
      <c r="J86" s="200"/>
      <c r="K86" s="201"/>
    </row>
    <row r="87" spans="1:11" ht="26.25">
      <c r="A87" s="202" t="s">
        <v>175</v>
      </c>
      <c r="B87" s="203"/>
      <c r="C87" s="203"/>
      <c r="D87" s="203"/>
      <c r="E87" s="203"/>
      <c r="F87" s="203"/>
      <c r="G87" s="203"/>
      <c r="H87" s="203"/>
      <c r="I87" s="203"/>
      <c r="J87" s="203"/>
      <c r="K87" s="204"/>
    </row>
    <row r="88" spans="1:11" ht="15.75" thickBot="1"/>
    <row r="89" spans="1:11" ht="15.75" thickBot="1">
      <c r="A89" s="29" t="s">
        <v>2</v>
      </c>
      <c r="B89" s="30"/>
      <c r="C89" s="30"/>
      <c r="D89" s="30"/>
      <c r="E89" s="30"/>
      <c r="F89" s="30"/>
      <c r="G89" s="30"/>
      <c r="H89" s="30"/>
      <c r="I89" s="30"/>
      <c r="J89" s="30"/>
      <c r="K89" s="31"/>
    </row>
    <row r="91" spans="1:11" ht="19.5" thickBot="1">
      <c r="A91" s="198" t="s">
        <v>3</v>
      </c>
      <c r="B91" s="198"/>
      <c r="C91" s="198"/>
      <c r="D91" s="198"/>
      <c r="E91" s="198"/>
      <c r="F91" s="198"/>
      <c r="G91" s="198"/>
      <c r="H91" s="198"/>
      <c r="I91" s="198"/>
      <c r="J91" s="198"/>
      <c r="K91" s="198"/>
    </row>
    <row r="92" spans="1:11" ht="30.75" thickBot="1">
      <c r="A92" s="2" t="s">
        <v>4</v>
      </c>
      <c r="B92" s="3" t="s">
        <v>5</v>
      </c>
      <c r="C92" s="3" t="s">
        <v>6</v>
      </c>
      <c r="D92" s="3" t="s">
        <v>7</v>
      </c>
      <c r="E92" s="3" t="s">
        <v>8</v>
      </c>
      <c r="F92" s="3" t="s">
        <v>9</v>
      </c>
      <c r="G92" s="3" t="s">
        <v>10</v>
      </c>
      <c r="H92" s="3" t="s">
        <v>21</v>
      </c>
      <c r="I92" s="4" t="s">
        <v>22</v>
      </c>
      <c r="J92" s="4" t="s">
        <v>11</v>
      </c>
      <c r="K92" s="4" t="s">
        <v>12</v>
      </c>
    </row>
    <row r="93" spans="1:11">
      <c r="A93" s="5" t="s">
        <v>163</v>
      </c>
      <c r="B93" s="6">
        <v>44730</v>
      </c>
      <c r="C93" s="7">
        <v>0.8</v>
      </c>
      <c r="D93" s="5">
        <v>9.08</v>
      </c>
      <c r="E93" s="5">
        <v>1042.5</v>
      </c>
      <c r="F93" s="5">
        <v>1060.5999999999999</v>
      </c>
      <c r="G93" s="6">
        <v>44730</v>
      </c>
      <c r="H93" s="5"/>
      <c r="I93" s="5"/>
      <c r="J93" s="5">
        <f>F93-E93</f>
        <v>18.099999999999909</v>
      </c>
      <c r="K93" s="5" t="b">
        <f>E93=F82</f>
        <v>1</v>
      </c>
    </row>
    <row r="94" spans="1:11">
      <c r="A94" s="5" t="s">
        <v>163</v>
      </c>
      <c r="B94" s="6">
        <v>44731</v>
      </c>
      <c r="C94" s="7">
        <v>1</v>
      </c>
      <c r="D94" s="5">
        <v>7.26</v>
      </c>
      <c r="E94" s="5">
        <v>1060.5999999999999</v>
      </c>
      <c r="F94" s="5">
        <v>1074.8</v>
      </c>
      <c r="G94" s="6">
        <v>44731</v>
      </c>
      <c r="H94" s="5"/>
      <c r="I94" s="5"/>
      <c r="J94" s="5">
        <f t="shared" ref="J94:J106" si="8">F94-E94</f>
        <v>14.200000000000045</v>
      </c>
      <c r="K94" s="5" t="b">
        <f>E94=F93</f>
        <v>1</v>
      </c>
    </row>
    <row r="95" spans="1:11">
      <c r="A95" s="5" t="s">
        <v>163</v>
      </c>
      <c r="B95" s="6">
        <v>44732</v>
      </c>
      <c r="C95" s="7">
        <v>1</v>
      </c>
      <c r="D95" s="5">
        <v>7.26</v>
      </c>
      <c r="E95" s="5">
        <v>1074.8</v>
      </c>
      <c r="F95" s="5">
        <v>1089.0999999999999</v>
      </c>
      <c r="G95" s="6">
        <v>44732</v>
      </c>
      <c r="H95" s="5"/>
      <c r="I95" s="5"/>
      <c r="J95" s="5">
        <f t="shared" si="8"/>
        <v>14.299999999999955</v>
      </c>
      <c r="K95" s="5" t="b">
        <f t="shared" ref="K95:K123" si="9">E95=F94</f>
        <v>1</v>
      </c>
    </row>
    <row r="96" spans="1:11">
      <c r="A96" s="5" t="s">
        <v>163</v>
      </c>
      <c r="B96" s="6">
        <v>44733</v>
      </c>
      <c r="C96" s="7">
        <v>1</v>
      </c>
      <c r="D96" s="5">
        <v>7.26</v>
      </c>
      <c r="E96" s="5">
        <v>1089.0999999999999</v>
      </c>
      <c r="F96" s="5">
        <v>1103.5</v>
      </c>
      <c r="G96" s="6">
        <v>44733</v>
      </c>
      <c r="H96" s="5"/>
      <c r="I96" s="5"/>
      <c r="J96" s="5">
        <f t="shared" si="8"/>
        <v>14.400000000000091</v>
      </c>
      <c r="K96" s="5" t="b">
        <f t="shared" si="9"/>
        <v>1</v>
      </c>
    </row>
    <row r="97" spans="1:11">
      <c r="A97" s="5" t="s">
        <v>163</v>
      </c>
      <c r="B97" s="6">
        <v>44734</v>
      </c>
      <c r="C97" s="7">
        <v>1</v>
      </c>
      <c r="D97" s="5">
        <v>7.26</v>
      </c>
      <c r="E97" s="5">
        <v>1103.5</v>
      </c>
      <c r="F97" s="5">
        <v>1117.8</v>
      </c>
      <c r="G97" s="6">
        <v>44734</v>
      </c>
      <c r="H97" s="5"/>
      <c r="I97" s="5"/>
      <c r="J97" s="5">
        <f t="shared" si="8"/>
        <v>14.299999999999955</v>
      </c>
      <c r="K97" s="5" t="b">
        <f t="shared" si="9"/>
        <v>1</v>
      </c>
    </row>
    <row r="98" spans="1:11">
      <c r="A98" s="5" t="s">
        <v>163</v>
      </c>
      <c r="B98" s="6">
        <v>44735</v>
      </c>
      <c r="C98" s="7">
        <v>1</v>
      </c>
      <c r="D98" s="5">
        <v>7.26</v>
      </c>
      <c r="E98" s="5">
        <v>1117.8</v>
      </c>
      <c r="F98" s="5">
        <v>1132.3</v>
      </c>
      <c r="G98" s="6">
        <v>44735</v>
      </c>
      <c r="H98" s="5"/>
      <c r="I98" s="5"/>
      <c r="J98" s="5">
        <f t="shared" si="8"/>
        <v>14.5</v>
      </c>
      <c r="K98" s="5" t="b">
        <f t="shared" si="9"/>
        <v>1</v>
      </c>
    </row>
    <row r="99" spans="1:11">
      <c r="A99" s="5" t="s">
        <v>163</v>
      </c>
      <c r="B99" s="6">
        <v>44736</v>
      </c>
      <c r="C99" s="7">
        <v>1</v>
      </c>
      <c r="D99" s="5">
        <v>7.26</v>
      </c>
      <c r="E99" s="5">
        <v>1132.3</v>
      </c>
      <c r="F99" s="5">
        <v>1146.7</v>
      </c>
      <c r="G99" s="6">
        <v>44736</v>
      </c>
      <c r="H99" s="5"/>
      <c r="I99" s="5"/>
      <c r="J99" s="5">
        <f t="shared" si="8"/>
        <v>14.400000000000091</v>
      </c>
      <c r="K99" s="5" t="b">
        <f t="shared" si="9"/>
        <v>1</v>
      </c>
    </row>
    <row r="100" spans="1:11">
      <c r="A100" s="5" t="s">
        <v>163</v>
      </c>
      <c r="B100" s="6">
        <v>44737</v>
      </c>
      <c r="C100" s="7">
        <v>1</v>
      </c>
      <c r="D100" s="5">
        <v>7.26</v>
      </c>
      <c r="E100" s="5">
        <v>1146.7</v>
      </c>
      <c r="F100" s="5">
        <v>1161.0999999999999</v>
      </c>
      <c r="G100" s="6">
        <v>44737</v>
      </c>
      <c r="H100" s="5"/>
      <c r="I100" s="5"/>
      <c r="J100" s="5">
        <f t="shared" si="8"/>
        <v>14.399999999999864</v>
      </c>
      <c r="K100" s="5" t="b">
        <f t="shared" si="9"/>
        <v>1</v>
      </c>
    </row>
    <row r="101" spans="1:11">
      <c r="A101" s="5" t="s">
        <v>163</v>
      </c>
      <c r="B101" s="6">
        <v>44738</v>
      </c>
      <c r="C101" s="7">
        <v>1</v>
      </c>
      <c r="D101" s="5">
        <v>7.26</v>
      </c>
      <c r="E101" s="5">
        <v>1161.0999999999999</v>
      </c>
      <c r="F101" s="5">
        <v>1176</v>
      </c>
      <c r="G101" s="6">
        <v>44738</v>
      </c>
      <c r="H101" s="5"/>
      <c r="I101" s="5"/>
      <c r="J101" s="5">
        <f t="shared" si="8"/>
        <v>14.900000000000091</v>
      </c>
      <c r="K101" s="5" t="b">
        <f t="shared" si="9"/>
        <v>1</v>
      </c>
    </row>
    <row r="102" spans="1:11">
      <c r="A102" s="5" t="s">
        <v>163</v>
      </c>
      <c r="B102" s="6">
        <v>44739</v>
      </c>
      <c r="C102" s="7">
        <v>1</v>
      </c>
      <c r="D102" s="5">
        <v>7.26</v>
      </c>
      <c r="E102" s="5">
        <v>1176</v>
      </c>
      <c r="F102" s="5">
        <v>1190</v>
      </c>
      <c r="G102" s="6">
        <v>44739</v>
      </c>
      <c r="H102" s="5"/>
      <c r="I102" s="5"/>
      <c r="J102" s="5">
        <f t="shared" si="8"/>
        <v>14</v>
      </c>
      <c r="K102" s="5" t="b">
        <f t="shared" si="9"/>
        <v>1</v>
      </c>
    </row>
    <row r="103" spans="1:11">
      <c r="A103" s="5" t="s">
        <v>163</v>
      </c>
      <c r="B103" s="6">
        <v>44740</v>
      </c>
      <c r="C103" s="7">
        <v>1</v>
      </c>
      <c r="D103" s="5">
        <v>7.26</v>
      </c>
      <c r="E103" s="5">
        <v>1190</v>
      </c>
      <c r="F103" s="5">
        <v>1204.3</v>
      </c>
      <c r="G103" s="6">
        <v>44740</v>
      </c>
      <c r="H103" s="5"/>
      <c r="I103" s="5"/>
      <c r="J103" s="5">
        <f t="shared" si="8"/>
        <v>14.299999999999955</v>
      </c>
      <c r="K103" s="5" t="b">
        <f t="shared" si="9"/>
        <v>1</v>
      </c>
    </row>
    <row r="104" spans="1:11">
      <c r="A104" s="5" t="s">
        <v>163</v>
      </c>
      <c r="B104" s="6">
        <v>44741</v>
      </c>
      <c r="C104" s="7">
        <v>1</v>
      </c>
      <c r="D104" s="5">
        <v>7.26</v>
      </c>
      <c r="E104" s="5">
        <v>1204.3</v>
      </c>
      <c r="F104" s="5">
        <v>1218.8</v>
      </c>
      <c r="G104" s="6">
        <v>44741</v>
      </c>
      <c r="H104" s="5"/>
      <c r="I104" s="5"/>
      <c r="J104" s="5">
        <f t="shared" si="8"/>
        <v>14.5</v>
      </c>
      <c r="K104" s="5" t="b">
        <f t="shared" si="9"/>
        <v>1</v>
      </c>
    </row>
    <row r="105" spans="1:11">
      <c r="A105" s="5" t="s">
        <v>163</v>
      </c>
      <c r="B105" s="6">
        <v>44744</v>
      </c>
      <c r="C105" s="7">
        <v>0.9</v>
      </c>
      <c r="D105" s="5">
        <v>8.07</v>
      </c>
      <c r="E105" s="5">
        <v>1218.8</v>
      </c>
      <c r="F105" s="5">
        <v>1234.8</v>
      </c>
      <c r="G105" s="6">
        <v>44744</v>
      </c>
      <c r="H105" s="5"/>
      <c r="I105" s="5"/>
      <c r="J105" s="5">
        <f t="shared" si="8"/>
        <v>16</v>
      </c>
      <c r="K105" s="5" t="b">
        <f t="shared" si="9"/>
        <v>1</v>
      </c>
    </row>
    <row r="106" spans="1:11">
      <c r="A106" s="5" t="s">
        <v>163</v>
      </c>
      <c r="B106" s="6">
        <v>44745</v>
      </c>
      <c r="C106" s="7">
        <v>1</v>
      </c>
      <c r="D106" s="5">
        <v>7.26</v>
      </c>
      <c r="E106" s="5">
        <v>1234.8</v>
      </c>
      <c r="F106" s="5">
        <v>1249.2</v>
      </c>
      <c r="G106" s="6">
        <v>44745</v>
      </c>
      <c r="H106" s="5"/>
      <c r="I106" s="5"/>
      <c r="J106" s="5">
        <f t="shared" si="8"/>
        <v>14.400000000000091</v>
      </c>
      <c r="K106" s="5" t="b">
        <f t="shared" si="9"/>
        <v>1</v>
      </c>
    </row>
    <row r="107" spans="1:11">
      <c r="A107" s="5" t="s">
        <v>163</v>
      </c>
      <c r="B107" s="6">
        <v>44747</v>
      </c>
      <c r="C107" s="7">
        <v>1</v>
      </c>
      <c r="D107" s="5">
        <v>7.26</v>
      </c>
      <c r="E107" s="5">
        <v>1249.2</v>
      </c>
      <c r="F107" s="5">
        <v>1263.8</v>
      </c>
      <c r="G107" s="6">
        <v>44750</v>
      </c>
      <c r="H107" s="5"/>
      <c r="I107" s="5"/>
      <c r="J107" s="5">
        <f t="shared" ref="J107:J115" si="10">F107-E107</f>
        <v>14.599999999999909</v>
      </c>
      <c r="K107" s="5" t="b">
        <f t="shared" si="9"/>
        <v>1</v>
      </c>
    </row>
    <row r="108" spans="1:11">
      <c r="A108" s="5" t="s">
        <v>163</v>
      </c>
      <c r="B108" s="6">
        <v>44750</v>
      </c>
      <c r="C108" s="7">
        <v>1</v>
      </c>
      <c r="D108" s="5">
        <v>7.26</v>
      </c>
      <c r="E108" s="5">
        <v>1263.8</v>
      </c>
      <c r="F108" s="5">
        <v>1277.8</v>
      </c>
      <c r="G108" s="6">
        <v>44750</v>
      </c>
      <c r="H108" s="5"/>
      <c r="I108" s="5"/>
      <c r="J108" s="5">
        <f t="shared" si="10"/>
        <v>14</v>
      </c>
      <c r="K108" s="5" t="b">
        <f t="shared" si="9"/>
        <v>1</v>
      </c>
    </row>
    <row r="109" spans="1:11">
      <c r="A109" s="5" t="s">
        <v>163</v>
      </c>
      <c r="B109" s="6">
        <v>44758</v>
      </c>
      <c r="C109" s="7">
        <v>0.8</v>
      </c>
      <c r="D109" s="5">
        <v>9.08</v>
      </c>
      <c r="E109" s="5">
        <v>1277.8</v>
      </c>
      <c r="F109" s="5">
        <v>1292.2</v>
      </c>
      <c r="G109" s="6">
        <v>44758</v>
      </c>
      <c r="H109" s="5"/>
      <c r="I109" s="5"/>
      <c r="J109" s="5">
        <f t="shared" si="10"/>
        <v>14.400000000000091</v>
      </c>
      <c r="K109" s="5" t="b">
        <f t="shared" si="9"/>
        <v>1</v>
      </c>
    </row>
    <row r="110" spans="1:11">
      <c r="A110" s="5" t="s">
        <v>163</v>
      </c>
      <c r="B110" s="6">
        <v>44762</v>
      </c>
      <c r="C110" s="7">
        <v>0.8</v>
      </c>
      <c r="D110" s="5">
        <v>9.08</v>
      </c>
      <c r="E110" s="5">
        <v>1292.2</v>
      </c>
      <c r="F110" s="5">
        <v>1314.2</v>
      </c>
      <c r="G110" s="6">
        <v>44762</v>
      </c>
      <c r="H110" s="5"/>
      <c r="I110" s="5"/>
      <c r="J110" s="5">
        <f t="shared" si="10"/>
        <v>22</v>
      </c>
      <c r="K110" s="5" t="b">
        <f t="shared" si="9"/>
        <v>1</v>
      </c>
    </row>
    <row r="111" spans="1:11">
      <c r="A111" s="5" t="s">
        <v>163</v>
      </c>
      <c r="B111" s="6">
        <v>44766</v>
      </c>
      <c r="C111" s="7">
        <v>1</v>
      </c>
      <c r="D111" s="5">
        <v>7.26</v>
      </c>
      <c r="E111" s="5">
        <v>1314.2</v>
      </c>
      <c r="F111" s="5">
        <v>1328.6</v>
      </c>
      <c r="G111" s="6">
        <v>44766</v>
      </c>
      <c r="H111" s="5"/>
      <c r="I111" s="5"/>
      <c r="J111" s="5">
        <f t="shared" si="10"/>
        <v>14.399999999999864</v>
      </c>
      <c r="K111" s="5" t="b">
        <f t="shared" si="9"/>
        <v>1</v>
      </c>
    </row>
    <row r="112" spans="1:11">
      <c r="A112" s="5" t="s">
        <v>163</v>
      </c>
      <c r="B112" s="6">
        <v>44770</v>
      </c>
      <c r="C112" s="7">
        <v>0.6</v>
      </c>
      <c r="D112" s="5">
        <v>12.1</v>
      </c>
      <c r="E112" s="5">
        <v>1328.6</v>
      </c>
      <c r="F112" s="5">
        <v>1341.3</v>
      </c>
      <c r="G112" s="6">
        <v>44770</v>
      </c>
      <c r="H112" s="5"/>
      <c r="I112" s="5"/>
      <c r="J112" s="5">
        <f t="shared" si="10"/>
        <v>12.700000000000045</v>
      </c>
      <c r="K112" s="5" t="b">
        <f t="shared" si="9"/>
        <v>1</v>
      </c>
    </row>
    <row r="113" spans="1:11">
      <c r="A113" s="5" t="s">
        <v>163</v>
      </c>
      <c r="B113" s="6">
        <v>44773</v>
      </c>
      <c r="C113" s="7">
        <v>0.6</v>
      </c>
      <c r="D113" s="5">
        <v>12.1</v>
      </c>
      <c r="E113" s="5">
        <v>1341.3</v>
      </c>
      <c r="F113" s="5">
        <v>1358.4</v>
      </c>
      <c r="G113" s="6">
        <v>44584</v>
      </c>
      <c r="H113" s="5"/>
      <c r="I113" s="5"/>
      <c r="J113" s="5">
        <f t="shared" si="10"/>
        <v>17.100000000000136</v>
      </c>
      <c r="K113" s="5" t="b">
        <f t="shared" si="9"/>
        <v>1</v>
      </c>
    </row>
    <row r="114" spans="1:11">
      <c r="A114" s="5" t="s">
        <v>163</v>
      </c>
      <c r="B114" s="6">
        <v>44774</v>
      </c>
      <c r="C114" s="7">
        <v>0.7</v>
      </c>
      <c r="D114" s="5">
        <v>10.37</v>
      </c>
      <c r="E114" s="5">
        <v>1358.4</v>
      </c>
      <c r="F114" s="5">
        <v>1371.2</v>
      </c>
      <c r="G114" s="6">
        <v>44774</v>
      </c>
      <c r="H114" s="5"/>
      <c r="I114" s="5"/>
      <c r="J114" s="5">
        <f t="shared" si="10"/>
        <v>12.799999999999955</v>
      </c>
      <c r="K114" s="5" t="b">
        <f t="shared" si="9"/>
        <v>1</v>
      </c>
    </row>
    <row r="115" spans="1:11">
      <c r="A115" s="5" t="s">
        <v>163</v>
      </c>
      <c r="B115" s="6">
        <v>44778</v>
      </c>
      <c r="C115" s="7">
        <v>0.6</v>
      </c>
      <c r="D115" s="5">
        <v>12.1</v>
      </c>
      <c r="E115" s="5">
        <v>1371.2</v>
      </c>
      <c r="F115" s="5">
        <v>1383</v>
      </c>
      <c r="G115" s="6">
        <v>44778</v>
      </c>
      <c r="H115" s="5"/>
      <c r="I115" s="5"/>
      <c r="J115" s="5">
        <f t="shared" si="10"/>
        <v>11.799999999999955</v>
      </c>
      <c r="K115" s="5" t="b">
        <f t="shared" si="9"/>
        <v>1</v>
      </c>
    </row>
    <row r="116" spans="1:11">
      <c r="A116" s="5" t="s">
        <v>163</v>
      </c>
      <c r="B116" s="6">
        <v>44779</v>
      </c>
      <c r="C116" s="7">
        <v>0.6</v>
      </c>
      <c r="D116" s="5">
        <v>12.1</v>
      </c>
      <c r="E116" s="5">
        <v>1383</v>
      </c>
      <c r="F116" s="5">
        <v>1395.2</v>
      </c>
      <c r="G116" s="6">
        <v>44779</v>
      </c>
      <c r="H116" s="5"/>
      <c r="I116" s="5"/>
      <c r="J116" s="5">
        <f t="shared" ref="J116:J123" si="11">F116-E116</f>
        <v>12.200000000000045</v>
      </c>
      <c r="K116" s="5" t="b">
        <f t="shared" si="9"/>
        <v>1</v>
      </c>
    </row>
    <row r="117" spans="1:11">
      <c r="A117" s="5" t="s">
        <v>163</v>
      </c>
      <c r="B117" s="6">
        <v>44783</v>
      </c>
      <c r="C117" s="7">
        <v>0.6</v>
      </c>
      <c r="D117" s="5">
        <v>12.1</v>
      </c>
      <c r="E117" s="5">
        <v>1395.2</v>
      </c>
      <c r="F117" s="5">
        <v>1407.8</v>
      </c>
      <c r="G117" s="6">
        <v>44783</v>
      </c>
      <c r="H117" s="5"/>
      <c r="I117" s="5"/>
      <c r="J117" s="5">
        <f t="shared" si="11"/>
        <v>12.599999999999909</v>
      </c>
      <c r="K117" s="5" t="b">
        <f t="shared" si="9"/>
        <v>1</v>
      </c>
    </row>
    <row r="118" spans="1:11">
      <c r="A118" s="5" t="s">
        <v>163</v>
      </c>
      <c r="B118" s="6">
        <v>44784</v>
      </c>
      <c r="C118" s="7">
        <v>0.6</v>
      </c>
      <c r="D118" s="5">
        <v>12.1</v>
      </c>
      <c r="E118" s="5">
        <v>1407.8</v>
      </c>
      <c r="F118" s="5">
        <v>1415.6</v>
      </c>
      <c r="G118" s="6">
        <v>44784</v>
      </c>
      <c r="H118" s="5"/>
      <c r="I118" s="5"/>
      <c r="J118" s="5">
        <f t="shared" si="11"/>
        <v>7.7999999999999545</v>
      </c>
      <c r="K118" s="5" t="b">
        <f t="shared" si="9"/>
        <v>1</v>
      </c>
    </row>
    <row r="119" spans="1:11">
      <c r="A119" s="5" t="s">
        <v>163</v>
      </c>
      <c r="B119" s="6">
        <v>44788</v>
      </c>
      <c r="C119" s="7">
        <v>0.6</v>
      </c>
      <c r="D119" s="5">
        <v>12.1</v>
      </c>
      <c r="E119" s="5">
        <v>1415.6</v>
      </c>
      <c r="F119" s="5">
        <v>1431.7</v>
      </c>
      <c r="G119" s="6">
        <v>44788</v>
      </c>
      <c r="H119" s="5"/>
      <c r="I119" s="5"/>
      <c r="J119" s="5">
        <f t="shared" si="11"/>
        <v>16.100000000000136</v>
      </c>
      <c r="K119" s="5" t="b">
        <f t="shared" si="9"/>
        <v>1</v>
      </c>
    </row>
    <row r="120" spans="1:11">
      <c r="A120" s="5" t="s">
        <v>163</v>
      </c>
      <c r="B120" s="6">
        <v>44793</v>
      </c>
      <c r="C120" s="7">
        <v>0.6</v>
      </c>
      <c r="D120" s="5">
        <v>12.1</v>
      </c>
      <c r="E120" s="5">
        <v>1431.7</v>
      </c>
      <c r="F120" s="5">
        <v>1455.6</v>
      </c>
      <c r="G120" s="6">
        <v>44793</v>
      </c>
      <c r="H120" s="5"/>
      <c r="I120" s="5"/>
      <c r="J120" s="5">
        <f t="shared" si="11"/>
        <v>23.899999999999864</v>
      </c>
      <c r="K120" s="5" t="b">
        <f t="shared" si="9"/>
        <v>1</v>
      </c>
    </row>
    <row r="121" spans="1:11">
      <c r="A121" s="5" t="s">
        <v>163</v>
      </c>
      <c r="B121" s="6">
        <v>44794</v>
      </c>
      <c r="C121" s="7">
        <v>0.6</v>
      </c>
      <c r="D121" s="5">
        <v>12.1</v>
      </c>
      <c r="E121" s="5">
        <v>1455.6</v>
      </c>
      <c r="F121" s="5">
        <v>1467.9</v>
      </c>
      <c r="G121" s="6">
        <v>44794</v>
      </c>
      <c r="H121" s="5"/>
      <c r="I121" s="5"/>
      <c r="J121" s="5">
        <f t="shared" si="11"/>
        <v>12.300000000000182</v>
      </c>
      <c r="K121" s="5" t="b">
        <f t="shared" si="9"/>
        <v>1</v>
      </c>
    </row>
    <row r="122" spans="1:11">
      <c r="A122" s="5" t="s">
        <v>163</v>
      </c>
      <c r="B122" s="6"/>
      <c r="C122" s="7"/>
      <c r="D122" s="5"/>
      <c r="E122" s="5"/>
      <c r="F122" s="5"/>
      <c r="G122" s="6"/>
      <c r="H122" s="5"/>
      <c r="I122" s="5"/>
      <c r="J122" s="5">
        <f t="shared" si="11"/>
        <v>0</v>
      </c>
      <c r="K122" s="5" t="b">
        <f t="shared" si="9"/>
        <v>0</v>
      </c>
    </row>
    <row r="123" spans="1:11">
      <c r="A123" s="5" t="s">
        <v>163</v>
      </c>
      <c r="B123" s="6"/>
      <c r="C123" s="7"/>
      <c r="D123" s="5"/>
      <c r="E123" s="5"/>
      <c r="F123" s="5"/>
      <c r="G123" s="6"/>
      <c r="H123" s="5"/>
      <c r="I123" s="5"/>
      <c r="J123" s="5">
        <f t="shared" si="11"/>
        <v>0</v>
      </c>
      <c r="K123" s="5" t="b">
        <f t="shared" si="9"/>
        <v>1</v>
      </c>
    </row>
    <row r="125" spans="1:11" ht="26.25">
      <c r="A125" s="126" t="s">
        <v>159</v>
      </c>
      <c r="B125" s="127"/>
      <c r="C125" s="127"/>
      <c r="D125" s="127"/>
      <c r="E125" s="127"/>
      <c r="F125" s="127"/>
      <c r="G125" s="127"/>
      <c r="H125" s="127"/>
      <c r="I125" s="127"/>
      <c r="J125" s="127"/>
      <c r="K125" s="128"/>
    </row>
    <row r="126" spans="1:11" ht="26.25">
      <c r="A126" s="129" t="s">
        <v>17</v>
      </c>
      <c r="B126" s="130"/>
      <c r="C126" s="130"/>
      <c r="D126" s="130"/>
      <c r="E126" s="130"/>
      <c r="F126" s="130"/>
      <c r="G126" s="130"/>
      <c r="H126" s="130"/>
      <c r="I126" s="130"/>
      <c r="J126" s="130"/>
      <c r="K126" s="131"/>
    </row>
    <row r="127" spans="1:11" ht="15.75" thickBot="1"/>
    <row r="128" spans="1:11" ht="15.75" thickBot="1">
      <c r="A128" s="29" t="s">
        <v>2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1"/>
    </row>
    <row r="130" spans="1:11" ht="19.5" thickBot="1">
      <c r="A130" s="198" t="s">
        <v>3</v>
      </c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</row>
    <row r="131" spans="1:11" ht="30.75" thickBot="1">
      <c r="A131" s="2" t="s">
        <v>4</v>
      </c>
      <c r="B131" s="3" t="s">
        <v>5</v>
      </c>
      <c r="C131" s="3" t="s">
        <v>6</v>
      </c>
      <c r="D131" s="3" t="s">
        <v>7</v>
      </c>
      <c r="E131" s="3" t="s">
        <v>8</v>
      </c>
      <c r="F131" s="3" t="s">
        <v>9</v>
      </c>
      <c r="G131" s="3" t="s">
        <v>10</v>
      </c>
      <c r="H131" s="3" t="s">
        <v>21</v>
      </c>
      <c r="I131" s="4" t="s">
        <v>22</v>
      </c>
      <c r="J131" s="4" t="s">
        <v>11</v>
      </c>
      <c r="K131" s="4" t="s">
        <v>12</v>
      </c>
    </row>
    <row r="132" spans="1:11">
      <c r="A132" s="5" t="s">
        <v>173</v>
      </c>
      <c r="B132" s="6">
        <v>44900</v>
      </c>
      <c r="C132" s="7">
        <v>1</v>
      </c>
      <c r="D132" s="5">
        <v>7.27</v>
      </c>
      <c r="E132" s="5">
        <v>0</v>
      </c>
      <c r="F132" s="5">
        <v>14.3</v>
      </c>
      <c r="G132" s="6">
        <v>44900</v>
      </c>
      <c r="H132" s="5"/>
      <c r="I132" s="5"/>
      <c r="J132" s="5">
        <f>F132-E132</f>
        <v>14.3</v>
      </c>
      <c r="K132" s="8" t="b">
        <f>E132=F121</f>
        <v>0</v>
      </c>
    </row>
    <row r="133" spans="1:11">
      <c r="A133" s="5" t="s">
        <v>173</v>
      </c>
      <c r="B133" s="6">
        <v>44924</v>
      </c>
      <c r="C133" s="7">
        <v>1</v>
      </c>
      <c r="D133" s="5">
        <v>7.27</v>
      </c>
      <c r="E133" s="5">
        <v>14.3</v>
      </c>
      <c r="F133" s="5">
        <v>28.7</v>
      </c>
      <c r="G133" s="6">
        <v>44924</v>
      </c>
      <c r="H133" s="5"/>
      <c r="I133" s="5"/>
      <c r="J133" s="5">
        <f>F133-E133</f>
        <v>14.399999999999999</v>
      </c>
      <c r="K133" s="8" t="b">
        <f>E133=F132</f>
        <v>1</v>
      </c>
    </row>
    <row r="134" spans="1:11">
      <c r="A134" s="5" t="s">
        <v>173</v>
      </c>
      <c r="B134" s="6">
        <v>44939</v>
      </c>
      <c r="C134" s="7">
        <v>1</v>
      </c>
      <c r="D134" s="5">
        <v>7.27</v>
      </c>
      <c r="E134" s="5">
        <v>28.7</v>
      </c>
      <c r="F134" s="5">
        <v>43.1</v>
      </c>
      <c r="G134" s="6">
        <v>44939</v>
      </c>
      <c r="H134" s="5"/>
      <c r="I134" s="5"/>
      <c r="J134" s="5">
        <f>F134-E134</f>
        <v>14.400000000000002</v>
      </c>
      <c r="K134" s="8" t="b">
        <f t="shared" ref="K134:K136" si="12">E134=F133</f>
        <v>1</v>
      </c>
    </row>
    <row r="135" spans="1:11">
      <c r="A135" s="5" t="s">
        <v>173</v>
      </c>
      <c r="B135" s="6">
        <v>44958</v>
      </c>
      <c r="C135" s="7">
        <v>0.7</v>
      </c>
      <c r="D135" s="5">
        <v>10.37</v>
      </c>
      <c r="E135" s="5">
        <v>43.1</v>
      </c>
      <c r="F135" s="5">
        <v>53.3</v>
      </c>
      <c r="G135" s="6">
        <v>44958</v>
      </c>
      <c r="H135" s="5"/>
      <c r="I135" s="5"/>
      <c r="J135" s="5">
        <f>F135-E135</f>
        <v>10.199999999999996</v>
      </c>
      <c r="K135" s="8" t="b">
        <f t="shared" si="12"/>
        <v>1</v>
      </c>
    </row>
    <row r="136" spans="1:11">
      <c r="A136" s="5" t="s">
        <v>173</v>
      </c>
      <c r="B136" s="6">
        <v>44963</v>
      </c>
      <c r="C136" s="7">
        <v>0.7</v>
      </c>
      <c r="D136" s="5">
        <v>10.37</v>
      </c>
      <c r="E136" s="5">
        <v>53.3</v>
      </c>
      <c r="F136" s="5">
        <v>74</v>
      </c>
      <c r="G136" s="6">
        <v>44963</v>
      </c>
      <c r="H136" s="5"/>
      <c r="I136" s="5"/>
      <c r="J136" s="5">
        <f>F136-E136</f>
        <v>20.700000000000003</v>
      </c>
      <c r="K136" s="8" t="b">
        <f t="shared" si="12"/>
        <v>1</v>
      </c>
    </row>
    <row r="137" spans="1:11">
      <c r="A137" s="5" t="s">
        <v>173</v>
      </c>
      <c r="B137" s="6">
        <v>44967</v>
      </c>
      <c r="C137" s="7">
        <v>0.7</v>
      </c>
      <c r="D137" s="5">
        <v>10.37</v>
      </c>
      <c r="E137" s="5">
        <v>74</v>
      </c>
      <c r="F137" s="5">
        <v>94.5</v>
      </c>
      <c r="G137" s="6">
        <v>44967</v>
      </c>
      <c r="H137" s="5"/>
      <c r="I137" s="5"/>
      <c r="J137" s="5">
        <f t="shared" ref="J137:J149" si="13">F137-E137</f>
        <v>20.5</v>
      </c>
      <c r="K137" s="8" t="b">
        <f t="shared" ref="K137:K149" si="14">E137=F136</f>
        <v>1</v>
      </c>
    </row>
    <row r="138" spans="1:11">
      <c r="A138" s="5" t="s">
        <v>173</v>
      </c>
      <c r="B138" s="6">
        <v>44971</v>
      </c>
      <c r="C138" s="7">
        <v>0.7</v>
      </c>
      <c r="D138" s="5">
        <v>10.37</v>
      </c>
      <c r="E138" s="5">
        <v>94.5</v>
      </c>
      <c r="F138" s="5">
        <v>114.9</v>
      </c>
      <c r="G138" s="6">
        <v>44971</v>
      </c>
      <c r="H138" s="5"/>
      <c r="I138" s="5"/>
      <c r="J138" s="5">
        <f t="shared" si="13"/>
        <v>20.400000000000006</v>
      </c>
      <c r="K138" s="8" t="b">
        <f t="shared" si="14"/>
        <v>1</v>
      </c>
    </row>
    <row r="139" spans="1:11">
      <c r="A139" s="5" t="s">
        <v>173</v>
      </c>
      <c r="B139" s="6">
        <v>44976</v>
      </c>
      <c r="C139" s="7">
        <v>0.6</v>
      </c>
      <c r="D139" s="5">
        <v>12.1</v>
      </c>
      <c r="E139" s="5">
        <v>114.9</v>
      </c>
      <c r="F139" s="5">
        <v>138.80000000000001</v>
      </c>
      <c r="G139" s="6">
        <v>44976</v>
      </c>
      <c r="H139" s="5"/>
      <c r="I139" s="5"/>
      <c r="J139" s="5">
        <f t="shared" si="13"/>
        <v>23.900000000000006</v>
      </c>
      <c r="K139" s="8" t="b">
        <f t="shared" si="14"/>
        <v>1</v>
      </c>
    </row>
    <row r="140" spans="1:11">
      <c r="A140" s="5" t="s">
        <v>173</v>
      </c>
      <c r="B140" s="6">
        <v>44980</v>
      </c>
      <c r="C140" s="7">
        <v>0.6</v>
      </c>
      <c r="D140" s="5">
        <v>12.1</v>
      </c>
      <c r="E140" s="5">
        <v>138.80000000000001</v>
      </c>
      <c r="F140" s="5">
        <v>155.80000000000001</v>
      </c>
      <c r="G140" s="6">
        <v>44980</v>
      </c>
      <c r="H140" s="5"/>
      <c r="I140" s="5"/>
      <c r="J140" s="5">
        <f t="shared" si="13"/>
        <v>17</v>
      </c>
      <c r="K140" s="8" t="b">
        <f t="shared" si="14"/>
        <v>1</v>
      </c>
    </row>
    <row r="141" spans="1:11">
      <c r="A141" s="5" t="s">
        <v>173</v>
      </c>
      <c r="B141" s="6">
        <v>44988</v>
      </c>
      <c r="C141" s="7">
        <v>0.6</v>
      </c>
      <c r="D141" s="5">
        <v>12.1</v>
      </c>
      <c r="E141" s="5">
        <v>155.80000000000001</v>
      </c>
      <c r="F141" s="5">
        <v>179.6</v>
      </c>
      <c r="G141" s="6">
        <v>44988</v>
      </c>
      <c r="H141" s="5"/>
      <c r="I141" s="5"/>
      <c r="J141" s="5">
        <f t="shared" si="13"/>
        <v>23.799999999999983</v>
      </c>
      <c r="K141" s="8" t="b">
        <f t="shared" si="14"/>
        <v>1</v>
      </c>
    </row>
    <row r="142" spans="1:11">
      <c r="A142" s="5" t="s">
        <v>173</v>
      </c>
      <c r="B142" s="6">
        <v>44992</v>
      </c>
      <c r="C142" s="7">
        <v>0.6</v>
      </c>
      <c r="D142" s="5">
        <v>12.1</v>
      </c>
      <c r="E142" s="5">
        <v>179.6</v>
      </c>
      <c r="F142" s="5">
        <v>193.3</v>
      </c>
      <c r="G142" s="6">
        <v>44992</v>
      </c>
      <c r="H142" s="5"/>
      <c r="I142" s="5"/>
      <c r="J142" s="5">
        <f t="shared" si="13"/>
        <v>13.700000000000017</v>
      </c>
      <c r="K142" s="8" t="b">
        <f t="shared" si="14"/>
        <v>1</v>
      </c>
    </row>
    <row r="143" spans="1:11">
      <c r="A143" s="5" t="s">
        <v>173</v>
      </c>
      <c r="B143" s="6">
        <v>44997</v>
      </c>
      <c r="C143" s="7">
        <v>0.7</v>
      </c>
      <c r="D143" s="5">
        <v>10.37</v>
      </c>
      <c r="E143" s="5">
        <v>193.3</v>
      </c>
      <c r="F143" s="5">
        <v>213.8</v>
      </c>
      <c r="G143" s="6">
        <v>44997</v>
      </c>
      <c r="H143" s="5"/>
      <c r="I143" s="5"/>
      <c r="J143" s="5">
        <f t="shared" si="13"/>
        <v>20.5</v>
      </c>
      <c r="K143" s="8" t="b">
        <f t="shared" si="14"/>
        <v>1</v>
      </c>
    </row>
    <row r="144" spans="1:11">
      <c r="A144" s="5" t="s">
        <v>173</v>
      </c>
      <c r="B144" s="6">
        <v>45000</v>
      </c>
      <c r="C144" s="7">
        <v>0.6</v>
      </c>
      <c r="D144" s="5">
        <v>12.1</v>
      </c>
      <c r="E144" s="5">
        <v>213.8</v>
      </c>
      <c r="F144" s="5">
        <v>222.7</v>
      </c>
      <c r="G144" s="6">
        <v>45000</v>
      </c>
      <c r="H144" s="5"/>
      <c r="I144" s="5"/>
      <c r="J144" s="5">
        <f t="shared" si="13"/>
        <v>8.8999999999999773</v>
      </c>
      <c r="K144" s="8" t="b">
        <f t="shared" si="14"/>
        <v>1</v>
      </c>
    </row>
    <row r="145" spans="1:11">
      <c r="A145" s="5" t="s">
        <v>173</v>
      </c>
      <c r="B145" s="6">
        <v>45006</v>
      </c>
      <c r="C145" s="7">
        <v>0.7</v>
      </c>
      <c r="D145" s="5">
        <v>10.37</v>
      </c>
      <c r="E145" s="5">
        <v>222.7</v>
      </c>
      <c r="F145" s="5">
        <v>243.2</v>
      </c>
      <c r="G145" s="6">
        <v>45006</v>
      </c>
      <c r="H145" s="5"/>
      <c r="I145" s="5"/>
      <c r="J145" s="5">
        <f t="shared" si="13"/>
        <v>20.5</v>
      </c>
      <c r="K145" s="8" t="b">
        <f t="shared" si="14"/>
        <v>1</v>
      </c>
    </row>
    <row r="146" spans="1:11">
      <c r="A146" s="5" t="s">
        <v>163</v>
      </c>
      <c r="B146" s="6"/>
      <c r="C146" s="7"/>
      <c r="D146" s="5"/>
      <c r="E146" s="5"/>
      <c r="F146" s="5"/>
      <c r="G146" s="6"/>
      <c r="H146" s="5"/>
      <c r="I146" s="5"/>
      <c r="J146" s="5">
        <f t="shared" si="13"/>
        <v>0</v>
      </c>
      <c r="K146" s="8" t="b">
        <f t="shared" si="14"/>
        <v>0</v>
      </c>
    </row>
    <row r="147" spans="1:11">
      <c r="A147" s="5" t="s">
        <v>163</v>
      </c>
      <c r="B147" s="6"/>
      <c r="C147" s="7"/>
      <c r="D147" s="5"/>
      <c r="E147" s="5"/>
      <c r="F147" s="5"/>
      <c r="G147" s="6"/>
      <c r="H147" s="5"/>
      <c r="I147" s="5"/>
      <c r="J147" s="5">
        <f t="shared" si="13"/>
        <v>0</v>
      </c>
      <c r="K147" s="8" t="b">
        <f t="shared" si="14"/>
        <v>1</v>
      </c>
    </row>
    <row r="148" spans="1:11">
      <c r="A148" s="5" t="s">
        <v>163</v>
      </c>
      <c r="B148" s="6"/>
      <c r="C148" s="7"/>
      <c r="D148" s="5"/>
      <c r="E148" s="5"/>
      <c r="F148" s="5"/>
      <c r="G148" s="6"/>
      <c r="H148" s="5"/>
      <c r="I148" s="5"/>
      <c r="J148" s="5">
        <f t="shared" si="13"/>
        <v>0</v>
      </c>
      <c r="K148" s="8" t="b">
        <f t="shared" si="14"/>
        <v>1</v>
      </c>
    </row>
    <row r="149" spans="1:11">
      <c r="A149" s="5" t="s">
        <v>163</v>
      </c>
      <c r="B149" s="6"/>
      <c r="C149" s="7"/>
      <c r="D149" s="5"/>
      <c r="E149" s="5"/>
      <c r="F149" s="5"/>
      <c r="G149" s="6"/>
      <c r="H149" s="5"/>
      <c r="I149" s="5"/>
      <c r="J149" s="5">
        <f t="shared" si="13"/>
        <v>0</v>
      </c>
      <c r="K149" s="8" t="b">
        <f t="shared" si="14"/>
        <v>1</v>
      </c>
    </row>
    <row r="150" spans="1:11" ht="26.25">
      <c r="A150" s="135" t="s">
        <v>159</v>
      </c>
      <c r="B150" s="136"/>
      <c r="C150" s="136"/>
      <c r="D150" s="136"/>
      <c r="E150" s="136"/>
      <c r="F150" s="136"/>
      <c r="G150" s="136"/>
      <c r="H150" s="136"/>
      <c r="I150" s="136"/>
      <c r="J150" s="136"/>
      <c r="K150" s="137"/>
    </row>
    <row r="151" spans="1:11" ht="26.25">
      <c r="A151" s="138" t="s">
        <v>176</v>
      </c>
      <c r="B151" s="139"/>
      <c r="C151" s="139"/>
      <c r="D151" s="139"/>
      <c r="E151" s="139"/>
      <c r="F151" s="139"/>
      <c r="G151" s="139"/>
      <c r="H151" s="139"/>
      <c r="I151" s="139"/>
      <c r="J151" s="139"/>
      <c r="K151" s="140"/>
    </row>
    <row r="152" spans="1:11" ht="15.75" thickBot="1"/>
    <row r="153" spans="1:11" ht="15.75" thickBot="1">
      <c r="A153" s="29" t="s">
        <v>2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1"/>
    </row>
    <row r="155" spans="1:11" ht="19.5" thickBot="1">
      <c r="A155" s="198" t="s">
        <v>3</v>
      </c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</row>
    <row r="156" spans="1:11" ht="30.75" thickBot="1">
      <c r="A156" s="2" t="s">
        <v>4</v>
      </c>
      <c r="B156" s="3" t="s">
        <v>5</v>
      </c>
      <c r="C156" s="3" t="s">
        <v>6</v>
      </c>
      <c r="D156" s="3" t="s">
        <v>7</v>
      </c>
      <c r="E156" s="3" t="s">
        <v>8</v>
      </c>
      <c r="F156" s="3" t="s">
        <v>9</v>
      </c>
      <c r="G156" s="3" t="s">
        <v>10</v>
      </c>
      <c r="H156" s="3" t="s">
        <v>21</v>
      </c>
      <c r="I156" s="4" t="s">
        <v>22</v>
      </c>
      <c r="J156" s="4" t="s">
        <v>11</v>
      </c>
      <c r="K156" s="4" t="s">
        <v>12</v>
      </c>
    </row>
    <row r="157" spans="1:11">
      <c r="A157" s="5" t="s">
        <v>173</v>
      </c>
      <c r="B157" s="6">
        <v>45055</v>
      </c>
      <c r="C157" s="7">
        <v>0.5</v>
      </c>
      <c r="D157" s="5">
        <v>14.52</v>
      </c>
      <c r="E157" s="5">
        <v>243.2</v>
      </c>
      <c r="F157" s="5">
        <v>259.3</v>
      </c>
      <c r="G157" s="6">
        <v>45055</v>
      </c>
      <c r="H157" s="5"/>
      <c r="I157" s="5"/>
      <c r="J157" s="5">
        <f t="shared" ref="J157:J158" si="15">F157-E157</f>
        <v>16.100000000000023</v>
      </c>
      <c r="K157" s="8" t="b">
        <f t="shared" ref="K157:K193" si="16">E157=F156</f>
        <v>0</v>
      </c>
    </row>
    <row r="158" spans="1:11">
      <c r="A158" s="5" t="s">
        <v>173</v>
      </c>
      <c r="B158" s="6">
        <v>45057</v>
      </c>
      <c r="C158" s="7">
        <v>0.8</v>
      </c>
      <c r="D158" s="5">
        <v>9.08</v>
      </c>
      <c r="E158" s="5">
        <v>259.3</v>
      </c>
      <c r="F158" s="5">
        <v>268.5</v>
      </c>
      <c r="G158" s="6">
        <v>45057</v>
      </c>
      <c r="H158" s="5"/>
      <c r="I158" s="5"/>
      <c r="J158" s="5">
        <f t="shared" si="15"/>
        <v>9.1999999999999886</v>
      </c>
      <c r="K158" s="8" t="b">
        <f t="shared" si="16"/>
        <v>1</v>
      </c>
    </row>
    <row r="159" spans="1:11">
      <c r="A159" s="5" t="s">
        <v>173</v>
      </c>
      <c r="B159" s="6">
        <v>45063</v>
      </c>
      <c r="C159" s="7">
        <v>0.8</v>
      </c>
      <c r="D159" s="5">
        <v>9.08</v>
      </c>
      <c r="E159" s="5">
        <v>268.5</v>
      </c>
      <c r="F159" s="5">
        <v>280</v>
      </c>
      <c r="G159" s="6">
        <v>45063</v>
      </c>
      <c r="H159" s="5"/>
      <c r="I159" s="5"/>
      <c r="J159" s="5">
        <f t="shared" ref="J159:J175" si="17">F159-E159</f>
        <v>11.5</v>
      </c>
      <c r="K159" s="8" t="b">
        <f t="shared" si="16"/>
        <v>1</v>
      </c>
    </row>
    <row r="160" spans="1:11">
      <c r="A160" s="5" t="s">
        <v>173</v>
      </c>
      <c r="B160" s="6">
        <v>45064</v>
      </c>
      <c r="C160" s="7">
        <v>0.8</v>
      </c>
      <c r="D160" s="5">
        <v>9.08</v>
      </c>
      <c r="E160" s="5">
        <v>280</v>
      </c>
      <c r="F160" s="5">
        <v>289.10000000000002</v>
      </c>
      <c r="G160" s="6">
        <v>45064</v>
      </c>
      <c r="H160" s="5"/>
      <c r="I160" s="5"/>
      <c r="J160" s="5">
        <f t="shared" si="17"/>
        <v>9.1000000000000227</v>
      </c>
      <c r="K160" s="8" t="b">
        <f t="shared" si="16"/>
        <v>1</v>
      </c>
    </row>
    <row r="161" spans="1:11">
      <c r="A161" s="5" t="s">
        <v>173</v>
      </c>
      <c r="B161" s="6">
        <v>45066</v>
      </c>
      <c r="C161" s="7">
        <v>0.5</v>
      </c>
      <c r="D161" s="5">
        <v>14.52</v>
      </c>
      <c r="E161" s="5">
        <v>289.10000000000002</v>
      </c>
      <c r="F161" s="5">
        <v>303.60000000000002</v>
      </c>
      <c r="G161" s="6">
        <v>45066</v>
      </c>
      <c r="H161" s="5"/>
      <c r="I161" s="5"/>
      <c r="J161" s="5">
        <f t="shared" si="17"/>
        <v>14.5</v>
      </c>
      <c r="K161" s="8" t="b">
        <f t="shared" si="16"/>
        <v>1</v>
      </c>
    </row>
    <row r="162" spans="1:11">
      <c r="A162" s="5" t="s">
        <v>173</v>
      </c>
      <c r="B162" s="6">
        <v>45086</v>
      </c>
      <c r="C162" s="7">
        <v>0.5</v>
      </c>
      <c r="D162" s="5">
        <v>14.52</v>
      </c>
      <c r="E162" s="5">
        <v>0.1</v>
      </c>
      <c r="F162" s="5">
        <v>15</v>
      </c>
      <c r="G162" s="6">
        <v>45086</v>
      </c>
      <c r="H162" s="5"/>
      <c r="I162" s="5"/>
      <c r="J162" s="5">
        <f t="shared" si="17"/>
        <v>14.9</v>
      </c>
      <c r="K162" s="8" t="b">
        <f t="shared" si="16"/>
        <v>0</v>
      </c>
    </row>
    <row r="163" spans="1:11">
      <c r="A163" s="5" t="s">
        <v>173</v>
      </c>
      <c r="B163" s="6">
        <v>45087</v>
      </c>
      <c r="C163" s="7">
        <v>0.5</v>
      </c>
      <c r="D163" s="5">
        <v>14.52</v>
      </c>
      <c r="E163" s="5">
        <v>15</v>
      </c>
      <c r="F163" s="5">
        <v>31.2</v>
      </c>
      <c r="G163" s="6">
        <v>45087</v>
      </c>
      <c r="H163" s="5"/>
      <c r="I163" s="5"/>
      <c r="J163" s="5">
        <f t="shared" si="17"/>
        <v>16.2</v>
      </c>
      <c r="K163" s="8" t="b">
        <f t="shared" si="16"/>
        <v>1</v>
      </c>
    </row>
    <row r="164" spans="1:11">
      <c r="A164" s="5" t="s">
        <v>173</v>
      </c>
      <c r="B164" s="6">
        <v>45101</v>
      </c>
      <c r="C164" s="7">
        <v>0.4</v>
      </c>
      <c r="D164" s="5">
        <v>17.8</v>
      </c>
      <c r="E164" s="5">
        <v>31.2</v>
      </c>
      <c r="F164" s="5">
        <v>67.8</v>
      </c>
      <c r="G164" s="6">
        <v>45101</v>
      </c>
      <c r="H164" s="5"/>
      <c r="I164" s="5"/>
      <c r="J164" s="5">
        <f t="shared" si="17"/>
        <v>36.599999999999994</v>
      </c>
      <c r="K164" s="8" t="b">
        <f t="shared" si="16"/>
        <v>1</v>
      </c>
    </row>
    <row r="165" spans="1:11">
      <c r="A165" s="5" t="s">
        <v>173</v>
      </c>
      <c r="B165" s="6">
        <v>45104</v>
      </c>
      <c r="C165" s="7">
        <v>0.7</v>
      </c>
      <c r="D165" s="5">
        <v>10.37</v>
      </c>
      <c r="E165" s="5">
        <v>67.8</v>
      </c>
      <c r="F165" s="5">
        <v>78.2</v>
      </c>
      <c r="G165" s="6">
        <v>45104</v>
      </c>
      <c r="H165" s="5"/>
      <c r="I165" s="5"/>
      <c r="J165" s="5">
        <f t="shared" si="17"/>
        <v>10.400000000000006</v>
      </c>
      <c r="K165" s="8" t="b">
        <f t="shared" si="16"/>
        <v>1</v>
      </c>
    </row>
    <row r="166" spans="1:11">
      <c r="A166" s="5" t="s">
        <v>173</v>
      </c>
      <c r="B166" s="6">
        <v>45106</v>
      </c>
      <c r="C166" s="7">
        <v>0.6</v>
      </c>
      <c r="D166" s="5">
        <v>12.1</v>
      </c>
      <c r="E166" s="5">
        <v>78.2</v>
      </c>
      <c r="F166" s="5">
        <v>90.5</v>
      </c>
      <c r="G166" s="6">
        <v>45106</v>
      </c>
      <c r="H166" s="5"/>
      <c r="I166" s="5"/>
      <c r="J166" s="5">
        <f t="shared" si="17"/>
        <v>12.299999999999997</v>
      </c>
      <c r="K166" s="8" t="b">
        <f t="shared" si="16"/>
        <v>1</v>
      </c>
    </row>
    <row r="167" spans="1:11">
      <c r="A167" s="5" t="s">
        <v>173</v>
      </c>
      <c r="B167" s="6">
        <v>45107</v>
      </c>
      <c r="C167" s="7">
        <v>0.6</v>
      </c>
      <c r="D167" s="5">
        <v>12.1</v>
      </c>
      <c r="E167" s="5">
        <v>90.5</v>
      </c>
      <c r="F167" s="5">
        <v>107.5</v>
      </c>
      <c r="G167" s="6">
        <v>45107</v>
      </c>
      <c r="H167" s="5"/>
      <c r="I167" s="5"/>
      <c r="J167" s="5">
        <f t="shared" si="17"/>
        <v>17</v>
      </c>
      <c r="K167" s="8" t="b">
        <f t="shared" si="16"/>
        <v>1</v>
      </c>
    </row>
    <row r="168" spans="1:11">
      <c r="A168" s="5" t="s">
        <v>173</v>
      </c>
      <c r="B168" s="6">
        <v>45108</v>
      </c>
      <c r="C168" s="7">
        <v>0.6</v>
      </c>
      <c r="D168" s="5">
        <v>12.11</v>
      </c>
      <c r="E168" s="5">
        <v>107.5</v>
      </c>
      <c r="F168" s="5">
        <v>122.5</v>
      </c>
      <c r="G168" s="6">
        <v>45108</v>
      </c>
      <c r="H168" s="5"/>
      <c r="I168" s="5"/>
      <c r="J168" s="5">
        <f t="shared" si="17"/>
        <v>15</v>
      </c>
      <c r="K168" s="8" t="b">
        <f t="shared" si="16"/>
        <v>1</v>
      </c>
    </row>
    <row r="169" spans="1:11">
      <c r="A169" s="5" t="s">
        <v>173</v>
      </c>
      <c r="B169" s="6">
        <v>45109</v>
      </c>
      <c r="C169" s="7">
        <v>0.6</v>
      </c>
      <c r="D169" s="5">
        <v>12.11</v>
      </c>
      <c r="E169" s="5">
        <v>122.5</v>
      </c>
      <c r="F169" s="5">
        <v>137</v>
      </c>
      <c r="G169" s="6">
        <v>45109</v>
      </c>
      <c r="H169" s="5"/>
      <c r="I169" s="5"/>
      <c r="J169" s="5">
        <f t="shared" si="17"/>
        <v>14.5</v>
      </c>
      <c r="K169" s="8" t="b">
        <f t="shared" si="16"/>
        <v>1</v>
      </c>
    </row>
    <row r="170" spans="1:11">
      <c r="A170" s="5" t="s">
        <v>173</v>
      </c>
      <c r="B170" s="6">
        <v>45110</v>
      </c>
      <c r="C170" s="7">
        <v>0.6</v>
      </c>
      <c r="D170" s="5">
        <v>12.11</v>
      </c>
      <c r="E170" s="5">
        <v>137</v>
      </c>
      <c r="F170" s="5">
        <v>151.69999999999999</v>
      </c>
      <c r="G170" s="6">
        <v>45110</v>
      </c>
      <c r="H170" s="5"/>
      <c r="I170" s="5"/>
      <c r="J170" s="5">
        <f t="shared" si="17"/>
        <v>14.699999999999989</v>
      </c>
      <c r="K170" s="8" t="b">
        <f t="shared" si="16"/>
        <v>1</v>
      </c>
    </row>
    <row r="171" spans="1:11">
      <c r="A171" s="5" t="s">
        <v>173</v>
      </c>
      <c r="B171" s="6">
        <v>45111</v>
      </c>
      <c r="C171" s="7">
        <v>1</v>
      </c>
      <c r="D171" s="5">
        <v>6.18</v>
      </c>
      <c r="E171" s="5">
        <v>151.69999999999999</v>
      </c>
      <c r="F171" s="5">
        <v>166.1</v>
      </c>
      <c r="G171" s="6">
        <v>45111</v>
      </c>
      <c r="H171" s="5"/>
      <c r="I171" s="5"/>
      <c r="J171" s="5">
        <f t="shared" si="17"/>
        <v>14.400000000000006</v>
      </c>
      <c r="K171" s="8" t="b">
        <f t="shared" si="16"/>
        <v>1</v>
      </c>
    </row>
    <row r="172" spans="1:11">
      <c r="A172" s="5" t="s">
        <v>173</v>
      </c>
      <c r="B172" s="6">
        <v>45112</v>
      </c>
      <c r="C172" s="7">
        <v>1</v>
      </c>
      <c r="D172" s="5">
        <v>6.18</v>
      </c>
      <c r="E172" s="5">
        <v>166.1</v>
      </c>
      <c r="F172" s="5">
        <v>172.7</v>
      </c>
      <c r="G172" s="6">
        <v>45112</v>
      </c>
      <c r="H172" s="5"/>
      <c r="I172" s="5"/>
      <c r="J172" s="5">
        <f t="shared" si="17"/>
        <v>6.5999999999999943</v>
      </c>
      <c r="K172" s="8" t="b">
        <f t="shared" si="16"/>
        <v>1</v>
      </c>
    </row>
    <row r="173" spans="1:11">
      <c r="A173" s="5" t="s">
        <v>173</v>
      </c>
      <c r="B173" s="6">
        <v>45113</v>
      </c>
      <c r="C173" s="7">
        <v>1</v>
      </c>
      <c r="D173" s="5">
        <v>6.18</v>
      </c>
      <c r="E173" s="5">
        <v>172.7</v>
      </c>
      <c r="F173" s="5">
        <v>179.2</v>
      </c>
      <c r="G173" s="6">
        <v>45113</v>
      </c>
      <c r="H173" s="5"/>
      <c r="I173" s="5"/>
      <c r="J173" s="5">
        <f t="shared" si="17"/>
        <v>6.5</v>
      </c>
      <c r="K173" s="8" t="b">
        <f t="shared" si="16"/>
        <v>1</v>
      </c>
    </row>
    <row r="174" spans="1:11">
      <c r="A174" s="5" t="s">
        <v>173</v>
      </c>
      <c r="B174" s="6">
        <v>45114</v>
      </c>
      <c r="C174" s="7">
        <v>1</v>
      </c>
      <c r="D174" s="5">
        <v>6.18</v>
      </c>
      <c r="E174" s="5">
        <v>179.2</v>
      </c>
      <c r="F174" s="5">
        <v>185.2</v>
      </c>
      <c r="G174" s="6">
        <v>45114</v>
      </c>
      <c r="H174" s="5"/>
      <c r="I174" s="5"/>
      <c r="J174" s="5">
        <f t="shared" si="17"/>
        <v>6</v>
      </c>
      <c r="K174" s="8" t="b">
        <f t="shared" si="16"/>
        <v>1</v>
      </c>
    </row>
    <row r="175" spans="1:11">
      <c r="A175" s="5" t="s">
        <v>173</v>
      </c>
      <c r="B175" s="6">
        <v>45116</v>
      </c>
      <c r="C175" s="7">
        <v>1</v>
      </c>
      <c r="D175" s="5">
        <v>6.18</v>
      </c>
      <c r="E175" s="5">
        <v>185.2</v>
      </c>
      <c r="F175" s="5">
        <v>200.5</v>
      </c>
      <c r="G175" s="6">
        <v>45116</v>
      </c>
      <c r="H175" s="5"/>
      <c r="I175" s="5"/>
      <c r="J175" s="5">
        <f t="shared" si="17"/>
        <v>15.300000000000011</v>
      </c>
      <c r="K175" s="8" t="b">
        <f t="shared" si="16"/>
        <v>1</v>
      </c>
    </row>
    <row r="176" spans="1:11">
      <c r="A176" s="5" t="s">
        <v>173</v>
      </c>
      <c r="B176" s="6">
        <v>45117</v>
      </c>
      <c r="C176" s="7">
        <v>1</v>
      </c>
      <c r="D176" s="5">
        <v>6.18</v>
      </c>
      <c r="E176" s="5">
        <v>200.5</v>
      </c>
      <c r="F176" s="5">
        <v>214.6</v>
      </c>
      <c r="G176" s="6">
        <v>45117</v>
      </c>
      <c r="H176" s="5"/>
      <c r="I176" s="5"/>
      <c r="J176" s="5">
        <f t="shared" ref="J176:J185" si="18">F176-E176</f>
        <v>14.099999999999994</v>
      </c>
      <c r="K176" s="8" t="b">
        <f t="shared" si="16"/>
        <v>1</v>
      </c>
    </row>
    <row r="177" spans="1:11">
      <c r="A177" s="5" t="s">
        <v>177</v>
      </c>
      <c r="B177" s="6">
        <v>45119</v>
      </c>
      <c r="C177" s="7">
        <v>1</v>
      </c>
      <c r="D177" s="5">
        <v>6.18</v>
      </c>
      <c r="E177" s="5">
        <v>214.6</v>
      </c>
      <c r="F177" s="5">
        <v>229</v>
      </c>
      <c r="G177" s="6">
        <v>45119</v>
      </c>
      <c r="H177" s="5"/>
      <c r="I177" s="5"/>
      <c r="J177" s="5">
        <f t="shared" si="18"/>
        <v>14.400000000000006</v>
      </c>
      <c r="K177" s="8" t="b">
        <f t="shared" si="16"/>
        <v>1</v>
      </c>
    </row>
    <row r="178" spans="1:11">
      <c r="A178" s="5" t="s">
        <v>177</v>
      </c>
      <c r="B178" s="6">
        <v>45120</v>
      </c>
      <c r="C178" s="7">
        <v>1</v>
      </c>
      <c r="D178" s="5">
        <v>6.18</v>
      </c>
      <c r="E178" s="5">
        <v>229</v>
      </c>
      <c r="F178" s="5">
        <v>243.4</v>
      </c>
      <c r="G178" s="6">
        <v>45119</v>
      </c>
      <c r="H178" s="5"/>
      <c r="I178" s="5"/>
      <c r="J178" s="5">
        <f t="shared" si="18"/>
        <v>14.400000000000006</v>
      </c>
      <c r="K178" s="8" t="b">
        <f t="shared" si="16"/>
        <v>1</v>
      </c>
    </row>
    <row r="179" spans="1:11">
      <c r="A179" s="5" t="s">
        <v>177</v>
      </c>
      <c r="B179" s="6">
        <v>45121</v>
      </c>
      <c r="C179" s="7">
        <v>1</v>
      </c>
      <c r="D179" s="5">
        <v>6.18</v>
      </c>
      <c r="E179" s="5">
        <v>243.4</v>
      </c>
      <c r="F179" s="5">
        <v>257.8</v>
      </c>
      <c r="G179" s="6">
        <v>45121</v>
      </c>
      <c r="H179" s="5"/>
      <c r="I179" s="5"/>
      <c r="J179" s="5">
        <f t="shared" si="18"/>
        <v>14.400000000000006</v>
      </c>
      <c r="K179" s="8" t="b">
        <f t="shared" si="16"/>
        <v>1</v>
      </c>
    </row>
    <row r="180" spans="1:11">
      <c r="A180" s="5" t="s">
        <v>177</v>
      </c>
      <c r="B180" s="6">
        <v>45122</v>
      </c>
      <c r="C180" s="7">
        <v>1</v>
      </c>
      <c r="D180" s="5">
        <v>6.18</v>
      </c>
      <c r="E180" s="5">
        <v>257.8</v>
      </c>
      <c r="F180" s="5">
        <v>272.3</v>
      </c>
      <c r="G180" s="6">
        <v>45122</v>
      </c>
      <c r="H180" s="5"/>
      <c r="I180" s="5"/>
      <c r="J180" s="5">
        <f t="shared" si="18"/>
        <v>14.5</v>
      </c>
      <c r="K180" s="8" t="b">
        <f t="shared" si="16"/>
        <v>1</v>
      </c>
    </row>
    <row r="181" spans="1:11">
      <c r="A181" s="5" t="s">
        <v>177</v>
      </c>
      <c r="B181" s="6">
        <v>45123</v>
      </c>
      <c r="C181" s="7">
        <v>1</v>
      </c>
      <c r="D181" s="5">
        <v>6.18</v>
      </c>
      <c r="E181" s="5">
        <v>272.3</v>
      </c>
      <c r="F181" s="5">
        <v>286.7</v>
      </c>
      <c r="G181" s="6">
        <v>45123</v>
      </c>
      <c r="H181" s="5"/>
      <c r="I181" s="5"/>
      <c r="J181" s="5">
        <f t="shared" si="18"/>
        <v>14.399999999999977</v>
      </c>
      <c r="K181" s="8" t="b">
        <f t="shared" si="16"/>
        <v>1</v>
      </c>
    </row>
    <row r="182" spans="1:11">
      <c r="A182" s="5" t="s">
        <v>177</v>
      </c>
      <c r="B182" s="6">
        <v>45124</v>
      </c>
      <c r="C182" s="7">
        <v>1</v>
      </c>
      <c r="D182" s="5">
        <v>6.18</v>
      </c>
      <c r="E182" s="5">
        <v>286.7</v>
      </c>
      <c r="F182" s="5">
        <v>302.3</v>
      </c>
      <c r="G182" s="6">
        <v>45124</v>
      </c>
      <c r="H182" s="5"/>
      <c r="I182" s="5"/>
      <c r="J182" s="5">
        <f t="shared" si="18"/>
        <v>15.600000000000023</v>
      </c>
      <c r="K182" s="8" t="b">
        <f t="shared" si="16"/>
        <v>1</v>
      </c>
    </row>
    <row r="183" spans="1:11">
      <c r="A183" s="5" t="s">
        <v>177</v>
      </c>
      <c r="B183" s="6">
        <v>45126</v>
      </c>
      <c r="C183" s="7">
        <v>1</v>
      </c>
      <c r="D183" s="5">
        <v>6.18</v>
      </c>
      <c r="E183" s="5">
        <v>302.3</v>
      </c>
      <c r="F183" s="5">
        <v>315.8</v>
      </c>
      <c r="G183" s="6">
        <v>45126</v>
      </c>
      <c r="H183" s="5"/>
      <c r="I183" s="5"/>
      <c r="J183" s="5">
        <f t="shared" si="18"/>
        <v>13.5</v>
      </c>
      <c r="K183" s="8" t="b">
        <f t="shared" si="16"/>
        <v>1</v>
      </c>
    </row>
    <row r="184" spans="1:11">
      <c r="A184" s="5" t="s">
        <v>177</v>
      </c>
      <c r="B184" s="6">
        <v>45129</v>
      </c>
      <c r="C184" s="7">
        <v>1</v>
      </c>
      <c r="D184" s="5">
        <v>6.18</v>
      </c>
      <c r="E184" s="5">
        <v>315.8</v>
      </c>
      <c r="F184" s="5">
        <v>330.4</v>
      </c>
      <c r="G184" s="6">
        <v>45129</v>
      </c>
      <c r="H184" s="5"/>
      <c r="I184" s="5"/>
      <c r="J184" s="5">
        <f t="shared" si="18"/>
        <v>14.599999999999966</v>
      </c>
      <c r="K184" s="8" t="b">
        <f t="shared" si="16"/>
        <v>1</v>
      </c>
    </row>
    <row r="185" spans="1:11">
      <c r="A185" s="5" t="s">
        <v>177</v>
      </c>
      <c r="B185" s="6">
        <v>45132</v>
      </c>
      <c r="C185" s="7">
        <v>1</v>
      </c>
      <c r="D185" s="5">
        <v>6.18</v>
      </c>
      <c r="E185" s="5">
        <v>330.4</v>
      </c>
      <c r="F185" s="5">
        <v>344.9</v>
      </c>
      <c r="G185" s="6">
        <v>45132</v>
      </c>
      <c r="H185" s="5"/>
      <c r="I185" s="5"/>
      <c r="J185" s="5">
        <f t="shared" si="18"/>
        <v>14.5</v>
      </c>
      <c r="K185" s="8" t="b">
        <f t="shared" si="16"/>
        <v>1</v>
      </c>
    </row>
    <row r="186" spans="1:11">
      <c r="A186" s="5" t="s">
        <v>177</v>
      </c>
      <c r="B186" s="6">
        <v>45135</v>
      </c>
      <c r="C186" s="7">
        <v>1</v>
      </c>
      <c r="D186" s="5">
        <v>6.18</v>
      </c>
      <c r="E186" s="5">
        <v>344.9</v>
      </c>
      <c r="F186" s="5">
        <v>359.5</v>
      </c>
      <c r="G186" s="6">
        <v>45135</v>
      </c>
      <c r="H186" s="5"/>
      <c r="I186" s="5"/>
      <c r="J186" s="5">
        <f t="shared" ref="J186:J193" si="19">F186-E186</f>
        <v>14.600000000000023</v>
      </c>
      <c r="K186" s="8" t="b">
        <f t="shared" si="16"/>
        <v>1</v>
      </c>
    </row>
    <row r="187" spans="1:11">
      <c r="A187" s="5" t="s">
        <v>177</v>
      </c>
      <c r="B187" s="6">
        <v>45138</v>
      </c>
      <c r="C187" s="7">
        <v>1</v>
      </c>
      <c r="D187" s="5">
        <v>6.18</v>
      </c>
      <c r="E187" s="5">
        <v>359.5</v>
      </c>
      <c r="F187" s="5">
        <v>374</v>
      </c>
      <c r="G187" s="6">
        <v>45138</v>
      </c>
      <c r="H187" s="5"/>
      <c r="I187" s="5"/>
      <c r="J187" s="5">
        <f t="shared" si="19"/>
        <v>14.5</v>
      </c>
      <c r="K187" s="8" t="b">
        <f t="shared" si="16"/>
        <v>1</v>
      </c>
    </row>
    <row r="188" spans="1:11">
      <c r="A188" s="5" t="s">
        <v>177</v>
      </c>
      <c r="B188" s="6">
        <v>45140</v>
      </c>
      <c r="C188" s="7">
        <v>1</v>
      </c>
      <c r="D188" s="5">
        <v>6.18</v>
      </c>
      <c r="E188" s="5">
        <v>374</v>
      </c>
      <c r="F188" s="5">
        <v>388.6</v>
      </c>
      <c r="G188" s="6">
        <v>45139</v>
      </c>
      <c r="H188" s="5"/>
      <c r="I188" s="5"/>
      <c r="J188" s="5">
        <f t="shared" si="19"/>
        <v>14.600000000000023</v>
      </c>
      <c r="K188" s="8" t="b">
        <f t="shared" si="16"/>
        <v>1</v>
      </c>
    </row>
    <row r="189" spans="1:11">
      <c r="A189" s="5" t="s">
        <v>177</v>
      </c>
      <c r="B189" s="6">
        <v>45142</v>
      </c>
      <c r="C189" s="7">
        <v>0.85</v>
      </c>
      <c r="D189" s="5">
        <v>9.08</v>
      </c>
      <c r="E189" s="5">
        <v>388.6</v>
      </c>
      <c r="F189" s="5">
        <v>405.8</v>
      </c>
      <c r="G189" s="6">
        <v>45142</v>
      </c>
      <c r="H189" s="5"/>
      <c r="I189" s="5"/>
      <c r="J189" s="5">
        <f t="shared" si="19"/>
        <v>17.199999999999989</v>
      </c>
      <c r="K189" s="8" t="b">
        <f t="shared" si="16"/>
        <v>1</v>
      </c>
    </row>
    <row r="190" spans="1:11">
      <c r="A190" s="5" t="s">
        <v>177</v>
      </c>
      <c r="B190" s="6">
        <v>45144</v>
      </c>
      <c r="C190" s="7">
        <v>0.7</v>
      </c>
      <c r="D190" s="5">
        <v>10.37</v>
      </c>
      <c r="E190" s="5">
        <v>405.8</v>
      </c>
      <c r="F190" s="5">
        <v>426.1</v>
      </c>
      <c r="G190" s="6">
        <v>45144</v>
      </c>
      <c r="H190" s="5"/>
      <c r="I190" s="5"/>
      <c r="J190" s="5">
        <f t="shared" si="19"/>
        <v>20.300000000000011</v>
      </c>
      <c r="K190" s="8" t="b">
        <f t="shared" si="16"/>
        <v>1</v>
      </c>
    </row>
    <row r="191" spans="1:11">
      <c r="A191" s="5" t="s">
        <v>177</v>
      </c>
      <c r="B191" s="6">
        <v>45146</v>
      </c>
      <c r="C191" s="7">
        <v>0.6</v>
      </c>
      <c r="D191" s="5">
        <v>12.11</v>
      </c>
      <c r="E191" s="5">
        <v>426.1</v>
      </c>
      <c r="F191" s="5">
        <v>450.1</v>
      </c>
      <c r="G191" s="6">
        <v>45146</v>
      </c>
      <c r="H191" s="5"/>
      <c r="I191" s="5"/>
      <c r="J191" s="5">
        <f t="shared" si="19"/>
        <v>24</v>
      </c>
      <c r="K191" s="8" t="b">
        <f t="shared" si="16"/>
        <v>1</v>
      </c>
    </row>
    <row r="192" spans="1:11">
      <c r="A192" s="5" t="s">
        <v>177</v>
      </c>
      <c r="B192" s="6">
        <v>45147</v>
      </c>
      <c r="C192" s="7">
        <v>0.75</v>
      </c>
      <c r="D192" s="5">
        <v>6.81</v>
      </c>
      <c r="E192" s="5">
        <v>450.1</v>
      </c>
      <c r="F192" s="5">
        <v>469.7</v>
      </c>
      <c r="G192" s="6">
        <v>45147</v>
      </c>
      <c r="H192" s="5"/>
      <c r="I192" s="5"/>
      <c r="J192" s="5">
        <f t="shared" si="19"/>
        <v>19.599999999999966</v>
      </c>
      <c r="K192" s="8" t="b">
        <f t="shared" si="16"/>
        <v>1</v>
      </c>
    </row>
    <row r="193" spans="1:11">
      <c r="A193" s="5" t="s">
        <v>177</v>
      </c>
      <c r="B193" s="6">
        <v>45148</v>
      </c>
      <c r="C193" s="7">
        <v>0.75</v>
      </c>
      <c r="D193" s="5">
        <v>6.81</v>
      </c>
      <c r="E193" s="5">
        <v>469.7</v>
      </c>
      <c r="F193" s="5">
        <v>489</v>
      </c>
      <c r="G193" s="6">
        <v>45148</v>
      </c>
      <c r="H193" s="5"/>
      <c r="I193" s="5"/>
      <c r="J193" s="5">
        <f t="shared" si="19"/>
        <v>19.300000000000011</v>
      </c>
      <c r="K193" s="8" t="b">
        <f t="shared" si="16"/>
        <v>1</v>
      </c>
    </row>
    <row r="194" spans="1:11">
      <c r="A194" s="5" t="s">
        <v>168</v>
      </c>
      <c r="B194" s="6">
        <v>45149</v>
      </c>
      <c r="C194" s="7">
        <v>1</v>
      </c>
      <c r="D194" s="5">
        <v>6.18</v>
      </c>
      <c r="E194" s="5">
        <v>489</v>
      </c>
      <c r="F194" s="5">
        <v>496.2</v>
      </c>
      <c r="G194" s="6">
        <v>45149</v>
      </c>
      <c r="H194" s="5"/>
      <c r="I194" s="5"/>
      <c r="J194" s="5">
        <f t="shared" ref="J194:J202" si="20">F194-E194</f>
        <v>7.1999999999999886</v>
      </c>
      <c r="K194" s="8" t="b">
        <f t="shared" ref="K194:K202" si="21">E194=F193</f>
        <v>1</v>
      </c>
    </row>
    <row r="195" spans="1:11">
      <c r="A195" s="5" t="s">
        <v>177</v>
      </c>
      <c r="B195" s="6">
        <v>45150</v>
      </c>
      <c r="C195" s="7">
        <v>0.65</v>
      </c>
      <c r="D195" s="5">
        <v>9.51</v>
      </c>
      <c r="E195" s="5">
        <v>496.2</v>
      </c>
      <c r="F195" s="5">
        <v>518.4</v>
      </c>
      <c r="G195" s="6">
        <v>45150</v>
      </c>
      <c r="H195" s="5"/>
      <c r="I195" s="5"/>
      <c r="J195" s="5">
        <f t="shared" si="20"/>
        <v>22.199999999999989</v>
      </c>
      <c r="K195" s="8" t="b">
        <f t="shared" si="21"/>
        <v>1</v>
      </c>
    </row>
    <row r="196" spans="1:11">
      <c r="A196" s="5" t="s">
        <v>177</v>
      </c>
      <c r="B196" s="6">
        <v>45151</v>
      </c>
      <c r="C196" s="7">
        <v>0.65</v>
      </c>
      <c r="D196" s="5">
        <v>9.51</v>
      </c>
      <c r="E196" s="5">
        <v>518.4</v>
      </c>
      <c r="F196" s="5">
        <v>540.4</v>
      </c>
      <c r="G196" s="6">
        <v>45151</v>
      </c>
      <c r="H196" s="5"/>
      <c r="I196" s="5"/>
      <c r="J196" s="5">
        <f t="shared" si="20"/>
        <v>22</v>
      </c>
      <c r="K196" s="8" t="b">
        <f t="shared" si="21"/>
        <v>1</v>
      </c>
    </row>
    <row r="197" spans="1:11">
      <c r="A197" s="5" t="s">
        <v>178</v>
      </c>
      <c r="B197" s="6">
        <v>45152</v>
      </c>
      <c r="C197" s="7">
        <v>0.4</v>
      </c>
      <c r="D197" s="5">
        <v>15.45</v>
      </c>
      <c r="E197" s="5">
        <v>540.4</v>
      </c>
      <c r="F197" s="5">
        <v>558.29999999999995</v>
      </c>
      <c r="G197" s="6">
        <v>45152</v>
      </c>
      <c r="H197" s="5"/>
      <c r="I197" s="5"/>
      <c r="J197" s="5">
        <f t="shared" si="20"/>
        <v>17.899999999999977</v>
      </c>
      <c r="K197" s="8" t="b">
        <f t="shared" si="21"/>
        <v>1</v>
      </c>
    </row>
    <row r="198" spans="1:11">
      <c r="A198" s="5" t="s">
        <v>168</v>
      </c>
      <c r="B198" s="6">
        <v>45153</v>
      </c>
      <c r="C198" s="7">
        <v>0.4</v>
      </c>
      <c r="D198" s="5">
        <v>15.45</v>
      </c>
      <c r="E198" s="5">
        <v>558.29999999999995</v>
      </c>
      <c r="F198" s="5">
        <v>576.79999999999995</v>
      </c>
      <c r="G198" s="6">
        <v>45153</v>
      </c>
      <c r="H198" s="5"/>
      <c r="I198" s="5"/>
      <c r="J198" s="5">
        <f t="shared" si="20"/>
        <v>18.5</v>
      </c>
      <c r="K198" s="8" t="b">
        <f t="shared" si="21"/>
        <v>1</v>
      </c>
    </row>
    <row r="199" spans="1:11">
      <c r="A199" s="5" t="s">
        <v>178</v>
      </c>
      <c r="B199" s="6">
        <v>45154</v>
      </c>
      <c r="C199" s="7">
        <v>0.4</v>
      </c>
      <c r="D199" s="5">
        <v>15.45</v>
      </c>
      <c r="E199" s="5">
        <v>576.79999999999995</v>
      </c>
      <c r="F199" s="5">
        <v>595.20000000000005</v>
      </c>
      <c r="G199" s="6">
        <v>45154</v>
      </c>
      <c r="H199" s="5"/>
      <c r="I199" s="5"/>
      <c r="J199" s="5">
        <f t="shared" si="20"/>
        <v>18.400000000000091</v>
      </c>
      <c r="K199" s="8" t="b">
        <f t="shared" si="21"/>
        <v>1</v>
      </c>
    </row>
    <row r="200" spans="1:11">
      <c r="A200" s="5" t="s">
        <v>168</v>
      </c>
      <c r="B200" s="6">
        <v>45155</v>
      </c>
      <c r="C200" s="7">
        <v>0.4</v>
      </c>
      <c r="D200" s="5">
        <v>15.45</v>
      </c>
      <c r="E200" s="5">
        <v>595.20000000000005</v>
      </c>
      <c r="F200" s="5">
        <v>613.1</v>
      </c>
      <c r="G200" s="6">
        <v>45155</v>
      </c>
      <c r="H200" s="5"/>
      <c r="I200" s="5"/>
      <c r="J200" s="5">
        <f t="shared" si="20"/>
        <v>17.899999999999977</v>
      </c>
      <c r="K200" s="8" t="b">
        <f t="shared" si="21"/>
        <v>1</v>
      </c>
    </row>
    <row r="201" spans="1:11">
      <c r="A201" s="5" t="s">
        <v>178</v>
      </c>
      <c r="B201" s="6">
        <v>45156</v>
      </c>
      <c r="C201" s="7">
        <v>0.4</v>
      </c>
      <c r="D201" s="5">
        <v>15.45</v>
      </c>
      <c r="E201" s="5">
        <v>613.1</v>
      </c>
      <c r="F201" s="5">
        <v>632.79999999999995</v>
      </c>
      <c r="G201" s="6">
        <v>45155</v>
      </c>
      <c r="H201" s="5"/>
      <c r="I201" s="5"/>
      <c r="J201" s="5">
        <f t="shared" si="20"/>
        <v>19.699999999999932</v>
      </c>
      <c r="K201" s="8" t="b">
        <f t="shared" si="21"/>
        <v>1</v>
      </c>
    </row>
    <row r="202" spans="1:11">
      <c r="A202" s="5" t="s">
        <v>168</v>
      </c>
      <c r="B202" s="6">
        <v>45157</v>
      </c>
      <c r="C202" s="7">
        <v>0.4</v>
      </c>
      <c r="D202" s="5">
        <v>15.45</v>
      </c>
      <c r="E202" s="5">
        <v>632.79999999999995</v>
      </c>
      <c r="F202" s="5">
        <v>650</v>
      </c>
      <c r="G202" s="6">
        <v>45157</v>
      </c>
      <c r="H202" s="5"/>
      <c r="I202" s="5"/>
      <c r="J202" s="5">
        <f t="shared" si="20"/>
        <v>17.200000000000045</v>
      </c>
      <c r="K202" s="8" t="b">
        <f t="shared" si="21"/>
        <v>1</v>
      </c>
    </row>
    <row r="203" spans="1:11">
      <c r="A203" s="5" t="s">
        <v>178</v>
      </c>
      <c r="B203" s="6">
        <v>45158</v>
      </c>
      <c r="C203" s="7">
        <v>0.4</v>
      </c>
      <c r="D203" s="5">
        <v>15.45</v>
      </c>
      <c r="E203" s="5">
        <v>650</v>
      </c>
      <c r="F203" s="5">
        <v>668.2</v>
      </c>
      <c r="G203" s="6">
        <v>45158</v>
      </c>
      <c r="H203" s="5"/>
      <c r="I203" s="5"/>
      <c r="J203" s="5">
        <f t="shared" ref="J203:J223" si="22">F203-E203</f>
        <v>18.200000000000045</v>
      </c>
      <c r="K203" s="8" t="b">
        <f t="shared" ref="K203:K223" si="23">E203=F202</f>
        <v>1</v>
      </c>
    </row>
    <row r="204" spans="1:11">
      <c r="A204" s="5" t="s">
        <v>168</v>
      </c>
      <c r="B204" s="6">
        <v>45159</v>
      </c>
      <c r="C204" s="7">
        <v>0.4</v>
      </c>
      <c r="D204" s="5">
        <v>15.45</v>
      </c>
      <c r="E204" s="5">
        <v>668.2</v>
      </c>
      <c r="F204" s="5">
        <v>686.1</v>
      </c>
      <c r="G204" s="6">
        <v>45159</v>
      </c>
      <c r="H204" s="5"/>
      <c r="I204" s="5"/>
      <c r="J204" s="5">
        <f t="shared" si="22"/>
        <v>17.899999999999977</v>
      </c>
      <c r="K204" s="8" t="b">
        <f t="shared" si="23"/>
        <v>1</v>
      </c>
    </row>
    <row r="205" spans="1:11">
      <c r="A205" s="5" t="s">
        <v>178</v>
      </c>
      <c r="B205" s="6">
        <v>45160</v>
      </c>
      <c r="C205" s="7">
        <v>0.4</v>
      </c>
      <c r="D205" s="5">
        <v>15.45</v>
      </c>
      <c r="E205" s="5">
        <v>686.1</v>
      </c>
      <c r="F205" s="5">
        <v>704.6</v>
      </c>
      <c r="G205" s="6">
        <v>45160</v>
      </c>
      <c r="H205" s="5"/>
      <c r="I205" s="5"/>
      <c r="J205" s="5">
        <f t="shared" si="22"/>
        <v>18.5</v>
      </c>
      <c r="K205" s="8" t="b">
        <f t="shared" si="23"/>
        <v>1</v>
      </c>
    </row>
    <row r="206" spans="1:11">
      <c r="A206" s="5" t="s">
        <v>177</v>
      </c>
      <c r="B206" s="6">
        <v>45162</v>
      </c>
      <c r="C206" s="7">
        <v>0.7</v>
      </c>
      <c r="D206" s="5">
        <v>10.37</v>
      </c>
      <c r="E206" s="5">
        <v>704.6</v>
      </c>
      <c r="F206" s="5">
        <v>725.5</v>
      </c>
      <c r="G206" s="6">
        <v>45162</v>
      </c>
      <c r="H206" s="5"/>
      <c r="I206" s="5"/>
      <c r="J206" s="5">
        <f t="shared" si="22"/>
        <v>20.899999999999977</v>
      </c>
      <c r="K206" s="8" t="b">
        <f t="shared" si="23"/>
        <v>1</v>
      </c>
    </row>
    <row r="207" spans="1:11">
      <c r="A207" s="5" t="s">
        <v>168</v>
      </c>
      <c r="B207" s="6">
        <v>45163</v>
      </c>
      <c r="C207" s="7">
        <v>0.4</v>
      </c>
      <c r="D207" s="5">
        <v>15.45</v>
      </c>
      <c r="E207" s="5">
        <v>725.5</v>
      </c>
      <c r="F207" s="5">
        <v>743.4</v>
      </c>
      <c r="G207" s="6">
        <v>45163</v>
      </c>
      <c r="H207" s="5"/>
      <c r="I207" s="5"/>
      <c r="J207" s="5">
        <f t="shared" si="22"/>
        <v>17.899999999999977</v>
      </c>
      <c r="K207" s="8" t="b">
        <f t="shared" si="23"/>
        <v>1</v>
      </c>
    </row>
    <row r="208" spans="1:11">
      <c r="A208" s="5" t="s">
        <v>178</v>
      </c>
      <c r="B208" s="6">
        <v>45164</v>
      </c>
      <c r="C208" s="7">
        <v>0.4</v>
      </c>
      <c r="D208" s="5">
        <v>15.45</v>
      </c>
      <c r="E208" s="5">
        <v>743.4</v>
      </c>
      <c r="F208" s="5">
        <v>761.2</v>
      </c>
      <c r="G208" s="6">
        <v>45164</v>
      </c>
      <c r="H208" s="5"/>
      <c r="I208" s="5"/>
      <c r="J208" s="5">
        <f t="shared" si="22"/>
        <v>17.800000000000068</v>
      </c>
      <c r="K208" s="8" t="b">
        <f t="shared" si="23"/>
        <v>1</v>
      </c>
    </row>
    <row r="209" spans="1:11">
      <c r="A209" s="5" t="s">
        <v>168</v>
      </c>
      <c r="B209" s="6">
        <v>45165</v>
      </c>
      <c r="C209" s="7">
        <v>0.4</v>
      </c>
      <c r="D209" s="5">
        <v>15.45</v>
      </c>
      <c r="E209" s="5">
        <v>761.2</v>
      </c>
      <c r="F209" s="5">
        <v>779.3</v>
      </c>
      <c r="G209" s="6">
        <v>45165</v>
      </c>
      <c r="H209" s="5"/>
      <c r="I209" s="5"/>
      <c r="J209" s="5">
        <f t="shared" si="22"/>
        <v>18.099999999999909</v>
      </c>
      <c r="K209" s="8" t="b">
        <f t="shared" si="23"/>
        <v>1</v>
      </c>
    </row>
    <row r="210" spans="1:11">
      <c r="A210" s="5" t="s">
        <v>178</v>
      </c>
      <c r="B210" s="6">
        <v>45166</v>
      </c>
      <c r="C210" s="7">
        <v>0.4</v>
      </c>
      <c r="D210" s="5">
        <v>15.45</v>
      </c>
      <c r="E210" s="5">
        <v>779.3</v>
      </c>
      <c r="F210" s="5">
        <v>797.4</v>
      </c>
      <c r="G210" s="6">
        <v>45166</v>
      </c>
      <c r="H210" s="5"/>
      <c r="I210" s="5"/>
      <c r="J210" s="5">
        <f t="shared" si="22"/>
        <v>18.100000000000023</v>
      </c>
      <c r="K210" s="8" t="b">
        <f t="shared" si="23"/>
        <v>1</v>
      </c>
    </row>
    <row r="211" spans="1:11">
      <c r="A211" s="5" t="s">
        <v>177</v>
      </c>
      <c r="B211" s="6">
        <v>45169</v>
      </c>
      <c r="C211" s="7">
        <v>0.75</v>
      </c>
      <c r="D211" s="5">
        <v>8.24</v>
      </c>
      <c r="E211" s="5">
        <v>797.4</v>
      </c>
      <c r="F211" s="5">
        <v>816.6</v>
      </c>
      <c r="G211" s="6">
        <v>45169</v>
      </c>
      <c r="H211" s="5"/>
      <c r="I211" s="5"/>
      <c r="J211" s="5">
        <f t="shared" si="22"/>
        <v>19.200000000000045</v>
      </c>
      <c r="K211" s="8" t="b">
        <f t="shared" si="23"/>
        <v>1</v>
      </c>
    </row>
    <row r="212" spans="1:11">
      <c r="A212" s="5" t="s">
        <v>168</v>
      </c>
      <c r="B212" s="6">
        <v>45173</v>
      </c>
      <c r="C212" s="7">
        <v>0.55000000000000004</v>
      </c>
      <c r="D212" s="9">
        <v>13.2</v>
      </c>
      <c r="E212" s="5">
        <v>816.6</v>
      </c>
      <c r="F212" s="5">
        <v>829.8</v>
      </c>
      <c r="G212" s="6">
        <v>45173</v>
      </c>
      <c r="H212" s="5"/>
      <c r="I212" s="5"/>
      <c r="J212" s="5">
        <f t="shared" si="22"/>
        <v>13.199999999999932</v>
      </c>
      <c r="K212" s="8" t="b">
        <f t="shared" si="23"/>
        <v>1</v>
      </c>
    </row>
    <row r="213" spans="1:11">
      <c r="A213" s="5" t="s">
        <v>177</v>
      </c>
      <c r="B213" s="6">
        <v>45174</v>
      </c>
      <c r="C213" s="7">
        <v>0.55000000000000004</v>
      </c>
      <c r="D213" s="5">
        <v>13.2</v>
      </c>
      <c r="E213" s="5">
        <v>829.8</v>
      </c>
      <c r="F213" s="5">
        <v>843.5</v>
      </c>
      <c r="G213" s="6">
        <v>45174</v>
      </c>
      <c r="H213" s="5"/>
      <c r="I213" s="5"/>
      <c r="J213" s="5">
        <f t="shared" si="22"/>
        <v>13.700000000000045</v>
      </c>
      <c r="K213" s="8" t="b">
        <f t="shared" si="23"/>
        <v>1</v>
      </c>
    </row>
    <row r="214" spans="1:11">
      <c r="A214" s="5" t="s">
        <v>168</v>
      </c>
      <c r="B214" s="6">
        <v>45175</v>
      </c>
      <c r="C214" s="7">
        <v>0.55000000000000004</v>
      </c>
      <c r="D214" s="5">
        <v>13.2</v>
      </c>
      <c r="E214" s="5">
        <v>843.5</v>
      </c>
      <c r="F214" s="5">
        <v>856.2</v>
      </c>
      <c r="G214" s="6">
        <v>45175</v>
      </c>
      <c r="H214" s="5"/>
      <c r="I214" s="5"/>
      <c r="J214" s="5">
        <f t="shared" si="22"/>
        <v>12.700000000000045</v>
      </c>
      <c r="K214" s="8" t="b">
        <f t="shared" si="23"/>
        <v>1</v>
      </c>
    </row>
    <row r="215" spans="1:11">
      <c r="A215" s="5" t="s">
        <v>178</v>
      </c>
      <c r="B215" s="6">
        <v>45176</v>
      </c>
      <c r="C215" s="7">
        <v>0.5</v>
      </c>
      <c r="D215" s="5">
        <v>12.36</v>
      </c>
      <c r="E215" s="5">
        <v>856.2</v>
      </c>
      <c r="F215" s="5">
        <v>870.8</v>
      </c>
      <c r="G215" s="6">
        <v>45176</v>
      </c>
      <c r="H215" s="5"/>
      <c r="I215" s="5"/>
      <c r="J215" s="5">
        <f t="shared" si="22"/>
        <v>14.599999999999909</v>
      </c>
      <c r="K215" s="8" t="b">
        <f t="shared" si="23"/>
        <v>1</v>
      </c>
    </row>
    <row r="216" spans="1:11">
      <c r="A216" s="5" t="s">
        <v>168</v>
      </c>
      <c r="B216" s="6">
        <v>45177</v>
      </c>
      <c r="C216" s="7">
        <v>0.4</v>
      </c>
      <c r="D216" s="5">
        <v>15.45</v>
      </c>
      <c r="E216" s="5">
        <v>870.8</v>
      </c>
      <c r="F216" s="5">
        <v>888.5</v>
      </c>
      <c r="G216" s="6">
        <v>45177</v>
      </c>
      <c r="H216" s="5"/>
      <c r="I216" s="5"/>
      <c r="J216" s="5">
        <f t="shared" si="22"/>
        <v>17.700000000000045</v>
      </c>
      <c r="K216" s="8" t="b">
        <f t="shared" si="23"/>
        <v>1</v>
      </c>
    </row>
    <row r="217" spans="1:11">
      <c r="A217" s="5" t="s">
        <v>178</v>
      </c>
      <c r="B217" s="6">
        <v>45178</v>
      </c>
      <c r="C217" s="7">
        <v>0.35</v>
      </c>
      <c r="D217" s="5">
        <v>17.66</v>
      </c>
      <c r="E217" s="5">
        <v>888.5</v>
      </c>
      <c r="F217" s="5">
        <v>909.9</v>
      </c>
      <c r="G217" s="6">
        <v>45178</v>
      </c>
      <c r="H217" s="5"/>
      <c r="I217" s="5"/>
      <c r="J217" s="5">
        <f t="shared" si="22"/>
        <v>21.399999999999977</v>
      </c>
      <c r="K217" s="8" t="b">
        <f t="shared" si="23"/>
        <v>1</v>
      </c>
    </row>
    <row r="218" spans="1:11">
      <c r="A218" s="5" t="s">
        <v>168</v>
      </c>
      <c r="B218" s="6">
        <v>45179</v>
      </c>
      <c r="C218" s="7">
        <v>0.35</v>
      </c>
      <c r="D218" s="5">
        <v>17.66</v>
      </c>
      <c r="E218" s="5">
        <v>909.9</v>
      </c>
      <c r="F218" s="5">
        <v>930.4</v>
      </c>
      <c r="G218" s="6">
        <v>45180</v>
      </c>
      <c r="H218" s="5"/>
      <c r="I218" s="5"/>
      <c r="J218" s="5">
        <f t="shared" si="22"/>
        <v>20.5</v>
      </c>
      <c r="K218" s="8" t="b">
        <f t="shared" si="23"/>
        <v>1</v>
      </c>
    </row>
    <row r="219" spans="1:11">
      <c r="A219" s="5" t="s">
        <v>177</v>
      </c>
      <c r="B219" s="6">
        <v>45180</v>
      </c>
      <c r="C219" s="7">
        <v>0.35</v>
      </c>
      <c r="D219" s="5">
        <v>17.66</v>
      </c>
      <c r="E219" s="5">
        <v>930.4</v>
      </c>
      <c r="F219" s="5">
        <v>951.5</v>
      </c>
      <c r="G219" s="6">
        <v>45181</v>
      </c>
      <c r="H219" s="5"/>
      <c r="I219" s="5"/>
      <c r="J219" s="5">
        <f t="shared" si="22"/>
        <v>21.100000000000023</v>
      </c>
      <c r="K219" s="8" t="b">
        <f t="shared" si="23"/>
        <v>1</v>
      </c>
    </row>
    <row r="220" spans="1:11">
      <c r="A220" s="92" t="s">
        <v>178</v>
      </c>
      <c r="B220" s="93">
        <v>45181</v>
      </c>
      <c r="C220" s="88">
        <v>1</v>
      </c>
      <c r="D220" s="92">
        <v>6.18</v>
      </c>
      <c r="E220" s="92">
        <v>951.5</v>
      </c>
      <c r="F220" s="92">
        <v>959.2</v>
      </c>
      <c r="G220" s="93">
        <v>45181</v>
      </c>
      <c r="H220" s="92"/>
      <c r="I220" s="92"/>
      <c r="J220" s="92">
        <f t="shared" si="22"/>
        <v>7.7000000000000455</v>
      </c>
      <c r="K220" s="8" t="b">
        <f t="shared" si="23"/>
        <v>1</v>
      </c>
    </row>
    <row r="221" spans="1:11">
      <c r="A221" s="5" t="s">
        <v>168</v>
      </c>
      <c r="B221" s="6">
        <v>45181</v>
      </c>
      <c r="C221" s="7">
        <v>0.45</v>
      </c>
      <c r="D221" s="5">
        <v>13.73</v>
      </c>
      <c r="E221" s="5">
        <v>959.2</v>
      </c>
      <c r="F221" s="5">
        <v>966.6</v>
      </c>
      <c r="G221" s="6">
        <v>45182</v>
      </c>
      <c r="H221" s="5"/>
      <c r="I221" s="5"/>
      <c r="J221" s="5">
        <f t="shared" si="22"/>
        <v>7.3999999999999773</v>
      </c>
      <c r="K221" s="8" t="b">
        <f t="shared" si="23"/>
        <v>1</v>
      </c>
    </row>
    <row r="222" spans="1:11">
      <c r="A222" s="80" t="s">
        <v>168</v>
      </c>
      <c r="B222" s="81">
        <v>45182</v>
      </c>
      <c r="C222" s="82">
        <v>1</v>
      </c>
      <c r="D222" s="80">
        <v>6.18</v>
      </c>
      <c r="E222" s="80">
        <v>966.6</v>
      </c>
      <c r="F222" s="80">
        <v>974.3</v>
      </c>
      <c r="G222" s="81">
        <v>45182</v>
      </c>
      <c r="H222" s="80"/>
      <c r="I222" s="80"/>
      <c r="J222" s="80">
        <f t="shared" si="22"/>
        <v>7.6999999999999318</v>
      </c>
      <c r="K222" s="8" t="b">
        <f t="shared" si="23"/>
        <v>1</v>
      </c>
    </row>
    <row r="223" spans="1:11">
      <c r="A223" s="5" t="s">
        <v>178</v>
      </c>
      <c r="B223" s="6">
        <v>45182</v>
      </c>
      <c r="C223" s="7">
        <v>0.4</v>
      </c>
      <c r="D223" s="5">
        <v>15.45</v>
      </c>
      <c r="E223" s="5">
        <v>974.3</v>
      </c>
      <c r="F223" s="5">
        <v>991.9</v>
      </c>
      <c r="G223" s="6">
        <v>45182</v>
      </c>
      <c r="H223" s="5"/>
      <c r="I223" s="5"/>
      <c r="J223" s="5">
        <f t="shared" si="22"/>
        <v>17.600000000000023</v>
      </c>
      <c r="K223" s="8" t="b">
        <f t="shared" si="23"/>
        <v>1</v>
      </c>
    </row>
    <row r="224" spans="1:11">
      <c r="A224" s="5" t="s">
        <v>168</v>
      </c>
      <c r="B224" s="6">
        <v>45183</v>
      </c>
      <c r="C224" s="7">
        <v>0.4</v>
      </c>
      <c r="D224" s="5">
        <v>15.45</v>
      </c>
      <c r="E224" s="5">
        <v>991.9</v>
      </c>
      <c r="F224" s="5">
        <v>1009.8</v>
      </c>
      <c r="G224" s="6">
        <v>45183</v>
      </c>
      <c r="H224" s="5"/>
      <c r="I224" s="5"/>
      <c r="J224" s="5">
        <f t="shared" ref="J224:J230" si="24">F224-E224</f>
        <v>17.899999999999977</v>
      </c>
      <c r="K224" s="8" t="b">
        <f t="shared" ref="K224:K230" si="25">E224=F223</f>
        <v>1</v>
      </c>
    </row>
    <row r="225" spans="1:11">
      <c r="A225" s="5" t="s">
        <v>178</v>
      </c>
      <c r="B225" s="6">
        <v>45184</v>
      </c>
      <c r="C225" s="7">
        <v>0.4</v>
      </c>
      <c r="D225" s="5">
        <v>15.45</v>
      </c>
      <c r="E225" s="5">
        <v>1009.8</v>
      </c>
      <c r="F225" s="5">
        <v>1027.8</v>
      </c>
      <c r="G225" s="6">
        <v>45184</v>
      </c>
      <c r="H225" s="5"/>
      <c r="I225" s="5"/>
      <c r="J225" s="5">
        <f t="shared" si="24"/>
        <v>18</v>
      </c>
      <c r="K225" s="8" t="b">
        <f t="shared" si="25"/>
        <v>1</v>
      </c>
    </row>
    <row r="226" spans="1:11">
      <c r="A226" s="5" t="s">
        <v>168</v>
      </c>
      <c r="B226" s="6">
        <v>45185</v>
      </c>
      <c r="C226" s="7">
        <v>0.4</v>
      </c>
      <c r="D226" s="5">
        <v>15.45</v>
      </c>
      <c r="E226" s="5">
        <v>1027.8</v>
      </c>
      <c r="F226" s="5">
        <v>1045.5</v>
      </c>
      <c r="G226" s="6">
        <v>45185</v>
      </c>
      <c r="H226" s="5"/>
      <c r="I226" s="5"/>
      <c r="J226" s="5">
        <f t="shared" si="24"/>
        <v>17.700000000000045</v>
      </c>
      <c r="K226" s="8" t="b">
        <f t="shared" si="25"/>
        <v>1</v>
      </c>
    </row>
    <row r="227" spans="1:11">
      <c r="A227" s="5" t="s">
        <v>178</v>
      </c>
      <c r="B227" s="6">
        <v>45186</v>
      </c>
      <c r="C227" s="7">
        <v>0.4</v>
      </c>
      <c r="D227" s="5">
        <v>15.45</v>
      </c>
      <c r="E227" s="5">
        <v>1045.5</v>
      </c>
      <c r="F227" s="5">
        <v>1063.8</v>
      </c>
      <c r="G227" s="6">
        <v>45186</v>
      </c>
      <c r="H227" s="5"/>
      <c r="I227" s="5"/>
      <c r="J227" s="5">
        <f t="shared" si="24"/>
        <v>18.299999999999955</v>
      </c>
      <c r="K227" s="8" t="b">
        <f t="shared" si="25"/>
        <v>1</v>
      </c>
    </row>
    <row r="228" spans="1:11">
      <c r="A228" s="5" t="s">
        <v>168</v>
      </c>
      <c r="B228" s="6">
        <v>45187</v>
      </c>
      <c r="C228" s="7">
        <v>0.4</v>
      </c>
      <c r="D228" s="5">
        <v>15.45</v>
      </c>
      <c r="E228" s="5">
        <v>1063.8</v>
      </c>
      <c r="F228" s="5">
        <v>1081.7</v>
      </c>
      <c r="G228" s="6">
        <v>45187</v>
      </c>
      <c r="H228" s="5"/>
      <c r="I228" s="5"/>
      <c r="J228" s="5">
        <f t="shared" si="24"/>
        <v>17.900000000000091</v>
      </c>
      <c r="K228" s="8" t="b">
        <f t="shared" si="25"/>
        <v>1</v>
      </c>
    </row>
    <row r="229" spans="1:11">
      <c r="A229" s="5" t="s">
        <v>178</v>
      </c>
      <c r="B229" s="6">
        <v>45188</v>
      </c>
      <c r="C229" s="7">
        <v>0.4</v>
      </c>
      <c r="D229" s="5">
        <v>15.45</v>
      </c>
      <c r="E229" s="5">
        <v>1081.7</v>
      </c>
      <c r="F229" s="5">
        <v>1099.7</v>
      </c>
      <c r="G229" s="6">
        <v>45188</v>
      </c>
      <c r="H229" s="5"/>
      <c r="I229" s="5"/>
      <c r="J229" s="5">
        <f t="shared" si="24"/>
        <v>18</v>
      </c>
      <c r="K229" s="8" t="b">
        <f t="shared" si="25"/>
        <v>1</v>
      </c>
    </row>
    <row r="230" spans="1:11">
      <c r="A230" s="5" t="s">
        <v>168</v>
      </c>
      <c r="B230" s="6">
        <v>45189</v>
      </c>
      <c r="C230" s="7">
        <v>0.4</v>
      </c>
      <c r="D230" s="5">
        <v>15.45</v>
      </c>
      <c r="E230" s="5">
        <v>1099.7</v>
      </c>
      <c r="F230" s="5">
        <v>1117.8</v>
      </c>
      <c r="G230" s="6">
        <v>45189</v>
      </c>
      <c r="H230" s="5"/>
      <c r="I230" s="5"/>
      <c r="J230" s="5">
        <f t="shared" si="24"/>
        <v>18.099999999999909</v>
      </c>
      <c r="K230" s="8" t="b">
        <f t="shared" si="25"/>
        <v>1</v>
      </c>
    </row>
    <row r="231" spans="1:11">
      <c r="A231" s="5" t="s">
        <v>178</v>
      </c>
      <c r="B231" s="6">
        <v>45190</v>
      </c>
      <c r="C231" s="7">
        <v>0.4</v>
      </c>
      <c r="D231" s="5">
        <v>15.45</v>
      </c>
      <c r="E231" s="5">
        <v>1117.8</v>
      </c>
      <c r="F231" s="5">
        <v>1135.5999999999999</v>
      </c>
      <c r="G231" s="6">
        <v>45190</v>
      </c>
      <c r="H231" s="5"/>
      <c r="I231" s="5"/>
      <c r="J231" s="5">
        <f t="shared" ref="J231:J270" si="26">F231-E231</f>
        <v>17.799999999999955</v>
      </c>
      <c r="K231" s="8" t="b">
        <f t="shared" ref="K231:K270" si="27">E231=F230</f>
        <v>1</v>
      </c>
    </row>
    <row r="232" spans="1:11">
      <c r="A232" s="5" t="s">
        <v>168</v>
      </c>
      <c r="B232" s="6">
        <v>45191</v>
      </c>
      <c r="C232" s="7">
        <v>0.4</v>
      </c>
      <c r="D232" s="5">
        <v>15.45</v>
      </c>
      <c r="E232" s="5">
        <v>1135.5999999999999</v>
      </c>
      <c r="F232" s="5">
        <v>1153.5</v>
      </c>
      <c r="G232" s="6">
        <v>45191</v>
      </c>
      <c r="H232" s="5"/>
      <c r="I232" s="5"/>
      <c r="J232" s="5">
        <f t="shared" si="26"/>
        <v>17.900000000000091</v>
      </c>
      <c r="K232" s="8" t="b">
        <f t="shared" si="27"/>
        <v>1</v>
      </c>
    </row>
    <row r="233" spans="1:11">
      <c r="A233" s="5" t="s">
        <v>178</v>
      </c>
      <c r="B233" s="6">
        <v>45192</v>
      </c>
      <c r="C233" s="7">
        <v>0.4</v>
      </c>
      <c r="D233" s="5">
        <v>15.45</v>
      </c>
      <c r="E233" s="5">
        <v>1153.5</v>
      </c>
      <c r="F233" s="5">
        <v>1171.5999999999999</v>
      </c>
      <c r="G233" s="6">
        <v>45192</v>
      </c>
      <c r="H233" s="5"/>
      <c r="I233" s="5"/>
      <c r="J233" s="5">
        <f t="shared" si="26"/>
        <v>18.099999999999909</v>
      </c>
      <c r="K233" s="8" t="b">
        <f t="shared" si="27"/>
        <v>1</v>
      </c>
    </row>
    <row r="234" spans="1:11">
      <c r="A234" s="5" t="s">
        <v>168</v>
      </c>
      <c r="B234" s="6">
        <v>45193</v>
      </c>
      <c r="C234" s="7">
        <v>0.4</v>
      </c>
      <c r="D234" s="5">
        <v>15.45</v>
      </c>
      <c r="E234" s="5">
        <v>1171.5999999999999</v>
      </c>
      <c r="F234" s="5">
        <v>1189.4000000000001</v>
      </c>
      <c r="G234" s="6">
        <v>45193</v>
      </c>
      <c r="H234" s="5"/>
      <c r="I234" s="5"/>
      <c r="J234" s="5">
        <f t="shared" si="26"/>
        <v>17.800000000000182</v>
      </c>
      <c r="K234" s="8" t="b">
        <f t="shared" si="27"/>
        <v>1</v>
      </c>
    </row>
    <row r="235" spans="1:11">
      <c r="A235" s="5" t="s">
        <v>178</v>
      </c>
      <c r="B235" s="6">
        <v>45194</v>
      </c>
      <c r="C235" s="7">
        <v>0.4</v>
      </c>
      <c r="D235" s="5">
        <v>15.45</v>
      </c>
      <c r="E235" s="5">
        <v>1189.4000000000001</v>
      </c>
      <c r="F235" s="5">
        <v>1207.9000000000001</v>
      </c>
      <c r="G235" s="6">
        <v>45194</v>
      </c>
      <c r="H235" s="5"/>
      <c r="I235" s="5"/>
      <c r="J235" s="5">
        <f t="shared" si="26"/>
        <v>18.5</v>
      </c>
      <c r="K235" s="8" t="b">
        <f t="shared" si="27"/>
        <v>1</v>
      </c>
    </row>
    <row r="236" spans="1:11">
      <c r="A236" s="5" t="s">
        <v>168</v>
      </c>
      <c r="B236" s="6">
        <v>45195</v>
      </c>
      <c r="C236" s="7">
        <v>0.4</v>
      </c>
      <c r="D236" s="5">
        <v>15.45</v>
      </c>
      <c r="E236" s="5">
        <v>1207.9000000000001</v>
      </c>
      <c r="F236" s="5">
        <v>1225.7</v>
      </c>
      <c r="G236" s="6">
        <v>45195</v>
      </c>
      <c r="H236" s="5"/>
      <c r="I236" s="5"/>
      <c r="J236" s="5">
        <f t="shared" si="26"/>
        <v>17.799999999999955</v>
      </c>
      <c r="K236" s="8" t="b">
        <f t="shared" si="27"/>
        <v>1</v>
      </c>
    </row>
    <row r="237" spans="1:11">
      <c r="A237" s="5" t="s">
        <v>178</v>
      </c>
      <c r="B237" s="6">
        <v>45196</v>
      </c>
      <c r="C237" s="7">
        <v>0.4</v>
      </c>
      <c r="D237" s="5">
        <v>15.45</v>
      </c>
      <c r="E237" s="5">
        <v>1225.7</v>
      </c>
      <c r="F237" s="5">
        <v>1244</v>
      </c>
      <c r="G237" s="6">
        <v>45196</v>
      </c>
      <c r="H237" s="5"/>
      <c r="I237" s="5"/>
      <c r="J237" s="5">
        <f t="shared" si="26"/>
        <v>18.299999999999955</v>
      </c>
      <c r="K237" s="8" t="b">
        <f t="shared" si="27"/>
        <v>1</v>
      </c>
    </row>
    <row r="238" spans="1:11">
      <c r="A238" s="5" t="s">
        <v>168</v>
      </c>
      <c r="B238" s="6">
        <v>45197</v>
      </c>
      <c r="C238" s="7">
        <v>0.4</v>
      </c>
      <c r="D238" s="5">
        <v>15.45</v>
      </c>
      <c r="E238" s="5">
        <v>1244</v>
      </c>
      <c r="F238" s="5">
        <v>1261.8</v>
      </c>
      <c r="G238" s="6">
        <v>45197</v>
      </c>
      <c r="H238" s="5"/>
      <c r="I238" s="5"/>
      <c r="J238" s="5">
        <f t="shared" si="26"/>
        <v>17.799999999999955</v>
      </c>
      <c r="K238" s="8" t="b">
        <f t="shared" si="27"/>
        <v>1</v>
      </c>
    </row>
    <row r="239" spans="1:11">
      <c r="A239" s="5" t="s">
        <v>178</v>
      </c>
      <c r="B239" s="6">
        <v>45198</v>
      </c>
      <c r="C239" s="7">
        <v>0.4</v>
      </c>
      <c r="D239" s="5">
        <v>15.45</v>
      </c>
      <c r="E239" s="5">
        <v>1261.8</v>
      </c>
      <c r="F239" s="5">
        <v>1280.7</v>
      </c>
      <c r="G239" s="6">
        <v>45198</v>
      </c>
      <c r="H239" s="5"/>
      <c r="I239" s="5"/>
      <c r="J239" s="5">
        <f t="shared" si="26"/>
        <v>18.900000000000091</v>
      </c>
      <c r="K239" s="8" t="b">
        <f t="shared" si="27"/>
        <v>1</v>
      </c>
    </row>
    <row r="240" spans="1:11">
      <c r="A240" s="5" t="s">
        <v>168</v>
      </c>
      <c r="B240" s="6">
        <v>45199</v>
      </c>
      <c r="C240" s="7">
        <v>0.4</v>
      </c>
      <c r="D240" s="5">
        <v>15.45</v>
      </c>
      <c r="E240" s="5">
        <v>1280.7</v>
      </c>
      <c r="F240" s="5">
        <v>1298.2</v>
      </c>
      <c r="G240" s="6">
        <v>45199</v>
      </c>
      <c r="H240" s="5"/>
      <c r="I240" s="5"/>
      <c r="J240" s="5">
        <f t="shared" si="26"/>
        <v>17.5</v>
      </c>
      <c r="K240" s="8" t="b">
        <f t="shared" si="27"/>
        <v>1</v>
      </c>
    </row>
    <row r="241" spans="1:11">
      <c r="A241" s="5" t="s">
        <v>179</v>
      </c>
      <c r="B241" s="6">
        <v>45200</v>
      </c>
      <c r="C241" s="7">
        <v>0.4</v>
      </c>
      <c r="D241" s="5">
        <v>15.45</v>
      </c>
      <c r="E241" s="5">
        <v>1298.2</v>
      </c>
      <c r="F241" s="5">
        <v>1317.9</v>
      </c>
      <c r="G241" s="6">
        <v>45200</v>
      </c>
      <c r="H241" s="5"/>
      <c r="I241" s="5"/>
      <c r="J241" s="5">
        <f>F241-E241</f>
        <v>19.700000000000045</v>
      </c>
      <c r="K241" s="8" t="b">
        <f t="shared" si="27"/>
        <v>1</v>
      </c>
    </row>
    <row r="242" spans="1:11">
      <c r="A242" s="5" t="s">
        <v>168</v>
      </c>
      <c r="B242" s="6">
        <v>45201</v>
      </c>
      <c r="C242" s="7">
        <v>0.4</v>
      </c>
      <c r="D242" s="5">
        <v>15.45</v>
      </c>
      <c r="E242" s="5">
        <v>1317.9</v>
      </c>
      <c r="F242" s="5">
        <v>1333.8</v>
      </c>
      <c r="G242" s="6">
        <v>45201</v>
      </c>
      <c r="H242" s="5"/>
      <c r="I242" s="5"/>
      <c r="J242" s="5">
        <f t="shared" si="26"/>
        <v>15.899999999999864</v>
      </c>
      <c r="K242" s="8" t="b">
        <f t="shared" si="27"/>
        <v>1</v>
      </c>
    </row>
    <row r="243" spans="1:11">
      <c r="A243" s="5" t="s">
        <v>178</v>
      </c>
      <c r="B243" s="6">
        <v>45202</v>
      </c>
      <c r="C243" s="7">
        <v>0.4</v>
      </c>
      <c r="D243" s="5">
        <v>15.45</v>
      </c>
      <c r="E243" s="5">
        <v>1333.8</v>
      </c>
      <c r="F243" s="5">
        <v>1351.9</v>
      </c>
      <c r="G243" s="6">
        <v>45202</v>
      </c>
      <c r="H243" s="5"/>
      <c r="I243" s="5"/>
      <c r="J243" s="5">
        <f t="shared" si="26"/>
        <v>18.100000000000136</v>
      </c>
      <c r="K243" s="8" t="b">
        <f t="shared" si="27"/>
        <v>1</v>
      </c>
    </row>
    <row r="244" spans="1:11">
      <c r="A244" s="5" t="s">
        <v>168</v>
      </c>
      <c r="B244" s="6">
        <v>45203</v>
      </c>
      <c r="C244" s="7">
        <v>0.4</v>
      </c>
      <c r="D244" s="5">
        <v>15.45</v>
      </c>
      <c r="E244" s="5">
        <v>1351.9</v>
      </c>
      <c r="F244" s="5">
        <v>1364.1</v>
      </c>
      <c r="G244" s="6">
        <v>45203</v>
      </c>
      <c r="H244" s="5"/>
      <c r="I244" s="5"/>
      <c r="J244" s="5">
        <f t="shared" si="26"/>
        <v>12.199999999999818</v>
      </c>
      <c r="K244" s="8" t="b">
        <f t="shared" si="27"/>
        <v>1</v>
      </c>
    </row>
    <row r="245" spans="1:11">
      <c r="A245" s="5" t="s">
        <v>178</v>
      </c>
      <c r="B245" s="6">
        <v>45206</v>
      </c>
      <c r="C245" s="7">
        <v>0.4</v>
      </c>
      <c r="D245" s="5">
        <v>15.45</v>
      </c>
      <c r="E245" s="5">
        <v>1364.1</v>
      </c>
      <c r="F245" s="5">
        <v>1382.3</v>
      </c>
      <c r="G245" s="6">
        <v>45206</v>
      </c>
      <c r="H245" s="5"/>
      <c r="I245" s="5"/>
      <c r="J245" s="5">
        <f t="shared" si="26"/>
        <v>18.200000000000045</v>
      </c>
      <c r="K245" s="8" t="b">
        <f t="shared" si="27"/>
        <v>1</v>
      </c>
    </row>
    <row r="246" spans="1:11">
      <c r="A246" s="5" t="s">
        <v>168</v>
      </c>
      <c r="B246" s="6">
        <v>45207</v>
      </c>
      <c r="C246" s="7">
        <v>0.4</v>
      </c>
      <c r="D246" s="5">
        <v>15.45</v>
      </c>
      <c r="E246" s="5">
        <v>1382.3</v>
      </c>
      <c r="F246" s="5">
        <v>1400</v>
      </c>
      <c r="G246" s="6">
        <v>45207</v>
      </c>
      <c r="H246" s="5"/>
      <c r="I246" s="5"/>
      <c r="J246" s="5">
        <f t="shared" si="26"/>
        <v>17.700000000000045</v>
      </c>
      <c r="K246" s="8" t="b">
        <f t="shared" si="27"/>
        <v>1</v>
      </c>
    </row>
    <row r="247" spans="1:11">
      <c r="A247" s="5" t="s">
        <v>178</v>
      </c>
      <c r="B247" s="6">
        <v>45208</v>
      </c>
      <c r="C247" s="7">
        <v>0.4</v>
      </c>
      <c r="D247" s="5">
        <v>15.45</v>
      </c>
      <c r="E247" s="5">
        <v>1400</v>
      </c>
      <c r="F247" s="5">
        <v>1418.1</v>
      </c>
      <c r="G247" s="6">
        <v>45208</v>
      </c>
      <c r="H247" s="5"/>
      <c r="I247" s="5"/>
      <c r="J247" s="5">
        <f t="shared" si="26"/>
        <v>18.099999999999909</v>
      </c>
      <c r="K247" s="8" t="b">
        <f t="shared" si="27"/>
        <v>1</v>
      </c>
    </row>
    <row r="248" spans="1:11">
      <c r="A248" s="5" t="s">
        <v>168</v>
      </c>
      <c r="B248" s="6">
        <v>45209</v>
      </c>
      <c r="C248" s="7">
        <v>0.4</v>
      </c>
      <c r="D248" s="5">
        <v>15.45</v>
      </c>
      <c r="E248" s="5">
        <v>1418.1</v>
      </c>
      <c r="F248" s="5">
        <v>1435.8</v>
      </c>
      <c r="G248" s="6">
        <v>45209</v>
      </c>
      <c r="H248" s="5"/>
      <c r="I248" s="5"/>
      <c r="J248" s="5">
        <f t="shared" si="26"/>
        <v>17.700000000000045</v>
      </c>
      <c r="K248" s="8" t="b">
        <f t="shared" si="27"/>
        <v>1</v>
      </c>
    </row>
    <row r="249" spans="1:11">
      <c r="A249" s="5" t="s">
        <v>178</v>
      </c>
      <c r="B249" s="6">
        <v>45210</v>
      </c>
      <c r="C249" s="7">
        <v>0.4</v>
      </c>
      <c r="D249" s="5">
        <v>15.45</v>
      </c>
      <c r="E249" s="5">
        <v>1435.8</v>
      </c>
      <c r="F249" s="5">
        <v>1453.9</v>
      </c>
      <c r="G249" s="6">
        <v>45210</v>
      </c>
      <c r="H249" s="5"/>
      <c r="I249" s="5"/>
      <c r="J249" s="5">
        <f t="shared" si="26"/>
        <v>18.100000000000136</v>
      </c>
      <c r="K249" s="8" t="b">
        <f t="shared" si="27"/>
        <v>1</v>
      </c>
    </row>
    <row r="250" spans="1:11">
      <c r="A250" s="5" t="s">
        <v>168</v>
      </c>
      <c r="B250" s="6">
        <v>45211</v>
      </c>
      <c r="C250" s="7">
        <v>0.4</v>
      </c>
      <c r="D250" s="5">
        <v>15.45</v>
      </c>
      <c r="E250" s="5">
        <v>1453.9</v>
      </c>
      <c r="F250" s="5">
        <v>1471.6</v>
      </c>
      <c r="G250" s="6">
        <v>45211</v>
      </c>
      <c r="H250" s="5"/>
      <c r="I250" s="5"/>
      <c r="J250" s="5">
        <f t="shared" si="26"/>
        <v>17.699999999999818</v>
      </c>
      <c r="K250" s="8" t="b">
        <f t="shared" si="27"/>
        <v>1</v>
      </c>
    </row>
    <row r="251" spans="1:11">
      <c r="A251" s="5" t="s">
        <v>178</v>
      </c>
      <c r="B251" s="6">
        <v>45212</v>
      </c>
      <c r="C251" s="7">
        <v>0.4</v>
      </c>
      <c r="D251" s="5">
        <v>15.45</v>
      </c>
      <c r="E251" s="5">
        <v>1471.6</v>
      </c>
      <c r="F251" s="5">
        <v>1489.5</v>
      </c>
      <c r="G251" s="6">
        <v>45212</v>
      </c>
      <c r="H251" s="5"/>
      <c r="I251" s="5"/>
      <c r="J251" s="5">
        <f t="shared" si="26"/>
        <v>17.900000000000091</v>
      </c>
      <c r="K251" s="8" t="b">
        <f t="shared" si="27"/>
        <v>1</v>
      </c>
    </row>
    <row r="252" spans="1:11">
      <c r="A252" s="5" t="s">
        <v>168</v>
      </c>
      <c r="B252" s="6">
        <v>45213</v>
      </c>
      <c r="C252" s="7">
        <v>0.4</v>
      </c>
      <c r="D252" s="5">
        <v>15.45</v>
      </c>
      <c r="E252" s="5">
        <v>1489.5</v>
      </c>
      <c r="F252" s="5">
        <v>1507.5</v>
      </c>
      <c r="G252" s="6">
        <v>45213</v>
      </c>
      <c r="H252" s="5"/>
      <c r="I252" s="5"/>
      <c r="J252" s="5">
        <f t="shared" si="26"/>
        <v>18</v>
      </c>
      <c r="K252" s="8" t="b">
        <f t="shared" si="27"/>
        <v>1</v>
      </c>
    </row>
    <row r="253" spans="1:11">
      <c r="A253" s="5" t="s">
        <v>178</v>
      </c>
      <c r="B253" s="6">
        <v>45214</v>
      </c>
      <c r="C253" s="7">
        <v>0.4</v>
      </c>
      <c r="D253" s="5">
        <v>15.45</v>
      </c>
      <c r="E253" s="5">
        <v>1507.5</v>
      </c>
      <c r="F253" s="5">
        <v>1525.7</v>
      </c>
      <c r="G253" s="6">
        <v>45214</v>
      </c>
      <c r="H253" s="5"/>
      <c r="I253" s="5"/>
      <c r="J253" s="5">
        <f t="shared" si="26"/>
        <v>18.200000000000045</v>
      </c>
      <c r="K253" s="8" t="b">
        <f t="shared" si="27"/>
        <v>1</v>
      </c>
    </row>
    <row r="254" spans="1:11">
      <c r="A254" s="5" t="s">
        <v>168</v>
      </c>
      <c r="B254" s="6">
        <v>45215</v>
      </c>
      <c r="C254" s="7">
        <v>0.4</v>
      </c>
      <c r="D254" s="5">
        <v>15.45</v>
      </c>
      <c r="E254" s="5">
        <v>1525.7</v>
      </c>
      <c r="F254" s="5">
        <v>1543.6</v>
      </c>
      <c r="G254" s="6">
        <v>45215</v>
      </c>
      <c r="H254" s="5"/>
      <c r="I254" s="5"/>
      <c r="J254" s="5">
        <f t="shared" si="26"/>
        <v>17.899999999999864</v>
      </c>
      <c r="K254" s="8" t="b">
        <f t="shared" si="27"/>
        <v>1</v>
      </c>
    </row>
    <row r="255" spans="1:11">
      <c r="A255" s="5" t="s">
        <v>178</v>
      </c>
      <c r="B255" s="6">
        <v>45216</v>
      </c>
      <c r="C255" s="7">
        <v>0.4</v>
      </c>
      <c r="D255" s="5">
        <v>15.45</v>
      </c>
      <c r="E255" s="5">
        <v>1543.6</v>
      </c>
      <c r="F255" s="5">
        <v>1561.8</v>
      </c>
      <c r="G255" s="6">
        <v>45216</v>
      </c>
      <c r="H255" s="5"/>
      <c r="I255" s="5"/>
      <c r="J255" s="5">
        <f t="shared" si="26"/>
        <v>18.200000000000045</v>
      </c>
      <c r="K255" s="8" t="b">
        <f t="shared" si="27"/>
        <v>1</v>
      </c>
    </row>
    <row r="256" spans="1:11">
      <c r="A256" s="5" t="s">
        <v>168</v>
      </c>
      <c r="B256" s="6">
        <v>45217</v>
      </c>
      <c r="C256" s="7">
        <v>0.4</v>
      </c>
      <c r="D256" s="5">
        <v>15.45</v>
      </c>
      <c r="E256" s="5">
        <v>1561.8</v>
      </c>
      <c r="F256" s="5">
        <v>1579.5</v>
      </c>
      <c r="G256" s="6">
        <v>45217</v>
      </c>
      <c r="H256" s="5"/>
      <c r="I256" s="5"/>
      <c r="J256" s="5">
        <f t="shared" si="26"/>
        <v>17.700000000000045</v>
      </c>
      <c r="K256" s="8" t="b">
        <f t="shared" si="27"/>
        <v>1</v>
      </c>
    </row>
    <row r="257" spans="1:11">
      <c r="A257" s="5" t="s">
        <v>178</v>
      </c>
      <c r="B257" s="6">
        <v>45218</v>
      </c>
      <c r="C257" s="7">
        <v>0.4</v>
      </c>
      <c r="D257" s="5">
        <v>15.45</v>
      </c>
      <c r="E257" s="5">
        <v>1579.5</v>
      </c>
      <c r="F257" s="5">
        <v>1596.8</v>
      </c>
      <c r="G257" s="6">
        <v>45218</v>
      </c>
      <c r="H257" s="5"/>
      <c r="I257" s="5"/>
      <c r="J257" s="5">
        <f t="shared" si="26"/>
        <v>17.299999999999955</v>
      </c>
      <c r="K257" s="8" t="b">
        <f t="shared" si="27"/>
        <v>1</v>
      </c>
    </row>
    <row r="258" spans="1:11">
      <c r="A258" s="5" t="s">
        <v>168</v>
      </c>
      <c r="B258" s="6">
        <v>45219</v>
      </c>
      <c r="C258" s="7">
        <v>0.4</v>
      </c>
      <c r="D258" s="5">
        <v>15.45</v>
      </c>
      <c r="E258" s="5">
        <v>1596.8</v>
      </c>
      <c r="F258" s="5">
        <v>1614.8</v>
      </c>
      <c r="G258" s="6">
        <v>45219</v>
      </c>
      <c r="H258" s="5"/>
      <c r="I258" s="5"/>
      <c r="J258" s="5">
        <f t="shared" si="26"/>
        <v>18</v>
      </c>
      <c r="K258" s="8" t="b">
        <f t="shared" si="27"/>
        <v>1</v>
      </c>
    </row>
    <row r="259" spans="1:11">
      <c r="A259" s="5" t="s">
        <v>178</v>
      </c>
      <c r="B259" s="6">
        <v>45220</v>
      </c>
      <c r="C259" s="7">
        <v>0.4</v>
      </c>
      <c r="D259" s="5">
        <v>15.45</v>
      </c>
      <c r="E259" s="5">
        <v>1614.8</v>
      </c>
      <c r="F259" s="5">
        <v>1632.8</v>
      </c>
      <c r="G259" s="6">
        <v>45220</v>
      </c>
      <c r="H259" s="5"/>
      <c r="I259" s="5"/>
      <c r="J259" s="5">
        <f t="shared" si="26"/>
        <v>18</v>
      </c>
      <c r="K259" s="8" t="b">
        <f t="shared" si="27"/>
        <v>1</v>
      </c>
    </row>
    <row r="260" spans="1:11">
      <c r="A260" s="5" t="s">
        <v>168</v>
      </c>
      <c r="B260" s="6">
        <v>45221</v>
      </c>
      <c r="C260" s="7">
        <v>0.4</v>
      </c>
      <c r="D260" s="5">
        <v>15.45</v>
      </c>
      <c r="E260" s="5">
        <v>1632.8</v>
      </c>
      <c r="F260" s="5">
        <v>1650.8</v>
      </c>
      <c r="G260" s="6">
        <v>45221</v>
      </c>
      <c r="H260" s="5"/>
      <c r="I260" s="5"/>
      <c r="J260" s="5">
        <f t="shared" si="26"/>
        <v>18</v>
      </c>
      <c r="K260" s="8" t="b">
        <f t="shared" si="27"/>
        <v>1</v>
      </c>
    </row>
    <row r="261" spans="1:11">
      <c r="A261" s="5" t="s">
        <v>168</v>
      </c>
      <c r="B261" s="6">
        <v>45222</v>
      </c>
      <c r="C261" s="7"/>
      <c r="D261" s="5"/>
      <c r="E261" s="5"/>
      <c r="F261" s="5"/>
      <c r="G261" s="6">
        <v>45222</v>
      </c>
      <c r="H261" s="5"/>
      <c r="I261" s="5"/>
      <c r="J261" s="5">
        <f t="shared" si="26"/>
        <v>0</v>
      </c>
      <c r="K261" s="8" t="b">
        <f>E261=F260</f>
        <v>0</v>
      </c>
    </row>
    <row r="262" spans="1:11">
      <c r="A262" s="5" t="s">
        <v>168</v>
      </c>
      <c r="B262" s="6">
        <v>45223</v>
      </c>
      <c r="C262" s="7">
        <v>0.4</v>
      </c>
      <c r="D262" s="5">
        <v>15.45</v>
      </c>
      <c r="E262" s="5">
        <v>1650.8</v>
      </c>
      <c r="F262" s="5">
        <v>1668.9</v>
      </c>
      <c r="G262" s="6">
        <v>45223</v>
      </c>
      <c r="H262" s="5"/>
      <c r="I262" s="5"/>
      <c r="J262" s="5">
        <f t="shared" si="26"/>
        <v>18.100000000000136</v>
      </c>
      <c r="K262" s="8" t="b">
        <f>E262=F261</f>
        <v>0</v>
      </c>
    </row>
    <row r="263" spans="1:11">
      <c r="A263" s="101" t="s">
        <v>180</v>
      </c>
      <c r="B263" s="102">
        <v>45224</v>
      </c>
      <c r="C263" s="103">
        <v>0.4</v>
      </c>
      <c r="D263" s="101">
        <v>15.45</v>
      </c>
      <c r="E263" s="101">
        <v>1668.9</v>
      </c>
      <c r="F263" s="101">
        <v>1679.7</v>
      </c>
      <c r="G263" s="102">
        <v>45224</v>
      </c>
      <c r="H263" s="101"/>
      <c r="I263" s="101"/>
      <c r="J263" s="101">
        <f t="shared" si="26"/>
        <v>10.799999999999955</v>
      </c>
      <c r="K263" s="8" t="b">
        <f t="shared" si="27"/>
        <v>1</v>
      </c>
    </row>
    <row r="264" spans="1:11">
      <c r="A264" s="101" t="s">
        <v>168</v>
      </c>
      <c r="B264" s="102">
        <v>45225</v>
      </c>
      <c r="C264" s="103">
        <v>0.4</v>
      </c>
      <c r="D264" s="101">
        <v>15.45</v>
      </c>
      <c r="E264" s="101"/>
      <c r="F264" s="101"/>
      <c r="G264" s="102">
        <v>45225</v>
      </c>
      <c r="H264" s="101"/>
      <c r="I264" s="101"/>
      <c r="J264" s="101">
        <f t="shared" si="26"/>
        <v>0</v>
      </c>
      <c r="K264" s="8" t="b">
        <f t="shared" si="27"/>
        <v>0</v>
      </c>
    </row>
    <row r="265" spans="1:11">
      <c r="A265" s="5" t="s">
        <v>168</v>
      </c>
      <c r="B265" s="6">
        <v>45226</v>
      </c>
      <c r="C265" s="7">
        <v>1</v>
      </c>
      <c r="D265" s="5">
        <v>6.18</v>
      </c>
      <c r="E265" s="5">
        <v>1679.7</v>
      </c>
      <c r="F265" s="5">
        <v>1688.9</v>
      </c>
      <c r="G265" s="6">
        <v>45226</v>
      </c>
      <c r="H265" s="5"/>
      <c r="I265" s="5"/>
      <c r="J265" s="5">
        <f t="shared" si="26"/>
        <v>9.2000000000000455</v>
      </c>
      <c r="K265" s="8" t="b">
        <f t="shared" si="27"/>
        <v>0</v>
      </c>
    </row>
    <row r="266" spans="1:11">
      <c r="A266" s="5" t="s">
        <v>178</v>
      </c>
      <c r="B266" s="6">
        <v>45227</v>
      </c>
      <c r="C266" s="7">
        <v>0.4</v>
      </c>
      <c r="D266" s="5">
        <v>15.45</v>
      </c>
      <c r="E266" s="5">
        <v>1688.9</v>
      </c>
      <c r="F266" s="5">
        <v>1706.9</v>
      </c>
      <c r="G266" s="6">
        <v>45227</v>
      </c>
      <c r="H266" s="5"/>
      <c r="I266" s="5"/>
      <c r="J266" s="5">
        <f t="shared" si="26"/>
        <v>18</v>
      </c>
      <c r="K266" s="8" t="b">
        <f t="shared" si="27"/>
        <v>1</v>
      </c>
    </row>
    <row r="267" spans="1:11">
      <c r="A267" s="5" t="s">
        <v>168</v>
      </c>
      <c r="B267" s="6">
        <v>45228</v>
      </c>
      <c r="C267" s="7">
        <v>0.4</v>
      </c>
      <c r="D267" s="5">
        <v>15.45</v>
      </c>
      <c r="E267" s="5">
        <v>1706.9</v>
      </c>
      <c r="F267" s="5">
        <v>1724.8</v>
      </c>
      <c r="G267" s="6">
        <v>45228</v>
      </c>
      <c r="H267" s="5"/>
      <c r="I267" s="5"/>
      <c r="J267" s="5">
        <f t="shared" si="26"/>
        <v>17.899999999999864</v>
      </c>
      <c r="K267" s="8" t="b">
        <f t="shared" si="27"/>
        <v>1</v>
      </c>
    </row>
    <row r="268" spans="1:11">
      <c r="A268" s="5" t="s">
        <v>178</v>
      </c>
      <c r="B268" s="6">
        <v>45229</v>
      </c>
      <c r="C268" s="7">
        <v>0.4</v>
      </c>
      <c r="D268" s="5">
        <v>15.45</v>
      </c>
      <c r="E268" s="5">
        <v>1724.8</v>
      </c>
      <c r="F268" s="5">
        <v>1742.7</v>
      </c>
      <c r="G268" s="6">
        <v>45229</v>
      </c>
      <c r="H268" s="5"/>
      <c r="I268" s="5"/>
      <c r="J268" s="5">
        <f t="shared" si="26"/>
        <v>17.900000000000091</v>
      </c>
      <c r="K268" s="8" t="b">
        <f t="shared" si="27"/>
        <v>1</v>
      </c>
    </row>
    <row r="269" spans="1:11">
      <c r="A269" s="5" t="s">
        <v>168</v>
      </c>
      <c r="B269" s="6">
        <v>45230</v>
      </c>
      <c r="C269" s="7">
        <v>0.4</v>
      </c>
      <c r="D269" s="5">
        <v>15.45</v>
      </c>
      <c r="E269" s="5">
        <v>1742.7</v>
      </c>
      <c r="F269" s="5">
        <v>1760.5</v>
      </c>
      <c r="G269" s="6">
        <v>45230</v>
      </c>
      <c r="H269" s="5"/>
      <c r="I269" s="5"/>
      <c r="J269" s="5">
        <f t="shared" si="26"/>
        <v>17.799999999999955</v>
      </c>
      <c r="K269" s="8" t="b">
        <f t="shared" si="27"/>
        <v>1</v>
      </c>
    </row>
    <row r="270" spans="1:11">
      <c r="A270" s="5" t="s">
        <v>178</v>
      </c>
      <c r="B270" s="6">
        <v>45231</v>
      </c>
      <c r="C270" s="7">
        <v>0.4</v>
      </c>
      <c r="D270" s="5">
        <v>15.45</v>
      </c>
      <c r="E270" s="5">
        <v>1760.5</v>
      </c>
      <c r="F270" s="5">
        <v>1778.9</v>
      </c>
      <c r="G270" s="6">
        <v>45231</v>
      </c>
      <c r="H270" s="5"/>
      <c r="I270" s="5"/>
      <c r="J270" s="5">
        <f t="shared" si="26"/>
        <v>18.400000000000091</v>
      </c>
      <c r="K270" s="8" t="b">
        <f t="shared" si="27"/>
        <v>1</v>
      </c>
    </row>
    <row r="271" spans="1:11" ht="26.25">
      <c r="A271" s="126" t="s">
        <v>159</v>
      </c>
      <c r="B271" s="127"/>
      <c r="C271" s="127"/>
      <c r="D271" s="127"/>
      <c r="E271" s="127"/>
      <c r="F271" s="127"/>
      <c r="G271" s="127"/>
      <c r="H271" s="127"/>
      <c r="I271" s="127"/>
      <c r="J271" s="127"/>
      <c r="K271" s="128"/>
    </row>
    <row r="272" spans="1:11" ht="26.25">
      <c r="A272" s="129" t="s">
        <v>19</v>
      </c>
      <c r="B272" s="130"/>
      <c r="C272" s="130"/>
      <c r="D272" s="130"/>
      <c r="E272" s="130"/>
      <c r="F272" s="130"/>
      <c r="G272" s="130"/>
      <c r="H272" s="130"/>
      <c r="I272" s="130"/>
      <c r="J272" s="130"/>
      <c r="K272" s="131"/>
    </row>
    <row r="273" spans="1:11" ht="15.75" thickBot="1"/>
    <row r="274" spans="1:11" ht="15.75" thickBot="1">
      <c r="A274" s="29" t="s">
        <v>2</v>
      </c>
      <c r="B274" s="30"/>
      <c r="C274" s="30"/>
      <c r="D274" s="30"/>
      <c r="E274" s="30"/>
      <c r="F274" s="30"/>
      <c r="G274" s="30"/>
      <c r="H274" s="30"/>
      <c r="I274" s="30"/>
      <c r="J274" s="30"/>
      <c r="K274" s="31"/>
    </row>
    <row r="276" spans="1:11" ht="19.5" thickBot="1">
      <c r="A276" s="198" t="s">
        <v>3</v>
      </c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</row>
    <row r="277" spans="1:11" ht="30.75" thickBot="1">
      <c r="A277" s="2" t="s">
        <v>4</v>
      </c>
      <c r="B277" s="3" t="s">
        <v>5</v>
      </c>
      <c r="C277" s="3" t="s">
        <v>6</v>
      </c>
      <c r="D277" s="3" t="s">
        <v>7</v>
      </c>
      <c r="E277" s="3" t="s">
        <v>8</v>
      </c>
      <c r="F277" s="3" t="s">
        <v>9</v>
      </c>
      <c r="G277" s="3" t="s">
        <v>10</v>
      </c>
      <c r="H277" s="3" t="s">
        <v>21</v>
      </c>
      <c r="I277" s="4" t="s">
        <v>22</v>
      </c>
      <c r="J277" s="4" t="s">
        <v>11</v>
      </c>
      <c r="K277" s="4" t="s">
        <v>12</v>
      </c>
    </row>
    <row r="278" spans="1:11">
      <c r="A278" s="5" t="s">
        <v>181</v>
      </c>
      <c r="B278" s="6">
        <v>45303</v>
      </c>
      <c r="C278" s="7">
        <v>0.7</v>
      </c>
      <c r="D278" s="5">
        <v>10.37</v>
      </c>
      <c r="E278" s="5">
        <v>1779.1</v>
      </c>
      <c r="F278" s="5">
        <v>1799.8</v>
      </c>
      <c r="G278" s="6">
        <v>45303</v>
      </c>
      <c r="H278" s="5"/>
      <c r="I278" s="5"/>
      <c r="J278" s="5">
        <f t="shared" ref="J278:J280" si="28">F278-E278</f>
        <v>20.700000000000045</v>
      </c>
      <c r="K278" s="8" t="b">
        <f>E278=F270</f>
        <v>0</v>
      </c>
    </row>
    <row r="279" spans="1:11">
      <c r="A279" s="5" t="s">
        <v>181</v>
      </c>
      <c r="B279" s="6">
        <v>45304</v>
      </c>
      <c r="C279" s="7">
        <v>1</v>
      </c>
      <c r="D279" s="5">
        <v>6.18</v>
      </c>
      <c r="E279" s="5">
        <v>1799.8</v>
      </c>
      <c r="F279" s="5">
        <v>1814.7</v>
      </c>
      <c r="G279" s="6">
        <v>45304</v>
      </c>
      <c r="H279" s="5"/>
      <c r="I279" s="5"/>
      <c r="J279" s="5">
        <f t="shared" si="28"/>
        <v>14.900000000000091</v>
      </c>
      <c r="K279" s="8" t="b">
        <f t="shared" ref="K279:K280" si="29">E279=F278</f>
        <v>1</v>
      </c>
    </row>
    <row r="280" spans="1:11">
      <c r="A280" s="5" t="s">
        <v>181</v>
      </c>
      <c r="B280" s="6">
        <v>45305</v>
      </c>
      <c r="C280" s="7">
        <v>1</v>
      </c>
      <c r="D280" s="5">
        <v>6.18</v>
      </c>
      <c r="E280" s="5">
        <v>1814.7</v>
      </c>
      <c r="F280" s="5">
        <v>1828.8</v>
      </c>
      <c r="G280" s="6">
        <v>45305</v>
      </c>
      <c r="H280" s="5"/>
      <c r="I280" s="5"/>
      <c r="J280" s="5">
        <f t="shared" si="28"/>
        <v>14.099999999999909</v>
      </c>
      <c r="K280" s="8" t="b">
        <f t="shared" si="29"/>
        <v>1</v>
      </c>
    </row>
    <row r="281" spans="1:11">
      <c r="A281" s="5" t="s">
        <v>181</v>
      </c>
      <c r="B281" s="6">
        <v>45307</v>
      </c>
      <c r="C281" s="7">
        <v>1</v>
      </c>
      <c r="D281" s="5">
        <v>6.18</v>
      </c>
      <c r="E281" s="5">
        <v>1828.8</v>
      </c>
      <c r="F281" s="5">
        <v>1843</v>
      </c>
      <c r="G281" s="6">
        <v>45307</v>
      </c>
      <c r="H281" s="5"/>
      <c r="I281" s="5"/>
      <c r="J281" s="5">
        <f>F281-E281</f>
        <v>14.200000000000045</v>
      </c>
      <c r="K281" s="8" t="b">
        <f>E281=F280</f>
        <v>1</v>
      </c>
    </row>
    <row r="282" spans="1:11">
      <c r="A282" s="5" t="s">
        <v>182</v>
      </c>
      <c r="B282" s="6">
        <v>45308</v>
      </c>
      <c r="C282" s="7">
        <v>1</v>
      </c>
      <c r="D282" s="5">
        <v>6.18</v>
      </c>
      <c r="E282" s="5">
        <v>1843</v>
      </c>
      <c r="F282" s="5">
        <v>1857.2</v>
      </c>
      <c r="G282" s="6">
        <v>45308</v>
      </c>
      <c r="H282" s="5"/>
      <c r="I282" s="5"/>
      <c r="J282" s="5">
        <f>F282-E282</f>
        <v>14.200000000000045</v>
      </c>
      <c r="K282" s="8" t="b">
        <f>E282=F281</f>
        <v>1</v>
      </c>
    </row>
    <row r="283" spans="1:11">
      <c r="A283" s="5" t="s">
        <v>182</v>
      </c>
      <c r="B283" s="6">
        <v>45309</v>
      </c>
      <c r="C283" s="7">
        <v>1</v>
      </c>
      <c r="D283" s="5">
        <v>6.18</v>
      </c>
      <c r="E283" s="5">
        <v>1857.2</v>
      </c>
      <c r="F283" s="5">
        <v>1871.8</v>
      </c>
      <c r="G283" s="6">
        <v>45309</v>
      </c>
      <c r="H283" s="5"/>
      <c r="I283" s="5"/>
      <c r="J283" s="5">
        <f t="shared" ref="J283:J288" si="30">F283-E283</f>
        <v>14.599999999999909</v>
      </c>
      <c r="K283" s="8" t="b">
        <f t="shared" ref="K283:K288" si="31">E283=F282</f>
        <v>1</v>
      </c>
    </row>
    <row r="284" spans="1:11">
      <c r="A284" s="5" t="s">
        <v>182</v>
      </c>
      <c r="B284" s="6">
        <v>45310</v>
      </c>
      <c r="C284" s="7">
        <v>1</v>
      </c>
      <c r="D284" s="5">
        <v>6.18</v>
      </c>
      <c r="E284" s="5">
        <v>1871.8</v>
      </c>
      <c r="F284" s="5">
        <v>1886.8</v>
      </c>
      <c r="G284" s="6">
        <v>45310</v>
      </c>
      <c r="H284" s="5"/>
      <c r="I284" s="5"/>
      <c r="J284" s="5">
        <f t="shared" si="30"/>
        <v>15</v>
      </c>
      <c r="K284" s="8" t="b">
        <f t="shared" si="31"/>
        <v>1</v>
      </c>
    </row>
    <row r="285" spans="1:11">
      <c r="A285" s="5" t="s">
        <v>182</v>
      </c>
      <c r="B285" s="6">
        <v>45311</v>
      </c>
      <c r="C285" s="7">
        <v>1</v>
      </c>
      <c r="D285" s="5">
        <v>6.18</v>
      </c>
      <c r="E285" s="5">
        <v>1886.8</v>
      </c>
      <c r="F285" s="5">
        <v>1901.1</v>
      </c>
      <c r="G285" s="6">
        <v>45311</v>
      </c>
      <c r="H285" s="5"/>
      <c r="I285" s="5"/>
      <c r="J285" s="5">
        <f t="shared" si="30"/>
        <v>14.299999999999955</v>
      </c>
      <c r="K285" s="8" t="b">
        <f t="shared" si="31"/>
        <v>1</v>
      </c>
    </row>
    <row r="286" spans="1:11">
      <c r="A286" s="5" t="s">
        <v>182</v>
      </c>
      <c r="B286" s="6">
        <v>45312</v>
      </c>
      <c r="C286" s="7">
        <v>1</v>
      </c>
      <c r="D286" s="5">
        <v>6.18</v>
      </c>
      <c r="E286" s="5">
        <v>1901.1</v>
      </c>
      <c r="F286" s="5">
        <v>1915.4</v>
      </c>
      <c r="G286" s="6">
        <v>45312</v>
      </c>
      <c r="H286" s="5"/>
      <c r="I286" s="5"/>
      <c r="J286" s="5">
        <f t="shared" si="30"/>
        <v>14.300000000000182</v>
      </c>
      <c r="K286" s="8" t="b">
        <f t="shared" si="31"/>
        <v>1</v>
      </c>
    </row>
    <row r="287" spans="1:11">
      <c r="A287" s="101" t="s">
        <v>182</v>
      </c>
      <c r="B287" s="102">
        <v>45313</v>
      </c>
      <c r="C287" s="103">
        <v>1</v>
      </c>
      <c r="D287" s="101">
        <v>6.18</v>
      </c>
      <c r="E287" s="101">
        <v>1915.4</v>
      </c>
      <c r="F287" s="101">
        <v>1919.2</v>
      </c>
      <c r="G287" s="102">
        <v>45313</v>
      </c>
      <c r="H287" s="101"/>
      <c r="I287" s="101"/>
      <c r="J287" s="101">
        <f t="shared" si="30"/>
        <v>3.7999999999999545</v>
      </c>
      <c r="K287" s="8" t="b">
        <f t="shared" si="31"/>
        <v>1</v>
      </c>
    </row>
    <row r="288" spans="1:11">
      <c r="A288" s="5" t="s">
        <v>182</v>
      </c>
      <c r="B288" s="6">
        <v>45316</v>
      </c>
      <c r="C288" s="7">
        <v>1</v>
      </c>
      <c r="D288" s="5">
        <v>6.18</v>
      </c>
      <c r="E288" s="5">
        <v>1919.2</v>
      </c>
      <c r="F288" s="5">
        <v>1933.7</v>
      </c>
      <c r="G288" s="6">
        <v>45316</v>
      </c>
      <c r="H288" s="5"/>
      <c r="I288" s="5"/>
      <c r="J288" s="5">
        <f t="shared" si="30"/>
        <v>14.5</v>
      </c>
      <c r="K288" s="8" t="b">
        <f t="shared" si="31"/>
        <v>1</v>
      </c>
    </row>
    <row r="289" spans="1:11">
      <c r="A289" s="5" t="s">
        <v>182</v>
      </c>
      <c r="B289" s="6">
        <v>45327</v>
      </c>
      <c r="C289" s="7">
        <v>0.7</v>
      </c>
      <c r="D289" s="5">
        <v>10.37</v>
      </c>
      <c r="E289" s="5">
        <v>1933.7</v>
      </c>
      <c r="F289" s="5">
        <v>1954.1</v>
      </c>
      <c r="G289" s="6">
        <v>45327</v>
      </c>
      <c r="H289" s="5"/>
      <c r="I289" s="5"/>
      <c r="J289" s="5">
        <f t="shared" ref="J289:J298" si="32">F289-E289</f>
        <v>20.399999999999864</v>
      </c>
      <c r="K289" s="8" t="b">
        <f t="shared" ref="K289:K298" si="33">E289=F288</f>
        <v>1</v>
      </c>
    </row>
    <row r="290" spans="1:11">
      <c r="A290" s="5" t="s">
        <v>182</v>
      </c>
      <c r="B290" s="6">
        <v>45329</v>
      </c>
      <c r="C290" s="7">
        <v>0.7</v>
      </c>
      <c r="D290" s="5">
        <v>10.37</v>
      </c>
      <c r="E290" s="5">
        <v>1954.1</v>
      </c>
      <c r="F290" s="5">
        <v>1974.5</v>
      </c>
      <c r="G290" s="6">
        <v>45329</v>
      </c>
      <c r="H290" s="5"/>
      <c r="I290" s="5"/>
      <c r="J290" s="5">
        <f t="shared" si="32"/>
        <v>20.400000000000091</v>
      </c>
      <c r="K290" s="8" t="b">
        <f t="shared" si="33"/>
        <v>1</v>
      </c>
    </row>
    <row r="291" spans="1:11">
      <c r="A291" s="5" t="s">
        <v>182</v>
      </c>
      <c r="B291" s="6">
        <v>45336</v>
      </c>
      <c r="C291" s="7">
        <v>1</v>
      </c>
      <c r="D291" s="5">
        <v>6.18</v>
      </c>
      <c r="E291" s="5">
        <v>1974.5</v>
      </c>
      <c r="F291" s="5">
        <v>1981.5</v>
      </c>
      <c r="G291" s="6">
        <v>45518</v>
      </c>
      <c r="H291" s="5"/>
      <c r="I291" s="5"/>
      <c r="J291" s="5">
        <f t="shared" si="32"/>
        <v>7</v>
      </c>
      <c r="K291" s="8" t="b">
        <f t="shared" si="33"/>
        <v>1</v>
      </c>
    </row>
    <row r="292" spans="1:11">
      <c r="A292" s="5" t="s">
        <v>182</v>
      </c>
      <c r="B292" s="6">
        <v>45337</v>
      </c>
      <c r="C292" s="7">
        <v>1</v>
      </c>
      <c r="D292" s="5">
        <v>6.18</v>
      </c>
      <c r="E292" s="5">
        <v>1981.5</v>
      </c>
      <c r="F292" s="5">
        <v>1996.1</v>
      </c>
      <c r="G292" s="6">
        <v>45337</v>
      </c>
      <c r="H292" s="5"/>
      <c r="I292" s="5"/>
      <c r="J292" s="5">
        <f t="shared" si="32"/>
        <v>14.599999999999909</v>
      </c>
      <c r="K292" s="8" t="b">
        <f t="shared" si="33"/>
        <v>1</v>
      </c>
    </row>
    <row r="293" spans="1:11">
      <c r="A293" s="5" t="s">
        <v>182</v>
      </c>
      <c r="B293" s="6">
        <v>45348</v>
      </c>
      <c r="C293" s="7">
        <v>0.8</v>
      </c>
      <c r="D293" s="5">
        <v>9.08</v>
      </c>
      <c r="E293" s="5">
        <v>1996.1</v>
      </c>
      <c r="F293" s="5">
        <v>2015.7</v>
      </c>
      <c r="G293" s="6">
        <v>45348</v>
      </c>
      <c r="H293" s="5"/>
      <c r="I293" s="5"/>
      <c r="J293" s="5">
        <f t="shared" si="32"/>
        <v>19.600000000000136</v>
      </c>
      <c r="K293" s="8" t="b">
        <f t="shared" si="33"/>
        <v>1</v>
      </c>
    </row>
    <row r="294" spans="1:11">
      <c r="A294" s="5" t="s">
        <v>182</v>
      </c>
      <c r="B294" s="6">
        <v>45351</v>
      </c>
      <c r="C294" s="7">
        <v>0.8</v>
      </c>
      <c r="D294" s="5">
        <v>9.08</v>
      </c>
      <c r="E294" s="5">
        <v>2015.7</v>
      </c>
      <c r="F294" s="5">
        <v>2032.8</v>
      </c>
      <c r="G294" s="6">
        <v>45351</v>
      </c>
      <c r="H294" s="5"/>
      <c r="I294" s="5"/>
      <c r="J294" s="5">
        <f t="shared" si="32"/>
        <v>17.099999999999909</v>
      </c>
      <c r="K294" s="8" t="b">
        <f t="shared" si="33"/>
        <v>1</v>
      </c>
    </row>
    <row r="295" spans="1:11">
      <c r="A295" s="5" t="s">
        <v>182</v>
      </c>
      <c r="B295" s="6">
        <v>45354</v>
      </c>
      <c r="C295" s="7">
        <v>0.7</v>
      </c>
      <c r="D295" s="5">
        <v>10.37</v>
      </c>
      <c r="E295" s="5">
        <v>2032.8</v>
      </c>
      <c r="F295" s="5">
        <v>2050.1</v>
      </c>
      <c r="G295" s="6">
        <v>45354</v>
      </c>
      <c r="H295" s="5"/>
      <c r="I295" s="5"/>
      <c r="J295" s="5">
        <f t="shared" si="32"/>
        <v>17.299999999999955</v>
      </c>
      <c r="K295" s="8" t="b">
        <f t="shared" si="33"/>
        <v>1</v>
      </c>
    </row>
    <row r="296" spans="1:11">
      <c r="A296" s="5" t="s">
        <v>182</v>
      </c>
      <c r="B296" s="6">
        <v>45360</v>
      </c>
      <c r="C296" s="7">
        <v>1</v>
      </c>
      <c r="D296" s="5">
        <v>6.18</v>
      </c>
      <c r="E296" s="5">
        <v>2050.1</v>
      </c>
      <c r="F296" s="5">
        <v>2061.6999999999998</v>
      </c>
      <c r="G296" s="6">
        <v>45360</v>
      </c>
      <c r="H296" s="5"/>
      <c r="I296" s="5"/>
      <c r="J296" s="5">
        <f t="shared" si="32"/>
        <v>11.599999999999909</v>
      </c>
      <c r="K296" s="8" t="b">
        <f t="shared" si="33"/>
        <v>1</v>
      </c>
    </row>
    <row r="297" spans="1:11">
      <c r="A297" s="5" t="s">
        <v>182</v>
      </c>
      <c r="B297" s="6">
        <v>45363</v>
      </c>
      <c r="C297" s="7">
        <v>0.7</v>
      </c>
      <c r="D297" s="5">
        <v>10.37</v>
      </c>
      <c r="E297" s="5">
        <v>2061.6999999999998</v>
      </c>
      <c r="F297" s="5">
        <v>2085.4</v>
      </c>
      <c r="G297" s="6">
        <v>45363</v>
      </c>
      <c r="H297" s="5"/>
      <c r="I297" s="5"/>
      <c r="J297" s="5">
        <f t="shared" si="32"/>
        <v>23.700000000000273</v>
      </c>
      <c r="K297" s="8" t="b">
        <f t="shared" si="33"/>
        <v>1</v>
      </c>
    </row>
    <row r="298" spans="1:11">
      <c r="A298" s="5" t="s">
        <v>182</v>
      </c>
      <c r="B298" s="6">
        <v>45365</v>
      </c>
      <c r="C298" s="7">
        <v>0.7</v>
      </c>
      <c r="D298" s="5">
        <v>10.37</v>
      </c>
      <c r="E298" s="5">
        <v>2085.4</v>
      </c>
      <c r="F298" s="5">
        <v>2105.6999999999998</v>
      </c>
      <c r="G298" s="6">
        <v>45365</v>
      </c>
      <c r="H298" s="5"/>
      <c r="I298" s="5"/>
      <c r="J298" s="5">
        <f t="shared" si="32"/>
        <v>20.299999999999727</v>
      </c>
      <c r="K298" s="8" t="b">
        <f t="shared" si="33"/>
        <v>1</v>
      </c>
    </row>
    <row r="299" spans="1:11">
      <c r="A299" s="5" t="s">
        <v>182</v>
      </c>
      <c r="B299" s="6">
        <v>45368</v>
      </c>
      <c r="C299" s="7">
        <v>0.6</v>
      </c>
      <c r="D299" s="5">
        <v>12.11</v>
      </c>
      <c r="E299" s="5">
        <v>2105.6999999999998</v>
      </c>
      <c r="F299" s="5">
        <v>2129.9</v>
      </c>
      <c r="G299" s="6">
        <v>45368</v>
      </c>
      <c r="H299" s="5"/>
      <c r="I299" s="5"/>
      <c r="J299" s="5">
        <f t="shared" ref="J299:J316" si="34">F299-E299</f>
        <v>24.200000000000273</v>
      </c>
      <c r="K299" s="8" t="b">
        <f t="shared" ref="K299:K316" si="35">E299=F298</f>
        <v>1</v>
      </c>
    </row>
    <row r="300" spans="1:11">
      <c r="A300" s="5" t="s">
        <v>182</v>
      </c>
      <c r="B300" s="6">
        <v>45370</v>
      </c>
      <c r="C300" s="7">
        <v>1</v>
      </c>
      <c r="D300" s="5">
        <v>6.18</v>
      </c>
      <c r="E300" s="5">
        <v>2129.9</v>
      </c>
      <c r="F300" s="5">
        <v>2144.1999999999998</v>
      </c>
      <c r="G300" s="6">
        <v>45370</v>
      </c>
      <c r="H300" s="5"/>
      <c r="I300" s="5"/>
      <c r="J300" s="5">
        <f t="shared" si="34"/>
        <v>14.299999999999727</v>
      </c>
      <c r="K300" s="8" t="b">
        <f t="shared" si="35"/>
        <v>1</v>
      </c>
    </row>
    <row r="301" spans="1:11">
      <c r="A301" s="5" t="s">
        <v>182</v>
      </c>
      <c r="B301" s="6">
        <v>45379</v>
      </c>
      <c r="C301" s="7">
        <v>1</v>
      </c>
      <c r="D301" s="5">
        <v>6.18</v>
      </c>
      <c r="E301" s="5">
        <v>2144.1999999999998</v>
      </c>
      <c r="F301" s="5">
        <v>2158.6</v>
      </c>
      <c r="G301" s="6">
        <v>45379</v>
      </c>
      <c r="H301" s="5"/>
      <c r="I301" s="5"/>
      <c r="J301" s="5">
        <f t="shared" si="34"/>
        <v>14.400000000000091</v>
      </c>
      <c r="K301" s="8" t="b">
        <f t="shared" si="35"/>
        <v>1</v>
      </c>
    </row>
    <row r="302" spans="1:11">
      <c r="A302" s="5" t="s">
        <v>182</v>
      </c>
      <c r="B302" s="6">
        <v>45381</v>
      </c>
      <c r="C302" s="7">
        <v>0.6</v>
      </c>
      <c r="D302" s="5">
        <v>12.11</v>
      </c>
      <c r="E302" s="5">
        <v>2158.6</v>
      </c>
      <c r="F302" s="5">
        <v>2182.3000000000002</v>
      </c>
      <c r="G302" s="6">
        <v>45381</v>
      </c>
      <c r="H302" s="5"/>
      <c r="I302" s="5"/>
      <c r="J302" s="5">
        <f t="shared" si="34"/>
        <v>23.700000000000273</v>
      </c>
      <c r="K302" s="8" t="b">
        <f t="shared" si="35"/>
        <v>1</v>
      </c>
    </row>
    <row r="303" spans="1:11">
      <c r="A303" s="5" t="s">
        <v>182</v>
      </c>
      <c r="B303" s="6">
        <v>45383</v>
      </c>
      <c r="C303" s="7">
        <v>1</v>
      </c>
      <c r="D303" s="5">
        <v>6.18</v>
      </c>
      <c r="E303" s="5">
        <v>2182.3000000000002</v>
      </c>
      <c r="F303" s="5">
        <v>2196.6999999999998</v>
      </c>
      <c r="G303" s="6">
        <v>45383</v>
      </c>
      <c r="H303" s="5"/>
      <c r="I303" s="5"/>
      <c r="J303" s="5">
        <f t="shared" si="34"/>
        <v>14.399999999999636</v>
      </c>
      <c r="K303" s="8" t="b">
        <f t="shared" si="35"/>
        <v>1</v>
      </c>
    </row>
    <row r="304" spans="1:11">
      <c r="A304" s="5" t="s">
        <v>182</v>
      </c>
      <c r="B304" s="6">
        <v>45384</v>
      </c>
      <c r="C304" s="7">
        <v>1</v>
      </c>
      <c r="D304" s="5">
        <v>6.18</v>
      </c>
      <c r="E304" s="5">
        <v>2196.6999999999998</v>
      </c>
      <c r="F304" s="5">
        <v>2211.6999999999998</v>
      </c>
      <c r="G304" s="6">
        <v>45384</v>
      </c>
      <c r="H304" s="5"/>
      <c r="I304" s="5"/>
      <c r="J304" s="5">
        <f t="shared" si="34"/>
        <v>15</v>
      </c>
      <c r="K304" s="8" t="b">
        <f t="shared" si="35"/>
        <v>1</v>
      </c>
    </row>
    <row r="305" spans="1:11">
      <c r="A305" s="5" t="s">
        <v>182</v>
      </c>
      <c r="B305" s="6">
        <v>45387</v>
      </c>
      <c r="C305" s="7">
        <v>1</v>
      </c>
      <c r="D305" s="5">
        <v>6.18</v>
      </c>
      <c r="E305" s="5">
        <v>2211.6999999999998</v>
      </c>
      <c r="F305" s="5">
        <v>2226.1</v>
      </c>
      <c r="G305" s="6">
        <v>45387</v>
      </c>
      <c r="H305" s="5"/>
      <c r="I305" s="5"/>
      <c r="J305" s="5">
        <f t="shared" si="34"/>
        <v>14.400000000000091</v>
      </c>
      <c r="K305" s="8" t="b">
        <f t="shared" si="35"/>
        <v>1</v>
      </c>
    </row>
    <row r="306" spans="1:11">
      <c r="A306" s="5" t="s">
        <v>182</v>
      </c>
      <c r="B306" s="6">
        <v>45391</v>
      </c>
      <c r="C306" s="7">
        <v>0.7</v>
      </c>
      <c r="D306" s="5">
        <v>10.37</v>
      </c>
      <c r="E306" s="5">
        <v>2226.1</v>
      </c>
      <c r="F306" s="5">
        <v>2247.1</v>
      </c>
      <c r="G306" s="6">
        <v>45391</v>
      </c>
      <c r="H306" s="5"/>
      <c r="I306" s="5"/>
      <c r="J306" s="5">
        <f t="shared" si="34"/>
        <v>21</v>
      </c>
      <c r="K306" s="8" t="b">
        <f t="shared" si="35"/>
        <v>1</v>
      </c>
    </row>
    <row r="307" spans="1:11">
      <c r="A307" s="5" t="s">
        <v>182</v>
      </c>
      <c r="B307" s="6">
        <v>45398</v>
      </c>
      <c r="C307" s="7">
        <v>1</v>
      </c>
      <c r="D307" s="5">
        <v>6.18</v>
      </c>
      <c r="E307" s="5">
        <v>2247.1</v>
      </c>
      <c r="F307" s="5">
        <v>2266.3000000000002</v>
      </c>
      <c r="G307" s="6">
        <v>45398</v>
      </c>
      <c r="H307" s="5"/>
      <c r="I307" s="5"/>
      <c r="J307" s="5">
        <f t="shared" si="34"/>
        <v>19.200000000000273</v>
      </c>
      <c r="K307" s="8" t="b">
        <f t="shared" si="35"/>
        <v>1</v>
      </c>
    </row>
    <row r="308" spans="1:11">
      <c r="A308" s="5" t="s">
        <v>182</v>
      </c>
      <c r="B308" s="6">
        <v>45403</v>
      </c>
      <c r="C308" s="7">
        <v>0.7</v>
      </c>
      <c r="D308" s="5">
        <v>10.37</v>
      </c>
      <c r="E308" s="5">
        <v>2266.3000000000002</v>
      </c>
      <c r="F308" s="5">
        <v>2286</v>
      </c>
      <c r="G308" s="6">
        <v>45403</v>
      </c>
      <c r="H308" s="5"/>
      <c r="I308" s="5"/>
      <c r="J308" s="5">
        <f t="shared" si="34"/>
        <v>19.699999999999818</v>
      </c>
      <c r="K308" s="8" t="b">
        <f t="shared" si="35"/>
        <v>1</v>
      </c>
    </row>
    <row r="309" spans="1:11">
      <c r="A309" s="5" t="s">
        <v>182</v>
      </c>
      <c r="B309" s="6">
        <v>45406</v>
      </c>
      <c r="C309" s="7">
        <v>0.7</v>
      </c>
      <c r="D309" s="5">
        <v>10.37</v>
      </c>
      <c r="E309" s="5">
        <v>2286</v>
      </c>
      <c r="F309" s="5">
        <v>2307.3000000000002</v>
      </c>
      <c r="G309" s="6">
        <v>45406</v>
      </c>
      <c r="H309" s="5"/>
      <c r="I309" s="5"/>
      <c r="J309" s="5">
        <f t="shared" si="34"/>
        <v>21.300000000000182</v>
      </c>
      <c r="K309" s="8" t="b">
        <f t="shared" si="35"/>
        <v>1</v>
      </c>
    </row>
    <row r="310" spans="1:11">
      <c r="A310" s="5" t="s">
        <v>182</v>
      </c>
      <c r="B310" s="6">
        <v>45410</v>
      </c>
      <c r="C310" s="7">
        <v>0.8</v>
      </c>
      <c r="D310" s="5">
        <v>9.08</v>
      </c>
      <c r="E310" s="5">
        <v>2307.3000000000002</v>
      </c>
      <c r="F310" s="5">
        <v>2325.3000000000002</v>
      </c>
      <c r="G310" s="6">
        <v>45410</v>
      </c>
      <c r="H310" s="5"/>
      <c r="I310" s="5"/>
      <c r="J310" s="5">
        <f t="shared" si="34"/>
        <v>18</v>
      </c>
      <c r="K310" s="8" t="b">
        <f t="shared" si="35"/>
        <v>1</v>
      </c>
    </row>
    <row r="311" spans="1:11">
      <c r="A311" s="5" t="s">
        <v>182</v>
      </c>
      <c r="B311" s="6">
        <v>45416</v>
      </c>
      <c r="C311" s="7">
        <v>0.7</v>
      </c>
      <c r="D311" s="5">
        <v>10.37</v>
      </c>
      <c r="E311" s="5">
        <v>2325.3000000000002</v>
      </c>
      <c r="F311" s="5">
        <v>2345.6999999999998</v>
      </c>
      <c r="G311" s="6">
        <v>45416</v>
      </c>
      <c r="H311" s="5"/>
      <c r="I311" s="5"/>
      <c r="J311" s="5">
        <f t="shared" si="34"/>
        <v>20.399999999999636</v>
      </c>
      <c r="K311" s="8" t="b">
        <f t="shared" si="35"/>
        <v>1</v>
      </c>
    </row>
    <row r="312" spans="1:11">
      <c r="A312" s="5" t="s">
        <v>182</v>
      </c>
      <c r="B312" s="6">
        <v>45420</v>
      </c>
      <c r="C312" s="7">
        <v>0.7</v>
      </c>
      <c r="D312" s="5">
        <v>10.37</v>
      </c>
      <c r="E312" s="5">
        <v>2345.6999999999998</v>
      </c>
      <c r="F312" s="5">
        <v>2366.4</v>
      </c>
      <c r="G312" s="6">
        <v>45420</v>
      </c>
      <c r="H312" s="5"/>
      <c r="I312" s="5"/>
      <c r="J312" s="5">
        <f t="shared" si="34"/>
        <v>20.700000000000273</v>
      </c>
      <c r="K312" s="8" t="b">
        <f t="shared" si="35"/>
        <v>1</v>
      </c>
    </row>
    <row r="313" spans="1:11">
      <c r="A313" s="5" t="s">
        <v>182</v>
      </c>
      <c r="B313" s="6">
        <v>45427</v>
      </c>
      <c r="C313" s="7">
        <v>0.7</v>
      </c>
      <c r="D313" s="5">
        <v>10.37</v>
      </c>
      <c r="E313" s="5">
        <v>2366.4</v>
      </c>
      <c r="F313" s="5">
        <v>2386.8000000000002</v>
      </c>
      <c r="G313" s="6">
        <v>45427</v>
      </c>
      <c r="H313" s="5"/>
      <c r="I313" s="5"/>
      <c r="J313" s="5">
        <f t="shared" si="34"/>
        <v>20.400000000000091</v>
      </c>
      <c r="K313" s="8" t="b">
        <f t="shared" si="35"/>
        <v>1</v>
      </c>
    </row>
    <row r="314" spans="1:11">
      <c r="A314" s="5" t="s">
        <v>182</v>
      </c>
      <c r="B314" s="6">
        <v>45431</v>
      </c>
      <c r="C314" s="7">
        <v>0.7</v>
      </c>
      <c r="D314" s="5">
        <v>10.37</v>
      </c>
      <c r="E314" s="5">
        <v>2386.8000000000002</v>
      </c>
      <c r="F314" s="5">
        <v>2407.1999999999998</v>
      </c>
      <c r="G314" s="6">
        <v>45431</v>
      </c>
      <c r="H314" s="5"/>
      <c r="I314" s="5"/>
      <c r="J314" s="5">
        <f t="shared" si="34"/>
        <v>20.399999999999636</v>
      </c>
      <c r="K314" s="8" t="b">
        <f t="shared" si="35"/>
        <v>1</v>
      </c>
    </row>
    <row r="315" spans="1:11">
      <c r="A315" s="5" t="s">
        <v>182</v>
      </c>
      <c r="B315" s="6">
        <v>45435</v>
      </c>
      <c r="C315" s="7">
        <v>0.7</v>
      </c>
      <c r="D315" s="5">
        <v>10.37</v>
      </c>
      <c r="E315" s="5">
        <v>2407.1999999999998</v>
      </c>
      <c r="F315" s="5">
        <v>2427.9</v>
      </c>
      <c r="G315" s="6">
        <v>45435</v>
      </c>
      <c r="H315" s="5"/>
      <c r="I315" s="5"/>
      <c r="J315" s="5">
        <f t="shared" si="34"/>
        <v>20.700000000000273</v>
      </c>
      <c r="K315" s="8" t="b">
        <f t="shared" si="35"/>
        <v>1</v>
      </c>
    </row>
    <row r="316" spans="1:11">
      <c r="A316" s="5" t="s">
        <v>182</v>
      </c>
      <c r="B316" s="6">
        <v>45439</v>
      </c>
      <c r="C316" s="7">
        <v>0.6</v>
      </c>
      <c r="D316" s="5">
        <v>12.11</v>
      </c>
      <c r="E316" s="5">
        <v>2427.9</v>
      </c>
      <c r="F316" s="5">
        <v>2452</v>
      </c>
      <c r="G316" s="6">
        <v>45439</v>
      </c>
      <c r="H316" s="5"/>
      <c r="I316" s="5"/>
      <c r="J316" s="5">
        <f t="shared" si="34"/>
        <v>24.099999999999909</v>
      </c>
      <c r="K316" s="8" t="b">
        <f t="shared" si="35"/>
        <v>1</v>
      </c>
    </row>
    <row r="317" spans="1:11">
      <c r="A317" s="5" t="s">
        <v>182</v>
      </c>
      <c r="B317" s="6">
        <v>45444</v>
      </c>
      <c r="C317" s="7">
        <v>0.6</v>
      </c>
      <c r="D317" s="5">
        <v>12.11</v>
      </c>
      <c r="E317" s="5">
        <v>2452</v>
      </c>
      <c r="F317" s="5">
        <v>2475.8000000000002</v>
      </c>
      <c r="G317" s="6">
        <v>45444</v>
      </c>
      <c r="H317" s="5"/>
      <c r="I317" s="5"/>
      <c r="J317" s="5">
        <f t="shared" ref="J317:J369" si="36">F317-E317</f>
        <v>23.800000000000182</v>
      </c>
      <c r="K317" s="8" t="b">
        <f t="shared" ref="K317:K369" si="37">E317=F316</f>
        <v>1</v>
      </c>
    </row>
    <row r="318" spans="1:11">
      <c r="A318" s="5" t="s">
        <v>182</v>
      </c>
      <c r="B318" s="6">
        <v>45447</v>
      </c>
      <c r="C318" s="7">
        <v>0.6</v>
      </c>
      <c r="D318" s="5">
        <v>12.11</v>
      </c>
      <c r="E318" s="5">
        <v>2475.8000000000002</v>
      </c>
      <c r="F318" s="5">
        <v>2499.6999999999998</v>
      </c>
      <c r="G318" s="6">
        <v>45447</v>
      </c>
      <c r="H318" s="5"/>
      <c r="I318" s="5"/>
      <c r="J318" s="5">
        <f t="shared" si="36"/>
        <v>23.899999999999636</v>
      </c>
      <c r="K318" s="8" t="b">
        <f t="shared" si="37"/>
        <v>1</v>
      </c>
    </row>
    <row r="319" spans="1:11">
      <c r="A319" s="5" t="s">
        <v>182</v>
      </c>
      <c r="B319" s="6">
        <v>45455</v>
      </c>
      <c r="C319" s="7">
        <v>0.7</v>
      </c>
      <c r="D319" s="5">
        <v>10.37</v>
      </c>
      <c r="E319" s="5">
        <v>2499.6999999999998</v>
      </c>
      <c r="F319" s="5">
        <v>2521.1</v>
      </c>
      <c r="G319" s="6">
        <v>45455</v>
      </c>
      <c r="H319" s="5"/>
      <c r="I319" s="5"/>
      <c r="J319" s="5">
        <f t="shared" si="36"/>
        <v>21.400000000000091</v>
      </c>
      <c r="K319" s="8" t="b">
        <f t="shared" si="37"/>
        <v>1</v>
      </c>
    </row>
    <row r="320" spans="1:11">
      <c r="A320" s="5" t="s">
        <v>182</v>
      </c>
      <c r="B320" s="6">
        <v>45458</v>
      </c>
      <c r="C320" s="7">
        <v>0.7</v>
      </c>
      <c r="D320" s="5">
        <v>10.37</v>
      </c>
      <c r="E320" s="5">
        <v>2521.1</v>
      </c>
      <c r="F320" s="5">
        <v>2544</v>
      </c>
      <c r="G320" s="6">
        <v>45458</v>
      </c>
      <c r="H320" s="5"/>
      <c r="I320" s="5"/>
      <c r="J320" s="5">
        <f t="shared" si="36"/>
        <v>22.900000000000091</v>
      </c>
      <c r="K320" s="8" t="b">
        <f t="shared" si="37"/>
        <v>1</v>
      </c>
    </row>
    <row r="321" spans="1:11">
      <c r="A321" s="5" t="s">
        <v>182</v>
      </c>
      <c r="B321" s="6">
        <v>45461</v>
      </c>
      <c r="C321" s="7">
        <v>0.7</v>
      </c>
      <c r="D321" s="5">
        <v>10.37</v>
      </c>
      <c r="E321" s="5">
        <v>2544</v>
      </c>
      <c r="F321" s="5">
        <v>2564.4</v>
      </c>
      <c r="G321" s="6">
        <v>45461</v>
      </c>
      <c r="H321" s="5"/>
      <c r="I321" s="5"/>
      <c r="J321" s="5">
        <f t="shared" si="36"/>
        <v>20.400000000000091</v>
      </c>
      <c r="K321" s="8" t="b">
        <f t="shared" si="37"/>
        <v>1</v>
      </c>
    </row>
    <row r="322" spans="1:11">
      <c r="A322" s="5" t="s">
        <v>182</v>
      </c>
      <c r="B322" s="6">
        <v>45465</v>
      </c>
      <c r="C322" s="7">
        <v>0.5</v>
      </c>
      <c r="D322" s="5">
        <v>12.36</v>
      </c>
      <c r="E322" s="5">
        <v>2564.4</v>
      </c>
      <c r="F322" s="5">
        <v>2579.1</v>
      </c>
      <c r="G322" s="6">
        <v>45465</v>
      </c>
      <c r="H322" s="5"/>
      <c r="I322" s="5"/>
      <c r="J322" s="5">
        <f t="shared" si="36"/>
        <v>14.699999999999818</v>
      </c>
      <c r="K322" s="8" t="b">
        <f t="shared" si="37"/>
        <v>1</v>
      </c>
    </row>
    <row r="323" spans="1:11">
      <c r="A323" s="5" t="s">
        <v>182</v>
      </c>
      <c r="B323" s="6">
        <v>45466</v>
      </c>
      <c r="C323" s="7">
        <v>0.5</v>
      </c>
      <c r="D323" s="5">
        <v>12.36</v>
      </c>
      <c r="E323" s="5">
        <v>2579.1</v>
      </c>
      <c r="F323" s="5">
        <v>2592.9</v>
      </c>
      <c r="G323" s="6">
        <v>45466</v>
      </c>
      <c r="H323" s="5"/>
      <c r="I323" s="5"/>
      <c r="J323" s="5">
        <f t="shared" si="36"/>
        <v>13.800000000000182</v>
      </c>
      <c r="K323" s="8" t="b">
        <f t="shared" si="37"/>
        <v>1</v>
      </c>
    </row>
    <row r="324" spans="1:11">
      <c r="A324" s="5" t="s">
        <v>182</v>
      </c>
      <c r="B324" s="6">
        <v>45470</v>
      </c>
      <c r="C324" s="7">
        <v>0.7</v>
      </c>
      <c r="D324" s="5">
        <v>10.37</v>
      </c>
      <c r="E324" s="5">
        <v>2592.9</v>
      </c>
      <c r="F324" s="5">
        <v>2613.4</v>
      </c>
      <c r="G324" s="6">
        <v>45470</v>
      </c>
      <c r="H324" s="5"/>
      <c r="I324" s="5"/>
      <c r="J324" s="5">
        <f t="shared" si="36"/>
        <v>20.5</v>
      </c>
      <c r="K324" s="8" t="b">
        <f t="shared" si="37"/>
        <v>1</v>
      </c>
    </row>
    <row r="325" spans="1:11">
      <c r="A325" s="5" t="s">
        <v>182</v>
      </c>
      <c r="B325" s="6"/>
      <c r="C325" s="7"/>
      <c r="D325" s="5"/>
      <c r="E325" s="5"/>
      <c r="F325" s="5"/>
      <c r="G325" s="6"/>
      <c r="H325" s="5"/>
      <c r="I325" s="5"/>
      <c r="J325" s="5">
        <f t="shared" si="36"/>
        <v>0</v>
      </c>
      <c r="K325" s="8" t="b">
        <f t="shared" si="37"/>
        <v>0</v>
      </c>
    </row>
    <row r="326" spans="1:11" ht="26.25">
      <c r="A326" s="126" t="s">
        <v>159</v>
      </c>
      <c r="B326" s="127"/>
      <c r="C326" s="127"/>
      <c r="D326" s="127"/>
      <c r="E326" s="127"/>
      <c r="F326" s="127"/>
      <c r="G326" s="127"/>
      <c r="H326" s="127"/>
      <c r="I326" s="127"/>
      <c r="J326" s="127"/>
      <c r="K326" s="128"/>
    </row>
    <row r="327" spans="1:11" ht="26.25">
      <c r="A327" s="129" t="s">
        <v>48</v>
      </c>
      <c r="B327" s="130"/>
      <c r="C327" s="130"/>
      <c r="D327" s="130"/>
      <c r="E327" s="130"/>
      <c r="F327" s="130"/>
      <c r="G327" s="130"/>
      <c r="H327" s="130"/>
      <c r="I327" s="130"/>
      <c r="J327" s="130"/>
      <c r="K327" s="131"/>
    </row>
    <row r="328" spans="1:11" ht="15.75" thickBot="1"/>
    <row r="329" spans="1:11" ht="15.75" thickBot="1">
      <c r="A329" s="29" t="s">
        <v>2</v>
      </c>
      <c r="B329" s="30"/>
      <c r="C329" s="30"/>
      <c r="D329" s="30"/>
      <c r="E329" s="30"/>
      <c r="F329" s="30"/>
      <c r="G329" s="30"/>
      <c r="H329" s="30"/>
      <c r="I329" s="30"/>
      <c r="J329" s="30"/>
      <c r="K329" s="31"/>
    </row>
    <row r="331" spans="1:11" ht="19.5" thickBot="1">
      <c r="A331" s="198" t="s">
        <v>3</v>
      </c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</row>
    <row r="332" spans="1:11" ht="36.75" customHeight="1" thickBot="1">
      <c r="A332" s="2" t="s">
        <v>4</v>
      </c>
      <c r="B332" s="3" t="s">
        <v>5</v>
      </c>
      <c r="C332" s="3" t="s">
        <v>6</v>
      </c>
      <c r="D332" s="3" t="s">
        <v>7</v>
      </c>
      <c r="E332" s="3" t="s">
        <v>8</v>
      </c>
      <c r="F332" s="3" t="s">
        <v>9</v>
      </c>
      <c r="G332" s="3" t="s">
        <v>10</v>
      </c>
      <c r="H332" s="3" t="s">
        <v>21</v>
      </c>
      <c r="I332" s="4" t="s">
        <v>22</v>
      </c>
      <c r="J332" s="4" t="s">
        <v>11</v>
      </c>
      <c r="K332" s="4" t="s">
        <v>12</v>
      </c>
    </row>
    <row r="333" spans="1:11">
      <c r="A333" s="5" t="s">
        <v>181</v>
      </c>
      <c r="B333" s="6">
        <v>45575</v>
      </c>
      <c r="C333" s="7">
        <v>1</v>
      </c>
      <c r="D333" s="5">
        <v>6.18</v>
      </c>
      <c r="E333" s="5">
        <v>2613.4</v>
      </c>
      <c r="F333" s="5">
        <v>2628</v>
      </c>
      <c r="G333" s="6">
        <v>45575</v>
      </c>
      <c r="H333" s="5"/>
      <c r="I333" s="5"/>
      <c r="J333" s="5">
        <f t="shared" ref="J333" si="38">F333-E333</f>
        <v>14.599999999999909</v>
      </c>
      <c r="K333" s="8" t="b">
        <f>E333=F325</f>
        <v>0</v>
      </c>
    </row>
    <row r="334" spans="1:11">
      <c r="A334" s="5" t="s">
        <v>182</v>
      </c>
      <c r="B334" s="6"/>
      <c r="C334" s="7"/>
      <c r="D334" s="5"/>
      <c r="E334" s="5"/>
      <c r="F334" s="5"/>
      <c r="G334" s="6"/>
      <c r="H334" s="5"/>
      <c r="I334" s="5"/>
      <c r="J334" s="5">
        <f t="shared" si="36"/>
        <v>0</v>
      </c>
      <c r="K334" s="8" t="b">
        <f t="shared" si="37"/>
        <v>0</v>
      </c>
    </row>
    <row r="335" spans="1:11">
      <c r="A335" s="5" t="s">
        <v>182</v>
      </c>
      <c r="B335" s="6"/>
      <c r="C335" s="7"/>
      <c r="D335" s="5"/>
      <c r="E335" s="5"/>
      <c r="F335" s="5"/>
      <c r="G335" s="6"/>
      <c r="H335" s="5"/>
      <c r="I335" s="5"/>
      <c r="J335" s="5">
        <f t="shared" si="36"/>
        <v>0</v>
      </c>
      <c r="K335" s="8" t="b">
        <f t="shared" si="37"/>
        <v>1</v>
      </c>
    </row>
    <row r="336" spans="1:11">
      <c r="A336" s="5" t="s">
        <v>182</v>
      </c>
      <c r="B336" s="6"/>
      <c r="C336" s="7"/>
      <c r="D336" s="5"/>
      <c r="E336" s="5"/>
      <c r="F336" s="5"/>
      <c r="G336" s="6"/>
      <c r="H336" s="5"/>
      <c r="I336" s="5"/>
      <c r="J336" s="5">
        <f t="shared" si="36"/>
        <v>0</v>
      </c>
      <c r="K336" s="8" t="b">
        <f t="shared" si="37"/>
        <v>1</v>
      </c>
    </row>
    <row r="337" spans="1:11">
      <c r="A337" s="5" t="s">
        <v>182</v>
      </c>
      <c r="B337" s="6"/>
      <c r="C337" s="7"/>
      <c r="D337" s="5"/>
      <c r="E337" s="5"/>
      <c r="F337" s="5"/>
      <c r="G337" s="6"/>
      <c r="H337" s="5"/>
      <c r="I337" s="5"/>
      <c r="J337" s="5">
        <f t="shared" si="36"/>
        <v>0</v>
      </c>
      <c r="K337" s="8" t="b">
        <f t="shared" si="37"/>
        <v>1</v>
      </c>
    </row>
    <row r="338" spans="1:11">
      <c r="A338" s="5" t="s">
        <v>182</v>
      </c>
      <c r="B338" s="6"/>
      <c r="C338" s="7"/>
      <c r="D338" s="5"/>
      <c r="E338" s="5"/>
      <c r="F338" s="5"/>
      <c r="G338" s="6"/>
      <c r="H338" s="5"/>
      <c r="I338" s="5"/>
      <c r="J338" s="5">
        <f t="shared" si="36"/>
        <v>0</v>
      </c>
      <c r="K338" s="8" t="b">
        <f t="shared" si="37"/>
        <v>1</v>
      </c>
    </row>
    <row r="339" spans="1:11">
      <c r="A339" s="5" t="s">
        <v>182</v>
      </c>
      <c r="B339" s="6"/>
      <c r="C339" s="7"/>
      <c r="D339" s="5"/>
      <c r="E339" s="5"/>
      <c r="F339" s="5"/>
      <c r="G339" s="6"/>
      <c r="H339" s="5"/>
      <c r="I339" s="5"/>
      <c r="J339" s="5">
        <f t="shared" si="36"/>
        <v>0</v>
      </c>
      <c r="K339" s="8" t="b">
        <f t="shared" si="37"/>
        <v>1</v>
      </c>
    </row>
    <row r="340" spans="1:11">
      <c r="A340" s="5" t="s">
        <v>182</v>
      </c>
      <c r="B340" s="6"/>
      <c r="C340" s="7"/>
      <c r="D340" s="5"/>
      <c r="E340" s="5"/>
      <c r="F340" s="5"/>
      <c r="G340" s="6"/>
      <c r="H340" s="5"/>
      <c r="I340" s="5"/>
      <c r="J340" s="5">
        <f t="shared" si="36"/>
        <v>0</v>
      </c>
      <c r="K340" s="8" t="b">
        <f t="shared" si="37"/>
        <v>1</v>
      </c>
    </row>
    <row r="341" spans="1:11">
      <c r="A341" s="5" t="s">
        <v>182</v>
      </c>
      <c r="B341" s="6"/>
      <c r="C341" s="7"/>
      <c r="D341" s="5"/>
      <c r="E341" s="5"/>
      <c r="F341" s="5"/>
      <c r="G341" s="6"/>
      <c r="H341" s="5"/>
      <c r="I341" s="5"/>
      <c r="J341" s="5">
        <f t="shared" si="36"/>
        <v>0</v>
      </c>
      <c r="K341" s="8" t="b">
        <f t="shared" si="37"/>
        <v>1</v>
      </c>
    </row>
    <row r="342" spans="1:11">
      <c r="A342" s="5" t="s">
        <v>182</v>
      </c>
      <c r="B342" s="6"/>
      <c r="C342" s="7"/>
      <c r="D342" s="5"/>
      <c r="E342" s="5"/>
      <c r="F342" s="5"/>
      <c r="G342" s="6"/>
      <c r="H342" s="5"/>
      <c r="I342" s="5"/>
      <c r="J342" s="5">
        <f t="shared" si="36"/>
        <v>0</v>
      </c>
      <c r="K342" s="8" t="b">
        <f t="shared" si="37"/>
        <v>1</v>
      </c>
    </row>
    <row r="343" spans="1:11">
      <c r="A343" s="5" t="s">
        <v>182</v>
      </c>
      <c r="B343" s="6"/>
      <c r="C343" s="7"/>
      <c r="D343" s="5"/>
      <c r="E343" s="5"/>
      <c r="F343" s="5"/>
      <c r="G343" s="6"/>
      <c r="H343" s="5"/>
      <c r="I343" s="5"/>
      <c r="J343" s="5">
        <f t="shared" si="36"/>
        <v>0</v>
      </c>
      <c r="K343" s="8" t="b">
        <f t="shared" si="37"/>
        <v>1</v>
      </c>
    </row>
    <row r="344" spans="1:11">
      <c r="A344" s="5" t="s">
        <v>182</v>
      </c>
      <c r="B344" s="6"/>
      <c r="C344" s="7"/>
      <c r="D344" s="5"/>
      <c r="E344" s="5"/>
      <c r="F344" s="5"/>
      <c r="G344" s="6"/>
      <c r="H344" s="5"/>
      <c r="I344" s="5"/>
      <c r="J344" s="5">
        <f t="shared" si="36"/>
        <v>0</v>
      </c>
      <c r="K344" s="8" t="b">
        <f t="shared" si="37"/>
        <v>1</v>
      </c>
    </row>
    <row r="345" spans="1:11">
      <c r="A345" s="5" t="s">
        <v>182</v>
      </c>
      <c r="B345" s="6"/>
      <c r="C345" s="7"/>
      <c r="D345" s="5"/>
      <c r="E345" s="5"/>
      <c r="F345" s="5"/>
      <c r="G345" s="6"/>
      <c r="H345" s="5"/>
      <c r="I345" s="5"/>
      <c r="J345" s="5">
        <f t="shared" si="36"/>
        <v>0</v>
      </c>
      <c r="K345" s="8" t="b">
        <f t="shared" si="37"/>
        <v>1</v>
      </c>
    </row>
    <row r="346" spans="1:11">
      <c r="A346" s="5" t="s">
        <v>182</v>
      </c>
      <c r="B346" s="6"/>
      <c r="C346" s="7"/>
      <c r="D346" s="5"/>
      <c r="E346" s="5"/>
      <c r="F346" s="5"/>
      <c r="G346" s="6"/>
      <c r="H346" s="5"/>
      <c r="I346" s="5"/>
      <c r="J346" s="5">
        <f t="shared" si="36"/>
        <v>0</v>
      </c>
      <c r="K346" s="8" t="b">
        <f t="shared" si="37"/>
        <v>1</v>
      </c>
    </row>
    <row r="347" spans="1:11">
      <c r="A347" s="5" t="s">
        <v>182</v>
      </c>
      <c r="B347" s="6"/>
      <c r="C347" s="7"/>
      <c r="D347" s="5"/>
      <c r="E347" s="5"/>
      <c r="F347" s="5"/>
      <c r="G347" s="6"/>
      <c r="H347" s="5"/>
      <c r="I347" s="5"/>
      <c r="J347" s="5">
        <f t="shared" si="36"/>
        <v>0</v>
      </c>
      <c r="K347" s="8" t="b">
        <f t="shared" si="37"/>
        <v>1</v>
      </c>
    </row>
    <row r="348" spans="1:11">
      <c r="A348" s="5" t="s">
        <v>182</v>
      </c>
      <c r="B348" s="6"/>
      <c r="C348" s="7"/>
      <c r="D348" s="5"/>
      <c r="E348" s="5"/>
      <c r="F348" s="5"/>
      <c r="G348" s="6"/>
      <c r="H348" s="5"/>
      <c r="I348" s="5"/>
      <c r="J348" s="5">
        <f t="shared" si="36"/>
        <v>0</v>
      </c>
      <c r="K348" s="8" t="b">
        <f t="shared" si="37"/>
        <v>1</v>
      </c>
    </row>
    <row r="349" spans="1:11">
      <c r="A349" s="5" t="s">
        <v>182</v>
      </c>
      <c r="B349" s="6"/>
      <c r="C349" s="7"/>
      <c r="D349" s="5"/>
      <c r="E349" s="5"/>
      <c r="F349" s="5"/>
      <c r="G349" s="6"/>
      <c r="H349" s="5"/>
      <c r="I349" s="5"/>
      <c r="J349" s="5">
        <f t="shared" si="36"/>
        <v>0</v>
      </c>
      <c r="K349" s="8" t="b">
        <f t="shared" si="37"/>
        <v>1</v>
      </c>
    </row>
    <row r="350" spans="1:11">
      <c r="A350" s="5" t="s">
        <v>182</v>
      </c>
      <c r="B350" s="6"/>
      <c r="C350" s="7"/>
      <c r="D350" s="5"/>
      <c r="E350" s="5"/>
      <c r="F350" s="5"/>
      <c r="G350" s="6"/>
      <c r="H350" s="5"/>
      <c r="I350" s="5"/>
      <c r="J350" s="5">
        <f t="shared" si="36"/>
        <v>0</v>
      </c>
      <c r="K350" s="8" t="b">
        <f t="shared" si="37"/>
        <v>1</v>
      </c>
    </row>
    <row r="351" spans="1:11">
      <c r="A351" s="5" t="s">
        <v>182</v>
      </c>
      <c r="B351" s="6"/>
      <c r="C351" s="7"/>
      <c r="D351" s="5"/>
      <c r="E351" s="5"/>
      <c r="F351" s="5"/>
      <c r="G351" s="6"/>
      <c r="H351" s="5"/>
      <c r="I351" s="5"/>
      <c r="J351" s="5">
        <f t="shared" si="36"/>
        <v>0</v>
      </c>
      <c r="K351" s="8" t="b">
        <f t="shared" si="37"/>
        <v>1</v>
      </c>
    </row>
    <row r="352" spans="1:11">
      <c r="A352" s="5" t="s">
        <v>182</v>
      </c>
      <c r="B352" s="6"/>
      <c r="C352" s="7"/>
      <c r="D352" s="5"/>
      <c r="E352" s="5"/>
      <c r="F352" s="5"/>
      <c r="G352" s="6"/>
      <c r="H352" s="5"/>
      <c r="I352" s="5"/>
      <c r="J352" s="5">
        <f t="shared" si="36"/>
        <v>0</v>
      </c>
      <c r="K352" s="8" t="b">
        <f t="shared" si="37"/>
        <v>1</v>
      </c>
    </row>
    <row r="353" spans="1:11">
      <c r="A353" s="5" t="s">
        <v>182</v>
      </c>
      <c r="B353" s="6"/>
      <c r="C353" s="7"/>
      <c r="D353" s="5"/>
      <c r="E353" s="5"/>
      <c r="F353" s="5"/>
      <c r="G353" s="6"/>
      <c r="H353" s="5"/>
      <c r="I353" s="5"/>
      <c r="J353" s="5">
        <f t="shared" si="36"/>
        <v>0</v>
      </c>
      <c r="K353" s="8" t="b">
        <f t="shared" si="37"/>
        <v>1</v>
      </c>
    </row>
    <row r="354" spans="1:11">
      <c r="A354" s="5" t="s">
        <v>182</v>
      </c>
      <c r="B354" s="6"/>
      <c r="C354" s="7"/>
      <c r="D354" s="5"/>
      <c r="E354" s="5"/>
      <c r="F354" s="5"/>
      <c r="G354" s="6"/>
      <c r="H354" s="5"/>
      <c r="I354" s="5"/>
      <c r="J354" s="5">
        <f t="shared" si="36"/>
        <v>0</v>
      </c>
      <c r="K354" s="8" t="b">
        <f t="shared" si="37"/>
        <v>1</v>
      </c>
    </row>
    <row r="355" spans="1:11">
      <c r="A355" s="5" t="s">
        <v>182</v>
      </c>
      <c r="B355" s="6"/>
      <c r="C355" s="7"/>
      <c r="D355" s="5"/>
      <c r="E355" s="5"/>
      <c r="F355" s="5"/>
      <c r="G355" s="6"/>
      <c r="H355" s="5"/>
      <c r="I355" s="5"/>
      <c r="J355" s="5">
        <f t="shared" si="36"/>
        <v>0</v>
      </c>
      <c r="K355" s="8" t="b">
        <f t="shared" si="37"/>
        <v>1</v>
      </c>
    </row>
    <row r="356" spans="1:11">
      <c r="A356" s="5" t="s">
        <v>182</v>
      </c>
      <c r="B356" s="6"/>
      <c r="C356" s="7"/>
      <c r="D356" s="5"/>
      <c r="E356" s="5"/>
      <c r="F356" s="5"/>
      <c r="G356" s="6"/>
      <c r="H356" s="5"/>
      <c r="I356" s="5"/>
      <c r="J356" s="5">
        <f t="shared" si="36"/>
        <v>0</v>
      </c>
      <c r="K356" s="8" t="b">
        <f t="shared" si="37"/>
        <v>1</v>
      </c>
    </row>
    <row r="357" spans="1:11">
      <c r="A357" s="5" t="s">
        <v>182</v>
      </c>
      <c r="B357" s="6"/>
      <c r="C357" s="7"/>
      <c r="D357" s="5"/>
      <c r="E357" s="5"/>
      <c r="F357" s="5"/>
      <c r="G357" s="6"/>
      <c r="H357" s="5"/>
      <c r="I357" s="5"/>
      <c r="J357" s="5">
        <f t="shared" si="36"/>
        <v>0</v>
      </c>
      <c r="K357" s="8" t="b">
        <f t="shared" si="37"/>
        <v>1</v>
      </c>
    </row>
    <row r="358" spans="1:11">
      <c r="A358" s="5" t="s">
        <v>182</v>
      </c>
      <c r="B358" s="6"/>
      <c r="C358" s="7"/>
      <c r="D358" s="5"/>
      <c r="E358" s="5"/>
      <c r="F358" s="5"/>
      <c r="G358" s="6"/>
      <c r="H358" s="5"/>
      <c r="I358" s="5"/>
      <c r="J358" s="5">
        <f t="shared" si="36"/>
        <v>0</v>
      </c>
      <c r="K358" s="8" t="b">
        <f t="shared" si="37"/>
        <v>1</v>
      </c>
    </row>
    <row r="359" spans="1:11">
      <c r="A359" s="5" t="s">
        <v>182</v>
      </c>
      <c r="B359" s="6"/>
      <c r="C359" s="7"/>
      <c r="D359" s="5"/>
      <c r="E359" s="5"/>
      <c r="F359" s="5"/>
      <c r="G359" s="6"/>
      <c r="H359" s="5"/>
      <c r="I359" s="5"/>
      <c r="J359" s="5">
        <f t="shared" si="36"/>
        <v>0</v>
      </c>
      <c r="K359" s="8" t="b">
        <f t="shared" si="37"/>
        <v>1</v>
      </c>
    </row>
    <row r="360" spans="1:11">
      <c r="A360" s="5" t="s">
        <v>182</v>
      </c>
      <c r="B360" s="6"/>
      <c r="C360" s="7"/>
      <c r="D360" s="5"/>
      <c r="E360" s="5"/>
      <c r="F360" s="5"/>
      <c r="G360" s="6"/>
      <c r="H360" s="5"/>
      <c r="I360" s="5"/>
      <c r="J360" s="5">
        <f t="shared" si="36"/>
        <v>0</v>
      </c>
      <c r="K360" s="8" t="b">
        <f t="shared" si="37"/>
        <v>1</v>
      </c>
    </row>
    <row r="361" spans="1:11">
      <c r="A361" s="5" t="s">
        <v>182</v>
      </c>
      <c r="B361" s="6"/>
      <c r="C361" s="7"/>
      <c r="D361" s="5"/>
      <c r="E361" s="5"/>
      <c r="F361" s="5"/>
      <c r="G361" s="6"/>
      <c r="H361" s="5"/>
      <c r="I361" s="5"/>
      <c r="J361" s="5">
        <f t="shared" si="36"/>
        <v>0</v>
      </c>
      <c r="K361" s="8" t="b">
        <f t="shared" si="37"/>
        <v>1</v>
      </c>
    </row>
    <row r="362" spans="1:11">
      <c r="A362" s="5" t="s">
        <v>182</v>
      </c>
      <c r="B362" s="6"/>
      <c r="C362" s="7"/>
      <c r="D362" s="5"/>
      <c r="E362" s="5"/>
      <c r="F362" s="5"/>
      <c r="G362" s="6"/>
      <c r="H362" s="5"/>
      <c r="I362" s="5"/>
      <c r="J362" s="5">
        <f t="shared" si="36"/>
        <v>0</v>
      </c>
      <c r="K362" s="8" t="b">
        <f t="shared" si="37"/>
        <v>1</v>
      </c>
    </row>
    <row r="363" spans="1:11">
      <c r="A363" s="5" t="s">
        <v>182</v>
      </c>
      <c r="B363" s="6"/>
      <c r="C363" s="7"/>
      <c r="D363" s="5"/>
      <c r="E363" s="5"/>
      <c r="F363" s="5"/>
      <c r="G363" s="6"/>
      <c r="H363" s="5"/>
      <c r="I363" s="5"/>
      <c r="J363" s="5">
        <f t="shared" si="36"/>
        <v>0</v>
      </c>
      <c r="K363" s="8" t="b">
        <f t="shared" si="37"/>
        <v>1</v>
      </c>
    </row>
    <row r="364" spans="1:11">
      <c r="A364" s="5" t="s">
        <v>182</v>
      </c>
      <c r="B364" s="6"/>
      <c r="C364" s="7"/>
      <c r="D364" s="5"/>
      <c r="E364" s="5"/>
      <c r="F364" s="5"/>
      <c r="G364" s="6"/>
      <c r="H364" s="5"/>
      <c r="I364" s="5"/>
      <c r="J364" s="5">
        <f t="shared" si="36"/>
        <v>0</v>
      </c>
      <c r="K364" s="8" t="b">
        <f t="shared" si="37"/>
        <v>1</v>
      </c>
    </row>
    <row r="365" spans="1:11">
      <c r="A365" s="5" t="s">
        <v>182</v>
      </c>
      <c r="B365" s="6"/>
      <c r="C365" s="7"/>
      <c r="D365" s="5"/>
      <c r="E365" s="5"/>
      <c r="F365" s="5"/>
      <c r="G365" s="6"/>
      <c r="H365" s="5"/>
      <c r="I365" s="5"/>
      <c r="J365" s="5">
        <f t="shared" si="36"/>
        <v>0</v>
      </c>
      <c r="K365" s="8" t="b">
        <f t="shared" si="37"/>
        <v>1</v>
      </c>
    </row>
    <row r="366" spans="1:11">
      <c r="A366" s="5" t="s">
        <v>182</v>
      </c>
      <c r="B366" s="6"/>
      <c r="C366" s="7"/>
      <c r="D366" s="5"/>
      <c r="E366" s="5"/>
      <c r="F366" s="5"/>
      <c r="G366" s="6"/>
      <c r="H366" s="5"/>
      <c r="I366" s="5"/>
      <c r="J366" s="5">
        <f t="shared" si="36"/>
        <v>0</v>
      </c>
      <c r="K366" s="8" t="b">
        <f t="shared" si="37"/>
        <v>1</v>
      </c>
    </row>
    <row r="367" spans="1:11">
      <c r="A367" s="5" t="s">
        <v>182</v>
      </c>
      <c r="B367" s="6"/>
      <c r="C367" s="7"/>
      <c r="D367" s="5"/>
      <c r="E367" s="5"/>
      <c r="F367" s="5"/>
      <c r="G367" s="6"/>
      <c r="H367" s="5"/>
      <c r="I367" s="5"/>
      <c r="J367" s="5">
        <f t="shared" si="36"/>
        <v>0</v>
      </c>
      <c r="K367" s="8" t="b">
        <f t="shared" si="37"/>
        <v>1</v>
      </c>
    </row>
    <row r="368" spans="1:11">
      <c r="A368" s="5" t="s">
        <v>182</v>
      </c>
      <c r="B368" s="6"/>
      <c r="C368" s="7"/>
      <c r="D368" s="5"/>
      <c r="E368" s="5"/>
      <c r="F368" s="5"/>
      <c r="G368" s="6"/>
      <c r="H368" s="5"/>
      <c r="I368" s="5"/>
      <c r="J368" s="5">
        <f t="shared" si="36"/>
        <v>0</v>
      </c>
      <c r="K368" s="8" t="b">
        <f t="shared" si="37"/>
        <v>1</v>
      </c>
    </row>
    <row r="369" spans="1:11">
      <c r="A369" s="5" t="s">
        <v>182</v>
      </c>
      <c r="B369" s="6"/>
      <c r="C369" s="7"/>
      <c r="D369" s="5"/>
      <c r="E369" s="5"/>
      <c r="F369" s="5"/>
      <c r="G369" s="6"/>
      <c r="H369" s="5"/>
      <c r="I369" s="5"/>
      <c r="J369" s="5">
        <f t="shared" si="36"/>
        <v>0</v>
      </c>
      <c r="K369" s="8" t="b">
        <f t="shared" si="37"/>
        <v>1</v>
      </c>
    </row>
  </sheetData>
  <mergeCells count="18">
    <mergeCell ref="A91:K91"/>
    <mergeCell ref="A1:K1"/>
    <mergeCell ref="A2:J2"/>
    <mergeCell ref="A6:K6"/>
    <mergeCell ref="A86:K86"/>
    <mergeCell ref="A87:K87"/>
    <mergeCell ref="A150:K150"/>
    <mergeCell ref="A151:K151"/>
    <mergeCell ref="A155:K155"/>
    <mergeCell ref="A125:K125"/>
    <mergeCell ref="A130:K130"/>
    <mergeCell ref="A126:K126"/>
    <mergeCell ref="A326:K326"/>
    <mergeCell ref="A327:K327"/>
    <mergeCell ref="A331:K331"/>
    <mergeCell ref="A271:K271"/>
    <mergeCell ref="A272:K272"/>
    <mergeCell ref="A276:K276"/>
  </mergeCells>
  <conditionalFormatting sqref="A1:K1048576">
    <cfRule type="containsText" dxfId="79" priority="2" operator="containsText" text="VERDADEIRO">
      <formula>NOT(ISERROR(SEARCH("VERDADEIRO",A1)))</formula>
    </cfRule>
  </conditionalFormatting>
  <conditionalFormatting sqref="K1:K92 K113:K1048576">
    <cfRule type="containsText" dxfId="78" priority="1" operator="containsText" text="FALSO">
      <formula>NOT(ISERROR(SEARCH("FALSO",K1)))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C229-F92F-4864-830F-06AB50E1F0FB}">
  <sheetPr codeName="Planilha17" filterMode="1"/>
  <dimension ref="A1:K293"/>
  <sheetViews>
    <sheetView topLeftCell="A263" workbookViewId="0">
      <selection activeCell="G286" sqref="G286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0.140625" hidden="1" customWidth="1"/>
    <col min="10" max="10" width="6" customWidth="1"/>
    <col min="11" max="11" width="12.42578125" bestFit="1" customWidth="1"/>
    <col min="12" max="12" width="9.140625" customWidth="1"/>
  </cols>
  <sheetData>
    <row r="1" spans="1:11" ht="26.25">
      <c r="A1" s="193" t="s">
        <v>183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165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184</v>
      </c>
      <c r="B8" s="6">
        <v>44531</v>
      </c>
      <c r="C8" s="7">
        <v>1</v>
      </c>
      <c r="D8" s="5">
        <v>6.31</v>
      </c>
      <c r="E8" s="5">
        <v>15.9</v>
      </c>
      <c r="F8" s="5">
        <v>30.9</v>
      </c>
      <c r="G8" s="6">
        <v>44531</v>
      </c>
      <c r="H8" s="5"/>
      <c r="I8" s="5"/>
      <c r="J8" s="5">
        <f>F8-E8</f>
        <v>14.999999999999998</v>
      </c>
      <c r="K8" s="8" t="b">
        <f>E8=0</f>
        <v>0</v>
      </c>
    </row>
    <row r="9" spans="1:11">
      <c r="A9" s="5" t="s">
        <v>184</v>
      </c>
      <c r="B9" s="6">
        <v>44532</v>
      </c>
      <c r="C9" s="7">
        <v>1</v>
      </c>
      <c r="D9" s="5">
        <v>6.31</v>
      </c>
      <c r="E9" s="5">
        <v>30.9</v>
      </c>
      <c r="F9" s="5">
        <v>43.2</v>
      </c>
      <c r="G9" s="6">
        <v>44532</v>
      </c>
      <c r="H9" s="5"/>
      <c r="I9" s="5"/>
      <c r="J9" s="5">
        <f>F9-E9</f>
        <v>12.300000000000004</v>
      </c>
      <c r="K9" s="8" t="b">
        <f>E9=F8</f>
        <v>1</v>
      </c>
    </row>
    <row r="10" spans="1:11">
      <c r="A10" s="5" t="s">
        <v>184</v>
      </c>
      <c r="B10" s="6">
        <v>44581</v>
      </c>
      <c r="C10" s="7">
        <v>0.7</v>
      </c>
      <c r="D10" s="5">
        <v>9.01</v>
      </c>
      <c r="E10" s="5">
        <v>37.200000000000003</v>
      </c>
      <c r="F10" s="5">
        <v>59.8</v>
      </c>
      <c r="G10" s="6">
        <v>44581</v>
      </c>
      <c r="H10" s="5"/>
      <c r="I10" s="5"/>
      <c r="J10" s="5">
        <f>F10-E10</f>
        <v>22.599999999999994</v>
      </c>
      <c r="K10" s="8" t="b">
        <f t="shared" ref="K10:K26" si="0">E10=F9</f>
        <v>0</v>
      </c>
    </row>
    <row r="11" spans="1:11">
      <c r="A11" s="5" t="s">
        <v>184</v>
      </c>
      <c r="B11" s="6">
        <v>44592</v>
      </c>
      <c r="C11" s="7">
        <v>0.7</v>
      </c>
      <c r="D11" s="5">
        <v>9.01</v>
      </c>
      <c r="E11" s="5">
        <v>59.8</v>
      </c>
      <c r="F11" s="5">
        <v>77.2</v>
      </c>
      <c r="G11" s="6">
        <v>44592</v>
      </c>
      <c r="H11" s="5"/>
      <c r="I11" s="5"/>
      <c r="J11" s="5">
        <f>F11-E11</f>
        <v>17.400000000000006</v>
      </c>
      <c r="K11" s="8" t="b">
        <f>E11=F10</f>
        <v>1</v>
      </c>
    </row>
    <row r="12" spans="1:11">
      <c r="A12" s="5" t="s">
        <v>184</v>
      </c>
      <c r="B12" s="6">
        <v>44619</v>
      </c>
      <c r="C12" s="7">
        <v>0.8</v>
      </c>
      <c r="D12" s="5">
        <v>7.89</v>
      </c>
      <c r="E12" s="5">
        <v>77.2</v>
      </c>
      <c r="F12" s="5">
        <v>93.1</v>
      </c>
      <c r="G12" s="6">
        <v>44619</v>
      </c>
      <c r="H12" s="5"/>
      <c r="I12" s="5"/>
      <c r="J12" s="5">
        <f t="shared" ref="J12:J21" si="1">F12-E12</f>
        <v>15.899999999999991</v>
      </c>
      <c r="K12" s="8" t="b">
        <f t="shared" si="0"/>
        <v>1</v>
      </c>
    </row>
    <row r="13" spans="1:11">
      <c r="A13" s="5" t="s">
        <v>184</v>
      </c>
      <c r="B13" s="6">
        <v>44622</v>
      </c>
      <c r="C13" s="7">
        <v>0.8</v>
      </c>
      <c r="D13" s="5">
        <v>7.89</v>
      </c>
      <c r="E13" s="5">
        <v>93</v>
      </c>
      <c r="F13" s="5">
        <v>108.7</v>
      </c>
      <c r="G13" s="6">
        <v>44622</v>
      </c>
      <c r="H13" s="5"/>
      <c r="I13" s="5"/>
      <c r="J13" s="5">
        <f t="shared" si="1"/>
        <v>15.700000000000003</v>
      </c>
      <c r="K13" s="8" t="b">
        <f t="shared" si="0"/>
        <v>0</v>
      </c>
    </row>
    <row r="14" spans="1:11">
      <c r="A14" s="25" t="s">
        <v>184</v>
      </c>
      <c r="B14" s="26">
        <v>44624</v>
      </c>
      <c r="C14" s="27">
        <v>1</v>
      </c>
      <c r="D14" s="25">
        <v>6.31</v>
      </c>
      <c r="E14" s="25">
        <v>108.7</v>
      </c>
      <c r="F14" s="25">
        <v>121.2</v>
      </c>
      <c r="G14" s="26">
        <v>44624</v>
      </c>
      <c r="H14" s="25"/>
      <c r="I14" s="25"/>
      <c r="J14" s="25">
        <f t="shared" si="1"/>
        <v>12.5</v>
      </c>
      <c r="K14" s="8" t="b">
        <f t="shared" si="0"/>
        <v>1</v>
      </c>
    </row>
    <row r="15" spans="1:11">
      <c r="A15" s="5" t="s">
        <v>184</v>
      </c>
      <c r="B15" s="6">
        <v>44627</v>
      </c>
      <c r="C15" s="7">
        <v>0.8</v>
      </c>
      <c r="D15" s="5">
        <v>7.89</v>
      </c>
      <c r="E15" s="5">
        <v>121.2</v>
      </c>
      <c r="F15" s="5">
        <v>137.19999999999999</v>
      </c>
      <c r="G15" s="6">
        <v>44627</v>
      </c>
      <c r="H15" s="5"/>
      <c r="I15" s="5"/>
      <c r="J15" s="5">
        <f t="shared" si="1"/>
        <v>15.999999999999986</v>
      </c>
      <c r="K15" s="8" t="b">
        <f t="shared" si="0"/>
        <v>1</v>
      </c>
    </row>
    <row r="16" spans="1:11">
      <c r="A16" s="5" t="s">
        <v>184</v>
      </c>
      <c r="B16" s="6">
        <v>44630</v>
      </c>
      <c r="C16" s="7">
        <v>0.8</v>
      </c>
      <c r="D16" s="5">
        <v>7.89</v>
      </c>
      <c r="E16" s="5">
        <v>137.19999999999999</v>
      </c>
      <c r="F16" s="5">
        <v>152.9</v>
      </c>
      <c r="G16" s="6">
        <v>44630</v>
      </c>
      <c r="H16" s="5"/>
      <c r="I16" s="5"/>
      <c r="J16" s="5">
        <f t="shared" si="1"/>
        <v>15.700000000000017</v>
      </c>
      <c r="K16" s="8" t="b">
        <f t="shared" si="0"/>
        <v>1</v>
      </c>
    </row>
    <row r="17" spans="1:11">
      <c r="A17" s="5" t="s">
        <v>184</v>
      </c>
      <c r="B17" s="6">
        <v>44643</v>
      </c>
      <c r="C17" s="7">
        <v>0.7</v>
      </c>
      <c r="D17" s="5">
        <v>9.01</v>
      </c>
      <c r="E17" s="5">
        <v>184.3</v>
      </c>
      <c r="F17" s="5">
        <v>202.3</v>
      </c>
      <c r="G17" s="6">
        <v>44643</v>
      </c>
      <c r="H17" s="5"/>
      <c r="I17" s="5"/>
      <c r="J17" s="5">
        <f t="shared" si="1"/>
        <v>18</v>
      </c>
      <c r="K17" s="8" t="b">
        <f>E17=F16</f>
        <v>0</v>
      </c>
    </row>
    <row r="18" spans="1:11">
      <c r="A18" s="5" t="s">
        <v>184</v>
      </c>
      <c r="B18" s="6">
        <v>44646</v>
      </c>
      <c r="C18" s="7">
        <v>0.7</v>
      </c>
      <c r="D18" s="5">
        <v>9.01</v>
      </c>
      <c r="E18" s="5">
        <v>202.3</v>
      </c>
      <c r="F18" s="5">
        <v>222.1</v>
      </c>
      <c r="G18" s="6">
        <v>44646</v>
      </c>
      <c r="H18" s="5"/>
      <c r="I18" s="5"/>
      <c r="J18" s="5">
        <f t="shared" si="1"/>
        <v>19.799999999999983</v>
      </c>
      <c r="K18" s="8" t="b">
        <f t="shared" si="0"/>
        <v>1</v>
      </c>
    </row>
    <row r="19" spans="1:11">
      <c r="A19" s="5" t="s">
        <v>184</v>
      </c>
      <c r="B19" s="6">
        <v>44648</v>
      </c>
      <c r="C19" s="7">
        <v>0.7</v>
      </c>
      <c r="D19" s="5">
        <v>9.01</v>
      </c>
      <c r="E19" s="5">
        <v>222.1</v>
      </c>
      <c r="F19" s="5">
        <v>239.4</v>
      </c>
      <c r="G19" s="6">
        <v>44648</v>
      </c>
      <c r="H19" s="5"/>
      <c r="I19" s="5"/>
      <c r="J19" s="5">
        <f t="shared" si="1"/>
        <v>17.300000000000011</v>
      </c>
      <c r="K19" s="8" t="b">
        <f t="shared" si="0"/>
        <v>1</v>
      </c>
    </row>
    <row r="20" spans="1:11">
      <c r="A20" s="5" t="s">
        <v>184</v>
      </c>
      <c r="B20" s="6">
        <v>44651</v>
      </c>
      <c r="C20" s="7">
        <v>0.7</v>
      </c>
      <c r="D20" s="5">
        <v>9.01</v>
      </c>
      <c r="E20" s="5">
        <v>239.4</v>
      </c>
      <c r="F20" s="5">
        <v>257.2</v>
      </c>
      <c r="G20" s="6">
        <v>44651</v>
      </c>
      <c r="H20" s="5"/>
      <c r="I20" s="5"/>
      <c r="J20" s="5">
        <f t="shared" si="1"/>
        <v>17.799999999999983</v>
      </c>
      <c r="K20" s="8" t="b">
        <f t="shared" si="0"/>
        <v>1</v>
      </c>
    </row>
    <row r="21" spans="1:11">
      <c r="A21" s="39" t="s">
        <v>184</v>
      </c>
      <c r="B21" s="40"/>
      <c r="C21" s="41"/>
      <c r="D21" s="39"/>
      <c r="E21" s="39"/>
      <c r="F21" s="39"/>
      <c r="G21" s="40"/>
      <c r="H21" s="39"/>
      <c r="I21" s="39"/>
      <c r="J21" s="39">
        <f t="shared" si="1"/>
        <v>0</v>
      </c>
      <c r="K21" s="8" t="b">
        <f t="shared" si="0"/>
        <v>0</v>
      </c>
    </row>
    <row r="22" spans="1:11">
      <c r="A22" s="39" t="s">
        <v>184</v>
      </c>
      <c r="B22" s="40"/>
      <c r="C22" s="41"/>
      <c r="D22" s="39"/>
      <c r="E22" s="39"/>
      <c r="F22" s="39"/>
      <c r="G22" s="40"/>
      <c r="H22" s="39"/>
      <c r="I22" s="39"/>
      <c r="J22" s="39">
        <f t="shared" ref="J22:J27" si="2">F22-E22</f>
        <v>0</v>
      </c>
      <c r="K22" s="8" t="b">
        <f t="shared" si="0"/>
        <v>1</v>
      </c>
    </row>
    <row r="23" spans="1:11">
      <c r="A23" s="39" t="s">
        <v>184</v>
      </c>
      <c r="B23" s="40"/>
      <c r="C23" s="41"/>
      <c r="D23" s="39"/>
      <c r="E23" s="39"/>
      <c r="F23" s="39"/>
      <c r="G23" s="40"/>
      <c r="H23" s="39"/>
      <c r="I23" s="39"/>
      <c r="J23" s="39">
        <f t="shared" si="2"/>
        <v>0</v>
      </c>
      <c r="K23" s="8" t="b">
        <f t="shared" si="0"/>
        <v>1</v>
      </c>
    </row>
    <row r="24" spans="1:11">
      <c r="A24" s="39" t="s">
        <v>184</v>
      </c>
      <c r="B24" s="40"/>
      <c r="C24" s="41"/>
      <c r="D24" s="39"/>
      <c r="E24" s="39"/>
      <c r="F24" s="39"/>
      <c r="G24" s="40"/>
      <c r="H24" s="39"/>
      <c r="I24" s="39"/>
      <c r="J24" s="39">
        <f t="shared" si="2"/>
        <v>0</v>
      </c>
      <c r="K24" s="8" t="b">
        <f t="shared" si="0"/>
        <v>1</v>
      </c>
    </row>
    <row r="25" spans="1:11">
      <c r="A25" s="39" t="s">
        <v>184</v>
      </c>
      <c r="B25" s="40"/>
      <c r="C25" s="41"/>
      <c r="D25" s="39"/>
      <c r="E25" s="39"/>
      <c r="F25" s="39"/>
      <c r="G25" s="40"/>
      <c r="H25" s="39"/>
      <c r="I25" s="39"/>
      <c r="J25" s="39">
        <f t="shared" si="2"/>
        <v>0</v>
      </c>
      <c r="K25" s="8" t="b">
        <f t="shared" si="0"/>
        <v>1</v>
      </c>
    </row>
    <row r="26" spans="1:11">
      <c r="A26" s="5" t="s">
        <v>184</v>
      </c>
      <c r="B26" s="6">
        <v>44674</v>
      </c>
      <c r="C26" s="7">
        <v>0.65</v>
      </c>
      <c r="D26" s="5">
        <v>9.7100000000000009</v>
      </c>
      <c r="E26" s="5">
        <v>384.7</v>
      </c>
      <c r="F26" s="5">
        <v>404</v>
      </c>
      <c r="G26" s="6">
        <v>44674</v>
      </c>
      <c r="H26" s="5"/>
      <c r="I26" s="5"/>
      <c r="J26" s="5">
        <f t="shared" si="2"/>
        <v>19.300000000000011</v>
      </c>
      <c r="K26" s="8" t="b">
        <f t="shared" si="0"/>
        <v>0</v>
      </c>
    </row>
    <row r="27" spans="1:11">
      <c r="A27" s="5" t="s">
        <v>184</v>
      </c>
      <c r="B27" s="6">
        <v>44677</v>
      </c>
      <c r="C27" s="7">
        <v>0.65</v>
      </c>
      <c r="D27" s="5">
        <v>9.7100000000000009</v>
      </c>
      <c r="E27" s="5">
        <v>404</v>
      </c>
      <c r="F27" s="5">
        <v>423.1</v>
      </c>
      <c r="G27" s="6">
        <v>44677</v>
      </c>
      <c r="H27" s="5"/>
      <c r="I27" s="5"/>
      <c r="J27" s="5">
        <f t="shared" si="2"/>
        <v>19.100000000000023</v>
      </c>
      <c r="K27" s="8" t="b">
        <f>E27=F26</f>
        <v>1</v>
      </c>
    </row>
    <row r="28" spans="1:11">
      <c r="A28" s="5" t="s">
        <v>184</v>
      </c>
      <c r="B28" s="6">
        <v>44680</v>
      </c>
      <c r="C28" s="7">
        <v>0.65</v>
      </c>
      <c r="D28" s="5">
        <v>9.7100000000000009</v>
      </c>
      <c r="E28" s="5">
        <v>423.1</v>
      </c>
      <c r="F28" s="5">
        <v>442.4</v>
      </c>
      <c r="G28" s="6">
        <v>44680</v>
      </c>
      <c r="H28" s="5"/>
      <c r="I28" s="5"/>
      <c r="J28" s="5">
        <f t="shared" ref="J28:J34" si="3">F28-E28</f>
        <v>19.299999999999955</v>
      </c>
      <c r="K28" s="8" t="b">
        <f t="shared" ref="K28:K34" si="4">E28=F27</f>
        <v>1</v>
      </c>
    </row>
    <row r="29" spans="1:11">
      <c r="A29" s="5" t="s">
        <v>184</v>
      </c>
      <c r="B29" s="6">
        <v>44683</v>
      </c>
      <c r="C29" s="7">
        <v>0.65</v>
      </c>
      <c r="D29" s="5">
        <v>9.7100000000000009</v>
      </c>
      <c r="E29" s="5">
        <v>442.4</v>
      </c>
      <c r="F29" s="5">
        <v>461.4</v>
      </c>
      <c r="G29" s="6">
        <v>44683</v>
      </c>
      <c r="H29" s="5"/>
      <c r="I29" s="5"/>
      <c r="J29" s="5">
        <f t="shared" si="3"/>
        <v>19</v>
      </c>
      <c r="K29" s="8" t="b">
        <f t="shared" si="4"/>
        <v>1</v>
      </c>
    </row>
    <row r="30" spans="1:11">
      <c r="A30" s="5" t="s">
        <v>184</v>
      </c>
      <c r="B30" s="6">
        <v>44686</v>
      </c>
      <c r="C30" s="7">
        <v>0.65</v>
      </c>
      <c r="D30" s="5">
        <v>9.7100000000000009</v>
      </c>
      <c r="E30" s="5">
        <v>461.4</v>
      </c>
      <c r="F30" s="5">
        <v>480.9</v>
      </c>
      <c r="G30" s="6">
        <v>44686</v>
      </c>
      <c r="H30" s="5"/>
      <c r="I30" s="5"/>
      <c r="J30" s="5">
        <f t="shared" si="3"/>
        <v>19.5</v>
      </c>
      <c r="K30" s="8" t="b">
        <f t="shared" si="4"/>
        <v>1</v>
      </c>
    </row>
    <row r="31" spans="1:11">
      <c r="A31" s="5" t="s">
        <v>184</v>
      </c>
      <c r="B31" s="6">
        <v>44690</v>
      </c>
      <c r="C31" s="7">
        <v>0.65</v>
      </c>
      <c r="D31" s="5">
        <v>9.7100000000000009</v>
      </c>
      <c r="E31" s="5">
        <v>480.9</v>
      </c>
      <c r="F31" s="5">
        <v>500.3</v>
      </c>
      <c r="G31" s="6">
        <v>44690</v>
      </c>
      <c r="H31" s="5"/>
      <c r="I31" s="5"/>
      <c r="J31" s="5">
        <f t="shared" si="3"/>
        <v>19.400000000000034</v>
      </c>
      <c r="K31" s="8" t="b">
        <f t="shared" si="4"/>
        <v>1</v>
      </c>
    </row>
    <row r="32" spans="1:11">
      <c r="A32" s="5" t="s">
        <v>184</v>
      </c>
      <c r="B32" s="6">
        <v>44693</v>
      </c>
      <c r="C32" s="7">
        <v>0.65</v>
      </c>
      <c r="D32" s="5">
        <v>9.7100000000000009</v>
      </c>
      <c r="E32" s="5">
        <v>500.3</v>
      </c>
      <c r="F32" s="5">
        <v>519.20000000000005</v>
      </c>
      <c r="G32" s="6">
        <v>44693</v>
      </c>
      <c r="H32" s="5"/>
      <c r="I32" s="5"/>
      <c r="J32" s="5">
        <f t="shared" si="3"/>
        <v>18.900000000000034</v>
      </c>
      <c r="K32" s="8" t="b">
        <f t="shared" si="4"/>
        <v>1</v>
      </c>
    </row>
    <row r="33" spans="1:11">
      <c r="A33" s="5" t="s">
        <v>184</v>
      </c>
      <c r="B33" s="6"/>
      <c r="C33" s="7"/>
      <c r="D33" s="5"/>
      <c r="E33" s="5"/>
      <c r="F33" s="5"/>
      <c r="G33" s="6"/>
      <c r="H33" s="5"/>
      <c r="I33" s="5"/>
      <c r="J33" s="5">
        <f t="shared" si="3"/>
        <v>0</v>
      </c>
      <c r="K33" s="8" t="b">
        <f t="shared" si="4"/>
        <v>0</v>
      </c>
    </row>
    <row r="34" spans="1:11">
      <c r="A34" s="5" t="s">
        <v>184</v>
      </c>
      <c r="B34" s="6"/>
      <c r="C34" s="7"/>
      <c r="D34" s="5"/>
      <c r="E34" s="5"/>
      <c r="F34" s="5"/>
      <c r="G34" s="6"/>
      <c r="H34" s="5"/>
      <c r="I34" s="5"/>
      <c r="J34" s="5">
        <f t="shared" si="3"/>
        <v>0</v>
      </c>
      <c r="K34" s="8" t="b">
        <f t="shared" si="4"/>
        <v>1</v>
      </c>
    </row>
    <row r="36" spans="1:11" ht="26.25">
      <c r="A36" s="135" t="s">
        <v>183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7"/>
    </row>
    <row r="37" spans="1:11" ht="26.25">
      <c r="A37" s="138" t="s">
        <v>16</v>
      </c>
      <c r="B37" s="139"/>
      <c r="C37" s="139"/>
      <c r="D37" s="139"/>
      <c r="E37" s="139"/>
      <c r="F37" s="139"/>
      <c r="G37" s="139"/>
      <c r="H37" s="139"/>
      <c r="I37" s="139"/>
      <c r="J37" s="139"/>
      <c r="K37" s="140"/>
    </row>
    <row r="38" spans="1:11" ht="15.75" thickBot="1"/>
    <row r="39" spans="1:11" ht="15.75" thickBot="1">
      <c r="A39" s="132" t="s">
        <v>2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4"/>
    </row>
    <row r="41" spans="1:11" ht="19.5" thickBot="1">
      <c r="A41" s="1" t="s">
        <v>3</v>
      </c>
      <c r="B41" s="1"/>
      <c r="C41" s="1"/>
      <c r="D41" s="1"/>
      <c r="E41" s="1"/>
      <c r="F41" s="1"/>
      <c r="G41" s="1"/>
      <c r="H41" s="1"/>
      <c r="I41" s="1"/>
    </row>
    <row r="42" spans="1:11" ht="165.75" thickBot="1">
      <c r="A42" s="2" t="s">
        <v>4</v>
      </c>
      <c r="B42" s="3" t="s">
        <v>5</v>
      </c>
      <c r="C42" s="3" t="s">
        <v>6</v>
      </c>
      <c r="D42" s="3" t="s">
        <v>7</v>
      </c>
      <c r="E42" s="3" t="s">
        <v>8</v>
      </c>
      <c r="F42" s="3" t="s">
        <v>9</v>
      </c>
      <c r="G42" s="3" t="s">
        <v>10</v>
      </c>
      <c r="H42" s="3" t="s">
        <v>21</v>
      </c>
      <c r="I42" s="4" t="s">
        <v>22</v>
      </c>
      <c r="J42" s="4" t="s">
        <v>11</v>
      </c>
      <c r="K42" s="4" t="s">
        <v>12</v>
      </c>
    </row>
    <row r="43" spans="1:11">
      <c r="A43" s="5" t="s">
        <v>184</v>
      </c>
      <c r="B43" s="6">
        <v>44723</v>
      </c>
      <c r="C43" s="7">
        <v>0.6</v>
      </c>
      <c r="D43" s="5">
        <v>10.52</v>
      </c>
      <c r="E43" s="5">
        <v>519.20000000000005</v>
      </c>
      <c r="F43" s="5">
        <v>530.1</v>
      </c>
      <c r="G43" s="6">
        <v>44723</v>
      </c>
      <c r="H43" s="5"/>
      <c r="I43" s="5"/>
      <c r="J43" s="5">
        <f>F43-E43</f>
        <v>10.899999999999977</v>
      </c>
      <c r="K43" s="8" t="b">
        <f>E43=F32</f>
        <v>1</v>
      </c>
    </row>
    <row r="44" spans="1:11">
      <c r="A44" s="5" t="s">
        <v>184</v>
      </c>
      <c r="B44" s="6">
        <v>44725</v>
      </c>
      <c r="C44" s="7">
        <v>0.6</v>
      </c>
      <c r="D44" s="5">
        <v>10.52</v>
      </c>
      <c r="E44" s="5">
        <v>530.1</v>
      </c>
      <c r="F44" s="5">
        <v>546</v>
      </c>
      <c r="G44" s="6">
        <v>44725</v>
      </c>
      <c r="H44" s="5"/>
      <c r="I44" s="5"/>
      <c r="J44" s="5">
        <f>F44-E44</f>
        <v>15.899999999999977</v>
      </c>
      <c r="K44" s="8" t="b">
        <f>E44=F43</f>
        <v>1</v>
      </c>
    </row>
    <row r="45" spans="1:11">
      <c r="A45" s="5" t="s">
        <v>184</v>
      </c>
      <c r="B45" s="6">
        <v>44726</v>
      </c>
      <c r="C45" s="7">
        <v>0.6</v>
      </c>
      <c r="D45" s="5">
        <v>10.52</v>
      </c>
      <c r="E45" s="5">
        <v>546</v>
      </c>
      <c r="F45" s="5">
        <v>561.79999999999995</v>
      </c>
      <c r="G45" s="6">
        <v>44726</v>
      </c>
      <c r="H45" s="5"/>
      <c r="I45" s="5"/>
      <c r="J45" s="5">
        <f>F45-E45</f>
        <v>15.799999999999955</v>
      </c>
      <c r="K45" s="8" t="b">
        <f>E45=F44</f>
        <v>1</v>
      </c>
    </row>
    <row r="46" spans="1:11">
      <c r="A46" s="5" t="s">
        <v>184</v>
      </c>
      <c r="B46" s="6">
        <v>44731</v>
      </c>
      <c r="C46" s="7">
        <v>0.8</v>
      </c>
      <c r="D46" s="5">
        <v>7.89</v>
      </c>
      <c r="E46" s="5">
        <v>561.79999999999995</v>
      </c>
      <c r="F46" s="5">
        <v>577.5</v>
      </c>
      <c r="G46" s="6">
        <v>44731</v>
      </c>
      <c r="H46" s="5"/>
      <c r="I46" s="5"/>
      <c r="J46" s="5">
        <f t="shared" ref="J46:J71" si="5">F46-E46</f>
        <v>15.700000000000045</v>
      </c>
      <c r="K46" s="8" t="b">
        <f t="shared" ref="K46:K109" si="6">E46=F45</f>
        <v>1</v>
      </c>
    </row>
    <row r="47" spans="1:11">
      <c r="A47" s="5" t="s">
        <v>184</v>
      </c>
      <c r="B47" s="6">
        <v>44738</v>
      </c>
      <c r="C47" s="7">
        <v>0.6</v>
      </c>
      <c r="D47" s="5">
        <v>10.52</v>
      </c>
      <c r="E47" s="5">
        <v>577.5</v>
      </c>
      <c r="F47" s="5">
        <v>598.6</v>
      </c>
      <c r="G47" s="6">
        <v>44738</v>
      </c>
      <c r="H47" s="5"/>
      <c r="I47" s="5"/>
      <c r="J47" s="5">
        <f t="shared" si="5"/>
        <v>21.100000000000023</v>
      </c>
      <c r="K47" s="8" t="b">
        <f t="shared" si="6"/>
        <v>1</v>
      </c>
    </row>
    <row r="48" spans="1:11">
      <c r="A48" s="5" t="s">
        <v>184</v>
      </c>
      <c r="B48" s="6">
        <v>44739</v>
      </c>
      <c r="C48" s="7">
        <v>1</v>
      </c>
      <c r="D48" s="5">
        <v>6.31</v>
      </c>
      <c r="E48" s="5">
        <v>598.6</v>
      </c>
      <c r="F48" s="5">
        <v>604.79999999999995</v>
      </c>
      <c r="G48" s="6">
        <v>44739</v>
      </c>
      <c r="H48" s="5"/>
      <c r="I48" s="5"/>
      <c r="J48" s="5">
        <f t="shared" si="5"/>
        <v>6.1999999999999318</v>
      </c>
      <c r="K48" s="8" t="b">
        <f t="shared" si="6"/>
        <v>1</v>
      </c>
    </row>
    <row r="49" spans="1:11">
      <c r="A49" s="5" t="s">
        <v>184</v>
      </c>
      <c r="B49" s="6">
        <v>44741</v>
      </c>
      <c r="C49" s="7">
        <v>0.5</v>
      </c>
      <c r="D49" s="5">
        <v>12.62</v>
      </c>
      <c r="E49" s="5">
        <v>604.79999999999995</v>
      </c>
      <c r="F49" s="5">
        <v>618.29999999999995</v>
      </c>
      <c r="G49" s="6">
        <v>44741</v>
      </c>
      <c r="H49" s="5"/>
      <c r="I49" s="5"/>
      <c r="J49" s="5">
        <f t="shared" si="5"/>
        <v>13.5</v>
      </c>
      <c r="K49" s="8" t="b">
        <f t="shared" si="6"/>
        <v>1</v>
      </c>
    </row>
    <row r="50" spans="1:11">
      <c r="A50" s="5" t="s">
        <v>184</v>
      </c>
      <c r="B50" s="6">
        <v>44742</v>
      </c>
      <c r="C50" s="7">
        <v>0.5</v>
      </c>
      <c r="D50" s="5">
        <v>12.62</v>
      </c>
      <c r="E50" s="5">
        <v>618.29999999999995</v>
      </c>
      <c r="F50" s="5">
        <v>631.1</v>
      </c>
      <c r="G50" s="6">
        <v>44742</v>
      </c>
      <c r="H50" s="5"/>
      <c r="I50" s="5"/>
      <c r="J50" s="5">
        <f t="shared" si="5"/>
        <v>12.800000000000068</v>
      </c>
      <c r="K50" s="8" t="b">
        <f t="shared" si="6"/>
        <v>1</v>
      </c>
    </row>
    <row r="51" spans="1:11">
      <c r="A51" s="5" t="s">
        <v>184</v>
      </c>
      <c r="B51" s="6">
        <v>44743</v>
      </c>
      <c r="C51" s="7">
        <v>0.7</v>
      </c>
      <c r="D51" s="5">
        <v>9.01</v>
      </c>
      <c r="E51" s="5">
        <v>631.1</v>
      </c>
      <c r="F51" s="5">
        <v>649.9</v>
      </c>
      <c r="G51" s="6">
        <v>44743</v>
      </c>
      <c r="H51" s="5"/>
      <c r="I51" s="5"/>
      <c r="J51" s="5">
        <f t="shared" si="5"/>
        <v>18.799999999999955</v>
      </c>
      <c r="K51" s="8" t="b">
        <f t="shared" si="6"/>
        <v>1</v>
      </c>
    </row>
    <row r="52" spans="1:11">
      <c r="A52" s="5" t="s">
        <v>184</v>
      </c>
      <c r="B52" s="6">
        <v>44744</v>
      </c>
      <c r="C52" s="7">
        <v>0.9</v>
      </c>
      <c r="D52" s="5">
        <v>7.01</v>
      </c>
      <c r="E52" s="5">
        <v>649.9</v>
      </c>
      <c r="F52" s="5">
        <v>662</v>
      </c>
      <c r="G52" s="6">
        <v>44744</v>
      </c>
      <c r="H52" s="5"/>
      <c r="I52" s="5"/>
      <c r="J52" s="5">
        <f t="shared" si="5"/>
        <v>12.100000000000023</v>
      </c>
      <c r="K52" s="8" t="b">
        <f t="shared" si="6"/>
        <v>1</v>
      </c>
    </row>
    <row r="53" spans="1:11">
      <c r="A53" s="5" t="s">
        <v>184</v>
      </c>
      <c r="B53" s="6">
        <v>44745</v>
      </c>
      <c r="C53" s="7">
        <v>1</v>
      </c>
      <c r="D53" s="5">
        <v>6.31</v>
      </c>
      <c r="E53" s="5">
        <v>662</v>
      </c>
      <c r="F53" s="5">
        <v>668.4</v>
      </c>
      <c r="G53" s="6">
        <v>44745</v>
      </c>
      <c r="H53" s="5"/>
      <c r="I53" s="5"/>
      <c r="J53" s="5">
        <f t="shared" si="5"/>
        <v>6.3999999999999773</v>
      </c>
      <c r="K53" s="8" t="b">
        <f t="shared" si="6"/>
        <v>1</v>
      </c>
    </row>
    <row r="54" spans="1:11">
      <c r="A54" s="5" t="s">
        <v>184</v>
      </c>
      <c r="B54" s="6">
        <v>44746</v>
      </c>
      <c r="C54" s="7">
        <v>1</v>
      </c>
      <c r="D54" s="5">
        <v>6.31</v>
      </c>
      <c r="E54" s="5">
        <v>668.4</v>
      </c>
      <c r="F54" s="5">
        <v>681.2</v>
      </c>
      <c r="G54" s="6">
        <v>44746</v>
      </c>
      <c r="H54" s="5"/>
      <c r="I54" s="5"/>
      <c r="J54" s="5">
        <f t="shared" si="5"/>
        <v>12.800000000000068</v>
      </c>
      <c r="K54" s="8" t="b">
        <f t="shared" si="6"/>
        <v>1</v>
      </c>
    </row>
    <row r="55" spans="1:11">
      <c r="A55" s="5" t="s">
        <v>184</v>
      </c>
      <c r="B55" s="6">
        <v>44747</v>
      </c>
      <c r="C55" s="7">
        <v>1</v>
      </c>
      <c r="D55" s="5">
        <v>6.31</v>
      </c>
      <c r="E55" s="5">
        <v>681.2</v>
      </c>
      <c r="F55" s="5">
        <v>693.8</v>
      </c>
      <c r="G55" s="6">
        <v>44747</v>
      </c>
      <c r="H55" s="5"/>
      <c r="I55" s="5"/>
      <c r="J55" s="5">
        <f t="shared" si="5"/>
        <v>12.599999999999909</v>
      </c>
      <c r="K55" s="8" t="b">
        <f t="shared" si="6"/>
        <v>1</v>
      </c>
    </row>
    <row r="56" spans="1:11">
      <c r="A56" s="5" t="s">
        <v>184</v>
      </c>
      <c r="B56" s="6">
        <v>44748</v>
      </c>
      <c r="C56" s="7">
        <v>1</v>
      </c>
      <c r="D56" s="5">
        <v>6.31</v>
      </c>
      <c r="E56" s="5">
        <v>693.8</v>
      </c>
      <c r="F56" s="5">
        <v>706.7</v>
      </c>
      <c r="G56" s="6">
        <v>44748</v>
      </c>
      <c r="H56" s="5"/>
      <c r="I56" s="5"/>
      <c r="J56" s="5">
        <f t="shared" si="5"/>
        <v>12.900000000000091</v>
      </c>
      <c r="K56" s="8" t="b">
        <f t="shared" si="6"/>
        <v>1</v>
      </c>
    </row>
    <row r="57" spans="1:11">
      <c r="A57" s="5" t="s">
        <v>184</v>
      </c>
      <c r="B57" s="6">
        <v>44749</v>
      </c>
      <c r="C57" s="7">
        <v>1</v>
      </c>
      <c r="D57" s="5">
        <v>6.31</v>
      </c>
      <c r="E57" s="5">
        <v>706.7</v>
      </c>
      <c r="F57" s="5">
        <v>719.3</v>
      </c>
      <c r="G57" s="6">
        <v>44749</v>
      </c>
      <c r="H57" s="5"/>
      <c r="I57" s="5"/>
      <c r="J57" s="5">
        <f t="shared" si="5"/>
        <v>12.599999999999909</v>
      </c>
      <c r="K57" s="8" t="b">
        <f t="shared" si="6"/>
        <v>1</v>
      </c>
    </row>
    <row r="58" spans="1:11">
      <c r="A58" s="5" t="s">
        <v>184</v>
      </c>
      <c r="B58" s="6">
        <v>44750</v>
      </c>
      <c r="C58" s="7">
        <v>1</v>
      </c>
      <c r="D58" s="5">
        <v>6.31</v>
      </c>
      <c r="E58" s="5">
        <v>719.3</v>
      </c>
      <c r="F58" s="5">
        <v>731.8</v>
      </c>
      <c r="G58" s="6">
        <v>44750</v>
      </c>
      <c r="H58" s="5"/>
      <c r="I58" s="5"/>
      <c r="J58" s="5">
        <f t="shared" si="5"/>
        <v>12.5</v>
      </c>
      <c r="K58" s="8" t="b">
        <f t="shared" si="6"/>
        <v>1</v>
      </c>
    </row>
    <row r="59" spans="1:11">
      <c r="A59" s="5" t="s">
        <v>184</v>
      </c>
      <c r="B59" s="6">
        <v>44751</v>
      </c>
      <c r="C59" s="7">
        <v>1</v>
      </c>
      <c r="D59" s="5">
        <v>6.31</v>
      </c>
      <c r="E59" s="5">
        <v>731.8</v>
      </c>
      <c r="F59" s="5">
        <v>744.4</v>
      </c>
      <c r="G59" s="6">
        <v>44751</v>
      </c>
      <c r="H59" s="5"/>
      <c r="I59" s="5"/>
      <c r="J59" s="5">
        <f t="shared" si="5"/>
        <v>12.600000000000023</v>
      </c>
      <c r="K59" s="8" t="b">
        <f t="shared" si="6"/>
        <v>1</v>
      </c>
    </row>
    <row r="60" spans="1:11">
      <c r="A60" s="5" t="s">
        <v>184</v>
      </c>
      <c r="B60" s="6">
        <v>44752</v>
      </c>
      <c r="C60" s="7">
        <v>1</v>
      </c>
      <c r="D60" s="5">
        <v>6.31</v>
      </c>
      <c r="E60" s="5">
        <v>744.4</v>
      </c>
      <c r="F60" s="5">
        <v>757.1</v>
      </c>
      <c r="G60" s="6">
        <v>44752</v>
      </c>
      <c r="H60" s="5"/>
      <c r="I60" s="5"/>
      <c r="J60" s="5">
        <f t="shared" si="5"/>
        <v>12.700000000000045</v>
      </c>
      <c r="K60" s="8" t="b">
        <f t="shared" si="6"/>
        <v>1</v>
      </c>
    </row>
    <row r="61" spans="1:11">
      <c r="A61" s="5" t="s">
        <v>184</v>
      </c>
      <c r="B61" s="6">
        <v>44753</v>
      </c>
      <c r="C61" s="7">
        <v>1</v>
      </c>
      <c r="D61" s="5">
        <v>6.31</v>
      </c>
      <c r="E61" s="5">
        <v>757.1</v>
      </c>
      <c r="F61" s="5">
        <v>769.5</v>
      </c>
      <c r="G61" s="6">
        <v>44753</v>
      </c>
      <c r="H61" s="5"/>
      <c r="I61" s="5"/>
      <c r="J61" s="5">
        <f t="shared" si="5"/>
        <v>12.399999999999977</v>
      </c>
      <c r="K61" s="8" t="b">
        <f t="shared" si="6"/>
        <v>1</v>
      </c>
    </row>
    <row r="62" spans="1:11">
      <c r="A62" s="5" t="s">
        <v>184</v>
      </c>
      <c r="B62" s="6">
        <v>44754</v>
      </c>
      <c r="C62" s="7">
        <v>1</v>
      </c>
      <c r="D62" s="5">
        <v>7</v>
      </c>
      <c r="E62" s="5">
        <v>769.5</v>
      </c>
      <c r="F62" s="5">
        <v>782.2</v>
      </c>
      <c r="G62" s="6">
        <v>44754</v>
      </c>
      <c r="H62" s="5"/>
      <c r="I62" s="5"/>
      <c r="J62" s="5">
        <f t="shared" si="5"/>
        <v>12.700000000000045</v>
      </c>
      <c r="K62" s="8" t="b">
        <f t="shared" si="6"/>
        <v>1</v>
      </c>
    </row>
    <row r="63" spans="1:11">
      <c r="A63" s="5" t="s">
        <v>184</v>
      </c>
      <c r="B63" s="6">
        <v>44755</v>
      </c>
      <c r="C63" s="7">
        <v>1</v>
      </c>
      <c r="D63" s="5">
        <v>6.31</v>
      </c>
      <c r="E63" s="5">
        <v>782.2</v>
      </c>
      <c r="F63" s="5">
        <v>795.2</v>
      </c>
      <c r="G63" s="6">
        <v>44755</v>
      </c>
      <c r="H63" s="5"/>
      <c r="I63" s="5"/>
      <c r="J63" s="5">
        <f t="shared" si="5"/>
        <v>13</v>
      </c>
      <c r="K63" s="8" t="b">
        <f t="shared" si="6"/>
        <v>1</v>
      </c>
    </row>
    <row r="64" spans="1:11">
      <c r="A64" s="5" t="s">
        <v>184</v>
      </c>
      <c r="B64" s="6">
        <v>44756</v>
      </c>
      <c r="C64" s="7">
        <v>1</v>
      </c>
      <c r="D64" s="5">
        <v>6.31</v>
      </c>
      <c r="E64" s="5">
        <v>795.2</v>
      </c>
      <c r="F64" s="5">
        <v>807.5</v>
      </c>
      <c r="G64" s="6">
        <v>44756</v>
      </c>
      <c r="H64" s="5"/>
      <c r="I64" s="5"/>
      <c r="J64" s="5">
        <f t="shared" si="5"/>
        <v>12.299999999999955</v>
      </c>
      <c r="K64" s="8" t="b">
        <f t="shared" si="6"/>
        <v>1</v>
      </c>
    </row>
    <row r="65" spans="1:11">
      <c r="A65" s="5" t="s">
        <v>184</v>
      </c>
      <c r="B65" s="6">
        <v>44757</v>
      </c>
      <c r="C65" s="7">
        <v>1</v>
      </c>
      <c r="D65" s="5">
        <v>6.31</v>
      </c>
      <c r="E65" s="5">
        <v>807.5</v>
      </c>
      <c r="F65" s="5">
        <v>820.1</v>
      </c>
      <c r="G65" s="6">
        <v>44757</v>
      </c>
      <c r="H65" s="5"/>
      <c r="I65" s="5"/>
      <c r="J65" s="5">
        <f t="shared" si="5"/>
        <v>12.600000000000023</v>
      </c>
      <c r="K65" s="8" t="b">
        <f t="shared" si="6"/>
        <v>1</v>
      </c>
    </row>
    <row r="66" spans="1:11">
      <c r="A66" s="5" t="s">
        <v>184</v>
      </c>
      <c r="B66" s="6">
        <v>44758</v>
      </c>
      <c r="C66" s="7">
        <v>1</v>
      </c>
      <c r="D66" s="5">
        <v>6.31</v>
      </c>
      <c r="E66" s="5">
        <v>820.1</v>
      </c>
      <c r="F66" s="5">
        <v>833.3</v>
      </c>
      <c r="G66" s="6">
        <v>44758</v>
      </c>
      <c r="H66" s="5"/>
      <c r="I66" s="5"/>
      <c r="J66" s="5">
        <f t="shared" si="5"/>
        <v>13.199999999999932</v>
      </c>
      <c r="K66" s="8" t="b">
        <f t="shared" si="6"/>
        <v>1</v>
      </c>
    </row>
    <row r="67" spans="1:11">
      <c r="A67" s="5" t="s">
        <v>184</v>
      </c>
      <c r="B67" s="6">
        <v>44759</v>
      </c>
      <c r="C67" s="7">
        <v>1</v>
      </c>
      <c r="D67" s="5">
        <v>6.31</v>
      </c>
      <c r="E67" s="5">
        <v>833.3</v>
      </c>
      <c r="F67" s="5">
        <v>846.2</v>
      </c>
      <c r="G67" s="6">
        <v>44759</v>
      </c>
      <c r="H67" s="5"/>
      <c r="I67" s="5"/>
      <c r="J67" s="5">
        <f t="shared" si="5"/>
        <v>12.900000000000091</v>
      </c>
      <c r="K67" s="8" t="b">
        <f t="shared" si="6"/>
        <v>1</v>
      </c>
    </row>
    <row r="68" spans="1:11">
      <c r="A68" s="5" t="s">
        <v>184</v>
      </c>
      <c r="B68" s="6">
        <v>44760</v>
      </c>
      <c r="C68" s="7">
        <v>1</v>
      </c>
      <c r="D68" s="5">
        <v>6.31</v>
      </c>
      <c r="E68" s="5">
        <v>846.2</v>
      </c>
      <c r="F68" s="5">
        <v>857.7</v>
      </c>
      <c r="G68" s="6">
        <v>44760</v>
      </c>
      <c r="H68" s="5"/>
      <c r="I68" s="5"/>
      <c r="J68" s="5">
        <f t="shared" si="5"/>
        <v>11.5</v>
      </c>
      <c r="K68" s="8" t="b">
        <f t="shared" si="6"/>
        <v>1</v>
      </c>
    </row>
    <row r="69" spans="1:11">
      <c r="A69" s="5" t="s">
        <v>184</v>
      </c>
      <c r="B69" s="6">
        <v>44763</v>
      </c>
      <c r="C69" s="7">
        <v>1</v>
      </c>
      <c r="D69" s="5">
        <v>6.31</v>
      </c>
      <c r="E69" s="5">
        <v>857.7</v>
      </c>
      <c r="F69" s="5">
        <v>870.6</v>
      </c>
      <c r="G69" s="6">
        <v>44763</v>
      </c>
      <c r="H69" s="5"/>
      <c r="I69" s="5"/>
      <c r="J69" s="5">
        <f t="shared" si="5"/>
        <v>12.899999999999977</v>
      </c>
      <c r="K69" s="8" t="b">
        <f t="shared" si="6"/>
        <v>1</v>
      </c>
    </row>
    <row r="70" spans="1:11">
      <c r="A70" s="5" t="s">
        <v>184</v>
      </c>
      <c r="B70" s="6">
        <v>44765</v>
      </c>
      <c r="C70" s="7">
        <v>1</v>
      </c>
      <c r="D70" s="5">
        <v>6.31</v>
      </c>
      <c r="E70" s="5">
        <v>870.6</v>
      </c>
      <c r="F70" s="5">
        <v>883.5</v>
      </c>
      <c r="G70" s="6">
        <v>44765</v>
      </c>
      <c r="H70" s="5"/>
      <c r="I70" s="5"/>
      <c r="J70" s="5">
        <f t="shared" si="5"/>
        <v>12.899999999999977</v>
      </c>
      <c r="K70" s="8" t="b">
        <f t="shared" si="6"/>
        <v>1</v>
      </c>
    </row>
    <row r="71" spans="1:11">
      <c r="A71" s="5" t="s">
        <v>184</v>
      </c>
      <c r="B71" s="6">
        <v>44767</v>
      </c>
      <c r="C71" s="7">
        <v>0.7</v>
      </c>
      <c r="D71" s="5">
        <v>9.01</v>
      </c>
      <c r="E71" s="5">
        <v>883.5</v>
      </c>
      <c r="F71" s="5">
        <v>901.1</v>
      </c>
      <c r="G71" s="6">
        <v>44767</v>
      </c>
      <c r="H71" s="5"/>
      <c r="I71" s="5"/>
      <c r="J71" s="5">
        <f t="shared" si="5"/>
        <v>17.600000000000023</v>
      </c>
      <c r="K71" s="8" t="b">
        <f t="shared" si="6"/>
        <v>1</v>
      </c>
    </row>
    <row r="72" spans="1:11">
      <c r="A72" s="5" t="s">
        <v>184</v>
      </c>
      <c r="B72" s="6">
        <v>44771</v>
      </c>
      <c r="C72" s="7">
        <v>0.7</v>
      </c>
      <c r="D72" s="5">
        <v>9.01</v>
      </c>
      <c r="E72" s="5">
        <v>901.1</v>
      </c>
      <c r="F72" s="5">
        <v>919</v>
      </c>
      <c r="G72" s="6">
        <v>44771</v>
      </c>
      <c r="H72" s="5"/>
      <c r="I72" s="5"/>
      <c r="J72" s="5">
        <f>F72-E72</f>
        <v>17.899999999999977</v>
      </c>
      <c r="K72" s="8" t="b">
        <f t="shared" si="6"/>
        <v>1</v>
      </c>
    </row>
    <row r="73" spans="1:11">
      <c r="A73" s="5" t="s">
        <v>184</v>
      </c>
      <c r="B73" s="6">
        <v>44774</v>
      </c>
      <c r="C73" s="7">
        <v>0.7</v>
      </c>
      <c r="D73" s="5">
        <v>9.01</v>
      </c>
      <c r="E73" s="5">
        <v>919</v>
      </c>
      <c r="F73" s="5">
        <v>937</v>
      </c>
      <c r="G73" s="6">
        <v>44774</v>
      </c>
      <c r="H73" s="5"/>
      <c r="I73" s="5"/>
      <c r="J73" s="5">
        <f>F73-E73</f>
        <v>18</v>
      </c>
      <c r="K73" s="8" t="b">
        <f t="shared" si="6"/>
        <v>1</v>
      </c>
    </row>
    <row r="74" spans="1:11">
      <c r="A74" s="5" t="s">
        <v>184</v>
      </c>
      <c r="B74" s="6">
        <v>44777</v>
      </c>
      <c r="C74" s="7">
        <v>0.6</v>
      </c>
      <c r="D74" s="5">
        <v>10.52</v>
      </c>
      <c r="E74" s="5">
        <v>937</v>
      </c>
      <c r="F74" s="5">
        <v>948.1</v>
      </c>
      <c r="G74" s="6">
        <v>44777</v>
      </c>
      <c r="H74" s="5"/>
      <c r="I74" s="5"/>
      <c r="J74" s="5">
        <f>F74-E74</f>
        <v>11.100000000000023</v>
      </c>
      <c r="K74" s="8" t="b">
        <f t="shared" si="6"/>
        <v>1</v>
      </c>
    </row>
    <row r="75" spans="1:11">
      <c r="A75" s="5" t="s">
        <v>184</v>
      </c>
      <c r="B75" s="6">
        <v>44778</v>
      </c>
      <c r="C75" s="7">
        <v>0.6</v>
      </c>
      <c r="D75" s="5">
        <v>10.52</v>
      </c>
      <c r="E75" s="5">
        <v>948.1</v>
      </c>
      <c r="F75" s="5">
        <v>959.3</v>
      </c>
      <c r="G75" s="6">
        <v>44778</v>
      </c>
      <c r="H75" s="5"/>
      <c r="I75" s="5"/>
      <c r="J75" s="5">
        <f t="shared" ref="J75:J87" si="7">F75-E75</f>
        <v>11.199999999999932</v>
      </c>
      <c r="K75" s="8" t="b">
        <f t="shared" si="6"/>
        <v>1</v>
      </c>
    </row>
    <row r="76" spans="1:11">
      <c r="A76" s="5" t="s">
        <v>184</v>
      </c>
      <c r="B76" s="6">
        <v>44780</v>
      </c>
      <c r="C76" s="7">
        <v>0.6</v>
      </c>
      <c r="D76" s="5">
        <v>10.52</v>
      </c>
      <c r="E76" s="5">
        <v>959.3</v>
      </c>
      <c r="F76" s="5">
        <v>969.7</v>
      </c>
      <c r="G76" s="6">
        <v>44780</v>
      </c>
      <c r="H76" s="5"/>
      <c r="I76" s="5"/>
      <c r="J76" s="5">
        <f t="shared" si="7"/>
        <v>10.400000000000091</v>
      </c>
      <c r="K76" s="8" t="b">
        <f t="shared" si="6"/>
        <v>1</v>
      </c>
    </row>
    <row r="77" spans="1:11">
      <c r="A77" s="5" t="s">
        <v>184</v>
      </c>
      <c r="B77" s="6">
        <v>44781</v>
      </c>
      <c r="C77" s="7">
        <v>0.6</v>
      </c>
      <c r="D77" s="5">
        <v>10.52</v>
      </c>
      <c r="E77" s="5">
        <v>969.7</v>
      </c>
      <c r="F77" s="5">
        <v>980.2</v>
      </c>
      <c r="G77" s="6">
        <v>44781</v>
      </c>
      <c r="H77" s="5"/>
      <c r="I77" s="5"/>
      <c r="J77" s="5">
        <f t="shared" si="7"/>
        <v>10.5</v>
      </c>
      <c r="K77" s="8" t="b">
        <f t="shared" si="6"/>
        <v>1</v>
      </c>
    </row>
    <row r="78" spans="1:11">
      <c r="A78" s="5" t="s">
        <v>184</v>
      </c>
      <c r="B78" s="6">
        <v>44782</v>
      </c>
      <c r="C78" s="7">
        <v>1</v>
      </c>
      <c r="D78" s="5">
        <v>6.31</v>
      </c>
      <c r="E78" s="5">
        <v>980.2</v>
      </c>
      <c r="F78" s="5">
        <v>992.9</v>
      </c>
      <c r="G78" s="6">
        <v>44782</v>
      </c>
      <c r="H78" s="5"/>
      <c r="I78" s="5"/>
      <c r="J78" s="5">
        <f t="shared" si="7"/>
        <v>12.699999999999932</v>
      </c>
      <c r="K78" s="8" t="b">
        <f t="shared" si="6"/>
        <v>1</v>
      </c>
    </row>
    <row r="79" spans="1:11">
      <c r="A79" s="5" t="s">
        <v>184</v>
      </c>
      <c r="B79" s="6">
        <v>44784</v>
      </c>
      <c r="C79" s="7">
        <v>0.6</v>
      </c>
      <c r="D79" s="5">
        <v>10.52</v>
      </c>
      <c r="E79" s="5">
        <v>992.9</v>
      </c>
      <c r="F79" s="5">
        <v>1003.3</v>
      </c>
      <c r="G79" s="6">
        <v>44784</v>
      </c>
      <c r="H79" s="5"/>
      <c r="I79" s="5"/>
      <c r="J79" s="5">
        <f t="shared" si="7"/>
        <v>10.399999999999977</v>
      </c>
      <c r="K79" s="8" t="b">
        <f t="shared" si="6"/>
        <v>1</v>
      </c>
    </row>
    <row r="80" spans="1:11">
      <c r="A80" s="5" t="s">
        <v>184</v>
      </c>
      <c r="B80" s="6">
        <v>44785</v>
      </c>
      <c r="C80" s="7">
        <v>0.6</v>
      </c>
      <c r="D80" s="5">
        <v>10.52</v>
      </c>
      <c r="E80" s="5">
        <v>1003.3</v>
      </c>
      <c r="F80" s="5">
        <v>1014.7</v>
      </c>
      <c r="G80" s="6">
        <v>44785</v>
      </c>
      <c r="H80" s="5"/>
      <c r="I80" s="5"/>
      <c r="J80" s="5">
        <f t="shared" si="7"/>
        <v>11.400000000000091</v>
      </c>
      <c r="K80" s="8" t="b">
        <f t="shared" si="6"/>
        <v>1</v>
      </c>
    </row>
    <row r="81" spans="1:11">
      <c r="A81" s="5" t="s">
        <v>184</v>
      </c>
      <c r="B81" s="6">
        <v>44788</v>
      </c>
      <c r="C81" s="7">
        <v>0.7</v>
      </c>
      <c r="D81" s="5">
        <v>9.01</v>
      </c>
      <c r="E81" s="5">
        <v>1014.7</v>
      </c>
      <c r="F81" s="5">
        <v>1030.4000000000001</v>
      </c>
      <c r="G81" s="6">
        <v>44788</v>
      </c>
      <c r="H81" s="5"/>
      <c r="I81" s="5"/>
      <c r="J81" s="5">
        <f t="shared" si="7"/>
        <v>15.700000000000045</v>
      </c>
      <c r="K81" s="8" t="b">
        <f t="shared" si="6"/>
        <v>1</v>
      </c>
    </row>
    <row r="82" spans="1:11">
      <c r="A82" s="5" t="s">
        <v>184</v>
      </c>
      <c r="B82" s="6">
        <v>44790</v>
      </c>
      <c r="C82" s="7">
        <v>0.5</v>
      </c>
      <c r="D82" s="5">
        <v>12.62</v>
      </c>
      <c r="E82" s="5">
        <v>1030.4000000000001</v>
      </c>
      <c r="F82" s="5">
        <v>1043.9000000000001</v>
      </c>
      <c r="G82" s="6">
        <v>44790</v>
      </c>
      <c r="H82" s="5"/>
      <c r="I82" s="5"/>
      <c r="J82" s="5">
        <f t="shared" si="7"/>
        <v>13.5</v>
      </c>
      <c r="K82" s="8" t="b">
        <f t="shared" si="6"/>
        <v>1</v>
      </c>
    </row>
    <row r="83" spans="1:11">
      <c r="A83" s="5" t="s">
        <v>184</v>
      </c>
      <c r="B83" s="6">
        <v>44791</v>
      </c>
      <c r="C83" s="7">
        <v>0.5</v>
      </c>
      <c r="D83" s="5">
        <v>12.62</v>
      </c>
      <c r="E83" s="5">
        <v>1043.9000000000001</v>
      </c>
      <c r="F83" s="5">
        <v>1056.2</v>
      </c>
      <c r="G83" s="6">
        <v>44791</v>
      </c>
      <c r="H83" s="5"/>
      <c r="I83" s="5"/>
      <c r="J83" s="5">
        <f t="shared" si="7"/>
        <v>12.299999999999955</v>
      </c>
      <c r="K83" s="8" t="b">
        <f t="shared" si="6"/>
        <v>1</v>
      </c>
    </row>
    <row r="84" spans="1:11">
      <c r="A84" s="5" t="s">
        <v>184</v>
      </c>
      <c r="B84" s="6">
        <v>44793</v>
      </c>
      <c r="C84" s="7">
        <v>0.5</v>
      </c>
      <c r="D84" s="5">
        <v>12.62</v>
      </c>
      <c r="E84" s="5">
        <v>1056.2</v>
      </c>
      <c r="F84" s="5">
        <v>1068.5999999999999</v>
      </c>
      <c r="G84" s="6">
        <v>44793</v>
      </c>
      <c r="H84" s="5"/>
      <c r="I84" s="5"/>
      <c r="J84" s="5">
        <f t="shared" si="7"/>
        <v>12.399999999999864</v>
      </c>
      <c r="K84" s="8" t="b">
        <f t="shared" si="6"/>
        <v>1</v>
      </c>
    </row>
    <row r="85" spans="1:11">
      <c r="A85" s="5" t="s">
        <v>184</v>
      </c>
      <c r="B85" s="6">
        <v>44794</v>
      </c>
      <c r="C85" s="7">
        <v>0.5</v>
      </c>
      <c r="D85" s="5">
        <v>12.62</v>
      </c>
      <c r="E85" s="5">
        <v>1068.5999999999999</v>
      </c>
      <c r="F85" s="5">
        <v>1081.3</v>
      </c>
      <c r="G85" s="6">
        <v>44794</v>
      </c>
      <c r="H85" s="5"/>
      <c r="I85" s="5"/>
      <c r="J85" s="5">
        <f t="shared" si="7"/>
        <v>12.700000000000045</v>
      </c>
      <c r="K85" s="8" t="b">
        <f t="shared" si="6"/>
        <v>1</v>
      </c>
    </row>
    <row r="86" spans="1:11">
      <c r="A86" s="5" t="s">
        <v>184</v>
      </c>
      <c r="B86" s="6">
        <v>44796</v>
      </c>
      <c r="C86" s="7">
        <v>0.8</v>
      </c>
      <c r="D86" s="5">
        <v>7.89</v>
      </c>
      <c r="E86" s="5">
        <v>1081.3</v>
      </c>
      <c r="F86" s="5">
        <v>1107.4000000000001</v>
      </c>
      <c r="G86" s="6">
        <v>44796</v>
      </c>
      <c r="H86" s="5"/>
      <c r="I86" s="5"/>
      <c r="J86" s="5">
        <f t="shared" si="7"/>
        <v>26.100000000000136</v>
      </c>
      <c r="K86" s="8" t="b">
        <f t="shared" si="6"/>
        <v>1</v>
      </c>
    </row>
    <row r="87" spans="1:11">
      <c r="A87" s="5" t="s">
        <v>184</v>
      </c>
      <c r="B87" s="6">
        <v>44797</v>
      </c>
      <c r="C87" s="7">
        <v>1</v>
      </c>
      <c r="D87" s="5">
        <v>6.31</v>
      </c>
      <c r="E87" s="5">
        <v>1107.4000000000001</v>
      </c>
      <c r="F87" s="5">
        <v>1120.0999999999999</v>
      </c>
      <c r="G87" s="6">
        <v>44798</v>
      </c>
      <c r="H87" s="5"/>
      <c r="I87" s="5"/>
      <c r="J87" s="5">
        <f t="shared" si="7"/>
        <v>12.699999999999818</v>
      </c>
      <c r="K87" s="8" t="b">
        <f t="shared" si="6"/>
        <v>1</v>
      </c>
    </row>
    <row r="88" spans="1:11">
      <c r="A88" s="5" t="s">
        <v>184</v>
      </c>
      <c r="B88" s="6">
        <v>44799</v>
      </c>
      <c r="C88" s="7">
        <v>0.5</v>
      </c>
      <c r="D88" s="5">
        <v>12.62</v>
      </c>
      <c r="E88" s="5">
        <v>1120.0999999999999</v>
      </c>
      <c r="F88" s="5">
        <v>1132.7</v>
      </c>
      <c r="G88" s="6">
        <v>44799</v>
      </c>
      <c r="H88" s="5"/>
      <c r="I88" s="5"/>
      <c r="J88" s="5">
        <f t="shared" ref="J88:J100" si="8">F88-E88</f>
        <v>12.600000000000136</v>
      </c>
      <c r="K88" s="8" t="b">
        <f t="shared" si="6"/>
        <v>1</v>
      </c>
    </row>
    <row r="89" spans="1:11">
      <c r="A89" s="5" t="s">
        <v>184</v>
      </c>
      <c r="B89" s="6">
        <v>44800</v>
      </c>
      <c r="C89" s="7">
        <v>0.6</v>
      </c>
      <c r="D89" s="5">
        <v>10.52</v>
      </c>
      <c r="E89" s="5">
        <v>1132.7</v>
      </c>
      <c r="F89" s="5">
        <v>1142.2</v>
      </c>
      <c r="G89" s="6">
        <v>44800</v>
      </c>
      <c r="H89" s="5"/>
      <c r="I89" s="5"/>
      <c r="J89" s="5">
        <f t="shared" si="8"/>
        <v>9.5</v>
      </c>
      <c r="K89" s="8" t="b">
        <f t="shared" si="6"/>
        <v>1</v>
      </c>
    </row>
    <row r="90" spans="1:11">
      <c r="A90" s="5" t="s">
        <v>184</v>
      </c>
      <c r="B90" s="6">
        <v>44801</v>
      </c>
      <c r="C90" s="7">
        <v>0.6</v>
      </c>
      <c r="D90" s="5">
        <v>10.52</v>
      </c>
      <c r="E90" s="5">
        <v>1142.2</v>
      </c>
      <c r="F90" s="5">
        <v>1152.7</v>
      </c>
      <c r="G90" s="6">
        <v>44801</v>
      </c>
      <c r="H90" s="5"/>
      <c r="I90" s="5"/>
      <c r="J90" s="5">
        <f t="shared" si="8"/>
        <v>10.5</v>
      </c>
      <c r="K90" s="8" t="b">
        <f t="shared" si="6"/>
        <v>1</v>
      </c>
    </row>
    <row r="91" spans="1:11">
      <c r="A91" s="5" t="s">
        <v>184</v>
      </c>
      <c r="B91" s="6">
        <v>44802</v>
      </c>
      <c r="C91" s="7">
        <v>0.6</v>
      </c>
      <c r="D91" s="5">
        <v>10.52</v>
      </c>
      <c r="E91" s="5">
        <v>1152.7</v>
      </c>
      <c r="F91" s="5">
        <v>1163.2</v>
      </c>
      <c r="G91" s="6">
        <v>44802</v>
      </c>
      <c r="H91" s="5"/>
      <c r="I91" s="5"/>
      <c r="J91" s="5">
        <f t="shared" si="8"/>
        <v>10.5</v>
      </c>
      <c r="K91" s="8" t="b">
        <f t="shared" si="6"/>
        <v>1</v>
      </c>
    </row>
    <row r="92" spans="1:11">
      <c r="A92" s="5" t="s">
        <v>184</v>
      </c>
      <c r="B92" s="6">
        <v>44803</v>
      </c>
      <c r="C92" s="7">
        <v>0.5</v>
      </c>
      <c r="D92" s="5">
        <v>12.62</v>
      </c>
      <c r="E92" s="5">
        <v>1163.2</v>
      </c>
      <c r="F92" s="5">
        <v>1176.2</v>
      </c>
      <c r="G92" s="6">
        <v>44803</v>
      </c>
      <c r="H92" s="5"/>
      <c r="I92" s="5"/>
      <c r="J92" s="5">
        <f t="shared" si="8"/>
        <v>13</v>
      </c>
      <c r="K92" s="8" t="b">
        <f t="shared" si="6"/>
        <v>1</v>
      </c>
    </row>
    <row r="93" spans="1:11">
      <c r="A93" s="5" t="s">
        <v>184</v>
      </c>
      <c r="B93" s="6">
        <v>44806</v>
      </c>
      <c r="C93" s="7">
        <v>0.6</v>
      </c>
      <c r="D93" s="5">
        <v>10.52</v>
      </c>
      <c r="E93" s="5">
        <v>1176.2</v>
      </c>
      <c r="F93" s="5">
        <v>1187.2</v>
      </c>
      <c r="G93" s="6">
        <v>44806</v>
      </c>
      <c r="H93" s="5"/>
      <c r="I93" s="5"/>
      <c r="J93" s="5">
        <f t="shared" si="8"/>
        <v>11</v>
      </c>
      <c r="K93" s="8" t="b">
        <f t="shared" si="6"/>
        <v>1</v>
      </c>
    </row>
    <row r="94" spans="1:11">
      <c r="A94" s="5" t="s">
        <v>184</v>
      </c>
      <c r="B94" s="6">
        <v>44807</v>
      </c>
      <c r="C94" s="7">
        <v>0.6</v>
      </c>
      <c r="D94" s="5">
        <v>10.52</v>
      </c>
      <c r="E94" s="5">
        <v>1187.2</v>
      </c>
      <c r="F94" s="5">
        <v>1197.5999999999999</v>
      </c>
      <c r="G94" s="6">
        <v>44807</v>
      </c>
      <c r="H94" s="5"/>
      <c r="I94" s="5"/>
      <c r="J94" s="5">
        <f t="shared" si="8"/>
        <v>10.399999999999864</v>
      </c>
      <c r="K94" s="8" t="b">
        <f t="shared" si="6"/>
        <v>1</v>
      </c>
    </row>
    <row r="95" spans="1:11">
      <c r="A95" s="5" t="s">
        <v>184</v>
      </c>
      <c r="B95" s="6">
        <v>44808</v>
      </c>
      <c r="C95" s="7">
        <v>0.6</v>
      </c>
      <c r="D95" s="5">
        <v>10.52</v>
      </c>
      <c r="E95" s="5">
        <v>1197.5999999999999</v>
      </c>
      <c r="F95" s="5">
        <v>1207.8</v>
      </c>
      <c r="G95" s="6">
        <v>44808</v>
      </c>
      <c r="H95" s="5"/>
      <c r="I95" s="5"/>
      <c r="J95" s="5">
        <f t="shared" si="8"/>
        <v>10.200000000000045</v>
      </c>
      <c r="K95" s="8" t="b">
        <f t="shared" si="6"/>
        <v>1</v>
      </c>
    </row>
    <row r="96" spans="1:11">
      <c r="A96" s="5" t="s">
        <v>184</v>
      </c>
      <c r="B96" s="6">
        <v>44809</v>
      </c>
      <c r="C96" s="7">
        <v>0.55000000000000004</v>
      </c>
      <c r="D96" s="5">
        <v>11.47</v>
      </c>
      <c r="E96" s="5">
        <v>1207.8</v>
      </c>
      <c r="F96" s="5">
        <v>1219.3</v>
      </c>
      <c r="G96" s="6">
        <v>44809</v>
      </c>
      <c r="H96" s="5"/>
      <c r="I96" s="5"/>
      <c r="J96" s="5">
        <f t="shared" si="8"/>
        <v>11.5</v>
      </c>
      <c r="K96" s="8" t="b">
        <f t="shared" si="6"/>
        <v>1</v>
      </c>
    </row>
    <row r="97" spans="1:11">
      <c r="A97" s="5" t="s">
        <v>184</v>
      </c>
      <c r="B97" s="6">
        <v>44810</v>
      </c>
      <c r="C97" s="7">
        <v>0.55000000000000004</v>
      </c>
      <c r="D97" s="5">
        <v>11.47</v>
      </c>
      <c r="E97" s="5">
        <v>1219.3</v>
      </c>
      <c r="F97" s="5">
        <v>1230.7</v>
      </c>
      <c r="G97" s="6">
        <v>44810</v>
      </c>
      <c r="H97" s="5"/>
      <c r="I97" s="5"/>
      <c r="J97" s="5">
        <f t="shared" si="8"/>
        <v>11.400000000000091</v>
      </c>
      <c r="K97" s="8" t="b">
        <f t="shared" si="6"/>
        <v>1</v>
      </c>
    </row>
    <row r="98" spans="1:11">
      <c r="A98" s="5" t="s">
        <v>184</v>
      </c>
      <c r="B98" s="6">
        <v>44811</v>
      </c>
      <c r="C98" s="7">
        <v>0.55000000000000004</v>
      </c>
      <c r="D98" s="5">
        <v>11.47</v>
      </c>
      <c r="E98" s="5">
        <v>1230.7</v>
      </c>
      <c r="F98" s="5">
        <v>1240.9000000000001</v>
      </c>
      <c r="G98" s="6">
        <v>44811</v>
      </c>
      <c r="H98" s="5"/>
      <c r="I98" s="5"/>
      <c r="J98" s="5">
        <f t="shared" si="8"/>
        <v>10.200000000000045</v>
      </c>
      <c r="K98" s="8" t="b">
        <f t="shared" si="6"/>
        <v>1</v>
      </c>
    </row>
    <row r="99" spans="1:11">
      <c r="A99" s="5" t="s">
        <v>184</v>
      </c>
      <c r="B99" s="6">
        <v>44812</v>
      </c>
      <c r="C99" s="7">
        <v>0.55000000000000004</v>
      </c>
      <c r="D99" s="5">
        <v>11.47</v>
      </c>
      <c r="E99" s="5">
        <v>1240.9000000000001</v>
      </c>
      <c r="F99" s="5">
        <v>1251.0999999999999</v>
      </c>
      <c r="G99" s="6">
        <v>44812</v>
      </c>
      <c r="H99" s="5"/>
      <c r="I99" s="5"/>
      <c r="J99" s="5">
        <f t="shared" si="8"/>
        <v>10.199999999999818</v>
      </c>
      <c r="K99" s="8" t="b">
        <f t="shared" si="6"/>
        <v>1</v>
      </c>
    </row>
    <row r="100" spans="1:11">
      <c r="A100" s="5" t="s">
        <v>184</v>
      </c>
      <c r="B100" s="6">
        <v>44813</v>
      </c>
      <c r="C100" s="7">
        <v>0.55000000000000004</v>
      </c>
      <c r="D100" s="5">
        <v>11.47</v>
      </c>
      <c r="E100" s="5">
        <v>1251.0999999999999</v>
      </c>
      <c r="F100" s="5">
        <v>1264.5999999999999</v>
      </c>
      <c r="G100" s="6">
        <v>44813</v>
      </c>
      <c r="H100" s="5"/>
      <c r="I100" s="5"/>
      <c r="J100" s="5">
        <f t="shared" si="8"/>
        <v>13.5</v>
      </c>
      <c r="K100" s="8" t="b">
        <f t="shared" si="6"/>
        <v>1</v>
      </c>
    </row>
    <row r="101" spans="1:11">
      <c r="A101" s="5" t="s">
        <v>184</v>
      </c>
      <c r="B101" s="6">
        <v>44815</v>
      </c>
      <c r="C101" s="7">
        <v>0.55000000000000004</v>
      </c>
      <c r="D101" s="5">
        <v>11.47</v>
      </c>
      <c r="E101" s="5">
        <v>1264.5999999999999</v>
      </c>
      <c r="F101" s="5">
        <v>1276.0999999999999</v>
      </c>
      <c r="G101" s="6">
        <v>44815</v>
      </c>
      <c r="H101" s="5"/>
      <c r="I101" s="5"/>
      <c r="J101" s="5">
        <f t="shared" ref="J101:J113" si="9">F101-E101</f>
        <v>11.5</v>
      </c>
      <c r="K101" s="8" t="b">
        <f t="shared" si="6"/>
        <v>1</v>
      </c>
    </row>
    <row r="102" spans="1:11">
      <c r="A102" s="5" t="s">
        <v>184</v>
      </c>
      <c r="B102" s="6">
        <v>44816</v>
      </c>
      <c r="C102" s="7">
        <v>0.5</v>
      </c>
      <c r="D102" s="5">
        <v>12.62</v>
      </c>
      <c r="E102" s="5">
        <v>1276.0999999999999</v>
      </c>
      <c r="F102" s="5">
        <v>1291.4000000000001</v>
      </c>
      <c r="G102" s="6">
        <v>44816</v>
      </c>
      <c r="H102" s="5"/>
      <c r="I102" s="5"/>
      <c r="J102" s="5">
        <f t="shared" si="9"/>
        <v>15.300000000000182</v>
      </c>
      <c r="K102" s="8" t="b">
        <f t="shared" si="6"/>
        <v>1</v>
      </c>
    </row>
    <row r="103" spans="1:11">
      <c r="A103" s="5" t="s">
        <v>184</v>
      </c>
      <c r="B103" s="6">
        <v>44817</v>
      </c>
      <c r="C103" s="7">
        <v>0.5</v>
      </c>
      <c r="D103" s="5">
        <v>12.62</v>
      </c>
      <c r="E103" s="5">
        <v>1291.4000000000001</v>
      </c>
      <c r="F103" s="5">
        <v>1304.7</v>
      </c>
      <c r="G103" s="6">
        <v>44817</v>
      </c>
      <c r="H103" s="5"/>
      <c r="I103" s="5"/>
      <c r="J103" s="5">
        <f t="shared" si="9"/>
        <v>13.299999999999955</v>
      </c>
      <c r="K103" s="8" t="b">
        <f t="shared" si="6"/>
        <v>1</v>
      </c>
    </row>
    <row r="104" spans="1:11">
      <c r="A104" s="5" t="s">
        <v>184</v>
      </c>
      <c r="B104" s="6">
        <v>44818</v>
      </c>
      <c r="C104" s="7">
        <v>0.5</v>
      </c>
      <c r="D104" s="5">
        <v>12.62</v>
      </c>
      <c r="E104" s="5">
        <v>1304.7</v>
      </c>
      <c r="F104" s="5">
        <v>1318</v>
      </c>
      <c r="G104" s="6">
        <v>44818</v>
      </c>
      <c r="H104" s="5"/>
      <c r="I104" s="5"/>
      <c r="J104" s="5">
        <f t="shared" si="9"/>
        <v>13.299999999999955</v>
      </c>
      <c r="K104" s="8" t="b">
        <f t="shared" si="6"/>
        <v>1</v>
      </c>
    </row>
    <row r="105" spans="1:11">
      <c r="A105" s="5" t="s">
        <v>184</v>
      </c>
      <c r="B105" s="6">
        <v>44820</v>
      </c>
      <c r="C105" s="7">
        <v>0.5</v>
      </c>
      <c r="D105" s="5">
        <v>12.62</v>
      </c>
      <c r="E105" s="5">
        <v>1318</v>
      </c>
      <c r="F105" s="5">
        <v>1324</v>
      </c>
      <c r="G105" s="6">
        <v>44820</v>
      </c>
      <c r="H105" s="5"/>
      <c r="I105" s="5"/>
      <c r="J105" s="5">
        <f t="shared" si="9"/>
        <v>6</v>
      </c>
      <c r="K105" s="8" t="b">
        <f t="shared" si="6"/>
        <v>1</v>
      </c>
    </row>
    <row r="106" spans="1:11">
      <c r="A106" s="5" t="s">
        <v>184</v>
      </c>
      <c r="B106" s="6">
        <v>44821</v>
      </c>
      <c r="C106" s="7">
        <v>0.4</v>
      </c>
      <c r="D106" s="5">
        <v>15.78</v>
      </c>
      <c r="E106" s="5">
        <v>1324</v>
      </c>
      <c r="F106" s="5">
        <v>1344.7</v>
      </c>
      <c r="G106" s="6">
        <v>44821</v>
      </c>
      <c r="H106" s="5"/>
      <c r="I106" s="5"/>
      <c r="J106" s="5">
        <f t="shared" si="9"/>
        <v>20.700000000000045</v>
      </c>
      <c r="K106" s="8" t="b">
        <f t="shared" si="6"/>
        <v>1</v>
      </c>
    </row>
    <row r="107" spans="1:11">
      <c r="A107" s="5" t="s">
        <v>184</v>
      </c>
      <c r="B107" s="6">
        <v>44822</v>
      </c>
      <c r="C107" s="7">
        <v>0.4</v>
      </c>
      <c r="D107" s="5">
        <v>15.78</v>
      </c>
      <c r="E107" s="5">
        <v>1344.7</v>
      </c>
      <c r="F107" s="5">
        <v>1357.9</v>
      </c>
      <c r="G107" s="6">
        <v>44822</v>
      </c>
      <c r="H107" s="5"/>
      <c r="I107" s="5"/>
      <c r="J107" s="5">
        <f t="shared" si="9"/>
        <v>13.200000000000045</v>
      </c>
      <c r="K107" s="8" t="b">
        <f t="shared" si="6"/>
        <v>1</v>
      </c>
    </row>
    <row r="108" spans="1:11">
      <c r="A108" s="5" t="s">
        <v>184</v>
      </c>
      <c r="B108" s="6">
        <v>44823</v>
      </c>
      <c r="C108" s="7">
        <v>0.4</v>
      </c>
      <c r="D108" s="5">
        <v>15.78</v>
      </c>
      <c r="E108" s="5">
        <v>1357.9</v>
      </c>
      <c r="F108" s="5">
        <v>1364.9</v>
      </c>
      <c r="G108" s="6">
        <v>44823</v>
      </c>
      <c r="H108" s="5"/>
      <c r="I108" s="5"/>
      <c r="J108" s="5">
        <f t="shared" si="9"/>
        <v>7</v>
      </c>
      <c r="K108" s="8" t="b">
        <f t="shared" si="6"/>
        <v>1</v>
      </c>
    </row>
    <row r="109" spans="1:11">
      <c r="A109" s="5" t="s">
        <v>184</v>
      </c>
      <c r="B109" s="6">
        <v>44824</v>
      </c>
      <c r="C109" s="7">
        <v>0.4</v>
      </c>
      <c r="D109" s="5">
        <v>15.78</v>
      </c>
      <c r="E109" s="5">
        <v>1364.9</v>
      </c>
      <c r="F109" s="5">
        <v>1375.4</v>
      </c>
      <c r="G109" s="6">
        <v>44824</v>
      </c>
      <c r="H109" s="5"/>
      <c r="I109" s="5"/>
      <c r="J109" s="5">
        <f t="shared" si="9"/>
        <v>10.5</v>
      </c>
      <c r="K109" s="8" t="b">
        <f t="shared" si="6"/>
        <v>1</v>
      </c>
    </row>
    <row r="110" spans="1:11">
      <c r="A110" s="5" t="s">
        <v>184</v>
      </c>
      <c r="B110" s="6">
        <v>44825</v>
      </c>
      <c r="C110" s="7">
        <v>0.4</v>
      </c>
      <c r="D110" s="5">
        <v>15.78</v>
      </c>
      <c r="E110" s="5">
        <v>1375.4</v>
      </c>
      <c r="F110" s="5">
        <v>1386.9</v>
      </c>
      <c r="G110" s="6">
        <v>44825</v>
      </c>
      <c r="H110" s="5"/>
      <c r="I110" s="5"/>
      <c r="J110" s="5">
        <f t="shared" si="9"/>
        <v>11.5</v>
      </c>
      <c r="K110" s="8" t="b">
        <f t="shared" ref="K110:K150" si="10">E110=F109</f>
        <v>1</v>
      </c>
    </row>
    <row r="111" spans="1:11">
      <c r="A111" s="5" t="s">
        <v>184</v>
      </c>
      <c r="B111" s="6">
        <v>44826</v>
      </c>
      <c r="C111" s="7">
        <v>0.4</v>
      </c>
      <c r="D111" s="5">
        <v>15.78</v>
      </c>
      <c r="E111" s="5">
        <v>1386.9</v>
      </c>
      <c r="F111" s="5">
        <v>1407.4</v>
      </c>
      <c r="G111" s="6">
        <v>44826</v>
      </c>
      <c r="H111" s="5"/>
      <c r="I111" s="5"/>
      <c r="J111" s="5">
        <f t="shared" si="9"/>
        <v>20.5</v>
      </c>
      <c r="K111" s="8" t="b">
        <f t="shared" si="10"/>
        <v>1</v>
      </c>
    </row>
    <row r="112" spans="1:11">
      <c r="A112" s="5" t="s">
        <v>184</v>
      </c>
      <c r="B112" s="6">
        <v>44828</v>
      </c>
      <c r="C112" s="7">
        <v>0.4</v>
      </c>
      <c r="D112" s="5">
        <v>15.78</v>
      </c>
      <c r="E112" s="5">
        <v>1407.4</v>
      </c>
      <c r="F112" s="5">
        <v>1423.9</v>
      </c>
      <c r="G112" s="6">
        <v>44828</v>
      </c>
      <c r="H112" s="5"/>
      <c r="I112" s="5"/>
      <c r="J112" s="5">
        <f t="shared" si="9"/>
        <v>16.5</v>
      </c>
      <c r="K112" s="8" t="b">
        <f t="shared" si="10"/>
        <v>1</v>
      </c>
    </row>
    <row r="113" spans="1:11">
      <c r="A113" s="5" t="s">
        <v>184</v>
      </c>
      <c r="B113" s="6">
        <v>44829</v>
      </c>
      <c r="C113" s="7">
        <v>0.4</v>
      </c>
      <c r="D113" s="5">
        <v>15.78</v>
      </c>
      <c r="E113" s="5">
        <v>1423.9</v>
      </c>
      <c r="F113" s="5">
        <v>1440.4</v>
      </c>
      <c r="G113" s="6">
        <v>44829</v>
      </c>
      <c r="H113" s="5"/>
      <c r="I113" s="5"/>
      <c r="J113" s="5">
        <f t="shared" si="9"/>
        <v>16.5</v>
      </c>
      <c r="K113" s="8" t="b">
        <f t="shared" si="10"/>
        <v>1</v>
      </c>
    </row>
    <row r="114" spans="1:11">
      <c r="A114" s="5" t="s">
        <v>184</v>
      </c>
      <c r="B114" s="6">
        <v>44830</v>
      </c>
      <c r="C114" s="7">
        <v>0.4</v>
      </c>
      <c r="D114" s="5">
        <v>15.78</v>
      </c>
      <c r="E114" s="5">
        <v>1440.4</v>
      </c>
      <c r="F114" s="5">
        <v>1455.8</v>
      </c>
      <c r="G114" s="6">
        <v>44830</v>
      </c>
      <c r="H114" s="5"/>
      <c r="I114" s="5"/>
      <c r="J114" s="5">
        <f t="shared" ref="J114:J122" si="11">F114-E114</f>
        <v>15.399999999999864</v>
      </c>
      <c r="K114" s="8" t="b">
        <f t="shared" si="10"/>
        <v>1</v>
      </c>
    </row>
    <row r="115" spans="1:11">
      <c r="A115" s="5" t="s">
        <v>184</v>
      </c>
      <c r="B115" s="6">
        <v>44831</v>
      </c>
      <c r="C115" s="7">
        <v>1</v>
      </c>
      <c r="D115" s="5">
        <v>6.31</v>
      </c>
      <c r="E115" s="5">
        <v>1455.8</v>
      </c>
      <c r="F115" s="5">
        <v>1467.2</v>
      </c>
      <c r="G115" s="6">
        <v>44831</v>
      </c>
      <c r="H115" s="5"/>
      <c r="I115" s="5"/>
      <c r="J115" s="5">
        <f t="shared" si="11"/>
        <v>11.400000000000091</v>
      </c>
      <c r="K115" s="8" t="b">
        <f t="shared" si="10"/>
        <v>1</v>
      </c>
    </row>
    <row r="116" spans="1:11">
      <c r="A116" s="5" t="s">
        <v>184</v>
      </c>
      <c r="B116" s="6">
        <v>44832</v>
      </c>
      <c r="C116" s="7">
        <v>0.4</v>
      </c>
      <c r="D116" s="5">
        <v>15.78</v>
      </c>
      <c r="E116" s="5">
        <v>1467.2</v>
      </c>
      <c r="F116" s="5">
        <v>1483.1</v>
      </c>
      <c r="G116" s="6">
        <v>44832</v>
      </c>
      <c r="H116" s="5"/>
      <c r="I116" s="5"/>
      <c r="J116" s="5">
        <f t="shared" si="11"/>
        <v>15.899999999999864</v>
      </c>
      <c r="K116" s="8" t="b">
        <f t="shared" si="10"/>
        <v>1</v>
      </c>
    </row>
    <row r="117" spans="1:11">
      <c r="A117" s="5" t="s">
        <v>184</v>
      </c>
      <c r="B117" s="6">
        <v>44833</v>
      </c>
      <c r="C117" s="7">
        <v>0.4</v>
      </c>
      <c r="D117" s="5">
        <v>15.78</v>
      </c>
      <c r="E117" s="5">
        <v>1483.1</v>
      </c>
      <c r="F117" s="5">
        <v>1498.5</v>
      </c>
      <c r="G117" s="6">
        <v>44833</v>
      </c>
      <c r="H117" s="5"/>
      <c r="I117" s="5"/>
      <c r="J117" s="5">
        <f t="shared" si="11"/>
        <v>15.400000000000091</v>
      </c>
      <c r="K117" s="8" t="b">
        <f t="shared" si="10"/>
        <v>1</v>
      </c>
    </row>
    <row r="118" spans="1:11">
      <c r="A118" s="5" t="s">
        <v>184</v>
      </c>
      <c r="B118" s="6">
        <v>44834</v>
      </c>
      <c r="C118" s="7">
        <v>0.4</v>
      </c>
      <c r="D118" s="5">
        <v>15.78</v>
      </c>
      <c r="E118" s="5">
        <v>1498.5</v>
      </c>
      <c r="F118" s="5">
        <v>1513.9</v>
      </c>
      <c r="G118" s="6">
        <v>44834</v>
      </c>
      <c r="H118" s="5"/>
      <c r="I118" s="5"/>
      <c r="J118" s="5">
        <f t="shared" si="11"/>
        <v>15.400000000000091</v>
      </c>
      <c r="K118" s="8" t="b">
        <f t="shared" si="10"/>
        <v>1</v>
      </c>
    </row>
    <row r="119" spans="1:11">
      <c r="A119" s="5" t="s">
        <v>184</v>
      </c>
      <c r="B119" s="6">
        <v>44835</v>
      </c>
      <c r="C119" s="7">
        <v>0.4</v>
      </c>
      <c r="D119" s="5">
        <v>15.78</v>
      </c>
      <c r="E119" s="5">
        <v>1513.9</v>
      </c>
      <c r="F119" s="5">
        <v>1529.5</v>
      </c>
      <c r="G119" s="6">
        <v>44835</v>
      </c>
      <c r="H119" s="5"/>
      <c r="I119" s="5"/>
      <c r="J119" s="5">
        <f t="shared" si="11"/>
        <v>15.599999999999909</v>
      </c>
      <c r="K119" s="8" t="b">
        <f t="shared" si="10"/>
        <v>1</v>
      </c>
    </row>
    <row r="120" spans="1:11">
      <c r="A120" s="5" t="s">
        <v>184</v>
      </c>
      <c r="B120" s="6">
        <v>44836</v>
      </c>
      <c r="C120" s="7">
        <v>0.4</v>
      </c>
      <c r="D120" s="5">
        <v>15.78</v>
      </c>
      <c r="E120" s="5">
        <v>1529.5</v>
      </c>
      <c r="F120" s="5">
        <v>1545.3</v>
      </c>
      <c r="G120" s="6">
        <v>44836</v>
      </c>
      <c r="H120" s="5"/>
      <c r="I120" s="5"/>
      <c r="J120" s="5">
        <f t="shared" si="11"/>
        <v>15.799999999999955</v>
      </c>
      <c r="K120" s="8" t="b">
        <f t="shared" si="10"/>
        <v>1</v>
      </c>
    </row>
    <row r="121" spans="1:11">
      <c r="A121" s="5" t="s">
        <v>184</v>
      </c>
      <c r="B121" s="6">
        <v>44837</v>
      </c>
      <c r="C121" s="7">
        <v>0.4</v>
      </c>
      <c r="D121" s="5">
        <v>15.78</v>
      </c>
      <c r="E121" s="5">
        <v>1545.3</v>
      </c>
      <c r="F121" s="5">
        <v>1560.7</v>
      </c>
      <c r="G121" s="6">
        <v>44837</v>
      </c>
      <c r="H121" s="5"/>
      <c r="I121" s="5"/>
      <c r="J121" s="5">
        <f t="shared" si="11"/>
        <v>15.400000000000091</v>
      </c>
      <c r="K121" s="8" t="b">
        <f t="shared" si="10"/>
        <v>1</v>
      </c>
    </row>
    <row r="122" spans="1:11">
      <c r="A122" s="5" t="s">
        <v>184</v>
      </c>
      <c r="B122" s="6">
        <v>44838</v>
      </c>
      <c r="C122" s="7">
        <v>0.4</v>
      </c>
      <c r="D122" s="5">
        <v>15.78</v>
      </c>
      <c r="E122" s="5">
        <v>1560.7</v>
      </c>
      <c r="F122" s="5">
        <v>1576.3</v>
      </c>
      <c r="G122" s="6">
        <v>44838</v>
      </c>
      <c r="H122" s="5"/>
      <c r="I122" s="5"/>
      <c r="J122" s="5">
        <f t="shared" si="11"/>
        <v>15.599999999999909</v>
      </c>
      <c r="K122" s="8" t="b">
        <f t="shared" si="10"/>
        <v>1</v>
      </c>
    </row>
    <row r="123" spans="1:11">
      <c r="A123" s="5" t="s">
        <v>184</v>
      </c>
      <c r="B123" s="6">
        <v>44839</v>
      </c>
      <c r="C123" s="7">
        <v>0.4</v>
      </c>
      <c r="D123" s="5">
        <v>15.78</v>
      </c>
      <c r="E123" s="5">
        <v>1576.3</v>
      </c>
      <c r="F123" s="5">
        <v>1592.3</v>
      </c>
      <c r="G123" s="6">
        <v>44839</v>
      </c>
      <c r="H123" s="5"/>
      <c r="I123" s="5"/>
      <c r="J123" s="5">
        <f t="shared" ref="J123:J130" si="12">F123-E123</f>
        <v>16</v>
      </c>
      <c r="K123" s="8" t="b">
        <f t="shared" si="10"/>
        <v>1</v>
      </c>
    </row>
    <row r="124" spans="1:11">
      <c r="A124" s="5" t="s">
        <v>184</v>
      </c>
      <c r="B124" s="6">
        <v>44840</v>
      </c>
      <c r="C124" s="7">
        <v>0.4</v>
      </c>
      <c r="D124" s="5">
        <v>15.78</v>
      </c>
      <c r="E124" s="5">
        <v>1592.3</v>
      </c>
      <c r="F124" s="5">
        <v>1607.9</v>
      </c>
      <c r="G124" s="6">
        <v>44840</v>
      </c>
      <c r="H124" s="5"/>
      <c r="I124" s="5"/>
      <c r="J124" s="5">
        <f t="shared" si="12"/>
        <v>15.600000000000136</v>
      </c>
      <c r="K124" s="8" t="b">
        <f t="shared" si="10"/>
        <v>1</v>
      </c>
    </row>
    <row r="125" spans="1:11">
      <c r="A125" s="5" t="s">
        <v>184</v>
      </c>
      <c r="B125" s="6">
        <v>44841</v>
      </c>
      <c r="C125" s="7">
        <v>0.4</v>
      </c>
      <c r="D125" s="5">
        <v>15.78</v>
      </c>
      <c r="E125" s="5">
        <v>1607.9</v>
      </c>
      <c r="F125" s="5">
        <v>1623.5</v>
      </c>
      <c r="G125" s="6">
        <v>44841</v>
      </c>
      <c r="H125" s="5"/>
      <c r="I125" s="5"/>
      <c r="J125" s="5">
        <f t="shared" si="12"/>
        <v>15.599999999999909</v>
      </c>
      <c r="K125" s="8" t="b">
        <f t="shared" si="10"/>
        <v>1</v>
      </c>
    </row>
    <row r="126" spans="1:11">
      <c r="A126" s="5" t="s">
        <v>184</v>
      </c>
      <c r="B126" s="6">
        <v>44842</v>
      </c>
      <c r="C126" s="7">
        <v>0.4</v>
      </c>
      <c r="D126" s="5">
        <v>15.78</v>
      </c>
      <c r="E126" s="5">
        <v>1623.5</v>
      </c>
      <c r="F126" s="5">
        <v>1639.2</v>
      </c>
      <c r="G126" s="6">
        <v>44842</v>
      </c>
      <c r="H126" s="5"/>
      <c r="I126" s="5"/>
      <c r="J126" s="5">
        <f t="shared" si="12"/>
        <v>15.700000000000045</v>
      </c>
      <c r="K126" s="8" t="b">
        <f t="shared" si="10"/>
        <v>1</v>
      </c>
    </row>
    <row r="127" spans="1:11">
      <c r="A127" s="5" t="s">
        <v>184</v>
      </c>
      <c r="B127" s="6">
        <v>44843</v>
      </c>
      <c r="C127" s="7">
        <v>0.4</v>
      </c>
      <c r="D127" s="5">
        <v>15.78</v>
      </c>
      <c r="E127" s="5">
        <v>1639.2</v>
      </c>
      <c r="F127" s="5">
        <v>1654.5</v>
      </c>
      <c r="G127" s="6">
        <v>44843</v>
      </c>
      <c r="H127" s="5"/>
      <c r="I127" s="5"/>
      <c r="J127" s="5">
        <f t="shared" si="12"/>
        <v>15.299999999999955</v>
      </c>
      <c r="K127" s="8" t="b">
        <f t="shared" si="10"/>
        <v>1</v>
      </c>
    </row>
    <row r="128" spans="1:11">
      <c r="A128" s="5" t="s">
        <v>184</v>
      </c>
      <c r="B128" s="6">
        <v>44844</v>
      </c>
      <c r="C128" s="7">
        <v>0.4</v>
      </c>
      <c r="D128" s="5">
        <v>15.78</v>
      </c>
      <c r="E128" s="5">
        <v>1654.5</v>
      </c>
      <c r="F128" s="5">
        <v>1670.6</v>
      </c>
      <c r="G128" s="6">
        <v>44844</v>
      </c>
      <c r="H128" s="5"/>
      <c r="I128" s="5"/>
      <c r="J128" s="5">
        <f t="shared" si="12"/>
        <v>16.099999999999909</v>
      </c>
      <c r="K128" s="8" t="b">
        <f t="shared" si="10"/>
        <v>1</v>
      </c>
    </row>
    <row r="129" spans="1:11">
      <c r="A129" s="5" t="s">
        <v>184</v>
      </c>
      <c r="B129" s="6">
        <v>44845</v>
      </c>
      <c r="C129" s="7">
        <v>0.4</v>
      </c>
      <c r="D129" s="5">
        <v>15.78</v>
      </c>
      <c r="E129" s="5">
        <v>1670.6</v>
      </c>
      <c r="F129" s="5">
        <v>1686.3</v>
      </c>
      <c r="G129" s="6">
        <v>44845</v>
      </c>
      <c r="H129" s="5"/>
      <c r="I129" s="5"/>
      <c r="J129" s="5">
        <f t="shared" si="12"/>
        <v>15.700000000000045</v>
      </c>
      <c r="K129" s="8" t="b">
        <f t="shared" si="10"/>
        <v>1</v>
      </c>
    </row>
    <row r="130" spans="1:11">
      <c r="A130" s="5" t="s">
        <v>184</v>
      </c>
      <c r="B130" s="6">
        <v>44846</v>
      </c>
      <c r="C130" s="7">
        <v>0.4</v>
      </c>
      <c r="D130" s="5">
        <v>15.78</v>
      </c>
      <c r="E130" s="5">
        <v>1686.3</v>
      </c>
      <c r="F130" s="5">
        <v>1702</v>
      </c>
      <c r="G130" s="6">
        <v>44846</v>
      </c>
      <c r="H130" s="5"/>
      <c r="I130" s="5"/>
      <c r="J130" s="5">
        <f t="shared" si="12"/>
        <v>15.700000000000045</v>
      </c>
      <c r="K130" s="8" t="b">
        <f t="shared" si="10"/>
        <v>1</v>
      </c>
    </row>
    <row r="131" spans="1:11">
      <c r="A131" s="5" t="s">
        <v>184</v>
      </c>
      <c r="B131" s="6">
        <v>44847</v>
      </c>
      <c r="C131" s="7">
        <v>0.4</v>
      </c>
      <c r="D131" s="5">
        <v>15.78</v>
      </c>
      <c r="E131" s="5">
        <v>1702</v>
      </c>
      <c r="F131" s="5">
        <v>1717.9</v>
      </c>
      <c r="G131" s="6">
        <v>44847</v>
      </c>
      <c r="H131" s="5"/>
      <c r="I131" s="5"/>
      <c r="J131" s="5">
        <f t="shared" ref="J131:J149" si="13">F131-E131</f>
        <v>15.900000000000091</v>
      </c>
      <c r="K131" s="8" t="b">
        <f t="shared" si="10"/>
        <v>1</v>
      </c>
    </row>
    <row r="132" spans="1:11">
      <c r="A132" s="5" t="s">
        <v>184</v>
      </c>
      <c r="B132" s="6">
        <v>44848</v>
      </c>
      <c r="C132" s="7">
        <v>0.4</v>
      </c>
      <c r="D132" s="5">
        <v>15.78</v>
      </c>
      <c r="E132" s="5">
        <v>1717.9</v>
      </c>
      <c r="F132" s="5">
        <v>1733.6</v>
      </c>
      <c r="G132" s="6">
        <v>44848</v>
      </c>
      <c r="H132" s="5"/>
      <c r="I132" s="5"/>
      <c r="J132" s="5">
        <f t="shared" si="13"/>
        <v>15.699999999999818</v>
      </c>
      <c r="K132" s="8" t="b">
        <f t="shared" si="10"/>
        <v>1</v>
      </c>
    </row>
    <row r="133" spans="1:11">
      <c r="A133" s="5" t="s">
        <v>184</v>
      </c>
      <c r="B133" s="6">
        <v>44849</v>
      </c>
      <c r="C133" s="7">
        <v>0.4</v>
      </c>
      <c r="D133" s="5">
        <v>15.78</v>
      </c>
      <c r="E133" s="5">
        <v>1733.6</v>
      </c>
      <c r="F133" s="5">
        <v>1749.3</v>
      </c>
      <c r="G133" s="6">
        <v>44849</v>
      </c>
      <c r="H133" s="5"/>
      <c r="I133" s="5"/>
      <c r="J133" s="5">
        <f t="shared" si="13"/>
        <v>15.700000000000045</v>
      </c>
      <c r="K133" s="8" t="b">
        <f t="shared" si="10"/>
        <v>1</v>
      </c>
    </row>
    <row r="134" spans="1:11">
      <c r="A134" s="5" t="s">
        <v>184</v>
      </c>
      <c r="B134" s="6">
        <v>44850</v>
      </c>
      <c r="C134" s="7">
        <v>0.4</v>
      </c>
      <c r="D134" s="5">
        <v>15.78</v>
      </c>
      <c r="E134" s="5">
        <v>1749.3</v>
      </c>
      <c r="F134" s="5">
        <v>1775.1</v>
      </c>
      <c r="G134" s="6">
        <v>44850</v>
      </c>
      <c r="H134" s="5"/>
      <c r="I134" s="5"/>
      <c r="J134" s="5">
        <f t="shared" si="13"/>
        <v>25.799999999999955</v>
      </c>
      <c r="K134" s="8" t="b">
        <f t="shared" si="10"/>
        <v>1</v>
      </c>
    </row>
    <row r="135" spans="1:11">
      <c r="A135" s="5" t="s">
        <v>184</v>
      </c>
      <c r="B135" s="6">
        <v>44851</v>
      </c>
      <c r="C135" s="7">
        <v>0.4</v>
      </c>
      <c r="D135" s="5">
        <v>15.78</v>
      </c>
      <c r="E135" s="5">
        <v>1775.1</v>
      </c>
      <c r="F135" s="5">
        <v>1780.7</v>
      </c>
      <c r="G135" s="6">
        <v>44851</v>
      </c>
      <c r="H135" s="5"/>
      <c r="I135" s="5"/>
      <c r="J135" s="5">
        <f t="shared" si="13"/>
        <v>5.6000000000001364</v>
      </c>
      <c r="K135" s="8" t="b">
        <f t="shared" si="10"/>
        <v>1</v>
      </c>
    </row>
    <row r="136" spans="1:11">
      <c r="A136" s="5" t="s">
        <v>184</v>
      </c>
      <c r="B136" s="6">
        <v>44853</v>
      </c>
      <c r="C136" s="7">
        <v>0.4</v>
      </c>
      <c r="D136" s="5">
        <v>15.78</v>
      </c>
      <c r="E136" s="5">
        <v>1780.7</v>
      </c>
      <c r="F136" s="5">
        <v>1797.2</v>
      </c>
      <c r="G136" s="6">
        <v>44853</v>
      </c>
      <c r="H136" s="5"/>
      <c r="I136" s="5"/>
      <c r="J136" s="5">
        <f t="shared" si="13"/>
        <v>16.5</v>
      </c>
      <c r="K136" s="8" t="b">
        <f t="shared" si="10"/>
        <v>1</v>
      </c>
    </row>
    <row r="137" spans="1:11">
      <c r="A137" s="5" t="s">
        <v>184</v>
      </c>
      <c r="B137" s="6">
        <v>44854</v>
      </c>
      <c r="C137" s="7">
        <v>0.4</v>
      </c>
      <c r="D137" s="5">
        <v>15.78</v>
      </c>
      <c r="E137" s="5">
        <v>1797.2</v>
      </c>
      <c r="F137" s="5">
        <v>1812.1</v>
      </c>
      <c r="G137" s="6">
        <v>44854</v>
      </c>
      <c r="H137" s="5"/>
      <c r="I137" s="5"/>
      <c r="J137" s="5">
        <f t="shared" si="13"/>
        <v>14.899999999999864</v>
      </c>
      <c r="K137" s="8" t="b">
        <f t="shared" si="10"/>
        <v>1</v>
      </c>
    </row>
    <row r="138" spans="1:11">
      <c r="A138" s="5" t="s">
        <v>184</v>
      </c>
      <c r="B138" s="6">
        <v>44855</v>
      </c>
      <c r="C138" s="7">
        <v>0.4</v>
      </c>
      <c r="D138" s="5">
        <v>15.78</v>
      </c>
      <c r="E138" s="5">
        <v>1812.1</v>
      </c>
      <c r="F138" s="5">
        <v>1827.8</v>
      </c>
      <c r="G138" s="6">
        <v>44855</v>
      </c>
      <c r="H138" s="5"/>
      <c r="I138" s="5"/>
      <c r="J138" s="5">
        <f t="shared" si="13"/>
        <v>15.700000000000045</v>
      </c>
      <c r="K138" s="8" t="b">
        <f t="shared" si="10"/>
        <v>1</v>
      </c>
    </row>
    <row r="139" spans="1:11">
      <c r="A139" s="5" t="s">
        <v>184</v>
      </c>
      <c r="B139" s="6">
        <v>44856</v>
      </c>
      <c r="C139" s="7">
        <v>0.4</v>
      </c>
      <c r="D139" s="5">
        <v>15.78</v>
      </c>
      <c r="E139" s="5">
        <v>1827.8</v>
      </c>
      <c r="F139" s="5">
        <v>1847.5</v>
      </c>
      <c r="G139" s="6">
        <v>44856</v>
      </c>
      <c r="H139" s="5"/>
      <c r="I139" s="5"/>
      <c r="J139" s="5">
        <f t="shared" si="13"/>
        <v>19.700000000000045</v>
      </c>
      <c r="K139" s="8" t="b">
        <f t="shared" si="10"/>
        <v>1</v>
      </c>
    </row>
    <row r="140" spans="1:11">
      <c r="A140" s="5" t="s">
        <v>184</v>
      </c>
      <c r="B140" s="6">
        <v>44857</v>
      </c>
      <c r="C140" s="7">
        <v>0.4</v>
      </c>
      <c r="D140" s="5">
        <v>15.78</v>
      </c>
      <c r="E140" s="5">
        <v>1847.5</v>
      </c>
      <c r="F140" s="5">
        <v>1857.4</v>
      </c>
      <c r="G140" s="6">
        <v>44857</v>
      </c>
      <c r="H140" s="5"/>
      <c r="I140" s="5"/>
      <c r="J140" s="5">
        <f t="shared" si="13"/>
        <v>9.9000000000000909</v>
      </c>
      <c r="K140" s="8" t="b">
        <f t="shared" si="10"/>
        <v>1</v>
      </c>
    </row>
    <row r="141" spans="1:11">
      <c r="A141" s="5" t="s">
        <v>184</v>
      </c>
      <c r="B141" s="6">
        <v>44858</v>
      </c>
      <c r="C141" s="7">
        <v>0.4</v>
      </c>
      <c r="D141" s="5">
        <v>15.78</v>
      </c>
      <c r="E141" s="5">
        <v>1857.4</v>
      </c>
      <c r="F141" s="5">
        <v>1875.4</v>
      </c>
      <c r="G141" s="6">
        <v>44858</v>
      </c>
      <c r="H141" s="5"/>
      <c r="I141" s="5"/>
      <c r="J141" s="5">
        <f t="shared" si="13"/>
        <v>18</v>
      </c>
      <c r="K141" s="8" t="b">
        <f t="shared" si="10"/>
        <v>1</v>
      </c>
    </row>
    <row r="142" spans="1:11">
      <c r="A142" s="5" t="s">
        <v>184</v>
      </c>
      <c r="B142" s="6">
        <v>44860</v>
      </c>
      <c r="C142" s="7">
        <v>0.4</v>
      </c>
      <c r="D142" s="5">
        <v>15.78</v>
      </c>
      <c r="E142" s="5">
        <v>1875.4</v>
      </c>
      <c r="F142" s="5">
        <v>1891.1</v>
      </c>
      <c r="G142" s="6">
        <v>44860</v>
      </c>
      <c r="H142" s="5"/>
      <c r="I142" s="5"/>
      <c r="J142" s="5">
        <f t="shared" si="13"/>
        <v>15.699999999999818</v>
      </c>
      <c r="K142" s="8" t="b">
        <f t="shared" si="10"/>
        <v>1</v>
      </c>
    </row>
    <row r="143" spans="1:11">
      <c r="A143" s="5" t="s">
        <v>184</v>
      </c>
      <c r="B143" s="6">
        <v>44861</v>
      </c>
      <c r="C143" s="7">
        <v>0.4</v>
      </c>
      <c r="D143" s="5">
        <v>15.78</v>
      </c>
      <c r="E143" s="5">
        <v>1891.1</v>
      </c>
      <c r="F143" s="5">
        <v>1906.7</v>
      </c>
      <c r="G143" s="6">
        <v>44861</v>
      </c>
      <c r="H143" s="5"/>
      <c r="I143" s="5"/>
      <c r="J143" s="5">
        <f t="shared" si="13"/>
        <v>15.600000000000136</v>
      </c>
      <c r="K143" s="8" t="b">
        <f t="shared" si="10"/>
        <v>1</v>
      </c>
    </row>
    <row r="144" spans="1:11">
      <c r="A144" s="5" t="s">
        <v>184</v>
      </c>
      <c r="B144" s="6">
        <v>44862</v>
      </c>
      <c r="C144" s="7">
        <v>0.4</v>
      </c>
      <c r="D144" s="5">
        <v>15.78</v>
      </c>
      <c r="E144" s="5">
        <v>1906.7</v>
      </c>
      <c r="F144" s="5">
        <v>1922.7</v>
      </c>
      <c r="G144" s="6">
        <v>44862</v>
      </c>
      <c r="H144" s="5"/>
      <c r="I144" s="5"/>
      <c r="J144" s="5">
        <f t="shared" si="13"/>
        <v>16</v>
      </c>
      <c r="K144" s="8" t="b">
        <f t="shared" si="10"/>
        <v>1</v>
      </c>
    </row>
    <row r="145" spans="1:11">
      <c r="A145" s="5" t="s">
        <v>184</v>
      </c>
      <c r="B145" s="6">
        <v>44863</v>
      </c>
      <c r="C145" s="7">
        <v>0.4</v>
      </c>
      <c r="D145" s="5">
        <v>15.78</v>
      </c>
      <c r="E145" s="5">
        <v>1922.7</v>
      </c>
      <c r="F145" s="5">
        <v>1938.3</v>
      </c>
      <c r="G145" s="6">
        <v>44863</v>
      </c>
      <c r="H145" s="5"/>
      <c r="I145" s="5"/>
      <c r="J145" s="5">
        <f t="shared" si="13"/>
        <v>15.599999999999909</v>
      </c>
      <c r="K145" s="8" t="b">
        <f t="shared" si="10"/>
        <v>1</v>
      </c>
    </row>
    <row r="146" spans="1:11">
      <c r="A146" s="5" t="s">
        <v>184</v>
      </c>
      <c r="B146" s="6">
        <v>44864</v>
      </c>
      <c r="C146" s="7">
        <v>0.4</v>
      </c>
      <c r="D146" s="5">
        <v>15.78</v>
      </c>
      <c r="E146" s="5">
        <v>1938.3</v>
      </c>
      <c r="F146" s="5">
        <v>1954</v>
      </c>
      <c r="G146" s="6">
        <v>44864</v>
      </c>
      <c r="H146" s="5"/>
      <c r="I146" s="5"/>
      <c r="J146" s="5">
        <f t="shared" si="13"/>
        <v>15.700000000000045</v>
      </c>
      <c r="K146" s="8" t="b">
        <f t="shared" si="10"/>
        <v>1</v>
      </c>
    </row>
    <row r="147" spans="1:11">
      <c r="A147" s="5" t="s">
        <v>184</v>
      </c>
      <c r="B147" s="6">
        <v>44865</v>
      </c>
      <c r="C147" s="7">
        <v>0.4</v>
      </c>
      <c r="D147" s="5">
        <v>15.78</v>
      </c>
      <c r="E147" s="5">
        <v>1954</v>
      </c>
      <c r="F147" s="5">
        <v>1964.8</v>
      </c>
      <c r="G147" s="6">
        <v>44865</v>
      </c>
      <c r="H147" s="5"/>
      <c r="I147" s="5"/>
      <c r="J147" s="5">
        <f t="shared" si="13"/>
        <v>10.799999999999955</v>
      </c>
      <c r="K147" s="8" t="b">
        <f t="shared" si="10"/>
        <v>1</v>
      </c>
    </row>
    <row r="148" spans="1:11">
      <c r="A148" s="5" t="s">
        <v>184</v>
      </c>
      <c r="B148" s="6">
        <v>44872</v>
      </c>
      <c r="C148" s="7">
        <v>0.7</v>
      </c>
      <c r="D148" s="5">
        <v>9.01</v>
      </c>
      <c r="E148" s="5">
        <v>1964.8</v>
      </c>
      <c r="F148" s="5">
        <v>1969.3</v>
      </c>
      <c r="G148" s="6">
        <v>44872</v>
      </c>
      <c r="H148" s="5"/>
      <c r="I148" s="5"/>
      <c r="J148" s="5">
        <f t="shared" si="13"/>
        <v>4.5</v>
      </c>
      <c r="K148" s="8" t="b">
        <f t="shared" si="10"/>
        <v>1</v>
      </c>
    </row>
    <row r="149" spans="1:11">
      <c r="A149" s="5" t="s">
        <v>184</v>
      </c>
      <c r="B149" s="6"/>
      <c r="C149" s="7"/>
      <c r="D149" s="5"/>
      <c r="E149" s="5"/>
      <c r="F149" s="5"/>
      <c r="G149" s="6"/>
      <c r="H149" s="5"/>
      <c r="I149" s="5"/>
      <c r="J149" s="5">
        <f t="shared" si="13"/>
        <v>0</v>
      </c>
      <c r="K149" s="8" t="b">
        <f t="shared" si="10"/>
        <v>0</v>
      </c>
    </row>
    <row r="150" spans="1:11">
      <c r="A150" s="5" t="s">
        <v>184</v>
      </c>
      <c r="B150" s="6"/>
      <c r="C150" s="7"/>
      <c r="D150" s="5"/>
      <c r="E150" s="5"/>
      <c r="F150" s="5"/>
      <c r="G150" s="6"/>
      <c r="H150" s="5"/>
      <c r="I150" s="5"/>
      <c r="J150" s="5">
        <f>F150-E150</f>
        <v>0</v>
      </c>
      <c r="K150" s="8" t="b">
        <f t="shared" si="10"/>
        <v>1</v>
      </c>
    </row>
    <row r="153" spans="1:11" ht="26.25">
      <c r="A153" s="126" t="s">
        <v>183</v>
      </c>
      <c r="B153" s="127"/>
      <c r="C153" s="127"/>
      <c r="D153" s="127"/>
      <c r="E153" s="127"/>
      <c r="F153" s="127"/>
      <c r="G153" s="127"/>
      <c r="H153" s="127"/>
      <c r="I153" s="127"/>
      <c r="J153" s="127"/>
      <c r="K153" s="128"/>
    </row>
    <row r="154" spans="1:11" ht="26.25">
      <c r="A154" s="129" t="s">
        <v>17</v>
      </c>
      <c r="B154" s="130"/>
      <c r="C154" s="130"/>
      <c r="D154" s="130"/>
      <c r="E154" s="130"/>
      <c r="F154" s="130"/>
      <c r="G154" s="130"/>
      <c r="H154" s="130"/>
      <c r="I154" s="130"/>
      <c r="J154" s="130"/>
      <c r="K154" s="131"/>
    </row>
    <row r="155" spans="1:11" ht="15.75" thickBot="1"/>
    <row r="156" spans="1:11" ht="15.75" thickBot="1">
      <c r="A156" s="132" t="s">
        <v>2</v>
      </c>
      <c r="B156" s="133"/>
      <c r="C156" s="133"/>
      <c r="D156" s="133"/>
      <c r="E156" s="133"/>
      <c r="F156" s="133"/>
      <c r="G156" s="133"/>
      <c r="H156" s="133"/>
      <c r="I156" s="133"/>
      <c r="J156" s="133"/>
      <c r="K156" s="134"/>
    </row>
    <row r="158" spans="1:11" ht="19.5" thickBot="1">
      <c r="A158" s="1" t="s">
        <v>3</v>
      </c>
      <c r="B158" s="1"/>
      <c r="C158" s="1"/>
      <c r="D158" s="1"/>
      <c r="E158" s="1"/>
      <c r="F158" s="1"/>
      <c r="G158" s="1"/>
      <c r="H158" s="1"/>
      <c r="I158" s="1"/>
    </row>
    <row r="159" spans="1:11" ht="165.75" thickBot="1">
      <c r="A159" s="2" t="s">
        <v>4</v>
      </c>
      <c r="B159" s="3" t="s">
        <v>5</v>
      </c>
      <c r="C159" s="3" t="s">
        <v>6</v>
      </c>
      <c r="D159" s="3" t="s">
        <v>7</v>
      </c>
      <c r="E159" s="3" t="s">
        <v>8</v>
      </c>
      <c r="F159" s="3" t="s">
        <v>9</v>
      </c>
      <c r="G159" s="3" t="s">
        <v>10</v>
      </c>
      <c r="H159" s="3" t="s">
        <v>21</v>
      </c>
      <c r="I159" s="4" t="s">
        <v>22</v>
      </c>
      <c r="J159" s="4" t="s">
        <v>11</v>
      </c>
      <c r="K159" s="4" t="s">
        <v>12</v>
      </c>
    </row>
    <row r="160" spans="1:11">
      <c r="A160" s="5" t="s">
        <v>184</v>
      </c>
      <c r="B160" s="6">
        <v>44928</v>
      </c>
      <c r="C160" s="7">
        <v>0.8</v>
      </c>
      <c r="D160" s="5">
        <v>7.89</v>
      </c>
      <c r="E160" s="5">
        <v>1969.3</v>
      </c>
      <c r="F160" s="5">
        <v>1980.6</v>
      </c>
      <c r="G160" s="6">
        <v>44928</v>
      </c>
      <c r="H160" s="5"/>
      <c r="I160" s="5"/>
      <c r="J160" s="5">
        <f t="shared" ref="J160:J165" si="14">F160-E160</f>
        <v>11.299999999999955</v>
      </c>
      <c r="K160" s="8" t="b">
        <f>E160=F148</f>
        <v>1</v>
      </c>
    </row>
    <row r="161" spans="1:11">
      <c r="A161" s="25" t="s">
        <v>184</v>
      </c>
      <c r="B161" s="26">
        <v>44929</v>
      </c>
      <c r="C161" s="27">
        <v>1</v>
      </c>
      <c r="D161" s="25">
        <v>6.31</v>
      </c>
      <c r="E161" s="25">
        <v>1980.6</v>
      </c>
      <c r="F161" s="25">
        <v>1993.4</v>
      </c>
      <c r="G161" s="26">
        <v>44929</v>
      </c>
      <c r="H161" s="25"/>
      <c r="I161" s="25"/>
      <c r="J161" s="25">
        <f t="shared" si="14"/>
        <v>12.800000000000182</v>
      </c>
      <c r="K161" s="8" t="b">
        <f>E161=F160</f>
        <v>1</v>
      </c>
    </row>
    <row r="162" spans="1:11">
      <c r="A162" s="5" t="s">
        <v>184</v>
      </c>
      <c r="B162" s="6">
        <v>44957</v>
      </c>
      <c r="C162" s="7">
        <v>0.7</v>
      </c>
      <c r="D162" s="5">
        <v>9.01</v>
      </c>
      <c r="E162" s="5">
        <v>2.7</v>
      </c>
      <c r="F162" s="5">
        <v>21.3</v>
      </c>
      <c r="G162" s="6">
        <v>44957</v>
      </c>
      <c r="H162" s="5"/>
      <c r="I162" s="5"/>
      <c r="J162" s="5">
        <f t="shared" si="14"/>
        <v>18.600000000000001</v>
      </c>
      <c r="K162" s="8" t="b">
        <f>E162=F161</f>
        <v>0</v>
      </c>
    </row>
    <row r="163" spans="1:11">
      <c r="A163" s="5" t="s">
        <v>184</v>
      </c>
      <c r="B163" s="6">
        <v>44963</v>
      </c>
      <c r="C163" s="7">
        <v>0.7</v>
      </c>
      <c r="D163" s="5">
        <v>9.01</v>
      </c>
      <c r="E163" s="5">
        <v>21.3</v>
      </c>
      <c r="F163" s="5">
        <v>39.1</v>
      </c>
      <c r="G163" s="6">
        <v>44963</v>
      </c>
      <c r="H163" s="5"/>
      <c r="I163" s="5"/>
      <c r="J163" s="5">
        <f t="shared" si="14"/>
        <v>17.8</v>
      </c>
      <c r="K163" s="8" t="b">
        <f>E163=F162</f>
        <v>1</v>
      </c>
    </row>
    <row r="164" spans="1:11">
      <c r="A164" s="5" t="s">
        <v>184</v>
      </c>
      <c r="B164" s="6">
        <v>44966</v>
      </c>
      <c r="C164" s="7">
        <v>0.7</v>
      </c>
      <c r="D164" s="5">
        <v>9.01</v>
      </c>
      <c r="E164" s="5">
        <v>39.1</v>
      </c>
      <c r="F164" s="5">
        <v>57.1</v>
      </c>
      <c r="G164" s="6">
        <v>44966</v>
      </c>
      <c r="H164" s="5"/>
      <c r="I164" s="5"/>
      <c r="J164" s="5">
        <f t="shared" si="14"/>
        <v>18</v>
      </c>
      <c r="K164" s="8" t="b">
        <f>E164=F163</f>
        <v>1</v>
      </c>
    </row>
    <row r="165" spans="1:11">
      <c r="A165" s="5" t="s">
        <v>184</v>
      </c>
      <c r="B165" s="6">
        <v>44970</v>
      </c>
      <c r="C165" s="7">
        <v>0.7</v>
      </c>
      <c r="D165" s="5">
        <v>9.01</v>
      </c>
      <c r="E165" s="5">
        <v>57.1</v>
      </c>
      <c r="F165" s="5">
        <v>75.099999999999994</v>
      </c>
      <c r="G165" s="6">
        <v>44970</v>
      </c>
      <c r="H165" s="5"/>
      <c r="I165" s="5"/>
      <c r="J165" s="5">
        <f t="shared" si="14"/>
        <v>17.999999999999993</v>
      </c>
      <c r="K165" s="8" t="b">
        <f>E165=F164</f>
        <v>1</v>
      </c>
    </row>
    <row r="166" spans="1:11">
      <c r="A166" s="5" t="s">
        <v>184</v>
      </c>
      <c r="B166" s="6">
        <v>44973</v>
      </c>
      <c r="C166" s="7">
        <v>1</v>
      </c>
      <c r="D166" s="5">
        <v>6.31</v>
      </c>
      <c r="E166" s="5">
        <v>75.099999999999994</v>
      </c>
      <c r="F166" s="5">
        <v>87.7</v>
      </c>
      <c r="G166" s="6">
        <v>44973</v>
      </c>
      <c r="H166" s="5"/>
      <c r="I166" s="5"/>
      <c r="J166" s="5">
        <f t="shared" ref="J166:J172" si="15">F166-E166</f>
        <v>12.600000000000009</v>
      </c>
      <c r="K166" s="8" t="b">
        <f t="shared" ref="K166:K170" si="16">E166=F165</f>
        <v>1</v>
      </c>
    </row>
    <row r="167" spans="1:11">
      <c r="A167" s="5" t="s">
        <v>184</v>
      </c>
      <c r="B167" s="6">
        <v>44977</v>
      </c>
      <c r="C167" s="7">
        <v>0.6</v>
      </c>
      <c r="D167" s="5">
        <v>10.52</v>
      </c>
      <c r="E167" s="5">
        <v>87.7</v>
      </c>
      <c r="F167" s="5">
        <v>108.6</v>
      </c>
      <c r="G167" s="6">
        <v>44977</v>
      </c>
      <c r="H167" s="5"/>
      <c r="I167" s="5"/>
      <c r="J167" s="5">
        <f t="shared" si="15"/>
        <v>20.899999999999991</v>
      </c>
      <c r="K167" s="8" t="b">
        <f t="shared" si="16"/>
        <v>1</v>
      </c>
    </row>
    <row r="168" spans="1:11">
      <c r="A168" s="5" t="s">
        <v>184</v>
      </c>
      <c r="B168" s="6">
        <v>44987</v>
      </c>
      <c r="C168" s="7">
        <v>0.6</v>
      </c>
      <c r="D168" s="5">
        <v>10.52</v>
      </c>
      <c r="E168" s="5">
        <v>108.6</v>
      </c>
      <c r="F168" s="5">
        <v>129.5</v>
      </c>
      <c r="G168" s="6">
        <v>44987</v>
      </c>
      <c r="H168" s="5"/>
      <c r="I168" s="5"/>
      <c r="J168" s="5">
        <f t="shared" si="15"/>
        <v>20.900000000000006</v>
      </c>
      <c r="K168" s="8" t="b">
        <f t="shared" si="16"/>
        <v>1</v>
      </c>
    </row>
    <row r="169" spans="1:11">
      <c r="A169" s="5" t="s">
        <v>184</v>
      </c>
      <c r="B169" s="6">
        <v>44989</v>
      </c>
      <c r="C169" s="7">
        <v>0.6</v>
      </c>
      <c r="D169" s="5">
        <v>10.52</v>
      </c>
      <c r="E169" s="5">
        <v>129.5</v>
      </c>
      <c r="F169" s="5">
        <v>150.4</v>
      </c>
      <c r="G169" s="6">
        <v>44989</v>
      </c>
      <c r="H169" s="5"/>
      <c r="I169" s="5"/>
      <c r="J169" s="5">
        <f t="shared" si="15"/>
        <v>20.900000000000006</v>
      </c>
      <c r="K169" s="8" t="b">
        <f t="shared" si="16"/>
        <v>1</v>
      </c>
    </row>
    <row r="170" spans="1:11">
      <c r="A170" s="5" t="s">
        <v>184</v>
      </c>
      <c r="B170" s="6">
        <v>44997</v>
      </c>
      <c r="C170" s="7">
        <v>0.7</v>
      </c>
      <c r="D170" s="5">
        <v>9.01</v>
      </c>
      <c r="E170" s="5">
        <v>150.4</v>
      </c>
      <c r="F170" s="5">
        <v>168.2</v>
      </c>
      <c r="G170" s="6">
        <v>44997</v>
      </c>
      <c r="H170" s="5"/>
      <c r="I170" s="5"/>
      <c r="J170" s="5">
        <f t="shared" si="15"/>
        <v>17.799999999999983</v>
      </c>
      <c r="K170" s="8" t="b">
        <f t="shared" si="16"/>
        <v>1</v>
      </c>
    </row>
    <row r="171" spans="1:11">
      <c r="A171" s="5" t="s">
        <v>184</v>
      </c>
      <c r="B171" s="6">
        <v>45005</v>
      </c>
      <c r="C171" s="7">
        <v>0.6</v>
      </c>
      <c r="D171" s="5">
        <v>10.52</v>
      </c>
      <c r="E171" s="5">
        <v>168.2</v>
      </c>
      <c r="F171" s="5">
        <v>188.2</v>
      </c>
      <c r="G171" s="6">
        <v>45005</v>
      </c>
      <c r="H171" s="5"/>
      <c r="I171" s="5"/>
      <c r="J171" s="5">
        <f t="shared" si="15"/>
        <v>20</v>
      </c>
      <c r="K171" s="8" t="b">
        <f>E172=F170</f>
        <v>0</v>
      </c>
    </row>
    <row r="172" spans="1:11">
      <c r="A172" s="5" t="s">
        <v>184</v>
      </c>
      <c r="B172" s="6"/>
      <c r="C172" s="7"/>
      <c r="D172" s="5"/>
      <c r="E172" s="5"/>
      <c r="F172" s="5"/>
      <c r="G172" s="6"/>
      <c r="H172" s="5"/>
      <c r="I172" s="5"/>
      <c r="J172" s="5">
        <f t="shared" si="15"/>
        <v>0</v>
      </c>
      <c r="K172" s="8" t="b">
        <f>E171=F172</f>
        <v>0</v>
      </c>
    </row>
    <row r="173" spans="1:11">
      <c r="A173" s="5" t="s">
        <v>184</v>
      </c>
      <c r="B173" s="6"/>
      <c r="C173" s="7"/>
      <c r="D173" s="5"/>
      <c r="E173" s="5"/>
      <c r="F173" s="5"/>
      <c r="G173" s="6"/>
      <c r="H173" s="5"/>
      <c r="I173" s="5"/>
      <c r="J173" s="5">
        <f>F173-E173</f>
        <v>0</v>
      </c>
      <c r="K173" s="8" t="b">
        <f>E173=F171</f>
        <v>0</v>
      </c>
    </row>
    <row r="174" spans="1:11">
      <c r="A174" s="5" t="s">
        <v>184</v>
      </c>
      <c r="B174" s="6"/>
      <c r="C174" s="7"/>
      <c r="D174" s="5"/>
      <c r="E174" s="5"/>
      <c r="F174" s="5"/>
      <c r="G174" s="6"/>
      <c r="H174" s="5"/>
      <c r="I174" s="5"/>
      <c r="J174" s="5">
        <f>F174-E174</f>
        <v>0</v>
      </c>
      <c r="K174" s="8" t="b">
        <f>E174=F173</f>
        <v>1</v>
      </c>
    </row>
    <row r="175" spans="1:11" ht="26.25">
      <c r="A175" s="126" t="s">
        <v>183</v>
      </c>
      <c r="B175" s="127"/>
      <c r="C175" s="127"/>
      <c r="D175" s="127"/>
      <c r="E175" s="127"/>
      <c r="F175" s="127"/>
      <c r="G175" s="127"/>
      <c r="H175" s="127"/>
      <c r="I175" s="127"/>
      <c r="J175" s="127"/>
      <c r="K175" s="128"/>
    </row>
    <row r="176" spans="1:11" ht="26.25">
      <c r="A176" s="129" t="s">
        <v>185</v>
      </c>
      <c r="B176" s="130"/>
      <c r="C176" s="130"/>
      <c r="D176" s="130"/>
      <c r="E176" s="130"/>
      <c r="F176" s="130"/>
      <c r="G176" s="130"/>
      <c r="H176" s="130"/>
      <c r="I176" s="130"/>
      <c r="J176" s="130"/>
      <c r="K176" s="131"/>
    </row>
    <row r="177" spans="1:11" ht="15.75" thickBot="1"/>
    <row r="178" spans="1:11" ht="15.75" thickBot="1">
      <c r="A178" s="132" t="s">
        <v>2</v>
      </c>
      <c r="B178" s="133"/>
      <c r="C178" s="133"/>
      <c r="D178" s="133"/>
      <c r="E178" s="133"/>
      <c r="F178" s="133"/>
      <c r="G178" s="133"/>
      <c r="H178" s="133"/>
      <c r="I178" s="133"/>
      <c r="J178" s="133"/>
      <c r="K178" s="134"/>
    </row>
    <row r="180" spans="1:11" ht="19.5" thickBot="1">
      <c r="A180" s="1" t="s">
        <v>3</v>
      </c>
      <c r="B180" s="1"/>
      <c r="C180" s="1"/>
      <c r="D180" s="1"/>
      <c r="E180" s="1"/>
      <c r="F180" s="1"/>
      <c r="G180" s="1"/>
      <c r="H180" s="1"/>
      <c r="I180" s="1"/>
    </row>
    <row r="181" spans="1:11" ht="165.75" thickBot="1">
      <c r="A181" s="2" t="s">
        <v>4</v>
      </c>
      <c r="B181" s="3" t="s">
        <v>5</v>
      </c>
      <c r="C181" s="3" t="s">
        <v>6</v>
      </c>
      <c r="D181" s="3" t="s">
        <v>7</v>
      </c>
      <c r="E181" s="3" t="s">
        <v>8</v>
      </c>
      <c r="F181" s="3" t="s">
        <v>9</v>
      </c>
      <c r="G181" s="3" t="s">
        <v>10</v>
      </c>
      <c r="H181" s="3" t="s">
        <v>21</v>
      </c>
      <c r="I181" s="4" t="s">
        <v>22</v>
      </c>
      <c r="J181" s="4" t="s">
        <v>11</v>
      </c>
      <c r="K181" s="4" t="s">
        <v>12</v>
      </c>
    </row>
    <row r="182" spans="1:11">
      <c r="A182" s="5" t="s">
        <v>186</v>
      </c>
      <c r="B182" s="6">
        <v>45118</v>
      </c>
      <c r="C182" s="7">
        <v>0.4</v>
      </c>
      <c r="D182" s="5">
        <v>15.78</v>
      </c>
      <c r="E182" s="5">
        <v>188.2</v>
      </c>
      <c r="F182" s="5">
        <v>204.3</v>
      </c>
      <c r="G182" s="6">
        <v>45118</v>
      </c>
      <c r="H182" s="5"/>
      <c r="I182" s="5"/>
      <c r="J182" s="5">
        <f t="shared" ref="J182:J183" si="17">F182-E182</f>
        <v>16.100000000000023</v>
      </c>
      <c r="K182" s="8" t="b">
        <f t="shared" ref="K182:K184" si="18">E182=F181</f>
        <v>0</v>
      </c>
    </row>
    <row r="183" spans="1:11">
      <c r="A183" s="5" t="s">
        <v>187</v>
      </c>
      <c r="B183" s="6">
        <v>45120</v>
      </c>
      <c r="C183" s="7">
        <v>0.4</v>
      </c>
      <c r="D183" s="5">
        <v>15.78</v>
      </c>
      <c r="E183" s="5">
        <v>204.3</v>
      </c>
      <c r="F183" s="5">
        <v>220.2</v>
      </c>
      <c r="G183" s="6">
        <v>45120</v>
      </c>
      <c r="H183" s="5"/>
      <c r="I183" s="5"/>
      <c r="J183" s="5">
        <f t="shared" si="17"/>
        <v>15.899999999999977</v>
      </c>
      <c r="K183" s="8" t="b">
        <f t="shared" si="18"/>
        <v>1</v>
      </c>
    </row>
    <row r="184" spans="1:11">
      <c r="A184" s="5" t="s">
        <v>188</v>
      </c>
      <c r="B184" s="6">
        <v>45129</v>
      </c>
      <c r="C184" s="7">
        <v>0.4</v>
      </c>
      <c r="D184" s="5">
        <v>15.78</v>
      </c>
      <c r="E184" s="5">
        <v>220.2</v>
      </c>
      <c r="F184" s="5">
        <v>251.6</v>
      </c>
      <c r="G184" s="6">
        <v>45130</v>
      </c>
      <c r="H184" s="5"/>
      <c r="I184" s="5"/>
      <c r="J184" s="5">
        <f>F184-E184</f>
        <v>31.400000000000006</v>
      </c>
      <c r="K184" s="8" t="b">
        <f t="shared" si="18"/>
        <v>1</v>
      </c>
    </row>
    <row r="185" spans="1:11">
      <c r="A185" s="5" t="s">
        <v>186</v>
      </c>
      <c r="B185" s="6">
        <v>45136</v>
      </c>
      <c r="C185" s="7">
        <v>0.45</v>
      </c>
      <c r="D185" s="5">
        <v>13.8</v>
      </c>
      <c r="E185" s="5">
        <v>251.6</v>
      </c>
      <c r="F185" s="5">
        <v>265.8</v>
      </c>
      <c r="G185" s="6">
        <v>45136</v>
      </c>
      <c r="H185" s="5"/>
      <c r="I185" s="5"/>
      <c r="J185" s="5">
        <f t="shared" ref="J185:J197" si="19">F185-E185</f>
        <v>14.200000000000017</v>
      </c>
      <c r="K185" s="8" t="b">
        <f t="shared" ref="K185:K197" si="20">E185=F184</f>
        <v>1</v>
      </c>
    </row>
    <row r="186" spans="1:11">
      <c r="A186" s="5" t="s">
        <v>187</v>
      </c>
      <c r="B186" s="6">
        <v>45137</v>
      </c>
      <c r="C186" s="7">
        <v>0.45</v>
      </c>
      <c r="D186" s="5">
        <v>13.8</v>
      </c>
      <c r="E186" s="5">
        <v>265.8</v>
      </c>
      <c r="F186" s="5">
        <v>279.5</v>
      </c>
      <c r="G186" s="6">
        <v>45137</v>
      </c>
      <c r="H186" s="5"/>
      <c r="I186" s="5"/>
      <c r="J186" s="5">
        <f t="shared" si="19"/>
        <v>13.699999999999989</v>
      </c>
      <c r="K186" s="8" t="b">
        <f t="shared" si="20"/>
        <v>1</v>
      </c>
    </row>
    <row r="187" spans="1:11">
      <c r="A187" s="5" t="s">
        <v>188</v>
      </c>
      <c r="B187" s="6">
        <v>45167</v>
      </c>
      <c r="C187" s="7">
        <v>0.6</v>
      </c>
      <c r="D187" s="5">
        <v>10.35</v>
      </c>
      <c r="E187" s="5">
        <v>279.5</v>
      </c>
      <c r="F187" s="5">
        <v>281.5</v>
      </c>
      <c r="G187" s="6">
        <v>45167</v>
      </c>
      <c r="H187" s="5"/>
      <c r="I187" s="5"/>
      <c r="J187" s="5">
        <f t="shared" si="19"/>
        <v>2</v>
      </c>
      <c r="K187" s="8" t="b">
        <f t="shared" si="20"/>
        <v>1</v>
      </c>
    </row>
    <row r="188" spans="1:11" ht="26.25">
      <c r="A188" s="126" t="s">
        <v>183</v>
      </c>
      <c r="B188" s="127"/>
      <c r="C188" s="127"/>
      <c r="D188" s="127"/>
      <c r="E188" s="127"/>
      <c r="F188" s="127"/>
      <c r="G188" s="127"/>
      <c r="H188" s="127"/>
      <c r="I188" s="127"/>
      <c r="J188" s="127"/>
      <c r="K188" s="128"/>
    </row>
    <row r="189" spans="1:11" ht="26.25">
      <c r="A189" s="129" t="s">
        <v>19</v>
      </c>
      <c r="B189" s="130"/>
      <c r="C189" s="130"/>
      <c r="D189" s="130"/>
      <c r="E189" s="130"/>
      <c r="F189" s="130"/>
      <c r="G189" s="130"/>
      <c r="H189" s="130"/>
      <c r="I189" s="130"/>
      <c r="J189" s="130"/>
      <c r="K189" s="131"/>
    </row>
    <row r="190" spans="1:11" ht="15.75" thickBot="1"/>
    <row r="191" spans="1:11" ht="15.75" thickBot="1">
      <c r="A191" s="132" t="s">
        <v>2</v>
      </c>
      <c r="B191" s="133"/>
      <c r="C191" s="133"/>
      <c r="D191" s="133"/>
      <c r="E191" s="133"/>
      <c r="F191" s="133"/>
      <c r="G191" s="133"/>
      <c r="H191" s="133"/>
      <c r="I191" s="133"/>
      <c r="J191" s="133"/>
      <c r="K191" s="134"/>
    </row>
    <row r="193" spans="1:11" ht="19.5" thickBot="1">
      <c r="A193" s="1" t="s">
        <v>3</v>
      </c>
      <c r="B193" s="1"/>
      <c r="C193" s="1"/>
      <c r="D193" s="1"/>
      <c r="E193" s="1"/>
      <c r="F193" s="1"/>
      <c r="G193" s="1"/>
      <c r="H193" s="1"/>
      <c r="I193" s="1"/>
    </row>
    <row r="194" spans="1:11" ht="165.75" thickBot="1">
      <c r="A194" s="2" t="s">
        <v>4</v>
      </c>
      <c r="B194" s="3" t="s">
        <v>5</v>
      </c>
      <c r="C194" s="3" t="s">
        <v>6</v>
      </c>
      <c r="D194" s="3" t="s">
        <v>7</v>
      </c>
      <c r="E194" s="3" t="s">
        <v>8</v>
      </c>
      <c r="F194" s="3" t="s">
        <v>9</v>
      </c>
      <c r="G194" s="3" t="s">
        <v>10</v>
      </c>
      <c r="H194" s="3" t="s">
        <v>21</v>
      </c>
      <c r="I194" s="4" t="s">
        <v>22</v>
      </c>
      <c r="J194" s="4" t="s">
        <v>11</v>
      </c>
      <c r="K194" s="4" t="s">
        <v>12</v>
      </c>
    </row>
    <row r="195" spans="1:11" hidden="1">
      <c r="A195" s="5" t="s">
        <v>188</v>
      </c>
      <c r="B195" s="6">
        <v>45301</v>
      </c>
      <c r="C195" s="7">
        <v>0.6</v>
      </c>
      <c r="D195" s="5">
        <v>11.1</v>
      </c>
      <c r="E195" s="5">
        <v>0</v>
      </c>
      <c r="F195" s="5">
        <v>22.1</v>
      </c>
      <c r="G195" s="6">
        <v>45301</v>
      </c>
      <c r="H195" s="5"/>
      <c r="I195" s="5"/>
      <c r="J195" s="5">
        <f t="shared" si="19"/>
        <v>22.1</v>
      </c>
      <c r="K195" s="8" t="b">
        <f>E195=F187</f>
        <v>0</v>
      </c>
    </row>
    <row r="196" spans="1:11" hidden="1">
      <c r="A196" s="5" t="s">
        <v>188</v>
      </c>
      <c r="B196" s="6">
        <v>45302</v>
      </c>
      <c r="C196" s="7">
        <v>1</v>
      </c>
      <c r="D196" s="5">
        <v>6.31</v>
      </c>
      <c r="E196" s="5">
        <v>22.1</v>
      </c>
      <c r="F196" s="5">
        <v>36.1</v>
      </c>
      <c r="G196" s="6">
        <v>45302</v>
      </c>
      <c r="H196" s="5"/>
      <c r="I196" s="5"/>
      <c r="J196" s="5">
        <f t="shared" si="19"/>
        <v>14</v>
      </c>
      <c r="K196" s="8" t="b">
        <f t="shared" si="20"/>
        <v>1</v>
      </c>
    </row>
    <row r="197" spans="1:11" hidden="1">
      <c r="A197" s="5" t="s">
        <v>188</v>
      </c>
      <c r="B197" s="6">
        <v>45303</v>
      </c>
      <c r="C197" s="7">
        <v>1</v>
      </c>
      <c r="D197" s="5">
        <v>6.31</v>
      </c>
      <c r="E197" s="5">
        <v>36.1</v>
      </c>
      <c r="F197" s="5">
        <v>48.6</v>
      </c>
      <c r="G197" s="6">
        <v>45303</v>
      </c>
      <c r="H197" s="5"/>
      <c r="I197" s="5"/>
      <c r="J197" s="5">
        <f t="shared" si="19"/>
        <v>12.5</v>
      </c>
      <c r="K197" s="8" t="b">
        <f t="shared" si="20"/>
        <v>1</v>
      </c>
    </row>
    <row r="198" spans="1:11" hidden="1">
      <c r="A198" s="5" t="s">
        <v>188</v>
      </c>
      <c r="B198" s="6">
        <v>45304</v>
      </c>
      <c r="C198" s="7">
        <v>1</v>
      </c>
      <c r="D198" s="5">
        <v>6.31</v>
      </c>
      <c r="E198" s="5">
        <v>48.6</v>
      </c>
      <c r="F198" s="5">
        <v>61.2</v>
      </c>
      <c r="G198" s="6">
        <v>45304</v>
      </c>
      <c r="H198" s="5"/>
      <c r="I198" s="5"/>
      <c r="J198" s="5">
        <f t="shared" ref="J198:J227" si="21">F198-E198</f>
        <v>12.600000000000001</v>
      </c>
      <c r="K198" s="8" t="b">
        <f t="shared" ref="K198:K226" si="22">E198=F197</f>
        <v>1</v>
      </c>
    </row>
    <row r="199" spans="1:11" hidden="1">
      <c r="A199" s="5" t="s">
        <v>188</v>
      </c>
      <c r="B199" s="6">
        <v>45305</v>
      </c>
      <c r="C199" s="7">
        <v>1</v>
      </c>
      <c r="D199" s="5">
        <v>6.31</v>
      </c>
      <c r="E199" s="5">
        <v>61.2</v>
      </c>
      <c r="F199" s="5">
        <v>73.900000000000006</v>
      </c>
      <c r="G199" s="6">
        <v>45305</v>
      </c>
      <c r="H199" s="5"/>
      <c r="I199" s="5"/>
      <c r="J199" s="5">
        <f t="shared" si="21"/>
        <v>12.700000000000003</v>
      </c>
      <c r="K199" s="8" t="b">
        <f t="shared" si="22"/>
        <v>1</v>
      </c>
    </row>
    <row r="200" spans="1:11" hidden="1">
      <c r="A200" s="5" t="s">
        <v>188</v>
      </c>
      <c r="B200" s="6">
        <v>45307</v>
      </c>
      <c r="C200" s="7">
        <v>1</v>
      </c>
      <c r="D200" s="5">
        <v>6.31</v>
      </c>
      <c r="E200" s="5">
        <v>73.900000000000006</v>
      </c>
      <c r="F200" s="5">
        <v>86.5</v>
      </c>
      <c r="G200" s="6">
        <v>45307</v>
      </c>
      <c r="H200" s="5"/>
      <c r="I200" s="5"/>
      <c r="J200" s="5">
        <f t="shared" si="21"/>
        <v>12.599999999999994</v>
      </c>
      <c r="K200" s="8" t="b">
        <f t="shared" si="22"/>
        <v>1</v>
      </c>
    </row>
    <row r="201" spans="1:11" hidden="1">
      <c r="A201" s="5" t="s">
        <v>188</v>
      </c>
      <c r="B201" s="6">
        <v>45308</v>
      </c>
      <c r="C201" s="7">
        <v>1</v>
      </c>
      <c r="D201" s="5">
        <v>6.31</v>
      </c>
      <c r="E201" s="5">
        <v>86.5</v>
      </c>
      <c r="F201" s="5">
        <v>99.3</v>
      </c>
      <c r="G201" s="6">
        <v>45308</v>
      </c>
      <c r="H201" s="5"/>
      <c r="I201" s="5"/>
      <c r="J201" s="5">
        <f t="shared" si="21"/>
        <v>12.799999999999997</v>
      </c>
      <c r="K201" s="8" t="b">
        <f t="shared" si="22"/>
        <v>1</v>
      </c>
    </row>
    <row r="202" spans="1:11" hidden="1">
      <c r="A202" s="5" t="s">
        <v>188</v>
      </c>
      <c r="B202" s="6">
        <v>45309</v>
      </c>
      <c r="C202" s="7">
        <v>1</v>
      </c>
      <c r="D202" s="5">
        <v>6.31</v>
      </c>
      <c r="E202" s="5">
        <v>99.3</v>
      </c>
      <c r="F202" s="5">
        <v>114</v>
      </c>
      <c r="G202" s="6">
        <v>45309</v>
      </c>
      <c r="H202" s="5"/>
      <c r="I202" s="5"/>
      <c r="J202" s="5">
        <f t="shared" si="21"/>
        <v>14.700000000000003</v>
      </c>
      <c r="K202" s="8" t="b">
        <f t="shared" si="22"/>
        <v>1</v>
      </c>
    </row>
    <row r="203" spans="1:11" hidden="1">
      <c r="A203" s="5" t="s">
        <v>188</v>
      </c>
      <c r="B203" s="6">
        <v>45330</v>
      </c>
      <c r="C203" s="7">
        <v>0.7</v>
      </c>
      <c r="D203" s="5">
        <v>9.01</v>
      </c>
      <c r="E203" s="5">
        <v>114</v>
      </c>
      <c r="F203" s="5">
        <v>133.80000000000001</v>
      </c>
      <c r="G203" s="6">
        <v>45330</v>
      </c>
      <c r="H203" s="5"/>
      <c r="I203" s="5"/>
      <c r="J203" s="5">
        <f t="shared" si="21"/>
        <v>19.800000000000011</v>
      </c>
      <c r="K203" s="8" t="b">
        <f t="shared" si="22"/>
        <v>1</v>
      </c>
    </row>
    <row r="204" spans="1:11" hidden="1">
      <c r="A204" s="5" t="s">
        <v>188</v>
      </c>
      <c r="B204" s="6">
        <v>45336</v>
      </c>
      <c r="C204" s="7">
        <v>1</v>
      </c>
      <c r="D204" s="5">
        <v>6.31</v>
      </c>
      <c r="E204" s="5">
        <v>133.80000000000001</v>
      </c>
      <c r="F204" s="5">
        <v>147.6</v>
      </c>
      <c r="G204" s="6">
        <v>45336</v>
      </c>
      <c r="H204" s="5"/>
      <c r="I204" s="5"/>
      <c r="J204" s="5">
        <f t="shared" si="21"/>
        <v>13.799999999999983</v>
      </c>
      <c r="K204" s="8" t="b">
        <f t="shared" si="22"/>
        <v>1</v>
      </c>
    </row>
    <row r="205" spans="1:11" hidden="1">
      <c r="A205" s="5" t="s">
        <v>188</v>
      </c>
      <c r="B205" s="6">
        <v>45337</v>
      </c>
      <c r="C205" s="7">
        <v>1</v>
      </c>
      <c r="D205" s="5">
        <v>6.31</v>
      </c>
      <c r="E205" s="5">
        <v>147.6</v>
      </c>
      <c r="F205" s="5">
        <v>159.30000000000001</v>
      </c>
      <c r="G205" s="6">
        <v>45337</v>
      </c>
      <c r="H205" s="5"/>
      <c r="I205" s="5"/>
      <c r="J205" s="5">
        <f t="shared" si="21"/>
        <v>11.700000000000017</v>
      </c>
      <c r="K205" s="8" t="b">
        <f t="shared" si="22"/>
        <v>1</v>
      </c>
    </row>
    <row r="206" spans="1:11" hidden="1">
      <c r="A206" s="101" t="s">
        <v>188</v>
      </c>
      <c r="B206" s="102">
        <v>45338</v>
      </c>
      <c r="C206" s="103">
        <v>1</v>
      </c>
      <c r="D206" s="101">
        <v>6.31</v>
      </c>
      <c r="E206" s="101">
        <v>159.30000000000001</v>
      </c>
      <c r="F206" s="101">
        <v>164.2</v>
      </c>
      <c r="G206" s="102">
        <v>45338</v>
      </c>
      <c r="H206" s="101"/>
      <c r="I206" s="101"/>
      <c r="J206" s="101">
        <f t="shared" si="21"/>
        <v>4.8999999999999773</v>
      </c>
      <c r="K206" s="8" t="b">
        <f t="shared" si="22"/>
        <v>1</v>
      </c>
    </row>
    <row r="207" spans="1:11" hidden="1">
      <c r="A207" s="5" t="s">
        <v>188</v>
      </c>
      <c r="B207" s="6">
        <v>45348</v>
      </c>
      <c r="C207" s="7">
        <v>0.8</v>
      </c>
      <c r="D207" s="5">
        <v>7.89</v>
      </c>
      <c r="E207" s="5">
        <v>164.2</v>
      </c>
      <c r="F207" s="5">
        <v>179.8</v>
      </c>
      <c r="G207" s="6">
        <v>45348</v>
      </c>
      <c r="H207" s="5"/>
      <c r="I207" s="5"/>
      <c r="J207" s="5">
        <f t="shared" si="21"/>
        <v>15.600000000000023</v>
      </c>
      <c r="K207" s="8" t="b">
        <f t="shared" si="22"/>
        <v>1</v>
      </c>
    </row>
    <row r="208" spans="1:11" hidden="1">
      <c r="A208" s="5" t="s">
        <v>188</v>
      </c>
      <c r="B208" s="6">
        <v>45350</v>
      </c>
      <c r="C208" s="7">
        <v>1</v>
      </c>
      <c r="D208" s="5">
        <v>6.31</v>
      </c>
      <c r="E208" s="5">
        <v>179.8</v>
      </c>
      <c r="F208" s="5">
        <v>192.5</v>
      </c>
      <c r="G208" s="6">
        <v>45350</v>
      </c>
      <c r="H208" s="5"/>
      <c r="I208" s="5"/>
      <c r="J208" s="5">
        <f t="shared" si="21"/>
        <v>12.699999999999989</v>
      </c>
      <c r="K208" s="8" t="b">
        <f t="shared" si="22"/>
        <v>1</v>
      </c>
    </row>
    <row r="209" spans="1:11" hidden="1">
      <c r="A209" s="5" t="s">
        <v>188</v>
      </c>
      <c r="B209" s="6">
        <v>45351</v>
      </c>
      <c r="C209" s="7">
        <v>0.8</v>
      </c>
      <c r="D209" s="5">
        <v>7.89</v>
      </c>
      <c r="E209" s="5">
        <v>192.5</v>
      </c>
      <c r="F209" s="5">
        <v>208.1</v>
      </c>
      <c r="G209" s="6">
        <v>45351</v>
      </c>
      <c r="H209" s="5"/>
      <c r="I209" s="5"/>
      <c r="J209" s="5">
        <f t="shared" si="21"/>
        <v>15.599999999999994</v>
      </c>
      <c r="K209" s="8" t="b">
        <f t="shared" si="22"/>
        <v>1</v>
      </c>
    </row>
    <row r="210" spans="1:11" hidden="1">
      <c r="A210" s="5" t="s">
        <v>188</v>
      </c>
      <c r="B210" s="6">
        <v>45358</v>
      </c>
      <c r="C210" s="7">
        <v>1</v>
      </c>
      <c r="D210" s="5">
        <v>6.31</v>
      </c>
      <c r="E210" s="5">
        <v>208.1</v>
      </c>
      <c r="F210" s="5">
        <v>220.6</v>
      </c>
      <c r="G210" s="6">
        <v>45358</v>
      </c>
      <c r="H210" s="5"/>
      <c r="I210" s="5"/>
      <c r="J210" s="5">
        <f t="shared" si="21"/>
        <v>12.5</v>
      </c>
      <c r="K210" s="8" t="b">
        <f t="shared" si="22"/>
        <v>1</v>
      </c>
    </row>
    <row r="211" spans="1:11" hidden="1">
      <c r="A211" s="5" t="s">
        <v>188</v>
      </c>
      <c r="B211" s="6">
        <v>45360</v>
      </c>
      <c r="C211" s="7">
        <v>1</v>
      </c>
      <c r="D211" s="5">
        <v>6.31</v>
      </c>
      <c r="E211" s="5">
        <v>220.6</v>
      </c>
      <c r="F211" s="5">
        <v>233.2</v>
      </c>
      <c r="G211" s="6">
        <v>45360</v>
      </c>
      <c r="H211" s="5"/>
      <c r="I211" s="5"/>
      <c r="J211" s="5">
        <f t="shared" si="21"/>
        <v>12.599999999999994</v>
      </c>
      <c r="K211" s="8" t="b">
        <f t="shared" si="22"/>
        <v>1</v>
      </c>
    </row>
    <row r="212" spans="1:11" hidden="1">
      <c r="A212" s="5" t="s">
        <v>188</v>
      </c>
      <c r="B212" s="6">
        <v>45363</v>
      </c>
      <c r="C212" s="7">
        <v>0.7</v>
      </c>
      <c r="D212" s="5">
        <v>9.01</v>
      </c>
      <c r="E212" s="5">
        <v>233.2</v>
      </c>
      <c r="F212" s="5">
        <v>251</v>
      </c>
      <c r="G212" s="6">
        <v>45363</v>
      </c>
      <c r="H212" s="5"/>
      <c r="I212" s="5"/>
      <c r="J212" s="5">
        <f t="shared" si="21"/>
        <v>17.800000000000011</v>
      </c>
      <c r="K212" s="8" t="b">
        <f t="shared" si="22"/>
        <v>1</v>
      </c>
    </row>
    <row r="213" spans="1:11" hidden="1">
      <c r="A213" s="5" t="s">
        <v>188</v>
      </c>
      <c r="B213" s="6">
        <v>45365</v>
      </c>
      <c r="C213" s="7">
        <v>0.7</v>
      </c>
      <c r="D213" s="5">
        <v>9.01</v>
      </c>
      <c r="E213" s="5">
        <v>251</v>
      </c>
      <c r="F213" s="5">
        <v>268.8</v>
      </c>
      <c r="G213" s="6">
        <v>45365</v>
      </c>
      <c r="H213" s="5"/>
      <c r="I213" s="5"/>
      <c r="J213" s="5">
        <f t="shared" si="21"/>
        <v>17.800000000000011</v>
      </c>
      <c r="K213" s="8" t="b">
        <f t="shared" si="22"/>
        <v>1</v>
      </c>
    </row>
    <row r="214" spans="1:11" hidden="1">
      <c r="A214" s="5" t="s">
        <v>188</v>
      </c>
      <c r="B214" s="6">
        <v>45368</v>
      </c>
      <c r="C214" s="7">
        <v>0.6</v>
      </c>
      <c r="D214" s="5">
        <v>11.1</v>
      </c>
      <c r="E214" s="5">
        <v>268.8</v>
      </c>
      <c r="F214" s="5">
        <v>289.7</v>
      </c>
      <c r="G214" s="6">
        <v>45368</v>
      </c>
      <c r="H214" s="5"/>
      <c r="I214" s="5"/>
      <c r="J214" s="5">
        <f t="shared" si="21"/>
        <v>20.899999999999977</v>
      </c>
      <c r="K214" s="8" t="b">
        <f t="shared" si="22"/>
        <v>1</v>
      </c>
    </row>
    <row r="215" spans="1:11" hidden="1">
      <c r="A215" s="5" t="s">
        <v>188</v>
      </c>
      <c r="B215" s="6">
        <v>45370</v>
      </c>
      <c r="C215" s="7">
        <v>1</v>
      </c>
      <c r="D215" s="5">
        <v>6.31</v>
      </c>
      <c r="E215" s="5">
        <v>289.7</v>
      </c>
      <c r="F215" s="5">
        <v>302.39999999999998</v>
      </c>
      <c r="G215" s="6">
        <v>45370</v>
      </c>
      <c r="H215" s="5"/>
      <c r="I215" s="5"/>
      <c r="J215" s="5">
        <f t="shared" si="21"/>
        <v>12.699999999999989</v>
      </c>
      <c r="K215" s="8" t="b">
        <f t="shared" si="22"/>
        <v>1</v>
      </c>
    </row>
    <row r="216" spans="1:11" hidden="1">
      <c r="A216" s="5" t="s">
        <v>188</v>
      </c>
      <c r="B216" s="6">
        <v>45376</v>
      </c>
      <c r="C216" s="7">
        <v>1</v>
      </c>
      <c r="D216" s="5">
        <v>6.31</v>
      </c>
      <c r="E216" s="5">
        <v>302.39999999999998</v>
      </c>
      <c r="F216" s="5">
        <v>315.10000000000002</v>
      </c>
      <c r="G216" s="6">
        <v>45376</v>
      </c>
      <c r="H216" s="5"/>
      <c r="I216" s="5"/>
      <c r="J216" s="5">
        <f t="shared" si="21"/>
        <v>12.700000000000045</v>
      </c>
      <c r="K216" s="8" t="b">
        <f t="shared" si="22"/>
        <v>1</v>
      </c>
    </row>
    <row r="217" spans="1:11" hidden="1">
      <c r="A217" s="5" t="s">
        <v>188</v>
      </c>
      <c r="B217" s="6">
        <v>45379</v>
      </c>
      <c r="C217" s="7">
        <v>1</v>
      </c>
      <c r="D217" s="5">
        <v>6.31</v>
      </c>
      <c r="E217" s="5">
        <v>315.10000000000002</v>
      </c>
      <c r="F217" s="5">
        <v>327.60000000000002</v>
      </c>
      <c r="G217" s="6">
        <v>45379</v>
      </c>
      <c r="H217" s="5"/>
      <c r="I217" s="5"/>
      <c r="J217" s="5">
        <f t="shared" si="21"/>
        <v>12.5</v>
      </c>
      <c r="K217" s="8" t="b">
        <f t="shared" si="22"/>
        <v>1</v>
      </c>
    </row>
    <row r="218" spans="1:11" hidden="1">
      <c r="A218" s="5" t="s">
        <v>188</v>
      </c>
      <c r="B218" s="6">
        <v>45381</v>
      </c>
      <c r="C218" s="7">
        <v>0.6</v>
      </c>
      <c r="D218" s="5">
        <v>11.1</v>
      </c>
      <c r="E218" s="5">
        <v>327.60000000000002</v>
      </c>
      <c r="F218" s="5">
        <v>348.8</v>
      </c>
      <c r="G218" s="6">
        <v>45381</v>
      </c>
      <c r="H218" s="5"/>
      <c r="I218" s="5"/>
      <c r="J218" s="5">
        <f t="shared" si="21"/>
        <v>21.199999999999989</v>
      </c>
      <c r="K218" s="8" t="b">
        <f t="shared" si="22"/>
        <v>1</v>
      </c>
    </row>
    <row r="219" spans="1:11" hidden="1">
      <c r="A219" s="5" t="s">
        <v>188</v>
      </c>
      <c r="B219" s="6">
        <v>45383</v>
      </c>
      <c r="C219" s="7">
        <v>1</v>
      </c>
      <c r="D219" s="5">
        <v>6.31</v>
      </c>
      <c r="E219" s="5">
        <v>348.8</v>
      </c>
      <c r="F219" s="5">
        <v>361.4</v>
      </c>
      <c r="G219" s="6">
        <v>45383</v>
      </c>
      <c r="H219" s="5"/>
      <c r="I219" s="5"/>
      <c r="J219" s="5">
        <f t="shared" si="21"/>
        <v>12.599999999999966</v>
      </c>
      <c r="K219" s="8" t="b">
        <f t="shared" si="22"/>
        <v>1</v>
      </c>
    </row>
    <row r="220" spans="1:11" hidden="1">
      <c r="A220" s="5" t="s">
        <v>188</v>
      </c>
      <c r="B220" s="6">
        <v>45385</v>
      </c>
      <c r="C220" s="7">
        <v>1</v>
      </c>
      <c r="D220" s="5">
        <v>6.31</v>
      </c>
      <c r="E220" s="5">
        <v>361.4</v>
      </c>
      <c r="F220" s="5">
        <v>374.1</v>
      </c>
      <c r="G220" s="6">
        <v>45385</v>
      </c>
      <c r="H220" s="5"/>
      <c r="I220" s="5"/>
      <c r="J220" s="5">
        <f t="shared" si="21"/>
        <v>12.700000000000045</v>
      </c>
      <c r="K220" s="8" t="b">
        <f t="shared" si="22"/>
        <v>1</v>
      </c>
    </row>
    <row r="221" spans="1:11" hidden="1">
      <c r="A221" s="5" t="s">
        <v>188</v>
      </c>
      <c r="B221" s="6">
        <v>45390</v>
      </c>
      <c r="C221" s="7">
        <v>0.7</v>
      </c>
      <c r="D221" s="5">
        <v>9.01</v>
      </c>
      <c r="E221" s="5">
        <v>374.1</v>
      </c>
      <c r="F221" s="5">
        <v>392.5</v>
      </c>
      <c r="G221" s="6">
        <v>45390</v>
      </c>
      <c r="H221" s="5"/>
      <c r="I221" s="5"/>
      <c r="J221" s="5">
        <f t="shared" si="21"/>
        <v>18.399999999999977</v>
      </c>
      <c r="K221" s="8" t="b">
        <f t="shared" si="22"/>
        <v>1</v>
      </c>
    </row>
    <row r="222" spans="1:11" hidden="1">
      <c r="A222" s="5" t="s">
        <v>188</v>
      </c>
      <c r="B222" s="6">
        <v>45392</v>
      </c>
      <c r="C222" s="7">
        <v>1</v>
      </c>
      <c r="D222" s="5">
        <v>6.31</v>
      </c>
      <c r="E222" s="5">
        <v>392.5</v>
      </c>
      <c r="F222" s="5">
        <v>405.2</v>
      </c>
      <c r="G222" s="6">
        <v>45392</v>
      </c>
      <c r="H222" s="5"/>
      <c r="I222" s="5"/>
      <c r="J222" s="5">
        <f t="shared" si="21"/>
        <v>12.699999999999989</v>
      </c>
      <c r="K222" s="8" t="b">
        <f t="shared" si="22"/>
        <v>1</v>
      </c>
    </row>
    <row r="223" spans="1:11" hidden="1">
      <c r="A223" s="5" t="s">
        <v>188</v>
      </c>
      <c r="B223" s="6">
        <v>45399</v>
      </c>
      <c r="C223" s="7">
        <v>0.7</v>
      </c>
      <c r="D223" s="5">
        <v>9.01</v>
      </c>
      <c r="E223" s="5">
        <v>418.7</v>
      </c>
      <c r="F223" s="5">
        <v>436.4</v>
      </c>
      <c r="G223" s="6">
        <v>45399</v>
      </c>
      <c r="H223" s="5"/>
      <c r="I223" s="5"/>
      <c r="J223" s="5">
        <f t="shared" si="21"/>
        <v>17.699999999999989</v>
      </c>
      <c r="K223" s="8" t="b">
        <f t="shared" si="22"/>
        <v>0</v>
      </c>
    </row>
    <row r="224" spans="1:11" hidden="1">
      <c r="A224" s="5" t="s">
        <v>188</v>
      </c>
      <c r="B224" s="6">
        <v>45404</v>
      </c>
      <c r="C224" s="7">
        <v>0.7</v>
      </c>
      <c r="D224" s="5">
        <v>9.01</v>
      </c>
      <c r="E224" s="5">
        <v>436.4</v>
      </c>
      <c r="F224" s="5">
        <v>454.3</v>
      </c>
      <c r="G224" s="6">
        <v>45404</v>
      </c>
      <c r="H224" s="5"/>
      <c r="I224" s="5"/>
      <c r="J224" s="5">
        <f t="shared" si="21"/>
        <v>17.900000000000034</v>
      </c>
      <c r="K224" s="8" t="b">
        <f t="shared" si="22"/>
        <v>1</v>
      </c>
    </row>
    <row r="225" spans="1:11" hidden="1">
      <c r="A225" s="5" t="s">
        <v>188</v>
      </c>
      <c r="B225" s="6">
        <v>45407</v>
      </c>
      <c r="C225" s="7">
        <v>0.7</v>
      </c>
      <c r="D225" s="5">
        <v>9.01</v>
      </c>
      <c r="E225" s="5">
        <v>454.3</v>
      </c>
      <c r="F225" s="5">
        <v>472.2</v>
      </c>
      <c r="G225" s="6">
        <v>45407</v>
      </c>
      <c r="H225" s="5"/>
      <c r="I225" s="5"/>
      <c r="J225" s="5">
        <f t="shared" si="21"/>
        <v>17.899999999999977</v>
      </c>
      <c r="K225" s="8" t="b">
        <f t="shared" si="22"/>
        <v>1</v>
      </c>
    </row>
    <row r="226" spans="1:11" hidden="1">
      <c r="A226" s="5" t="s">
        <v>188</v>
      </c>
      <c r="B226" s="6">
        <v>45415</v>
      </c>
      <c r="C226" s="7">
        <v>1</v>
      </c>
      <c r="D226" s="5">
        <v>6.31</v>
      </c>
      <c r="E226" s="5">
        <v>472.2</v>
      </c>
      <c r="F226" s="5">
        <v>484.8</v>
      </c>
      <c r="G226" s="6">
        <v>45415</v>
      </c>
      <c r="H226" s="5"/>
      <c r="I226" s="5"/>
      <c r="J226" s="5">
        <f t="shared" si="21"/>
        <v>12.600000000000023</v>
      </c>
      <c r="K226" s="8" t="b">
        <f t="shared" si="22"/>
        <v>1</v>
      </c>
    </row>
    <row r="227" spans="1:11" hidden="1">
      <c r="A227" s="5" t="s">
        <v>188</v>
      </c>
      <c r="B227" s="6">
        <v>45419</v>
      </c>
      <c r="C227" s="7">
        <v>0.7</v>
      </c>
      <c r="D227" s="5">
        <v>9.01</v>
      </c>
      <c r="E227" s="5">
        <v>484.8</v>
      </c>
      <c r="F227" s="5">
        <v>502.6</v>
      </c>
      <c r="G227" s="6">
        <v>45419</v>
      </c>
      <c r="H227" s="5"/>
      <c r="I227" s="5"/>
      <c r="J227" s="5">
        <f t="shared" si="21"/>
        <v>17.800000000000011</v>
      </c>
      <c r="K227" s="8" t="b">
        <f>E227=F207</f>
        <v>0</v>
      </c>
    </row>
    <row r="228" spans="1:11" hidden="1">
      <c r="A228" s="5" t="s">
        <v>188</v>
      </c>
      <c r="B228" s="6">
        <v>45426</v>
      </c>
      <c r="C228" s="7">
        <v>0.7</v>
      </c>
      <c r="D228" s="5">
        <v>9.01</v>
      </c>
      <c r="E228" s="5">
        <v>502.6</v>
      </c>
      <c r="F228" s="5">
        <v>521.1</v>
      </c>
      <c r="G228" s="6">
        <v>45426</v>
      </c>
      <c r="H228" s="5"/>
      <c r="I228" s="5"/>
      <c r="J228" s="5">
        <f t="shared" ref="J228:J259" si="23">F228-E228</f>
        <v>18.5</v>
      </c>
      <c r="K228" s="8" t="b">
        <f t="shared" ref="K228:K259" si="24">E228=F208</f>
        <v>0</v>
      </c>
    </row>
    <row r="229" spans="1:11" hidden="1">
      <c r="A229" s="5" t="s">
        <v>188</v>
      </c>
      <c r="B229" s="6">
        <v>45430</v>
      </c>
      <c r="C229" s="7">
        <v>0.7</v>
      </c>
      <c r="D229" s="5">
        <v>9.01</v>
      </c>
      <c r="E229" s="5">
        <v>521.1</v>
      </c>
      <c r="F229" s="5">
        <v>538.9</v>
      </c>
      <c r="G229" s="6">
        <v>45430</v>
      </c>
      <c r="H229" s="5"/>
      <c r="I229" s="5"/>
      <c r="J229" s="5">
        <f t="shared" si="23"/>
        <v>17.799999999999955</v>
      </c>
      <c r="K229" s="8" t="b">
        <f t="shared" si="24"/>
        <v>0</v>
      </c>
    </row>
    <row r="230" spans="1:11" hidden="1">
      <c r="A230" s="5" t="s">
        <v>188</v>
      </c>
      <c r="B230" s="6">
        <v>45434</v>
      </c>
      <c r="C230" s="7">
        <v>0.7</v>
      </c>
      <c r="D230" s="5">
        <v>9.01</v>
      </c>
      <c r="E230" s="5">
        <v>538.9</v>
      </c>
      <c r="F230" s="5">
        <v>556.79999999999995</v>
      </c>
      <c r="G230" s="6">
        <v>45434</v>
      </c>
      <c r="H230" s="5"/>
      <c r="I230" s="5"/>
      <c r="J230" s="5">
        <f t="shared" si="23"/>
        <v>17.899999999999977</v>
      </c>
      <c r="K230" s="8" t="b">
        <f t="shared" si="24"/>
        <v>0</v>
      </c>
    </row>
    <row r="231" spans="1:11" hidden="1">
      <c r="A231" s="5" t="s">
        <v>188</v>
      </c>
      <c r="B231" s="6">
        <v>45438</v>
      </c>
      <c r="C231" s="7">
        <v>0.6</v>
      </c>
      <c r="D231" s="5">
        <v>11.1</v>
      </c>
      <c r="E231" s="5">
        <v>556.79999999999995</v>
      </c>
      <c r="F231" s="5">
        <v>577.29999999999995</v>
      </c>
      <c r="G231" s="6">
        <v>45438</v>
      </c>
      <c r="H231" s="5"/>
      <c r="I231" s="5"/>
      <c r="J231" s="5">
        <f t="shared" si="23"/>
        <v>20.5</v>
      </c>
      <c r="K231" s="8" t="b">
        <f t="shared" si="24"/>
        <v>0</v>
      </c>
    </row>
    <row r="232" spans="1:11" hidden="1">
      <c r="A232" s="5" t="s">
        <v>188</v>
      </c>
      <c r="B232" s="6">
        <v>45443</v>
      </c>
      <c r="C232" s="7">
        <v>0.6</v>
      </c>
      <c r="D232" s="5">
        <v>11.1</v>
      </c>
      <c r="E232" s="5">
        <v>577.29999999999995</v>
      </c>
      <c r="F232" s="5">
        <v>598.6</v>
      </c>
      <c r="G232" s="6">
        <v>45443</v>
      </c>
      <c r="H232" s="5"/>
      <c r="I232" s="5"/>
      <c r="J232" s="5">
        <f t="shared" si="23"/>
        <v>21.300000000000068</v>
      </c>
      <c r="K232" s="8" t="b">
        <f t="shared" si="24"/>
        <v>0</v>
      </c>
    </row>
    <row r="233" spans="1:11" hidden="1">
      <c r="A233" s="5" t="s">
        <v>188</v>
      </c>
      <c r="B233" s="6">
        <v>45446</v>
      </c>
      <c r="C233" s="7">
        <v>0.5</v>
      </c>
      <c r="D233" s="5">
        <v>12.62</v>
      </c>
      <c r="E233" s="5">
        <v>598.6</v>
      </c>
      <c r="F233" s="5">
        <v>612.29999999999995</v>
      </c>
      <c r="G233" s="6">
        <v>45446</v>
      </c>
      <c r="H233" s="5"/>
      <c r="I233" s="5"/>
      <c r="J233" s="5">
        <f t="shared" si="23"/>
        <v>13.699999999999932</v>
      </c>
      <c r="K233" s="8" t="b">
        <f t="shared" si="24"/>
        <v>0</v>
      </c>
    </row>
    <row r="234" spans="1:11" hidden="1">
      <c r="A234" s="5" t="s">
        <v>188</v>
      </c>
      <c r="B234" s="6">
        <v>45447</v>
      </c>
      <c r="C234" s="7">
        <v>0.5</v>
      </c>
      <c r="D234" s="5">
        <v>12.62</v>
      </c>
      <c r="E234" s="5">
        <v>612.29999999999995</v>
      </c>
      <c r="F234" s="5">
        <v>623.29999999999995</v>
      </c>
      <c r="G234" s="6">
        <v>45447</v>
      </c>
      <c r="H234" s="5"/>
      <c r="I234" s="5"/>
      <c r="J234" s="5">
        <f t="shared" si="23"/>
        <v>11</v>
      </c>
      <c r="K234" s="8" t="b">
        <f t="shared" si="24"/>
        <v>0</v>
      </c>
    </row>
    <row r="235" spans="1:11" hidden="1">
      <c r="A235" s="5" t="s">
        <v>188</v>
      </c>
      <c r="B235" s="6">
        <v>45450</v>
      </c>
      <c r="C235" s="7">
        <v>0.6</v>
      </c>
      <c r="D235" s="5">
        <v>11.1</v>
      </c>
      <c r="E235" s="5">
        <v>623.29999999999995</v>
      </c>
      <c r="F235" s="5">
        <v>644</v>
      </c>
      <c r="G235" s="6">
        <v>45450</v>
      </c>
      <c r="H235" s="5"/>
      <c r="I235" s="5"/>
      <c r="J235" s="5">
        <f t="shared" si="23"/>
        <v>20.700000000000045</v>
      </c>
      <c r="K235" s="8" t="b">
        <f t="shared" si="24"/>
        <v>0</v>
      </c>
    </row>
    <row r="236" spans="1:11" hidden="1">
      <c r="A236" s="5" t="s">
        <v>188</v>
      </c>
      <c r="B236" s="6">
        <v>45456</v>
      </c>
      <c r="C236" s="7">
        <v>0.5</v>
      </c>
      <c r="D236" s="5">
        <v>12.62</v>
      </c>
      <c r="E236" s="5">
        <v>644</v>
      </c>
      <c r="F236" s="5">
        <v>656.2</v>
      </c>
      <c r="G236" s="6">
        <v>45456</v>
      </c>
      <c r="H236" s="5"/>
      <c r="I236" s="5"/>
      <c r="J236" s="5">
        <f t="shared" si="23"/>
        <v>12.200000000000045</v>
      </c>
      <c r="K236" s="8" t="b">
        <f t="shared" si="24"/>
        <v>0</v>
      </c>
    </row>
    <row r="237" spans="1:11" hidden="1">
      <c r="A237" s="5" t="s">
        <v>188</v>
      </c>
      <c r="B237" s="6">
        <v>45457</v>
      </c>
      <c r="C237" s="7">
        <v>0.5</v>
      </c>
      <c r="D237" s="5">
        <v>12.62</v>
      </c>
      <c r="E237" s="5">
        <v>656.2</v>
      </c>
      <c r="F237" s="5">
        <v>668.7</v>
      </c>
      <c r="G237" s="6">
        <v>45457</v>
      </c>
      <c r="H237" s="5"/>
      <c r="I237" s="5"/>
      <c r="J237" s="5">
        <f t="shared" si="23"/>
        <v>12.5</v>
      </c>
      <c r="K237" s="8" t="b">
        <f t="shared" si="24"/>
        <v>0</v>
      </c>
    </row>
    <row r="238" spans="1:11" hidden="1">
      <c r="A238" s="5" t="s">
        <v>188</v>
      </c>
      <c r="B238" s="6">
        <v>45463</v>
      </c>
      <c r="C238" s="7">
        <v>0.5</v>
      </c>
      <c r="D238" s="5">
        <v>12.62</v>
      </c>
      <c r="E238" s="5">
        <v>668.7</v>
      </c>
      <c r="F238" s="5">
        <v>681</v>
      </c>
      <c r="G238" s="6">
        <v>45463</v>
      </c>
      <c r="H238" s="5"/>
      <c r="I238" s="5"/>
      <c r="J238" s="5">
        <f t="shared" si="23"/>
        <v>12.299999999999955</v>
      </c>
      <c r="K238" s="8" t="b">
        <f t="shared" si="24"/>
        <v>0</v>
      </c>
    </row>
    <row r="239" spans="1:11" hidden="1">
      <c r="A239" s="5" t="s">
        <v>188</v>
      </c>
      <c r="B239" s="6">
        <v>45464</v>
      </c>
      <c r="C239" s="7">
        <v>0.5</v>
      </c>
      <c r="D239" s="5">
        <v>12.62</v>
      </c>
      <c r="E239" s="5">
        <v>681</v>
      </c>
      <c r="F239" s="5">
        <v>693.6</v>
      </c>
      <c r="G239" s="6">
        <v>45464</v>
      </c>
      <c r="H239" s="5"/>
      <c r="I239" s="5"/>
      <c r="J239" s="5">
        <f t="shared" si="23"/>
        <v>12.600000000000023</v>
      </c>
      <c r="K239" s="8" t="b">
        <f t="shared" si="24"/>
        <v>0</v>
      </c>
    </row>
    <row r="240" spans="1:11" hidden="1">
      <c r="A240" s="5" t="s">
        <v>188</v>
      </c>
      <c r="B240" s="6">
        <v>45469</v>
      </c>
      <c r="C240" s="7">
        <v>0.7</v>
      </c>
      <c r="D240" s="5">
        <v>9.01</v>
      </c>
      <c r="E240" s="5">
        <v>693.6</v>
      </c>
      <c r="F240" s="5">
        <v>711.2</v>
      </c>
      <c r="G240" s="6">
        <v>45469</v>
      </c>
      <c r="H240" s="5"/>
      <c r="I240" s="5"/>
      <c r="J240" s="5">
        <f t="shared" si="23"/>
        <v>17.600000000000023</v>
      </c>
      <c r="K240" s="8" t="b">
        <f t="shared" si="24"/>
        <v>0</v>
      </c>
    </row>
    <row r="241" spans="1:11">
      <c r="A241" s="5" t="s">
        <v>188</v>
      </c>
      <c r="B241" s="6">
        <v>45475</v>
      </c>
      <c r="C241" s="7">
        <v>0.7</v>
      </c>
      <c r="D241" s="5">
        <v>9.01</v>
      </c>
      <c r="E241" s="5">
        <v>711.2</v>
      </c>
      <c r="F241" s="5">
        <v>728.9</v>
      </c>
      <c r="G241" s="6">
        <v>45475</v>
      </c>
      <c r="H241" s="5"/>
      <c r="I241" s="5"/>
      <c r="J241" s="5">
        <f t="shared" si="23"/>
        <v>17.699999999999932</v>
      </c>
      <c r="K241" s="8" t="b">
        <f t="shared" si="24"/>
        <v>0</v>
      </c>
    </row>
    <row r="242" spans="1:11">
      <c r="A242" s="5" t="s">
        <v>188</v>
      </c>
      <c r="B242" s="6">
        <v>45483</v>
      </c>
      <c r="C242" s="7">
        <v>0.7</v>
      </c>
      <c r="D242" s="5">
        <v>9.01</v>
      </c>
      <c r="E242" s="5">
        <v>728.9</v>
      </c>
      <c r="F242" s="5">
        <v>746.9</v>
      </c>
      <c r="G242" s="6">
        <v>45483</v>
      </c>
      <c r="H242" s="5"/>
      <c r="I242" s="5"/>
      <c r="J242" s="5">
        <f t="shared" si="23"/>
        <v>18</v>
      </c>
      <c r="K242" s="8" t="b">
        <f t="shared" si="24"/>
        <v>0</v>
      </c>
    </row>
    <row r="243" spans="1:11">
      <c r="A243" s="5" t="s">
        <v>188</v>
      </c>
      <c r="B243" s="6">
        <v>45485</v>
      </c>
      <c r="C243" s="7">
        <v>0.7</v>
      </c>
      <c r="D243" s="5">
        <v>9.01</v>
      </c>
      <c r="E243" s="5">
        <v>746.9</v>
      </c>
      <c r="F243" s="5">
        <v>764.5</v>
      </c>
      <c r="G243" s="6">
        <v>45485</v>
      </c>
      <c r="H243" s="5"/>
      <c r="I243" s="5"/>
      <c r="J243" s="5">
        <f t="shared" si="23"/>
        <v>17.600000000000023</v>
      </c>
      <c r="K243" s="8" t="b">
        <f t="shared" si="24"/>
        <v>0</v>
      </c>
    </row>
    <row r="244" spans="1:11">
      <c r="A244" s="5" t="s">
        <v>188</v>
      </c>
      <c r="B244" s="6">
        <v>45492</v>
      </c>
      <c r="C244" s="7">
        <v>0.7</v>
      </c>
      <c r="D244" s="5">
        <v>9.01</v>
      </c>
      <c r="E244" s="5">
        <v>764.5</v>
      </c>
      <c r="F244" s="5">
        <v>782.3</v>
      </c>
      <c r="G244" s="6">
        <v>45492</v>
      </c>
      <c r="H244" s="5"/>
      <c r="I244" s="5"/>
      <c r="J244" s="5">
        <f t="shared" si="23"/>
        <v>17.799999999999955</v>
      </c>
      <c r="K244" s="8" t="b">
        <f t="shared" si="24"/>
        <v>0</v>
      </c>
    </row>
    <row r="245" spans="1:11">
      <c r="A245" s="5" t="s">
        <v>188</v>
      </c>
      <c r="B245" s="6">
        <v>45495</v>
      </c>
      <c r="C245" s="7">
        <v>0.7</v>
      </c>
      <c r="D245" s="5">
        <v>9.01</v>
      </c>
      <c r="E245" s="5">
        <v>782.3</v>
      </c>
      <c r="F245" s="5">
        <v>800.1</v>
      </c>
      <c r="G245" s="6">
        <v>45495</v>
      </c>
      <c r="H245" s="5"/>
      <c r="I245" s="5"/>
      <c r="J245" s="5">
        <f t="shared" si="23"/>
        <v>17.800000000000068</v>
      </c>
      <c r="K245" s="8" t="b">
        <f t="shared" si="24"/>
        <v>0</v>
      </c>
    </row>
    <row r="246" spans="1:11" hidden="1">
      <c r="A246" s="5" t="s">
        <v>188</v>
      </c>
      <c r="B246" s="6"/>
      <c r="C246" s="7"/>
      <c r="D246" s="5"/>
      <c r="E246" s="5"/>
      <c r="F246" s="5"/>
      <c r="G246" s="6"/>
      <c r="H246" s="5"/>
      <c r="I246" s="5"/>
      <c r="J246" s="5">
        <f t="shared" si="23"/>
        <v>0</v>
      </c>
      <c r="K246" s="8" t="b">
        <f t="shared" si="24"/>
        <v>0</v>
      </c>
    </row>
    <row r="247" spans="1:11" hidden="1">
      <c r="A247" s="5" t="s">
        <v>188</v>
      </c>
      <c r="B247" s="6"/>
      <c r="C247" s="7"/>
      <c r="D247" s="5"/>
      <c r="E247" s="5"/>
      <c r="F247" s="5"/>
      <c r="G247" s="6"/>
      <c r="H247" s="5"/>
      <c r="I247" s="5"/>
      <c r="J247" s="5">
        <f t="shared" si="23"/>
        <v>0</v>
      </c>
      <c r="K247" s="8" t="b">
        <f t="shared" si="24"/>
        <v>0</v>
      </c>
    </row>
    <row r="248" spans="1:11" hidden="1">
      <c r="A248" s="5" t="s">
        <v>188</v>
      </c>
      <c r="B248" s="6"/>
      <c r="C248" s="7"/>
      <c r="D248" s="5"/>
      <c r="E248" s="5"/>
      <c r="F248" s="5"/>
      <c r="G248" s="6"/>
      <c r="H248" s="5"/>
      <c r="I248" s="5"/>
      <c r="J248" s="5">
        <f t="shared" si="23"/>
        <v>0</v>
      </c>
      <c r="K248" s="8" t="b">
        <f t="shared" si="24"/>
        <v>0</v>
      </c>
    </row>
    <row r="249" spans="1:11" hidden="1">
      <c r="A249" s="5" t="s">
        <v>188</v>
      </c>
      <c r="B249" s="6"/>
      <c r="C249" s="7"/>
      <c r="D249" s="5"/>
      <c r="E249" s="5"/>
      <c r="F249" s="5"/>
      <c r="G249" s="6"/>
      <c r="H249" s="5"/>
      <c r="I249" s="5"/>
      <c r="J249" s="5">
        <f t="shared" si="23"/>
        <v>0</v>
      </c>
      <c r="K249" s="8" t="b">
        <f t="shared" si="24"/>
        <v>0</v>
      </c>
    </row>
    <row r="250" spans="1:11" hidden="1">
      <c r="A250" s="5" t="s">
        <v>188</v>
      </c>
      <c r="B250" s="6"/>
      <c r="C250" s="7"/>
      <c r="D250" s="5"/>
      <c r="E250" s="5"/>
      <c r="F250" s="5"/>
      <c r="G250" s="6"/>
      <c r="H250" s="5"/>
      <c r="I250" s="5"/>
      <c r="J250" s="5">
        <f t="shared" si="23"/>
        <v>0</v>
      </c>
      <c r="K250" s="8" t="b">
        <f t="shared" si="24"/>
        <v>0</v>
      </c>
    </row>
    <row r="251" spans="1:11" hidden="1">
      <c r="A251" s="5" t="s">
        <v>188</v>
      </c>
      <c r="B251" s="6"/>
      <c r="C251" s="7"/>
      <c r="D251" s="5"/>
      <c r="E251" s="5"/>
      <c r="F251" s="5"/>
      <c r="G251" s="6"/>
      <c r="H251" s="5"/>
      <c r="I251" s="5"/>
      <c r="J251" s="5">
        <f t="shared" si="23"/>
        <v>0</v>
      </c>
      <c r="K251" s="8" t="b">
        <f t="shared" si="24"/>
        <v>0</v>
      </c>
    </row>
    <row r="252" spans="1:11" hidden="1">
      <c r="A252" s="5" t="s">
        <v>188</v>
      </c>
      <c r="B252" s="6"/>
      <c r="C252" s="7"/>
      <c r="D252" s="5"/>
      <c r="E252" s="5"/>
      <c r="F252" s="5"/>
      <c r="G252" s="6"/>
      <c r="H252" s="5"/>
      <c r="I252" s="5"/>
      <c r="J252" s="5">
        <f t="shared" si="23"/>
        <v>0</v>
      </c>
      <c r="K252" s="8" t="b">
        <f t="shared" si="24"/>
        <v>0</v>
      </c>
    </row>
    <row r="253" spans="1:11" hidden="1">
      <c r="A253" s="5" t="s">
        <v>188</v>
      </c>
      <c r="B253" s="6"/>
      <c r="C253" s="7"/>
      <c r="D253" s="5"/>
      <c r="E253" s="5"/>
      <c r="F253" s="5"/>
      <c r="G253" s="6"/>
      <c r="H253" s="5"/>
      <c r="I253" s="5"/>
      <c r="J253" s="5">
        <f t="shared" si="23"/>
        <v>0</v>
      </c>
      <c r="K253" s="8" t="b">
        <f t="shared" si="24"/>
        <v>0</v>
      </c>
    </row>
    <row r="254" spans="1:11" hidden="1">
      <c r="A254" s="5" t="s">
        <v>188</v>
      </c>
      <c r="B254" s="6"/>
      <c r="C254" s="7"/>
      <c r="D254" s="5"/>
      <c r="E254" s="5"/>
      <c r="F254" s="5"/>
      <c r="G254" s="6"/>
      <c r="H254" s="5"/>
      <c r="I254" s="5"/>
      <c r="J254" s="5">
        <f t="shared" si="23"/>
        <v>0</v>
      </c>
      <c r="K254" s="8" t="b">
        <f t="shared" si="24"/>
        <v>0</v>
      </c>
    </row>
    <row r="255" spans="1:11" hidden="1">
      <c r="A255" s="5" t="s">
        <v>188</v>
      </c>
      <c r="B255" s="6"/>
      <c r="C255" s="7"/>
      <c r="D255" s="5"/>
      <c r="E255" s="5"/>
      <c r="F255" s="5"/>
      <c r="G255" s="6"/>
      <c r="H255" s="5"/>
      <c r="I255" s="5"/>
      <c r="J255" s="5">
        <f t="shared" si="23"/>
        <v>0</v>
      </c>
      <c r="K255" s="8" t="b">
        <f t="shared" si="24"/>
        <v>0</v>
      </c>
    </row>
    <row r="256" spans="1:11" hidden="1">
      <c r="A256" s="5" t="s">
        <v>188</v>
      </c>
      <c r="B256" s="6"/>
      <c r="C256" s="7"/>
      <c r="D256" s="5"/>
      <c r="E256" s="5"/>
      <c r="F256" s="5"/>
      <c r="G256" s="6"/>
      <c r="H256" s="5"/>
      <c r="I256" s="5"/>
      <c r="J256" s="5">
        <f t="shared" si="23"/>
        <v>0</v>
      </c>
      <c r="K256" s="8" t="b">
        <f t="shared" si="24"/>
        <v>0</v>
      </c>
    </row>
    <row r="257" spans="1:11" hidden="1">
      <c r="A257" s="5" t="s">
        <v>188</v>
      </c>
      <c r="B257" s="6"/>
      <c r="C257" s="7"/>
      <c r="D257" s="5"/>
      <c r="E257" s="5"/>
      <c r="F257" s="5"/>
      <c r="G257" s="6"/>
      <c r="H257" s="5"/>
      <c r="I257" s="5"/>
      <c r="J257" s="5">
        <f t="shared" si="23"/>
        <v>0</v>
      </c>
      <c r="K257" s="8" t="b">
        <f t="shared" si="24"/>
        <v>0</v>
      </c>
    </row>
    <row r="258" spans="1:11" hidden="1">
      <c r="A258" s="5" t="s">
        <v>188</v>
      </c>
      <c r="B258" s="6"/>
      <c r="C258" s="7"/>
      <c r="D258" s="5"/>
      <c r="E258" s="5"/>
      <c r="F258" s="5"/>
      <c r="G258" s="6"/>
      <c r="H258" s="5"/>
      <c r="I258" s="5"/>
      <c r="J258" s="5">
        <f t="shared" si="23"/>
        <v>0</v>
      </c>
      <c r="K258" s="8" t="b">
        <f t="shared" si="24"/>
        <v>0</v>
      </c>
    </row>
    <row r="259" spans="1:11" hidden="1">
      <c r="A259" s="5" t="s">
        <v>188</v>
      </c>
      <c r="B259" s="6"/>
      <c r="C259" s="7"/>
      <c r="D259" s="5"/>
      <c r="E259" s="5"/>
      <c r="F259" s="5"/>
      <c r="G259" s="6"/>
      <c r="H259" s="5"/>
      <c r="I259" s="5"/>
      <c r="J259" s="5">
        <f t="shared" si="23"/>
        <v>0</v>
      </c>
      <c r="K259" s="8" t="b">
        <f t="shared" si="24"/>
        <v>0</v>
      </c>
    </row>
    <row r="261" spans="1:11" ht="26.25">
      <c r="A261" s="126" t="s">
        <v>183</v>
      </c>
      <c r="B261" s="127"/>
      <c r="C261" s="127"/>
      <c r="D261" s="127"/>
      <c r="E261" s="127"/>
      <c r="F261" s="127"/>
      <c r="G261" s="127"/>
      <c r="H261" s="127"/>
      <c r="I261" s="127"/>
      <c r="J261" s="127"/>
      <c r="K261" s="128"/>
    </row>
    <row r="262" spans="1:11" ht="26.25">
      <c r="A262" s="129" t="s">
        <v>189</v>
      </c>
      <c r="B262" s="130"/>
      <c r="C262" s="130"/>
      <c r="D262" s="130"/>
      <c r="E262" s="130"/>
      <c r="F262" s="130"/>
      <c r="G262" s="130"/>
      <c r="H262" s="130"/>
      <c r="I262" s="130"/>
      <c r="J262" s="130"/>
      <c r="K262" s="131"/>
    </row>
    <row r="263" spans="1:11" ht="15.75" thickBot="1"/>
    <row r="264" spans="1:11" ht="15.75" thickBot="1">
      <c r="A264" s="132" t="s">
        <v>2</v>
      </c>
      <c r="B264" s="133"/>
      <c r="C264" s="133"/>
      <c r="D264" s="133"/>
      <c r="E264" s="133"/>
      <c r="F264" s="133"/>
      <c r="G264" s="133"/>
      <c r="H264" s="133"/>
      <c r="I264" s="133"/>
      <c r="J264" s="133"/>
      <c r="K264" s="134"/>
    </row>
    <row r="266" spans="1:11" ht="20.25" customHeight="1" thickBot="1">
      <c r="A266" s="1" t="s">
        <v>3</v>
      </c>
      <c r="B266" s="1"/>
      <c r="C266" s="1"/>
      <c r="D266" s="1"/>
      <c r="E266" s="1"/>
      <c r="F266" s="1"/>
      <c r="G266" s="1"/>
      <c r="H266" s="1"/>
      <c r="I266" s="1"/>
    </row>
    <row r="267" spans="1:11" ht="39.75" customHeight="1" thickBot="1">
      <c r="A267" s="2" t="s">
        <v>4</v>
      </c>
      <c r="B267" s="3" t="s">
        <v>5</v>
      </c>
      <c r="C267" s="3" t="s">
        <v>6</v>
      </c>
      <c r="D267" s="3" t="s">
        <v>7</v>
      </c>
      <c r="E267" s="3" t="s">
        <v>8</v>
      </c>
      <c r="F267" s="3" t="s">
        <v>9</v>
      </c>
      <c r="G267" s="3" t="s">
        <v>10</v>
      </c>
      <c r="H267" s="3" t="s">
        <v>21</v>
      </c>
      <c r="I267" s="4" t="s">
        <v>22</v>
      </c>
      <c r="J267" s="121" t="s">
        <v>11</v>
      </c>
      <c r="K267" s="4" t="s">
        <v>12</v>
      </c>
    </row>
    <row r="268" spans="1:11">
      <c r="A268" s="5" t="s">
        <v>184</v>
      </c>
      <c r="B268" s="6">
        <v>45551</v>
      </c>
      <c r="C268" s="7">
        <v>0.5</v>
      </c>
      <c r="D268" s="5">
        <v>13.32</v>
      </c>
      <c r="E268" s="5">
        <v>800.1</v>
      </c>
      <c r="F268" s="5">
        <v>812.4</v>
      </c>
      <c r="G268" s="6">
        <v>45551</v>
      </c>
      <c r="H268" s="5"/>
      <c r="I268" s="5"/>
      <c r="J268" s="5">
        <f>F268-E268</f>
        <v>12.299999999999955</v>
      </c>
      <c r="K268" s="8" t="b">
        <f>E268=F269</f>
        <v>0</v>
      </c>
    </row>
    <row r="269" spans="1:11">
      <c r="A269" s="5" t="s">
        <v>184</v>
      </c>
      <c r="B269" s="6">
        <v>45552</v>
      </c>
      <c r="C269" s="7">
        <v>0.5</v>
      </c>
      <c r="D269" s="5">
        <v>13.32</v>
      </c>
      <c r="E269" s="5">
        <v>812.4</v>
      </c>
      <c r="F269" s="5">
        <v>825.5</v>
      </c>
      <c r="G269" s="6">
        <v>45552</v>
      </c>
      <c r="H269" s="5"/>
      <c r="I269" s="5"/>
      <c r="J269" s="5">
        <f t="shared" ref="J269:J293" si="25">F269-E269</f>
        <v>13.100000000000023</v>
      </c>
      <c r="K269" s="8" t="b">
        <f>E269=F270</f>
        <v>0</v>
      </c>
    </row>
    <row r="270" spans="1:11">
      <c r="A270" s="5" t="s">
        <v>184</v>
      </c>
      <c r="B270" s="6">
        <v>45554</v>
      </c>
      <c r="C270" s="7">
        <v>0.6</v>
      </c>
      <c r="D270" s="5">
        <v>11.1</v>
      </c>
      <c r="E270" s="5">
        <v>825.5</v>
      </c>
      <c r="F270" s="5">
        <v>846.9</v>
      </c>
      <c r="G270" s="6">
        <v>45554</v>
      </c>
      <c r="H270" s="5"/>
      <c r="I270" s="5"/>
      <c r="J270" s="5">
        <f t="shared" si="25"/>
        <v>21.399999999999977</v>
      </c>
      <c r="K270" s="8" t="b">
        <f t="shared" ref="K270:K284" si="26">E270=F271</f>
        <v>0</v>
      </c>
    </row>
    <row r="271" spans="1:11">
      <c r="A271" s="5" t="s">
        <v>184</v>
      </c>
      <c r="B271" s="6">
        <v>45562</v>
      </c>
      <c r="C271" s="7">
        <v>0.5</v>
      </c>
      <c r="D271" s="5">
        <v>13.32</v>
      </c>
      <c r="E271" s="5">
        <v>846.9</v>
      </c>
      <c r="F271" s="5">
        <v>859.8</v>
      </c>
      <c r="G271" s="6">
        <v>45562</v>
      </c>
      <c r="H271" s="5"/>
      <c r="I271" s="5"/>
      <c r="J271" s="5">
        <f t="shared" si="25"/>
        <v>12.899999999999977</v>
      </c>
      <c r="K271" s="8" t="b">
        <f>E272=F271</f>
        <v>1</v>
      </c>
    </row>
    <row r="272" spans="1:11">
      <c r="A272" s="5" t="s">
        <v>184</v>
      </c>
      <c r="B272" s="6">
        <v>45565</v>
      </c>
      <c r="C272" s="7">
        <v>0.6</v>
      </c>
      <c r="D272" s="5">
        <v>11.1</v>
      </c>
      <c r="E272" s="5">
        <v>859.8</v>
      </c>
      <c r="F272" s="5">
        <v>871</v>
      </c>
      <c r="G272" s="6">
        <v>45565</v>
      </c>
      <c r="H272" s="5"/>
      <c r="I272" s="5"/>
      <c r="J272" s="5">
        <f t="shared" si="25"/>
        <v>11.200000000000045</v>
      </c>
      <c r="K272" s="8" t="b">
        <f t="shared" ref="K272:K284" si="27">E273=F272</f>
        <v>1</v>
      </c>
    </row>
    <row r="273" spans="1:11">
      <c r="A273" s="5" t="s">
        <v>184</v>
      </c>
      <c r="B273" s="6">
        <v>45567</v>
      </c>
      <c r="C273" s="7">
        <v>1</v>
      </c>
      <c r="D273" s="5">
        <v>6.66</v>
      </c>
      <c r="E273" s="5">
        <v>871</v>
      </c>
      <c r="F273" s="5">
        <v>877.4</v>
      </c>
      <c r="G273" s="6">
        <v>45567</v>
      </c>
      <c r="H273" s="5"/>
      <c r="I273" s="5"/>
      <c r="J273" s="5">
        <f t="shared" si="25"/>
        <v>6.3999999999999773</v>
      </c>
      <c r="K273" s="8" t="b">
        <f t="shared" si="27"/>
        <v>1</v>
      </c>
    </row>
    <row r="274" spans="1:11">
      <c r="A274" s="5" t="s">
        <v>184</v>
      </c>
      <c r="B274" s="6">
        <v>45568</v>
      </c>
      <c r="C274" s="7">
        <v>1</v>
      </c>
      <c r="D274" s="5">
        <v>6.66</v>
      </c>
      <c r="E274" s="5">
        <v>877.4</v>
      </c>
      <c r="F274" s="5">
        <v>889.9</v>
      </c>
      <c r="G274" s="6">
        <v>45568</v>
      </c>
      <c r="H274" s="5"/>
      <c r="I274" s="5"/>
      <c r="J274" s="5">
        <f t="shared" si="25"/>
        <v>12.5</v>
      </c>
      <c r="K274" s="8" t="b">
        <f t="shared" si="27"/>
        <v>1</v>
      </c>
    </row>
    <row r="275" spans="1:11">
      <c r="A275" s="5" t="s">
        <v>184</v>
      </c>
      <c r="B275" s="6">
        <v>45569</v>
      </c>
      <c r="C275" s="7">
        <v>1</v>
      </c>
      <c r="D275" s="5">
        <v>6.66</v>
      </c>
      <c r="E275" s="5">
        <v>889.9</v>
      </c>
      <c r="F275" s="5">
        <v>914.9</v>
      </c>
      <c r="G275" s="6">
        <v>45569</v>
      </c>
      <c r="H275" s="5"/>
      <c r="I275" s="5"/>
      <c r="J275" s="5">
        <f t="shared" si="25"/>
        <v>25</v>
      </c>
      <c r="K275" s="8" t="b">
        <f t="shared" si="27"/>
        <v>1</v>
      </c>
    </row>
    <row r="276" spans="1:11">
      <c r="A276" s="5" t="s">
        <v>184</v>
      </c>
      <c r="B276" s="6">
        <v>45570</v>
      </c>
      <c r="C276" s="7">
        <v>1</v>
      </c>
      <c r="D276" s="5">
        <v>6.66</v>
      </c>
      <c r="E276" s="5">
        <v>914.9</v>
      </c>
      <c r="F276" s="5">
        <v>928.6</v>
      </c>
      <c r="G276" s="6">
        <v>45570</v>
      </c>
      <c r="H276" s="5"/>
      <c r="I276" s="5"/>
      <c r="J276" s="5">
        <f t="shared" si="25"/>
        <v>13.700000000000045</v>
      </c>
      <c r="K276" s="8" t="b">
        <f t="shared" si="27"/>
        <v>1</v>
      </c>
    </row>
    <row r="277" spans="1:11">
      <c r="A277" s="5" t="s">
        <v>184</v>
      </c>
      <c r="B277" s="6">
        <v>45571</v>
      </c>
      <c r="C277" s="7">
        <v>1</v>
      </c>
      <c r="D277" s="5">
        <v>6.66</v>
      </c>
      <c r="E277" s="5">
        <v>928.6</v>
      </c>
      <c r="F277" s="5">
        <v>942.3</v>
      </c>
      <c r="G277" s="6">
        <v>45571</v>
      </c>
      <c r="H277" s="5"/>
      <c r="I277" s="5"/>
      <c r="J277" s="5">
        <f t="shared" si="25"/>
        <v>13.699999999999932</v>
      </c>
      <c r="K277" s="8" t="b">
        <f t="shared" si="27"/>
        <v>1</v>
      </c>
    </row>
    <row r="278" spans="1:11">
      <c r="A278" s="5" t="s">
        <v>184</v>
      </c>
      <c r="B278" s="6">
        <v>45572</v>
      </c>
      <c r="C278" s="7">
        <v>1</v>
      </c>
      <c r="D278" s="5">
        <v>6.66</v>
      </c>
      <c r="E278" s="5">
        <v>942.3</v>
      </c>
      <c r="F278" s="5">
        <v>955.5</v>
      </c>
      <c r="G278" s="6">
        <v>45572</v>
      </c>
      <c r="H278" s="5"/>
      <c r="I278" s="5"/>
      <c r="J278" s="5">
        <f t="shared" si="25"/>
        <v>13.200000000000045</v>
      </c>
      <c r="K278" s="8" t="b">
        <f t="shared" si="27"/>
        <v>1</v>
      </c>
    </row>
    <row r="279" spans="1:11">
      <c r="A279" s="5" t="s">
        <v>184</v>
      </c>
      <c r="B279" s="6">
        <v>45573</v>
      </c>
      <c r="C279" s="7">
        <v>1</v>
      </c>
      <c r="D279" s="5">
        <v>6.66</v>
      </c>
      <c r="E279" s="5">
        <v>955.5</v>
      </c>
      <c r="F279" s="5">
        <v>980.7</v>
      </c>
      <c r="G279" s="6">
        <v>45573</v>
      </c>
      <c r="H279" s="5"/>
      <c r="I279" s="5"/>
      <c r="J279" s="5">
        <f t="shared" si="25"/>
        <v>25.200000000000045</v>
      </c>
      <c r="K279" s="8" t="b">
        <f t="shared" si="27"/>
        <v>1</v>
      </c>
    </row>
    <row r="280" spans="1:11">
      <c r="A280" s="5" t="s">
        <v>184</v>
      </c>
      <c r="B280" s="6">
        <v>45574</v>
      </c>
      <c r="C280" s="7">
        <v>1</v>
      </c>
      <c r="D280" s="5">
        <v>6.66</v>
      </c>
      <c r="E280" s="5">
        <v>980.7</v>
      </c>
      <c r="F280" s="5">
        <v>993.3</v>
      </c>
      <c r="G280" s="6">
        <v>45574</v>
      </c>
      <c r="H280" s="5"/>
      <c r="I280" s="5"/>
      <c r="J280" s="5">
        <f t="shared" si="25"/>
        <v>12.599999999999909</v>
      </c>
      <c r="K280" s="8" t="b">
        <f t="shared" si="27"/>
        <v>1</v>
      </c>
    </row>
    <row r="281" spans="1:11">
      <c r="A281" s="5" t="s">
        <v>184</v>
      </c>
      <c r="B281" s="6">
        <v>45575</v>
      </c>
      <c r="C281" s="7">
        <v>1</v>
      </c>
      <c r="D281" s="5">
        <v>6.66</v>
      </c>
      <c r="E281" s="5">
        <v>993.3</v>
      </c>
      <c r="F281" s="5">
        <v>1008.6</v>
      </c>
      <c r="G281" s="6">
        <v>45575</v>
      </c>
      <c r="H281" s="5"/>
      <c r="I281" s="5"/>
      <c r="J281" s="5">
        <f t="shared" si="25"/>
        <v>15.300000000000068</v>
      </c>
      <c r="K281" s="8" t="b">
        <f t="shared" si="27"/>
        <v>1</v>
      </c>
    </row>
    <row r="282" spans="1:11">
      <c r="A282" s="5" t="s">
        <v>184</v>
      </c>
      <c r="B282" s="6">
        <v>45576</v>
      </c>
      <c r="C282" s="7">
        <v>1</v>
      </c>
      <c r="D282" s="5">
        <v>6.66</v>
      </c>
      <c r="E282" s="5">
        <v>1008.6</v>
      </c>
      <c r="F282" s="5">
        <v>1021.1</v>
      </c>
      <c r="G282" s="6">
        <v>45576</v>
      </c>
      <c r="H282" s="5"/>
      <c r="I282" s="5"/>
      <c r="J282" s="5">
        <f t="shared" si="25"/>
        <v>12.5</v>
      </c>
      <c r="K282" s="8" t="b">
        <f t="shared" si="27"/>
        <v>1</v>
      </c>
    </row>
    <row r="283" spans="1:11">
      <c r="A283" s="5" t="s">
        <v>184</v>
      </c>
      <c r="B283" s="6">
        <v>45577</v>
      </c>
      <c r="C283" s="7">
        <v>1</v>
      </c>
      <c r="D283" s="5">
        <v>6.66</v>
      </c>
      <c r="E283" s="5">
        <v>1021.1</v>
      </c>
      <c r="F283" s="5">
        <v>1022.1</v>
      </c>
      <c r="G283" s="6">
        <v>45577</v>
      </c>
      <c r="H283" s="5"/>
      <c r="I283" s="5"/>
      <c r="J283" s="5">
        <f t="shared" si="25"/>
        <v>1</v>
      </c>
      <c r="K283" s="8" t="b">
        <f t="shared" si="27"/>
        <v>1</v>
      </c>
    </row>
    <row r="284" spans="1:11">
      <c r="A284" s="5" t="s">
        <v>184</v>
      </c>
      <c r="B284" s="6">
        <v>45578</v>
      </c>
      <c r="C284" s="7">
        <v>0.7</v>
      </c>
      <c r="D284" s="5">
        <v>9.51</v>
      </c>
      <c r="E284" s="5">
        <v>1022.1</v>
      </c>
      <c r="F284" s="5">
        <v>1035</v>
      </c>
      <c r="G284" s="6">
        <v>45578</v>
      </c>
      <c r="H284" s="5"/>
      <c r="I284" s="5"/>
      <c r="J284" s="5">
        <f t="shared" si="25"/>
        <v>12.899999999999977</v>
      </c>
      <c r="K284" s="8" t="b">
        <f t="shared" si="27"/>
        <v>1</v>
      </c>
    </row>
    <row r="285" spans="1:11">
      <c r="A285" s="5" t="s">
        <v>184</v>
      </c>
      <c r="B285" s="6">
        <v>45579</v>
      </c>
      <c r="C285" s="7">
        <v>0.7</v>
      </c>
      <c r="D285" s="5">
        <v>9.51</v>
      </c>
      <c r="E285" s="5">
        <v>1035</v>
      </c>
      <c r="F285" s="5">
        <v>1053.0999999999999</v>
      </c>
      <c r="G285" s="6">
        <v>45579</v>
      </c>
      <c r="H285" s="5"/>
      <c r="I285" s="5"/>
      <c r="J285" s="5">
        <f t="shared" si="25"/>
        <v>18.099999999999909</v>
      </c>
      <c r="K285" s="8" t="b">
        <f t="shared" ref="K269:K293" si="28">E285=F286</f>
        <v>0</v>
      </c>
    </row>
    <row r="286" spans="1:11">
      <c r="A286" s="5" t="s">
        <v>184</v>
      </c>
      <c r="B286" s="6"/>
      <c r="C286" s="7"/>
      <c r="D286" s="5"/>
      <c r="E286" s="5"/>
      <c r="F286" s="5"/>
      <c r="G286" s="6"/>
      <c r="H286" s="5"/>
      <c r="I286" s="5"/>
      <c r="J286" s="5">
        <f t="shared" si="25"/>
        <v>0</v>
      </c>
      <c r="K286" s="8" t="b">
        <f t="shared" si="28"/>
        <v>1</v>
      </c>
    </row>
    <row r="287" spans="1:11">
      <c r="A287" s="5" t="s">
        <v>184</v>
      </c>
      <c r="B287" s="6"/>
      <c r="C287" s="7"/>
      <c r="D287" s="5"/>
      <c r="E287" s="5"/>
      <c r="F287" s="5"/>
      <c r="G287" s="6"/>
      <c r="H287" s="5"/>
      <c r="I287" s="5"/>
      <c r="J287" s="5">
        <f t="shared" si="25"/>
        <v>0</v>
      </c>
      <c r="K287" s="8" t="b">
        <f t="shared" si="28"/>
        <v>1</v>
      </c>
    </row>
    <row r="288" spans="1:11">
      <c r="A288" s="5" t="s">
        <v>184</v>
      </c>
      <c r="B288" s="6"/>
      <c r="C288" s="7"/>
      <c r="D288" s="5"/>
      <c r="E288" s="5"/>
      <c r="F288" s="5"/>
      <c r="G288" s="6"/>
      <c r="H288" s="5"/>
      <c r="I288" s="5"/>
      <c r="J288" s="5">
        <f t="shared" si="25"/>
        <v>0</v>
      </c>
      <c r="K288" s="8" t="b">
        <f t="shared" si="28"/>
        <v>1</v>
      </c>
    </row>
    <row r="289" spans="1:11">
      <c r="A289" s="5" t="s">
        <v>184</v>
      </c>
      <c r="B289" s="6"/>
      <c r="C289" s="7"/>
      <c r="D289" s="5"/>
      <c r="E289" s="5"/>
      <c r="F289" s="5"/>
      <c r="G289" s="6"/>
      <c r="H289" s="5"/>
      <c r="I289" s="5"/>
      <c r="J289" s="5">
        <f t="shared" si="25"/>
        <v>0</v>
      </c>
      <c r="K289" s="8" t="b">
        <f t="shared" si="28"/>
        <v>1</v>
      </c>
    </row>
    <row r="290" spans="1:11">
      <c r="A290" s="5" t="s">
        <v>184</v>
      </c>
      <c r="B290" s="6"/>
      <c r="C290" s="7"/>
      <c r="D290" s="5"/>
      <c r="E290" s="5"/>
      <c r="F290" s="5"/>
      <c r="G290" s="6"/>
      <c r="H290" s="5"/>
      <c r="I290" s="5"/>
      <c r="J290" s="5">
        <f t="shared" si="25"/>
        <v>0</v>
      </c>
      <c r="K290" s="8" t="b">
        <f t="shared" si="28"/>
        <v>1</v>
      </c>
    </row>
    <row r="291" spans="1:11">
      <c r="A291" s="5" t="s">
        <v>184</v>
      </c>
      <c r="B291" s="6"/>
      <c r="C291" s="7"/>
      <c r="D291" s="5"/>
      <c r="E291" s="5"/>
      <c r="F291" s="5"/>
      <c r="G291" s="6"/>
      <c r="H291" s="5"/>
      <c r="I291" s="5"/>
      <c r="J291" s="5">
        <f t="shared" si="25"/>
        <v>0</v>
      </c>
      <c r="K291" s="8" t="b">
        <f t="shared" si="28"/>
        <v>1</v>
      </c>
    </row>
    <row r="292" spans="1:11">
      <c r="A292" s="5" t="s">
        <v>184</v>
      </c>
      <c r="B292" s="6"/>
      <c r="C292" s="7"/>
      <c r="D292" s="5"/>
      <c r="E292" s="5"/>
      <c r="F292" s="5"/>
      <c r="G292" s="6"/>
      <c r="H292" s="5"/>
      <c r="I292" s="5"/>
      <c r="J292" s="5">
        <f t="shared" si="25"/>
        <v>0</v>
      </c>
      <c r="K292" s="8" t="b">
        <f t="shared" si="28"/>
        <v>1</v>
      </c>
    </row>
    <row r="293" spans="1:11">
      <c r="A293" s="5" t="s">
        <v>184</v>
      </c>
      <c r="B293" s="6"/>
      <c r="C293" s="7"/>
      <c r="D293" s="5"/>
      <c r="E293" s="5"/>
      <c r="F293" s="5"/>
      <c r="G293" s="6"/>
      <c r="H293" s="5"/>
      <c r="I293" s="5"/>
      <c r="J293" s="5">
        <f t="shared" si="25"/>
        <v>0</v>
      </c>
      <c r="K293" s="8" t="b">
        <f t="shared" si="28"/>
        <v>1</v>
      </c>
    </row>
  </sheetData>
  <autoFilter ref="A194:K259" xr:uid="{B5A4C229-F92F-4864-830F-06AB50E1F0FB}">
    <filterColumn colId="1">
      <filters>
        <dateGroupItem year="2024" month="7" dateTimeGrouping="month"/>
      </filters>
    </filterColumn>
  </autoFilter>
  <mergeCells count="18">
    <mergeCell ref="A39:K39"/>
    <mergeCell ref="A1:K1"/>
    <mergeCell ref="A2:K2"/>
    <mergeCell ref="A4:K4"/>
    <mergeCell ref="A36:K36"/>
    <mergeCell ref="A37:K37"/>
    <mergeCell ref="A175:K175"/>
    <mergeCell ref="A176:K176"/>
    <mergeCell ref="A178:K178"/>
    <mergeCell ref="A153:K153"/>
    <mergeCell ref="A154:K154"/>
    <mergeCell ref="A156:K156"/>
    <mergeCell ref="A261:K261"/>
    <mergeCell ref="A262:K262"/>
    <mergeCell ref="A264:K264"/>
    <mergeCell ref="A188:K188"/>
    <mergeCell ref="A189:K189"/>
    <mergeCell ref="A191:K191"/>
  </mergeCells>
  <conditionalFormatting sqref="K1:K259 K261:K1048576">
    <cfRule type="containsText" dxfId="77" priority="1" operator="containsText" text="FALSO">
      <formula>NOT(ISERROR(SEARCH("FALSO",K1)))</formula>
    </cfRule>
    <cfRule type="containsText" dxfId="76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E459-06EC-4AB0-A2DA-AE6245D33EA8}">
  <sheetPr codeName="Planilha18"/>
  <dimension ref="A1:K337"/>
  <sheetViews>
    <sheetView topLeftCell="A298" workbookViewId="0">
      <selection activeCell="G312" sqref="G312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7109375" customWidth="1"/>
    <col min="8" max="8" width="0.140625" hidden="1" customWidth="1"/>
    <col min="9" max="9" width="0.28515625" hidden="1" customWidth="1"/>
    <col min="10" max="10" width="6" customWidth="1"/>
    <col min="11" max="11" width="12.42578125" bestFit="1" customWidth="1"/>
  </cols>
  <sheetData>
    <row r="1" spans="1:11" ht="26.25">
      <c r="A1" s="199" t="s">
        <v>190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 ht="26.25">
      <c r="A2" s="202" t="s">
        <v>191</v>
      </c>
      <c r="B2" s="203"/>
      <c r="C2" s="203"/>
      <c r="D2" s="203"/>
      <c r="E2" s="203"/>
      <c r="F2" s="203"/>
      <c r="G2" s="203"/>
      <c r="H2" s="203"/>
      <c r="I2" s="203"/>
      <c r="J2" s="203"/>
      <c r="K2" s="204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192</v>
      </c>
      <c r="B8" s="6">
        <v>44580</v>
      </c>
      <c r="C8" s="7">
        <v>0.7</v>
      </c>
      <c r="D8" s="5">
        <v>10.39</v>
      </c>
      <c r="E8" s="5">
        <v>30</v>
      </c>
      <c r="F8" s="5">
        <v>41.4</v>
      </c>
      <c r="G8" s="6">
        <v>44580</v>
      </c>
      <c r="H8" s="5"/>
      <c r="I8" s="5"/>
      <c r="J8" s="5">
        <f>F8-E8</f>
        <v>11.399999999999999</v>
      </c>
      <c r="K8" s="8" t="b">
        <f>E8=F8</f>
        <v>0</v>
      </c>
    </row>
    <row r="9" spans="1:11">
      <c r="A9" s="5" t="s">
        <v>193</v>
      </c>
      <c r="B9" s="6">
        <v>44583</v>
      </c>
      <c r="C9" s="7">
        <v>0.8</v>
      </c>
      <c r="D9" s="5">
        <v>9.09</v>
      </c>
      <c r="E9" s="5">
        <v>41.4</v>
      </c>
      <c r="F9" s="5">
        <v>50.8</v>
      </c>
      <c r="G9" s="6">
        <v>44583</v>
      </c>
      <c r="H9" s="5"/>
      <c r="I9" s="5"/>
      <c r="J9" s="5">
        <f>F9-E9</f>
        <v>9.3999999999999986</v>
      </c>
      <c r="K9" s="8" t="b">
        <f>E9=F8</f>
        <v>1</v>
      </c>
    </row>
    <row r="10" spans="1:11">
      <c r="A10" s="5" t="s">
        <v>193</v>
      </c>
      <c r="B10" s="6">
        <v>44585</v>
      </c>
      <c r="C10" s="7">
        <v>0.7</v>
      </c>
      <c r="D10" s="5">
        <v>10.39</v>
      </c>
      <c r="E10" s="5">
        <v>50.8</v>
      </c>
      <c r="F10" s="5">
        <v>60</v>
      </c>
      <c r="G10" s="6">
        <v>44585</v>
      </c>
      <c r="H10" s="5"/>
      <c r="I10" s="5"/>
      <c r="J10" s="5">
        <f>F10-E10</f>
        <v>9.2000000000000028</v>
      </c>
      <c r="K10" s="8" t="b">
        <f t="shared" ref="K10:K73" si="0">E10=F9</f>
        <v>1</v>
      </c>
    </row>
    <row r="11" spans="1:11">
      <c r="A11" s="5" t="s">
        <v>194</v>
      </c>
      <c r="B11" s="6">
        <v>44590</v>
      </c>
      <c r="C11" s="7">
        <v>1</v>
      </c>
      <c r="D11" s="5">
        <v>7.27</v>
      </c>
      <c r="E11" s="5">
        <v>60.2</v>
      </c>
      <c r="F11" s="5">
        <v>68</v>
      </c>
      <c r="G11" s="6">
        <v>44590</v>
      </c>
      <c r="H11" s="5"/>
      <c r="I11" s="5"/>
      <c r="J11" s="5">
        <f t="shared" ref="J11:J18" si="1">F11-E11</f>
        <v>7.7999999999999972</v>
      </c>
      <c r="K11" s="8" t="b">
        <f t="shared" si="0"/>
        <v>0</v>
      </c>
    </row>
    <row r="12" spans="1:11">
      <c r="A12" s="5" t="s">
        <v>194</v>
      </c>
      <c r="B12" s="6">
        <v>44591</v>
      </c>
      <c r="C12" s="7">
        <v>1</v>
      </c>
      <c r="D12" s="5">
        <v>7.27</v>
      </c>
      <c r="E12" s="5">
        <v>68</v>
      </c>
      <c r="F12" s="5">
        <v>75.900000000000006</v>
      </c>
      <c r="G12" s="6">
        <v>44591</v>
      </c>
      <c r="H12" s="5"/>
      <c r="I12" s="5"/>
      <c r="J12" s="5">
        <f t="shared" si="1"/>
        <v>7.9000000000000057</v>
      </c>
      <c r="K12" s="8" t="b">
        <f t="shared" si="0"/>
        <v>1</v>
      </c>
    </row>
    <row r="13" spans="1:11">
      <c r="A13" s="5" t="s">
        <v>195</v>
      </c>
      <c r="B13" s="6">
        <v>44592</v>
      </c>
      <c r="C13" s="7">
        <v>1</v>
      </c>
      <c r="D13" s="5">
        <v>7.27</v>
      </c>
      <c r="E13" s="5">
        <v>75.900000000000006</v>
      </c>
      <c r="F13" s="5">
        <v>90.8</v>
      </c>
      <c r="G13" s="6">
        <v>44592</v>
      </c>
      <c r="H13" s="5"/>
      <c r="I13" s="5"/>
      <c r="J13" s="5">
        <f t="shared" si="1"/>
        <v>14.899999999999991</v>
      </c>
      <c r="K13" s="8" t="b">
        <f t="shared" si="0"/>
        <v>1</v>
      </c>
    </row>
    <row r="14" spans="1:11">
      <c r="A14" s="5" t="s">
        <v>195</v>
      </c>
      <c r="B14" s="6">
        <v>44593</v>
      </c>
      <c r="C14" s="7">
        <v>1</v>
      </c>
      <c r="D14" s="5">
        <v>7.27</v>
      </c>
      <c r="E14" s="5">
        <v>90.8</v>
      </c>
      <c r="F14" s="5">
        <v>105</v>
      </c>
      <c r="G14" s="6">
        <v>44593</v>
      </c>
      <c r="H14" s="5"/>
      <c r="I14" s="5"/>
      <c r="J14" s="5">
        <f t="shared" si="1"/>
        <v>14.200000000000003</v>
      </c>
      <c r="K14" s="8" t="b">
        <f t="shared" si="0"/>
        <v>1</v>
      </c>
    </row>
    <row r="15" spans="1:11">
      <c r="A15" s="5" t="s">
        <v>195</v>
      </c>
      <c r="B15" s="6">
        <v>44594</v>
      </c>
      <c r="C15" s="7">
        <v>1</v>
      </c>
      <c r="D15" s="5">
        <v>7.27</v>
      </c>
      <c r="E15" s="5">
        <v>105</v>
      </c>
      <c r="F15" s="5">
        <v>119.4</v>
      </c>
      <c r="G15" s="6">
        <v>44594</v>
      </c>
      <c r="H15" s="5"/>
      <c r="I15" s="5"/>
      <c r="J15" s="5">
        <f t="shared" si="1"/>
        <v>14.400000000000006</v>
      </c>
      <c r="K15" s="8" t="b">
        <f t="shared" si="0"/>
        <v>1</v>
      </c>
    </row>
    <row r="16" spans="1:11">
      <c r="A16" s="5" t="s">
        <v>195</v>
      </c>
      <c r="B16" s="6">
        <v>44595</v>
      </c>
      <c r="C16" s="7">
        <v>1</v>
      </c>
      <c r="D16" s="5">
        <v>7.27</v>
      </c>
      <c r="E16" s="5">
        <v>119.4</v>
      </c>
      <c r="F16" s="5">
        <v>133.4</v>
      </c>
      <c r="G16" s="6">
        <v>44595</v>
      </c>
      <c r="H16" s="5"/>
      <c r="I16" s="5"/>
      <c r="J16" s="5">
        <f t="shared" si="1"/>
        <v>14</v>
      </c>
      <c r="K16" s="8" t="b">
        <f t="shared" si="0"/>
        <v>1</v>
      </c>
    </row>
    <row r="17" spans="1:11">
      <c r="A17" s="5" t="s">
        <v>196</v>
      </c>
      <c r="B17" s="6">
        <v>44596</v>
      </c>
      <c r="C17" s="7">
        <v>1</v>
      </c>
      <c r="D17" s="5">
        <v>7.27</v>
      </c>
      <c r="E17" s="5">
        <v>133.4</v>
      </c>
      <c r="F17" s="5">
        <v>137.80000000000001</v>
      </c>
      <c r="G17" s="6">
        <v>44596</v>
      </c>
      <c r="H17" s="5"/>
      <c r="I17" s="5"/>
      <c r="J17" s="5">
        <f t="shared" si="1"/>
        <v>4.4000000000000057</v>
      </c>
      <c r="K17" s="8" t="b">
        <f t="shared" si="0"/>
        <v>1</v>
      </c>
    </row>
    <row r="18" spans="1:11">
      <c r="A18" s="5" t="s">
        <v>195</v>
      </c>
      <c r="B18" s="6">
        <v>44597</v>
      </c>
      <c r="C18" s="7">
        <v>1</v>
      </c>
      <c r="D18" s="5">
        <v>7.27</v>
      </c>
      <c r="E18" s="5">
        <v>137.80000000000001</v>
      </c>
      <c r="F18" s="5">
        <v>155.30000000000001</v>
      </c>
      <c r="G18" s="6">
        <v>44597</v>
      </c>
      <c r="H18" s="5"/>
      <c r="I18" s="5"/>
      <c r="J18" s="5">
        <f t="shared" si="1"/>
        <v>17.5</v>
      </c>
      <c r="K18" s="8" t="b">
        <f t="shared" si="0"/>
        <v>1</v>
      </c>
    </row>
    <row r="19" spans="1:11">
      <c r="A19" s="5" t="s">
        <v>195</v>
      </c>
      <c r="B19" s="6">
        <v>44599</v>
      </c>
      <c r="C19" s="7">
        <v>1</v>
      </c>
      <c r="D19" s="5">
        <v>7.27</v>
      </c>
      <c r="E19" s="5">
        <v>155.30000000000001</v>
      </c>
      <c r="F19" s="5">
        <v>169.9</v>
      </c>
      <c r="G19" s="6">
        <v>44599</v>
      </c>
      <c r="H19" s="5"/>
      <c r="I19" s="5"/>
      <c r="J19" s="5">
        <f t="shared" ref="J19:J27" si="2">F19-E19</f>
        <v>14.599999999999994</v>
      </c>
      <c r="K19" s="8" t="b">
        <f t="shared" si="0"/>
        <v>1</v>
      </c>
    </row>
    <row r="20" spans="1:11">
      <c r="A20" s="5" t="s">
        <v>197</v>
      </c>
      <c r="B20" s="6">
        <v>44608</v>
      </c>
      <c r="C20" s="7">
        <v>1</v>
      </c>
      <c r="D20" s="5">
        <v>7.27</v>
      </c>
      <c r="E20" s="5">
        <v>169.9</v>
      </c>
      <c r="F20" s="5">
        <v>179.9</v>
      </c>
      <c r="G20" s="6">
        <v>44608</v>
      </c>
      <c r="H20" s="5"/>
      <c r="I20" s="5"/>
      <c r="J20" s="5">
        <f t="shared" si="2"/>
        <v>10</v>
      </c>
      <c r="K20" s="8" t="b">
        <f t="shared" si="0"/>
        <v>1</v>
      </c>
    </row>
    <row r="21" spans="1:11">
      <c r="A21" s="25" t="s">
        <v>195</v>
      </c>
      <c r="B21" s="26">
        <v>44610</v>
      </c>
      <c r="C21" s="27">
        <v>1</v>
      </c>
      <c r="D21" s="25">
        <v>7.27</v>
      </c>
      <c r="E21" s="25">
        <v>179.9</v>
      </c>
      <c r="F21" s="25">
        <v>194</v>
      </c>
      <c r="G21" s="26">
        <v>44610</v>
      </c>
      <c r="H21" s="25"/>
      <c r="I21" s="25"/>
      <c r="J21" s="25">
        <f t="shared" si="2"/>
        <v>14.099999999999994</v>
      </c>
      <c r="K21" s="8" t="b">
        <f t="shared" si="0"/>
        <v>1</v>
      </c>
    </row>
    <row r="22" spans="1:11">
      <c r="A22" s="5" t="s">
        <v>195</v>
      </c>
      <c r="B22" s="6">
        <v>44614</v>
      </c>
      <c r="C22" s="7">
        <v>1</v>
      </c>
      <c r="D22" s="5">
        <v>7.27</v>
      </c>
      <c r="E22" s="5">
        <v>194</v>
      </c>
      <c r="F22" s="5">
        <v>208.7</v>
      </c>
      <c r="G22" s="6">
        <v>44614</v>
      </c>
      <c r="H22" s="5"/>
      <c r="I22" s="5"/>
      <c r="J22" s="5">
        <f t="shared" si="2"/>
        <v>14.699999999999989</v>
      </c>
      <c r="K22" s="8" t="b">
        <f t="shared" si="0"/>
        <v>1</v>
      </c>
    </row>
    <row r="23" spans="1:11">
      <c r="A23" s="5" t="s">
        <v>195</v>
      </c>
      <c r="B23" s="6">
        <v>44617</v>
      </c>
      <c r="C23" s="7">
        <v>0.8</v>
      </c>
      <c r="D23" s="5">
        <v>9.09</v>
      </c>
      <c r="E23" s="5">
        <v>208.7</v>
      </c>
      <c r="F23" s="5">
        <v>226.6</v>
      </c>
      <c r="G23" s="6">
        <v>44617</v>
      </c>
      <c r="H23" s="5"/>
      <c r="I23" s="5"/>
      <c r="J23" s="5">
        <f t="shared" si="2"/>
        <v>17.900000000000006</v>
      </c>
      <c r="K23" s="8" t="b">
        <f t="shared" si="0"/>
        <v>1</v>
      </c>
    </row>
    <row r="24" spans="1:11">
      <c r="A24" s="5" t="s">
        <v>195</v>
      </c>
      <c r="B24" s="6">
        <v>44620</v>
      </c>
      <c r="C24" s="7">
        <v>0.8</v>
      </c>
      <c r="D24" s="5">
        <v>9.09</v>
      </c>
      <c r="E24" s="5">
        <v>226.6</v>
      </c>
      <c r="F24" s="5">
        <v>244.6</v>
      </c>
      <c r="G24" s="6">
        <v>44620</v>
      </c>
      <c r="H24" s="5"/>
      <c r="I24" s="5"/>
      <c r="J24" s="5">
        <f t="shared" si="2"/>
        <v>18</v>
      </c>
      <c r="K24" s="8" t="b">
        <f t="shared" si="0"/>
        <v>1</v>
      </c>
    </row>
    <row r="25" spans="1:11">
      <c r="A25" s="25" t="s">
        <v>195</v>
      </c>
      <c r="B25" s="26">
        <v>44622</v>
      </c>
      <c r="C25" s="27">
        <v>1</v>
      </c>
      <c r="D25" s="25">
        <v>7.27</v>
      </c>
      <c r="E25" s="25">
        <v>244.6</v>
      </c>
      <c r="F25" s="25">
        <v>259.10000000000002</v>
      </c>
      <c r="G25" s="26">
        <v>44622</v>
      </c>
      <c r="H25" s="25"/>
      <c r="I25" s="25"/>
      <c r="J25" s="25">
        <f t="shared" si="2"/>
        <v>14.500000000000028</v>
      </c>
      <c r="K25" s="8" t="b">
        <f t="shared" si="0"/>
        <v>1</v>
      </c>
    </row>
    <row r="26" spans="1:11">
      <c r="A26" s="5" t="s">
        <v>195</v>
      </c>
      <c r="B26" s="6">
        <v>44625</v>
      </c>
      <c r="C26" s="7">
        <v>0.8</v>
      </c>
      <c r="D26" s="5">
        <v>9.09</v>
      </c>
      <c r="E26" s="5">
        <v>259.10000000000002</v>
      </c>
      <c r="F26" s="5">
        <v>277.10000000000002</v>
      </c>
      <c r="G26" s="6">
        <v>44625</v>
      </c>
      <c r="H26" s="5"/>
      <c r="I26" s="5"/>
      <c r="J26" s="5">
        <f t="shared" si="2"/>
        <v>18</v>
      </c>
      <c r="K26" s="8" t="b">
        <f t="shared" si="0"/>
        <v>1</v>
      </c>
    </row>
    <row r="27" spans="1:11">
      <c r="A27" s="5" t="s">
        <v>195</v>
      </c>
      <c r="B27" s="6">
        <v>44628</v>
      </c>
      <c r="C27" s="7">
        <v>1</v>
      </c>
      <c r="D27" s="5">
        <v>7.27</v>
      </c>
      <c r="E27" s="5">
        <v>277.10000000000002</v>
      </c>
      <c r="F27" s="5">
        <v>291.60000000000002</v>
      </c>
      <c r="G27" s="6">
        <v>44628</v>
      </c>
      <c r="H27" s="5"/>
      <c r="I27" s="5"/>
      <c r="J27" s="5">
        <f t="shared" si="2"/>
        <v>14.5</v>
      </c>
      <c r="K27" s="8" t="b">
        <f t="shared" si="0"/>
        <v>1</v>
      </c>
    </row>
    <row r="28" spans="1:11">
      <c r="A28" s="25" t="s">
        <v>195</v>
      </c>
      <c r="B28" s="26">
        <v>44631</v>
      </c>
      <c r="C28" s="27">
        <v>1</v>
      </c>
      <c r="D28" s="25">
        <v>7.27</v>
      </c>
      <c r="E28" s="25">
        <v>291.60000000000002</v>
      </c>
      <c r="F28" s="25">
        <v>306.10000000000002</v>
      </c>
      <c r="G28" s="26">
        <v>44631</v>
      </c>
      <c r="H28" s="25"/>
      <c r="I28" s="25"/>
      <c r="J28" s="25">
        <f t="shared" ref="J28:J39" si="3">F28-E28</f>
        <v>14.5</v>
      </c>
      <c r="K28" s="8" t="b">
        <f t="shared" si="0"/>
        <v>1</v>
      </c>
    </row>
    <row r="29" spans="1:11">
      <c r="A29" s="5" t="s">
        <v>195</v>
      </c>
      <c r="B29" s="6">
        <v>44634</v>
      </c>
      <c r="C29" s="7">
        <v>0.7</v>
      </c>
      <c r="D29" s="5">
        <v>10.39</v>
      </c>
      <c r="E29" s="5">
        <v>306.10000000000002</v>
      </c>
      <c r="F29" s="5">
        <v>326.7</v>
      </c>
      <c r="G29" s="6">
        <v>44634</v>
      </c>
      <c r="H29" s="5"/>
      <c r="I29" s="5"/>
      <c r="J29" s="5">
        <f t="shared" si="3"/>
        <v>20.599999999999966</v>
      </c>
      <c r="K29" s="8" t="b">
        <f t="shared" si="0"/>
        <v>1</v>
      </c>
    </row>
    <row r="30" spans="1:11">
      <c r="A30" s="5" t="s">
        <v>195</v>
      </c>
      <c r="B30" s="6">
        <v>44637</v>
      </c>
      <c r="C30" s="7">
        <v>1</v>
      </c>
      <c r="D30" s="5">
        <v>7.27</v>
      </c>
      <c r="E30" s="5">
        <v>326.7</v>
      </c>
      <c r="F30" s="5">
        <v>340.8</v>
      </c>
      <c r="G30" s="6">
        <v>44637</v>
      </c>
      <c r="H30" s="5"/>
      <c r="I30" s="5"/>
      <c r="J30" s="5">
        <f t="shared" si="3"/>
        <v>14.100000000000023</v>
      </c>
      <c r="K30" s="8" t="b">
        <f t="shared" si="0"/>
        <v>1</v>
      </c>
    </row>
    <row r="31" spans="1:11">
      <c r="A31" s="5" t="s">
        <v>195</v>
      </c>
      <c r="B31" s="6">
        <v>44638</v>
      </c>
      <c r="C31" s="7">
        <v>0.8</v>
      </c>
      <c r="D31" s="5">
        <v>9.09</v>
      </c>
      <c r="E31" s="5">
        <v>340.8</v>
      </c>
      <c r="F31" s="5">
        <v>359.5</v>
      </c>
      <c r="G31" s="6">
        <v>44638</v>
      </c>
      <c r="H31" s="5"/>
      <c r="I31" s="5"/>
      <c r="J31" s="5">
        <f t="shared" si="3"/>
        <v>18.699999999999989</v>
      </c>
      <c r="K31" s="8" t="b">
        <f t="shared" si="0"/>
        <v>1</v>
      </c>
    </row>
    <row r="32" spans="1:11">
      <c r="A32" s="5" t="s">
        <v>195</v>
      </c>
      <c r="B32" s="6">
        <v>44641</v>
      </c>
      <c r="C32" s="7">
        <v>0.7</v>
      </c>
      <c r="D32" s="5">
        <v>10.39</v>
      </c>
      <c r="E32" s="5">
        <v>359.5</v>
      </c>
      <c r="F32" s="5">
        <v>380</v>
      </c>
      <c r="G32" s="6">
        <v>44640</v>
      </c>
      <c r="H32" s="5"/>
      <c r="I32" s="5"/>
      <c r="J32" s="5">
        <f t="shared" si="3"/>
        <v>20.5</v>
      </c>
      <c r="K32" s="8" t="b">
        <f t="shared" si="0"/>
        <v>1</v>
      </c>
    </row>
    <row r="33" spans="1:11">
      <c r="A33" s="25" t="s">
        <v>195</v>
      </c>
      <c r="B33" s="26">
        <v>44642</v>
      </c>
      <c r="C33" s="27">
        <v>1</v>
      </c>
      <c r="D33" s="25">
        <v>7.27</v>
      </c>
      <c r="E33" s="25">
        <v>380</v>
      </c>
      <c r="F33" s="25">
        <v>394.3</v>
      </c>
      <c r="G33" s="26">
        <v>44642</v>
      </c>
      <c r="H33" s="25"/>
      <c r="I33" s="25"/>
      <c r="J33" s="25">
        <f t="shared" si="3"/>
        <v>14.300000000000011</v>
      </c>
      <c r="K33" s="8" t="b">
        <f t="shared" si="0"/>
        <v>1</v>
      </c>
    </row>
    <row r="34" spans="1:11">
      <c r="A34" s="5" t="s">
        <v>195</v>
      </c>
      <c r="B34" s="6">
        <v>44645</v>
      </c>
      <c r="C34" s="7">
        <v>0.7</v>
      </c>
      <c r="D34" s="5">
        <v>10.39</v>
      </c>
      <c r="E34" s="5">
        <v>394.3</v>
      </c>
      <c r="F34" s="5">
        <v>414.7</v>
      </c>
      <c r="G34" s="6">
        <v>44645</v>
      </c>
      <c r="H34" s="5"/>
      <c r="I34" s="5"/>
      <c r="J34" s="5">
        <f t="shared" si="3"/>
        <v>20.399999999999977</v>
      </c>
      <c r="K34" s="8" t="b">
        <f t="shared" si="0"/>
        <v>1</v>
      </c>
    </row>
    <row r="35" spans="1:11">
      <c r="A35" s="5" t="s">
        <v>195</v>
      </c>
      <c r="B35" s="6">
        <v>44647</v>
      </c>
      <c r="C35" s="7">
        <v>0.7</v>
      </c>
      <c r="D35" s="5">
        <v>10.39</v>
      </c>
      <c r="E35" s="5">
        <v>414.7</v>
      </c>
      <c r="F35" s="5">
        <v>436.3</v>
      </c>
      <c r="G35" s="6">
        <v>44646</v>
      </c>
      <c r="H35" s="5"/>
      <c r="I35" s="5"/>
      <c r="J35" s="5">
        <f t="shared" si="3"/>
        <v>21.600000000000023</v>
      </c>
      <c r="K35" s="8" t="b">
        <f t="shared" si="0"/>
        <v>1</v>
      </c>
    </row>
    <row r="36" spans="1:11">
      <c r="A36" s="5" t="s">
        <v>195</v>
      </c>
      <c r="B36" s="6">
        <v>44649</v>
      </c>
      <c r="C36" s="7">
        <v>0.7</v>
      </c>
      <c r="D36" s="5">
        <v>10.39</v>
      </c>
      <c r="E36" s="5">
        <v>436.3</v>
      </c>
      <c r="F36" s="5">
        <v>455.7</v>
      </c>
      <c r="G36" s="6">
        <v>44649</v>
      </c>
      <c r="H36" s="5"/>
      <c r="I36" s="5"/>
      <c r="J36" s="5">
        <f t="shared" si="3"/>
        <v>19.399999999999977</v>
      </c>
      <c r="K36" s="8" t="b">
        <f t="shared" si="0"/>
        <v>1</v>
      </c>
    </row>
    <row r="37" spans="1:11">
      <c r="A37" s="25" t="s">
        <v>195</v>
      </c>
      <c r="B37" s="26">
        <v>44651</v>
      </c>
      <c r="C37" s="27">
        <v>1</v>
      </c>
      <c r="D37" s="25">
        <v>7.27</v>
      </c>
      <c r="E37" s="25">
        <v>455.7</v>
      </c>
      <c r="F37" s="25">
        <v>470.1</v>
      </c>
      <c r="G37" s="26">
        <v>44651</v>
      </c>
      <c r="H37" s="25"/>
      <c r="I37" s="25"/>
      <c r="J37" s="25">
        <f t="shared" si="3"/>
        <v>14.400000000000034</v>
      </c>
      <c r="K37" s="8" t="b">
        <f t="shared" si="0"/>
        <v>1</v>
      </c>
    </row>
    <row r="38" spans="1:11">
      <c r="A38" s="39" t="s">
        <v>195</v>
      </c>
      <c r="B38" s="40"/>
      <c r="C38" s="41"/>
      <c r="D38" s="39"/>
      <c r="E38" s="39"/>
      <c r="F38" s="39"/>
      <c r="G38" s="40"/>
      <c r="H38" s="39"/>
      <c r="I38" s="39"/>
      <c r="J38" s="39">
        <f t="shared" si="3"/>
        <v>0</v>
      </c>
      <c r="K38" s="8" t="b">
        <f t="shared" si="0"/>
        <v>0</v>
      </c>
    </row>
    <row r="39" spans="1:11">
      <c r="A39" s="39" t="s">
        <v>195</v>
      </c>
      <c r="B39" s="40"/>
      <c r="C39" s="41"/>
      <c r="D39" s="39"/>
      <c r="E39" s="39"/>
      <c r="F39" s="39"/>
      <c r="G39" s="40"/>
      <c r="H39" s="39"/>
      <c r="I39" s="39"/>
      <c r="J39" s="39">
        <f t="shared" si="3"/>
        <v>0</v>
      </c>
      <c r="K39" s="8" t="b">
        <f t="shared" si="0"/>
        <v>1</v>
      </c>
    </row>
    <row r="40" spans="1:11">
      <c r="A40" s="39" t="s">
        <v>195</v>
      </c>
      <c r="B40" s="40"/>
      <c r="C40" s="41"/>
      <c r="D40" s="39"/>
      <c r="E40" s="39"/>
      <c r="F40" s="39"/>
      <c r="G40" s="40"/>
      <c r="H40" s="39"/>
      <c r="I40" s="39"/>
      <c r="J40" s="39">
        <f>F40-E40</f>
        <v>0</v>
      </c>
      <c r="K40" s="8" t="b">
        <f t="shared" si="0"/>
        <v>1</v>
      </c>
    </row>
    <row r="41" spans="1:11">
      <c r="A41" s="39" t="s">
        <v>195</v>
      </c>
      <c r="B41" s="40"/>
      <c r="C41" s="41"/>
      <c r="D41" s="39"/>
      <c r="E41" s="39"/>
      <c r="F41" s="39"/>
      <c r="G41" s="40"/>
      <c r="H41" s="39"/>
      <c r="I41" s="39"/>
      <c r="J41" s="39">
        <f>F41-E41</f>
        <v>0</v>
      </c>
      <c r="K41" s="8" t="b">
        <f t="shared" si="0"/>
        <v>1</v>
      </c>
    </row>
    <row r="42" spans="1:11">
      <c r="A42" s="39" t="s">
        <v>195</v>
      </c>
      <c r="B42" s="40"/>
      <c r="C42" s="41"/>
      <c r="D42" s="39"/>
      <c r="E42" s="39"/>
      <c r="F42" s="39"/>
      <c r="G42" s="40"/>
      <c r="H42" s="39"/>
      <c r="I42" s="39"/>
      <c r="J42" s="39">
        <f>F42-E42</f>
        <v>0</v>
      </c>
      <c r="K42" s="8" t="b">
        <f t="shared" si="0"/>
        <v>1</v>
      </c>
    </row>
    <row r="43" spans="1:11">
      <c r="A43" s="5" t="s">
        <v>198</v>
      </c>
      <c r="B43" s="6">
        <v>44674</v>
      </c>
      <c r="C43" s="7">
        <v>0.6</v>
      </c>
      <c r="D43" s="5">
        <v>12.12</v>
      </c>
      <c r="E43" s="5">
        <v>675.1</v>
      </c>
      <c r="F43" s="5">
        <v>687.6</v>
      </c>
      <c r="G43" s="6">
        <v>44674</v>
      </c>
      <c r="H43" s="5"/>
      <c r="I43" s="5"/>
      <c r="J43" s="5">
        <f>F43-E43</f>
        <v>12.5</v>
      </c>
      <c r="K43" s="8" t="b">
        <f t="shared" si="0"/>
        <v>0</v>
      </c>
    </row>
    <row r="44" spans="1:11">
      <c r="A44" s="5" t="s">
        <v>198</v>
      </c>
      <c r="B44" s="6">
        <v>44675</v>
      </c>
      <c r="C44" s="7">
        <v>0.6</v>
      </c>
      <c r="D44" s="5">
        <v>12.12</v>
      </c>
      <c r="E44" s="5">
        <v>687.6</v>
      </c>
      <c r="F44" s="5">
        <v>699.7</v>
      </c>
      <c r="G44" s="6">
        <v>44675</v>
      </c>
      <c r="H44" s="5"/>
      <c r="I44" s="5"/>
      <c r="J44" s="5">
        <f>F44-E44</f>
        <v>12.100000000000023</v>
      </c>
      <c r="K44" s="8" t="b">
        <f t="shared" si="0"/>
        <v>1</v>
      </c>
    </row>
    <row r="45" spans="1:11">
      <c r="A45" s="5" t="s">
        <v>197</v>
      </c>
      <c r="B45" s="6">
        <v>44676</v>
      </c>
      <c r="C45" s="7">
        <v>0.6</v>
      </c>
      <c r="D45" s="5">
        <v>12.12</v>
      </c>
      <c r="E45" s="5">
        <v>699.7</v>
      </c>
      <c r="F45" s="5">
        <v>710.8</v>
      </c>
      <c r="G45" s="6">
        <v>44676</v>
      </c>
      <c r="H45" s="5"/>
      <c r="I45" s="5"/>
      <c r="J45" s="5">
        <f t="shared" ref="J45:J51" si="4">F45-E45</f>
        <v>11.099999999999909</v>
      </c>
      <c r="K45" s="8" t="b">
        <f t="shared" si="0"/>
        <v>1</v>
      </c>
    </row>
    <row r="46" spans="1:11">
      <c r="A46" s="5" t="s">
        <v>198</v>
      </c>
      <c r="B46" s="6">
        <v>44677</v>
      </c>
      <c r="C46" s="7">
        <v>0.6</v>
      </c>
      <c r="D46" s="5">
        <v>12.12</v>
      </c>
      <c r="E46" s="5">
        <v>710.8</v>
      </c>
      <c r="F46" s="5">
        <v>723.5</v>
      </c>
      <c r="G46" s="6">
        <v>44677</v>
      </c>
      <c r="H46" s="5"/>
      <c r="I46" s="5"/>
      <c r="J46" s="5">
        <f t="shared" si="4"/>
        <v>12.700000000000045</v>
      </c>
      <c r="K46" s="8" t="b">
        <f t="shared" si="0"/>
        <v>1</v>
      </c>
    </row>
    <row r="47" spans="1:11">
      <c r="A47" s="5" t="s">
        <v>197</v>
      </c>
      <c r="B47" s="6">
        <v>44678</v>
      </c>
      <c r="C47" s="7">
        <v>0.6</v>
      </c>
      <c r="D47" s="5">
        <v>12.12</v>
      </c>
      <c r="E47" s="5">
        <v>723.5</v>
      </c>
      <c r="F47" s="5">
        <v>735.3</v>
      </c>
      <c r="G47" s="6">
        <v>44678</v>
      </c>
      <c r="H47" s="5"/>
      <c r="I47" s="5"/>
      <c r="J47" s="5">
        <f t="shared" si="4"/>
        <v>11.799999999999955</v>
      </c>
      <c r="K47" s="8" t="b">
        <f t="shared" si="0"/>
        <v>1</v>
      </c>
    </row>
    <row r="48" spans="1:11">
      <c r="A48" s="5" t="s">
        <v>198</v>
      </c>
      <c r="B48" s="6">
        <v>44680</v>
      </c>
      <c r="C48" s="7">
        <v>0.6</v>
      </c>
      <c r="D48" s="5">
        <v>12.12</v>
      </c>
      <c r="E48" s="5">
        <v>735.5</v>
      </c>
      <c r="F48" s="5">
        <v>744.5</v>
      </c>
      <c r="G48" s="6">
        <v>44680</v>
      </c>
      <c r="H48" s="5"/>
      <c r="I48" s="5"/>
      <c r="J48" s="5">
        <f t="shared" si="4"/>
        <v>9</v>
      </c>
      <c r="K48" s="8" t="b">
        <f t="shared" si="0"/>
        <v>0</v>
      </c>
    </row>
    <row r="49" spans="1:11">
      <c r="A49" s="5" t="s">
        <v>197</v>
      </c>
      <c r="B49" s="6">
        <v>44681</v>
      </c>
      <c r="C49" s="7">
        <v>0.6</v>
      </c>
      <c r="D49" s="5">
        <v>12.12</v>
      </c>
      <c r="E49" s="5">
        <v>744.5</v>
      </c>
      <c r="F49" s="5">
        <v>753.5</v>
      </c>
      <c r="G49" s="6">
        <v>44681</v>
      </c>
      <c r="H49" s="5"/>
      <c r="I49" s="5"/>
      <c r="J49" s="5">
        <f t="shared" si="4"/>
        <v>9</v>
      </c>
      <c r="K49" s="8" t="b">
        <f t="shared" si="0"/>
        <v>1</v>
      </c>
    </row>
    <row r="50" spans="1:11">
      <c r="A50" s="5" t="s">
        <v>198</v>
      </c>
      <c r="B50" s="6">
        <v>44682</v>
      </c>
      <c r="C50" s="7">
        <v>0.6</v>
      </c>
      <c r="D50" s="5">
        <v>12.12</v>
      </c>
      <c r="E50" s="5">
        <v>753.5</v>
      </c>
      <c r="F50" s="5">
        <v>762.6</v>
      </c>
      <c r="G50" s="6">
        <v>44682</v>
      </c>
      <c r="H50" s="5"/>
      <c r="I50" s="5"/>
      <c r="J50" s="5">
        <f t="shared" si="4"/>
        <v>9.1000000000000227</v>
      </c>
      <c r="K50" s="8" t="b">
        <f t="shared" si="0"/>
        <v>1</v>
      </c>
    </row>
    <row r="51" spans="1:11">
      <c r="A51" s="5" t="s">
        <v>197</v>
      </c>
      <c r="B51" s="6">
        <v>44684</v>
      </c>
      <c r="C51" s="7">
        <v>0.6</v>
      </c>
      <c r="D51" s="5">
        <v>12.12</v>
      </c>
      <c r="E51" s="5">
        <v>762.3</v>
      </c>
      <c r="F51" s="5">
        <v>771.5</v>
      </c>
      <c r="G51" s="6">
        <v>44684</v>
      </c>
      <c r="H51" s="5"/>
      <c r="I51" s="5"/>
      <c r="J51" s="5">
        <f t="shared" si="4"/>
        <v>9.2000000000000455</v>
      </c>
      <c r="K51" s="8" t="b">
        <f t="shared" si="0"/>
        <v>0</v>
      </c>
    </row>
    <row r="52" spans="1:11">
      <c r="A52" s="5" t="s">
        <v>198</v>
      </c>
      <c r="B52" s="6">
        <v>44685</v>
      </c>
      <c r="C52" s="7">
        <v>0.8</v>
      </c>
      <c r="D52" s="5">
        <v>9.09</v>
      </c>
      <c r="E52" s="5">
        <v>771.5</v>
      </c>
      <c r="F52" s="5">
        <v>780.6</v>
      </c>
      <c r="G52" s="6">
        <v>44685</v>
      </c>
      <c r="H52" s="5"/>
      <c r="I52" s="5"/>
      <c r="J52" s="5">
        <f t="shared" ref="J52:J73" si="5">F52-E52</f>
        <v>9.1000000000000227</v>
      </c>
      <c r="K52" s="8" t="b">
        <f t="shared" si="0"/>
        <v>1</v>
      </c>
    </row>
    <row r="53" spans="1:11">
      <c r="A53" s="5" t="s">
        <v>197</v>
      </c>
      <c r="B53" s="6">
        <v>44687</v>
      </c>
      <c r="C53" s="7">
        <v>0.8</v>
      </c>
      <c r="D53" s="5">
        <v>9.09</v>
      </c>
      <c r="E53" s="5">
        <v>780.6</v>
      </c>
      <c r="F53" s="5">
        <v>789.7</v>
      </c>
      <c r="G53" s="6">
        <v>44687</v>
      </c>
      <c r="H53" s="5"/>
      <c r="I53" s="5"/>
      <c r="J53" s="5">
        <f t="shared" si="5"/>
        <v>9.1000000000000227</v>
      </c>
      <c r="K53" s="8" t="b">
        <f t="shared" si="0"/>
        <v>1</v>
      </c>
    </row>
    <row r="54" spans="1:11">
      <c r="A54" s="5" t="s">
        <v>198</v>
      </c>
      <c r="B54" s="6">
        <v>44688</v>
      </c>
      <c r="C54" s="7">
        <v>0.8</v>
      </c>
      <c r="D54" s="5">
        <v>9.09</v>
      </c>
      <c r="E54" s="5">
        <v>789.7</v>
      </c>
      <c r="F54" s="5">
        <v>799</v>
      </c>
      <c r="G54" s="6">
        <v>44688</v>
      </c>
      <c r="H54" s="5"/>
      <c r="I54" s="5"/>
      <c r="J54" s="5">
        <f t="shared" si="5"/>
        <v>9.2999999999999545</v>
      </c>
      <c r="K54" s="8" t="b">
        <f t="shared" si="0"/>
        <v>1</v>
      </c>
    </row>
    <row r="55" spans="1:11">
      <c r="A55" s="5" t="s">
        <v>197</v>
      </c>
      <c r="B55" s="6">
        <v>44690</v>
      </c>
      <c r="C55" s="7">
        <v>0.8</v>
      </c>
      <c r="D55" s="5">
        <v>8.09</v>
      </c>
      <c r="E55" s="5">
        <v>799</v>
      </c>
      <c r="F55" s="5">
        <v>808</v>
      </c>
      <c r="G55" s="6">
        <v>44690</v>
      </c>
      <c r="H55" s="5"/>
      <c r="I55" s="5"/>
      <c r="J55" s="5">
        <f t="shared" si="5"/>
        <v>9</v>
      </c>
      <c r="K55" s="8" t="b">
        <f t="shared" si="0"/>
        <v>1</v>
      </c>
    </row>
    <row r="56" spans="1:11">
      <c r="A56" s="5" t="s">
        <v>198</v>
      </c>
      <c r="B56" s="6">
        <v>44691</v>
      </c>
      <c r="C56" s="7">
        <v>0.8</v>
      </c>
      <c r="D56" s="5">
        <v>9.09</v>
      </c>
      <c r="E56" s="5">
        <v>808</v>
      </c>
      <c r="F56" s="5">
        <v>817</v>
      </c>
      <c r="G56" s="6">
        <v>44691</v>
      </c>
      <c r="H56" s="5"/>
      <c r="I56" s="5"/>
      <c r="J56" s="5">
        <f t="shared" si="5"/>
        <v>9</v>
      </c>
      <c r="K56" s="8" t="b">
        <f t="shared" si="0"/>
        <v>1</v>
      </c>
    </row>
    <row r="57" spans="1:11">
      <c r="A57" s="5" t="s">
        <v>197</v>
      </c>
      <c r="B57" s="6">
        <v>44693</v>
      </c>
      <c r="C57" s="7">
        <v>0.8</v>
      </c>
      <c r="D57" s="5">
        <v>9.09</v>
      </c>
      <c r="E57" s="5">
        <v>817</v>
      </c>
      <c r="F57" s="5">
        <v>826</v>
      </c>
      <c r="G57" s="6">
        <v>44693</v>
      </c>
      <c r="H57" s="5"/>
      <c r="I57" s="5"/>
      <c r="J57" s="5">
        <f t="shared" si="5"/>
        <v>9</v>
      </c>
      <c r="K57" s="8" t="b">
        <f t="shared" si="0"/>
        <v>1</v>
      </c>
    </row>
    <row r="58" spans="1:11">
      <c r="A58" s="5" t="s">
        <v>198</v>
      </c>
      <c r="B58" s="6">
        <v>44695</v>
      </c>
      <c r="C58" s="7">
        <v>0.8</v>
      </c>
      <c r="D58" s="5">
        <v>9.09</v>
      </c>
      <c r="E58" s="5">
        <v>826</v>
      </c>
      <c r="F58" s="5">
        <v>835.5</v>
      </c>
      <c r="G58" s="6">
        <v>44695</v>
      </c>
      <c r="H58" s="5"/>
      <c r="I58" s="5"/>
      <c r="J58" s="5">
        <f t="shared" si="5"/>
        <v>9.5</v>
      </c>
      <c r="K58" s="8" t="b">
        <f t="shared" si="0"/>
        <v>1</v>
      </c>
    </row>
    <row r="59" spans="1:11">
      <c r="A59" s="5" t="s">
        <v>197</v>
      </c>
      <c r="B59" s="6">
        <v>44696</v>
      </c>
      <c r="C59" s="7">
        <v>0.8</v>
      </c>
      <c r="D59" s="5">
        <v>9.09</v>
      </c>
      <c r="E59" s="5">
        <v>835.5</v>
      </c>
      <c r="F59" s="5">
        <v>844.5</v>
      </c>
      <c r="G59" s="6">
        <v>44696</v>
      </c>
      <c r="H59" s="5"/>
      <c r="I59" s="5"/>
      <c r="J59" s="5">
        <f t="shared" si="5"/>
        <v>9</v>
      </c>
      <c r="K59" s="8" t="b">
        <f t="shared" si="0"/>
        <v>1</v>
      </c>
    </row>
    <row r="60" spans="1:11">
      <c r="A60" s="5" t="s">
        <v>198</v>
      </c>
      <c r="B60" s="6">
        <v>44698</v>
      </c>
      <c r="C60" s="7">
        <v>1</v>
      </c>
      <c r="D60" s="5">
        <v>7.27</v>
      </c>
      <c r="E60" s="5">
        <v>844.5</v>
      </c>
      <c r="F60" s="5">
        <v>848.7</v>
      </c>
      <c r="G60" s="6">
        <v>44698</v>
      </c>
      <c r="H60" s="5"/>
      <c r="I60" s="5"/>
      <c r="J60" s="5">
        <f t="shared" si="5"/>
        <v>4.2000000000000455</v>
      </c>
      <c r="K60" s="8" t="b">
        <f t="shared" si="0"/>
        <v>1</v>
      </c>
    </row>
    <row r="61" spans="1:11">
      <c r="A61" s="5" t="s">
        <v>197</v>
      </c>
      <c r="B61" s="6">
        <v>44699</v>
      </c>
      <c r="C61" s="7">
        <v>1</v>
      </c>
      <c r="D61" s="5">
        <v>7.27</v>
      </c>
      <c r="E61" s="5">
        <v>848.7</v>
      </c>
      <c r="F61" s="5">
        <v>854.2</v>
      </c>
      <c r="G61" s="6">
        <v>44699</v>
      </c>
      <c r="H61" s="5"/>
      <c r="I61" s="5"/>
      <c r="J61" s="5">
        <f t="shared" si="5"/>
        <v>5.5</v>
      </c>
      <c r="K61" s="8" t="b">
        <f t="shared" si="0"/>
        <v>1</v>
      </c>
    </row>
    <row r="62" spans="1:11">
      <c r="A62" s="5" t="s">
        <v>198</v>
      </c>
      <c r="B62" s="6">
        <v>44701</v>
      </c>
      <c r="C62" s="7">
        <v>1</v>
      </c>
      <c r="D62" s="5">
        <v>7.27</v>
      </c>
      <c r="E62" s="5">
        <v>854.2</v>
      </c>
      <c r="F62" s="5">
        <v>861.4</v>
      </c>
      <c r="G62" s="6">
        <v>44701</v>
      </c>
      <c r="H62" s="5"/>
      <c r="I62" s="5"/>
      <c r="J62" s="5">
        <f t="shared" si="5"/>
        <v>7.1999999999999318</v>
      </c>
      <c r="K62" s="8" t="b">
        <f t="shared" si="0"/>
        <v>1</v>
      </c>
    </row>
    <row r="63" spans="1:11">
      <c r="A63" s="5" t="s">
        <v>196</v>
      </c>
      <c r="B63" s="6">
        <v>44702</v>
      </c>
      <c r="C63" s="7">
        <v>1</v>
      </c>
      <c r="D63" s="5">
        <v>7.27</v>
      </c>
      <c r="E63" s="5">
        <v>861.4</v>
      </c>
      <c r="F63" s="5">
        <v>865</v>
      </c>
      <c r="G63" s="6">
        <v>44702</v>
      </c>
      <c r="H63" s="5"/>
      <c r="I63" s="5"/>
      <c r="J63" s="5">
        <f t="shared" si="5"/>
        <v>3.6000000000000227</v>
      </c>
      <c r="K63" s="8" t="b">
        <f t="shared" si="0"/>
        <v>1</v>
      </c>
    </row>
    <row r="64" spans="1:11">
      <c r="A64" s="5" t="s">
        <v>198</v>
      </c>
      <c r="B64" s="6">
        <v>44704</v>
      </c>
      <c r="C64" s="7">
        <v>1</v>
      </c>
      <c r="D64" s="5">
        <v>7.27</v>
      </c>
      <c r="E64" s="5">
        <v>865</v>
      </c>
      <c r="F64" s="5">
        <v>872.3</v>
      </c>
      <c r="G64" s="6">
        <v>44704</v>
      </c>
      <c r="H64" s="5"/>
      <c r="I64" s="5"/>
      <c r="J64" s="5">
        <f t="shared" si="5"/>
        <v>7.2999999999999545</v>
      </c>
      <c r="K64" s="8" t="b">
        <f t="shared" si="0"/>
        <v>1</v>
      </c>
    </row>
    <row r="65" spans="1:11">
      <c r="A65" s="5" t="s">
        <v>197</v>
      </c>
      <c r="B65" s="6">
        <v>44705</v>
      </c>
      <c r="C65" s="7">
        <v>1</v>
      </c>
      <c r="D65" s="5">
        <v>7.27</v>
      </c>
      <c r="E65" s="5">
        <v>872.3</v>
      </c>
      <c r="F65" s="5">
        <v>879.5</v>
      </c>
      <c r="G65" s="6">
        <v>44705</v>
      </c>
      <c r="H65" s="5"/>
      <c r="I65" s="5"/>
      <c r="J65" s="5">
        <f t="shared" si="5"/>
        <v>7.2000000000000455</v>
      </c>
      <c r="K65" s="8" t="b">
        <f t="shared" si="0"/>
        <v>1</v>
      </c>
    </row>
    <row r="66" spans="1:11">
      <c r="A66" s="5" t="s">
        <v>198</v>
      </c>
      <c r="B66" s="6">
        <v>44706</v>
      </c>
      <c r="C66" s="7">
        <v>1</v>
      </c>
      <c r="D66" s="5">
        <v>7.27</v>
      </c>
      <c r="E66" s="5">
        <v>879.5</v>
      </c>
      <c r="F66" s="5">
        <v>886.6</v>
      </c>
      <c r="G66" s="6">
        <v>44706</v>
      </c>
      <c r="H66" s="5"/>
      <c r="I66" s="5"/>
      <c r="J66" s="5">
        <f t="shared" si="5"/>
        <v>7.1000000000000227</v>
      </c>
      <c r="K66" s="8" t="b">
        <f t="shared" si="0"/>
        <v>1</v>
      </c>
    </row>
    <row r="67" spans="1:11">
      <c r="A67" s="5" t="s">
        <v>197</v>
      </c>
      <c r="B67" s="6">
        <v>44707</v>
      </c>
      <c r="C67" s="7">
        <v>1</v>
      </c>
      <c r="D67" s="5">
        <v>7.27</v>
      </c>
      <c r="E67" s="5">
        <v>886.6</v>
      </c>
      <c r="F67" s="5">
        <v>894</v>
      </c>
      <c r="G67" s="6">
        <v>44707</v>
      </c>
      <c r="H67" s="5"/>
      <c r="I67" s="5"/>
      <c r="J67" s="5">
        <f t="shared" si="5"/>
        <v>7.3999999999999773</v>
      </c>
      <c r="K67" s="8" t="b">
        <f>E67=F66</f>
        <v>1</v>
      </c>
    </row>
    <row r="68" spans="1:11">
      <c r="A68" s="5" t="s">
        <v>198</v>
      </c>
      <c r="B68" s="6">
        <v>44709</v>
      </c>
      <c r="C68" s="7">
        <v>1</v>
      </c>
      <c r="D68" s="5">
        <v>7.27</v>
      </c>
      <c r="E68" s="5">
        <v>894</v>
      </c>
      <c r="F68" s="5">
        <v>901.2</v>
      </c>
      <c r="G68" s="6">
        <v>44709</v>
      </c>
      <c r="H68" s="5"/>
      <c r="I68" s="5"/>
      <c r="J68" s="5">
        <f t="shared" si="5"/>
        <v>7.2000000000000455</v>
      </c>
      <c r="K68" s="8" t="b">
        <f t="shared" si="0"/>
        <v>1</v>
      </c>
    </row>
    <row r="69" spans="1:11">
      <c r="A69" s="5" t="s">
        <v>197</v>
      </c>
      <c r="B69" s="6">
        <v>44710</v>
      </c>
      <c r="C69" s="7">
        <v>1</v>
      </c>
      <c r="D69" s="5">
        <v>7.27</v>
      </c>
      <c r="E69" s="5">
        <v>901.2</v>
      </c>
      <c r="F69" s="5">
        <v>908.4</v>
      </c>
      <c r="G69" s="6">
        <v>44710</v>
      </c>
      <c r="H69" s="5"/>
      <c r="I69" s="5"/>
      <c r="J69" s="5">
        <f t="shared" si="5"/>
        <v>7.1999999999999318</v>
      </c>
      <c r="K69" s="8" t="b">
        <f t="shared" si="0"/>
        <v>1</v>
      </c>
    </row>
    <row r="70" spans="1:11">
      <c r="A70" s="5" t="s">
        <v>195</v>
      </c>
      <c r="B70" s="6">
        <v>44712</v>
      </c>
      <c r="C70" s="7">
        <v>1</v>
      </c>
      <c r="D70" s="5">
        <v>7.27</v>
      </c>
      <c r="E70" s="5">
        <v>908.4</v>
      </c>
      <c r="F70" s="5">
        <v>915.7</v>
      </c>
      <c r="G70" s="6">
        <v>44712</v>
      </c>
      <c r="H70" s="5"/>
      <c r="I70" s="5"/>
      <c r="J70" s="5">
        <f t="shared" si="5"/>
        <v>7.3000000000000682</v>
      </c>
      <c r="K70" s="8" t="b">
        <f t="shared" si="0"/>
        <v>1</v>
      </c>
    </row>
    <row r="71" spans="1:11">
      <c r="A71" s="5" t="s">
        <v>198</v>
      </c>
      <c r="B71" s="6">
        <v>44713</v>
      </c>
      <c r="C71" s="7">
        <v>1</v>
      </c>
      <c r="D71" s="5">
        <v>7.27</v>
      </c>
      <c r="E71" s="5">
        <v>915.7</v>
      </c>
      <c r="F71" s="5">
        <v>923</v>
      </c>
      <c r="G71" s="6">
        <v>44713</v>
      </c>
      <c r="H71" s="5"/>
      <c r="I71" s="5"/>
      <c r="J71" s="5">
        <f t="shared" si="5"/>
        <v>7.2999999999999545</v>
      </c>
      <c r="K71" s="8" t="b">
        <f t="shared" si="0"/>
        <v>1</v>
      </c>
    </row>
    <row r="72" spans="1:11">
      <c r="A72" s="5" t="s">
        <v>197</v>
      </c>
      <c r="B72" s="6">
        <v>44714</v>
      </c>
      <c r="C72" s="7">
        <v>1</v>
      </c>
      <c r="D72" s="5">
        <v>7.27</v>
      </c>
      <c r="E72" s="5">
        <v>923</v>
      </c>
      <c r="F72" s="5">
        <v>930.2</v>
      </c>
      <c r="G72" s="6">
        <v>44714</v>
      </c>
      <c r="H72" s="5"/>
      <c r="I72" s="5"/>
      <c r="J72" s="5">
        <f t="shared" si="5"/>
        <v>7.2000000000000455</v>
      </c>
      <c r="K72" s="8" t="b">
        <f t="shared" si="0"/>
        <v>1</v>
      </c>
    </row>
    <row r="73" spans="1:11">
      <c r="A73" s="5" t="s">
        <v>198</v>
      </c>
      <c r="B73" s="6">
        <v>44715</v>
      </c>
      <c r="C73" s="7">
        <v>1</v>
      </c>
      <c r="D73" s="5">
        <v>7.27</v>
      </c>
      <c r="E73" s="5">
        <v>930.2</v>
      </c>
      <c r="F73" s="5">
        <v>938.3</v>
      </c>
      <c r="G73" s="6">
        <v>44715</v>
      </c>
      <c r="H73" s="5"/>
      <c r="I73" s="5"/>
      <c r="J73" s="5">
        <f t="shared" si="5"/>
        <v>8.0999999999999091</v>
      </c>
      <c r="K73" s="8" t="b">
        <f t="shared" si="0"/>
        <v>1</v>
      </c>
    </row>
    <row r="74" spans="1:11">
      <c r="A74" s="5" t="s">
        <v>197</v>
      </c>
      <c r="B74" s="6">
        <v>44716</v>
      </c>
      <c r="C74" s="7">
        <v>1</v>
      </c>
      <c r="D74" s="5">
        <v>7.27</v>
      </c>
      <c r="E74" s="5">
        <v>938.3</v>
      </c>
      <c r="F74" s="5">
        <v>945</v>
      </c>
      <c r="G74" s="6">
        <v>44716</v>
      </c>
      <c r="H74" s="5"/>
      <c r="I74" s="5"/>
      <c r="J74" s="5">
        <f t="shared" ref="J74:J78" si="6">F74-E74</f>
        <v>6.7000000000000455</v>
      </c>
      <c r="K74" s="8" t="b">
        <f t="shared" ref="K74:K78" si="7">E74=F73</f>
        <v>1</v>
      </c>
    </row>
    <row r="75" spans="1:11">
      <c r="A75" s="5" t="s">
        <v>198</v>
      </c>
      <c r="B75" s="6">
        <v>44717</v>
      </c>
      <c r="C75" s="7">
        <v>1</v>
      </c>
      <c r="D75" s="5">
        <v>7.27</v>
      </c>
      <c r="E75" s="5">
        <v>945</v>
      </c>
      <c r="F75" s="5">
        <v>952.2</v>
      </c>
      <c r="G75" s="6">
        <v>44717</v>
      </c>
      <c r="H75" s="5"/>
      <c r="I75" s="5"/>
      <c r="J75" s="5">
        <f t="shared" si="6"/>
        <v>7.2000000000000455</v>
      </c>
      <c r="K75" s="8" t="b">
        <f t="shared" si="7"/>
        <v>1</v>
      </c>
    </row>
    <row r="76" spans="1:11">
      <c r="A76" s="5" t="s">
        <v>197</v>
      </c>
      <c r="B76" s="6">
        <v>44718</v>
      </c>
      <c r="C76" s="7">
        <v>1</v>
      </c>
      <c r="D76" s="5">
        <v>7.27</v>
      </c>
      <c r="E76" s="5">
        <v>952.2</v>
      </c>
      <c r="F76" s="5">
        <v>959.4</v>
      </c>
      <c r="G76" s="6">
        <v>44718</v>
      </c>
      <c r="H76" s="5"/>
      <c r="I76" s="5"/>
      <c r="J76" s="5">
        <f t="shared" si="6"/>
        <v>7.1999999999999318</v>
      </c>
      <c r="K76" s="8" t="b">
        <f t="shared" si="7"/>
        <v>1</v>
      </c>
    </row>
    <row r="77" spans="1:11">
      <c r="A77" s="5" t="s">
        <v>199</v>
      </c>
      <c r="B77" s="6">
        <v>44719</v>
      </c>
      <c r="C77" s="7">
        <v>1</v>
      </c>
      <c r="D77" s="5">
        <v>7.27</v>
      </c>
      <c r="E77" s="5">
        <v>959.4</v>
      </c>
      <c r="F77" s="5">
        <v>963</v>
      </c>
      <c r="G77" s="6">
        <v>44719</v>
      </c>
      <c r="H77" s="5"/>
      <c r="I77" s="5"/>
      <c r="J77" s="5">
        <f t="shared" si="6"/>
        <v>3.6000000000000227</v>
      </c>
      <c r="K77" s="8" t="b">
        <f t="shared" si="7"/>
        <v>1</v>
      </c>
    </row>
    <row r="78" spans="1:11">
      <c r="A78" s="5" t="s">
        <v>197</v>
      </c>
      <c r="B78" s="6">
        <v>44720</v>
      </c>
      <c r="C78" s="7">
        <v>1</v>
      </c>
      <c r="D78" s="5">
        <v>7.27</v>
      </c>
      <c r="E78" s="5">
        <v>963</v>
      </c>
      <c r="F78" s="5">
        <v>970.2</v>
      </c>
      <c r="G78" s="6">
        <v>44720</v>
      </c>
      <c r="H78" s="5"/>
      <c r="I78" s="5"/>
      <c r="J78" s="5">
        <f t="shared" si="6"/>
        <v>7.2000000000000455</v>
      </c>
      <c r="K78" s="8" t="b">
        <f t="shared" si="7"/>
        <v>1</v>
      </c>
    </row>
    <row r="79" spans="1:11">
      <c r="A79" s="5" t="s">
        <v>199</v>
      </c>
      <c r="B79" s="6">
        <v>44721</v>
      </c>
      <c r="C79" s="7">
        <v>1</v>
      </c>
      <c r="D79" s="5">
        <v>7.27</v>
      </c>
      <c r="E79" s="5">
        <v>970.2</v>
      </c>
      <c r="F79" s="5">
        <v>974</v>
      </c>
      <c r="G79" s="6">
        <v>44721</v>
      </c>
      <c r="H79" s="5"/>
      <c r="I79" s="5"/>
      <c r="J79" s="5">
        <f t="shared" ref="J79:J81" si="8">F79-E79</f>
        <v>3.7999999999999545</v>
      </c>
      <c r="K79" s="8" t="b">
        <f t="shared" ref="K79:K81" si="9">E79=F78</f>
        <v>1</v>
      </c>
    </row>
    <row r="80" spans="1:11">
      <c r="A80" s="5" t="s">
        <v>196</v>
      </c>
      <c r="B80" s="6">
        <v>44722</v>
      </c>
      <c r="C80" s="7">
        <v>1</v>
      </c>
      <c r="D80" s="5">
        <v>7.27</v>
      </c>
      <c r="E80" s="5">
        <v>974</v>
      </c>
      <c r="F80" s="5">
        <v>978.5</v>
      </c>
      <c r="G80" s="6">
        <v>44722</v>
      </c>
      <c r="H80" s="5"/>
      <c r="I80" s="5"/>
      <c r="J80" s="5">
        <f t="shared" si="8"/>
        <v>4.5</v>
      </c>
      <c r="K80" s="8" t="b">
        <f t="shared" si="9"/>
        <v>1</v>
      </c>
    </row>
    <row r="81" spans="1:11">
      <c r="A81" s="5" t="s">
        <v>200</v>
      </c>
      <c r="B81" s="6">
        <v>44723</v>
      </c>
      <c r="C81" s="7">
        <v>1</v>
      </c>
      <c r="D81" s="5">
        <v>7.27</v>
      </c>
      <c r="E81" s="5">
        <v>978.5</v>
      </c>
      <c r="F81" s="5">
        <v>986.4</v>
      </c>
      <c r="G81" s="6">
        <v>44723</v>
      </c>
      <c r="H81" s="5"/>
      <c r="I81" s="5"/>
      <c r="J81" s="5">
        <f t="shared" si="8"/>
        <v>7.8999999999999773</v>
      </c>
      <c r="K81" s="8" t="b">
        <f t="shared" si="9"/>
        <v>1</v>
      </c>
    </row>
    <row r="82" spans="1:11">
      <c r="A82" s="5" t="s">
        <v>195</v>
      </c>
      <c r="B82" s="6"/>
      <c r="C82" s="7"/>
      <c r="D82" s="5"/>
      <c r="E82" s="5"/>
      <c r="F82" s="5"/>
      <c r="G82" s="6"/>
      <c r="H82" s="5"/>
      <c r="I82" s="5"/>
      <c r="J82" s="5">
        <f t="shared" ref="J82:J83" si="10">F82-E82</f>
        <v>0</v>
      </c>
      <c r="K82" s="8" t="b">
        <f t="shared" ref="K82:K83" si="11">E82=F81</f>
        <v>0</v>
      </c>
    </row>
    <row r="83" spans="1:11">
      <c r="A83" s="5" t="s">
        <v>195</v>
      </c>
      <c r="B83" s="6"/>
      <c r="C83" s="7"/>
      <c r="D83" s="5"/>
      <c r="E83" s="5"/>
      <c r="F83" s="5"/>
      <c r="G83" s="6"/>
      <c r="H83" s="5"/>
      <c r="I83" s="5"/>
      <c r="J83" s="5">
        <f t="shared" si="10"/>
        <v>0</v>
      </c>
      <c r="K83" s="8" t="b">
        <f t="shared" si="11"/>
        <v>1</v>
      </c>
    </row>
    <row r="85" spans="1:11" ht="26.25">
      <c r="A85" s="199" t="s">
        <v>190</v>
      </c>
      <c r="B85" s="200"/>
      <c r="C85" s="200"/>
      <c r="D85" s="200"/>
      <c r="E85" s="200"/>
      <c r="F85" s="200"/>
      <c r="G85" s="200"/>
      <c r="H85" s="200"/>
      <c r="I85" s="200"/>
      <c r="J85" s="200"/>
      <c r="K85" s="201"/>
    </row>
    <row r="86" spans="1:11" ht="26.25">
      <c r="A86" s="202" t="s">
        <v>175</v>
      </c>
      <c r="B86" s="203"/>
      <c r="C86" s="203"/>
      <c r="D86" s="203"/>
      <c r="E86" s="203"/>
      <c r="F86" s="203"/>
      <c r="G86" s="203"/>
      <c r="H86" s="203"/>
      <c r="I86" s="203"/>
      <c r="J86" s="203"/>
      <c r="K86" s="204"/>
    </row>
    <row r="87" spans="1:11" ht="15.75" thickBot="1"/>
    <row r="88" spans="1:11" ht="15.75" thickBot="1">
      <c r="A88" s="132" t="s">
        <v>2</v>
      </c>
      <c r="B88" s="133"/>
      <c r="C88" s="133"/>
      <c r="D88" s="133"/>
      <c r="E88" s="133"/>
      <c r="F88" s="133"/>
      <c r="G88" s="133"/>
      <c r="H88" s="133"/>
      <c r="I88" s="133"/>
      <c r="J88" s="133"/>
      <c r="K88" s="134"/>
    </row>
    <row r="90" spans="1:11" ht="19.5" thickBot="1">
      <c r="A90" s="1" t="s">
        <v>3</v>
      </c>
      <c r="B90" s="1"/>
      <c r="C90" s="1"/>
      <c r="D90" s="1"/>
      <c r="E90" s="1"/>
      <c r="F90" s="1"/>
      <c r="G90" s="1"/>
      <c r="H90" s="1"/>
      <c r="I90" s="1"/>
    </row>
    <row r="91" spans="1:11" ht="30.75" thickBot="1">
      <c r="A91" s="2" t="s">
        <v>4</v>
      </c>
      <c r="B91" s="3" t="s">
        <v>5</v>
      </c>
      <c r="C91" s="3" t="s">
        <v>6</v>
      </c>
      <c r="D91" s="3" t="s">
        <v>7</v>
      </c>
      <c r="E91" s="3" t="s">
        <v>8</v>
      </c>
      <c r="F91" s="3" t="s">
        <v>9</v>
      </c>
      <c r="G91" s="3" t="s">
        <v>10</v>
      </c>
      <c r="H91" s="3" t="s">
        <v>21</v>
      </c>
      <c r="I91" s="4" t="s">
        <v>22</v>
      </c>
      <c r="J91" s="4" t="s">
        <v>11</v>
      </c>
      <c r="K91" s="4" t="s">
        <v>12</v>
      </c>
    </row>
    <row r="92" spans="1:11">
      <c r="A92" s="5" t="s">
        <v>195</v>
      </c>
      <c r="B92" s="6">
        <v>45103</v>
      </c>
      <c r="C92" s="7">
        <v>0.5</v>
      </c>
      <c r="D92" s="5">
        <v>14.54</v>
      </c>
      <c r="E92" s="5">
        <v>990.1</v>
      </c>
      <c r="F92" s="5">
        <v>1019.1</v>
      </c>
      <c r="G92" s="6">
        <v>44738</v>
      </c>
      <c r="H92" s="5"/>
      <c r="I92" s="5"/>
      <c r="J92" s="5">
        <f>F92-E92</f>
        <v>29</v>
      </c>
      <c r="K92" s="8" t="b">
        <f>E92=F81</f>
        <v>0</v>
      </c>
    </row>
    <row r="93" spans="1:11">
      <c r="A93" s="5" t="s">
        <v>195</v>
      </c>
      <c r="B93" s="6">
        <v>44746</v>
      </c>
      <c r="C93" s="7">
        <v>1</v>
      </c>
      <c r="D93" s="5">
        <v>7.27</v>
      </c>
      <c r="E93" s="5">
        <v>1019.1</v>
      </c>
      <c r="F93" s="5">
        <v>1033.4000000000001</v>
      </c>
      <c r="G93" s="6">
        <v>44746</v>
      </c>
      <c r="H93" s="5"/>
      <c r="I93" s="5"/>
      <c r="J93" s="5">
        <f t="shared" ref="J93:J102" si="12">F93-E93</f>
        <v>14.300000000000068</v>
      </c>
      <c r="K93" s="8" t="b">
        <f>E93=F92</f>
        <v>1</v>
      </c>
    </row>
    <row r="94" spans="1:11">
      <c r="A94" s="5" t="s">
        <v>195</v>
      </c>
      <c r="B94" s="6">
        <v>44754</v>
      </c>
      <c r="C94" s="7">
        <v>0.8</v>
      </c>
      <c r="D94" s="5">
        <v>9.09</v>
      </c>
      <c r="E94" s="5">
        <v>1033.4000000000001</v>
      </c>
      <c r="F94" s="5">
        <v>1051.5</v>
      </c>
      <c r="G94" s="6">
        <v>44754</v>
      </c>
      <c r="H94" s="5"/>
      <c r="I94" s="5"/>
      <c r="J94" s="5">
        <f t="shared" si="12"/>
        <v>18.099999999999909</v>
      </c>
      <c r="K94" s="8" t="b">
        <f t="shared" ref="K94:K115" si="13">E94=F93</f>
        <v>1</v>
      </c>
    </row>
    <row r="95" spans="1:11">
      <c r="A95" s="5" t="s">
        <v>195</v>
      </c>
      <c r="B95" s="6">
        <v>44755</v>
      </c>
      <c r="C95" s="7">
        <v>1</v>
      </c>
      <c r="D95" s="5">
        <v>7.27</v>
      </c>
      <c r="E95" s="5">
        <v>1051.5</v>
      </c>
      <c r="F95" s="5">
        <v>1065.7</v>
      </c>
      <c r="G95" s="6">
        <v>44755</v>
      </c>
      <c r="H95" s="5"/>
      <c r="I95" s="5"/>
      <c r="J95" s="5">
        <f t="shared" si="12"/>
        <v>14.200000000000045</v>
      </c>
      <c r="K95" s="8" t="b">
        <f t="shared" si="13"/>
        <v>1</v>
      </c>
    </row>
    <row r="96" spans="1:11">
      <c r="A96" s="5" t="s">
        <v>195</v>
      </c>
      <c r="B96" s="6">
        <v>44756</v>
      </c>
      <c r="C96" s="7">
        <v>1</v>
      </c>
      <c r="D96" s="5">
        <v>7.27</v>
      </c>
      <c r="E96" s="5">
        <v>1065.7</v>
      </c>
      <c r="F96" s="5">
        <v>1080.5</v>
      </c>
      <c r="G96" s="6">
        <v>44756</v>
      </c>
      <c r="H96" s="5"/>
      <c r="I96" s="5"/>
      <c r="J96" s="5">
        <f t="shared" si="12"/>
        <v>14.799999999999955</v>
      </c>
      <c r="K96" s="8" t="b">
        <f t="shared" si="13"/>
        <v>1</v>
      </c>
    </row>
    <row r="97" spans="1:11">
      <c r="A97" s="5" t="s">
        <v>195</v>
      </c>
      <c r="B97" s="6">
        <v>44757</v>
      </c>
      <c r="C97" s="7">
        <v>1</v>
      </c>
      <c r="D97" s="5">
        <v>7.27</v>
      </c>
      <c r="E97" s="5">
        <v>1080.5</v>
      </c>
      <c r="F97" s="5">
        <v>1094.4000000000001</v>
      </c>
      <c r="G97" s="6">
        <v>44757</v>
      </c>
      <c r="H97" s="5"/>
      <c r="I97" s="5"/>
      <c r="J97" s="5">
        <f t="shared" si="12"/>
        <v>13.900000000000091</v>
      </c>
      <c r="K97" s="8" t="b">
        <f t="shared" si="13"/>
        <v>1</v>
      </c>
    </row>
    <row r="98" spans="1:11">
      <c r="A98" s="5" t="s">
        <v>195</v>
      </c>
      <c r="B98" s="6">
        <v>44758</v>
      </c>
      <c r="C98" s="7">
        <v>1</v>
      </c>
      <c r="D98" s="5">
        <v>7.27</v>
      </c>
      <c r="E98" s="5">
        <v>1094.4000000000001</v>
      </c>
      <c r="F98" s="5">
        <v>1109.2</v>
      </c>
      <c r="G98" s="6">
        <v>44758</v>
      </c>
      <c r="H98" s="5"/>
      <c r="I98" s="5"/>
      <c r="J98" s="5">
        <f t="shared" si="12"/>
        <v>14.799999999999955</v>
      </c>
      <c r="K98" s="8" t="b">
        <f t="shared" si="13"/>
        <v>1</v>
      </c>
    </row>
    <row r="99" spans="1:11">
      <c r="A99" s="5" t="s">
        <v>195</v>
      </c>
      <c r="B99" s="6">
        <v>44759</v>
      </c>
      <c r="C99" s="7">
        <v>1</v>
      </c>
      <c r="D99" s="5">
        <v>7.27</v>
      </c>
      <c r="E99" s="5">
        <v>1109.2</v>
      </c>
      <c r="F99" s="5">
        <v>1123.0999999999999</v>
      </c>
      <c r="G99" s="6">
        <v>44759</v>
      </c>
      <c r="H99" s="5"/>
      <c r="I99" s="5"/>
      <c r="J99" s="5">
        <f t="shared" si="12"/>
        <v>13.899999999999864</v>
      </c>
      <c r="K99" s="8" t="b">
        <f t="shared" si="13"/>
        <v>1</v>
      </c>
    </row>
    <row r="100" spans="1:11">
      <c r="A100" s="5" t="s">
        <v>195</v>
      </c>
      <c r="B100" s="6">
        <v>44760</v>
      </c>
      <c r="C100" s="7">
        <v>1</v>
      </c>
      <c r="D100" s="5">
        <v>7.27</v>
      </c>
      <c r="E100" s="5">
        <v>1123.0999999999999</v>
      </c>
      <c r="F100" s="5">
        <v>1137.4000000000001</v>
      </c>
      <c r="G100" s="6">
        <v>44760</v>
      </c>
      <c r="H100" s="5"/>
      <c r="I100" s="5"/>
      <c r="J100" s="5">
        <f t="shared" si="12"/>
        <v>14.300000000000182</v>
      </c>
      <c r="K100" s="8" t="b">
        <f t="shared" si="13"/>
        <v>1</v>
      </c>
    </row>
    <row r="101" spans="1:11">
      <c r="A101" s="5" t="s">
        <v>195</v>
      </c>
      <c r="B101" s="6">
        <v>44761</v>
      </c>
      <c r="C101" s="7">
        <v>1</v>
      </c>
      <c r="D101" s="5">
        <v>7.27</v>
      </c>
      <c r="E101" s="5">
        <v>1137.4000000000001</v>
      </c>
      <c r="F101" s="5">
        <v>1151.8</v>
      </c>
      <c r="G101" s="6">
        <v>44761</v>
      </c>
      <c r="H101" s="5"/>
      <c r="I101" s="5"/>
      <c r="J101" s="5">
        <f t="shared" si="12"/>
        <v>14.399999999999864</v>
      </c>
      <c r="K101" s="8" t="b">
        <f t="shared" si="13"/>
        <v>1</v>
      </c>
    </row>
    <row r="102" spans="1:11">
      <c r="A102" s="5" t="s">
        <v>195</v>
      </c>
      <c r="B102" s="6">
        <v>44764</v>
      </c>
      <c r="C102" s="7">
        <v>1</v>
      </c>
      <c r="D102" s="5">
        <v>7.27</v>
      </c>
      <c r="E102" s="5">
        <v>1151.8</v>
      </c>
      <c r="F102" s="5">
        <v>1166</v>
      </c>
      <c r="G102" s="6">
        <v>44764</v>
      </c>
      <c r="H102" s="5"/>
      <c r="I102" s="5"/>
      <c r="J102" s="5">
        <f t="shared" si="12"/>
        <v>14.200000000000045</v>
      </c>
      <c r="K102" s="8" t="b">
        <f t="shared" si="13"/>
        <v>1</v>
      </c>
    </row>
    <row r="103" spans="1:11">
      <c r="A103" s="5" t="s">
        <v>195</v>
      </c>
      <c r="B103" s="6">
        <v>44767</v>
      </c>
      <c r="C103" s="7">
        <v>1</v>
      </c>
      <c r="D103" s="5">
        <v>7.27</v>
      </c>
      <c r="E103" s="5">
        <v>1166</v>
      </c>
      <c r="F103" s="5">
        <v>1180.2</v>
      </c>
      <c r="G103" s="6">
        <v>44767</v>
      </c>
      <c r="H103" s="5"/>
      <c r="I103" s="5"/>
      <c r="J103" s="5">
        <f>F103-E103</f>
        <v>14.200000000000045</v>
      </c>
      <c r="K103" s="8" t="b">
        <f t="shared" si="13"/>
        <v>1</v>
      </c>
    </row>
    <row r="104" spans="1:11">
      <c r="A104" s="5" t="s">
        <v>195</v>
      </c>
      <c r="B104" s="6">
        <v>44771</v>
      </c>
      <c r="C104" s="7">
        <v>0.7</v>
      </c>
      <c r="D104" s="5">
        <v>10.37</v>
      </c>
      <c r="E104" s="5">
        <v>1180.2</v>
      </c>
      <c r="F104" s="5">
        <v>1198.5</v>
      </c>
      <c r="G104" s="6">
        <v>44771</v>
      </c>
      <c r="H104" s="5"/>
      <c r="I104" s="5"/>
      <c r="J104" s="5">
        <f>F104-E104</f>
        <v>18.299999999999955</v>
      </c>
      <c r="K104" s="8" t="b">
        <f t="shared" si="13"/>
        <v>1</v>
      </c>
    </row>
    <row r="105" spans="1:11">
      <c r="A105" s="5" t="s">
        <v>195</v>
      </c>
      <c r="B105" s="6">
        <v>44775</v>
      </c>
      <c r="C105" s="7">
        <v>0.7</v>
      </c>
      <c r="D105" s="5">
        <v>10.37</v>
      </c>
      <c r="E105" s="5">
        <v>1198.5</v>
      </c>
      <c r="F105" s="5">
        <v>1218.0999999999999</v>
      </c>
      <c r="G105" s="6">
        <v>44775</v>
      </c>
      <c r="H105" s="5"/>
      <c r="I105" s="5"/>
      <c r="J105" s="5">
        <f>F105-E105</f>
        <v>19.599999999999909</v>
      </c>
      <c r="K105" s="8" t="b">
        <f t="shared" si="13"/>
        <v>1</v>
      </c>
    </row>
    <row r="106" spans="1:11">
      <c r="A106" s="5" t="s">
        <v>195</v>
      </c>
      <c r="B106" s="6">
        <v>44779</v>
      </c>
      <c r="C106" s="7">
        <v>0.7</v>
      </c>
      <c r="D106" s="5">
        <v>10.37</v>
      </c>
      <c r="E106" s="5">
        <v>1218.0999999999999</v>
      </c>
      <c r="F106" s="5">
        <v>1237.9000000000001</v>
      </c>
      <c r="G106" s="6">
        <v>44779</v>
      </c>
      <c r="H106" s="5"/>
      <c r="I106" s="5"/>
      <c r="J106" s="5">
        <f>F106-E106</f>
        <v>19.800000000000182</v>
      </c>
      <c r="K106" s="8" t="b">
        <f t="shared" si="13"/>
        <v>1</v>
      </c>
    </row>
    <row r="107" spans="1:11">
      <c r="A107" s="5" t="s">
        <v>195</v>
      </c>
      <c r="B107" s="6">
        <v>44782</v>
      </c>
      <c r="C107" s="7">
        <v>0.7</v>
      </c>
      <c r="D107" s="5">
        <v>10.37</v>
      </c>
      <c r="E107" s="5">
        <v>1237.9000000000001</v>
      </c>
      <c r="F107" s="5">
        <v>1262</v>
      </c>
      <c r="G107" s="6">
        <v>44782</v>
      </c>
      <c r="H107" s="5"/>
      <c r="I107" s="5"/>
      <c r="J107" s="5">
        <f t="shared" ref="J107:J115" si="14">F107-E107</f>
        <v>24.099999999999909</v>
      </c>
      <c r="K107" s="8" t="b">
        <f t="shared" si="13"/>
        <v>1</v>
      </c>
    </row>
    <row r="108" spans="1:11">
      <c r="A108" s="5" t="s">
        <v>195</v>
      </c>
      <c r="B108" s="6">
        <v>44786</v>
      </c>
      <c r="C108" s="7">
        <v>0.7</v>
      </c>
      <c r="D108" s="5">
        <v>10.37</v>
      </c>
      <c r="E108" s="5">
        <v>1262</v>
      </c>
      <c r="F108" s="5">
        <v>1282.4000000000001</v>
      </c>
      <c r="G108" s="6">
        <v>44786</v>
      </c>
      <c r="H108" s="5"/>
      <c r="I108" s="5"/>
      <c r="J108" s="5">
        <f t="shared" si="14"/>
        <v>20.400000000000091</v>
      </c>
      <c r="K108" s="8" t="b">
        <f t="shared" si="13"/>
        <v>1</v>
      </c>
    </row>
    <row r="109" spans="1:11">
      <c r="A109" s="5" t="s">
        <v>195</v>
      </c>
      <c r="B109" s="6">
        <v>44790</v>
      </c>
      <c r="C109" s="7">
        <v>0.7</v>
      </c>
      <c r="D109" s="5">
        <v>10.37</v>
      </c>
      <c r="E109" s="5">
        <v>1282.4000000000001</v>
      </c>
      <c r="F109" s="5">
        <v>1302.9000000000001</v>
      </c>
      <c r="G109" s="6">
        <v>44790</v>
      </c>
      <c r="H109" s="5"/>
      <c r="I109" s="5"/>
      <c r="J109" s="5">
        <f t="shared" si="14"/>
        <v>20.5</v>
      </c>
      <c r="K109" s="8" t="b">
        <f t="shared" si="13"/>
        <v>1</v>
      </c>
    </row>
    <row r="110" spans="1:11">
      <c r="A110" s="5" t="s">
        <v>195</v>
      </c>
      <c r="B110" s="6">
        <v>44794</v>
      </c>
      <c r="C110" s="7">
        <v>0.7</v>
      </c>
      <c r="D110" s="5">
        <v>10.37</v>
      </c>
      <c r="E110" s="5">
        <v>1302.9000000000001</v>
      </c>
      <c r="F110" s="5">
        <v>1323.4</v>
      </c>
      <c r="G110" s="6">
        <v>44794</v>
      </c>
      <c r="H110" s="5"/>
      <c r="I110" s="5"/>
      <c r="J110" s="5">
        <f t="shared" si="14"/>
        <v>20.5</v>
      </c>
      <c r="K110" s="8" t="b">
        <f t="shared" si="13"/>
        <v>1</v>
      </c>
    </row>
    <row r="111" spans="1:11">
      <c r="A111" s="5" t="s">
        <v>195</v>
      </c>
      <c r="B111" s="6">
        <v>44798</v>
      </c>
      <c r="C111" s="7">
        <v>0.7</v>
      </c>
      <c r="D111" s="5">
        <v>10.37</v>
      </c>
      <c r="E111" s="5">
        <v>1323.4</v>
      </c>
      <c r="F111" s="5">
        <v>1344</v>
      </c>
      <c r="G111" s="6">
        <v>44798</v>
      </c>
      <c r="H111" s="5"/>
      <c r="I111" s="5"/>
      <c r="J111" s="5">
        <f t="shared" si="14"/>
        <v>20.599999999999909</v>
      </c>
      <c r="K111" s="8" t="b">
        <f t="shared" si="13"/>
        <v>1</v>
      </c>
    </row>
    <row r="112" spans="1:11">
      <c r="A112" s="5" t="s">
        <v>195</v>
      </c>
      <c r="B112" s="6">
        <v>44802</v>
      </c>
      <c r="C112" s="7">
        <v>0.7</v>
      </c>
      <c r="D112" s="5">
        <v>10.37</v>
      </c>
      <c r="E112" s="5">
        <v>1344</v>
      </c>
      <c r="F112" s="5">
        <v>1364.6</v>
      </c>
      <c r="G112" s="6">
        <v>44802</v>
      </c>
      <c r="H112" s="5"/>
      <c r="I112" s="5"/>
      <c r="J112" s="5">
        <f t="shared" si="14"/>
        <v>20.599999999999909</v>
      </c>
      <c r="K112" s="8" t="b">
        <f t="shared" si="13"/>
        <v>1</v>
      </c>
    </row>
    <row r="113" spans="1:11">
      <c r="A113" s="5" t="s">
        <v>195</v>
      </c>
      <c r="B113" s="6">
        <v>44807</v>
      </c>
      <c r="C113" s="7">
        <v>0.7</v>
      </c>
      <c r="D113" s="5">
        <v>10.37</v>
      </c>
      <c r="E113" s="5">
        <v>1364.6</v>
      </c>
      <c r="F113" s="5">
        <v>1384.9</v>
      </c>
      <c r="G113" s="6">
        <v>44807</v>
      </c>
      <c r="H113" s="5"/>
      <c r="I113" s="5"/>
      <c r="J113" s="5">
        <f t="shared" si="14"/>
        <v>20.300000000000182</v>
      </c>
      <c r="K113" s="8" t="b">
        <f t="shared" si="13"/>
        <v>1</v>
      </c>
    </row>
    <row r="114" spans="1:11">
      <c r="A114" s="5" t="s">
        <v>195</v>
      </c>
      <c r="B114" s="6">
        <v>44820</v>
      </c>
      <c r="C114" s="7">
        <v>0.7</v>
      </c>
      <c r="D114" s="5">
        <v>10.37</v>
      </c>
      <c r="E114" s="5">
        <v>1384.9</v>
      </c>
      <c r="F114" s="5">
        <v>1405.6</v>
      </c>
      <c r="G114" s="6">
        <v>44820</v>
      </c>
      <c r="H114" s="5"/>
      <c r="I114" s="5"/>
      <c r="J114" s="5">
        <f t="shared" si="14"/>
        <v>20.699999999999818</v>
      </c>
      <c r="K114" s="8" t="b">
        <f t="shared" si="13"/>
        <v>1</v>
      </c>
    </row>
    <row r="115" spans="1:11">
      <c r="A115" s="5" t="s">
        <v>195</v>
      </c>
      <c r="B115" s="6"/>
      <c r="C115" s="7"/>
      <c r="D115" s="5"/>
      <c r="E115" s="5"/>
      <c r="F115" s="5"/>
      <c r="G115" s="6"/>
      <c r="H115" s="5"/>
      <c r="I115" s="5"/>
      <c r="J115" s="5">
        <f t="shared" si="14"/>
        <v>0</v>
      </c>
      <c r="K115" s="8" t="b">
        <f t="shared" si="13"/>
        <v>0</v>
      </c>
    </row>
    <row r="117" spans="1:11" ht="26.25">
      <c r="A117" s="126" t="s">
        <v>190</v>
      </c>
      <c r="B117" s="127"/>
      <c r="C117" s="127"/>
      <c r="D117" s="127"/>
      <c r="E117" s="127"/>
      <c r="F117" s="127"/>
      <c r="G117" s="127"/>
      <c r="H117" s="127"/>
      <c r="I117" s="127"/>
      <c r="J117" s="127"/>
      <c r="K117" s="128"/>
    </row>
    <row r="118" spans="1:11" ht="26.25">
      <c r="A118" s="129" t="s">
        <v>15</v>
      </c>
      <c r="B118" s="130"/>
      <c r="C118" s="130"/>
      <c r="D118" s="130"/>
      <c r="E118" s="130"/>
      <c r="F118" s="130"/>
      <c r="G118" s="130"/>
      <c r="H118" s="130"/>
      <c r="I118" s="130"/>
      <c r="J118" s="130"/>
      <c r="K118" s="131"/>
    </row>
    <row r="119" spans="1:11" ht="15.75" thickBot="1"/>
    <row r="120" spans="1:11" ht="15.75" thickBot="1">
      <c r="A120" s="132" t="s">
        <v>2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4"/>
    </row>
    <row r="122" spans="1:11" ht="19.5" thickBot="1">
      <c r="A122" s="1" t="s">
        <v>3</v>
      </c>
      <c r="B122" s="1"/>
      <c r="C122" s="1"/>
      <c r="D122" s="1"/>
      <c r="E122" s="1"/>
      <c r="F122" s="1"/>
      <c r="G122" s="1"/>
      <c r="H122" s="1"/>
      <c r="I122" s="1"/>
    </row>
    <row r="123" spans="1:11" ht="30.75" thickBot="1">
      <c r="A123" s="2" t="s">
        <v>4</v>
      </c>
      <c r="B123" s="3" t="s">
        <v>5</v>
      </c>
      <c r="C123" s="3" t="s">
        <v>6</v>
      </c>
      <c r="D123" s="3" t="s">
        <v>7</v>
      </c>
      <c r="E123" s="3" t="s">
        <v>8</v>
      </c>
      <c r="F123" s="3" t="s">
        <v>9</v>
      </c>
      <c r="G123" s="3" t="s">
        <v>10</v>
      </c>
      <c r="H123" s="3" t="s">
        <v>21</v>
      </c>
      <c r="I123" s="4" t="s">
        <v>22</v>
      </c>
      <c r="J123" s="4" t="s">
        <v>11</v>
      </c>
      <c r="K123" s="4" t="s">
        <v>12</v>
      </c>
    </row>
    <row r="124" spans="1:11">
      <c r="A124" s="5" t="s">
        <v>195</v>
      </c>
      <c r="B124" s="6">
        <v>44901</v>
      </c>
      <c r="C124" s="7">
        <v>1</v>
      </c>
      <c r="D124" s="5">
        <v>7.27</v>
      </c>
      <c r="E124" s="5">
        <v>0</v>
      </c>
      <c r="F124" s="5">
        <v>14.6</v>
      </c>
      <c r="G124" s="6">
        <v>44901</v>
      </c>
      <c r="H124" s="5"/>
      <c r="I124" s="5"/>
      <c r="J124" s="5">
        <f t="shared" ref="J124:J131" si="15">F124-E124</f>
        <v>14.6</v>
      </c>
      <c r="K124" s="8" t="b">
        <f>E124=F114</f>
        <v>0</v>
      </c>
    </row>
    <row r="125" spans="1:11">
      <c r="A125" s="5" t="s">
        <v>195</v>
      </c>
      <c r="B125" s="6">
        <v>44928</v>
      </c>
      <c r="C125" s="7">
        <v>1</v>
      </c>
      <c r="D125" s="5">
        <v>7.27</v>
      </c>
      <c r="E125" s="5">
        <v>30.5</v>
      </c>
      <c r="F125" s="5">
        <v>42.4</v>
      </c>
      <c r="G125" s="6">
        <v>44929</v>
      </c>
      <c r="H125" s="5"/>
      <c r="I125" s="5"/>
      <c r="J125" s="5">
        <f t="shared" si="15"/>
        <v>11.899999999999999</v>
      </c>
      <c r="K125" s="8" t="b">
        <f>E125=F124</f>
        <v>0</v>
      </c>
    </row>
    <row r="126" spans="1:11">
      <c r="A126" s="5" t="s">
        <v>195</v>
      </c>
      <c r="B126" s="6">
        <v>44939</v>
      </c>
      <c r="C126" s="7">
        <v>1</v>
      </c>
      <c r="D126" s="5">
        <v>7.27</v>
      </c>
      <c r="E126" s="5">
        <v>42.4</v>
      </c>
      <c r="F126" s="5">
        <v>56.7</v>
      </c>
      <c r="G126" s="6">
        <v>44939</v>
      </c>
      <c r="H126" s="5"/>
      <c r="I126" s="5"/>
      <c r="J126" s="5">
        <f t="shared" si="15"/>
        <v>14.300000000000004</v>
      </c>
      <c r="K126" s="8" t="b">
        <f t="shared" ref="K126:K131" si="16">E126=F125</f>
        <v>1</v>
      </c>
    </row>
    <row r="127" spans="1:11">
      <c r="A127" s="5" t="s">
        <v>195</v>
      </c>
      <c r="B127" s="6">
        <v>44959</v>
      </c>
      <c r="C127" s="7">
        <v>0.7</v>
      </c>
      <c r="D127" s="5">
        <v>10.37</v>
      </c>
      <c r="E127" s="5">
        <v>56.7</v>
      </c>
      <c r="F127" s="5">
        <v>62.8</v>
      </c>
      <c r="G127" s="6">
        <v>44959</v>
      </c>
      <c r="H127" s="5"/>
      <c r="I127" s="5"/>
      <c r="J127" s="5">
        <f t="shared" si="15"/>
        <v>6.0999999999999943</v>
      </c>
      <c r="K127" s="8" t="b">
        <f t="shared" si="16"/>
        <v>1</v>
      </c>
    </row>
    <row r="128" spans="1:11">
      <c r="A128" s="5" t="s">
        <v>195</v>
      </c>
      <c r="B128" s="6">
        <v>44963</v>
      </c>
      <c r="C128" s="7">
        <v>0.7</v>
      </c>
      <c r="D128" s="5">
        <v>10.37</v>
      </c>
      <c r="E128" s="5">
        <v>62.8</v>
      </c>
      <c r="F128" s="5">
        <v>83.9</v>
      </c>
      <c r="G128" s="6">
        <v>44963</v>
      </c>
      <c r="H128" s="5"/>
      <c r="I128" s="5"/>
      <c r="J128" s="5">
        <f t="shared" si="15"/>
        <v>21.100000000000009</v>
      </c>
      <c r="K128" s="8" t="b">
        <f t="shared" si="16"/>
        <v>1</v>
      </c>
    </row>
    <row r="129" spans="1:11">
      <c r="A129" s="5" t="s">
        <v>195</v>
      </c>
      <c r="B129" s="6">
        <v>44968</v>
      </c>
      <c r="C129" s="7">
        <v>0.7</v>
      </c>
      <c r="D129" s="5">
        <v>10.37</v>
      </c>
      <c r="E129" s="5">
        <v>83.9</v>
      </c>
      <c r="F129" s="5">
        <v>103.7</v>
      </c>
      <c r="G129" s="6">
        <v>44968</v>
      </c>
      <c r="H129" s="5"/>
      <c r="I129" s="5"/>
      <c r="J129" s="5">
        <f t="shared" si="15"/>
        <v>19.799999999999997</v>
      </c>
      <c r="K129" s="8" t="b">
        <f t="shared" si="16"/>
        <v>1</v>
      </c>
    </row>
    <row r="130" spans="1:11">
      <c r="A130" s="5" t="s">
        <v>195</v>
      </c>
      <c r="B130" s="6">
        <v>44974</v>
      </c>
      <c r="C130" s="7">
        <v>0.6</v>
      </c>
      <c r="D130" s="5">
        <v>12.12</v>
      </c>
      <c r="E130" s="5">
        <v>103.7</v>
      </c>
      <c r="F130" s="5">
        <v>127.7</v>
      </c>
      <c r="G130" s="6">
        <v>44974</v>
      </c>
      <c r="H130" s="5"/>
      <c r="I130" s="5"/>
      <c r="J130" s="5">
        <f t="shared" si="15"/>
        <v>24</v>
      </c>
      <c r="K130" s="8" t="b">
        <f t="shared" si="16"/>
        <v>1</v>
      </c>
    </row>
    <row r="131" spans="1:11">
      <c r="A131" s="5" t="s">
        <v>195</v>
      </c>
      <c r="B131" s="6">
        <v>44978</v>
      </c>
      <c r="C131" s="7">
        <v>0.6</v>
      </c>
      <c r="D131" s="5">
        <v>12.12</v>
      </c>
      <c r="E131" s="5">
        <v>127.7</v>
      </c>
      <c r="F131" s="5">
        <v>151.6</v>
      </c>
      <c r="G131" s="6">
        <v>44978</v>
      </c>
      <c r="H131" s="5"/>
      <c r="I131" s="5"/>
      <c r="J131" s="5">
        <f t="shared" si="15"/>
        <v>23.899999999999991</v>
      </c>
      <c r="K131" s="8" t="b">
        <f t="shared" si="16"/>
        <v>1</v>
      </c>
    </row>
    <row r="132" spans="1:11">
      <c r="A132" s="5" t="s">
        <v>195</v>
      </c>
      <c r="B132" s="6">
        <v>44990</v>
      </c>
      <c r="C132" s="7">
        <v>0.6</v>
      </c>
      <c r="D132" s="5">
        <v>12.12</v>
      </c>
      <c r="E132" s="5">
        <v>151.6</v>
      </c>
      <c r="F132" s="5">
        <v>175.5</v>
      </c>
      <c r="G132" s="6">
        <v>44990</v>
      </c>
      <c r="H132" s="5"/>
      <c r="I132" s="5"/>
      <c r="J132" s="5">
        <f t="shared" ref="J132:J139" si="17">F132-E132</f>
        <v>23.900000000000006</v>
      </c>
      <c r="K132" s="8" t="b">
        <f t="shared" ref="K132:K139" si="18">E132=F131</f>
        <v>1</v>
      </c>
    </row>
    <row r="133" spans="1:11">
      <c r="A133" s="5" t="s">
        <v>195</v>
      </c>
      <c r="B133" s="6">
        <v>44994</v>
      </c>
      <c r="C133" s="7">
        <v>0.6</v>
      </c>
      <c r="D133" s="5">
        <v>12.12</v>
      </c>
      <c r="E133" s="5">
        <v>175.5</v>
      </c>
      <c r="F133" s="5">
        <v>199.4</v>
      </c>
      <c r="G133" s="6">
        <v>44994</v>
      </c>
      <c r="H133" s="5"/>
      <c r="I133" s="5"/>
      <c r="J133" s="5">
        <f t="shared" si="17"/>
        <v>23.900000000000006</v>
      </c>
      <c r="K133" s="8" t="b">
        <f t="shared" si="18"/>
        <v>1</v>
      </c>
    </row>
    <row r="134" spans="1:11">
      <c r="A134" s="5" t="s">
        <v>195</v>
      </c>
      <c r="B134" s="6">
        <v>45000</v>
      </c>
      <c r="C134" s="7">
        <v>0.6</v>
      </c>
      <c r="D134" s="5">
        <v>12.12</v>
      </c>
      <c r="E134" s="5">
        <v>199.4</v>
      </c>
      <c r="F134" s="5">
        <v>220</v>
      </c>
      <c r="G134" s="6">
        <v>45000</v>
      </c>
      <c r="H134" s="5"/>
      <c r="I134" s="5"/>
      <c r="J134" s="5">
        <f t="shared" si="17"/>
        <v>20.599999999999994</v>
      </c>
      <c r="K134" s="8" t="b">
        <f t="shared" si="18"/>
        <v>1</v>
      </c>
    </row>
    <row r="135" spans="1:11">
      <c r="A135" s="5" t="s">
        <v>195</v>
      </c>
      <c r="B135" s="6">
        <v>45003</v>
      </c>
      <c r="C135" s="7">
        <v>0.5</v>
      </c>
      <c r="D135" s="5">
        <v>14.54</v>
      </c>
      <c r="E135" s="5">
        <v>220</v>
      </c>
      <c r="F135" s="5">
        <v>249.5</v>
      </c>
      <c r="G135" s="6">
        <v>45004</v>
      </c>
      <c r="H135" s="5"/>
      <c r="I135" s="5"/>
      <c r="J135" s="5">
        <f t="shared" si="17"/>
        <v>29.5</v>
      </c>
      <c r="K135" s="8" t="b">
        <f t="shared" si="18"/>
        <v>1</v>
      </c>
    </row>
    <row r="136" spans="1:11">
      <c r="A136" s="5" t="s">
        <v>195</v>
      </c>
      <c r="B136" s="6">
        <v>45023</v>
      </c>
      <c r="C136" s="7">
        <v>0.6</v>
      </c>
      <c r="D136" s="5">
        <v>12.12</v>
      </c>
      <c r="E136" s="5">
        <v>249.5</v>
      </c>
      <c r="F136" s="5">
        <v>274.3</v>
      </c>
      <c r="G136" s="6">
        <v>45024</v>
      </c>
      <c r="H136" s="5"/>
      <c r="I136" s="5"/>
      <c r="J136" s="5">
        <f t="shared" si="17"/>
        <v>24.800000000000011</v>
      </c>
      <c r="K136" s="8" t="b">
        <f t="shared" si="18"/>
        <v>1</v>
      </c>
    </row>
    <row r="137" spans="1:11">
      <c r="A137" s="5" t="s">
        <v>195</v>
      </c>
      <c r="B137" s="6"/>
      <c r="C137" s="7"/>
      <c r="D137" s="5"/>
      <c r="E137" s="5"/>
      <c r="F137" s="5"/>
      <c r="G137" s="6"/>
      <c r="H137" s="5"/>
      <c r="I137" s="5"/>
      <c r="J137" s="5">
        <f t="shared" si="17"/>
        <v>0</v>
      </c>
      <c r="K137" s="8" t="b">
        <f t="shared" si="18"/>
        <v>0</v>
      </c>
    </row>
    <row r="138" spans="1:11">
      <c r="A138" s="5" t="s">
        <v>195</v>
      </c>
      <c r="B138" s="6"/>
      <c r="C138" s="7"/>
      <c r="D138" s="5"/>
      <c r="E138" s="5"/>
      <c r="F138" s="5"/>
      <c r="G138" s="6"/>
      <c r="H138" s="5"/>
      <c r="I138" s="5"/>
      <c r="J138" s="5">
        <f t="shared" si="17"/>
        <v>0</v>
      </c>
      <c r="K138" s="8" t="b">
        <f t="shared" si="18"/>
        <v>1</v>
      </c>
    </row>
    <row r="139" spans="1:11">
      <c r="A139" s="5" t="s">
        <v>195</v>
      </c>
      <c r="B139" s="6"/>
      <c r="C139" s="7"/>
      <c r="D139" s="5"/>
      <c r="E139" s="5"/>
      <c r="F139" s="5"/>
      <c r="G139" s="6"/>
      <c r="H139" s="5"/>
      <c r="I139" s="5"/>
      <c r="J139" s="5">
        <f t="shared" si="17"/>
        <v>0</v>
      </c>
      <c r="K139" s="8" t="b">
        <f t="shared" si="18"/>
        <v>1</v>
      </c>
    </row>
    <row r="140" spans="1:11" ht="26.25">
      <c r="A140" s="135" t="s">
        <v>190</v>
      </c>
      <c r="B140" s="136"/>
      <c r="C140" s="136"/>
      <c r="D140" s="136"/>
      <c r="E140" s="136"/>
      <c r="F140" s="136"/>
      <c r="G140" s="136"/>
      <c r="H140" s="136"/>
      <c r="I140" s="136"/>
      <c r="J140" s="136"/>
      <c r="K140" s="137"/>
    </row>
    <row r="141" spans="1:11" ht="26.25">
      <c r="A141" s="138" t="s">
        <v>201</v>
      </c>
      <c r="B141" s="139"/>
      <c r="C141" s="139"/>
      <c r="D141" s="139"/>
      <c r="E141" s="139"/>
      <c r="F141" s="139"/>
      <c r="G141" s="139"/>
      <c r="H141" s="139"/>
      <c r="I141" s="139"/>
      <c r="J141" s="139"/>
      <c r="K141" s="140"/>
    </row>
    <row r="143" spans="1:11">
      <c r="A143" s="132" t="s">
        <v>2</v>
      </c>
      <c r="B143" s="133"/>
      <c r="C143" s="133"/>
      <c r="D143" s="133"/>
      <c r="E143" s="133"/>
      <c r="F143" s="133"/>
      <c r="G143" s="133"/>
      <c r="H143" s="133"/>
      <c r="I143" s="133"/>
      <c r="J143" s="133"/>
      <c r="K143" s="134"/>
    </row>
    <row r="145" spans="1:11" ht="18.75">
      <c r="A145" s="1" t="s">
        <v>3</v>
      </c>
      <c r="B145" s="1"/>
      <c r="C145" s="1"/>
      <c r="D145" s="1"/>
      <c r="E145" s="1"/>
      <c r="F145" s="1"/>
      <c r="G145" s="1"/>
      <c r="H145" s="1"/>
      <c r="I145" s="1"/>
    </row>
    <row r="146" spans="1:11" ht="30">
      <c r="A146" s="2" t="s">
        <v>4</v>
      </c>
      <c r="B146" s="3" t="s">
        <v>5</v>
      </c>
      <c r="C146" s="3" t="s">
        <v>6</v>
      </c>
      <c r="D146" s="3" t="s">
        <v>7</v>
      </c>
      <c r="E146" s="3" t="s">
        <v>8</v>
      </c>
      <c r="F146" s="3" t="s">
        <v>9</v>
      </c>
      <c r="G146" s="3" t="s">
        <v>10</v>
      </c>
      <c r="H146" s="3" t="s">
        <v>21</v>
      </c>
      <c r="I146" s="4" t="s">
        <v>22</v>
      </c>
      <c r="J146" s="4" t="s">
        <v>11</v>
      </c>
      <c r="K146" s="4" t="s">
        <v>12</v>
      </c>
    </row>
    <row r="147" spans="1:11">
      <c r="A147" s="5" t="s">
        <v>202</v>
      </c>
      <c r="B147" s="6" t="s">
        <v>98</v>
      </c>
      <c r="C147" s="7">
        <v>0.8</v>
      </c>
      <c r="D147" s="5">
        <v>9.09</v>
      </c>
      <c r="E147" s="5">
        <v>274.3</v>
      </c>
      <c r="F147" s="5">
        <v>291.89999999999998</v>
      </c>
      <c r="G147" s="6" t="s">
        <v>98</v>
      </c>
      <c r="H147" s="5"/>
      <c r="I147" s="5"/>
      <c r="J147" s="5">
        <f t="shared" ref="J147" si="19">F147-E147</f>
        <v>17.599999999999966</v>
      </c>
      <c r="K147" s="8" t="b">
        <f>E147=F137</f>
        <v>0</v>
      </c>
    </row>
    <row r="148" spans="1:11">
      <c r="A148" s="5" t="s">
        <v>202</v>
      </c>
      <c r="B148" s="6">
        <v>45088</v>
      </c>
      <c r="C148" s="7">
        <v>1</v>
      </c>
      <c r="D148" s="5">
        <v>7.27</v>
      </c>
      <c r="E148" s="5">
        <v>291.89999999999998</v>
      </c>
      <c r="F148" s="5">
        <v>306.39999999999998</v>
      </c>
      <c r="G148" s="6">
        <v>45088</v>
      </c>
      <c r="H148" s="5"/>
      <c r="I148" s="5"/>
      <c r="J148" s="5">
        <f t="shared" ref="J148:J154" si="20">F148-E148</f>
        <v>14.5</v>
      </c>
      <c r="K148" s="8" t="b">
        <f>E148=F147</f>
        <v>1</v>
      </c>
    </row>
    <row r="149" spans="1:11">
      <c r="A149" s="5" t="s">
        <v>202</v>
      </c>
      <c r="B149" s="6">
        <v>45093</v>
      </c>
      <c r="C149" s="7">
        <v>0.5</v>
      </c>
      <c r="D149" s="5">
        <v>14.54</v>
      </c>
      <c r="E149" s="5">
        <v>306.39999999999998</v>
      </c>
      <c r="F149" s="5">
        <v>336.2</v>
      </c>
      <c r="G149" s="6">
        <v>45093</v>
      </c>
      <c r="H149" s="5"/>
      <c r="I149" s="5"/>
      <c r="J149" s="5">
        <f t="shared" si="20"/>
        <v>29.800000000000011</v>
      </c>
      <c r="K149" s="8" t="b">
        <f t="shared" ref="K149:K154" si="21">E149=F148</f>
        <v>1</v>
      </c>
    </row>
    <row r="150" spans="1:11">
      <c r="A150" s="5" t="s">
        <v>202</v>
      </c>
      <c r="B150" s="6">
        <v>45102</v>
      </c>
      <c r="C150" s="7">
        <v>0.5</v>
      </c>
      <c r="D150" s="5">
        <v>14.54</v>
      </c>
      <c r="E150" s="5">
        <v>336.2</v>
      </c>
      <c r="F150" s="5">
        <v>349.7</v>
      </c>
      <c r="G150" s="6">
        <v>45102</v>
      </c>
      <c r="H150" s="5"/>
      <c r="I150" s="5"/>
      <c r="J150" s="5">
        <f t="shared" si="20"/>
        <v>13.5</v>
      </c>
      <c r="K150" s="8" t="b">
        <f t="shared" si="21"/>
        <v>1</v>
      </c>
    </row>
    <row r="151" spans="1:11">
      <c r="A151" s="5" t="s">
        <v>202</v>
      </c>
      <c r="B151" s="6">
        <v>45103</v>
      </c>
      <c r="C151" s="7">
        <v>0.5</v>
      </c>
      <c r="D151" s="5">
        <v>14.54</v>
      </c>
      <c r="E151" s="5">
        <v>349.7</v>
      </c>
      <c r="F151" s="5">
        <v>363.8</v>
      </c>
      <c r="G151" s="6">
        <v>45103</v>
      </c>
      <c r="H151" s="5"/>
      <c r="I151" s="5"/>
      <c r="J151" s="5">
        <f t="shared" si="20"/>
        <v>14.100000000000023</v>
      </c>
      <c r="K151" s="8" t="b">
        <f t="shared" si="21"/>
        <v>1</v>
      </c>
    </row>
    <row r="152" spans="1:11">
      <c r="A152" s="39" t="s">
        <v>202</v>
      </c>
      <c r="B152" s="40">
        <v>45111</v>
      </c>
      <c r="C152" s="41">
        <v>0.6</v>
      </c>
      <c r="D152" s="39">
        <v>12.12</v>
      </c>
      <c r="E152" s="39">
        <v>363.8</v>
      </c>
      <c r="F152" s="39">
        <v>366.4</v>
      </c>
      <c r="G152" s="40">
        <v>45111</v>
      </c>
      <c r="H152" s="39"/>
      <c r="I152" s="39"/>
      <c r="J152" s="39">
        <f t="shared" si="20"/>
        <v>2.5999999999999659</v>
      </c>
      <c r="K152" s="8" t="b">
        <f t="shared" si="21"/>
        <v>1</v>
      </c>
    </row>
    <row r="153" spans="1:11">
      <c r="A153" s="5" t="s">
        <v>202</v>
      </c>
      <c r="B153" s="6">
        <v>45124</v>
      </c>
      <c r="C153" s="7">
        <v>0.55000000000000004</v>
      </c>
      <c r="D153" s="5">
        <v>13.22</v>
      </c>
      <c r="E153" s="5">
        <v>366.4</v>
      </c>
      <c r="F153" s="5">
        <v>379.5</v>
      </c>
      <c r="G153" s="6">
        <v>45124</v>
      </c>
      <c r="H153" s="5"/>
      <c r="I153" s="5"/>
      <c r="J153" s="5">
        <f t="shared" si="20"/>
        <v>13.100000000000023</v>
      </c>
      <c r="K153" s="8" t="b">
        <f t="shared" si="21"/>
        <v>1</v>
      </c>
    </row>
    <row r="154" spans="1:11">
      <c r="A154" s="5" t="s">
        <v>203</v>
      </c>
      <c r="B154" s="6">
        <v>45128</v>
      </c>
      <c r="C154" s="7">
        <v>0.7</v>
      </c>
      <c r="D154" s="5">
        <v>10.4</v>
      </c>
      <c r="E154" s="5">
        <v>379.5</v>
      </c>
      <c r="F154" s="5">
        <v>390.4</v>
      </c>
      <c r="G154" s="6">
        <v>45128</v>
      </c>
      <c r="H154" s="5"/>
      <c r="I154" s="5"/>
      <c r="J154" s="5">
        <f t="shared" si="20"/>
        <v>10.899999999999977</v>
      </c>
      <c r="K154" s="8" t="b">
        <f t="shared" si="21"/>
        <v>1</v>
      </c>
    </row>
    <row r="155" spans="1:11">
      <c r="A155" s="5" t="s">
        <v>203</v>
      </c>
      <c r="B155" s="6">
        <v>45129</v>
      </c>
      <c r="C155" s="7">
        <v>1</v>
      </c>
      <c r="D155" s="5">
        <v>7.27</v>
      </c>
      <c r="E155" s="5">
        <v>390.4</v>
      </c>
      <c r="F155" s="5">
        <v>403.1</v>
      </c>
      <c r="G155" s="6">
        <v>45129</v>
      </c>
      <c r="H155" s="5"/>
      <c r="I155" s="5"/>
      <c r="J155" s="5">
        <f t="shared" ref="J155:J166" si="22">F155-E155</f>
        <v>12.700000000000045</v>
      </c>
      <c r="K155" s="8" t="b">
        <f t="shared" ref="K155:K166" si="23">E155=F154</f>
        <v>1</v>
      </c>
    </row>
    <row r="156" spans="1:11">
      <c r="A156" s="5" t="s">
        <v>203</v>
      </c>
      <c r="B156" s="6">
        <v>45130</v>
      </c>
      <c r="C156" s="7">
        <v>1</v>
      </c>
      <c r="D156" s="5">
        <v>7.27</v>
      </c>
      <c r="E156" s="5">
        <v>403.1</v>
      </c>
      <c r="F156" s="5">
        <v>417.3</v>
      </c>
      <c r="G156" s="6">
        <v>45130</v>
      </c>
      <c r="H156" s="5"/>
      <c r="I156" s="5"/>
      <c r="J156" s="5">
        <f t="shared" si="22"/>
        <v>14.199999999999989</v>
      </c>
      <c r="K156" s="8" t="b">
        <f t="shared" si="23"/>
        <v>1</v>
      </c>
    </row>
    <row r="157" spans="1:11">
      <c r="A157" s="5" t="s">
        <v>203</v>
      </c>
      <c r="B157" s="6">
        <v>45131</v>
      </c>
      <c r="C157" s="7">
        <v>1</v>
      </c>
      <c r="D157" s="5">
        <v>7.27</v>
      </c>
      <c r="E157" s="5">
        <v>417.3</v>
      </c>
      <c r="F157" s="5">
        <v>431.6</v>
      </c>
      <c r="G157" s="6">
        <v>45131</v>
      </c>
      <c r="H157" s="5"/>
      <c r="I157" s="5"/>
      <c r="J157" s="5">
        <f t="shared" si="22"/>
        <v>14.300000000000011</v>
      </c>
      <c r="K157" s="8" t="b">
        <f t="shared" si="23"/>
        <v>1</v>
      </c>
    </row>
    <row r="158" spans="1:11">
      <c r="A158" s="5" t="s">
        <v>203</v>
      </c>
      <c r="B158" s="6">
        <v>45132</v>
      </c>
      <c r="C158" s="7">
        <v>1</v>
      </c>
      <c r="D158" s="5">
        <v>7.27</v>
      </c>
      <c r="E158" s="5">
        <v>431.6</v>
      </c>
      <c r="F158" s="5">
        <v>445.9</v>
      </c>
      <c r="G158" s="6">
        <v>45132</v>
      </c>
      <c r="H158" s="5"/>
      <c r="I158" s="5"/>
      <c r="J158" s="5">
        <f t="shared" si="22"/>
        <v>14.299999999999955</v>
      </c>
      <c r="K158" s="8" t="b">
        <f t="shared" si="23"/>
        <v>1</v>
      </c>
    </row>
    <row r="159" spans="1:11">
      <c r="A159" s="5" t="s">
        <v>203</v>
      </c>
      <c r="B159" s="6">
        <v>45133</v>
      </c>
      <c r="C159" s="7">
        <v>1</v>
      </c>
      <c r="D159" s="5">
        <v>7.27</v>
      </c>
      <c r="E159" s="5">
        <v>445.9</v>
      </c>
      <c r="F159" s="5">
        <v>460.2</v>
      </c>
      <c r="G159" s="6">
        <v>45133</v>
      </c>
      <c r="H159" s="5"/>
      <c r="I159" s="5"/>
      <c r="J159" s="5">
        <f t="shared" si="22"/>
        <v>14.300000000000011</v>
      </c>
      <c r="K159" s="8" t="b">
        <f t="shared" si="23"/>
        <v>1</v>
      </c>
    </row>
    <row r="160" spans="1:11">
      <c r="A160" s="5" t="s">
        <v>203</v>
      </c>
      <c r="B160" s="6">
        <v>45134</v>
      </c>
      <c r="C160" s="7">
        <v>1</v>
      </c>
      <c r="D160" s="5">
        <v>7.27</v>
      </c>
      <c r="E160" s="5">
        <v>460.2</v>
      </c>
      <c r="F160" s="5">
        <v>474.6</v>
      </c>
      <c r="G160" s="6">
        <v>45134</v>
      </c>
      <c r="H160" s="5"/>
      <c r="I160" s="5"/>
      <c r="J160" s="5">
        <f t="shared" si="22"/>
        <v>14.400000000000034</v>
      </c>
      <c r="K160" s="8" t="b">
        <f t="shared" si="23"/>
        <v>1</v>
      </c>
    </row>
    <row r="161" spans="1:11">
      <c r="A161" s="5" t="s">
        <v>202</v>
      </c>
      <c r="B161" s="6">
        <v>45136</v>
      </c>
      <c r="C161" s="7">
        <v>1</v>
      </c>
      <c r="D161" s="5">
        <v>7.27</v>
      </c>
      <c r="E161" s="5">
        <v>474.6</v>
      </c>
      <c r="F161" s="5">
        <v>481.8</v>
      </c>
      <c r="G161" s="6">
        <v>45136</v>
      </c>
      <c r="H161" s="5"/>
      <c r="I161" s="5"/>
      <c r="J161" s="5">
        <f t="shared" si="22"/>
        <v>7.1999999999999886</v>
      </c>
      <c r="K161" s="8" t="b">
        <f t="shared" si="23"/>
        <v>1</v>
      </c>
    </row>
    <row r="162" spans="1:11">
      <c r="A162" s="5" t="s">
        <v>203</v>
      </c>
      <c r="B162" s="6">
        <v>45137</v>
      </c>
      <c r="C162" s="7">
        <v>1</v>
      </c>
      <c r="D162" s="5">
        <v>7.27</v>
      </c>
      <c r="E162" s="5">
        <v>481.8</v>
      </c>
      <c r="F162" s="5">
        <v>496.3</v>
      </c>
      <c r="G162" s="6">
        <v>45137</v>
      </c>
      <c r="H162" s="5"/>
      <c r="I162" s="5"/>
      <c r="J162" s="5">
        <f t="shared" si="22"/>
        <v>14.5</v>
      </c>
      <c r="K162" s="8" t="b">
        <f t="shared" si="23"/>
        <v>1</v>
      </c>
    </row>
    <row r="163" spans="1:11">
      <c r="A163" s="5" t="s">
        <v>203</v>
      </c>
      <c r="B163" s="6">
        <v>45138</v>
      </c>
      <c r="C163" s="7">
        <v>1</v>
      </c>
      <c r="D163" s="5">
        <v>7.27</v>
      </c>
      <c r="E163" s="5">
        <v>496.3</v>
      </c>
      <c r="F163" s="5">
        <v>510.7</v>
      </c>
      <c r="G163" s="6">
        <v>45138</v>
      </c>
      <c r="H163" s="5"/>
      <c r="I163" s="5"/>
      <c r="J163" s="5">
        <f t="shared" si="22"/>
        <v>14.399999999999977</v>
      </c>
      <c r="K163" s="8" t="b">
        <f t="shared" si="23"/>
        <v>1</v>
      </c>
    </row>
    <row r="164" spans="1:11">
      <c r="A164" s="5" t="s">
        <v>203</v>
      </c>
      <c r="B164" s="6">
        <v>45139</v>
      </c>
      <c r="C164" s="7">
        <v>1</v>
      </c>
      <c r="D164" s="5">
        <v>7.27</v>
      </c>
      <c r="E164" s="5">
        <v>510.7</v>
      </c>
      <c r="F164" s="5">
        <v>525.20000000000005</v>
      </c>
      <c r="G164" s="6">
        <v>45139</v>
      </c>
      <c r="H164" s="5"/>
      <c r="I164" s="5"/>
      <c r="J164" s="5">
        <f t="shared" si="22"/>
        <v>14.500000000000057</v>
      </c>
      <c r="K164" s="8" t="b">
        <f t="shared" si="23"/>
        <v>1</v>
      </c>
    </row>
    <row r="165" spans="1:11">
      <c r="A165" s="5" t="s">
        <v>203</v>
      </c>
      <c r="B165" s="6">
        <v>45140</v>
      </c>
      <c r="C165" s="7">
        <v>1</v>
      </c>
      <c r="D165" s="5">
        <v>7.27</v>
      </c>
      <c r="E165" s="5">
        <v>525.20000000000005</v>
      </c>
      <c r="F165" s="5">
        <v>541.6</v>
      </c>
      <c r="G165" s="6">
        <v>45140</v>
      </c>
      <c r="H165" s="5"/>
      <c r="I165" s="5"/>
      <c r="J165" s="5">
        <f t="shared" si="22"/>
        <v>16.399999999999977</v>
      </c>
      <c r="K165" s="8" t="b">
        <f t="shared" si="23"/>
        <v>1</v>
      </c>
    </row>
    <row r="166" spans="1:11">
      <c r="A166" s="5" t="s">
        <v>203</v>
      </c>
      <c r="B166" s="6">
        <v>45141</v>
      </c>
      <c r="C166" s="7">
        <v>1</v>
      </c>
      <c r="D166" s="5">
        <v>7.27</v>
      </c>
      <c r="E166" s="5">
        <v>541.6</v>
      </c>
      <c r="F166" s="5">
        <v>556</v>
      </c>
      <c r="G166" s="6">
        <v>45141</v>
      </c>
      <c r="H166" s="6"/>
      <c r="I166" s="6"/>
      <c r="J166" s="5">
        <f t="shared" si="22"/>
        <v>14.399999999999977</v>
      </c>
      <c r="K166" s="8" t="b">
        <f t="shared" si="23"/>
        <v>1</v>
      </c>
    </row>
    <row r="167" spans="1:11">
      <c r="A167" s="5" t="s">
        <v>203</v>
      </c>
      <c r="B167" s="6">
        <v>45142</v>
      </c>
      <c r="C167" s="7">
        <v>1</v>
      </c>
      <c r="D167" s="5">
        <v>7.27</v>
      </c>
      <c r="E167" s="5">
        <v>556</v>
      </c>
      <c r="F167" s="5">
        <v>570.4</v>
      </c>
      <c r="G167" s="6">
        <v>45142</v>
      </c>
      <c r="H167" s="5"/>
      <c r="I167" s="5"/>
      <c r="J167" s="5">
        <f t="shared" ref="J167:J176" si="24">F167-E167</f>
        <v>14.399999999999977</v>
      </c>
      <c r="K167" s="8" t="b">
        <f t="shared" ref="K167:K176" si="25">E167=F166</f>
        <v>1</v>
      </c>
    </row>
    <row r="168" spans="1:11">
      <c r="A168" s="5" t="s">
        <v>203</v>
      </c>
      <c r="B168" s="6">
        <v>45143</v>
      </c>
      <c r="C168" s="7">
        <v>1</v>
      </c>
      <c r="D168" s="5">
        <v>7.27</v>
      </c>
      <c r="E168" s="5">
        <v>570.4</v>
      </c>
      <c r="F168" s="5">
        <v>584.70000000000005</v>
      </c>
      <c r="G168" s="6">
        <v>45143</v>
      </c>
      <c r="H168" s="5"/>
      <c r="I168" s="5"/>
      <c r="J168" s="5">
        <f t="shared" si="24"/>
        <v>14.300000000000068</v>
      </c>
      <c r="K168" s="8" t="b">
        <f t="shared" si="25"/>
        <v>1</v>
      </c>
    </row>
    <row r="169" spans="1:11">
      <c r="A169" s="5" t="s">
        <v>203</v>
      </c>
      <c r="B169" s="6">
        <v>45144</v>
      </c>
      <c r="C169" s="7">
        <v>1</v>
      </c>
      <c r="D169" s="5">
        <v>7.27</v>
      </c>
      <c r="E169" s="5">
        <v>584.70000000000005</v>
      </c>
      <c r="F169" s="5">
        <v>599.20000000000005</v>
      </c>
      <c r="G169" s="6">
        <v>45144</v>
      </c>
      <c r="H169" s="5"/>
      <c r="I169" s="5"/>
      <c r="J169" s="5">
        <f t="shared" si="24"/>
        <v>14.5</v>
      </c>
      <c r="K169" s="8" t="b">
        <f t="shared" si="25"/>
        <v>1</v>
      </c>
    </row>
    <row r="170" spans="1:11">
      <c r="A170" s="5" t="s">
        <v>203</v>
      </c>
      <c r="B170" s="6">
        <v>45145</v>
      </c>
      <c r="C170" s="7">
        <v>1</v>
      </c>
      <c r="D170" s="5">
        <v>7.27</v>
      </c>
      <c r="E170" s="5">
        <v>599.20000000000005</v>
      </c>
      <c r="F170" s="5">
        <v>613.6</v>
      </c>
      <c r="G170" s="6">
        <v>45145</v>
      </c>
      <c r="H170" s="5"/>
      <c r="I170" s="5"/>
      <c r="J170" s="5">
        <f t="shared" si="24"/>
        <v>14.399999999999977</v>
      </c>
      <c r="K170" s="8" t="b">
        <f t="shared" si="25"/>
        <v>1</v>
      </c>
    </row>
    <row r="171" spans="1:11">
      <c r="A171" s="5" t="s">
        <v>203</v>
      </c>
      <c r="B171" s="60">
        <v>45146</v>
      </c>
      <c r="C171" s="7">
        <v>1</v>
      </c>
      <c r="D171" s="5">
        <v>7.27</v>
      </c>
      <c r="E171" s="5">
        <v>613.6</v>
      </c>
      <c r="F171" s="5">
        <v>628.1</v>
      </c>
      <c r="G171" s="6">
        <v>45146</v>
      </c>
      <c r="H171" s="5"/>
      <c r="I171" s="5"/>
      <c r="J171" s="5">
        <f t="shared" si="24"/>
        <v>14.5</v>
      </c>
      <c r="K171" s="8" t="b">
        <f t="shared" si="25"/>
        <v>1</v>
      </c>
    </row>
    <row r="172" spans="1:11">
      <c r="A172" s="5" t="s">
        <v>203</v>
      </c>
      <c r="B172" s="6">
        <v>45147</v>
      </c>
      <c r="C172" s="7">
        <v>1</v>
      </c>
      <c r="D172" s="5">
        <v>7.27</v>
      </c>
      <c r="E172" s="5">
        <v>628.1</v>
      </c>
      <c r="F172" s="5">
        <v>643.1</v>
      </c>
      <c r="G172" s="6">
        <v>45147</v>
      </c>
      <c r="H172" s="5"/>
      <c r="I172" s="5"/>
      <c r="J172" s="5">
        <f t="shared" si="24"/>
        <v>15</v>
      </c>
      <c r="K172" s="8" t="b">
        <f t="shared" si="25"/>
        <v>1</v>
      </c>
    </row>
    <row r="173" spans="1:11">
      <c r="A173" s="5" t="s">
        <v>203</v>
      </c>
      <c r="B173" s="6">
        <v>45149</v>
      </c>
      <c r="C173" s="7">
        <v>1</v>
      </c>
      <c r="D173" s="5">
        <v>7.27</v>
      </c>
      <c r="E173" s="5">
        <v>643.1</v>
      </c>
      <c r="F173" s="5">
        <v>657.6</v>
      </c>
      <c r="G173" s="6">
        <v>45149</v>
      </c>
      <c r="H173" s="5"/>
      <c r="I173" s="5"/>
      <c r="J173" s="5">
        <f t="shared" si="24"/>
        <v>14.5</v>
      </c>
      <c r="K173" s="8" t="b">
        <f t="shared" si="25"/>
        <v>1</v>
      </c>
    </row>
    <row r="174" spans="1:11">
      <c r="A174" s="5" t="s">
        <v>203</v>
      </c>
      <c r="B174" s="6">
        <v>45153</v>
      </c>
      <c r="C174" s="7">
        <v>0.8</v>
      </c>
      <c r="D174" s="5">
        <v>9.09</v>
      </c>
      <c r="E174" s="5">
        <v>657.6</v>
      </c>
      <c r="F174" s="5">
        <v>675.7</v>
      </c>
      <c r="G174" s="6">
        <v>45153</v>
      </c>
      <c r="H174" s="5"/>
      <c r="I174" s="5"/>
      <c r="J174" s="5">
        <f t="shared" si="24"/>
        <v>18.100000000000023</v>
      </c>
      <c r="K174" s="8" t="b">
        <f t="shared" si="25"/>
        <v>1</v>
      </c>
    </row>
    <row r="175" spans="1:11">
      <c r="A175" s="80" t="s">
        <v>203</v>
      </c>
      <c r="B175" s="81">
        <v>45155</v>
      </c>
      <c r="C175" s="82">
        <v>1</v>
      </c>
      <c r="D175" s="80">
        <v>7.27</v>
      </c>
      <c r="E175" s="80">
        <v>675.7</v>
      </c>
      <c r="F175" s="80">
        <v>690.7</v>
      </c>
      <c r="G175" s="81">
        <v>45155</v>
      </c>
      <c r="H175" s="80"/>
      <c r="I175" s="80"/>
      <c r="J175" s="80">
        <f t="shared" si="24"/>
        <v>15</v>
      </c>
      <c r="K175" s="8" t="b">
        <f t="shared" si="25"/>
        <v>1</v>
      </c>
    </row>
    <row r="176" spans="1:11">
      <c r="A176" s="5" t="s">
        <v>203</v>
      </c>
      <c r="B176" s="22">
        <v>45156</v>
      </c>
      <c r="C176" s="7">
        <v>0.8</v>
      </c>
      <c r="D176" s="5">
        <v>9.09</v>
      </c>
      <c r="E176" s="5">
        <v>690.7</v>
      </c>
      <c r="F176" s="5">
        <v>709.3</v>
      </c>
      <c r="G176" s="6">
        <v>45156</v>
      </c>
      <c r="H176" s="5"/>
      <c r="I176" s="5"/>
      <c r="J176" s="5">
        <f t="shared" si="24"/>
        <v>18.599999999999909</v>
      </c>
      <c r="K176" s="8" t="b">
        <f t="shared" si="25"/>
        <v>1</v>
      </c>
    </row>
    <row r="177" spans="1:11">
      <c r="A177" s="5" t="s">
        <v>203</v>
      </c>
      <c r="B177" s="22">
        <v>45158</v>
      </c>
      <c r="C177" s="7">
        <v>0.85</v>
      </c>
      <c r="D177" s="5">
        <v>8.5500000000000007</v>
      </c>
      <c r="E177" s="5">
        <v>709.3</v>
      </c>
      <c r="F177" s="5">
        <v>726.3</v>
      </c>
      <c r="G177" s="6">
        <v>45158</v>
      </c>
      <c r="H177" s="5"/>
      <c r="I177" s="5"/>
      <c r="J177" s="5">
        <f t="shared" ref="J177:J200" si="26">F177-E177</f>
        <v>17</v>
      </c>
      <c r="K177" s="8" t="b">
        <f t="shared" ref="K177:K200" si="27">E177=F176</f>
        <v>1</v>
      </c>
    </row>
    <row r="178" spans="1:11">
      <c r="A178" s="5" t="s">
        <v>203</v>
      </c>
      <c r="B178" s="22">
        <v>45160</v>
      </c>
      <c r="C178" s="7">
        <v>0.85</v>
      </c>
      <c r="D178" s="5">
        <v>8.5500000000000007</v>
      </c>
      <c r="E178" s="5">
        <v>726.3</v>
      </c>
      <c r="F178" s="5">
        <v>743.3</v>
      </c>
      <c r="G178" s="6">
        <v>45160</v>
      </c>
      <c r="H178" s="5"/>
      <c r="I178" s="5"/>
      <c r="J178" s="5">
        <f t="shared" si="26"/>
        <v>17</v>
      </c>
      <c r="K178" s="8" t="b">
        <f t="shared" si="27"/>
        <v>1</v>
      </c>
    </row>
    <row r="179" spans="1:11">
      <c r="A179" s="5" t="s">
        <v>203</v>
      </c>
      <c r="B179" s="22">
        <v>45161</v>
      </c>
      <c r="C179" s="7">
        <v>1</v>
      </c>
      <c r="D179" s="5">
        <v>7.27</v>
      </c>
      <c r="E179" s="5">
        <v>743.3</v>
      </c>
      <c r="F179" s="5">
        <v>757.8</v>
      </c>
      <c r="G179" s="6">
        <v>45161</v>
      </c>
      <c r="H179" s="5"/>
      <c r="I179" s="5"/>
      <c r="J179" s="5">
        <f t="shared" si="26"/>
        <v>14.5</v>
      </c>
      <c r="K179" s="8" t="b">
        <f t="shared" si="27"/>
        <v>1</v>
      </c>
    </row>
    <row r="180" spans="1:11">
      <c r="A180" s="5" t="s">
        <v>203</v>
      </c>
      <c r="B180" s="22">
        <v>45163</v>
      </c>
      <c r="C180" s="7">
        <v>0.85</v>
      </c>
      <c r="D180" s="5">
        <v>8.5500000000000007</v>
      </c>
      <c r="E180" s="5">
        <v>757.8</v>
      </c>
      <c r="F180" s="5">
        <v>774.9</v>
      </c>
      <c r="G180" s="6">
        <v>45163</v>
      </c>
      <c r="H180" s="5"/>
      <c r="I180" s="5"/>
      <c r="J180" s="5">
        <f t="shared" si="26"/>
        <v>17.100000000000023</v>
      </c>
      <c r="K180" s="8" t="b">
        <f t="shared" si="27"/>
        <v>1</v>
      </c>
    </row>
    <row r="181" spans="1:11">
      <c r="A181" s="5" t="s">
        <v>203</v>
      </c>
      <c r="B181" s="22">
        <v>45165</v>
      </c>
      <c r="C181" s="7">
        <v>1</v>
      </c>
      <c r="D181" s="5">
        <v>7.27</v>
      </c>
      <c r="E181" s="5">
        <v>774.9</v>
      </c>
      <c r="F181" s="5">
        <v>789.3</v>
      </c>
      <c r="G181" s="6">
        <v>45165</v>
      </c>
      <c r="H181" s="5"/>
      <c r="I181" s="5"/>
      <c r="J181" s="5">
        <f t="shared" si="26"/>
        <v>14.399999999999977</v>
      </c>
      <c r="K181" s="8" t="b">
        <f t="shared" si="27"/>
        <v>1</v>
      </c>
    </row>
    <row r="182" spans="1:11" s="91" customFormat="1">
      <c r="A182" s="92" t="s">
        <v>203</v>
      </c>
      <c r="B182" s="93">
        <v>45166</v>
      </c>
      <c r="C182" s="88">
        <v>1</v>
      </c>
      <c r="D182" s="92">
        <v>7.27</v>
      </c>
      <c r="E182" s="92">
        <v>789.3</v>
      </c>
      <c r="F182" s="92">
        <v>804.7</v>
      </c>
      <c r="G182" s="93">
        <v>45166</v>
      </c>
      <c r="H182" s="92"/>
      <c r="I182" s="92"/>
      <c r="J182" s="92">
        <f t="shared" si="26"/>
        <v>15.400000000000091</v>
      </c>
      <c r="K182" s="90" t="b">
        <f t="shared" si="27"/>
        <v>1</v>
      </c>
    </row>
    <row r="183" spans="1:11">
      <c r="A183" s="5" t="s">
        <v>203</v>
      </c>
      <c r="B183" s="22">
        <v>45173</v>
      </c>
      <c r="C183" s="7">
        <v>0.75</v>
      </c>
      <c r="D183" s="5">
        <v>9.69</v>
      </c>
      <c r="E183" s="5">
        <v>804.7</v>
      </c>
      <c r="F183" s="5">
        <v>823.8</v>
      </c>
      <c r="G183" s="6">
        <v>45173</v>
      </c>
      <c r="H183" s="5"/>
      <c r="I183" s="5"/>
      <c r="J183" s="5">
        <f t="shared" si="26"/>
        <v>19.099999999999909</v>
      </c>
      <c r="K183" s="8" t="b">
        <f t="shared" si="27"/>
        <v>1</v>
      </c>
    </row>
    <row r="184" spans="1:11">
      <c r="A184" s="5" t="s">
        <v>203</v>
      </c>
      <c r="B184" s="22">
        <v>45177</v>
      </c>
      <c r="C184" s="7">
        <v>0.75</v>
      </c>
      <c r="D184" s="5">
        <v>9.69</v>
      </c>
      <c r="E184" s="5">
        <v>823.8</v>
      </c>
      <c r="F184" s="5">
        <v>843.1</v>
      </c>
      <c r="G184" s="6">
        <v>45177</v>
      </c>
      <c r="H184" s="5"/>
      <c r="I184" s="5"/>
      <c r="J184" s="5">
        <f t="shared" si="26"/>
        <v>19.300000000000068</v>
      </c>
      <c r="K184" s="8" t="b">
        <f t="shared" si="27"/>
        <v>1</v>
      </c>
    </row>
    <row r="185" spans="1:11">
      <c r="A185" s="5" t="s">
        <v>203</v>
      </c>
      <c r="B185" s="22">
        <v>45179</v>
      </c>
      <c r="C185" s="7">
        <v>1</v>
      </c>
      <c r="D185" s="5">
        <v>7.27</v>
      </c>
      <c r="E185" s="5">
        <v>843.1</v>
      </c>
      <c r="F185" s="5">
        <v>857.5</v>
      </c>
      <c r="G185" s="6">
        <v>45179</v>
      </c>
      <c r="H185" s="5"/>
      <c r="I185" s="5"/>
      <c r="J185" s="5">
        <f t="shared" si="26"/>
        <v>14.399999999999977</v>
      </c>
      <c r="K185" s="8" t="b">
        <f t="shared" si="27"/>
        <v>1</v>
      </c>
    </row>
    <row r="186" spans="1:11">
      <c r="A186" s="5" t="s">
        <v>203</v>
      </c>
      <c r="B186" s="22">
        <v>45180</v>
      </c>
      <c r="C186" s="7">
        <v>1</v>
      </c>
      <c r="D186" s="5">
        <v>7.27</v>
      </c>
      <c r="E186" s="5">
        <v>857.5</v>
      </c>
      <c r="F186" s="5">
        <v>874.7</v>
      </c>
      <c r="G186" s="6">
        <v>45180</v>
      </c>
      <c r="H186" s="5"/>
      <c r="I186" s="5"/>
      <c r="J186" s="5">
        <f t="shared" si="26"/>
        <v>17.200000000000045</v>
      </c>
      <c r="K186" s="8" t="b">
        <f t="shared" si="27"/>
        <v>1</v>
      </c>
    </row>
    <row r="187" spans="1:11">
      <c r="A187" s="5" t="s">
        <v>203</v>
      </c>
      <c r="B187" s="22">
        <v>45181</v>
      </c>
      <c r="C187" s="7">
        <v>1</v>
      </c>
      <c r="D187" s="5">
        <v>7.27</v>
      </c>
      <c r="E187" s="5">
        <v>874.7</v>
      </c>
      <c r="F187" s="5">
        <v>881.9</v>
      </c>
      <c r="G187" s="6">
        <v>45181</v>
      </c>
      <c r="H187" s="5"/>
      <c r="I187" s="5"/>
      <c r="J187" s="5">
        <f t="shared" si="26"/>
        <v>7.1999999999999318</v>
      </c>
      <c r="K187" s="8" t="b">
        <f t="shared" si="27"/>
        <v>1</v>
      </c>
    </row>
    <row r="188" spans="1:11">
      <c r="A188" s="80" t="s">
        <v>199</v>
      </c>
      <c r="B188" s="81">
        <v>45182</v>
      </c>
      <c r="C188" s="82">
        <v>1</v>
      </c>
      <c r="D188" s="80">
        <v>7.27</v>
      </c>
      <c r="E188" s="80">
        <v>881.9</v>
      </c>
      <c r="F188" s="80">
        <v>889.4</v>
      </c>
      <c r="G188" s="81">
        <v>45182</v>
      </c>
      <c r="H188" s="80"/>
      <c r="I188" s="80"/>
      <c r="J188" s="80">
        <f t="shared" si="26"/>
        <v>7.5</v>
      </c>
      <c r="K188" s="8" t="b">
        <f t="shared" si="27"/>
        <v>1</v>
      </c>
    </row>
    <row r="189" spans="1:11">
      <c r="A189" s="5" t="s">
        <v>199</v>
      </c>
      <c r="B189" s="22">
        <v>45182</v>
      </c>
      <c r="C189" s="7">
        <v>0.6</v>
      </c>
      <c r="D189" s="5">
        <v>12.12</v>
      </c>
      <c r="E189" s="5">
        <v>889.4</v>
      </c>
      <c r="F189" s="5">
        <v>900.4</v>
      </c>
      <c r="G189" s="6">
        <v>45182</v>
      </c>
      <c r="H189" s="5"/>
      <c r="I189" s="5"/>
      <c r="J189" s="5">
        <f t="shared" si="26"/>
        <v>11</v>
      </c>
      <c r="K189" s="8" t="b">
        <f t="shared" si="27"/>
        <v>1</v>
      </c>
    </row>
    <row r="190" spans="1:11">
      <c r="A190" s="5" t="s">
        <v>202</v>
      </c>
      <c r="B190" s="22">
        <v>45183</v>
      </c>
      <c r="C190" s="7">
        <v>0.6</v>
      </c>
      <c r="D190" s="5">
        <v>12.12</v>
      </c>
      <c r="E190" s="5">
        <v>900.4</v>
      </c>
      <c r="F190" s="5">
        <v>912.7</v>
      </c>
      <c r="G190" s="6">
        <v>45183</v>
      </c>
      <c r="H190" s="5"/>
      <c r="I190" s="5"/>
      <c r="J190" s="5">
        <f t="shared" si="26"/>
        <v>12.300000000000068</v>
      </c>
      <c r="K190" s="8" t="b">
        <f t="shared" si="27"/>
        <v>1</v>
      </c>
    </row>
    <row r="191" spans="1:11">
      <c r="A191" s="5" t="s">
        <v>199</v>
      </c>
      <c r="B191" s="22">
        <v>45184</v>
      </c>
      <c r="C191" s="7">
        <v>0.6</v>
      </c>
      <c r="D191" s="5">
        <v>12.12</v>
      </c>
      <c r="E191" s="5">
        <v>912.7</v>
      </c>
      <c r="F191" s="5">
        <v>924.7</v>
      </c>
      <c r="G191" s="6">
        <v>45184</v>
      </c>
      <c r="H191" s="5"/>
      <c r="I191" s="5"/>
      <c r="J191" s="5">
        <f t="shared" si="26"/>
        <v>12</v>
      </c>
      <c r="K191" s="8" t="b">
        <f t="shared" si="27"/>
        <v>1</v>
      </c>
    </row>
    <row r="192" spans="1:11">
      <c r="A192" s="5" t="s">
        <v>202</v>
      </c>
      <c r="B192" s="22">
        <v>45185</v>
      </c>
      <c r="C192" s="7">
        <v>0.6</v>
      </c>
      <c r="D192" s="5">
        <v>12.12</v>
      </c>
      <c r="E192" s="5">
        <v>924.7</v>
      </c>
      <c r="F192" s="5">
        <v>936.6</v>
      </c>
      <c r="G192" s="6">
        <v>45185</v>
      </c>
      <c r="H192" s="5"/>
      <c r="I192" s="5"/>
      <c r="J192" s="5">
        <f t="shared" si="26"/>
        <v>11.899999999999977</v>
      </c>
      <c r="K192" s="8" t="b">
        <f t="shared" si="27"/>
        <v>1</v>
      </c>
    </row>
    <row r="193" spans="1:11">
      <c r="A193" s="5" t="s">
        <v>199</v>
      </c>
      <c r="B193" s="22">
        <v>45186</v>
      </c>
      <c r="C193" s="7">
        <v>0.6</v>
      </c>
      <c r="D193" s="5">
        <v>12.12</v>
      </c>
      <c r="E193" s="5">
        <v>936.6</v>
      </c>
      <c r="F193" s="5">
        <v>948.8</v>
      </c>
      <c r="G193" s="6">
        <v>45186</v>
      </c>
      <c r="H193" s="5"/>
      <c r="I193" s="5"/>
      <c r="J193" s="5">
        <f t="shared" si="26"/>
        <v>12.199999999999932</v>
      </c>
      <c r="K193" s="8" t="b">
        <f t="shared" si="27"/>
        <v>1</v>
      </c>
    </row>
    <row r="194" spans="1:11">
      <c r="A194" s="5" t="s">
        <v>202</v>
      </c>
      <c r="B194" s="22">
        <v>45187</v>
      </c>
      <c r="C194" s="7">
        <v>0.6</v>
      </c>
      <c r="D194" s="5">
        <v>12.12</v>
      </c>
      <c r="E194" s="5">
        <v>948.8</v>
      </c>
      <c r="F194" s="5">
        <v>960.8</v>
      </c>
      <c r="G194" s="6">
        <v>45187</v>
      </c>
      <c r="H194" s="5"/>
      <c r="I194" s="5"/>
      <c r="J194" s="5">
        <f t="shared" si="26"/>
        <v>12</v>
      </c>
      <c r="K194" s="8" t="b">
        <f t="shared" si="27"/>
        <v>1</v>
      </c>
    </row>
    <row r="195" spans="1:11">
      <c r="A195" s="5" t="s">
        <v>199</v>
      </c>
      <c r="B195" s="22">
        <v>45188</v>
      </c>
      <c r="C195" s="7">
        <v>0.6</v>
      </c>
      <c r="D195" s="5">
        <v>12.12</v>
      </c>
      <c r="E195" s="5">
        <v>960.8</v>
      </c>
      <c r="F195" s="5">
        <v>973.1</v>
      </c>
      <c r="G195" s="6">
        <v>45188</v>
      </c>
      <c r="H195" s="5"/>
      <c r="I195" s="5"/>
      <c r="J195" s="5">
        <f t="shared" si="26"/>
        <v>12.300000000000068</v>
      </c>
      <c r="K195" s="8" t="b">
        <f t="shared" si="27"/>
        <v>1</v>
      </c>
    </row>
    <row r="196" spans="1:11">
      <c r="A196" s="5" t="s">
        <v>202</v>
      </c>
      <c r="B196" s="22">
        <v>45189</v>
      </c>
      <c r="C196" s="7">
        <v>0.6</v>
      </c>
      <c r="D196" s="5">
        <v>12.12</v>
      </c>
      <c r="E196" s="5">
        <v>973.1</v>
      </c>
      <c r="F196" s="5">
        <v>984.9</v>
      </c>
      <c r="G196" s="6">
        <v>45189</v>
      </c>
      <c r="H196" s="5"/>
      <c r="I196" s="5"/>
      <c r="J196" s="5">
        <f t="shared" si="26"/>
        <v>11.799999999999955</v>
      </c>
      <c r="K196" s="8" t="b">
        <f t="shared" si="27"/>
        <v>1</v>
      </c>
    </row>
    <row r="197" spans="1:11">
      <c r="A197" s="5" t="s">
        <v>199</v>
      </c>
      <c r="B197" s="22">
        <v>45190</v>
      </c>
      <c r="C197" s="7">
        <v>0.6</v>
      </c>
      <c r="D197" s="5">
        <v>12.12</v>
      </c>
      <c r="E197" s="5">
        <v>984.9</v>
      </c>
      <c r="F197" s="5">
        <v>996.9</v>
      </c>
      <c r="G197" s="6">
        <v>45190</v>
      </c>
      <c r="H197" s="5"/>
      <c r="I197" s="5"/>
      <c r="J197" s="5">
        <f t="shared" si="26"/>
        <v>12</v>
      </c>
      <c r="K197" s="8" t="b">
        <f t="shared" si="27"/>
        <v>1</v>
      </c>
    </row>
    <row r="198" spans="1:11">
      <c r="A198" s="5" t="s">
        <v>202</v>
      </c>
      <c r="B198" s="22">
        <v>45191</v>
      </c>
      <c r="C198" s="7">
        <v>0.6</v>
      </c>
      <c r="D198" s="5">
        <v>12.12</v>
      </c>
      <c r="E198" s="5">
        <v>996.9</v>
      </c>
      <c r="F198" s="5">
        <v>1008.8</v>
      </c>
      <c r="G198" s="6">
        <v>45191</v>
      </c>
      <c r="H198" s="5"/>
      <c r="I198" s="5"/>
      <c r="J198" s="5">
        <f t="shared" si="26"/>
        <v>11.899999999999977</v>
      </c>
      <c r="K198" s="8" t="b">
        <f t="shared" si="27"/>
        <v>1</v>
      </c>
    </row>
    <row r="199" spans="1:11">
      <c r="A199" s="5" t="s">
        <v>199</v>
      </c>
      <c r="B199" s="22">
        <v>45192</v>
      </c>
      <c r="C199" s="7">
        <v>0.6</v>
      </c>
      <c r="D199" s="5">
        <v>12.12</v>
      </c>
      <c r="E199" s="5">
        <v>1008.8</v>
      </c>
      <c r="F199" s="5">
        <v>1023.9</v>
      </c>
      <c r="G199" s="6">
        <v>45192</v>
      </c>
      <c r="H199" s="5"/>
      <c r="I199" s="5"/>
      <c r="J199" s="5">
        <f t="shared" si="26"/>
        <v>15.100000000000023</v>
      </c>
      <c r="K199" s="8" t="b">
        <f t="shared" si="27"/>
        <v>1</v>
      </c>
    </row>
    <row r="200" spans="1:11">
      <c r="A200" s="5" t="s">
        <v>202</v>
      </c>
      <c r="B200" s="22">
        <v>45193</v>
      </c>
      <c r="C200" s="7">
        <v>0.5</v>
      </c>
      <c r="D200" s="5">
        <v>14.54</v>
      </c>
      <c r="E200" s="5">
        <v>1023.9</v>
      </c>
      <c r="F200" s="5">
        <v>1037.4000000000001</v>
      </c>
      <c r="G200" s="6">
        <v>45193</v>
      </c>
      <c r="H200" s="5"/>
      <c r="I200" s="5"/>
      <c r="J200" s="5">
        <f t="shared" si="26"/>
        <v>13.500000000000114</v>
      </c>
      <c r="K200" s="8" t="b">
        <f t="shared" si="27"/>
        <v>1</v>
      </c>
    </row>
    <row r="201" spans="1:11">
      <c r="A201" s="5" t="s">
        <v>199</v>
      </c>
      <c r="B201" s="22">
        <v>45194</v>
      </c>
      <c r="C201" s="7">
        <v>0.5</v>
      </c>
      <c r="D201" s="5">
        <v>14.54</v>
      </c>
      <c r="E201" s="5">
        <v>1037.4000000000001</v>
      </c>
      <c r="F201" s="5">
        <v>1051.9000000000001</v>
      </c>
      <c r="G201" s="6">
        <v>45194</v>
      </c>
      <c r="H201" s="5"/>
      <c r="I201" s="5"/>
      <c r="J201" s="5">
        <f t="shared" ref="J201:J209" si="28">F201-E201</f>
        <v>14.5</v>
      </c>
      <c r="K201" s="8" t="b">
        <f t="shared" ref="K201:K209" si="29">E201=F200</f>
        <v>1</v>
      </c>
    </row>
    <row r="202" spans="1:11">
      <c r="A202" s="5" t="s">
        <v>202</v>
      </c>
      <c r="B202" s="22">
        <v>45195</v>
      </c>
      <c r="C202" s="7">
        <v>0.5</v>
      </c>
      <c r="D202" s="5">
        <v>14.54</v>
      </c>
      <c r="E202" s="5">
        <v>1051.9000000000001</v>
      </c>
      <c r="F202" s="5">
        <v>1066.0999999999999</v>
      </c>
      <c r="G202" s="6">
        <v>45195</v>
      </c>
      <c r="H202" s="5"/>
      <c r="I202" s="5"/>
      <c r="J202" s="5">
        <f t="shared" si="28"/>
        <v>14.199999999999818</v>
      </c>
      <c r="K202" s="8" t="b">
        <f t="shared" si="29"/>
        <v>1</v>
      </c>
    </row>
    <row r="203" spans="1:11">
      <c r="A203" s="5" t="s">
        <v>199</v>
      </c>
      <c r="B203" s="22">
        <v>45196</v>
      </c>
      <c r="C203" s="7">
        <v>0.5</v>
      </c>
      <c r="D203" s="5">
        <v>14.54</v>
      </c>
      <c r="E203" s="5">
        <v>1066.0999999999999</v>
      </c>
      <c r="F203" s="5">
        <v>1081.2</v>
      </c>
      <c r="G203" s="6">
        <v>45196</v>
      </c>
      <c r="H203" s="5"/>
      <c r="I203" s="5"/>
      <c r="J203" s="5">
        <f t="shared" si="28"/>
        <v>15.100000000000136</v>
      </c>
      <c r="K203" s="8" t="b">
        <f t="shared" si="29"/>
        <v>1</v>
      </c>
    </row>
    <row r="204" spans="1:11">
      <c r="A204" s="5" t="s">
        <v>202</v>
      </c>
      <c r="B204" s="22">
        <v>45197</v>
      </c>
      <c r="C204" s="7">
        <v>0.5</v>
      </c>
      <c r="D204" s="5">
        <v>14.54</v>
      </c>
      <c r="E204" s="5">
        <v>1081.2</v>
      </c>
      <c r="F204" s="5">
        <v>1098.8</v>
      </c>
      <c r="G204" s="6">
        <v>45197</v>
      </c>
      <c r="H204" s="5"/>
      <c r="I204" s="5"/>
      <c r="J204" s="5">
        <f t="shared" si="28"/>
        <v>17.599999999999909</v>
      </c>
      <c r="K204" s="8" t="b">
        <f t="shared" si="29"/>
        <v>1</v>
      </c>
    </row>
    <row r="205" spans="1:11">
      <c r="A205" s="5" t="s">
        <v>199</v>
      </c>
      <c r="B205" s="22">
        <v>45198</v>
      </c>
      <c r="C205" s="7">
        <v>0.4</v>
      </c>
      <c r="D205" s="5">
        <v>18.18</v>
      </c>
      <c r="E205" s="5">
        <v>1098.8</v>
      </c>
      <c r="F205" s="5">
        <v>1109.4000000000001</v>
      </c>
      <c r="G205" s="6">
        <v>45198</v>
      </c>
      <c r="H205" s="5"/>
      <c r="I205" s="5"/>
      <c r="J205" s="5">
        <f t="shared" si="28"/>
        <v>10.600000000000136</v>
      </c>
      <c r="K205" s="8" t="b">
        <f t="shared" si="29"/>
        <v>1</v>
      </c>
    </row>
    <row r="206" spans="1:11">
      <c r="A206" s="5" t="s">
        <v>202</v>
      </c>
      <c r="B206" s="22">
        <v>45199</v>
      </c>
      <c r="C206" s="7">
        <v>0.4</v>
      </c>
      <c r="D206" s="5">
        <v>18.18</v>
      </c>
      <c r="E206" s="5">
        <v>1109.4000000000001</v>
      </c>
      <c r="F206" s="5">
        <v>1127.0999999999999</v>
      </c>
      <c r="G206" s="6">
        <v>45199</v>
      </c>
      <c r="H206" s="5"/>
      <c r="I206" s="5"/>
      <c r="J206" s="5">
        <f t="shared" si="28"/>
        <v>17.699999999999818</v>
      </c>
      <c r="K206" s="8" t="b">
        <f t="shared" si="29"/>
        <v>1</v>
      </c>
    </row>
    <row r="207" spans="1:11">
      <c r="A207" s="5" t="s">
        <v>199</v>
      </c>
      <c r="B207" s="22">
        <v>45200</v>
      </c>
      <c r="C207" s="7">
        <v>0.4</v>
      </c>
      <c r="D207" s="5">
        <v>18.18</v>
      </c>
      <c r="E207" s="5">
        <v>1127.0999999999999</v>
      </c>
      <c r="F207" s="5">
        <v>1145.0999999999999</v>
      </c>
      <c r="G207" s="6">
        <v>45200</v>
      </c>
      <c r="H207" s="5"/>
      <c r="I207" s="5"/>
      <c r="J207" s="5">
        <f t="shared" si="28"/>
        <v>18</v>
      </c>
      <c r="K207" s="8" t="b">
        <f t="shared" si="29"/>
        <v>1</v>
      </c>
    </row>
    <row r="208" spans="1:11">
      <c r="A208" s="5" t="s">
        <v>202</v>
      </c>
      <c r="B208" s="22">
        <v>45201</v>
      </c>
      <c r="C208" s="7">
        <v>0.4</v>
      </c>
      <c r="D208" s="5">
        <v>18.18</v>
      </c>
      <c r="E208" s="5">
        <v>1145.0999999999999</v>
      </c>
      <c r="F208" s="5">
        <v>1162.0999999999999</v>
      </c>
      <c r="G208" s="6">
        <v>45201</v>
      </c>
      <c r="H208" s="5"/>
      <c r="I208" s="5"/>
      <c r="J208" s="5">
        <f t="shared" si="28"/>
        <v>17</v>
      </c>
      <c r="K208" s="8" t="b">
        <f t="shared" si="29"/>
        <v>1</v>
      </c>
    </row>
    <row r="209" spans="1:11">
      <c r="A209" s="5" t="s">
        <v>199</v>
      </c>
      <c r="B209" s="22">
        <v>45202</v>
      </c>
      <c r="C209" s="7">
        <v>0.4</v>
      </c>
      <c r="D209" s="5">
        <v>18.18</v>
      </c>
      <c r="E209" s="5">
        <v>1162.0999999999999</v>
      </c>
      <c r="F209" s="5">
        <v>1180.2</v>
      </c>
      <c r="G209" s="6">
        <v>45202</v>
      </c>
      <c r="H209" s="5"/>
      <c r="I209" s="5"/>
      <c r="J209" s="5">
        <f t="shared" si="28"/>
        <v>18.100000000000136</v>
      </c>
      <c r="K209" s="8" t="b">
        <f t="shared" si="29"/>
        <v>1</v>
      </c>
    </row>
    <row r="210" spans="1:11">
      <c r="A210" s="5" t="s">
        <v>202</v>
      </c>
      <c r="B210" s="22">
        <v>45203</v>
      </c>
      <c r="C210" s="7">
        <v>0.4</v>
      </c>
      <c r="D210" s="5">
        <v>18.18</v>
      </c>
      <c r="E210" s="5">
        <v>1180.2</v>
      </c>
      <c r="F210" s="5">
        <v>1188.5</v>
      </c>
      <c r="G210" s="6">
        <v>45203</v>
      </c>
      <c r="H210" s="5"/>
      <c r="I210" s="5"/>
      <c r="J210" s="5">
        <f t="shared" ref="J210:J220" si="30">F210-E210</f>
        <v>8.2999999999999545</v>
      </c>
      <c r="K210" s="8" t="b">
        <f t="shared" ref="K210:K220" si="31">E210=F209</f>
        <v>1</v>
      </c>
    </row>
    <row r="211" spans="1:11">
      <c r="A211" s="25" t="s">
        <v>203</v>
      </c>
      <c r="B211" s="26">
        <v>45204</v>
      </c>
      <c r="C211" s="27">
        <v>0.4</v>
      </c>
      <c r="D211" s="25">
        <v>18.18</v>
      </c>
      <c r="E211" s="25">
        <v>1188.5</v>
      </c>
      <c r="F211" s="25">
        <v>1203.7</v>
      </c>
      <c r="G211" s="26">
        <v>45204</v>
      </c>
      <c r="H211" s="25"/>
      <c r="I211" s="25"/>
      <c r="J211" s="25">
        <f t="shared" si="30"/>
        <v>15.200000000000045</v>
      </c>
      <c r="K211" s="8" t="b">
        <f t="shared" si="31"/>
        <v>1</v>
      </c>
    </row>
    <row r="212" spans="1:11">
      <c r="A212" s="5" t="s">
        <v>199</v>
      </c>
      <c r="B212" s="22">
        <v>45206</v>
      </c>
      <c r="C212" s="7">
        <v>0.5</v>
      </c>
      <c r="D212" s="5">
        <v>14.54</v>
      </c>
      <c r="E212" s="5">
        <v>1203.7</v>
      </c>
      <c r="F212" s="5">
        <v>1218.0999999999999</v>
      </c>
      <c r="G212" s="6">
        <v>45206</v>
      </c>
      <c r="H212" s="5"/>
      <c r="I212" s="5"/>
      <c r="J212" s="5">
        <f t="shared" si="30"/>
        <v>14.399999999999864</v>
      </c>
      <c r="K212" s="8" t="b">
        <f t="shared" si="31"/>
        <v>1</v>
      </c>
    </row>
    <row r="213" spans="1:11">
      <c r="A213" s="5" t="s">
        <v>202</v>
      </c>
      <c r="B213" s="22">
        <v>45207</v>
      </c>
      <c r="C213" s="7">
        <v>0.5</v>
      </c>
      <c r="D213" s="5">
        <v>14.54</v>
      </c>
      <c r="E213" s="5">
        <v>1218.0999999999999</v>
      </c>
      <c r="F213" s="5">
        <v>1232.2</v>
      </c>
      <c r="G213" s="6">
        <v>45207</v>
      </c>
      <c r="H213" s="5"/>
      <c r="I213" s="5"/>
      <c r="J213" s="5">
        <f t="shared" si="30"/>
        <v>14.100000000000136</v>
      </c>
      <c r="K213" s="8" t="b">
        <f t="shared" si="31"/>
        <v>1</v>
      </c>
    </row>
    <row r="214" spans="1:11">
      <c r="A214" s="5" t="s">
        <v>199</v>
      </c>
      <c r="B214" s="22">
        <v>45208</v>
      </c>
      <c r="C214" s="7">
        <v>0.5</v>
      </c>
      <c r="D214" s="5">
        <v>14.54</v>
      </c>
      <c r="E214" s="5">
        <v>1232.2</v>
      </c>
      <c r="F214" s="5">
        <v>1246.3</v>
      </c>
      <c r="G214" s="6">
        <v>45208</v>
      </c>
      <c r="H214" s="5"/>
      <c r="I214" s="5"/>
      <c r="J214" s="5">
        <f t="shared" si="30"/>
        <v>14.099999999999909</v>
      </c>
      <c r="K214" s="8" t="b">
        <f t="shared" si="31"/>
        <v>1</v>
      </c>
    </row>
    <row r="215" spans="1:11">
      <c r="A215" s="25" t="s">
        <v>203</v>
      </c>
      <c r="B215" s="26">
        <v>45209</v>
      </c>
      <c r="C215" s="27">
        <v>1</v>
      </c>
      <c r="D215" s="25">
        <v>7.27</v>
      </c>
      <c r="E215" s="25">
        <v>1246.3</v>
      </c>
      <c r="F215" s="25">
        <v>1260.4000000000001</v>
      </c>
      <c r="G215" s="26">
        <v>45210</v>
      </c>
      <c r="H215" s="25"/>
      <c r="I215" s="25"/>
      <c r="J215" s="25">
        <f t="shared" si="30"/>
        <v>14.100000000000136</v>
      </c>
      <c r="K215" s="8" t="b">
        <f t="shared" si="31"/>
        <v>1</v>
      </c>
    </row>
    <row r="216" spans="1:11">
      <c r="A216" s="5" t="s">
        <v>203</v>
      </c>
      <c r="B216" s="22">
        <v>45210</v>
      </c>
      <c r="C216" s="7">
        <v>1</v>
      </c>
      <c r="D216" s="5">
        <v>7.27</v>
      </c>
      <c r="E216" s="5">
        <v>1260.4000000000001</v>
      </c>
      <c r="F216" s="5">
        <v>1274.5</v>
      </c>
      <c r="G216" s="6">
        <v>45210</v>
      </c>
      <c r="H216" s="5"/>
      <c r="I216" s="5"/>
      <c r="J216" s="5">
        <f t="shared" si="30"/>
        <v>14.099999999999909</v>
      </c>
      <c r="K216" s="8" t="b">
        <f t="shared" si="31"/>
        <v>1</v>
      </c>
    </row>
    <row r="217" spans="1:11">
      <c r="A217" s="5" t="s">
        <v>199</v>
      </c>
      <c r="B217" s="22">
        <v>45211</v>
      </c>
      <c r="C217" s="7">
        <v>0.5</v>
      </c>
      <c r="D217" s="5">
        <v>14.54</v>
      </c>
      <c r="E217" s="5">
        <v>1274.5</v>
      </c>
      <c r="F217" s="5">
        <v>1287.2</v>
      </c>
      <c r="G217" s="6">
        <v>45211</v>
      </c>
      <c r="H217" s="5"/>
      <c r="I217" s="5"/>
      <c r="J217" s="5">
        <f t="shared" si="30"/>
        <v>12.700000000000045</v>
      </c>
      <c r="K217" s="8" t="b">
        <f t="shared" si="31"/>
        <v>1</v>
      </c>
    </row>
    <row r="218" spans="1:11">
      <c r="A218" s="5" t="s">
        <v>202</v>
      </c>
      <c r="B218" s="22">
        <v>45212</v>
      </c>
      <c r="C218" s="7">
        <v>0.5</v>
      </c>
      <c r="D218" s="5">
        <v>14.54</v>
      </c>
      <c r="E218" s="5">
        <v>1287.2</v>
      </c>
      <c r="F218" s="5">
        <v>1301.5</v>
      </c>
      <c r="G218" s="6">
        <v>45212</v>
      </c>
      <c r="H218" s="5"/>
      <c r="I218" s="5"/>
      <c r="J218" s="5">
        <f t="shared" si="30"/>
        <v>14.299999999999955</v>
      </c>
      <c r="K218" s="8" t="b">
        <f t="shared" si="31"/>
        <v>1</v>
      </c>
    </row>
    <row r="219" spans="1:11">
      <c r="A219" s="5" t="s">
        <v>199</v>
      </c>
      <c r="B219" s="22">
        <v>45213</v>
      </c>
      <c r="C219" s="7">
        <v>0.5</v>
      </c>
      <c r="D219" s="5">
        <v>14.54</v>
      </c>
      <c r="E219" s="5">
        <v>1301.5</v>
      </c>
      <c r="F219" s="5">
        <v>1316</v>
      </c>
      <c r="G219" s="6">
        <v>45213</v>
      </c>
      <c r="H219" s="5"/>
      <c r="I219" s="5"/>
      <c r="J219" s="5">
        <f t="shared" si="30"/>
        <v>14.5</v>
      </c>
      <c r="K219" s="8" t="b">
        <f t="shared" si="31"/>
        <v>1</v>
      </c>
    </row>
    <row r="220" spans="1:11">
      <c r="A220" s="5" t="s">
        <v>202</v>
      </c>
      <c r="B220" s="22">
        <v>45214</v>
      </c>
      <c r="C220" s="7">
        <v>0.5</v>
      </c>
      <c r="D220" s="5">
        <v>14.54</v>
      </c>
      <c r="E220" s="5">
        <v>1316</v>
      </c>
      <c r="F220" s="5">
        <v>1330.1</v>
      </c>
      <c r="G220" s="6">
        <v>45214</v>
      </c>
      <c r="H220" s="5"/>
      <c r="I220" s="5"/>
      <c r="J220" s="5">
        <f t="shared" si="30"/>
        <v>14.099999999999909</v>
      </c>
      <c r="K220" s="8" t="b">
        <f t="shared" si="31"/>
        <v>1</v>
      </c>
    </row>
    <row r="221" spans="1:11">
      <c r="A221" s="5" t="s">
        <v>199</v>
      </c>
      <c r="B221" s="22">
        <v>45215</v>
      </c>
      <c r="C221" s="7">
        <v>0.5</v>
      </c>
      <c r="D221" s="5">
        <v>14.54</v>
      </c>
      <c r="E221" s="5">
        <v>1330.1</v>
      </c>
      <c r="F221" s="5">
        <v>1344.2</v>
      </c>
      <c r="G221" s="6">
        <v>45215</v>
      </c>
      <c r="H221" s="5"/>
      <c r="I221" s="5"/>
      <c r="J221" s="5">
        <f t="shared" ref="J221:J232" si="32">F221-E221</f>
        <v>14.100000000000136</v>
      </c>
      <c r="K221" s="8" t="b">
        <f t="shared" ref="K221:K232" si="33">E221=F220</f>
        <v>1</v>
      </c>
    </row>
    <row r="222" spans="1:11">
      <c r="A222" s="5" t="s">
        <v>202</v>
      </c>
      <c r="B222" s="22">
        <v>45216</v>
      </c>
      <c r="C222" s="7">
        <v>0.5</v>
      </c>
      <c r="D222" s="5">
        <v>14.54</v>
      </c>
      <c r="E222" s="5">
        <v>1344.2</v>
      </c>
      <c r="F222" s="5">
        <v>1359</v>
      </c>
      <c r="G222" s="6">
        <v>45216</v>
      </c>
      <c r="H222" s="5"/>
      <c r="I222" s="5"/>
      <c r="J222" s="5">
        <f t="shared" si="32"/>
        <v>14.799999999999955</v>
      </c>
      <c r="K222" s="8" t="b">
        <f t="shared" si="33"/>
        <v>1</v>
      </c>
    </row>
    <row r="223" spans="1:11">
      <c r="A223" s="5" t="s">
        <v>199</v>
      </c>
      <c r="B223" s="22">
        <v>45217</v>
      </c>
      <c r="C223" s="7">
        <v>0.5</v>
      </c>
      <c r="D223" s="5">
        <v>14.54</v>
      </c>
      <c r="E223" s="5">
        <v>1359</v>
      </c>
      <c r="F223" s="5">
        <v>1373.4</v>
      </c>
      <c r="G223" s="6">
        <v>45217</v>
      </c>
      <c r="H223" s="5"/>
      <c r="I223" s="5"/>
      <c r="J223" s="5">
        <f t="shared" si="32"/>
        <v>14.400000000000091</v>
      </c>
      <c r="K223" s="8" t="b">
        <f t="shared" si="33"/>
        <v>1</v>
      </c>
    </row>
    <row r="224" spans="1:11">
      <c r="A224" s="5" t="s">
        <v>202</v>
      </c>
      <c r="B224" s="22">
        <v>45218</v>
      </c>
      <c r="C224" s="7">
        <v>0.5</v>
      </c>
      <c r="D224" s="5">
        <v>14.54</v>
      </c>
      <c r="E224" s="5">
        <v>1373.4</v>
      </c>
      <c r="F224" s="5">
        <v>1387.4</v>
      </c>
      <c r="G224" s="6">
        <v>45218</v>
      </c>
      <c r="H224" s="5"/>
      <c r="I224" s="5"/>
      <c r="J224" s="5">
        <f t="shared" si="32"/>
        <v>14</v>
      </c>
      <c r="K224" s="8" t="b">
        <f t="shared" si="33"/>
        <v>1</v>
      </c>
    </row>
    <row r="225" spans="1:11">
      <c r="A225" s="25" t="s">
        <v>203</v>
      </c>
      <c r="B225" s="26">
        <v>45219</v>
      </c>
      <c r="C225" s="27">
        <v>1</v>
      </c>
      <c r="D225" s="25">
        <v>7.27</v>
      </c>
      <c r="E225" s="25">
        <v>1387.4</v>
      </c>
      <c r="F225" s="25">
        <v>1401.1</v>
      </c>
      <c r="G225" s="26">
        <v>45219</v>
      </c>
      <c r="H225" s="25"/>
      <c r="I225" s="25"/>
      <c r="J225" s="25">
        <f t="shared" si="32"/>
        <v>13.699999999999818</v>
      </c>
      <c r="K225" s="8" t="b">
        <f t="shared" si="33"/>
        <v>1</v>
      </c>
    </row>
    <row r="226" spans="1:11">
      <c r="A226" s="5" t="s">
        <v>202</v>
      </c>
      <c r="B226" s="22">
        <v>45220</v>
      </c>
      <c r="C226" s="7">
        <v>0.5</v>
      </c>
      <c r="D226" s="21">
        <v>14.54</v>
      </c>
      <c r="E226" s="5">
        <v>1401.1</v>
      </c>
      <c r="F226" s="5">
        <v>1410.1</v>
      </c>
      <c r="G226" s="6">
        <v>45220</v>
      </c>
      <c r="H226" s="5"/>
      <c r="I226" s="5"/>
      <c r="J226" s="5">
        <f t="shared" si="32"/>
        <v>9</v>
      </c>
      <c r="K226" s="8" t="b">
        <f t="shared" si="33"/>
        <v>1</v>
      </c>
    </row>
    <row r="227" spans="1:11">
      <c r="A227" s="5" t="s">
        <v>199</v>
      </c>
      <c r="B227" s="22">
        <v>45221</v>
      </c>
      <c r="C227" s="7">
        <v>0.5</v>
      </c>
      <c r="D227" s="5">
        <v>14.54</v>
      </c>
      <c r="E227" s="5">
        <v>1410.1</v>
      </c>
      <c r="F227" s="5">
        <v>1421.9</v>
      </c>
      <c r="G227" s="6">
        <v>45221</v>
      </c>
      <c r="H227" s="5"/>
      <c r="I227" s="5"/>
      <c r="J227" s="5">
        <f t="shared" si="32"/>
        <v>11.800000000000182</v>
      </c>
      <c r="K227" s="8" t="b">
        <f t="shared" si="33"/>
        <v>1</v>
      </c>
    </row>
    <row r="228" spans="1:11">
      <c r="A228" s="5" t="s">
        <v>202</v>
      </c>
      <c r="B228" s="22">
        <v>45222</v>
      </c>
      <c r="C228" s="7">
        <v>0.5</v>
      </c>
      <c r="D228" s="5">
        <v>14.54</v>
      </c>
      <c r="E228" s="5">
        <v>1421.9</v>
      </c>
      <c r="F228" s="5">
        <v>1435.7</v>
      </c>
      <c r="G228" s="6">
        <v>45222</v>
      </c>
      <c r="H228" s="5"/>
      <c r="I228" s="5"/>
      <c r="J228" s="5">
        <f t="shared" si="32"/>
        <v>13.799999999999955</v>
      </c>
      <c r="K228" s="8" t="b">
        <f t="shared" si="33"/>
        <v>1</v>
      </c>
    </row>
    <row r="229" spans="1:11">
      <c r="A229" s="5" t="s">
        <v>199</v>
      </c>
      <c r="B229" s="22">
        <v>45223</v>
      </c>
      <c r="C229" s="7">
        <v>0.5</v>
      </c>
      <c r="D229" s="5">
        <v>14.54</v>
      </c>
      <c r="E229" s="5">
        <v>1435.7</v>
      </c>
      <c r="F229" s="5">
        <v>1450.3</v>
      </c>
      <c r="G229" s="6">
        <v>45223</v>
      </c>
      <c r="H229" s="5"/>
      <c r="I229" s="5"/>
      <c r="J229" s="5">
        <f t="shared" si="32"/>
        <v>14.599999999999909</v>
      </c>
      <c r="K229" s="8" t="b">
        <f t="shared" si="33"/>
        <v>1</v>
      </c>
    </row>
    <row r="230" spans="1:11">
      <c r="A230" s="5" t="s">
        <v>202</v>
      </c>
      <c r="B230" s="22">
        <v>45224</v>
      </c>
      <c r="C230" s="7">
        <v>0.5</v>
      </c>
      <c r="D230" s="5">
        <v>14.54</v>
      </c>
      <c r="E230" s="5">
        <v>1450.3</v>
      </c>
      <c r="F230" s="5">
        <v>1464.6</v>
      </c>
      <c r="G230" s="6">
        <v>45224</v>
      </c>
      <c r="H230" s="5"/>
      <c r="I230" s="5"/>
      <c r="J230" s="5">
        <f t="shared" si="32"/>
        <v>14.299999999999955</v>
      </c>
      <c r="K230" s="8" t="b">
        <f t="shared" si="33"/>
        <v>1</v>
      </c>
    </row>
    <row r="231" spans="1:11">
      <c r="A231" s="101" t="s">
        <v>199</v>
      </c>
      <c r="B231" s="102">
        <v>45225</v>
      </c>
      <c r="C231" s="103">
        <v>0.5</v>
      </c>
      <c r="D231" s="101">
        <v>14.54</v>
      </c>
      <c r="E231" s="101">
        <v>1464.6</v>
      </c>
      <c r="F231" s="101">
        <v>1471.2</v>
      </c>
      <c r="G231" s="102">
        <v>45225</v>
      </c>
      <c r="H231" s="101"/>
      <c r="I231" s="101"/>
      <c r="J231" s="101">
        <f t="shared" si="32"/>
        <v>6.6000000000001364</v>
      </c>
      <c r="K231" s="8" t="b">
        <f t="shared" si="33"/>
        <v>1</v>
      </c>
    </row>
    <row r="232" spans="1:11">
      <c r="A232" s="5" t="s">
        <v>199</v>
      </c>
      <c r="B232" s="22">
        <v>45227</v>
      </c>
      <c r="C232" s="7">
        <v>0.5</v>
      </c>
      <c r="D232" s="5">
        <v>14.54</v>
      </c>
      <c r="E232" s="5">
        <v>1471.2</v>
      </c>
      <c r="F232" s="5">
        <v>1485.8</v>
      </c>
      <c r="G232" s="6">
        <v>45227</v>
      </c>
      <c r="H232" s="5"/>
      <c r="I232" s="5"/>
      <c r="J232" s="5">
        <f t="shared" si="32"/>
        <v>14.599999999999909</v>
      </c>
      <c r="K232" s="8" t="b">
        <f t="shared" si="33"/>
        <v>1</v>
      </c>
    </row>
    <row r="233" spans="1:11">
      <c r="A233" s="5" t="s">
        <v>202</v>
      </c>
      <c r="B233" s="22">
        <v>45228</v>
      </c>
      <c r="C233" s="7">
        <v>0.5</v>
      </c>
      <c r="D233" s="5">
        <v>14.54</v>
      </c>
      <c r="E233" s="5">
        <v>1485.8</v>
      </c>
      <c r="F233" s="5">
        <v>1500.1</v>
      </c>
      <c r="G233" s="6">
        <v>45228</v>
      </c>
      <c r="H233" s="5"/>
      <c r="I233" s="5"/>
      <c r="J233" s="5">
        <f t="shared" ref="J233:J244" si="34">F233-E233</f>
        <v>14.299999999999955</v>
      </c>
      <c r="K233" s="8" t="b">
        <f t="shared" ref="K233:K244" si="35">E233=F232</f>
        <v>1</v>
      </c>
    </row>
    <row r="234" spans="1:11">
      <c r="A234" s="5" t="s">
        <v>199</v>
      </c>
      <c r="B234" s="22">
        <v>45229</v>
      </c>
      <c r="C234" s="7">
        <v>0.5</v>
      </c>
      <c r="D234" s="5">
        <v>14.54</v>
      </c>
      <c r="E234" s="5">
        <v>1500.1</v>
      </c>
      <c r="F234" s="5">
        <v>1514.3</v>
      </c>
      <c r="G234" s="6">
        <v>45229</v>
      </c>
      <c r="H234" s="5"/>
      <c r="I234" s="5"/>
      <c r="J234" s="5">
        <f t="shared" si="34"/>
        <v>14.200000000000045</v>
      </c>
      <c r="K234" s="8" t="b">
        <f t="shared" si="35"/>
        <v>1</v>
      </c>
    </row>
    <row r="235" spans="1:11">
      <c r="A235" s="5" t="s">
        <v>202</v>
      </c>
      <c r="B235" s="22">
        <v>45230</v>
      </c>
      <c r="C235" s="7">
        <v>0.5</v>
      </c>
      <c r="D235" s="5">
        <v>14.54</v>
      </c>
      <c r="E235" s="5">
        <v>1514.3</v>
      </c>
      <c r="F235" s="5">
        <v>1528.8</v>
      </c>
      <c r="G235" s="6">
        <v>45230</v>
      </c>
      <c r="H235" s="5"/>
      <c r="I235" s="5"/>
      <c r="J235" s="5">
        <f t="shared" si="34"/>
        <v>14.5</v>
      </c>
      <c r="K235" s="8" t="b">
        <f t="shared" si="35"/>
        <v>1</v>
      </c>
    </row>
    <row r="236" spans="1:11">
      <c r="A236" s="5" t="s">
        <v>199</v>
      </c>
      <c r="B236" s="22">
        <v>45231</v>
      </c>
      <c r="C236" s="7">
        <v>0.5</v>
      </c>
      <c r="D236" s="5">
        <v>14.54</v>
      </c>
      <c r="E236" s="5">
        <v>1528.8</v>
      </c>
      <c r="F236" s="5">
        <v>1543.1</v>
      </c>
      <c r="G236" s="6">
        <v>45231</v>
      </c>
      <c r="H236" s="5"/>
      <c r="I236" s="5"/>
      <c r="J236" s="5">
        <f t="shared" si="34"/>
        <v>14.299999999999955</v>
      </c>
      <c r="K236" s="8" t="b">
        <f t="shared" si="35"/>
        <v>1</v>
      </c>
    </row>
    <row r="237" spans="1:11">
      <c r="A237" s="5" t="s">
        <v>202</v>
      </c>
      <c r="B237" s="22">
        <v>45232</v>
      </c>
      <c r="C237" s="7">
        <v>0.5</v>
      </c>
      <c r="D237" s="5">
        <v>14.54</v>
      </c>
      <c r="E237" s="5">
        <v>1543.1</v>
      </c>
      <c r="F237" s="5">
        <v>1557.7</v>
      </c>
      <c r="G237" s="6">
        <v>45232</v>
      </c>
      <c r="H237" s="5"/>
      <c r="I237" s="5"/>
      <c r="J237" s="5">
        <f t="shared" si="34"/>
        <v>14.600000000000136</v>
      </c>
      <c r="K237" s="8" t="b">
        <f t="shared" si="35"/>
        <v>1</v>
      </c>
    </row>
    <row r="238" spans="1:11">
      <c r="A238" s="5" t="s">
        <v>202</v>
      </c>
      <c r="B238" s="22">
        <v>45236</v>
      </c>
      <c r="C238" s="7">
        <v>0.75</v>
      </c>
      <c r="D238" s="5">
        <v>9.69</v>
      </c>
      <c r="E238" s="5">
        <v>1557.7</v>
      </c>
      <c r="F238" s="5">
        <v>1568</v>
      </c>
      <c r="G238" s="6">
        <v>45236</v>
      </c>
      <c r="H238" s="5"/>
      <c r="I238" s="5"/>
      <c r="J238" s="5">
        <f t="shared" si="34"/>
        <v>10.299999999999955</v>
      </c>
      <c r="K238" s="8" t="b">
        <f t="shared" si="35"/>
        <v>1</v>
      </c>
    </row>
    <row r="239" spans="1:11">
      <c r="A239" s="5" t="s">
        <v>199</v>
      </c>
      <c r="B239" s="22">
        <v>45237</v>
      </c>
      <c r="C239" s="7">
        <v>0.5</v>
      </c>
      <c r="D239" s="5">
        <v>14.54</v>
      </c>
      <c r="E239" s="5">
        <v>1568</v>
      </c>
      <c r="F239" s="5">
        <v>1582.4</v>
      </c>
      <c r="G239" s="6">
        <v>45237</v>
      </c>
      <c r="H239" s="5"/>
      <c r="I239" s="5"/>
      <c r="J239" s="5">
        <f t="shared" si="34"/>
        <v>14.400000000000091</v>
      </c>
      <c r="K239" s="8" t="b">
        <f t="shared" si="35"/>
        <v>1</v>
      </c>
    </row>
    <row r="240" spans="1:11">
      <c r="A240" s="5" t="s">
        <v>202</v>
      </c>
      <c r="B240" s="22">
        <v>45238</v>
      </c>
      <c r="C240" s="7">
        <v>0.5</v>
      </c>
      <c r="D240" s="5">
        <v>14.54</v>
      </c>
      <c r="E240" s="5">
        <v>1582.4</v>
      </c>
      <c r="F240" s="5">
        <v>1596.6</v>
      </c>
      <c r="G240" s="6">
        <v>45238</v>
      </c>
      <c r="H240" s="5"/>
      <c r="I240" s="5"/>
      <c r="J240" s="5">
        <f t="shared" si="34"/>
        <v>14.199999999999818</v>
      </c>
      <c r="K240" s="8" t="b">
        <f t="shared" si="35"/>
        <v>1</v>
      </c>
    </row>
    <row r="241" spans="1:11">
      <c r="A241" s="5" t="s">
        <v>199</v>
      </c>
      <c r="B241" s="22">
        <v>45239</v>
      </c>
      <c r="C241" s="7">
        <v>0.5</v>
      </c>
      <c r="D241" s="5">
        <v>14.54</v>
      </c>
      <c r="E241" s="5">
        <v>1596.6</v>
      </c>
      <c r="F241" s="5">
        <v>1611.1</v>
      </c>
      <c r="G241" s="6">
        <v>45239</v>
      </c>
      <c r="H241" s="5"/>
      <c r="I241" s="5"/>
      <c r="J241" s="5">
        <f t="shared" si="34"/>
        <v>14.5</v>
      </c>
      <c r="K241" s="8" t="b">
        <f t="shared" si="35"/>
        <v>1</v>
      </c>
    </row>
    <row r="242" spans="1:11">
      <c r="A242" s="5" t="s">
        <v>203</v>
      </c>
      <c r="B242" s="22">
        <v>45241</v>
      </c>
      <c r="C242" s="7">
        <v>0.8</v>
      </c>
      <c r="D242" s="5">
        <v>9.09</v>
      </c>
      <c r="E242" s="5">
        <v>1611.1</v>
      </c>
      <c r="F242" s="5">
        <v>1628.8</v>
      </c>
      <c r="G242" s="6">
        <v>45241</v>
      </c>
      <c r="H242" s="5"/>
      <c r="I242" s="5"/>
      <c r="J242" s="5">
        <f t="shared" si="34"/>
        <v>17.700000000000045</v>
      </c>
      <c r="K242" s="8" t="b">
        <f t="shared" si="35"/>
        <v>1</v>
      </c>
    </row>
    <row r="243" spans="1:11">
      <c r="A243" s="5" t="s">
        <v>203</v>
      </c>
      <c r="B243" s="22">
        <v>45243</v>
      </c>
      <c r="C243" s="7">
        <v>0.8</v>
      </c>
      <c r="D243" s="5">
        <v>9.09</v>
      </c>
      <c r="E243" s="5">
        <v>1628.8</v>
      </c>
      <c r="F243" s="5">
        <v>1647</v>
      </c>
      <c r="G243" s="6">
        <v>45243</v>
      </c>
      <c r="H243" s="5"/>
      <c r="I243" s="5"/>
      <c r="J243" s="5">
        <f t="shared" si="34"/>
        <v>18.200000000000045</v>
      </c>
      <c r="K243" s="8" t="b">
        <f t="shared" si="35"/>
        <v>1</v>
      </c>
    </row>
    <row r="244" spans="1:11">
      <c r="A244" s="5" t="s">
        <v>203</v>
      </c>
      <c r="B244" s="22">
        <v>45245</v>
      </c>
      <c r="C244" s="7">
        <v>0.7</v>
      </c>
      <c r="D244" s="5">
        <v>10.39</v>
      </c>
      <c r="E244" s="5">
        <v>1647</v>
      </c>
      <c r="F244" s="5">
        <v>1667.4</v>
      </c>
      <c r="G244" s="6">
        <v>45245</v>
      </c>
      <c r="H244" s="5"/>
      <c r="I244" s="5"/>
      <c r="J244" s="5">
        <f t="shared" si="34"/>
        <v>20.400000000000091</v>
      </c>
      <c r="K244" s="8" t="b">
        <f t="shared" si="35"/>
        <v>1</v>
      </c>
    </row>
    <row r="245" spans="1:11">
      <c r="A245" s="5" t="s">
        <v>203</v>
      </c>
      <c r="B245" s="22">
        <v>45247</v>
      </c>
      <c r="C245" s="7">
        <v>0.8</v>
      </c>
      <c r="D245" s="5">
        <v>9.09</v>
      </c>
      <c r="E245" s="5">
        <v>1667.4</v>
      </c>
      <c r="F245" s="5">
        <v>1685</v>
      </c>
      <c r="G245" s="6">
        <v>45247</v>
      </c>
      <c r="H245" s="5"/>
      <c r="I245" s="5"/>
      <c r="J245" s="5">
        <f t="shared" ref="J245:J256" si="36">F245-E245</f>
        <v>17.599999999999909</v>
      </c>
      <c r="K245" s="8" t="b">
        <f t="shared" ref="K245:K256" si="37">E245=F244</f>
        <v>1</v>
      </c>
    </row>
    <row r="246" spans="1:11">
      <c r="A246" s="5" t="s">
        <v>203</v>
      </c>
      <c r="B246" s="22">
        <v>45249</v>
      </c>
      <c r="C246" s="7">
        <v>0.8</v>
      </c>
      <c r="D246" s="5">
        <v>9.09</v>
      </c>
      <c r="E246" s="5">
        <v>1685</v>
      </c>
      <c r="F246" s="5">
        <v>1694.3</v>
      </c>
      <c r="G246" s="6">
        <v>45249</v>
      </c>
      <c r="H246" s="5"/>
      <c r="I246" s="5"/>
      <c r="J246" s="5">
        <f t="shared" si="36"/>
        <v>9.2999999999999545</v>
      </c>
      <c r="K246" s="8" t="b">
        <f t="shared" si="37"/>
        <v>1</v>
      </c>
    </row>
    <row r="247" spans="1:11" ht="26.25">
      <c r="A247" s="199" t="s">
        <v>190</v>
      </c>
      <c r="B247" s="200"/>
      <c r="C247" s="200"/>
      <c r="D247" s="200"/>
      <c r="E247" s="200"/>
      <c r="F247" s="200"/>
      <c r="G247" s="200"/>
      <c r="H247" s="200"/>
      <c r="I247" s="200"/>
      <c r="J247" s="200"/>
      <c r="K247" s="201"/>
    </row>
    <row r="248" spans="1:11" ht="26.25">
      <c r="A248" s="202" t="s">
        <v>19</v>
      </c>
      <c r="B248" s="203"/>
      <c r="C248" s="203"/>
      <c r="D248" s="203"/>
      <c r="E248" s="203"/>
      <c r="F248" s="203"/>
      <c r="G248" s="203"/>
      <c r="H248" s="203"/>
      <c r="I248" s="203"/>
      <c r="J248" s="203"/>
      <c r="K248" s="204"/>
    </row>
    <row r="249" spans="1:11" ht="15.75" thickBot="1"/>
    <row r="250" spans="1:11" ht="15.75" thickBot="1">
      <c r="A250" s="132" t="s">
        <v>2</v>
      </c>
      <c r="B250" s="133"/>
      <c r="C250" s="133"/>
      <c r="D250" s="133"/>
      <c r="E250" s="133"/>
      <c r="F250" s="133"/>
      <c r="G250" s="133"/>
      <c r="H250" s="133"/>
      <c r="I250" s="133"/>
      <c r="J250" s="133"/>
      <c r="K250" s="134"/>
    </row>
    <row r="252" spans="1:11" ht="19.5" thickBot="1">
      <c r="A252" s="1" t="s">
        <v>3</v>
      </c>
      <c r="B252" s="1"/>
      <c r="C252" s="1"/>
      <c r="D252" s="1"/>
      <c r="E252" s="1"/>
      <c r="F252" s="1"/>
      <c r="G252" s="1"/>
      <c r="H252" s="1"/>
      <c r="I252" s="1"/>
    </row>
    <row r="253" spans="1:11" ht="30.75" thickBot="1">
      <c r="A253" s="2" t="s">
        <v>4</v>
      </c>
      <c r="B253" s="3" t="s">
        <v>5</v>
      </c>
      <c r="C253" s="3" t="s">
        <v>6</v>
      </c>
      <c r="D253" s="3" t="s">
        <v>7</v>
      </c>
      <c r="E253" s="3" t="s">
        <v>8</v>
      </c>
      <c r="F253" s="3" t="s">
        <v>9</v>
      </c>
      <c r="G253" s="3" t="s">
        <v>10</v>
      </c>
      <c r="H253" s="3" t="s">
        <v>21</v>
      </c>
      <c r="I253" s="4" t="s">
        <v>22</v>
      </c>
      <c r="J253" s="4" t="s">
        <v>11</v>
      </c>
      <c r="K253" s="4" t="s">
        <v>12</v>
      </c>
    </row>
    <row r="254" spans="1:11">
      <c r="A254" s="5" t="s">
        <v>204</v>
      </c>
      <c r="B254" s="22">
        <v>45304</v>
      </c>
      <c r="C254" s="7">
        <v>0.8</v>
      </c>
      <c r="D254" s="5">
        <v>9.09</v>
      </c>
      <c r="E254" s="5">
        <v>0</v>
      </c>
      <c r="F254" s="5">
        <v>17.8</v>
      </c>
      <c r="G254" s="6">
        <v>45304</v>
      </c>
      <c r="H254" s="5"/>
      <c r="I254" s="5"/>
      <c r="J254" s="5">
        <f t="shared" si="36"/>
        <v>17.8</v>
      </c>
      <c r="K254" s="8" t="b">
        <f t="shared" si="37"/>
        <v>0</v>
      </c>
    </row>
    <row r="255" spans="1:11">
      <c r="A255" s="5" t="s">
        <v>204</v>
      </c>
      <c r="B255" s="22">
        <v>45305</v>
      </c>
      <c r="C255" s="7">
        <v>0.8</v>
      </c>
      <c r="D255" s="5">
        <v>9.09</v>
      </c>
      <c r="E255" s="5">
        <v>17.8</v>
      </c>
      <c r="F255" s="5">
        <v>24.5</v>
      </c>
      <c r="G255" s="6">
        <v>45305</v>
      </c>
      <c r="H255" s="5"/>
      <c r="I255" s="5"/>
      <c r="J255" s="5">
        <f t="shared" si="36"/>
        <v>6.6999999999999993</v>
      </c>
      <c r="K255" s="8" t="b">
        <f t="shared" si="37"/>
        <v>1</v>
      </c>
    </row>
    <row r="256" spans="1:11">
      <c r="A256" s="5" t="s">
        <v>204</v>
      </c>
      <c r="B256" s="22">
        <v>45307</v>
      </c>
      <c r="C256" s="7">
        <v>1</v>
      </c>
      <c r="D256" s="5">
        <v>7.27</v>
      </c>
      <c r="E256" s="5">
        <v>24.5</v>
      </c>
      <c r="F256" s="5">
        <v>39</v>
      </c>
      <c r="G256" s="6">
        <v>45307</v>
      </c>
      <c r="H256" s="5"/>
      <c r="I256" s="5"/>
      <c r="J256" s="5">
        <f t="shared" si="36"/>
        <v>14.5</v>
      </c>
      <c r="K256" s="8" t="b">
        <f t="shared" si="37"/>
        <v>1</v>
      </c>
    </row>
    <row r="257" spans="1:11">
      <c r="A257" s="5" t="s">
        <v>204</v>
      </c>
      <c r="B257" s="22">
        <v>45308</v>
      </c>
      <c r="C257" s="7">
        <v>1</v>
      </c>
      <c r="D257" s="5">
        <v>7.27</v>
      </c>
      <c r="E257" s="5">
        <v>39</v>
      </c>
      <c r="F257" s="5">
        <v>53.4</v>
      </c>
      <c r="G257" s="6">
        <v>45308</v>
      </c>
      <c r="H257" s="5"/>
      <c r="I257" s="5"/>
      <c r="J257" s="5">
        <f t="shared" ref="J257:J260" si="38">F257-E257</f>
        <v>14.399999999999999</v>
      </c>
      <c r="K257" s="8" t="b">
        <f t="shared" ref="K257:K260" si="39">E257=F256</f>
        <v>1</v>
      </c>
    </row>
    <row r="258" spans="1:11">
      <c r="A258" s="5" t="s">
        <v>204</v>
      </c>
      <c r="B258" s="22">
        <v>45309</v>
      </c>
      <c r="C258" s="7">
        <v>1</v>
      </c>
      <c r="D258" s="5">
        <v>7.27</v>
      </c>
      <c r="E258" s="5">
        <v>53.4</v>
      </c>
      <c r="F258" s="5">
        <v>67.8</v>
      </c>
      <c r="G258" s="6">
        <v>45309</v>
      </c>
      <c r="H258" s="5"/>
      <c r="I258" s="5"/>
      <c r="J258" s="5">
        <f t="shared" si="38"/>
        <v>14.399999999999999</v>
      </c>
      <c r="K258" s="8" t="b">
        <f t="shared" si="39"/>
        <v>1</v>
      </c>
    </row>
    <row r="259" spans="1:11">
      <c r="A259" s="5" t="s">
        <v>204</v>
      </c>
      <c r="B259" s="22">
        <v>45310</v>
      </c>
      <c r="C259" s="7">
        <v>1</v>
      </c>
      <c r="D259" s="5">
        <v>7.27</v>
      </c>
      <c r="E259" s="5">
        <v>67.8</v>
      </c>
      <c r="F259" s="5">
        <v>82.2</v>
      </c>
      <c r="G259" s="6">
        <v>45310</v>
      </c>
      <c r="H259" s="5"/>
      <c r="I259" s="5"/>
      <c r="J259" s="5">
        <f t="shared" si="38"/>
        <v>14.400000000000006</v>
      </c>
      <c r="K259" s="8" t="b">
        <f t="shared" si="39"/>
        <v>1</v>
      </c>
    </row>
    <row r="260" spans="1:11">
      <c r="A260" s="5" t="s">
        <v>204</v>
      </c>
      <c r="B260" s="22">
        <v>45311</v>
      </c>
      <c r="C260" s="7">
        <v>1</v>
      </c>
      <c r="D260" s="5">
        <v>7.27</v>
      </c>
      <c r="E260" s="5">
        <v>82.2</v>
      </c>
      <c r="F260" s="5">
        <v>96.5</v>
      </c>
      <c r="G260" s="6">
        <v>45311</v>
      </c>
      <c r="H260" s="5"/>
      <c r="I260" s="5"/>
      <c r="J260" s="5">
        <f t="shared" si="38"/>
        <v>14.299999999999997</v>
      </c>
      <c r="K260" s="8" t="b">
        <f t="shared" si="39"/>
        <v>1</v>
      </c>
    </row>
    <row r="261" spans="1:11">
      <c r="A261" s="5" t="s">
        <v>204</v>
      </c>
      <c r="B261" s="22">
        <v>45312</v>
      </c>
      <c r="C261" s="7">
        <v>1</v>
      </c>
      <c r="D261" s="5">
        <v>7.27</v>
      </c>
      <c r="E261" s="5">
        <v>96.5</v>
      </c>
      <c r="F261" s="5">
        <v>110.9</v>
      </c>
      <c r="G261" s="6">
        <v>45312</v>
      </c>
      <c r="H261" s="5"/>
      <c r="I261" s="5"/>
      <c r="J261" s="5">
        <f t="shared" ref="J261:J270" si="40">F261-E261</f>
        <v>14.400000000000006</v>
      </c>
      <c r="K261" s="8" t="b">
        <f t="shared" ref="K261:K270" si="41">E261=F260</f>
        <v>1</v>
      </c>
    </row>
    <row r="262" spans="1:11">
      <c r="A262" s="5" t="s">
        <v>204</v>
      </c>
      <c r="B262" s="102">
        <v>45313</v>
      </c>
      <c r="C262" s="103">
        <v>1</v>
      </c>
      <c r="D262" s="101">
        <v>7.27</v>
      </c>
      <c r="E262" s="101">
        <v>110.9</v>
      </c>
      <c r="F262" s="101">
        <v>114.2</v>
      </c>
      <c r="G262" s="102">
        <v>45313</v>
      </c>
      <c r="H262" s="101"/>
      <c r="I262" s="101"/>
      <c r="J262" s="101">
        <f t="shared" si="40"/>
        <v>3.2999999999999972</v>
      </c>
      <c r="K262" s="8" t="b">
        <f t="shared" si="41"/>
        <v>1</v>
      </c>
    </row>
    <row r="263" spans="1:11">
      <c r="A263" s="5" t="s">
        <v>204</v>
      </c>
      <c r="B263" s="22">
        <v>45316</v>
      </c>
      <c r="C263" s="7">
        <v>1</v>
      </c>
      <c r="D263" s="5">
        <v>7.27</v>
      </c>
      <c r="E263" s="5">
        <v>114.2</v>
      </c>
      <c r="F263" s="5">
        <v>128.6</v>
      </c>
      <c r="G263" s="6">
        <v>45316</v>
      </c>
      <c r="H263" s="5"/>
      <c r="I263" s="5"/>
      <c r="J263" s="5">
        <f t="shared" si="40"/>
        <v>14.399999999999991</v>
      </c>
      <c r="K263" s="8" t="b">
        <f t="shared" si="41"/>
        <v>1</v>
      </c>
    </row>
    <row r="264" spans="1:11">
      <c r="A264" s="5" t="s">
        <v>204</v>
      </c>
      <c r="B264" s="22">
        <v>45328</v>
      </c>
      <c r="C264" s="7">
        <v>0.7</v>
      </c>
      <c r="D264" s="5">
        <v>10.39</v>
      </c>
      <c r="E264" s="5">
        <v>128.6</v>
      </c>
      <c r="F264" s="5">
        <v>149.19999999999999</v>
      </c>
      <c r="G264" s="6">
        <v>45328</v>
      </c>
      <c r="H264" s="5"/>
      <c r="I264" s="5"/>
      <c r="J264" s="5">
        <f t="shared" si="40"/>
        <v>20.599999999999994</v>
      </c>
      <c r="K264" s="8" t="b">
        <f t="shared" si="41"/>
        <v>1</v>
      </c>
    </row>
    <row r="265" spans="1:11">
      <c r="A265" s="5" t="s">
        <v>204</v>
      </c>
      <c r="B265" s="22">
        <v>45336</v>
      </c>
      <c r="C265" s="7">
        <v>1</v>
      </c>
      <c r="D265" s="5">
        <v>7.27</v>
      </c>
      <c r="E265" s="5">
        <v>149.19999999999999</v>
      </c>
      <c r="F265" s="5">
        <v>163.80000000000001</v>
      </c>
      <c r="G265" s="6">
        <v>45336</v>
      </c>
      <c r="H265" s="5"/>
      <c r="I265" s="5"/>
      <c r="J265" s="5">
        <f t="shared" si="40"/>
        <v>14.600000000000023</v>
      </c>
      <c r="K265" s="8" t="b">
        <f t="shared" si="41"/>
        <v>1</v>
      </c>
    </row>
    <row r="266" spans="1:11">
      <c r="A266" s="5" t="s">
        <v>204</v>
      </c>
      <c r="B266" s="22">
        <v>45337</v>
      </c>
      <c r="C266" s="7">
        <v>1</v>
      </c>
      <c r="D266" s="5">
        <v>7.27</v>
      </c>
      <c r="E266" s="5">
        <v>163.80000000000001</v>
      </c>
      <c r="F266" s="5">
        <v>178.3</v>
      </c>
      <c r="G266" s="6">
        <v>45337</v>
      </c>
      <c r="H266" s="5"/>
      <c r="I266" s="5"/>
      <c r="J266" s="5">
        <f t="shared" si="40"/>
        <v>14.5</v>
      </c>
      <c r="K266" s="8" t="b">
        <f t="shared" si="41"/>
        <v>1</v>
      </c>
    </row>
    <row r="267" spans="1:11">
      <c r="A267" s="5" t="s">
        <v>204</v>
      </c>
      <c r="B267" s="22">
        <v>45351</v>
      </c>
      <c r="C267" s="7">
        <v>0.8</v>
      </c>
      <c r="D267" s="5">
        <v>9.09</v>
      </c>
      <c r="E267" s="5">
        <v>178.3</v>
      </c>
      <c r="F267" s="5">
        <v>196.2</v>
      </c>
      <c r="G267" s="6">
        <v>45351</v>
      </c>
      <c r="H267" s="5"/>
      <c r="I267" s="5"/>
      <c r="J267" s="5">
        <f t="shared" si="40"/>
        <v>17.899999999999977</v>
      </c>
      <c r="K267" s="8" t="b">
        <f t="shared" si="41"/>
        <v>1</v>
      </c>
    </row>
    <row r="268" spans="1:11">
      <c r="A268" s="5" t="s">
        <v>204</v>
      </c>
      <c r="B268" s="22">
        <v>45353</v>
      </c>
      <c r="C268" s="7">
        <v>0.8</v>
      </c>
      <c r="D268" s="5">
        <v>9.09</v>
      </c>
      <c r="E268" s="5">
        <v>196.2</v>
      </c>
      <c r="F268" s="5">
        <v>214</v>
      </c>
      <c r="G268" s="6">
        <v>45353</v>
      </c>
      <c r="H268" s="5"/>
      <c r="I268" s="5"/>
      <c r="J268" s="5">
        <f t="shared" si="40"/>
        <v>17.800000000000011</v>
      </c>
      <c r="K268" s="8" t="b">
        <f t="shared" si="41"/>
        <v>1</v>
      </c>
    </row>
    <row r="269" spans="1:11">
      <c r="A269" s="5" t="s">
        <v>204</v>
      </c>
      <c r="B269" s="22">
        <v>45361</v>
      </c>
      <c r="C269" s="7">
        <v>0.8</v>
      </c>
      <c r="D269" s="5">
        <v>9.09</v>
      </c>
      <c r="E269" s="5">
        <v>214</v>
      </c>
      <c r="F269" s="5">
        <v>232</v>
      </c>
      <c r="G269" s="6">
        <v>45361</v>
      </c>
      <c r="H269" s="5"/>
      <c r="I269" s="5"/>
      <c r="J269" s="5">
        <f t="shared" si="40"/>
        <v>18</v>
      </c>
      <c r="K269" s="8" t="b">
        <f t="shared" si="41"/>
        <v>1</v>
      </c>
    </row>
    <row r="270" spans="1:11">
      <c r="A270" s="5" t="s">
        <v>204</v>
      </c>
      <c r="B270" s="22">
        <v>45364</v>
      </c>
      <c r="C270" s="7">
        <v>0.7</v>
      </c>
      <c r="D270" s="5">
        <v>10.39</v>
      </c>
      <c r="E270" s="5">
        <v>232</v>
      </c>
      <c r="F270" s="5">
        <v>252.4</v>
      </c>
      <c r="G270" s="6">
        <v>45364</v>
      </c>
      <c r="H270" s="5"/>
      <c r="I270" s="5"/>
      <c r="J270" s="5">
        <f t="shared" si="40"/>
        <v>20.400000000000006</v>
      </c>
      <c r="K270" s="8" t="b">
        <f t="shared" si="41"/>
        <v>1</v>
      </c>
    </row>
    <row r="271" spans="1:11">
      <c r="A271" s="5" t="s">
        <v>204</v>
      </c>
      <c r="B271" s="22">
        <v>45366</v>
      </c>
      <c r="C271" s="7">
        <v>0.7</v>
      </c>
      <c r="D271" s="5">
        <v>10.39</v>
      </c>
      <c r="E271" s="5">
        <v>252.4</v>
      </c>
      <c r="F271" s="5">
        <v>272.60000000000002</v>
      </c>
      <c r="G271" s="6">
        <v>45366</v>
      </c>
      <c r="H271" s="5"/>
      <c r="I271" s="5"/>
      <c r="J271" s="5">
        <f>F271-E271</f>
        <v>20.200000000000017</v>
      </c>
      <c r="K271" s="8" t="b">
        <f>E271=F270</f>
        <v>1</v>
      </c>
    </row>
    <row r="272" spans="1:11">
      <c r="A272" s="5" t="s">
        <v>204</v>
      </c>
      <c r="B272" s="22">
        <v>45368</v>
      </c>
      <c r="C272" s="7">
        <v>0.6</v>
      </c>
      <c r="D272" s="5">
        <v>12.12</v>
      </c>
      <c r="E272" s="5">
        <v>272.60000000000002</v>
      </c>
      <c r="F272" s="5">
        <v>296.2</v>
      </c>
      <c r="G272" s="6">
        <v>45368</v>
      </c>
      <c r="H272" s="5"/>
      <c r="I272" s="5"/>
      <c r="J272" s="5">
        <f t="shared" ref="J272:J284" si="42">F272-E272</f>
        <v>23.599999999999966</v>
      </c>
      <c r="K272" s="8" t="b">
        <f t="shared" ref="K272:K303" si="43">E272=F271</f>
        <v>1</v>
      </c>
    </row>
    <row r="273" spans="1:11">
      <c r="A273" s="5" t="s">
        <v>204</v>
      </c>
      <c r="B273" s="22">
        <v>45371</v>
      </c>
      <c r="C273" s="7">
        <v>0.7</v>
      </c>
      <c r="D273" s="5">
        <v>10.119999999999999</v>
      </c>
      <c r="E273" s="5">
        <v>296.2</v>
      </c>
      <c r="F273" s="5">
        <v>299.2</v>
      </c>
      <c r="G273" s="6">
        <v>45371</v>
      </c>
      <c r="H273" s="5"/>
      <c r="I273" s="5"/>
      <c r="J273" s="5">
        <f t="shared" si="42"/>
        <v>3</v>
      </c>
      <c r="K273" s="8" t="b">
        <f t="shared" si="43"/>
        <v>1</v>
      </c>
    </row>
    <row r="274" spans="1:11">
      <c r="A274" s="5" t="s">
        <v>204</v>
      </c>
      <c r="B274" s="22">
        <v>45374</v>
      </c>
      <c r="C274" s="7">
        <v>0.7</v>
      </c>
      <c r="D274" s="5">
        <v>10.119999999999999</v>
      </c>
      <c r="E274" s="5">
        <v>299.2</v>
      </c>
      <c r="F274" s="5">
        <v>308</v>
      </c>
      <c r="G274" s="6">
        <v>45374</v>
      </c>
      <c r="H274" s="5"/>
      <c r="I274" s="5"/>
      <c r="J274" s="5">
        <f t="shared" si="42"/>
        <v>8.8000000000000114</v>
      </c>
      <c r="K274" s="8" t="b">
        <f t="shared" si="43"/>
        <v>1</v>
      </c>
    </row>
    <row r="275" spans="1:11">
      <c r="A275" s="5" t="s">
        <v>204</v>
      </c>
      <c r="B275" s="22">
        <v>45377</v>
      </c>
      <c r="C275" s="7">
        <v>0.7</v>
      </c>
      <c r="D275" s="5">
        <v>10.119999999999999</v>
      </c>
      <c r="E275" s="5">
        <v>308</v>
      </c>
      <c r="F275" s="5">
        <v>329.1</v>
      </c>
      <c r="G275" s="6">
        <v>45377</v>
      </c>
      <c r="H275" s="5"/>
      <c r="I275" s="5"/>
      <c r="J275" s="5">
        <f t="shared" si="42"/>
        <v>21.100000000000023</v>
      </c>
      <c r="K275" s="8" t="b">
        <f t="shared" si="43"/>
        <v>1</v>
      </c>
    </row>
    <row r="276" spans="1:11">
      <c r="A276" s="5" t="s">
        <v>204</v>
      </c>
      <c r="B276" s="22">
        <v>45380</v>
      </c>
      <c r="C276" s="7">
        <v>0.7</v>
      </c>
      <c r="D276" s="5">
        <v>10.119999999999999</v>
      </c>
      <c r="E276" s="5">
        <v>329.1</v>
      </c>
      <c r="F276" s="5">
        <v>349.7</v>
      </c>
      <c r="G276" s="6">
        <v>45380</v>
      </c>
      <c r="H276" s="5"/>
      <c r="I276" s="5"/>
      <c r="J276" s="5">
        <f t="shared" si="42"/>
        <v>20.599999999999966</v>
      </c>
      <c r="K276" s="8" t="b">
        <f t="shared" si="43"/>
        <v>1</v>
      </c>
    </row>
    <row r="277" spans="1:11">
      <c r="A277" s="5" t="s">
        <v>204</v>
      </c>
      <c r="B277" s="22">
        <v>45382</v>
      </c>
      <c r="C277" s="7">
        <v>1</v>
      </c>
      <c r="D277" s="5">
        <v>7.27</v>
      </c>
      <c r="E277" s="5">
        <v>349.7</v>
      </c>
      <c r="F277" s="5">
        <v>364.1</v>
      </c>
      <c r="G277" s="6">
        <v>45382</v>
      </c>
      <c r="H277" s="5"/>
      <c r="I277" s="5"/>
      <c r="J277" s="5">
        <f t="shared" si="42"/>
        <v>14.400000000000034</v>
      </c>
      <c r="K277" s="8" t="b">
        <f t="shared" si="43"/>
        <v>1</v>
      </c>
    </row>
    <row r="278" spans="1:11">
      <c r="A278" s="5" t="s">
        <v>204</v>
      </c>
      <c r="B278" s="22">
        <v>45384</v>
      </c>
      <c r="C278" s="7">
        <v>1</v>
      </c>
      <c r="D278" s="5">
        <v>7.27</v>
      </c>
      <c r="E278" s="5">
        <v>346.1</v>
      </c>
      <c r="F278" s="5">
        <v>378.5</v>
      </c>
      <c r="G278" s="6">
        <v>45384</v>
      </c>
      <c r="H278" s="5"/>
      <c r="I278" s="5"/>
      <c r="J278" s="5">
        <f t="shared" si="42"/>
        <v>32.399999999999977</v>
      </c>
      <c r="K278" s="8" t="b">
        <f t="shared" si="43"/>
        <v>0</v>
      </c>
    </row>
    <row r="279" spans="1:11">
      <c r="A279" s="5" t="s">
        <v>204</v>
      </c>
      <c r="B279" s="22">
        <v>45386</v>
      </c>
      <c r="C279" s="7">
        <v>1</v>
      </c>
      <c r="D279" s="5">
        <v>7.27</v>
      </c>
      <c r="E279" s="5">
        <v>378.5</v>
      </c>
      <c r="F279" s="5">
        <v>392.8</v>
      </c>
      <c r="G279" s="6">
        <v>45386</v>
      </c>
      <c r="H279" s="5"/>
      <c r="I279" s="5"/>
      <c r="J279" s="5">
        <f t="shared" si="42"/>
        <v>14.300000000000011</v>
      </c>
      <c r="K279" s="8" t="b">
        <f t="shared" si="43"/>
        <v>1</v>
      </c>
    </row>
    <row r="280" spans="1:11">
      <c r="A280" s="5" t="s">
        <v>204</v>
      </c>
      <c r="B280" s="22">
        <v>45390</v>
      </c>
      <c r="C280" s="7">
        <v>0.7</v>
      </c>
      <c r="D280" s="5">
        <v>10.119999999999999</v>
      </c>
      <c r="E280" s="5">
        <v>392.8</v>
      </c>
      <c r="F280" s="5">
        <v>413.1</v>
      </c>
      <c r="G280" s="6">
        <v>45390</v>
      </c>
      <c r="H280" s="5"/>
      <c r="I280" s="5"/>
      <c r="J280" s="5">
        <f t="shared" si="42"/>
        <v>20.300000000000011</v>
      </c>
      <c r="K280" s="8" t="b">
        <f t="shared" si="43"/>
        <v>1</v>
      </c>
    </row>
    <row r="281" spans="1:11">
      <c r="A281" s="5" t="s">
        <v>204</v>
      </c>
      <c r="B281" s="22">
        <v>45393</v>
      </c>
      <c r="C281" s="7">
        <v>0.7</v>
      </c>
      <c r="D281" s="5">
        <v>10.119999999999999</v>
      </c>
      <c r="E281" s="5">
        <v>413.1</v>
      </c>
      <c r="F281" s="5">
        <v>418.9</v>
      </c>
      <c r="G281" s="6">
        <v>45393</v>
      </c>
      <c r="H281" s="5"/>
      <c r="I281" s="5"/>
      <c r="J281" s="5">
        <f t="shared" si="42"/>
        <v>5.7999999999999545</v>
      </c>
      <c r="K281" s="8" t="b">
        <f t="shared" si="43"/>
        <v>1</v>
      </c>
    </row>
    <row r="282" spans="1:11">
      <c r="A282" s="5" t="s">
        <v>204</v>
      </c>
      <c r="B282" s="22">
        <v>45400</v>
      </c>
      <c r="C282" s="7">
        <v>0.7</v>
      </c>
      <c r="D282" s="5">
        <v>10.119999999999999</v>
      </c>
      <c r="E282" s="5">
        <v>439.3</v>
      </c>
      <c r="F282" s="5">
        <v>459.7</v>
      </c>
      <c r="G282" s="6">
        <v>45400</v>
      </c>
      <c r="H282" s="5"/>
      <c r="I282" s="5"/>
      <c r="J282" s="5">
        <f t="shared" si="42"/>
        <v>20.399999999999977</v>
      </c>
      <c r="K282" s="8" t="b">
        <f t="shared" si="43"/>
        <v>0</v>
      </c>
    </row>
    <row r="283" spans="1:11">
      <c r="A283" s="5" t="s">
        <v>204</v>
      </c>
      <c r="B283" s="22">
        <v>45404</v>
      </c>
      <c r="C283" s="7">
        <v>0.7</v>
      </c>
      <c r="D283" s="5">
        <v>10.119999999999999</v>
      </c>
      <c r="E283" s="5">
        <v>459.7</v>
      </c>
      <c r="F283" s="5">
        <v>480</v>
      </c>
      <c r="G283" s="6">
        <v>45404</v>
      </c>
      <c r="H283" s="5"/>
      <c r="I283" s="5"/>
      <c r="J283" s="5">
        <f t="shared" si="42"/>
        <v>20.300000000000011</v>
      </c>
      <c r="K283" s="8" t="b">
        <f t="shared" si="43"/>
        <v>1</v>
      </c>
    </row>
    <row r="284" spans="1:11">
      <c r="A284" s="5" t="s">
        <v>204</v>
      </c>
      <c r="B284" s="22">
        <v>45407</v>
      </c>
      <c r="C284" s="7">
        <v>0.7</v>
      </c>
      <c r="D284" s="5">
        <v>10.119999999999999</v>
      </c>
      <c r="E284" s="5">
        <v>480</v>
      </c>
      <c r="F284" s="5">
        <v>500.4</v>
      </c>
      <c r="G284" s="6">
        <v>45407</v>
      </c>
      <c r="H284" s="5"/>
      <c r="I284" s="5"/>
      <c r="J284" s="5">
        <f t="shared" si="42"/>
        <v>20.399999999999977</v>
      </c>
      <c r="K284" s="8" t="b">
        <f t="shared" si="43"/>
        <v>1</v>
      </c>
    </row>
    <row r="285" spans="1:11">
      <c r="A285" s="5" t="s">
        <v>204</v>
      </c>
      <c r="B285" s="22">
        <v>45418</v>
      </c>
      <c r="C285" s="7">
        <v>0.8</v>
      </c>
      <c r="D285" s="5">
        <v>9.09</v>
      </c>
      <c r="E285" s="5">
        <v>500.4</v>
      </c>
      <c r="F285" s="5">
        <v>519.29999999999995</v>
      </c>
      <c r="G285" s="6">
        <v>45418</v>
      </c>
      <c r="H285" s="5"/>
      <c r="I285" s="5"/>
      <c r="J285" s="5">
        <f t="shared" ref="J285:J312" si="44">F285-E285</f>
        <v>18.899999999999977</v>
      </c>
      <c r="K285" s="8" t="b">
        <f t="shared" si="43"/>
        <v>1</v>
      </c>
    </row>
    <row r="286" spans="1:11">
      <c r="A286" s="5" t="s">
        <v>204</v>
      </c>
      <c r="B286" s="22">
        <v>45425</v>
      </c>
      <c r="C286" s="7">
        <v>0.8</v>
      </c>
      <c r="D286" s="5">
        <v>9.09</v>
      </c>
      <c r="E286" s="5">
        <v>519.29999999999995</v>
      </c>
      <c r="F286" s="5">
        <v>537.5</v>
      </c>
      <c r="G286" s="6">
        <v>45425</v>
      </c>
      <c r="H286" s="5"/>
      <c r="I286" s="5"/>
      <c r="J286" s="5">
        <f t="shared" si="44"/>
        <v>18.200000000000045</v>
      </c>
      <c r="K286" s="8" t="b">
        <f t="shared" si="43"/>
        <v>1</v>
      </c>
    </row>
    <row r="287" spans="1:11">
      <c r="A287" s="5" t="s">
        <v>204</v>
      </c>
      <c r="B287" s="22">
        <v>45429</v>
      </c>
      <c r="C287" s="7">
        <v>0.7</v>
      </c>
      <c r="D287" s="5">
        <v>10.119999999999999</v>
      </c>
      <c r="E287" s="5">
        <v>537.5</v>
      </c>
      <c r="F287" s="5">
        <v>557.79999999999995</v>
      </c>
      <c r="G287" s="6">
        <v>45429</v>
      </c>
      <c r="H287" s="5"/>
      <c r="I287" s="5"/>
      <c r="J287" s="5">
        <f t="shared" si="44"/>
        <v>20.299999999999955</v>
      </c>
      <c r="K287" s="8" t="b">
        <f t="shared" si="43"/>
        <v>1</v>
      </c>
    </row>
    <row r="288" spans="1:11">
      <c r="A288" s="5" t="s">
        <v>204</v>
      </c>
      <c r="B288" s="22">
        <v>45433</v>
      </c>
      <c r="C288" s="7">
        <v>0.7</v>
      </c>
      <c r="D288" s="5">
        <v>10.119999999999999</v>
      </c>
      <c r="E288" s="5">
        <v>557.79999999999995</v>
      </c>
      <c r="F288" s="5">
        <v>578.20000000000005</v>
      </c>
      <c r="G288" s="6">
        <v>45433</v>
      </c>
      <c r="H288" s="5"/>
      <c r="I288" s="5"/>
      <c r="J288" s="5">
        <f t="shared" si="44"/>
        <v>20.400000000000091</v>
      </c>
      <c r="K288" s="8" t="b">
        <f t="shared" si="43"/>
        <v>1</v>
      </c>
    </row>
    <row r="289" spans="1:11">
      <c r="A289" s="5" t="s">
        <v>204</v>
      </c>
      <c r="B289" s="22">
        <v>45436</v>
      </c>
      <c r="C289" s="7">
        <v>0.6</v>
      </c>
      <c r="D289" s="5">
        <v>12.12</v>
      </c>
      <c r="E289" s="5">
        <v>578.20000000000005</v>
      </c>
      <c r="F289" s="5">
        <v>602</v>
      </c>
      <c r="G289" s="6">
        <v>45436</v>
      </c>
      <c r="H289" s="5"/>
      <c r="I289" s="5"/>
      <c r="J289" s="5">
        <f t="shared" si="44"/>
        <v>23.799999999999955</v>
      </c>
      <c r="K289" s="8" t="b">
        <f t="shared" si="43"/>
        <v>1</v>
      </c>
    </row>
    <row r="290" spans="1:11">
      <c r="A290" s="5" t="s">
        <v>204</v>
      </c>
      <c r="B290" s="22">
        <v>45439</v>
      </c>
      <c r="C290" s="7">
        <v>0.7</v>
      </c>
      <c r="D290" s="5">
        <v>10.119999999999999</v>
      </c>
      <c r="E290" s="5">
        <v>602</v>
      </c>
      <c r="F290" s="5">
        <v>622.4</v>
      </c>
      <c r="G290" s="6">
        <v>45439</v>
      </c>
      <c r="H290" s="5"/>
      <c r="I290" s="5"/>
      <c r="J290" s="5">
        <f t="shared" si="44"/>
        <v>20.399999999999977</v>
      </c>
      <c r="K290" s="8" t="b">
        <f t="shared" si="43"/>
        <v>1</v>
      </c>
    </row>
    <row r="291" spans="1:11">
      <c r="A291" s="5" t="s">
        <v>204</v>
      </c>
      <c r="B291" s="22">
        <v>45443</v>
      </c>
      <c r="C291" s="7">
        <v>0.7</v>
      </c>
      <c r="D291" s="5">
        <v>10.119999999999999</v>
      </c>
      <c r="E291" s="5">
        <v>622.4</v>
      </c>
      <c r="F291" s="5">
        <v>642.70000000000005</v>
      </c>
      <c r="G291" s="6">
        <v>45443</v>
      </c>
      <c r="H291" s="5"/>
      <c r="I291" s="5"/>
      <c r="J291" s="5">
        <f t="shared" si="44"/>
        <v>20.300000000000068</v>
      </c>
      <c r="K291" s="8" t="b">
        <f t="shared" si="43"/>
        <v>1</v>
      </c>
    </row>
    <row r="292" spans="1:11">
      <c r="A292" s="5" t="s">
        <v>204</v>
      </c>
      <c r="B292" s="22">
        <v>45446</v>
      </c>
      <c r="C292" s="7">
        <v>0.6</v>
      </c>
      <c r="D292" s="5">
        <v>12.12</v>
      </c>
      <c r="E292" s="5">
        <v>642.70000000000005</v>
      </c>
      <c r="F292" s="5">
        <v>666.3</v>
      </c>
      <c r="G292" s="6">
        <v>45446</v>
      </c>
      <c r="H292" s="5"/>
      <c r="I292" s="5"/>
      <c r="J292" s="5">
        <f t="shared" si="44"/>
        <v>23.599999999999909</v>
      </c>
      <c r="K292" s="8" t="b">
        <f t="shared" si="43"/>
        <v>1</v>
      </c>
    </row>
    <row r="293" spans="1:11">
      <c r="A293" s="5" t="s">
        <v>204</v>
      </c>
      <c r="B293" s="22">
        <v>45449</v>
      </c>
      <c r="C293" s="7">
        <v>0.6</v>
      </c>
      <c r="D293" s="5">
        <v>12.12</v>
      </c>
      <c r="E293" s="5">
        <v>666.3</v>
      </c>
      <c r="F293" s="5">
        <v>690</v>
      </c>
      <c r="G293" s="6">
        <v>45449</v>
      </c>
      <c r="H293" s="5"/>
      <c r="I293" s="5"/>
      <c r="J293" s="5">
        <f t="shared" si="44"/>
        <v>23.700000000000045</v>
      </c>
      <c r="K293" s="8" t="b">
        <f t="shared" si="43"/>
        <v>1</v>
      </c>
    </row>
    <row r="294" spans="1:11">
      <c r="A294" s="5" t="s">
        <v>204</v>
      </c>
      <c r="B294" s="22">
        <v>45452</v>
      </c>
      <c r="C294" s="7">
        <v>0.6</v>
      </c>
      <c r="D294" s="5">
        <v>12.12</v>
      </c>
      <c r="E294" s="5">
        <v>690</v>
      </c>
      <c r="F294" s="5">
        <v>714.3</v>
      </c>
      <c r="G294" s="6">
        <v>45453</v>
      </c>
      <c r="H294" s="5"/>
      <c r="I294" s="5"/>
      <c r="J294" s="5">
        <f t="shared" si="44"/>
        <v>24.299999999999955</v>
      </c>
      <c r="K294" s="8" t="b">
        <f t="shared" si="43"/>
        <v>1</v>
      </c>
    </row>
    <row r="295" spans="1:11">
      <c r="A295" s="5" t="s">
        <v>204</v>
      </c>
      <c r="B295" s="22">
        <v>45455</v>
      </c>
      <c r="C295" s="7">
        <v>0.6</v>
      </c>
      <c r="D295" s="5">
        <v>12.12</v>
      </c>
      <c r="E295" s="5">
        <v>714.3</v>
      </c>
      <c r="F295" s="5">
        <v>738.4</v>
      </c>
      <c r="G295" s="6">
        <v>45456</v>
      </c>
      <c r="H295" s="5"/>
      <c r="I295" s="5"/>
      <c r="J295" s="5">
        <f t="shared" si="44"/>
        <v>24.100000000000023</v>
      </c>
      <c r="K295" s="8" t="b">
        <f t="shared" si="43"/>
        <v>1</v>
      </c>
    </row>
    <row r="296" spans="1:11">
      <c r="A296" s="5" t="s">
        <v>204</v>
      </c>
      <c r="B296" s="22">
        <v>45458</v>
      </c>
      <c r="C296" s="7">
        <v>0.6</v>
      </c>
      <c r="D296" s="5">
        <v>12.12</v>
      </c>
      <c r="E296" s="5">
        <v>738.4</v>
      </c>
      <c r="F296" s="5">
        <v>762.2</v>
      </c>
      <c r="G296" s="6">
        <v>45458</v>
      </c>
      <c r="H296" s="5"/>
      <c r="I296" s="5"/>
      <c r="J296" s="5">
        <f t="shared" si="44"/>
        <v>23.800000000000068</v>
      </c>
      <c r="K296" s="8" t="b">
        <f t="shared" si="43"/>
        <v>1</v>
      </c>
    </row>
    <row r="297" spans="1:11">
      <c r="A297" s="5" t="s">
        <v>204</v>
      </c>
      <c r="B297" s="22">
        <v>45461</v>
      </c>
      <c r="C297" s="7">
        <v>0.6</v>
      </c>
      <c r="D297" s="5">
        <v>12.12</v>
      </c>
      <c r="E297" s="5">
        <v>762.2</v>
      </c>
      <c r="F297" s="5">
        <v>785.9</v>
      </c>
      <c r="G297" s="6">
        <v>45461</v>
      </c>
      <c r="H297" s="5"/>
      <c r="I297" s="5"/>
      <c r="J297" s="5">
        <f t="shared" si="44"/>
        <v>23.699999999999932</v>
      </c>
      <c r="K297" s="8" t="b">
        <f t="shared" si="43"/>
        <v>1</v>
      </c>
    </row>
    <row r="298" spans="1:11">
      <c r="A298" s="5" t="s">
        <v>204</v>
      </c>
      <c r="B298" s="22">
        <v>45466</v>
      </c>
      <c r="C298" s="7">
        <v>0.5</v>
      </c>
      <c r="D298" s="5">
        <v>14.54</v>
      </c>
      <c r="E298" s="5">
        <v>785.9</v>
      </c>
      <c r="F298" s="5">
        <v>800.1</v>
      </c>
      <c r="G298" s="6">
        <v>45466</v>
      </c>
      <c r="H298" s="5"/>
      <c r="I298" s="5"/>
      <c r="J298" s="5">
        <f t="shared" si="44"/>
        <v>14.200000000000045</v>
      </c>
      <c r="K298" s="8" t="b">
        <f t="shared" si="43"/>
        <v>1</v>
      </c>
    </row>
    <row r="299" spans="1:11">
      <c r="A299" s="5" t="s">
        <v>204</v>
      </c>
      <c r="B299" s="22">
        <v>45467</v>
      </c>
      <c r="C299" s="7">
        <v>0.5</v>
      </c>
      <c r="D299" s="5">
        <v>14.54</v>
      </c>
      <c r="E299" s="5">
        <v>800.1</v>
      </c>
      <c r="F299" s="5">
        <v>814.7</v>
      </c>
      <c r="G299" s="6">
        <v>45467</v>
      </c>
      <c r="H299" s="5"/>
      <c r="I299" s="5"/>
      <c r="J299" s="5">
        <f t="shared" si="44"/>
        <v>14.600000000000023</v>
      </c>
      <c r="K299" s="8" t="b">
        <f t="shared" si="43"/>
        <v>1</v>
      </c>
    </row>
    <row r="300" spans="1:11">
      <c r="A300" s="5" t="s">
        <v>204</v>
      </c>
      <c r="B300" s="22">
        <v>45473</v>
      </c>
      <c r="C300" s="7">
        <v>0.5</v>
      </c>
      <c r="D300" s="5">
        <v>14.54</v>
      </c>
      <c r="E300" s="5">
        <v>814.7</v>
      </c>
      <c r="F300" s="5">
        <v>829</v>
      </c>
      <c r="G300" s="6">
        <v>45473</v>
      </c>
      <c r="H300" s="5"/>
      <c r="I300" s="5"/>
      <c r="J300" s="5">
        <f t="shared" si="44"/>
        <v>14.299999999999955</v>
      </c>
      <c r="K300" s="8" t="b">
        <f t="shared" si="43"/>
        <v>1</v>
      </c>
    </row>
    <row r="301" spans="1:11">
      <c r="A301" s="5" t="s">
        <v>204</v>
      </c>
      <c r="B301" s="22">
        <v>45474</v>
      </c>
      <c r="C301" s="7">
        <v>0.5</v>
      </c>
      <c r="D301" s="5">
        <v>14.54</v>
      </c>
      <c r="E301" s="5">
        <v>829</v>
      </c>
      <c r="F301" s="5">
        <v>843</v>
      </c>
      <c r="G301" s="6">
        <v>45474</v>
      </c>
      <c r="H301" s="5"/>
      <c r="I301" s="5"/>
      <c r="J301" s="5">
        <f t="shared" si="44"/>
        <v>14</v>
      </c>
      <c r="K301" s="8" t="b">
        <f t="shared" si="43"/>
        <v>1</v>
      </c>
    </row>
    <row r="302" spans="1:11">
      <c r="A302" s="5" t="s">
        <v>204</v>
      </c>
      <c r="B302" s="22">
        <v>45483</v>
      </c>
      <c r="C302" s="7">
        <v>0.7</v>
      </c>
      <c r="D302" s="5">
        <v>10.119999999999999</v>
      </c>
      <c r="E302" s="5">
        <v>843</v>
      </c>
      <c r="F302" s="5">
        <v>867.9</v>
      </c>
      <c r="G302" s="6">
        <v>45483</v>
      </c>
      <c r="H302" s="5"/>
      <c r="I302" s="5"/>
      <c r="J302" s="5">
        <f t="shared" si="44"/>
        <v>24.899999999999977</v>
      </c>
      <c r="K302" s="8" t="b">
        <f t="shared" si="43"/>
        <v>1</v>
      </c>
    </row>
    <row r="303" spans="1:11">
      <c r="A303" s="5" t="s">
        <v>204</v>
      </c>
      <c r="B303" s="22"/>
      <c r="C303" s="7"/>
      <c r="D303" s="5"/>
      <c r="E303" s="5"/>
      <c r="F303" s="5"/>
      <c r="G303" s="6"/>
      <c r="H303" s="5"/>
      <c r="I303" s="5"/>
      <c r="J303" s="5">
        <f t="shared" si="44"/>
        <v>0</v>
      </c>
      <c r="K303" s="8" t="b">
        <f t="shared" si="43"/>
        <v>0</v>
      </c>
    </row>
    <row r="304" spans="1:11" ht="26.25">
      <c r="A304" s="199" t="s">
        <v>190</v>
      </c>
      <c r="B304" s="200"/>
      <c r="C304" s="200"/>
      <c r="D304" s="200"/>
      <c r="E304" s="200"/>
      <c r="F304" s="200"/>
      <c r="G304" s="200"/>
      <c r="H304" s="200"/>
      <c r="I304" s="200"/>
      <c r="J304" s="200"/>
      <c r="K304" s="201"/>
    </row>
    <row r="305" spans="1:11" ht="26.25">
      <c r="A305" s="202" t="s">
        <v>48</v>
      </c>
      <c r="B305" s="203"/>
      <c r="C305" s="203"/>
      <c r="D305" s="203"/>
      <c r="E305" s="203"/>
      <c r="F305" s="203"/>
      <c r="G305" s="203"/>
      <c r="H305" s="203"/>
      <c r="I305" s="203"/>
      <c r="J305" s="203"/>
      <c r="K305" s="204"/>
    </row>
    <row r="306" spans="1:11" ht="15.75" thickBot="1"/>
    <row r="307" spans="1:11" ht="15.75" thickBot="1">
      <c r="A307" s="132" t="s">
        <v>2</v>
      </c>
      <c r="B307" s="133"/>
      <c r="C307" s="133"/>
      <c r="D307" s="133"/>
      <c r="E307" s="133"/>
      <c r="F307" s="133"/>
      <c r="G307" s="133"/>
      <c r="H307" s="133"/>
      <c r="I307" s="133"/>
      <c r="J307" s="133"/>
      <c r="K307" s="134"/>
    </row>
    <row r="309" spans="1:11" ht="19.5" thickBot="1">
      <c r="A309" s="1" t="s">
        <v>3</v>
      </c>
      <c r="B309" s="1"/>
      <c r="C309" s="1"/>
      <c r="D309" s="1"/>
      <c r="E309" s="1"/>
      <c r="F309" s="1"/>
      <c r="G309" s="1"/>
      <c r="H309" s="1"/>
      <c r="I309" s="1"/>
    </row>
    <row r="310" spans="1:11" ht="40.5" customHeight="1" thickBot="1">
      <c r="A310" s="2" t="s">
        <v>4</v>
      </c>
      <c r="B310" s="3" t="s">
        <v>5</v>
      </c>
      <c r="C310" s="3" t="s">
        <v>6</v>
      </c>
      <c r="D310" s="3" t="s">
        <v>7</v>
      </c>
      <c r="E310" s="3" t="s">
        <v>8</v>
      </c>
      <c r="F310" s="3" t="s">
        <v>9</v>
      </c>
      <c r="G310" s="3" t="s">
        <v>10</v>
      </c>
      <c r="H310" s="3" t="s">
        <v>21</v>
      </c>
      <c r="I310" s="4" t="s">
        <v>22</v>
      </c>
      <c r="J310" s="4" t="s">
        <v>11</v>
      </c>
      <c r="K310" s="4" t="s">
        <v>12</v>
      </c>
    </row>
    <row r="311" spans="1:11">
      <c r="A311" s="5" t="s">
        <v>204</v>
      </c>
      <c r="B311" s="22">
        <v>45575</v>
      </c>
      <c r="C311" s="7">
        <v>1</v>
      </c>
      <c r="D311" s="5">
        <v>7.27</v>
      </c>
      <c r="E311" s="5">
        <v>867.9</v>
      </c>
      <c r="F311" s="5">
        <v>878.3</v>
      </c>
      <c r="G311" s="6">
        <v>45575</v>
      </c>
      <c r="H311" s="5"/>
      <c r="I311" s="5"/>
      <c r="J311" s="5">
        <f t="shared" si="44"/>
        <v>10.399999999999977</v>
      </c>
      <c r="K311" s="8" t="b">
        <f>E311=E311</f>
        <v>1</v>
      </c>
    </row>
    <row r="312" spans="1:11">
      <c r="A312" s="5" t="s">
        <v>204</v>
      </c>
      <c r="B312" s="22"/>
      <c r="C312" s="7"/>
      <c r="D312" s="5"/>
      <c r="E312" s="5"/>
      <c r="F312" s="5"/>
      <c r="G312" s="6"/>
      <c r="H312" s="5"/>
      <c r="I312" s="5"/>
      <c r="J312" s="5">
        <f t="shared" si="44"/>
        <v>0</v>
      </c>
      <c r="K312" s="8" t="b">
        <f>E312=F311</f>
        <v>0</v>
      </c>
    </row>
    <row r="313" spans="1:11">
      <c r="A313" s="5" t="s">
        <v>204</v>
      </c>
      <c r="B313" s="22"/>
      <c r="C313" s="7"/>
      <c r="D313" s="5"/>
      <c r="E313" s="5"/>
      <c r="F313" s="5"/>
      <c r="G313" s="6"/>
      <c r="H313" s="5"/>
      <c r="I313" s="5"/>
      <c r="J313" s="5">
        <f t="shared" ref="J313:J337" si="45">F313-E313</f>
        <v>0</v>
      </c>
      <c r="K313" s="8" t="b">
        <f t="shared" ref="K313:K337" si="46">E313=F312</f>
        <v>1</v>
      </c>
    </row>
    <row r="314" spans="1:11">
      <c r="A314" s="5" t="s">
        <v>204</v>
      </c>
      <c r="B314" s="22"/>
      <c r="C314" s="7"/>
      <c r="D314" s="5"/>
      <c r="E314" s="5"/>
      <c r="F314" s="5"/>
      <c r="G314" s="6"/>
      <c r="H314" s="5"/>
      <c r="I314" s="5"/>
      <c r="J314" s="5">
        <f t="shared" si="45"/>
        <v>0</v>
      </c>
      <c r="K314" s="8" t="b">
        <f t="shared" si="46"/>
        <v>1</v>
      </c>
    </row>
    <row r="315" spans="1:11">
      <c r="A315" s="5" t="s">
        <v>204</v>
      </c>
      <c r="B315" s="22"/>
      <c r="C315" s="7"/>
      <c r="D315" s="5"/>
      <c r="E315" s="5"/>
      <c r="F315" s="5"/>
      <c r="G315" s="6"/>
      <c r="H315" s="5"/>
      <c r="I315" s="5"/>
      <c r="J315" s="5">
        <f t="shared" si="45"/>
        <v>0</v>
      </c>
      <c r="K315" s="8" t="b">
        <f t="shared" si="46"/>
        <v>1</v>
      </c>
    </row>
    <row r="316" spans="1:11">
      <c r="A316" s="5" t="s">
        <v>204</v>
      </c>
      <c r="B316" s="22"/>
      <c r="C316" s="7"/>
      <c r="D316" s="5"/>
      <c r="E316" s="5"/>
      <c r="F316" s="5"/>
      <c r="G316" s="6"/>
      <c r="H316" s="5"/>
      <c r="I316" s="5"/>
      <c r="J316" s="5">
        <f t="shared" si="45"/>
        <v>0</v>
      </c>
      <c r="K316" s="8" t="b">
        <f t="shared" si="46"/>
        <v>1</v>
      </c>
    </row>
    <row r="317" spans="1:11">
      <c r="A317" s="5" t="s">
        <v>204</v>
      </c>
      <c r="B317" s="22"/>
      <c r="C317" s="7"/>
      <c r="D317" s="5"/>
      <c r="E317" s="5"/>
      <c r="F317" s="5"/>
      <c r="G317" s="6"/>
      <c r="H317" s="5"/>
      <c r="I317" s="5"/>
      <c r="J317" s="5">
        <f t="shared" si="45"/>
        <v>0</v>
      </c>
      <c r="K317" s="8" t="b">
        <f t="shared" si="46"/>
        <v>1</v>
      </c>
    </row>
    <row r="318" spans="1:11">
      <c r="A318" s="5" t="s">
        <v>204</v>
      </c>
      <c r="B318" s="22"/>
      <c r="C318" s="7"/>
      <c r="D318" s="5"/>
      <c r="E318" s="5"/>
      <c r="F318" s="5"/>
      <c r="G318" s="6"/>
      <c r="H318" s="5"/>
      <c r="I318" s="5"/>
      <c r="J318" s="5">
        <f t="shared" si="45"/>
        <v>0</v>
      </c>
      <c r="K318" s="8" t="b">
        <f t="shared" si="46"/>
        <v>1</v>
      </c>
    </row>
    <row r="319" spans="1:11">
      <c r="A319" s="5" t="s">
        <v>204</v>
      </c>
      <c r="B319" s="22"/>
      <c r="C319" s="7"/>
      <c r="D319" s="5"/>
      <c r="E319" s="5"/>
      <c r="F319" s="5"/>
      <c r="G319" s="6"/>
      <c r="H319" s="5"/>
      <c r="I319" s="5"/>
      <c r="J319" s="5">
        <f t="shared" si="45"/>
        <v>0</v>
      </c>
      <c r="K319" s="8" t="b">
        <f t="shared" si="46"/>
        <v>1</v>
      </c>
    </row>
    <row r="320" spans="1:11">
      <c r="A320" s="5" t="s">
        <v>204</v>
      </c>
      <c r="B320" s="22"/>
      <c r="C320" s="7"/>
      <c r="D320" s="5"/>
      <c r="E320" s="5"/>
      <c r="F320" s="5"/>
      <c r="G320" s="6"/>
      <c r="H320" s="5"/>
      <c r="I320" s="5"/>
      <c r="J320" s="5">
        <f t="shared" si="45"/>
        <v>0</v>
      </c>
      <c r="K320" s="8" t="b">
        <f t="shared" si="46"/>
        <v>1</v>
      </c>
    </row>
    <row r="321" spans="1:11">
      <c r="A321" s="5" t="s">
        <v>204</v>
      </c>
      <c r="B321" s="22"/>
      <c r="C321" s="7"/>
      <c r="D321" s="5"/>
      <c r="E321" s="5"/>
      <c r="F321" s="5"/>
      <c r="G321" s="6"/>
      <c r="H321" s="5"/>
      <c r="I321" s="5"/>
      <c r="J321" s="5">
        <f t="shared" si="45"/>
        <v>0</v>
      </c>
      <c r="K321" s="8" t="b">
        <f t="shared" si="46"/>
        <v>1</v>
      </c>
    </row>
    <row r="322" spans="1:11">
      <c r="A322" s="5" t="s">
        <v>204</v>
      </c>
      <c r="B322" s="22"/>
      <c r="C322" s="7"/>
      <c r="D322" s="5"/>
      <c r="E322" s="5"/>
      <c r="F322" s="5"/>
      <c r="G322" s="6"/>
      <c r="H322" s="5"/>
      <c r="I322" s="5"/>
      <c r="J322" s="5">
        <f t="shared" si="45"/>
        <v>0</v>
      </c>
      <c r="K322" s="8" t="b">
        <f t="shared" si="46"/>
        <v>1</v>
      </c>
    </row>
    <row r="323" spans="1:11">
      <c r="A323" s="5" t="s">
        <v>204</v>
      </c>
      <c r="B323" s="22"/>
      <c r="C323" s="7"/>
      <c r="D323" s="5"/>
      <c r="E323" s="5"/>
      <c r="F323" s="5"/>
      <c r="G323" s="6"/>
      <c r="H323" s="5"/>
      <c r="I323" s="5"/>
      <c r="J323" s="5">
        <f t="shared" si="45"/>
        <v>0</v>
      </c>
      <c r="K323" s="8" t="b">
        <f t="shared" si="46"/>
        <v>1</v>
      </c>
    </row>
    <row r="324" spans="1:11">
      <c r="A324" s="5" t="s">
        <v>204</v>
      </c>
      <c r="B324" s="22"/>
      <c r="C324" s="7"/>
      <c r="D324" s="5"/>
      <c r="E324" s="5"/>
      <c r="F324" s="5"/>
      <c r="G324" s="6"/>
      <c r="H324" s="5"/>
      <c r="I324" s="5"/>
      <c r="J324" s="5">
        <f t="shared" si="45"/>
        <v>0</v>
      </c>
      <c r="K324" s="8" t="b">
        <f t="shared" si="46"/>
        <v>1</v>
      </c>
    </row>
    <row r="325" spans="1:11">
      <c r="A325" s="5" t="s">
        <v>204</v>
      </c>
      <c r="B325" s="22"/>
      <c r="C325" s="7"/>
      <c r="D325" s="5"/>
      <c r="E325" s="5"/>
      <c r="F325" s="5"/>
      <c r="G325" s="6"/>
      <c r="H325" s="5"/>
      <c r="I325" s="5"/>
      <c r="J325" s="5">
        <f t="shared" si="45"/>
        <v>0</v>
      </c>
      <c r="K325" s="8" t="b">
        <f t="shared" si="46"/>
        <v>1</v>
      </c>
    </row>
    <row r="326" spans="1:11">
      <c r="A326" s="5" t="s">
        <v>204</v>
      </c>
      <c r="B326" s="22"/>
      <c r="C326" s="7"/>
      <c r="D326" s="5"/>
      <c r="E326" s="5"/>
      <c r="F326" s="5"/>
      <c r="G326" s="6"/>
      <c r="H326" s="5"/>
      <c r="I326" s="5"/>
      <c r="J326" s="5">
        <f t="shared" si="45"/>
        <v>0</v>
      </c>
      <c r="K326" s="8" t="b">
        <f t="shared" si="46"/>
        <v>1</v>
      </c>
    </row>
    <row r="327" spans="1:11">
      <c r="A327" s="5" t="s">
        <v>204</v>
      </c>
      <c r="B327" s="22"/>
      <c r="C327" s="7"/>
      <c r="D327" s="5"/>
      <c r="E327" s="5"/>
      <c r="F327" s="5"/>
      <c r="G327" s="6"/>
      <c r="H327" s="5"/>
      <c r="I327" s="5"/>
      <c r="J327" s="5">
        <f t="shared" si="45"/>
        <v>0</v>
      </c>
      <c r="K327" s="8" t="b">
        <f t="shared" si="46"/>
        <v>1</v>
      </c>
    </row>
    <row r="328" spans="1:11">
      <c r="A328" s="5" t="s">
        <v>204</v>
      </c>
      <c r="B328" s="22"/>
      <c r="C328" s="7"/>
      <c r="D328" s="5"/>
      <c r="E328" s="5"/>
      <c r="F328" s="5"/>
      <c r="G328" s="6"/>
      <c r="H328" s="5"/>
      <c r="I328" s="5"/>
      <c r="J328" s="5">
        <f t="shared" si="45"/>
        <v>0</v>
      </c>
      <c r="K328" s="8" t="b">
        <f t="shared" si="46"/>
        <v>1</v>
      </c>
    </row>
    <row r="329" spans="1:11">
      <c r="A329" s="5" t="s">
        <v>204</v>
      </c>
      <c r="B329" s="22"/>
      <c r="C329" s="7"/>
      <c r="D329" s="5"/>
      <c r="E329" s="5"/>
      <c r="F329" s="5"/>
      <c r="G329" s="6"/>
      <c r="H329" s="5"/>
      <c r="I329" s="5"/>
      <c r="J329" s="5">
        <f t="shared" si="45"/>
        <v>0</v>
      </c>
      <c r="K329" s="8" t="b">
        <f t="shared" si="46"/>
        <v>1</v>
      </c>
    </row>
    <row r="330" spans="1:11">
      <c r="A330" s="5" t="s">
        <v>204</v>
      </c>
      <c r="B330" s="22"/>
      <c r="C330" s="7"/>
      <c r="D330" s="5"/>
      <c r="E330" s="5"/>
      <c r="F330" s="5"/>
      <c r="G330" s="6"/>
      <c r="H330" s="5"/>
      <c r="I330" s="5"/>
      <c r="J330" s="5">
        <f t="shared" si="45"/>
        <v>0</v>
      </c>
      <c r="K330" s="8" t="b">
        <f t="shared" si="46"/>
        <v>1</v>
      </c>
    </row>
    <row r="331" spans="1:11">
      <c r="A331" s="5" t="s">
        <v>204</v>
      </c>
      <c r="B331" s="22"/>
      <c r="C331" s="7"/>
      <c r="D331" s="5"/>
      <c r="E331" s="5"/>
      <c r="F331" s="5"/>
      <c r="G331" s="6"/>
      <c r="H331" s="5"/>
      <c r="I331" s="5"/>
      <c r="J331" s="5">
        <f t="shared" si="45"/>
        <v>0</v>
      </c>
      <c r="K331" s="8" t="b">
        <f t="shared" si="46"/>
        <v>1</v>
      </c>
    </row>
    <row r="332" spans="1:11">
      <c r="A332" s="5" t="s">
        <v>204</v>
      </c>
      <c r="B332" s="22"/>
      <c r="C332" s="7"/>
      <c r="D332" s="5"/>
      <c r="E332" s="5"/>
      <c r="F332" s="5"/>
      <c r="G332" s="6"/>
      <c r="H332" s="5"/>
      <c r="I332" s="5"/>
      <c r="J332" s="5">
        <f t="shared" si="45"/>
        <v>0</v>
      </c>
      <c r="K332" s="8" t="b">
        <f t="shared" si="46"/>
        <v>1</v>
      </c>
    </row>
    <row r="333" spans="1:11">
      <c r="A333" s="5" t="s">
        <v>204</v>
      </c>
      <c r="B333" s="22"/>
      <c r="C333" s="7"/>
      <c r="D333" s="5"/>
      <c r="E333" s="5"/>
      <c r="F333" s="5"/>
      <c r="G333" s="6"/>
      <c r="H333" s="5"/>
      <c r="I333" s="5"/>
      <c r="J333" s="5">
        <f t="shared" si="45"/>
        <v>0</v>
      </c>
      <c r="K333" s="8" t="b">
        <f t="shared" si="46"/>
        <v>1</v>
      </c>
    </row>
    <row r="334" spans="1:11">
      <c r="A334" s="5" t="s">
        <v>204</v>
      </c>
      <c r="B334" s="22"/>
      <c r="C334" s="7"/>
      <c r="D334" s="5"/>
      <c r="E334" s="5"/>
      <c r="F334" s="5"/>
      <c r="G334" s="6"/>
      <c r="H334" s="5"/>
      <c r="I334" s="5"/>
      <c r="J334" s="5">
        <f t="shared" si="45"/>
        <v>0</v>
      </c>
      <c r="K334" s="8" t="b">
        <f t="shared" si="46"/>
        <v>1</v>
      </c>
    </row>
    <row r="335" spans="1:11">
      <c r="A335" s="5" t="s">
        <v>204</v>
      </c>
      <c r="B335" s="22"/>
      <c r="C335" s="7"/>
      <c r="D335" s="5"/>
      <c r="E335" s="5"/>
      <c r="F335" s="5"/>
      <c r="G335" s="6"/>
      <c r="H335" s="5"/>
      <c r="I335" s="5"/>
      <c r="J335" s="5">
        <f t="shared" si="45"/>
        <v>0</v>
      </c>
      <c r="K335" s="8" t="b">
        <f t="shared" si="46"/>
        <v>1</v>
      </c>
    </row>
    <row r="336" spans="1:11">
      <c r="A336" s="5" t="s">
        <v>204</v>
      </c>
      <c r="B336" s="22"/>
      <c r="C336" s="7"/>
      <c r="D336" s="5"/>
      <c r="E336" s="5"/>
      <c r="F336" s="5"/>
      <c r="G336" s="6"/>
      <c r="H336" s="5"/>
      <c r="I336" s="5"/>
      <c r="J336" s="5">
        <f t="shared" si="45"/>
        <v>0</v>
      </c>
      <c r="K336" s="8" t="b">
        <f t="shared" si="46"/>
        <v>1</v>
      </c>
    </row>
    <row r="337" spans="1:11">
      <c r="A337" s="5" t="s">
        <v>204</v>
      </c>
      <c r="B337" s="22"/>
      <c r="C337" s="7"/>
      <c r="D337" s="5"/>
      <c r="E337" s="5"/>
      <c r="F337" s="5"/>
      <c r="G337" s="6"/>
      <c r="H337" s="5"/>
      <c r="I337" s="5"/>
      <c r="J337" s="5">
        <f t="shared" si="45"/>
        <v>0</v>
      </c>
      <c r="K337" s="8" t="b">
        <f t="shared" si="46"/>
        <v>1</v>
      </c>
    </row>
  </sheetData>
  <autoFilter ref="A253:K312" xr:uid="{0CECE459-06EC-4AB0-A2DA-AE6245D33EA8}"/>
  <mergeCells count="18">
    <mergeCell ref="A88:K88"/>
    <mergeCell ref="A1:K1"/>
    <mergeCell ref="A2:K2"/>
    <mergeCell ref="A4:K4"/>
    <mergeCell ref="A85:K85"/>
    <mergeCell ref="A86:K86"/>
    <mergeCell ref="A304:K304"/>
    <mergeCell ref="A305:K305"/>
    <mergeCell ref="A307:K307"/>
    <mergeCell ref="A117:K117"/>
    <mergeCell ref="A118:K118"/>
    <mergeCell ref="A120:K120"/>
    <mergeCell ref="A247:K247"/>
    <mergeCell ref="A248:K248"/>
    <mergeCell ref="A250:K250"/>
    <mergeCell ref="A140:K140"/>
    <mergeCell ref="A141:K141"/>
    <mergeCell ref="A143:K143"/>
  </mergeCells>
  <conditionalFormatting sqref="K1:K1048576">
    <cfRule type="containsText" dxfId="75" priority="1" operator="containsText" text="FALSO">
      <formula>NOT(ISERROR(SEARCH("FALSO",K1)))</formula>
    </cfRule>
    <cfRule type="containsText" dxfId="74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76C8-B8A0-48BB-A5FB-A9FA65B311EE}">
  <sheetPr codeName="Planilha19"/>
  <dimension ref="A1:K230"/>
  <sheetViews>
    <sheetView topLeftCell="A185" workbookViewId="0">
      <selection activeCell="F211" sqref="F211"/>
    </sheetView>
  </sheetViews>
  <sheetFormatPr defaultRowHeight="15"/>
  <cols>
    <col min="1" max="1" width="19.28515625" bestFit="1" customWidth="1"/>
    <col min="2" max="2" width="11.140625" style="60" customWidth="1"/>
    <col min="3" max="3" width="11.42578125" style="123" customWidth="1"/>
    <col min="4" max="4" width="10.28515625" customWidth="1"/>
    <col min="5" max="5" width="12.5703125" customWidth="1"/>
    <col min="6" max="6" width="13.28515625" customWidth="1"/>
    <col min="7" max="7" width="14.42578125" style="60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93" t="s">
        <v>205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61"/>
      <c r="C6" s="124"/>
      <c r="D6" s="1"/>
      <c r="E6" s="1"/>
      <c r="F6" s="1"/>
      <c r="G6" s="61"/>
      <c r="H6" s="1"/>
      <c r="I6" s="1"/>
    </row>
    <row r="7" spans="1:11" ht="30.75" thickBot="1">
      <c r="A7" s="2" t="s">
        <v>4</v>
      </c>
      <c r="B7" s="62" t="s">
        <v>5</v>
      </c>
      <c r="C7" s="125" t="s">
        <v>6</v>
      </c>
      <c r="D7" s="3" t="s">
        <v>7</v>
      </c>
      <c r="E7" s="3" t="s">
        <v>8</v>
      </c>
      <c r="F7" s="3" t="s">
        <v>9</v>
      </c>
      <c r="G7" s="62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206</v>
      </c>
      <c r="B8" s="6">
        <v>44532</v>
      </c>
      <c r="C8" s="7">
        <v>1</v>
      </c>
      <c r="D8" s="5">
        <v>7.12</v>
      </c>
      <c r="E8" s="5">
        <v>0</v>
      </c>
      <c r="F8" s="5">
        <v>14.2</v>
      </c>
      <c r="G8" s="6">
        <v>44532</v>
      </c>
      <c r="H8" s="5"/>
      <c r="I8" s="5"/>
      <c r="J8" s="5">
        <f t="shared" ref="J8:J22" si="0">F8-E8</f>
        <v>14.2</v>
      </c>
      <c r="K8" s="8" t="b">
        <f t="shared" ref="K8" si="1">E8=F8</f>
        <v>0</v>
      </c>
    </row>
    <row r="9" spans="1:11">
      <c r="A9" s="5" t="s">
        <v>206</v>
      </c>
      <c r="B9" s="6">
        <v>44533</v>
      </c>
      <c r="C9" s="7">
        <v>1</v>
      </c>
      <c r="D9" s="5">
        <v>7.12</v>
      </c>
      <c r="E9" s="5">
        <v>14.2</v>
      </c>
      <c r="F9" s="5">
        <v>22.6</v>
      </c>
      <c r="G9" s="6">
        <v>44533</v>
      </c>
      <c r="H9" s="5"/>
      <c r="I9" s="5"/>
      <c r="J9" s="5">
        <f t="shared" si="0"/>
        <v>8.4000000000000021</v>
      </c>
      <c r="K9" s="8" t="b">
        <f>E9=F8</f>
        <v>1</v>
      </c>
    </row>
    <row r="10" spans="1:11">
      <c r="A10" s="5" t="s">
        <v>206</v>
      </c>
      <c r="B10" s="6">
        <v>44581</v>
      </c>
      <c r="C10" s="7">
        <v>1</v>
      </c>
      <c r="D10" s="5">
        <v>7.12</v>
      </c>
      <c r="E10" s="5">
        <v>36.6</v>
      </c>
      <c r="F10" s="5">
        <v>51.4</v>
      </c>
      <c r="G10" s="6">
        <v>44581</v>
      </c>
      <c r="H10" s="5"/>
      <c r="I10" s="5"/>
      <c r="J10" s="5">
        <f t="shared" si="0"/>
        <v>14.799999999999997</v>
      </c>
      <c r="K10" s="8" t="b">
        <f t="shared" ref="K10:K22" si="2">E10=F9</f>
        <v>0</v>
      </c>
    </row>
    <row r="11" spans="1:11">
      <c r="A11" s="5" t="s">
        <v>206</v>
      </c>
      <c r="B11" s="6">
        <v>44594</v>
      </c>
      <c r="C11" s="7">
        <v>0.7</v>
      </c>
      <c r="D11" s="5">
        <v>10.39</v>
      </c>
      <c r="E11" s="5">
        <v>51.4</v>
      </c>
      <c r="F11" s="5">
        <v>72.599999999999994</v>
      </c>
      <c r="G11" s="6">
        <v>44594</v>
      </c>
      <c r="H11" s="5"/>
      <c r="I11" s="5"/>
      <c r="J11" s="5">
        <f t="shared" si="0"/>
        <v>21.199999999999996</v>
      </c>
      <c r="K11" s="8" t="b">
        <f t="shared" si="2"/>
        <v>1</v>
      </c>
    </row>
    <row r="12" spans="1:11">
      <c r="A12" s="5" t="s">
        <v>206</v>
      </c>
      <c r="B12" s="6">
        <v>44598</v>
      </c>
      <c r="C12" s="7">
        <v>0.8</v>
      </c>
      <c r="D12" s="5">
        <v>8.9</v>
      </c>
      <c r="E12" s="5">
        <v>72.599999999999994</v>
      </c>
      <c r="F12" s="5">
        <v>84.2</v>
      </c>
      <c r="G12" s="6">
        <v>44598</v>
      </c>
      <c r="H12" s="5"/>
      <c r="I12" s="5"/>
      <c r="J12" s="5">
        <f t="shared" si="0"/>
        <v>11.600000000000009</v>
      </c>
      <c r="K12" s="8" t="b">
        <f t="shared" si="2"/>
        <v>1</v>
      </c>
    </row>
    <row r="13" spans="1:11">
      <c r="A13" s="5" t="s">
        <v>206</v>
      </c>
      <c r="B13" s="6">
        <v>44617</v>
      </c>
      <c r="C13" s="7">
        <v>0.8</v>
      </c>
      <c r="D13" s="5">
        <v>8.9</v>
      </c>
      <c r="E13" s="5">
        <v>91.6</v>
      </c>
      <c r="F13" s="5">
        <v>109.5</v>
      </c>
      <c r="G13" s="6">
        <v>44617</v>
      </c>
      <c r="H13" s="5"/>
      <c r="I13" s="5"/>
      <c r="J13" s="5">
        <f t="shared" si="0"/>
        <v>17.900000000000006</v>
      </c>
      <c r="K13" s="8" t="b">
        <f t="shared" si="2"/>
        <v>0</v>
      </c>
    </row>
    <row r="14" spans="1:11">
      <c r="A14" s="5" t="s">
        <v>206</v>
      </c>
      <c r="B14" s="6">
        <v>44620</v>
      </c>
      <c r="C14" s="7">
        <v>0.8</v>
      </c>
      <c r="D14" s="5">
        <v>8.9</v>
      </c>
      <c r="E14" s="5">
        <v>109.5</v>
      </c>
      <c r="F14" s="5">
        <v>127.3</v>
      </c>
      <c r="G14" s="6">
        <v>44620</v>
      </c>
      <c r="H14" s="5"/>
      <c r="I14" s="5"/>
      <c r="J14" s="5">
        <f t="shared" si="0"/>
        <v>17.799999999999997</v>
      </c>
      <c r="K14" s="8" t="b">
        <f t="shared" si="2"/>
        <v>1</v>
      </c>
    </row>
    <row r="15" spans="1:11">
      <c r="A15" s="5" t="s">
        <v>206</v>
      </c>
      <c r="B15" s="6">
        <v>44624</v>
      </c>
      <c r="C15" s="7">
        <v>1</v>
      </c>
      <c r="D15" s="5">
        <v>7.12</v>
      </c>
      <c r="E15" s="5">
        <v>127.3</v>
      </c>
      <c r="F15" s="5">
        <v>146.69999999999999</v>
      </c>
      <c r="G15" s="6">
        <v>44624</v>
      </c>
      <c r="H15" s="5"/>
      <c r="I15" s="5"/>
      <c r="J15" s="5">
        <f t="shared" si="0"/>
        <v>19.399999999999991</v>
      </c>
      <c r="K15" s="8" t="b">
        <f t="shared" si="2"/>
        <v>1</v>
      </c>
    </row>
    <row r="16" spans="1:11">
      <c r="A16" s="5" t="s">
        <v>206</v>
      </c>
      <c r="B16" s="6">
        <v>44627</v>
      </c>
      <c r="C16" s="7">
        <v>0.8</v>
      </c>
      <c r="D16" s="5">
        <v>8.9</v>
      </c>
      <c r="E16" s="5">
        <v>146.69999999999999</v>
      </c>
      <c r="F16" s="5">
        <v>164.1</v>
      </c>
      <c r="G16" s="6">
        <v>44627</v>
      </c>
      <c r="H16" s="5"/>
      <c r="I16" s="5"/>
      <c r="J16" s="5">
        <f t="shared" si="0"/>
        <v>17.400000000000006</v>
      </c>
      <c r="K16" s="8" t="b">
        <f t="shared" si="2"/>
        <v>1</v>
      </c>
    </row>
    <row r="17" spans="1:11">
      <c r="A17" s="5" t="s">
        <v>206</v>
      </c>
      <c r="B17" s="6">
        <v>44629</v>
      </c>
      <c r="C17" s="7">
        <v>0.8</v>
      </c>
      <c r="D17" s="5">
        <v>8.9</v>
      </c>
      <c r="E17" s="5">
        <v>164.1</v>
      </c>
      <c r="F17" s="5">
        <v>182.4</v>
      </c>
      <c r="G17" s="6">
        <v>44629</v>
      </c>
      <c r="H17" s="5"/>
      <c r="I17" s="5"/>
      <c r="J17" s="5">
        <f t="shared" si="0"/>
        <v>18.300000000000011</v>
      </c>
      <c r="K17" s="8" t="b">
        <f t="shared" si="2"/>
        <v>1</v>
      </c>
    </row>
    <row r="18" spans="1:11">
      <c r="A18" s="5" t="s">
        <v>206</v>
      </c>
      <c r="B18" s="6">
        <v>44633</v>
      </c>
      <c r="C18" s="7">
        <v>0.8</v>
      </c>
      <c r="D18" s="5">
        <v>8.9</v>
      </c>
      <c r="E18" s="5">
        <v>182.4</v>
      </c>
      <c r="F18" s="5">
        <v>200.2</v>
      </c>
      <c r="G18" s="6">
        <v>44633</v>
      </c>
      <c r="H18" s="5"/>
      <c r="I18" s="5"/>
      <c r="J18" s="5">
        <f t="shared" si="0"/>
        <v>17.799999999999983</v>
      </c>
      <c r="K18" s="8" t="b">
        <f t="shared" si="2"/>
        <v>1</v>
      </c>
    </row>
    <row r="19" spans="1:11">
      <c r="A19" s="5" t="s">
        <v>206</v>
      </c>
      <c r="B19" s="6">
        <v>44638</v>
      </c>
      <c r="C19" s="7">
        <v>0.7</v>
      </c>
      <c r="D19" s="5">
        <v>10.39</v>
      </c>
      <c r="E19" s="5">
        <v>218.3</v>
      </c>
      <c r="F19" s="5">
        <v>238.7</v>
      </c>
      <c r="G19" s="6">
        <v>44638</v>
      </c>
      <c r="H19" s="5"/>
      <c r="I19" s="5"/>
      <c r="J19" s="5">
        <f t="shared" si="0"/>
        <v>20.399999999999977</v>
      </c>
      <c r="K19" s="8" t="b">
        <f t="shared" si="2"/>
        <v>0</v>
      </c>
    </row>
    <row r="20" spans="1:11">
      <c r="A20" s="5" t="s">
        <v>206</v>
      </c>
      <c r="B20" s="6">
        <v>44644</v>
      </c>
      <c r="C20" s="7">
        <v>0.7</v>
      </c>
      <c r="D20" s="5">
        <v>10.29</v>
      </c>
      <c r="E20" s="5">
        <v>238.7</v>
      </c>
      <c r="F20" s="5">
        <v>259.3</v>
      </c>
      <c r="G20" s="6">
        <v>44644</v>
      </c>
      <c r="H20" s="5"/>
      <c r="I20" s="5"/>
      <c r="J20" s="5">
        <f t="shared" si="0"/>
        <v>20.600000000000023</v>
      </c>
      <c r="K20" s="8" t="b">
        <f t="shared" si="2"/>
        <v>1</v>
      </c>
    </row>
    <row r="21" spans="1:11">
      <c r="A21" s="5" t="s">
        <v>206</v>
      </c>
      <c r="B21" s="6">
        <v>44649</v>
      </c>
      <c r="C21" s="7">
        <v>0.7</v>
      </c>
      <c r="D21" s="5">
        <v>10.29</v>
      </c>
      <c r="E21" s="5">
        <v>259.3</v>
      </c>
      <c r="F21" s="5">
        <v>277.10000000000002</v>
      </c>
      <c r="G21" s="6">
        <v>44649</v>
      </c>
      <c r="H21" s="5"/>
      <c r="I21" s="5"/>
      <c r="J21" s="5">
        <f t="shared" si="0"/>
        <v>17.800000000000011</v>
      </c>
      <c r="K21" s="8" t="b">
        <f t="shared" si="2"/>
        <v>1</v>
      </c>
    </row>
    <row r="22" spans="1:11">
      <c r="A22" s="5" t="s">
        <v>206</v>
      </c>
      <c r="B22" s="6"/>
      <c r="C22" s="7"/>
      <c r="D22" s="5"/>
      <c r="E22" s="5"/>
      <c r="F22" s="5"/>
      <c r="G22" s="6"/>
      <c r="H22" s="5"/>
      <c r="I22" s="5"/>
      <c r="J22" s="5">
        <f t="shared" si="0"/>
        <v>0</v>
      </c>
      <c r="K22" s="8" t="b">
        <f t="shared" si="2"/>
        <v>0</v>
      </c>
    </row>
    <row r="24" spans="1:11" ht="26.25">
      <c r="A24" s="126" t="s">
        <v>205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8"/>
    </row>
    <row r="25" spans="1:11" ht="26.25">
      <c r="A25" s="129" t="s">
        <v>17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1"/>
    </row>
    <row r="26" spans="1:11" ht="15.75" thickBot="1"/>
    <row r="27" spans="1:11" ht="15.75" thickBot="1">
      <c r="A27" s="132" t="s">
        <v>2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4"/>
    </row>
    <row r="29" spans="1:11" ht="19.5" thickBot="1">
      <c r="A29" s="1" t="s">
        <v>3</v>
      </c>
      <c r="B29" s="61"/>
      <c r="C29" s="124"/>
      <c r="D29" s="1"/>
      <c r="E29" s="1"/>
      <c r="F29" s="1"/>
      <c r="G29" s="61"/>
      <c r="H29" s="1"/>
      <c r="I29" s="1"/>
    </row>
    <row r="30" spans="1:11" ht="30.75" thickBot="1">
      <c r="A30" s="2" t="s">
        <v>4</v>
      </c>
      <c r="B30" s="62" t="s">
        <v>5</v>
      </c>
      <c r="C30" s="125" t="s">
        <v>6</v>
      </c>
      <c r="D30" s="3" t="s">
        <v>7</v>
      </c>
      <c r="E30" s="3" t="s">
        <v>8</v>
      </c>
      <c r="F30" s="3" t="s">
        <v>9</v>
      </c>
      <c r="G30" s="62" t="s">
        <v>10</v>
      </c>
      <c r="H30" s="3" t="s">
        <v>21</v>
      </c>
      <c r="I30" s="4" t="s">
        <v>22</v>
      </c>
      <c r="J30" s="4" t="s">
        <v>11</v>
      </c>
      <c r="K30" s="4" t="s">
        <v>12</v>
      </c>
    </row>
    <row r="31" spans="1:11">
      <c r="A31" s="5" t="s">
        <v>206</v>
      </c>
      <c r="B31" s="6">
        <v>44902</v>
      </c>
      <c r="C31" s="7">
        <v>1</v>
      </c>
      <c r="D31" s="5">
        <v>7.12</v>
      </c>
      <c r="E31" s="5">
        <v>0</v>
      </c>
      <c r="F31" s="5">
        <v>13.8</v>
      </c>
      <c r="G31" s="6">
        <v>44902</v>
      </c>
      <c r="H31" s="5"/>
      <c r="I31" s="5"/>
      <c r="J31" s="5">
        <f>F31-E31</f>
        <v>13.8</v>
      </c>
      <c r="K31" s="8" t="b">
        <f>E31=F22</f>
        <v>1</v>
      </c>
    </row>
    <row r="32" spans="1:11">
      <c r="A32" s="5" t="s">
        <v>206</v>
      </c>
      <c r="B32" s="6">
        <v>44906</v>
      </c>
      <c r="C32" s="7">
        <v>1</v>
      </c>
      <c r="D32" s="5">
        <v>7.12</v>
      </c>
      <c r="E32" s="5">
        <v>13.8</v>
      </c>
      <c r="F32" s="5">
        <v>29.8</v>
      </c>
      <c r="G32" s="6">
        <v>44906</v>
      </c>
      <c r="H32" s="5"/>
      <c r="I32" s="5"/>
      <c r="J32" s="5">
        <f t="shared" ref="J32:J40" si="3">F32-E32</f>
        <v>16</v>
      </c>
      <c r="K32" s="8" t="b">
        <f>E32=F31</f>
        <v>1</v>
      </c>
    </row>
    <row r="33" spans="1:11">
      <c r="A33" s="5" t="s">
        <v>206</v>
      </c>
      <c r="B33" s="6">
        <v>44925</v>
      </c>
      <c r="C33" s="7">
        <v>1</v>
      </c>
      <c r="D33" s="5">
        <v>7.12</v>
      </c>
      <c r="E33" s="5">
        <v>29.8</v>
      </c>
      <c r="F33" s="5">
        <v>45.2</v>
      </c>
      <c r="G33" s="6">
        <v>44929</v>
      </c>
      <c r="H33" s="5"/>
      <c r="I33" s="5"/>
      <c r="J33" s="5">
        <f t="shared" si="3"/>
        <v>15.400000000000002</v>
      </c>
      <c r="K33" s="8" t="b">
        <f t="shared" ref="K33:K40" si="4">E33=F32</f>
        <v>1</v>
      </c>
    </row>
    <row r="34" spans="1:11">
      <c r="A34" s="5" t="s">
        <v>206</v>
      </c>
      <c r="B34" s="6">
        <v>44928</v>
      </c>
      <c r="C34" s="7">
        <v>0.8</v>
      </c>
      <c r="D34" s="5">
        <v>8.9</v>
      </c>
      <c r="E34" s="5">
        <v>45.2</v>
      </c>
      <c r="F34" s="5">
        <v>62.3</v>
      </c>
      <c r="G34" s="6">
        <v>44929</v>
      </c>
      <c r="H34" s="5"/>
      <c r="I34" s="5"/>
      <c r="J34" s="5">
        <f t="shared" si="3"/>
        <v>17.099999999999994</v>
      </c>
      <c r="K34" s="8" t="b">
        <f t="shared" si="4"/>
        <v>1</v>
      </c>
    </row>
    <row r="35" spans="1:11">
      <c r="A35" s="5" t="s">
        <v>206</v>
      </c>
      <c r="B35" s="6">
        <v>44939</v>
      </c>
      <c r="C35" s="7">
        <v>1</v>
      </c>
      <c r="D35" s="5">
        <v>7.27</v>
      </c>
      <c r="E35" s="5">
        <v>61.4</v>
      </c>
      <c r="F35" s="5">
        <v>75.8</v>
      </c>
      <c r="G35" s="6">
        <v>44939</v>
      </c>
      <c r="H35" s="5"/>
      <c r="I35" s="5"/>
      <c r="J35" s="5">
        <f t="shared" si="3"/>
        <v>14.399999999999999</v>
      </c>
      <c r="K35" s="8" t="b">
        <f t="shared" si="4"/>
        <v>0</v>
      </c>
    </row>
    <row r="36" spans="1:11">
      <c r="A36" s="5" t="s">
        <v>206</v>
      </c>
      <c r="B36" s="6">
        <v>44958</v>
      </c>
      <c r="C36" s="7">
        <v>0.7</v>
      </c>
      <c r="D36" s="5">
        <v>10.29</v>
      </c>
      <c r="E36" s="5">
        <v>75.8</v>
      </c>
      <c r="F36" s="5">
        <v>98.1</v>
      </c>
      <c r="G36" s="6">
        <v>44958</v>
      </c>
      <c r="H36" s="5"/>
      <c r="I36" s="5"/>
      <c r="J36" s="5">
        <f t="shared" si="3"/>
        <v>22.299999999999997</v>
      </c>
      <c r="K36" s="8" t="b">
        <f t="shared" si="4"/>
        <v>1</v>
      </c>
    </row>
    <row r="37" spans="1:11">
      <c r="A37" s="5" t="s">
        <v>206</v>
      </c>
      <c r="B37" s="6"/>
      <c r="C37" s="7"/>
      <c r="D37" s="5"/>
      <c r="E37" s="5"/>
      <c r="F37" s="5"/>
      <c r="G37" s="6"/>
      <c r="H37" s="5"/>
      <c r="I37" s="5"/>
      <c r="J37" s="5">
        <f t="shared" si="3"/>
        <v>0</v>
      </c>
      <c r="K37" s="8" t="b">
        <f t="shared" si="4"/>
        <v>0</v>
      </c>
    </row>
    <row r="38" spans="1:11">
      <c r="A38" s="5" t="s">
        <v>206</v>
      </c>
      <c r="B38" s="6"/>
      <c r="C38" s="7"/>
      <c r="D38" s="5"/>
      <c r="E38" s="5"/>
      <c r="F38" s="5"/>
      <c r="G38" s="6"/>
      <c r="H38" s="5"/>
      <c r="I38" s="5"/>
      <c r="J38" s="5">
        <f t="shared" si="3"/>
        <v>0</v>
      </c>
      <c r="K38" s="8" t="b">
        <f t="shared" si="4"/>
        <v>1</v>
      </c>
    </row>
    <row r="39" spans="1:11">
      <c r="A39" s="5" t="s">
        <v>206</v>
      </c>
      <c r="B39" s="6"/>
      <c r="C39" s="7"/>
      <c r="D39" s="5"/>
      <c r="E39" s="5"/>
      <c r="F39" s="5"/>
      <c r="G39" s="6"/>
      <c r="H39" s="5"/>
      <c r="I39" s="5"/>
      <c r="J39" s="5">
        <f t="shared" si="3"/>
        <v>0</v>
      </c>
      <c r="K39" s="8" t="b">
        <f t="shared" si="4"/>
        <v>1</v>
      </c>
    </row>
    <row r="40" spans="1:11">
      <c r="A40" s="5" t="s">
        <v>206</v>
      </c>
      <c r="B40" s="6"/>
      <c r="C40" s="7"/>
      <c r="D40" s="5"/>
      <c r="E40" s="5"/>
      <c r="F40" s="5"/>
      <c r="G40" s="6"/>
      <c r="H40" s="5"/>
      <c r="I40" s="5"/>
      <c r="J40" s="5">
        <f t="shared" si="3"/>
        <v>0</v>
      </c>
      <c r="K40" s="8" t="b">
        <f t="shared" si="4"/>
        <v>1</v>
      </c>
    </row>
    <row r="42" spans="1:11" ht="26.25">
      <c r="A42" s="126" t="s">
        <v>205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8"/>
    </row>
    <row r="43" spans="1:11" ht="26.25">
      <c r="A43" s="129">
        <v>2023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1"/>
    </row>
    <row r="44" spans="1:11" ht="15.75" thickBot="1"/>
    <row r="45" spans="1:11" ht="15.75" thickBot="1">
      <c r="A45" s="132" t="s">
        <v>2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4"/>
    </row>
    <row r="47" spans="1:11" ht="19.5" thickBot="1">
      <c r="A47" s="1" t="s">
        <v>3</v>
      </c>
      <c r="B47" s="61"/>
      <c r="C47" s="124"/>
      <c r="D47" s="1"/>
      <c r="E47" s="1"/>
      <c r="F47" s="1"/>
      <c r="G47" s="61"/>
      <c r="H47" s="1"/>
      <c r="I47" s="1"/>
    </row>
    <row r="48" spans="1:11" ht="30">
      <c r="A48" s="2" t="s">
        <v>4</v>
      </c>
      <c r="B48" s="62" t="s">
        <v>5</v>
      </c>
      <c r="C48" s="125" t="s">
        <v>6</v>
      </c>
      <c r="D48" s="3" t="s">
        <v>7</v>
      </c>
      <c r="E48" s="3" t="s">
        <v>8</v>
      </c>
      <c r="F48" s="3" t="s">
        <v>9</v>
      </c>
      <c r="G48" s="62" t="s">
        <v>10</v>
      </c>
      <c r="H48" s="3" t="s">
        <v>21</v>
      </c>
      <c r="I48" s="4" t="s">
        <v>22</v>
      </c>
      <c r="J48" s="4" t="s">
        <v>11</v>
      </c>
      <c r="K48" s="4" t="s">
        <v>12</v>
      </c>
    </row>
    <row r="49" spans="1:11">
      <c r="A49" s="5" t="s">
        <v>207</v>
      </c>
      <c r="B49" s="6">
        <v>45138</v>
      </c>
      <c r="C49" s="7">
        <v>0.45</v>
      </c>
      <c r="D49" s="5">
        <v>15.82</v>
      </c>
      <c r="E49" s="5">
        <v>98.1</v>
      </c>
      <c r="F49" s="5">
        <v>113.2</v>
      </c>
      <c r="G49" s="6">
        <v>45138</v>
      </c>
      <c r="H49" s="5"/>
      <c r="I49" s="5"/>
      <c r="J49" s="5">
        <f>F49-E49</f>
        <v>15.100000000000009</v>
      </c>
      <c r="K49" s="8" t="b">
        <f>E49=F40</f>
        <v>0</v>
      </c>
    </row>
    <row r="50" spans="1:11">
      <c r="A50" s="5" t="s">
        <v>208</v>
      </c>
      <c r="B50" s="6">
        <v>45139</v>
      </c>
      <c r="C50" s="7">
        <v>0.45</v>
      </c>
      <c r="D50" s="5">
        <v>15.82</v>
      </c>
      <c r="E50" s="5">
        <v>113.2</v>
      </c>
      <c r="F50" s="5">
        <v>127.2</v>
      </c>
      <c r="G50" s="6">
        <v>45139</v>
      </c>
      <c r="H50" s="5"/>
      <c r="I50" s="5"/>
      <c r="J50" s="5">
        <f t="shared" ref="J50" si="5">F50-E50</f>
        <v>14</v>
      </c>
      <c r="K50" s="8" t="b">
        <f>E50=F49</f>
        <v>1</v>
      </c>
    </row>
    <row r="51" spans="1:11">
      <c r="A51" s="5" t="s">
        <v>207</v>
      </c>
      <c r="B51" s="6">
        <v>45143</v>
      </c>
      <c r="C51" s="7">
        <v>0.45</v>
      </c>
      <c r="D51" s="5">
        <v>15.82</v>
      </c>
      <c r="E51" s="5">
        <v>127.2</v>
      </c>
      <c r="F51" s="5">
        <v>143.9</v>
      </c>
      <c r="G51" s="6">
        <v>45143</v>
      </c>
      <c r="H51" s="5"/>
      <c r="I51" s="5"/>
      <c r="J51" s="5">
        <f t="shared" ref="J51:J54" si="6">F51-E51</f>
        <v>16.700000000000003</v>
      </c>
      <c r="K51" s="8" t="b">
        <f t="shared" ref="K51:K54" si="7">E51=F50</f>
        <v>1</v>
      </c>
    </row>
    <row r="52" spans="1:11">
      <c r="A52" s="5" t="s">
        <v>206</v>
      </c>
      <c r="B52" s="6">
        <v>45144</v>
      </c>
      <c r="C52" s="7">
        <v>0.45</v>
      </c>
      <c r="D52" s="5">
        <v>15.82</v>
      </c>
      <c r="E52" s="5">
        <v>143.9</v>
      </c>
      <c r="F52" s="5">
        <v>159.9</v>
      </c>
      <c r="G52" s="6">
        <v>45144</v>
      </c>
      <c r="H52" s="5"/>
      <c r="I52" s="5"/>
      <c r="J52" s="5">
        <f t="shared" si="6"/>
        <v>16</v>
      </c>
      <c r="K52" s="8" t="b">
        <f t="shared" si="7"/>
        <v>1</v>
      </c>
    </row>
    <row r="53" spans="1:11">
      <c r="A53" s="5" t="s">
        <v>206</v>
      </c>
      <c r="B53" s="6"/>
      <c r="C53" s="7"/>
      <c r="D53" s="5"/>
      <c r="E53" s="5"/>
      <c r="F53" s="5"/>
      <c r="G53" s="6"/>
      <c r="H53" s="5"/>
      <c r="I53" s="5"/>
      <c r="J53" s="5">
        <f t="shared" si="6"/>
        <v>0</v>
      </c>
      <c r="K53" s="8" t="b">
        <f t="shared" si="7"/>
        <v>0</v>
      </c>
    </row>
    <row r="54" spans="1:11">
      <c r="A54" s="5" t="s">
        <v>206</v>
      </c>
      <c r="B54" s="6"/>
      <c r="C54" s="7"/>
      <c r="D54" s="5"/>
      <c r="E54" s="5"/>
      <c r="F54" s="5"/>
      <c r="G54" s="6"/>
      <c r="H54" s="5"/>
      <c r="I54" s="5"/>
      <c r="J54" s="5">
        <f t="shared" si="6"/>
        <v>0</v>
      </c>
      <c r="K54" s="8" t="b">
        <f t="shared" si="7"/>
        <v>1</v>
      </c>
    </row>
    <row r="56" spans="1:11" ht="26.25">
      <c r="A56" s="205" t="s">
        <v>205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7"/>
    </row>
    <row r="57" spans="1:11" ht="26.25">
      <c r="A57" s="208" t="s">
        <v>209</v>
      </c>
      <c r="B57" s="209"/>
      <c r="C57" s="209"/>
      <c r="D57" s="209"/>
      <c r="E57" s="209"/>
      <c r="F57" s="209"/>
      <c r="G57" s="209"/>
      <c r="H57" s="209"/>
      <c r="I57" s="209"/>
      <c r="J57" s="209"/>
      <c r="K57" s="210"/>
    </row>
    <row r="58" spans="1:11" ht="15.75" thickBot="1"/>
    <row r="59" spans="1:11" ht="15.75" thickBot="1">
      <c r="A59" s="132" t="s">
        <v>2</v>
      </c>
      <c r="B59" s="133"/>
      <c r="C59" s="133"/>
      <c r="D59" s="133"/>
      <c r="E59" s="133"/>
      <c r="F59" s="133"/>
      <c r="G59" s="133"/>
      <c r="H59" s="133"/>
      <c r="I59" s="133"/>
      <c r="J59" s="133"/>
      <c r="K59" s="134"/>
    </row>
    <row r="61" spans="1:11" ht="19.5" thickBot="1">
      <c r="A61" s="1" t="s">
        <v>3</v>
      </c>
      <c r="B61" s="61"/>
      <c r="C61" s="124"/>
      <c r="D61" s="1"/>
      <c r="E61" s="1"/>
      <c r="F61" s="1"/>
      <c r="G61" s="61"/>
      <c r="H61" s="1"/>
      <c r="I61" s="1"/>
    </row>
    <row r="62" spans="1:11" ht="30.75" thickBot="1">
      <c r="A62" s="2" t="s">
        <v>4</v>
      </c>
      <c r="B62" s="62" t="s">
        <v>5</v>
      </c>
      <c r="C62" s="125" t="s">
        <v>6</v>
      </c>
      <c r="D62" s="3" t="s">
        <v>7</v>
      </c>
      <c r="E62" s="3" t="s">
        <v>8</v>
      </c>
      <c r="F62" s="3" t="s">
        <v>9</v>
      </c>
      <c r="G62" s="62" t="s">
        <v>10</v>
      </c>
      <c r="H62" s="3" t="s">
        <v>21</v>
      </c>
      <c r="I62" s="4" t="s">
        <v>22</v>
      </c>
      <c r="J62" s="4" t="s">
        <v>11</v>
      </c>
      <c r="K62" s="4" t="s">
        <v>12</v>
      </c>
    </row>
    <row r="63" spans="1:11">
      <c r="A63" s="5" t="s">
        <v>210</v>
      </c>
      <c r="B63" s="6">
        <v>45302</v>
      </c>
      <c r="C63" s="7">
        <v>1</v>
      </c>
      <c r="D63" s="5">
        <v>7.12</v>
      </c>
      <c r="E63" s="5">
        <v>0</v>
      </c>
      <c r="F63" s="5">
        <v>11.2</v>
      </c>
      <c r="G63" s="6">
        <v>45302</v>
      </c>
      <c r="H63" s="5"/>
      <c r="I63" s="5"/>
      <c r="J63" s="5">
        <f>F63-E63</f>
        <v>11.2</v>
      </c>
      <c r="K63" s="8" t="b">
        <f>F52=E63</f>
        <v>0</v>
      </c>
    </row>
    <row r="64" spans="1:11">
      <c r="A64" s="5" t="s">
        <v>210</v>
      </c>
      <c r="B64" s="6">
        <v>45303</v>
      </c>
      <c r="C64" s="7">
        <v>1</v>
      </c>
      <c r="D64" s="5">
        <v>7.12</v>
      </c>
      <c r="E64" s="5">
        <v>11.2</v>
      </c>
      <c r="F64" s="5">
        <v>22.5</v>
      </c>
      <c r="G64" s="6">
        <v>45303</v>
      </c>
      <c r="H64" s="5"/>
      <c r="I64" s="5"/>
      <c r="J64" s="5">
        <f t="shared" ref="J64:J66" si="8">F64-E64</f>
        <v>11.3</v>
      </c>
      <c r="K64" s="8" t="b">
        <f>E64=F63</f>
        <v>1</v>
      </c>
    </row>
    <row r="65" spans="1:11">
      <c r="A65" s="5" t="s">
        <v>210</v>
      </c>
      <c r="B65" s="6">
        <v>45304</v>
      </c>
      <c r="C65" s="7">
        <v>1</v>
      </c>
      <c r="D65" s="5">
        <v>7.12</v>
      </c>
      <c r="E65" s="5">
        <v>22.5</v>
      </c>
      <c r="F65" s="5">
        <v>33.6</v>
      </c>
      <c r="G65" s="6">
        <v>45304</v>
      </c>
      <c r="H65" s="5"/>
      <c r="I65" s="5"/>
      <c r="J65" s="5">
        <f t="shared" si="8"/>
        <v>11.100000000000001</v>
      </c>
      <c r="K65" s="8" t="b">
        <f t="shared" ref="K65:K66" si="9">E65=F64</f>
        <v>1</v>
      </c>
    </row>
    <row r="66" spans="1:11">
      <c r="A66" s="5" t="s">
        <v>211</v>
      </c>
      <c r="B66" s="6">
        <v>45305</v>
      </c>
      <c r="C66" s="7">
        <v>0.5</v>
      </c>
      <c r="D66" s="5">
        <f>7.12*2</f>
        <v>14.24</v>
      </c>
      <c r="E66" s="5">
        <v>33.6</v>
      </c>
      <c r="F66" s="5">
        <v>62.2</v>
      </c>
      <c r="G66" s="6">
        <v>45305</v>
      </c>
      <c r="H66" s="5"/>
      <c r="I66" s="5"/>
      <c r="J66" s="5">
        <f t="shared" si="8"/>
        <v>28.6</v>
      </c>
      <c r="K66" s="8" t="b">
        <f t="shared" si="9"/>
        <v>1</v>
      </c>
    </row>
    <row r="67" spans="1:11">
      <c r="A67" s="5" t="s">
        <v>207</v>
      </c>
      <c r="B67" s="6">
        <v>45307</v>
      </c>
      <c r="C67" s="7">
        <v>0.5</v>
      </c>
      <c r="D67" s="5">
        <v>14.24</v>
      </c>
      <c r="E67" s="5">
        <v>62.2</v>
      </c>
      <c r="F67" s="5">
        <v>69.7</v>
      </c>
      <c r="G67" s="6">
        <v>45307</v>
      </c>
      <c r="H67" s="5"/>
      <c r="I67" s="5"/>
      <c r="J67" s="5">
        <f t="shared" ref="J67:J68" si="10">F67-E67</f>
        <v>7.5</v>
      </c>
      <c r="K67" s="8" t="b">
        <f t="shared" ref="K67:K68" si="11">E67=F66</f>
        <v>1</v>
      </c>
    </row>
    <row r="68" spans="1:11">
      <c r="A68" s="5" t="s">
        <v>212</v>
      </c>
      <c r="B68" s="6">
        <v>45307</v>
      </c>
      <c r="C68" s="7">
        <v>1</v>
      </c>
      <c r="D68" s="5">
        <v>7.12</v>
      </c>
      <c r="E68" s="5">
        <v>69.7</v>
      </c>
      <c r="F68" s="5">
        <v>80.7</v>
      </c>
      <c r="G68" s="6">
        <v>45307</v>
      </c>
      <c r="H68" s="5"/>
      <c r="I68" s="5"/>
      <c r="J68" s="5">
        <f t="shared" si="10"/>
        <v>11</v>
      </c>
      <c r="K68" s="8" t="b">
        <f t="shared" si="11"/>
        <v>1</v>
      </c>
    </row>
    <row r="69" spans="1:11">
      <c r="A69" s="5" t="s">
        <v>211</v>
      </c>
      <c r="B69" s="6">
        <v>45309</v>
      </c>
      <c r="C69" s="7">
        <v>1</v>
      </c>
      <c r="D69" s="5">
        <v>7.12</v>
      </c>
      <c r="E69" s="5">
        <v>95.3</v>
      </c>
      <c r="F69" s="5">
        <v>108.7</v>
      </c>
      <c r="G69" s="6">
        <v>45309</v>
      </c>
      <c r="H69" s="5"/>
      <c r="I69" s="5"/>
      <c r="J69" s="5">
        <f t="shared" ref="J69:J81" si="12">F69-E69</f>
        <v>13.400000000000006</v>
      </c>
      <c r="K69" s="8" t="b">
        <f t="shared" ref="K69:K81" si="13">E69=F68</f>
        <v>0</v>
      </c>
    </row>
    <row r="70" spans="1:11">
      <c r="A70" s="5" t="s">
        <v>211</v>
      </c>
      <c r="B70" s="6">
        <v>45310</v>
      </c>
      <c r="C70" s="7">
        <v>1</v>
      </c>
      <c r="D70" s="5">
        <v>7.12</v>
      </c>
      <c r="E70" s="5">
        <v>108.7</v>
      </c>
      <c r="F70" s="5">
        <v>122.6</v>
      </c>
      <c r="G70" s="6">
        <v>45310</v>
      </c>
      <c r="H70" s="5"/>
      <c r="I70" s="5"/>
      <c r="J70" s="5">
        <f t="shared" si="12"/>
        <v>13.899999999999991</v>
      </c>
      <c r="K70" s="8" t="b">
        <f t="shared" si="13"/>
        <v>1</v>
      </c>
    </row>
    <row r="71" spans="1:11">
      <c r="A71" s="5" t="s">
        <v>211</v>
      </c>
      <c r="B71" s="6">
        <v>45311</v>
      </c>
      <c r="C71" s="7">
        <v>1</v>
      </c>
      <c r="D71" s="5">
        <v>7.12</v>
      </c>
      <c r="E71" s="5">
        <v>122.6</v>
      </c>
      <c r="F71" s="5">
        <v>137.30000000000001</v>
      </c>
      <c r="G71" s="6">
        <v>45311</v>
      </c>
      <c r="H71" s="5"/>
      <c r="I71" s="5"/>
      <c r="J71" s="5">
        <f t="shared" si="12"/>
        <v>14.700000000000017</v>
      </c>
      <c r="K71" s="8" t="b">
        <f t="shared" si="13"/>
        <v>1</v>
      </c>
    </row>
    <row r="72" spans="1:11">
      <c r="A72" s="5" t="s">
        <v>213</v>
      </c>
      <c r="B72" s="6">
        <v>45312</v>
      </c>
      <c r="C72" s="7">
        <v>1</v>
      </c>
      <c r="D72" s="5">
        <v>7.12</v>
      </c>
      <c r="E72" s="5">
        <v>137.30000000000001</v>
      </c>
      <c r="F72" s="5">
        <v>144.80000000000001</v>
      </c>
      <c r="G72" s="6">
        <v>45312</v>
      </c>
      <c r="H72" s="5"/>
      <c r="I72" s="5"/>
      <c r="J72" s="5">
        <f t="shared" si="12"/>
        <v>7.5</v>
      </c>
      <c r="K72" s="8" t="b">
        <f t="shared" si="13"/>
        <v>1</v>
      </c>
    </row>
    <row r="73" spans="1:11">
      <c r="A73" s="5" t="s">
        <v>214</v>
      </c>
      <c r="B73" s="6">
        <v>45313</v>
      </c>
      <c r="C73" s="7">
        <v>1</v>
      </c>
      <c r="D73" s="5">
        <v>7.12</v>
      </c>
      <c r="E73" s="5">
        <v>144.80000000000001</v>
      </c>
      <c r="F73" s="5">
        <v>155.6</v>
      </c>
      <c r="G73" s="6">
        <v>45313</v>
      </c>
      <c r="H73" s="5"/>
      <c r="I73" s="5"/>
      <c r="J73" s="5">
        <f t="shared" si="12"/>
        <v>10.799999999999983</v>
      </c>
      <c r="K73" s="8" t="b">
        <f t="shared" si="13"/>
        <v>1</v>
      </c>
    </row>
    <row r="74" spans="1:11">
      <c r="A74" s="5" t="s">
        <v>207</v>
      </c>
      <c r="B74" s="6">
        <v>45315</v>
      </c>
      <c r="C74" s="7">
        <v>1</v>
      </c>
      <c r="D74" s="5">
        <v>7.12</v>
      </c>
      <c r="E74" s="5">
        <v>155.6</v>
      </c>
      <c r="F74" s="5">
        <v>158.5</v>
      </c>
      <c r="G74" s="6">
        <v>45315</v>
      </c>
      <c r="H74" s="5"/>
      <c r="I74" s="5"/>
      <c r="J74" s="5">
        <f t="shared" si="12"/>
        <v>2.9000000000000057</v>
      </c>
      <c r="K74" s="8" t="b">
        <f t="shared" si="13"/>
        <v>1</v>
      </c>
    </row>
    <row r="75" spans="1:11">
      <c r="A75" s="80" t="s">
        <v>211</v>
      </c>
      <c r="B75" s="81">
        <v>45316</v>
      </c>
      <c r="C75" s="82">
        <v>1</v>
      </c>
      <c r="D75" s="80">
        <v>7.12</v>
      </c>
      <c r="E75" s="80">
        <v>158.5</v>
      </c>
      <c r="F75" s="80">
        <v>173.4</v>
      </c>
      <c r="G75" s="81">
        <v>45316</v>
      </c>
      <c r="H75" s="80"/>
      <c r="I75" s="80"/>
      <c r="J75" s="80">
        <f t="shared" si="12"/>
        <v>14.900000000000006</v>
      </c>
      <c r="K75" s="8" t="b">
        <f t="shared" si="13"/>
        <v>1</v>
      </c>
    </row>
    <row r="76" spans="1:11">
      <c r="A76" s="101" t="s">
        <v>207</v>
      </c>
      <c r="B76" s="102">
        <v>45317</v>
      </c>
      <c r="C76" s="103">
        <v>1</v>
      </c>
      <c r="D76" s="101">
        <v>7.12</v>
      </c>
      <c r="E76" s="101">
        <v>173.4</v>
      </c>
      <c r="F76" s="101">
        <v>175.8</v>
      </c>
      <c r="G76" s="102">
        <v>45317</v>
      </c>
      <c r="H76" s="101"/>
      <c r="I76" s="101"/>
      <c r="J76" s="101">
        <f t="shared" si="12"/>
        <v>2.4000000000000057</v>
      </c>
      <c r="K76" s="8" t="b">
        <f t="shared" si="13"/>
        <v>1</v>
      </c>
    </row>
    <row r="77" spans="1:11">
      <c r="A77" s="5" t="s">
        <v>211</v>
      </c>
      <c r="B77" s="6">
        <v>45319</v>
      </c>
      <c r="C77" s="7">
        <v>1</v>
      </c>
      <c r="D77" s="5">
        <v>7.12</v>
      </c>
      <c r="E77" s="5">
        <v>175.8</v>
      </c>
      <c r="F77" s="5">
        <v>190.3</v>
      </c>
      <c r="G77" s="6">
        <v>45319</v>
      </c>
      <c r="H77" s="5"/>
      <c r="I77" s="5"/>
      <c r="J77" s="5">
        <f t="shared" si="12"/>
        <v>14.5</v>
      </c>
      <c r="K77" s="8" t="b">
        <f t="shared" si="13"/>
        <v>1</v>
      </c>
    </row>
    <row r="78" spans="1:11">
      <c r="A78" s="5" t="s">
        <v>207</v>
      </c>
      <c r="B78" s="6">
        <v>45320</v>
      </c>
      <c r="C78" s="7">
        <v>1</v>
      </c>
      <c r="D78" s="5">
        <v>7.12</v>
      </c>
      <c r="E78" s="5">
        <v>190.3</v>
      </c>
      <c r="F78" s="5">
        <v>194</v>
      </c>
      <c r="G78" s="6">
        <v>45320</v>
      </c>
      <c r="H78" s="5"/>
      <c r="I78" s="5"/>
      <c r="J78" s="5">
        <f t="shared" si="12"/>
        <v>3.6999999999999886</v>
      </c>
      <c r="K78" s="8" t="b">
        <f t="shared" si="13"/>
        <v>1</v>
      </c>
    </row>
    <row r="79" spans="1:11">
      <c r="A79" s="5" t="s">
        <v>211</v>
      </c>
      <c r="B79" s="6">
        <v>45325</v>
      </c>
      <c r="C79" s="7">
        <v>1</v>
      </c>
      <c r="D79" s="5">
        <v>7.12</v>
      </c>
      <c r="E79" s="5">
        <v>194</v>
      </c>
      <c r="F79" s="5">
        <v>208.8</v>
      </c>
      <c r="G79" s="6">
        <v>45325</v>
      </c>
      <c r="H79" s="5"/>
      <c r="I79" s="5"/>
      <c r="J79" s="5">
        <f t="shared" si="12"/>
        <v>14.800000000000011</v>
      </c>
      <c r="K79" s="8" t="b">
        <f t="shared" si="13"/>
        <v>1</v>
      </c>
    </row>
    <row r="80" spans="1:11">
      <c r="A80" s="80" t="s">
        <v>211</v>
      </c>
      <c r="B80" s="81">
        <v>45327</v>
      </c>
      <c r="C80" s="82">
        <v>1</v>
      </c>
      <c r="D80" s="80">
        <v>7.12</v>
      </c>
      <c r="E80" s="80">
        <v>208.8</v>
      </c>
      <c r="F80" s="80">
        <v>223.5</v>
      </c>
      <c r="G80" s="81">
        <v>45327</v>
      </c>
      <c r="H80" s="80"/>
      <c r="I80" s="80"/>
      <c r="J80" s="80">
        <f t="shared" si="12"/>
        <v>14.699999999999989</v>
      </c>
      <c r="K80" s="8" t="b">
        <f t="shared" si="13"/>
        <v>1</v>
      </c>
    </row>
    <row r="81" spans="1:11">
      <c r="A81" s="5" t="s">
        <v>211</v>
      </c>
      <c r="B81" s="6">
        <v>45336</v>
      </c>
      <c r="C81" s="7">
        <v>1</v>
      </c>
      <c r="D81" s="5">
        <v>7.12</v>
      </c>
      <c r="E81" s="5">
        <v>223.5</v>
      </c>
      <c r="F81" s="5">
        <v>238</v>
      </c>
      <c r="G81" s="6">
        <v>45336</v>
      </c>
      <c r="H81" s="5"/>
      <c r="I81" s="5"/>
      <c r="J81" s="5">
        <f t="shared" si="12"/>
        <v>14.5</v>
      </c>
      <c r="K81" s="8" t="b">
        <f t="shared" si="13"/>
        <v>1</v>
      </c>
    </row>
    <row r="82" spans="1:11">
      <c r="A82" s="5" t="s">
        <v>211</v>
      </c>
      <c r="B82" s="6">
        <v>45348</v>
      </c>
      <c r="C82" s="7">
        <v>1</v>
      </c>
      <c r="D82" s="5">
        <v>7.12</v>
      </c>
      <c r="E82" s="5">
        <v>238</v>
      </c>
      <c r="F82" s="5">
        <v>253.5</v>
      </c>
      <c r="G82" s="6">
        <v>45348</v>
      </c>
      <c r="H82" s="5"/>
      <c r="I82" s="5"/>
      <c r="J82" s="5">
        <f t="shared" ref="J82:J113" si="14">F82-E82</f>
        <v>15.5</v>
      </c>
      <c r="K82" s="8" t="b">
        <f t="shared" ref="K82:K93" si="15">E82=F81</f>
        <v>1</v>
      </c>
    </row>
    <row r="83" spans="1:11">
      <c r="A83" s="5" t="s">
        <v>211</v>
      </c>
      <c r="B83" s="6">
        <v>45349</v>
      </c>
      <c r="C83" s="7">
        <v>1</v>
      </c>
      <c r="D83" s="5">
        <v>7.12</v>
      </c>
      <c r="E83" s="5">
        <v>238</v>
      </c>
      <c r="F83" s="5">
        <v>253.5</v>
      </c>
      <c r="G83" s="6">
        <v>45349</v>
      </c>
      <c r="H83" s="5"/>
      <c r="I83" s="5"/>
      <c r="J83" s="5">
        <f t="shared" ref="J83:J86" si="16">F83-E83</f>
        <v>15.5</v>
      </c>
      <c r="K83" s="8" t="b">
        <f t="shared" si="15"/>
        <v>0</v>
      </c>
    </row>
    <row r="84" spans="1:11">
      <c r="A84" s="5" t="s">
        <v>211</v>
      </c>
      <c r="B84" s="6">
        <v>45350</v>
      </c>
      <c r="C84" s="7">
        <v>1</v>
      </c>
      <c r="D84" s="5">
        <v>7.12</v>
      </c>
      <c r="E84" s="5">
        <v>238</v>
      </c>
      <c r="F84" s="5">
        <v>253.5</v>
      </c>
      <c r="G84" s="6">
        <v>45350</v>
      </c>
      <c r="H84" s="5"/>
      <c r="I84" s="5"/>
      <c r="J84" s="5">
        <f t="shared" si="16"/>
        <v>15.5</v>
      </c>
      <c r="K84" s="8" t="b">
        <f t="shared" si="15"/>
        <v>0</v>
      </c>
    </row>
    <row r="85" spans="1:11">
      <c r="A85" s="5" t="s">
        <v>211</v>
      </c>
      <c r="B85" s="6">
        <v>45351</v>
      </c>
      <c r="C85" s="7">
        <v>1</v>
      </c>
      <c r="D85" s="5">
        <v>7.12</v>
      </c>
      <c r="E85" s="5">
        <v>238</v>
      </c>
      <c r="F85" s="5">
        <v>253.5</v>
      </c>
      <c r="G85" s="6">
        <v>45351</v>
      </c>
      <c r="H85" s="5"/>
      <c r="I85" s="5"/>
      <c r="J85" s="5">
        <f t="shared" si="16"/>
        <v>15.5</v>
      </c>
      <c r="K85" s="8" t="b">
        <f t="shared" si="15"/>
        <v>0</v>
      </c>
    </row>
    <row r="86" spans="1:11">
      <c r="A86" s="5" t="s">
        <v>211</v>
      </c>
      <c r="B86" s="6">
        <v>45352</v>
      </c>
      <c r="C86" s="7">
        <v>1</v>
      </c>
      <c r="D86" s="5">
        <v>7.12</v>
      </c>
      <c r="E86" s="5">
        <v>238</v>
      </c>
      <c r="F86" s="5">
        <v>253.5</v>
      </c>
      <c r="G86" s="6">
        <v>45352</v>
      </c>
      <c r="H86" s="5"/>
      <c r="I86" s="5"/>
      <c r="J86" s="5">
        <f t="shared" si="16"/>
        <v>15.5</v>
      </c>
      <c r="K86" s="8" t="b">
        <f t="shared" si="15"/>
        <v>0</v>
      </c>
    </row>
    <row r="87" spans="1:11">
      <c r="A87" s="5" t="s">
        <v>211</v>
      </c>
      <c r="B87" s="6">
        <v>45354</v>
      </c>
      <c r="C87" s="7">
        <v>0.75</v>
      </c>
      <c r="D87" s="5">
        <v>9.49</v>
      </c>
      <c r="E87" s="5">
        <v>281</v>
      </c>
      <c r="F87" s="5">
        <v>304.60000000000002</v>
      </c>
      <c r="G87" s="6">
        <v>45354</v>
      </c>
      <c r="H87" s="5"/>
      <c r="I87" s="5"/>
      <c r="J87" s="5"/>
      <c r="K87" s="8" t="b">
        <f t="shared" si="15"/>
        <v>0</v>
      </c>
    </row>
    <row r="88" spans="1:11">
      <c r="A88" s="5" t="s">
        <v>211</v>
      </c>
      <c r="B88" s="6">
        <v>45357</v>
      </c>
      <c r="C88" s="7">
        <v>1</v>
      </c>
      <c r="D88" s="5">
        <v>7.12</v>
      </c>
      <c r="E88" s="5">
        <v>304.60000000000002</v>
      </c>
      <c r="F88" s="5">
        <v>319.10000000000002</v>
      </c>
      <c r="G88" s="6">
        <v>45357</v>
      </c>
      <c r="H88" s="5"/>
      <c r="I88" s="5"/>
      <c r="J88" s="5">
        <f t="shared" si="14"/>
        <v>14.5</v>
      </c>
      <c r="K88" s="8" t="b">
        <f t="shared" si="15"/>
        <v>1</v>
      </c>
    </row>
    <row r="89" spans="1:11">
      <c r="A89" s="5" t="s">
        <v>211</v>
      </c>
      <c r="B89" s="6">
        <v>45360</v>
      </c>
      <c r="C89" s="7">
        <v>1</v>
      </c>
      <c r="D89" s="5">
        <v>7.12</v>
      </c>
      <c r="E89" s="5">
        <v>319.10000000000002</v>
      </c>
      <c r="F89" s="5">
        <v>333.7</v>
      </c>
      <c r="G89" s="6">
        <v>45360</v>
      </c>
      <c r="H89" s="5"/>
      <c r="I89" s="5"/>
      <c r="J89" s="5">
        <f t="shared" si="14"/>
        <v>14.599999999999966</v>
      </c>
      <c r="K89" s="8" t="b">
        <f t="shared" si="15"/>
        <v>1</v>
      </c>
    </row>
    <row r="90" spans="1:11">
      <c r="A90" s="5" t="s">
        <v>211</v>
      </c>
      <c r="B90" s="6">
        <v>45363</v>
      </c>
      <c r="C90" s="7">
        <v>1</v>
      </c>
      <c r="D90" s="5">
        <v>7.12</v>
      </c>
      <c r="E90" s="5">
        <v>333.7</v>
      </c>
      <c r="F90" s="5">
        <v>348.3</v>
      </c>
      <c r="G90" s="6">
        <v>45363</v>
      </c>
      <c r="H90" s="5"/>
      <c r="I90" s="5"/>
      <c r="J90" s="5">
        <f t="shared" si="14"/>
        <v>14.600000000000023</v>
      </c>
      <c r="K90" s="8" t="b">
        <f t="shared" si="15"/>
        <v>1</v>
      </c>
    </row>
    <row r="91" spans="1:11">
      <c r="A91" s="5" t="s">
        <v>211</v>
      </c>
      <c r="B91" s="6">
        <v>45365</v>
      </c>
      <c r="C91" s="7">
        <v>0.7</v>
      </c>
      <c r="D91" s="5">
        <v>10.29</v>
      </c>
      <c r="E91" s="5">
        <v>348.3</v>
      </c>
      <c r="F91" s="5">
        <v>368.8</v>
      </c>
      <c r="G91" s="6">
        <v>45365</v>
      </c>
      <c r="H91" s="5"/>
      <c r="I91" s="5"/>
      <c r="J91" s="5">
        <f t="shared" si="14"/>
        <v>20.5</v>
      </c>
      <c r="K91" s="8" t="b">
        <f t="shared" si="15"/>
        <v>1</v>
      </c>
    </row>
    <row r="92" spans="1:11">
      <c r="A92" s="5" t="s">
        <v>211</v>
      </c>
      <c r="B92" s="6">
        <v>45367</v>
      </c>
      <c r="C92" s="7">
        <v>0.6</v>
      </c>
      <c r="D92" s="5">
        <v>10.73</v>
      </c>
      <c r="E92" s="5">
        <v>368.8</v>
      </c>
      <c r="F92" s="5">
        <v>392.6</v>
      </c>
      <c r="G92" s="6">
        <v>45367</v>
      </c>
      <c r="H92" s="5"/>
      <c r="I92" s="5"/>
      <c r="J92" s="5">
        <f t="shared" si="14"/>
        <v>23.800000000000011</v>
      </c>
      <c r="K92" s="8" t="b">
        <f t="shared" si="15"/>
        <v>1</v>
      </c>
    </row>
    <row r="93" spans="1:11">
      <c r="A93" s="5" t="s">
        <v>211</v>
      </c>
      <c r="B93" s="6">
        <v>45369</v>
      </c>
      <c r="C93" s="7">
        <v>1</v>
      </c>
      <c r="D93" s="5">
        <v>7.12</v>
      </c>
      <c r="E93" s="5">
        <v>392.6</v>
      </c>
      <c r="F93" s="5">
        <v>407.2</v>
      </c>
      <c r="G93" s="6">
        <v>45369</v>
      </c>
      <c r="H93" s="5"/>
      <c r="I93" s="5"/>
      <c r="J93" s="5">
        <f t="shared" si="14"/>
        <v>14.599999999999966</v>
      </c>
      <c r="K93" s="8" t="b">
        <f t="shared" si="15"/>
        <v>1</v>
      </c>
    </row>
    <row r="94" spans="1:11">
      <c r="A94" s="5" t="s">
        <v>211</v>
      </c>
      <c r="B94" s="6">
        <v>45373</v>
      </c>
      <c r="C94" s="7">
        <v>1</v>
      </c>
      <c r="D94" s="5">
        <v>7.12</v>
      </c>
      <c r="E94" s="5">
        <v>407.2</v>
      </c>
      <c r="F94" s="5">
        <v>422.3</v>
      </c>
      <c r="G94" s="6">
        <v>45373</v>
      </c>
      <c r="H94" s="5"/>
      <c r="I94" s="5"/>
      <c r="J94" s="5">
        <f t="shared" si="14"/>
        <v>15.100000000000023</v>
      </c>
      <c r="K94" s="8" t="b">
        <f>E94=F93</f>
        <v>1</v>
      </c>
    </row>
    <row r="95" spans="1:11">
      <c r="A95" s="5" t="s">
        <v>211</v>
      </c>
      <c r="B95" s="6">
        <v>45378</v>
      </c>
      <c r="C95" s="7">
        <v>1</v>
      </c>
      <c r="D95" s="5">
        <v>7.12</v>
      </c>
      <c r="E95" s="5">
        <v>422.3</v>
      </c>
      <c r="F95" s="5">
        <v>436.7</v>
      </c>
      <c r="G95" s="6">
        <v>45378</v>
      </c>
      <c r="H95" s="5"/>
      <c r="I95" s="5"/>
      <c r="J95" s="5">
        <f t="shared" si="14"/>
        <v>14.399999999999977</v>
      </c>
      <c r="K95" s="8" t="b">
        <f>E95=F94</f>
        <v>1</v>
      </c>
    </row>
    <row r="96" spans="1:11">
      <c r="A96" s="5" t="s">
        <v>211</v>
      </c>
      <c r="B96" s="6">
        <v>45379</v>
      </c>
      <c r="C96" s="7">
        <v>0.7</v>
      </c>
      <c r="D96" s="5">
        <v>10.29</v>
      </c>
      <c r="E96" s="5">
        <v>436.7</v>
      </c>
      <c r="F96" s="5">
        <v>456.9</v>
      </c>
      <c r="G96" s="6">
        <v>45379</v>
      </c>
      <c r="H96" s="5"/>
      <c r="I96" s="5"/>
      <c r="J96" s="5">
        <f t="shared" si="14"/>
        <v>20.199999999999989</v>
      </c>
      <c r="K96" s="8" t="b">
        <f>E96=F95</f>
        <v>1</v>
      </c>
    </row>
    <row r="97" spans="1:11">
      <c r="A97" s="5" t="s">
        <v>211</v>
      </c>
      <c r="B97" s="6">
        <v>45383</v>
      </c>
      <c r="C97" s="7">
        <v>1</v>
      </c>
      <c r="D97" s="5">
        <v>7.12</v>
      </c>
      <c r="E97" s="5">
        <v>456.9</v>
      </c>
      <c r="F97" s="5">
        <v>471.8</v>
      </c>
      <c r="G97" s="6">
        <v>45383</v>
      </c>
      <c r="H97" s="5"/>
      <c r="I97" s="5"/>
      <c r="J97" s="5">
        <f t="shared" si="14"/>
        <v>14.900000000000034</v>
      </c>
      <c r="K97" s="8" t="b">
        <f>E97=F96</f>
        <v>1</v>
      </c>
    </row>
    <row r="98" spans="1:11">
      <c r="A98" s="5" t="s">
        <v>211</v>
      </c>
      <c r="B98" s="6">
        <v>45392</v>
      </c>
      <c r="C98" s="7">
        <v>1</v>
      </c>
      <c r="D98" s="5">
        <v>7.12</v>
      </c>
      <c r="E98" s="5">
        <v>471.8</v>
      </c>
      <c r="F98" s="5">
        <v>486.2</v>
      </c>
      <c r="G98" s="6">
        <v>45392</v>
      </c>
      <c r="H98" s="5"/>
      <c r="I98" s="5"/>
      <c r="J98" s="5">
        <f t="shared" si="14"/>
        <v>14.399999999999977</v>
      </c>
      <c r="K98" s="8" t="b">
        <f t="shared" ref="K98:K113" si="17">E98=F97</f>
        <v>1</v>
      </c>
    </row>
    <row r="99" spans="1:11">
      <c r="A99" s="5" t="s">
        <v>211</v>
      </c>
      <c r="B99" s="6">
        <v>45402</v>
      </c>
      <c r="C99" s="7">
        <v>1</v>
      </c>
      <c r="D99" s="5">
        <v>7.12</v>
      </c>
      <c r="E99" s="5">
        <v>486.2</v>
      </c>
      <c r="F99" s="5">
        <v>501.2</v>
      </c>
      <c r="G99" s="6">
        <v>45402</v>
      </c>
      <c r="H99" s="5"/>
      <c r="I99" s="5"/>
      <c r="J99" s="5">
        <f t="shared" si="14"/>
        <v>15</v>
      </c>
      <c r="K99" s="8" t="b">
        <f t="shared" si="17"/>
        <v>1</v>
      </c>
    </row>
    <row r="100" spans="1:11">
      <c r="A100" s="5" t="s">
        <v>211</v>
      </c>
      <c r="B100" s="6">
        <v>45407</v>
      </c>
      <c r="C100" s="7">
        <v>1</v>
      </c>
      <c r="D100" s="5">
        <v>7.12</v>
      </c>
      <c r="E100" s="5">
        <v>501.2</v>
      </c>
      <c r="F100" s="5">
        <v>513.70000000000005</v>
      </c>
      <c r="G100" s="6">
        <v>45407</v>
      </c>
      <c r="H100" s="5"/>
      <c r="I100" s="5"/>
      <c r="J100" s="5">
        <f t="shared" si="14"/>
        <v>12.500000000000057</v>
      </c>
      <c r="K100" s="8" t="b">
        <f t="shared" si="17"/>
        <v>1</v>
      </c>
    </row>
    <row r="101" spans="1:11">
      <c r="A101" s="5" t="s">
        <v>215</v>
      </c>
      <c r="B101" s="6">
        <v>45412</v>
      </c>
      <c r="C101" s="7">
        <v>1</v>
      </c>
      <c r="D101" s="5">
        <v>7.12</v>
      </c>
      <c r="E101" s="5">
        <v>513.70000000000005</v>
      </c>
      <c r="F101" s="5">
        <v>520.29999999999995</v>
      </c>
      <c r="G101" s="6">
        <v>45412</v>
      </c>
      <c r="H101" s="5"/>
      <c r="I101" s="5"/>
      <c r="J101" s="5">
        <f t="shared" si="14"/>
        <v>6.5999999999999091</v>
      </c>
      <c r="K101" s="8" t="b">
        <f t="shared" si="17"/>
        <v>1</v>
      </c>
    </row>
    <row r="102" spans="1:11">
      <c r="A102" s="5" t="s">
        <v>211</v>
      </c>
      <c r="B102" s="6">
        <v>45423</v>
      </c>
      <c r="C102" s="7">
        <v>0.7</v>
      </c>
      <c r="D102" s="5">
        <v>10.29</v>
      </c>
      <c r="E102" s="5">
        <v>520.29999999999995</v>
      </c>
      <c r="F102" s="5">
        <v>533.79999999999995</v>
      </c>
      <c r="G102" s="6">
        <v>45423</v>
      </c>
      <c r="H102" s="5"/>
      <c r="I102" s="5"/>
      <c r="J102" s="5">
        <f t="shared" si="14"/>
        <v>13.5</v>
      </c>
      <c r="K102" s="8" t="b">
        <f t="shared" si="17"/>
        <v>1</v>
      </c>
    </row>
    <row r="103" spans="1:11">
      <c r="A103" s="5" t="s">
        <v>211</v>
      </c>
      <c r="B103" s="6">
        <v>45424</v>
      </c>
      <c r="C103" s="7">
        <v>0.7</v>
      </c>
      <c r="D103" s="5">
        <v>10.29</v>
      </c>
      <c r="E103" s="5">
        <v>533.79999999999995</v>
      </c>
      <c r="F103" s="5">
        <v>544.20000000000005</v>
      </c>
      <c r="G103" s="6">
        <v>45424</v>
      </c>
      <c r="H103" s="5"/>
      <c r="I103" s="5"/>
      <c r="J103" s="5">
        <f t="shared" si="14"/>
        <v>10.400000000000091</v>
      </c>
      <c r="K103" s="8" t="b">
        <f t="shared" si="17"/>
        <v>1</v>
      </c>
    </row>
    <row r="104" spans="1:11" ht="26.25">
      <c r="A104" s="205" t="s">
        <v>205</v>
      </c>
      <c r="B104" s="206"/>
      <c r="C104" s="206"/>
      <c r="D104" s="206"/>
      <c r="E104" s="206"/>
      <c r="F104" s="206"/>
      <c r="G104" s="206"/>
      <c r="H104" s="206"/>
      <c r="I104" s="206"/>
      <c r="J104" s="206"/>
      <c r="K104" s="207"/>
    </row>
    <row r="105" spans="1:11" ht="26.25">
      <c r="A105" s="208" t="s">
        <v>216</v>
      </c>
      <c r="B105" s="209"/>
      <c r="C105" s="209"/>
      <c r="D105" s="209"/>
      <c r="E105" s="209"/>
      <c r="F105" s="209"/>
      <c r="G105" s="209"/>
      <c r="H105" s="209"/>
      <c r="I105" s="209"/>
      <c r="J105" s="209"/>
      <c r="K105" s="210"/>
    </row>
    <row r="106" spans="1:11" ht="15.75" thickBot="1"/>
    <row r="107" spans="1:11" ht="15.75" thickBot="1">
      <c r="A107" s="132" t="s">
        <v>2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4"/>
    </row>
    <row r="109" spans="1:11" ht="19.5" thickBot="1">
      <c r="A109" s="1" t="s">
        <v>3</v>
      </c>
      <c r="B109" s="61"/>
      <c r="C109" s="124"/>
      <c r="D109" s="1"/>
      <c r="E109" s="1"/>
      <c r="F109" s="1"/>
      <c r="G109" s="61"/>
      <c r="H109" s="1"/>
      <c r="I109" s="1"/>
    </row>
    <row r="110" spans="1:11" ht="30.75" thickBot="1">
      <c r="A110" s="2" t="s">
        <v>4</v>
      </c>
      <c r="B110" s="62" t="s">
        <v>5</v>
      </c>
      <c r="C110" s="125" t="s">
        <v>6</v>
      </c>
      <c r="D110" s="3" t="s">
        <v>7</v>
      </c>
      <c r="E110" s="3" t="s">
        <v>8</v>
      </c>
      <c r="F110" s="3" t="s">
        <v>9</v>
      </c>
      <c r="G110" s="62" t="s">
        <v>10</v>
      </c>
      <c r="H110" s="3" t="s">
        <v>21</v>
      </c>
      <c r="I110" s="4" t="s">
        <v>22</v>
      </c>
      <c r="J110" s="4" t="s">
        <v>11</v>
      </c>
      <c r="K110" s="4" t="s">
        <v>12</v>
      </c>
    </row>
    <row r="111" spans="1:11">
      <c r="A111" s="5" t="s">
        <v>217</v>
      </c>
      <c r="B111" s="6">
        <v>45428</v>
      </c>
      <c r="C111" s="7">
        <v>1</v>
      </c>
      <c r="D111" s="5">
        <v>6.44</v>
      </c>
      <c r="E111" s="5">
        <v>544.20000000000005</v>
      </c>
      <c r="F111" s="5">
        <v>558.29999999999995</v>
      </c>
      <c r="G111" s="6">
        <v>45428</v>
      </c>
      <c r="H111" s="5"/>
      <c r="I111" s="5"/>
      <c r="J111" s="5">
        <f>F111-E111</f>
        <v>14.099999999999909</v>
      </c>
      <c r="K111" s="8" t="b">
        <f>F100=E111</f>
        <v>0</v>
      </c>
    </row>
    <row r="112" spans="1:11">
      <c r="A112" s="5" t="s">
        <v>217</v>
      </c>
      <c r="B112" s="6">
        <v>45430</v>
      </c>
      <c r="C112" s="7">
        <v>1</v>
      </c>
      <c r="D112" s="5">
        <v>6.44</v>
      </c>
      <c r="E112" s="5">
        <v>558.29999999999995</v>
      </c>
      <c r="F112" s="5">
        <v>572.6</v>
      </c>
      <c r="G112" s="6">
        <v>45430</v>
      </c>
      <c r="H112" s="5"/>
      <c r="I112" s="5"/>
      <c r="J112" s="5">
        <f t="shared" ref="J112" si="18">F112-E112</f>
        <v>14.300000000000068</v>
      </c>
      <c r="K112" s="8" t="b">
        <f>E112=F111</f>
        <v>1</v>
      </c>
    </row>
    <row r="113" spans="1:11">
      <c r="A113" s="5" t="s">
        <v>217</v>
      </c>
      <c r="B113" s="6">
        <v>45431</v>
      </c>
      <c r="C113" s="7">
        <v>1</v>
      </c>
      <c r="D113" s="5">
        <v>6.44</v>
      </c>
      <c r="E113" s="5">
        <v>572.6</v>
      </c>
      <c r="F113" s="5">
        <v>587.1</v>
      </c>
      <c r="G113" s="6">
        <v>45431</v>
      </c>
      <c r="H113" s="5"/>
      <c r="I113" s="5"/>
      <c r="J113" s="5">
        <f t="shared" si="14"/>
        <v>14.5</v>
      </c>
      <c r="K113" s="8" t="b">
        <f t="shared" si="17"/>
        <v>1</v>
      </c>
    </row>
    <row r="114" spans="1:11">
      <c r="A114" s="5" t="s">
        <v>217</v>
      </c>
      <c r="B114" s="6">
        <v>45434</v>
      </c>
      <c r="C114" s="7">
        <v>1</v>
      </c>
      <c r="D114" s="5">
        <v>6.44</v>
      </c>
      <c r="E114" s="5">
        <v>587.1</v>
      </c>
      <c r="F114" s="5">
        <v>594.9</v>
      </c>
      <c r="G114" s="6">
        <v>45434</v>
      </c>
      <c r="H114" s="5"/>
      <c r="I114" s="5"/>
      <c r="J114" s="5">
        <f t="shared" ref="J114:J148" si="19">F114-E114</f>
        <v>7.7999999999999545</v>
      </c>
      <c r="K114" s="8" t="b">
        <f t="shared" ref="K114:K148" si="20">E114=F113</f>
        <v>1</v>
      </c>
    </row>
    <row r="115" spans="1:11">
      <c r="A115" s="5" t="s">
        <v>217</v>
      </c>
      <c r="B115" s="6">
        <v>45436</v>
      </c>
      <c r="C115" s="7">
        <v>1</v>
      </c>
      <c r="D115" s="5">
        <v>6.44</v>
      </c>
      <c r="E115" s="5">
        <v>594.9</v>
      </c>
      <c r="F115" s="5">
        <v>609.5</v>
      </c>
      <c r="G115" s="6">
        <v>45436</v>
      </c>
      <c r="H115" s="5"/>
      <c r="I115" s="5"/>
      <c r="J115" s="5">
        <f t="shared" si="19"/>
        <v>14.600000000000023</v>
      </c>
      <c r="K115" s="8" t="b">
        <f t="shared" si="20"/>
        <v>1</v>
      </c>
    </row>
    <row r="116" spans="1:11">
      <c r="A116" s="5" t="s">
        <v>217</v>
      </c>
      <c r="B116" s="6">
        <v>45437</v>
      </c>
      <c r="C116" s="7">
        <v>1</v>
      </c>
      <c r="D116" s="5">
        <v>6.44</v>
      </c>
      <c r="E116" s="5">
        <v>609.5</v>
      </c>
      <c r="F116" s="5">
        <v>623.79999999999995</v>
      </c>
      <c r="G116" s="6">
        <v>45437</v>
      </c>
      <c r="H116" s="5"/>
      <c r="I116" s="5"/>
      <c r="J116" s="5">
        <f t="shared" si="19"/>
        <v>14.299999999999955</v>
      </c>
      <c r="K116" s="8" t="b">
        <f t="shared" si="20"/>
        <v>1</v>
      </c>
    </row>
    <row r="117" spans="1:11">
      <c r="A117" s="5" t="s">
        <v>217</v>
      </c>
      <c r="B117" s="6">
        <v>45438</v>
      </c>
      <c r="C117" s="7">
        <v>1</v>
      </c>
      <c r="D117" s="5">
        <v>6.44</v>
      </c>
      <c r="E117" s="5">
        <v>623.79999999999995</v>
      </c>
      <c r="F117" s="5">
        <v>638.4</v>
      </c>
      <c r="G117" s="6">
        <v>45438</v>
      </c>
      <c r="H117" s="5"/>
      <c r="I117" s="5"/>
      <c r="J117" s="5">
        <f t="shared" si="19"/>
        <v>14.600000000000023</v>
      </c>
      <c r="K117" s="8" t="b">
        <f t="shared" si="20"/>
        <v>1</v>
      </c>
    </row>
    <row r="118" spans="1:11">
      <c r="A118" s="5" t="s">
        <v>217</v>
      </c>
      <c r="B118" s="6">
        <v>45439</v>
      </c>
      <c r="C118" s="7">
        <v>1</v>
      </c>
      <c r="D118" s="5">
        <v>6.44</v>
      </c>
      <c r="E118" s="5">
        <v>638.4</v>
      </c>
      <c r="F118" s="5">
        <v>653.29999999999995</v>
      </c>
      <c r="G118" s="6">
        <v>45439</v>
      </c>
      <c r="H118" s="5"/>
      <c r="I118" s="5"/>
      <c r="J118" s="5">
        <f t="shared" si="19"/>
        <v>14.899999999999977</v>
      </c>
      <c r="K118" s="8" t="b">
        <f t="shared" si="20"/>
        <v>1</v>
      </c>
    </row>
    <row r="119" spans="1:11">
      <c r="A119" s="5" t="s">
        <v>217</v>
      </c>
      <c r="B119" s="6">
        <v>45440</v>
      </c>
      <c r="C119" s="7">
        <v>1</v>
      </c>
      <c r="D119" s="5">
        <v>6.44</v>
      </c>
      <c r="E119" s="5">
        <v>653.29999999999995</v>
      </c>
      <c r="F119" s="5">
        <v>667.9</v>
      </c>
      <c r="G119" s="6">
        <v>45440</v>
      </c>
      <c r="H119" s="5"/>
      <c r="I119" s="5"/>
      <c r="J119" s="5">
        <f t="shared" si="19"/>
        <v>14.600000000000023</v>
      </c>
      <c r="K119" s="8" t="b">
        <f t="shared" si="20"/>
        <v>1</v>
      </c>
    </row>
    <row r="120" spans="1:11">
      <c r="A120" s="5" t="s">
        <v>217</v>
      </c>
      <c r="B120" s="6">
        <v>45441</v>
      </c>
      <c r="C120" s="7">
        <v>1</v>
      </c>
      <c r="D120" s="5">
        <v>6.44</v>
      </c>
      <c r="E120" s="5">
        <v>667.9</v>
      </c>
      <c r="F120" s="5">
        <v>682.4</v>
      </c>
      <c r="G120" s="6">
        <v>45441</v>
      </c>
      <c r="H120" s="5"/>
      <c r="I120" s="5"/>
      <c r="J120" s="5">
        <f t="shared" si="19"/>
        <v>14.5</v>
      </c>
      <c r="K120" s="8" t="b">
        <f t="shared" si="20"/>
        <v>1</v>
      </c>
    </row>
    <row r="121" spans="1:11">
      <c r="A121" s="5" t="s">
        <v>217</v>
      </c>
      <c r="B121" s="6">
        <v>45442</v>
      </c>
      <c r="C121" s="7">
        <v>1</v>
      </c>
      <c r="D121" s="5">
        <v>6.44</v>
      </c>
      <c r="E121" s="5">
        <v>682.4</v>
      </c>
      <c r="F121" s="5">
        <v>697</v>
      </c>
      <c r="G121" s="6">
        <v>45442</v>
      </c>
      <c r="H121" s="5"/>
      <c r="I121" s="5"/>
      <c r="J121" s="5">
        <f t="shared" si="19"/>
        <v>14.600000000000023</v>
      </c>
      <c r="K121" s="8" t="b">
        <f t="shared" si="20"/>
        <v>1</v>
      </c>
    </row>
    <row r="122" spans="1:11">
      <c r="A122" s="5" t="s">
        <v>217</v>
      </c>
      <c r="B122" s="6">
        <v>45443</v>
      </c>
      <c r="C122" s="7">
        <v>1</v>
      </c>
      <c r="D122" s="5">
        <v>6.44</v>
      </c>
      <c r="E122" s="5">
        <v>697</v>
      </c>
      <c r="F122" s="5">
        <v>703.6</v>
      </c>
      <c r="G122" s="6">
        <v>45443</v>
      </c>
      <c r="H122" s="5"/>
      <c r="I122" s="5"/>
      <c r="J122" s="5">
        <f t="shared" si="19"/>
        <v>6.6000000000000227</v>
      </c>
      <c r="K122" s="8" t="b">
        <f t="shared" si="20"/>
        <v>1</v>
      </c>
    </row>
    <row r="123" spans="1:11">
      <c r="A123" s="5" t="s">
        <v>217</v>
      </c>
      <c r="B123" s="6">
        <v>45444</v>
      </c>
      <c r="C123" s="7">
        <v>1</v>
      </c>
      <c r="D123" s="5">
        <v>6.44</v>
      </c>
      <c r="E123" s="5">
        <v>703.6</v>
      </c>
      <c r="F123" s="5">
        <v>710.2</v>
      </c>
      <c r="G123" s="6">
        <v>45444</v>
      </c>
      <c r="H123" s="5"/>
      <c r="I123" s="5"/>
      <c r="J123" s="5">
        <f t="shared" si="19"/>
        <v>6.6000000000000227</v>
      </c>
      <c r="K123" s="8" t="b">
        <f t="shared" si="20"/>
        <v>1</v>
      </c>
    </row>
    <row r="124" spans="1:11">
      <c r="A124" s="5" t="s">
        <v>217</v>
      </c>
      <c r="B124" s="6">
        <v>45445</v>
      </c>
      <c r="C124" s="7">
        <v>1</v>
      </c>
      <c r="D124" s="5">
        <v>6.44</v>
      </c>
      <c r="E124" s="5">
        <v>710.2</v>
      </c>
      <c r="F124" s="5">
        <v>725.5</v>
      </c>
      <c r="G124" s="6">
        <v>45445</v>
      </c>
      <c r="H124" s="5"/>
      <c r="I124" s="5"/>
      <c r="J124" s="5">
        <f t="shared" si="19"/>
        <v>15.299999999999955</v>
      </c>
      <c r="K124" s="8" t="b">
        <f t="shared" si="20"/>
        <v>1</v>
      </c>
    </row>
    <row r="125" spans="1:11">
      <c r="A125" s="5" t="s">
        <v>217</v>
      </c>
      <c r="B125" s="6">
        <v>45447</v>
      </c>
      <c r="C125" s="7">
        <v>1</v>
      </c>
      <c r="D125" s="5">
        <v>6.44</v>
      </c>
      <c r="E125" s="5">
        <v>725.5</v>
      </c>
      <c r="F125" s="5">
        <v>733.7</v>
      </c>
      <c r="G125" s="6">
        <v>45447</v>
      </c>
      <c r="H125" s="5"/>
      <c r="I125" s="5"/>
      <c r="J125" s="5">
        <f t="shared" si="19"/>
        <v>8.2000000000000455</v>
      </c>
      <c r="K125" s="8" t="b">
        <f t="shared" si="20"/>
        <v>1</v>
      </c>
    </row>
    <row r="126" spans="1:11">
      <c r="A126" s="5" t="s">
        <v>217</v>
      </c>
      <c r="B126" s="6">
        <v>45449</v>
      </c>
      <c r="C126" s="7">
        <v>1</v>
      </c>
      <c r="D126" s="5">
        <v>6.44</v>
      </c>
      <c r="E126" s="5">
        <v>733.7</v>
      </c>
      <c r="F126" s="5">
        <v>748.2</v>
      </c>
      <c r="G126" s="6">
        <v>45449</v>
      </c>
      <c r="H126" s="5"/>
      <c r="I126" s="5"/>
      <c r="J126" s="5">
        <f t="shared" si="19"/>
        <v>14.5</v>
      </c>
      <c r="K126" s="8" t="b">
        <f t="shared" si="20"/>
        <v>1</v>
      </c>
    </row>
    <row r="127" spans="1:11">
      <c r="A127" s="5" t="s">
        <v>217</v>
      </c>
      <c r="B127" s="6">
        <v>45451</v>
      </c>
      <c r="C127" s="7">
        <v>1</v>
      </c>
      <c r="D127" s="5">
        <v>6.44</v>
      </c>
      <c r="E127" s="5">
        <v>748.2</v>
      </c>
      <c r="F127" s="5">
        <v>762.8</v>
      </c>
      <c r="G127" s="6">
        <v>45451</v>
      </c>
      <c r="H127" s="5"/>
      <c r="I127" s="5"/>
      <c r="J127" s="5">
        <f t="shared" si="19"/>
        <v>14.599999999999909</v>
      </c>
      <c r="K127" s="8" t="b">
        <f t="shared" si="20"/>
        <v>1</v>
      </c>
    </row>
    <row r="128" spans="1:11">
      <c r="A128" s="5" t="s">
        <v>217</v>
      </c>
      <c r="B128" s="6">
        <v>45452</v>
      </c>
      <c r="C128" s="7">
        <v>1</v>
      </c>
      <c r="D128" s="5">
        <v>6.44</v>
      </c>
      <c r="E128" s="5">
        <v>762.8</v>
      </c>
      <c r="F128" s="5">
        <v>777.3</v>
      </c>
      <c r="G128" s="6">
        <v>45452</v>
      </c>
      <c r="H128" s="5"/>
      <c r="I128" s="5"/>
      <c r="J128" s="5">
        <f t="shared" si="19"/>
        <v>14.5</v>
      </c>
      <c r="K128" s="8" t="b">
        <f t="shared" si="20"/>
        <v>1</v>
      </c>
    </row>
    <row r="129" spans="1:11">
      <c r="A129" s="5" t="s">
        <v>217</v>
      </c>
      <c r="B129" s="6">
        <v>45454</v>
      </c>
      <c r="C129" s="7">
        <v>1</v>
      </c>
      <c r="D129" s="5">
        <v>6.44</v>
      </c>
      <c r="E129" s="5">
        <v>777.3</v>
      </c>
      <c r="F129" s="5">
        <v>792.4</v>
      </c>
      <c r="G129" s="6">
        <v>45454</v>
      </c>
      <c r="H129" s="5"/>
      <c r="I129" s="5"/>
      <c r="J129" s="5">
        <f t="shared" si="19"/>
        <v>15.100000000000023</v>
      </c>
      <c r="K129" s="8" t="b">
        <f t="shared" si="20"/>
        <v>1</v>
      </c>
    </row>
    <row r="130" spans="1:11">
      <c r="A130" s="5" t="s">
        <v>217</v>
      </c>
      <c r="B130" s="6">
        <v>45457</v>
      </c>
      <c r="C130" s="7">
        <v>0.6</v>
      </c>
      <c r="D130" s="5">
        <v>10.73</v>
      </c>
      <c r="E130" s="5">
        <v>792.4</v>
      </c>
      <c r="F130" s="5">
        <v>816.3</v>
      </c>
      <c r="G130" s="6">
        <v>45457</v>
      </c>
      <c r="H130" s="5"/>
      <c r="I130" s="5"/>
      <c r="J130" s="5">
        <f t="shared" si="19"/>
        <v>23.899999999999977</v>
      </c>
      <c r="K130" s="8" t="b">
        <f t="shared" si="20"/>
        <v>1</v>
      </c>
    </row>
    <row r="131" spans="1:11">
      <c r="A131" s="5" t="s">
        <v>217</v>
      </c>
      <c r="B131" s="6">
        <v>45461</v>
      </c>
      <c r="C131" s="7">
        <v>0.9</v>
      </c>
      <c r="D131" s="5">
        <v>7.16</v>
      </c>
      <c r="E131" s="5">
        <v>816.3</v>
      </c>
      <c r="F131" s="5">
        <v>832.5</v>
      </c>
      <c r="G131" s="6">
        <v>45461</v>
      </c>
      <c r="H131" s="5"/>
      <c r="I131" s="5"/>
      <c r="J131" s="5">
        <f t="shared" si="19"/>
        <v>16.200000000000045</v>
      </c>
      <c r="K131" s="8" t="b">
        <f t="shared" si="20"/>
        <v>1</v>
      </c>
    </row>
    <row r="132" spans="1:11">
      <c r="A132" s="5" t="s">
        <v>217</v>
      </c>
      <c r="B132" s="6">
        <v>45462</v>
      </c>
      <c r="C132" s="7">
        <v>0.9</v>
      </c>
      <c r="D132" s="5">
        <v>7.16</v>
      </c>
      <c r="E132" s="5">
        <v>832.5</v>
      </c>
      <c r="F132" s="5">
        <v>848.5</v>
      </c>
      <c r="G132" s="6">
        <v>45462</v>
      </c>
      <c r="H132" s="5"/>
      <c r="I132" s="5"/>
      <c r="J132" s="5">
        <f t="shared" si="19"/>
        <v>16</v>
      </c>
      <c r="K132" s="8" t="b">
        <f t="shared" si="20"/>
        <v>1</v>
      </c>
    </row>
    <row r="133" spans="1:11">
      <c r="A133" s="5" t="s">
        <v>217</v>
      </c>
      <c r="B133" s="6">
        <v>45465</v>
      </c>
      <c r="C133" s="7">
        <v>1</v>
      </c>
      <c r="D133" s="5">
        <v>6.44</v>
      </c>
      <c r="E133" s="5">
        <v>848.5</v>
      </c>
      <c r="F133" s="5">
        <v>857.6</v>
      </c>
      <c r="G133" s="6">
        <v>45465</v>
      </c>
      <c r="H133" s="5"/>
      <c r="I133" s="5"/>
      <c r="J133" s="5">
        <f t="shared" si="19"/>
        <v>9.1000000000000227</v>
      </c>
      <c r="K133" s="8" t="b">
        <f t="shared" si="20"/>
        <v>1</v>
      </c>
    </row>
    <row r="134" spans="1:11">
      <c r="A134" s="5" t="s">
        <v>217</v>
      </c>
      <c r="B134" s="6">
        <v>45467</v>
      </c>
      <c r="C134" s="7">
        <v>0.9</v>
      </c>
      <c r="D134" s="5">
        <v>7.16</v>
      </c>
      <c r="E134" s="5">
        <v>857.6</v>
      </c>
      <c r="F134" s="5">
        <v>866.1</v>
      </c>
      <c r="G134" s="6">
        <v>45467</v>
      </c>
      <c r="H134" s="5"/>
      <c r="I134" s="5"/>
      <c r="J134" s="5">
        <f t="shared" si="19"/>
        <v>8.5</v>
      </c>
      <c r="K134" s="8" t="b">
        <f t="shared" si="20"/>
        <v>1</v>
      </c>
    </row>
    <row r="135" spans="1:11">
      <c r="A135" s="5" t="s">
        <v>217</v>
      </c>
      <c r="B135" s="6">
        <v>45468</v>
      </c>
      <c r="C135" s="7">
        <v>1</v>
      </c>
      <c r="D135" s="5">
        <v>6.44</v>
      </c>
      <c r="E135" s="5">
        <v>866.1</v>
      </c>
      <c r="F135" s="5">
        <v>873</v>
      </c>
      <c r="G135" s="6">
        <v>45468</v>
      </c>
      <c r="H135" s="5"/>
      <c r="I135" s="5"/>
      <c r="J135" s="5">
        <f t="shared" si="19"/>
        <v>6.8999999999999773</v>
      </c>
      <c r="K135" s="8" t="b">
        <f t="shared" si="20"/>
        <v>1</v>
      </c>
    </row>
    <row r="136" spans="1:11">
      <c r="A136" s="5" t="s">
        <v>217</v>
      </c>
      <c r="B136" s="6">
        <v>45469</v>
      </c>
      <c r="C136" s="7">
        <v>1</v>
      </c>
      <c r="D136" s="5">
        <v>6.44</v>
      </c>
      <c r="E136" s="5">
        <v>873</v>
      </c>
      <c r="F136" s="5">
        <v>887.6</v>
      </c>
      <c r="G136" s="6">
        <v>45469</v>
      </c>
      <c r="H136" s="5"/>
      <c r="I136" s="5"/>
      <c r="J136" s="5">
        <f t="shared" si="19"/>
        <v>14.600000000000023</v>
      </c>
      <c r="K136" s="8" t="b">
        <f t="shared" si="20"/>
        <v>1</v>
      </c>
    </row>
    <row r="137" spans="1:11">
      <c r="A137" s="5" t="s">
        <v>217</v>
      </c>
      <c r="B137" s="6">
        <v>45470</v>
      </c>
      <c r="C137" s="7">
        <v>1</v>
      </c>
      <c r="D137" s="5">
        <v>6.44</v>
      </c>
      <c r="E137" s="5">
        <v>887.6</v>
      </c>
      <c r="F137" s="5">
        <v>895.2</v>
      </c>
      <c r="G137" s="6">
        <v>45470</v>
      </c>
      <c r="H137" s="5"/>
      <c r="I137" s="5"/>
      <c r="J137" s="5">
        <f t="shared" si="19"/>
        <v>7.6000000000000227</v>
      </c>
      <c r="K137" s="8" t="b">
        <f t="shared" si="20"/>
        <v>1</v>
      </c>
    </row>
    <row r="138" spans="1:11">
      <c r="A138" s="5" t="s">
        <v>217</v>
      </c>
      <c r="B138" s="6">
        <v>45471</v>
      </c>
      <c r="C138" s="7">
        <v>1</v>
      </c>
      <c r="D138" s="5">
        <v>6.44</v>
      </c>
      <c r="E138" s="5">
        <v>895.2</v>
      </c>
      <c r="F138" s="5">
        <v>902.4</v>
      </c>
      <c r="G138" s="6">
        <v>45471</v>
      </c>
      <c r="H138" s="5"/>
      <c r="I138" s="5"/>
      <c r="J138" s="5">
        <f t="shared" si="19"/>
        <v>7.1999999999999318</v>
      </c>
      <c r="K138" s="8" t="b">
        <f t="shared" si="20"/>
        <v>1</v>
      </c>
    </row>
    <row r="139" spans="1:11">
      <c r="A139" s="5" t="s">
        <v>217</v>
      </c>
      <c r="B139" s="6">
        <v>45472</v>
      </c>
      <c r="C139" s="7">
        <v>1</v>
      </c>
      <c r="D139" s="5">
        <v>6.44</v>
      </c>
      <c r="E139" s="5">
        <v>902.4</v>
      </c>
      <c r="F139" s="5">
        <v>917.1</v>
      </c>
      <c r="G139" s="6">
        <v>45472</v>
      </c>
      <c r="H139" s="5"/>
      <c r="I139" s="5"/>
      <c r="J139" s="5">
        <f t="shared" si="19"/>
        <v>14.700000000000045</v>
      </c>
      <c r="K139" s="8" t="b">
        <f t="shared" si="20"/>
        <v>1</v>
      </c>
    </row>
    <row r="140" spans="1:11">
      <c r="A140" s="5" t="s">
        <v>217</v>
      </c>
      <c r="B140" s="6">
        <v>45473</v>
      </c>
      <c r="C140" s="7">
        <v>1</v>
      </c>
      <c r="D140" s="5">
        <v>6.44</v>
      </c>
      <c r="E140" s="5">
        <v>917.1</v>
      </c>
      <c r="F140" s="5">
        <v>924.2</v>
      </c>
      <c r="G140" s="6">
        <v>45473</v>
      </c>
      <c r="H140" s="5"/>
      <c r="I140" s="5"/>
      <c r="J140" s="5">
        <f t="shared" si="19"/>
        <v>7.1000000000000227</v>
      </c>
      <c r="K140" s="8" t="b">
        <f t="shared" si="20"/>
        <v>1</v>
      </c>
    </row>
    <row r="141" spans="1:11">
      <c r="A141" s="5" t="s">
        <v>217</v>
      </c>
      <c r="B141" s="6">
        <v>45474</v>
      </c>
      <c r="C141" s="7">
        <v>1</v>
      </c>
      <c r="D141" s="5">
        <v>6.44</v>
      </c>
      <c r="E141" s="5">
        <v>924.2</v>
      </c>
      <c r="F141" s="5">
        <v>931.4</v>
      </c>
      <c r="G141" s="6">
        <v>45474</v>
      </c>
      <c r="H141" s="5"/>
      <c r="I141" s="5"/>
      <c r="J141" s="5">
        <f t="shared" si="19"/>
        <v>7.1999999999999318</v>
      </c>
      <c r="K141" s="8" t="b">
        <f t="shared" si="20"/>
        <v>1</v>
      </c>
    </row>
    <row r="142" spans="1:11">
      <c r="A142" s="5" t="s">
        <v>217</v>
      </c>
      <c r="B142" s="6">
        <v>45475</v>
      </c>
      <c r="C142" s="7">
        <v>1</v>
      </c>
      <c r="D142" s="5">
        <v>6.44</v>
      </c>
      <c r="E142" s="5">
        <v>931.4</v>
      </c>
      <c r="F142" s="5">
        <v>939.2</v>
      </c>
      <c r="G142" s="6">
        <v>45475</v>
      </c>
      <c r="H142" s="5"/>
      <c r="I142" s="5"/>
      <c r="J142" s="5">
        <f t="shared" si="19"/>
        <v>7.8000000000000682</v>
      </c>
      <c r="K142" s="8" t="b">
        <f t="shared" si="20"/>
        <v>1</v>
      </c>
    </row>
    <row r="143" spans="1:11">
      <c r="A143" s="5" t="s">
        <v>217</v>
      </c>
      <c r="B143" s="6">
        <v>45476</v>
      </c>
      <c r="C143" s="7">
        <v>1</v>
      </c>
      <c r="D143" s="5">
        <v>6.44</v>
      </c>
      <c r="E143" s="5">
        <v>939.2</v>
      </c>
      <c r="F143" s="5">
        <v>946.4</v>
      </c>
      <c r="G143" s="6">
        <v>45476</v>
      </c>
      <c r="H143" s="5"/>
      <c r="I143" s="5"/>
      <c r="J143" s="5">
        <f t="shared" si="19"/>
        <v>7.1999999999999318</v>
      </c>
      <c r="K143" s="8" t="b">
        <f t="shared" si="20"/>
        <v>1</v>
      </c>
    </row>
    <row r="144" spans="1:11">
      <c r="A144" s="5" t="s">
        <v>217</v>
      </c>
      <c r="B144" s="6">
        <v>45477</v>
      </c>
      <c r="C144" s="7">
        <v>1</v>
      </c>
      <c r="D144" s="5">
        <v>6.44</v>
      </c>
      <c r="E144" s="5">
        <v>946.4</v>
      </c>
      <c r="F144" s="5">
        <v>954.4</v>
      </c>
      <c r="G144" s="6">
        <v>45477</v>
      </c>
      <c r="H144" s="5"/>
      <c r="I144" s="5"/>
      <c r="J144" s="5">
        <f t="shared" si="19"/>
        <v>8</v>
      </c>
      <c r="K144" s="8" t="b">
        <f t="shared" si="20"/>
        <v>1</v>
      </c>
    </row>
    <row r="145" spans="1:11">
      <c r="A145" s="5" t="s">
        <v>217</v>
      </c>
      <c r="B145" s="6">
        <v>45478</v>
      </c>
      <c r="C145" s="7">
        <v>1</v>
      </c>
      <c r="D145" s="5">
        <v>6.44</v>
      </c>
      <c r="E145" s="5">
        <v>954.4</v>
      </c>
      <c r="F145" s="5">
        <v>968.9</v>
      </c>
      <c r="G145" s="6">
        <v>45478</v>
      </c>
      <c r="H145" s="5"/>
      <c r="I145" s="5"/>
      <c r="J145" s="5">
        <f t="shared" si="19"/>
        <v>14.5</v>
      </c>
      <c r="K145" s="8" t="b">
        <f t="shared" si="20"/>
        <v>1</v>
      </c>
    </row>
    <row r="146" spans="1:11">
      <c r="A146" s="5" t="s">
        <v>217</v>
      </c>
      <c r="B146" s="6">
        <v>45479</v>
      </c>
      <c r="C146" s="7">
        <v>1</v>
      </c>
      <c r="D146" s="5">
        <v>6.44</v>
      </c>
      <c r="E146" s="5">
        <v>968.9</v>
      </c>
      <c r="F146" s="5">
        <v>976.2</v>
      </c>
      <c r="G146" s="6">
        <v>45479</v>
      </c>
      <c r="H146" s="5"/>
      <c r="I146" s="5"/>
      <c r="J146" s="5">
        <f t="shared" si="19"/>
        <v>7.3000000000000682</v>
      </c>
      <c r="K146" s="8" t="b">
        <f t="shared" si="20"/>
        <v>1</v>
      </c>
    </row>
    <row r="147" spans="1:11">
      <c r="A147" s="5" t="s">
        <v>217</v>
      </c>
      <c r="B147" s="6">
        <v>45480</v>
      </c>
      <c r="C147" s="7">
        <v>1</v>
      </c>
      <c r="D147" s="5">
        <v>6.44</v>
      </c>
      <c r="E147" s="5">
        <v>976.2</v>
      </c>
      <c r="F147" s="5">
        <v>990.7</v>
      </c>
      <c r="G147" s="6">
        <v>45480</v>
      </c>
      <c r="H147" s="5"/>
      <c r="I147" s="5"/>
      <c r="J147" s="5">
        <f t="shared" si="19"/>
        <v>14.5</v>
      </c>
      <c r="K147" s="8" t="b">
        <f t="shared" si="20"/>
        <v>1</v>
      </c>
    </row>
    <row r="148" spans="1:11">
      <c r="A148" s="5" t="s">
        <v>217</v>
      </c>
      <c r="B148" s="6">
        <v>45481</v>
      </c>
      <c r="C148" s="7">
        <v>1</v>
      </c>
      <c r="D148" s="5">
        <v>6.44</v>
      </c>
      <c r="E148" s="5">
        <v>990.7</v>
      </c>
      <c r="F148" s="5">
        <v>1005.5</v>
      </c>
      <c r="G148" s="6">
        <v>45481</v>
      </c>
      <c r="H148" s="5"/>
      <c r="I148" s="5"/>
      <c r="J148" s="5">
        <f t="shared" si="19"/>
        <v>14.799999999999955</v>
      </c>
      <c r="K148" s="8" t="b">
        <f t="shared" si="20"/>
        <v>1</v>
      </c>
    </row>
    <row r="149" spans="1:11">
      <c r="A149" s="5" t="s">
        <v>217</v>
      </c>
      <c r="B149" s="6">
        <v>45482</v>
      </c>
      <c r="C149" s="7">
        <v>1</v>
      </c>
      <c r="D149" s="5">
        <v>6.44</v>
      </c>
      <c r="E149" s="5">
        <v>1005.5</v>
      </c>
      <c r="F149" s="5">
        <v>1012.9</v>
      </c>
      <c r="G149" s="6">
        <v>45482</v>
      </c>
      <c r="H149" s="5"/>
      <c r="I149" s="5"/>
      <c r="J149" s="5">
        <f t="shared" ref="J149:J205" si="21">F149-E149</f>
        <v>7.3999999999999773</v>
      </c>
      <c r="K149" s="8" t="b">
        <f t="shared" ref="K149:K212" si="22">E149=F148</f>
        <v>1</v>
      </c>
    </row>
    <row r="150" spans="1:11">
      <c r="A150" s="5" t="s">
        <v>217</v>
      </c>
      <c r="B150" s="6">
        <v>45483</v>
      </c>
      <c r="C150" s="7">
        <v>1</v>
      </c>
      <c r="D150" s="5">
        <v>6.44</v>
      </c>
      <c r="E150" s="5">
        <v>1012.9</v>
      </c>
      <c r="F150" s="5">
        <v>1019.9</v>
      </c>
      <c r="G150" s="6">
        <v>45483</v>
      </c>
      <c r="H150" s="5"/>
      <c r="I150" s="5"/>
      <c r="J150" s="5">
        <f t="shared" si="21"/>
        <v>7</v>
      </c>
      <c r="K150" s="8" t="b">
        <f t="shared" si="22"/>
        <v>1</v>
      </c>
    </row>
    <row r="151" spans="1:11">
      <c r="A151" s="5" t="s">
        <v>217</v>
      </c>
      <c r="B151" s="6">
        <v>45484</v>
      </c>
      <c r="C151" s="7">
        <v>1</v>
      </c>
      <c r="D151" s="5">
        <v>6.44</v>
      </c>
      <c r="E151" s="5">
        <v>1019.9</v>
      </c>
      <c r="F151" s="5">
        <v>1027.5</v>
      </c>
      <c r="G151" s="6">
        <v>45484</v>
      </c>
      <c r="H151" s="5"/>
      <c r="I151" s="5"/>
      <c r="J151" s="5">
        <f t="shared" si="21"/>
        <v>7.6000000000000227</v>
      </c>
      <c r="K151" s="8" t="b">
        <f t="shared" si="22"/>
        <v>1</v>
      </c>
    </row>
    <row r="152" spans="1:11">
      <c r="A152" s="5" t="s">
        <v>217</v>
      </c>
      <c r="B152" s="6">
        <v>45485</v>
      </c>
      <c r="C152" s="7">
        <v>1</v>
      </c>
      <c r="D152" s="5">
        <v>6.44</v>
      </c>
      <c r="E152" s="5">
        <v>1027.5</v>
      </c>
      <c r="F152" s="5">
        <v>1033.8</v>
      </c>
      <c r="G152" s="6">
        <v>45485</v>
      </c>
      <c r="H152" s="5"/>
      <c r="I152" s="5"/>
      <c r="J152" s="5">
        <f t="shared" si="21"/>
        <v>6.2999999999999545</v>
      </c>
      <c r="K152" s="8" t="b">
        <f t="shared" si="22"/>
        <v>1</v>
      </c>
    </row>
    <row r="153" spans="1:11">
      <c r="A153" s="5" t="s">
        <v>217</v>
      </c>
      <c r="B153" s="6">
        <v>45486</v>
      </c>
      <c r="C153" s="7">
        <v>1</v>
      </c>
      <c r="D153" s="5">
        <v>6.44</v>
      </c>
      <c r="E153" s="5">
        <v>1033.8</v>
      </c>
      <c r="F153" s="5">
        <v>1041.0999999999999</v>
      </c>
      <c r="G153" s="6">
        <v>45486</v>
      </c>
      <c r="H153" s="5"/>
      <c r="I153" s="5"/>
      <c r="J153" s="5">
        <f t="shared" si="21"/>
        <v>7.2999999999999545</v>
      </c>
      <c r="K153" s="8" t="b">
        <f t="shared" si="22"/>
        <v>1</v>
      </c>
    </row>
    <row r="154" spans="1:11">
      <c r="A154" s="5" t="s">
        <v>217</v>
      </c>
      <c r="B154" s="6">
        <v>45487</v>
      </c>
      <c r="C154" s="7">
        <v>1</v>
      </c>
      <c r="D154" s="5">
        <v>6.44</v>
      </c>
      <c r="E154" s="5">
        <v>1041.0999999999999</v>
      </c>
      <c r="F154" s="5">
        <v>1048.4000000000001</v>
      </c>
      <c r="G154" s="6">
        <v>45487</v>
      </c>
      <c r="H154" s="5"/>
      <c r="I154" s="5"/>
      <c r="J154" s="5">
        <f t="shared" si="21"/>
        <v>7.3000000000001819</v>
      </c>
      <c r="K154" s="8" t="b">
        <f t="shared" si="22"/>
        <v>1</v>
      </c>
    </row>
    <row r="155" spans="1:11">
      <c r="A155" s="5" t="s">
        <v>217</v>
      </c>
      <c r="B155" s="6">
        <v>45488</v>
      </c>
      <c r="C155" s="7">
        <v>1</v>
      </c>
      <c r="D155" s="5">
        <v>6.44</v>
      </c>
      <c r="E155" s="5">
        <v>1048.4000000000001</v>
      </c>
      <c r="F155" s="5">
        <v>1055.5999999999999</v>
      </c>
      <c r="G155" s="6">
        <v>45488</v>
      </c>
      <c r="H155" s="5"/>
      <c r="I155" s="5"/>
      <c r="J155" s="5">
        <f t="shared" si="21"/>
        <v>7.1999999999998181</v>
      </c>
      <c r="K155" s="8" t="b">
        <f t="shared" si="22"/>
        <v>1</v>
      </c>
    </row>
    <row r="156" spans="1:11">
      <c r="A156" s="5" t="s">
        <v>217</v>
      </c>
      <c r="B156" s="6">
        <v>45490</v>
      </c>
      <c r="C156" s="7">
        <v>1</v>
      </c>
      <c r="D156" s="5">
        <v>6.44</v>
      </c>
      <c r="E156" s="5">
        <v>1055.5999999999999</v>
      </c>
      <c r="F156" s="5">
        <v>1070.5999999999999</v>
      </c>
      <c r="G156" s="6">
        <v>45490</v>
      </c>
      <c r="H156" s="5"/>
      <c r="I156" s="5"/>
      <c r="J156" s="5">
        <f t="shared" si="21"/>
        <v>15</v>
      </c>
      <c r="K156" s="8" t="b">
        <f t="shared" si="22"/>
        <v>1</v>
      </c>
    </row>
    <row r="157" spans="1:11">
      <c r="A157" s="5" t="s">
        <v>217</v>
      </c>
      <c r="B157" s="6">
        <v>45491</v>
      </c>
      <c r="C157" s="7">
        <v>1</v>
      </c>
      <c r="D157" s="5">
        <v>6.44</v>
      </c>
      <c r="E157" s="5">
        <v>1070.5999999999999</v>
      </c>
      <c r="F157" s="5">
        <v>1078.5999999999999</v>
      </c>
      <c r="G157" s="6">
        <v>45491</v>
      </c>
      <c r="H157" s="5"/>
      <c r="I157" s="5"/>
      <c r="J157" s="5">
        <f t="shared" si="21"/>
        <v>8</v>
      </c>
      <c r="K157" s="8" t="b">
        <f t="shared" si="22"/>
        <v>1</v>
      </c>
    </row>
    <row r="158" spans="1:11">
      <c r="A158" s="5" t="s">
        <v>217</v>
      </c>
      <c r="B158" s="6">
        <v>45493</v>
      </c>
      <c r="C158" s="7">
        <v>1</v>
      </c>
      <c r="D158" s="5">
        <v>6.44</v>
      </c>
      <c r="E158" s="5">
        <v>1078.5999999999999</v>
      </c>
      <c r="F158" s="5">
        <v>1086.5999999999999</v>
      </c>
      <c r="G158" s="6">
        <v>45493</v>
      </c>
      <c r="H158" s="5"/>
      <c r="I158" s="5"/>
      <c r="J158" s="5">
        <f t="shared" si="21"/>
        <v>8</v>
      </c>
      <c r="K158" s="8" t="b">
        <f t="shared" si="22"/>
        <v>1</v>
      </c>
    </row>
    <row r="159" spans="1:11">
      <c r="A159" s="5" t="s">
        <v>217</v>
      </c>
      <c r="B159" s="6">
        <v>45495</v>
      </c>
      <c r="C159" s="7">
        <v>1</v>
      </c>
      <c r="D159" s="5">
        <v>6.44</v>
      </c>
      <c r="E159" s="5">
        <v>1086.5999999999999</v>
      </c>
      <c r="F159" s="5">
        <v>1093.0999999999999</v>
      </c>
      <c r="G159" s="6">
        <v>45495</v>
      </c>
      <c r="H159" s="5"/>
      <c r="I159" s="5"/>
      <c r="J159" s="5">
        <f t="shared" si="21"/>
        <v>6.5</v>
      </c>
      <c r="K159" s="8" t="b">
        <f t="shared" si="22"/>
        <v>1</v>
      </c>
    </row>
    <row r="160" spans="1:11">
      <c r="A160" s="5" t="s">
        <v>217</v>
      </c>
      <c r="B160" s="6">
        <v>45497</v>
      </c>
      <c r="C160" s="7">
        <v>1</v>
      </c>
      <c r="D160" s="5">
        <v>6.44</v>
      </c>
      <c r="E160" s="5">
        <v>1093.0999999999999</v>
      </c>
      <c r="F160" s="5">
        <v>1107.7</v>
      </c>
      <c r="G160" s="6">
        <v>45497</v>
      </c>
      <c r="H160" s="5"/>
      <c r="I160" s="5"/>
      <c r="J160" s="5">
        <f t="shared" si="21"/>
        <v>14.600000000000136</v>
      </c>
      <c r="K160" s="8" t="b">
        <f t="shared" si="22"/>
        <v>1</v>
      </c>
    </row>
    <row r="161" spans="1:11">
      <c r="A161" s="5" t="s">
        <v>217</v>
      </c>
      <c r="B161" s="6">
        <v>45499</v>
      </c>
      <c r="C161" s="7">
        <v>1</v>
      </c>
      <c r="D161" s="5">
        <v>6.44</v>
      </c>
      <c r="E161" s="5">
        <v>1107.7</v>
      </c>
      <c r="F161" s="5">
        <v>1115</v>
      </c>
      <c r="G161" s="6">
        <v>45499</v>
      </c>
      <c r="H161" s="5"/>
      <c r="I161" s="5"/>
      <c r="J161" s="5">
        <f t="shared" si="21"/>
        <v>7.2999999999999545</v>
      </c>
      <c r="K161" s="8" t="b">
        <f t="shared" si="22"/>
        <v>1</v>
      </c>
    </row>
    <row r="162" spans="1:11">
      <c r="A162" s="5" t="s">
        <v>217</v>
      </c>
      <c r="B162" s="6">
        <v>45500</v>
      </c>
      <c r="C162" s="7">
        <v>0.6</v>
      </c>
      <c r="D162" s="5">
        <v>10.73</v>
      </c>
      <c r="E162" s="5">
        <v>1115</v>
      </c>
      <c r="F162" s="5">
        <v>1127</v>
      </c>
      <c r="G162" s="6">
        <v>45500</v>
      </c>
      <c r="H162" s="5"/>
      <c r="I162" s="5"/>
      <c r="J162" s="5">
        <f t="shared" si="21"/>
        <v>12</v>
      </c>
      <c r="K162" s="8" t="b">
        <f t="shared" si="22"/>
        <v>1</v>
      </c>
    </row>
    <row r="163" spans="1:11">
      <c r="A163" s="5" t="s">
        <v>217</v>
      </c>
      <c r="B163" s="6">
        <v>45501</v>
      </c>
      <c r="C163" s="7">
        <v>1</v>
      </c>
      <c r="D163" s="5">
        <v>6.44</v>
      </c>
      <c r="E163" s="5">
        <v>1127</v>
      </c>
      <c r="F163" s="5">
        <v>1143.7</v>
      </c>
      <c r="G163" s="6">
        <v>45501</v>
      </c>
      <c r="H163" s="5"/>
      <c r="I163" s="5"/>
      <c r="J163" s="5">
        <f t="shared" si="21"/>
        <v>16.700000000000045</v>
      </c>
      <c r="K163" s="8" t="b">
        <f t="shared" si="22"/>
        <v>1</v>
      </c>
    </row>
    <row r="164" spans="1:11">
      <c r="A164" s="5" t="s">
        <v>217</v>
      </c>
      <c r="B164" s="6">
        <v>45503</v>
      </c>
      <c r="C164" s="7">
        <v>1</v>
      </c>
      <c r="D164" s="5">
        <v>6.44</v>
      </c>
      <c r="E164" s="5">
        <v>1143.7</v>
      </c>
      <c r="F164" s="5">
        <v>1151</v>
      </c>
      <c r="G164" s="6">
        <v>45503</v>
      </c>
      <c r="H164" s="5"/>
      <c r="I164" s="5"/>
      <c r="J164" s="5">
        <f t="shared" si="21"/>
        <v>7.2999999999999545</v>
      </c>
      <c r="K164" s="8" t="b">
        <f t="shared" si="22"/>
        <v>1</v>
      </c>
    </row>
    <row r="165" spans="1:11">
      <c r="A165" s="5" t="s">
        <v>217</v>
      </c>
      <c r="B165" s="6">
        <v>45505</v>
      </c>
      <c r="C165" s="7">
        <v>1</v>
      </c>
      <c r="D165" s="5">
        <v>6.44</v>
      </c>
      <c r="E165" s="5">
        <v>1151</v>
      </c>
      <c r="F165" s="5">
        <v>1158.2</v>
      </c>
      <c r="G165" s="6">
        <v>45505</v>
      </c>
      <c r="H165" s="5"/>
      <c r="I165" s="5"/>
      <c r="J165" s="5">
        <f t="shared" si="21"/>
        <v>7.2000000000000455</v>
      </c>
      <c r="K165" s="8" t="b">
        <f t="shared" si="22"/>
        <v>1</v>
      </c>
    </row>
    <row r="166" spans="1:11">
      <c r="A166" s="5" t="s">
        <v>217</v>
      </c>
      <c r="B166" s="6">
        <v>45507</v>
      </c>
      <c r="C166" s="7">
        <v>1</v>
      </c>
      <c r="D166" s="5">
        <v>6.44</v>
      </c>
      <c r="E166" s="5">
        <v>1158.2</v>
      </c>
      <c r="F166" s="5">
        <v>1165.5</v>
      </c>
      <c r="G166" s="6">
        <v>45507</v>
      </c>
      <c r="H166" s="5"/>
      <c r="I166" s="5"/>
      <c r="J166" s="5">
        <f t="shared" si="21"/>
        <v>7.2999999999999545</v>
      </c>
      <c r="K166" s="8" t="b">
        <f t="shared" si="22"/>
        <v>1</v>
      </c>
    </row>
    <row r="167" spans="1:11">
      <c r="A167" s="5" t="s">
        <v>217</v>
      </c>
      <c r="B167" s="6">
        <v>45510</v>
      </c>
      <c r="C167" s="7">
        <v>1</v>
      </c>
      <c r="D167" s="5">
        <v>6.44</v>
      </c>
      <c r="E167" s="5">
        <v>1165.5</v>
      </c>
      <c r="F167" s="5">
        <v>1172.9000000000001</v>
      </c>
      <c r="G167" s="6">
        <v>45510</v>
      </c>
      <c r="H167" s="5"/>
      <c r="I167" s="5"/>
      <c r="J167" s="5">
        <f t="shared" si="21"/>
        <v>7.4000000000000909</v>
      </c>
      <c r="K167" s="8" t="b">
        <f t="shared" si="22"/>
        <v>1</v>
      </c>
    </row>
    <row r="168" spans="1:11">
      <c r="A168" s="5" t="s">
        <v>217</v>
      </c>
      <c r="B168" s="6">
        <v>45512</v>
      </c>
      <c r="C168" s="7">
        <v>1</v>
      </c>
      <c r="D168" s="5">
        <v>6.44</v>
      </c>
      <c r="E168" s="5">
        <v>1172.9000000000001</v>
      </c>
      <c r="F168" s="5">
        <v>1187</v>
      </c>
      <c r="G168" s="6">
        <v>45512</v>
      </c>
      <c r="H168" s="5"/>
      <c r="I168" s="5"/>
      <c r="J168" s="5">
        <f t="shared" si="21"/>
        <v>14.099999999999909</v>
      </c>
      <c r="K168" s="8" t="b">
        <f t="shared" si="22"/>
        <v>1</v>
      </c>
    </row>
    <row r="169" spans="1:11">
      <c r="A169" s="5" t="s">
        <v>217</v>
      </c>
      <c r="B169" s="6">
        <v>45513</v>
      </c>
      <c r="C169" s="7">
        <v>0.8</v>
      </c>
      <c r="D169" s="5">
        <v>8.0500000000000007</v>
      </c>
      <c r="E169" s="5">
        <v>1187</v>
      </c>
      <c r="F169" s="5">
        <v>1196.3</v>
      </c>
      <c r="G169" s="6">
        <v>45513</v>
      </c>
      <c r="H169" s="5"/>
      <c r="I169" s="5"/>
      <c r="J169" s="5">
        <f t="shared" si="21"/>
        <v>9.2999999999999545</v>
      </c>
      <c r="K169" s="8" t="b">
        <f t="shared" si="22"/>
        <v>1</v>
      </c>
    </row>
    <row r="170" spans="1:11">
      <c r="A170" s="5" t="s">
        <v>217</v>
      </c>
      <c r="B170" s="6">
        <v>45515</v>
      </c>
      <c r="C170" s="7">
        <v>1</v>
      </c>
      <c r="D170" s="5">
        <v>6.44</v>
      </c>
      <c r="E170" s="5">
        <v>1196.3</v>
      </c>
      <c r="F170" s="5">
        <v>1203.3</v>
      </c>
      <c r="G170" s="6">
        <v>45515</v>
      </c>
      <c r="H170" s="5"/>
      <c r="I170" s="5"/>
      <c r="J170" s="5">
        <f t="shared" si="21"/>
        <v>7</v>
      </c>
      <c r="K170" s="8" t="b">
        <f t="shared" si="22"/>
        <v>1</v>
      </c>
    </row>
    <row r="171" spans="1:11">
      <c r="A171" s="5" t="s">
        <v>217</v>
      </c>
      <c r="B171" s="6">
        <v>45516</v>
      </c>
      <c r="C171" s="7">
        <v>1</v>
      </c>
      <c r="D171" s="5">
        <v>6.44</v>
      </c>
      <c r="E171" s="5">
        <v>1203.3</v>
      </c>
      <c r="F171" s="5">
        <v>1212.5</v>
      </c>
      <c r="G171" s="6">
        <v>45516</v>
      </c>
      <c r="H171" s="5"/>
      <c r="I171" s="5"/>
      <c r="J171" s="5">
        <f t="shared" si="21"/>
        <v>9.2000000000000455</v>
      </c>
      <c r="K171" s="8" t="b">
        <f t="shared" si="22"/>
        <v>1</v>
      </c>
    </row>
    <row r="172" spans="1:11">
      <c r="A172" s="5" t="s">
        <v>217</v>
      </c>
      <c r="B172" s="6">
        <v>45517</v>
      </c>
      <c r="C172" s="7">
        <v>1</v>
      </c>
      <c r="D172" s="5">
        <v>6.44</v>
      </c>
      <c r="E172" s="5">
        <v>1212.5</v>
      </c>
      <c r="F172" s="5">
        <v>1219.0999999999999</v>
      </c>
      <c r="G172" s="6">
        <v>45517</v>
      </c>
      <c r="H172" s="5"/>
      <c r="I172" s="5"/>
      <c r="J172" s="5">
        <f t="shared" si="21"/>
        <v>6.5999999999999091</v>
      </c>
      <c r="K172" s="8" t="b">
        <f t="shared" si="22"/>
        <v>1</v>
      </c>
    </row>
    <row r="173" spans="1:11">
      <c r="A173" s="5" t="s">
        <v>217</v>
      </c>
      <c r="B173" s="6">
        <v>45518</v>
      </c>
      <c r="C173" s="7">
        <v>1</v>
      </c>
      <c r="D173" s="5">
        <v>6.44</v>
      </c>
      <c r="E173" s="5">
        <v>1219.0999999999999</v>
      </c>
      <c r="F173" s="5">
        <v>1226.4000000000001</v>
      </c>
      <c r="G173" s="6">
        <v>45518</v>
      </c>
      <c r="H173" s="5"/>
      <c r="I173" s="5"/>
      <c r="J173" s="5">
        <f t="shared" si="21"/>
        <v>7.3000000000001819</v>
      </c>
      <c r="K173" s="8" t="b">
        <f t="shared" si="22"/>
        <v>1</v>
      </c>
    </row>
    <row r="174" spans="1:11">
      <c r="A174" s="5" t="s">
        <v>217</v>
      </c>
      <c r="B174" s="6">
        <v>45519</v>
      </c>
      <c r="C174" s="7">
        <v>1</v>
      </c>
      <c r="D174" s="5">
        <v>6.44</v>
      </c>
      <c r="E174" s="5">
        <v>1226.4000000000001</v>
      </c>
      <c r="F174" s="5">
        <v>1233.5</v>
      </c>
      <c r="G174" s="6">
        <v>45519</v>
      </c>
      <c r="H174" s="5"/>
      <c r="I174" s="5"/>
      <c r="J174" s="5">
        <f t="shared" si="21"/>
        <v>7.0999999999999091</v>
      </c>
      <c r="K174" s="8" t="b">
        <f t="shared" si="22"/>
        <v>1</v>
      </c>
    </row>
    <row r="175" spans="1:11">
      <c r="A175" s="5" t="s">
        <v>217</v>
      </c>
      <c r="B175" s="6">
        <v>45521</v>
      </c>
      <c r="C175" s="7">
        <v>0.6</v>
      </c>
      <c r="D175" s="5">
        <v>10.73</v>
      </c>
      <c r="E175" s="5">
        <v>1233.5</v>
      </c>
      <c r="F175" s="5">
        <v>1258.7</v>
      </c>
      <c r="G175" s="6">
        <v>45521</v>
      </c>
      <c r="H175" s="5"/>
      <c r="I175" s="5"/>
      <c r="J175" s="5">
        <f t="shared" si="21"/>
        <v>25.200000000000045</v>
      </c>
      <c r="K175" s="8" t="b">
        <f t="shared" si="22"/>
        <v>1</v>
      </c>
    </row>
    <row r="176" spans="1:11">
      <c r="A176" s="5" t="s">
        <v>217</v>
      </c>
      <c r="B176" s="6">
        <v>45524</v>
      </c>
      <c r="C176" s="7">
        <v>1</v>
      </c>
      <c r="D176" s="5">
        <v>6.44</v>
      </c>
      <c r="E176" s="5">
        <v>1258.7</v>
      </c>
      <c r="F176" s="5">
        <v>1266</v>
      </c>
      <c r="G176" s="6">
        <v>45524</v>
      </c>
      <c r="H176" s="5"/>
      <c r="I176" s="5"/>
      <c r="J176" s="5">
        <f t="shared" si="21"/>
        <v>7.2999999999999545</v>
      </c>
      <c r="K176" s="8" t="b">
        <f t="shared" si="22"/>
        <v>1</v>
      </c>
    </row>
    <row r="177" spans="1:11">
      <c r="A177" s="5" t="s">
        <v>217</v>
      </c>
      <c r="B177" s="6">
        <v>45526</v>
      </c>
      <c r="C177" s="7">
        <v>0.8</v>
      </c>
      <c r="D177" s="5">
        <v>8.0500000000000007</v>
      </c>
      <c r="E177" s="5">
        <v>1266</v>
      </c>
      <c r="F177" s="5">
        <v>1275</v>
      </c>
      <c r="G177" s="6">
        <v>45526</v>
      </c>
      <c r="H177" s="5"/>
      <c r="I177" s="5"/>
      <c r="J177" s="5">
        <f t="shared" si="21"/>
        <v>9</v>
      </c>
      <c r="K177" s="8" t="b">
        <f t="shared" si="22"/>
        <v>1</v>
      </c>
    </row>
    <row r="178" spans="1:11">
      <c r="A178" s="5" t="s">
        <v>217</v>
      </c>
      <c r="B178" s="6">
        <v>45527</v>
      </c>
      <c r="C178" s="7">
        <v>0.6</v>
      </c>
      <c r="D178" s="5">
        <v>10.73</v>
      </c>
      <c r="E178" s="5">
        <v>1275</v>
      </c>
      <c r="F178" s="5">
        <v>1286.9000000000001</v>
      </c>
      <c r="G178" s="6">
        <v>45527</v>
      </c>
      <c r="H178" s="5"/>
      <c r="I178" s="5"/>
      <c r="J178" s="5">
        <f t="shared" si="21"/>
        <v>11.900000000000091</v>
      </c>
      <c r="K178" s="8" t="b">
        <f t="shared" si="22"/>
        <v>1</v>
      </c>
    </row>
    <row r="179" spans="1:11">
      <c r="A179" s="5" t="s">
        <v>217</v>
      </c>
      <c r="B179" s="6">
        <v>45528</v>
      </c>
      <c r="C179" s="7">
        <v>0.5</v>
      </c>
      <c r="D179" s="5">
        <v>12.88</v>
      </c>
      <c r="E179" s="5">
        <v>1286.9000000000001</v>
      </c>
      <c r="F179" s="5">
        <v>1301.0999999999999</v>
      </c>
      <c r="G179" s="6">
        <v>45528</v>
      </c>
      <c r="H179" s="5"/>
      <c r="I179" s="5"/>
      <c r="J179" s="5">
        <f t="shared" si="21"/>
        <v>14.199999999999818</v>
      </c>
      <c r="K179" s="8" t="b">
        <f t="shared" si="22"/>
        <v>1</v>
      </c>
    </row>
    <row r="180" spans="1:11">
      <c r="A180" s="5" t="s">
        <v>217</v>
      </c>
      <c r="B180" s="6">
        <v>45529</v>
      </c>
      <c r="C180" s="7">
        <v>0.6</v>
      </c>
      <c r="D180" s="5">
        <v>10.73</v>
      </c>
      <c r="E180" s="5">
        <v>1301.0999999999999</v>
      </c>
      <c r="F180" s="5">
        <v>1313.3</v>
      </c>
      <c r="G180" s="6">
        <v>45529</v>
      </c>
      <c r="H180" s="5"/>
      <c r="I180" s="5"/>
      <c r="J180" s="5">
        <f t="shared" si="21"/>
        <v>12.200000000000045</v>
      </c>
      <c r="K180" s="8" t="b">
        <f t="shared" si="22"/>
        <v>1</v>
      </c>
    </row>
    <row r="181" spans="1:11">
      <c r="A181" s="5" t="s">
        <v>217</v>
      </c>
      <c r="B181" s="6">
        <v>45530</v>
      </c>
      <c r="C181" s="7">
        <v>0.75</v>
      </c>
      <c r="D181" s="5">
        <v>8.59</v>
      </c>
      <c r="E181" s="5">
        <v>1313.3</v>
      </c>
      <c r="F181" s="5">
        <v>1322.7</v>
      </c>
      <c r="G181" s="6">
        <v>45530</v>
      </c>
      <c r="H181" s="5"/>
      <c r="I181" s="5"/>
      <c r="J181" s="5">
        <f t="shared" si="21"/>
        <v>9.4000000000000909</v>
      </c>
      <c r="K181" s="8" t="b">
        <f t="shared" si="22"/>
        <v>1</v>
      </c>
    </row>
    <row r="182" spans="1:11">
      <c r="A182" s="5" t="s">
        <v>217</v>
      </c>
      <c r="B182" s="6">
        <v>45532</v>
      </c>
      <c r="C182" s="7">
        <v>0.75</v>
      </c>
      <c r="D182" s="5">
        <v>8.59</v>
      </c>
      <c r="E182" s="5">
        <v>1322.7</v>
      </c>
      <c r="F182" s="5">
        <v>1332.8</v>
      </c>
      <c r="G182" s="6">
        <v>45532</v>
      </c>
      <c r="H182" s="5"/>
      <c r="I182" s="5"/>
      <c r="J182" s="5">
        <f t="shared" si="21"/>
        <v>10.099999999999909</v>
      </c>
      <c r="K182" s="8" t="b">
        <f t="shared" si="22"/>
        <v>1</v>
      </c>
    </row>
    <row r="183" spans="1:11">
      <c r="A183" s="5" t="s">
        <v>218</v>
      </c>
      <c r="B183" s="6">
        <v>45534</v>
      </c>
      <c r="C183" s="7">
        <v>0.7</v>
      </c>
      <c r="D183" s="5">
        <v>10.29</v>
      </c>
      <c r="E183" s="5">
        <v>1332.8</v>
      </c>
      <c r="F183" s="5">
        <v>1343.1</v>
      </c>
      <c r="G183" s="6">
        <v>45534</v>
      </c>
      <c r="H183" s="5"/>
      <c r="I183" s="5"/>
      <c r="J183" s="5">
        <f t="shared" si="21"/>
        <v>10.299999999999955</v>
      </c>
      <c r="K183" s="8" t="b">
        <f t="shared" si="22"/>
        <v>1</v>
      </c>
    </row>
    <row r="184" spans="1:11">
      <c r="A184" s="5" t="s">
        <v>219</v>
      </c>
      <c r="B184" s="6">
        <v>45535</v>
      </c>
      <c r="C184" s="7">
        <v>0.7</v>
      </c>
      <c r="D184" s="5">
        <v>10.29</v>
      </c>
      <c r="E184" s="5">
        <v>1343.1</v>
      </c>
      <c r="F184" s="5">
        <v>1353.4</v>
      </c>
      <c r="G184" s="6">
        <v>45535</v>
      </c>
      <c r="H184" s="5"/>
      <c r="I184" s="5"/>
      <c r="J184" s="5">
        <f t="shared" si="21"/>
        <v>10.300000000000182</v>
      </c>
      <c r="K184" s="8" t="b">
        <f t="shared" si="22"/>
        <v>1</v>
      </c>
    </row>
    <row r="185" spans="1:11">
      <c r="A185" s="5" t="s">
        <v>218</v>
      </c>
      <c r="B185" s="6">
        <v>45536</v>
      </c>
      <c r="C185" s="7">
        <v>0.5</v>
      </c>
      <c r="D185" s="5">
        <v>12.88</v>
      </c>
      <c r="E185" s="5">
        <v>1353.4</v>
      </c>
      <c r="F185" s="5">
        <v>1367.5</v>
      </c>
      <c r="G185" s="6">
        <v>45536</v>
      </c>
      <c r="H185" s="5"/>
      <c r="I185" s="5"/>
      <c r="J185" s="5">
        <f t="shared" si="21"/>
        <v>14.099999999999909</v>
      </c>
      <c r="K185" s="8" t="b">
        <f t="shared" si="22"/>
        <v>1</v>
      </c>
    </row>
    <row r="186" spans="1:11">
      <c r="A186" s="5" t="s">
        <v>219</v>
      </c>
      <c r="B186" s="6">
        <v>45538</v>
      </c>
      <c r="C186" s="7">
        <v>0.75</v>
      </c>
      <c r="D186" s="5">
        <v>8.59</v>
      </c>
      <c r="E186" s="5">
        <v>1367.5</v>
      </c>
      <c r="F186" s="5">
        <v>1376</v>
      </c>
      <c r="G186" s="6">
        <v>45538</v>
      </c>
      <c r="H186" s="5"/>
      <c r="I186" s="5"/>
      <c r="J186" s="5">
        <f t="shared" si="21"/>
        <v>8.5</v>
      </c>
      <c r="K186" s="8" t="b">
        <f t="shared" si="22"/>
        <v>1</v>
      </c>
    </row>
    <row r="187" spans="1:11">
      <c r="A187" s="5" t="s">
        <v>219</v>
      </c>
      <c r="B187" s="6">
        <v>45539</v>
      </c>
      <c r="C187" s="7">
        <v>1</v>
      </c>
      <c r="D187" s="5">
        <v>6.44</v>
      </c>
      <c r="E187" s="5">
        <v>1376</v>
      </c>
      <c r="F187" s="5">
        <v>1383.2</v>
      </c>
      <c r="G187" s="6">
        <v>45539</v>
      </c>
      <c r="H187" s="5"/>
      <c r="I187" s="5"/>
      <c r="J187" s="5">
        <f t="shared" si="21"/>
        <v>7.2000000000000455</v>
      </c>
      <c r="K187" s="8" t="b">
        <f t="shared" si="22"/>
        <v>1</v>
      </c>
    </row>
    <row r="188" spans="1:11">
      <c r="A188" s="5" t="s">
        <v>218</v>
      </c>
      <c r="B188" s="6">
        <v>45540</v>
      </c>
      <c r="C188" s="7">
        <v>1</v>
      </c>
      <c r="D188" s="5">
        <v>6.44</v>
      </c>
      <c r="E188" s="5">
        <v>1383.2</v>
      </c>
      <c r="F188" s="5">
        <v>1390.7</v>
      </c>
      <c r="G188" s="6">
        <v>45540</v>
      </c>
      <c r="H188" s="5"/>
      <c r="I188" s="5"/>
      <c r="J188" s="5">
        <f t="shared" si="21"/>
        <v>7.5</v>
      </c>
      <c r="K188" s="8" t="b">
        <f t="shared" si="22"/>
        <v>1</v>
      </c>
    </row>
    <row r="189" spans="1:11">
      <c r="A189" s="5" t="s">
        <v>218</v>
      </c>
      <c r="B189" s="6">
        <v>45542</v>
      </c>
      <c r="C189" s="7">
        <v>0.5</v>
      </c>
      <c r="D189" s="5">
        <v>12.88</v>
      </c>
      <c r="E189" s="5">
        <v>1390.7</v>
      </c>
      <c r="F189" s="5">
        <v>1405.7</v>
      </c>
      <c r="G189" s="6">
        <v>45542</v>
      </c>
      <c r="H189" s="5"/>
      <c r="I189" s="5"/>
      <c r="J189" s="5">
        <f t="shared" si="21"/>
        <v>15</v>
      </c>
      <c r="K189" s="8" t="b">
        <f t="shared" si="22"/>
        <v>1</v>
      </c>
    </row>
    <row r="190" spans="1:11">
      <c r="A190" s="5" t="s">
        <v>220</v>
      </c>
      <c r="B190" s="6">
        <v>45544</v>
      </c>
      <c r="C190" s="7">
        <v>0.6</v>
      </c>
      <c r="D190" s="5">
        <v>10.73</v>
      </c>
      <c r="E190" s="5">
        <v>1405.7</v>
      </c>
      <c r="F190" s="5">
        <v>1417.6</v>
      </c>
      <c r="G190" s="6">
        <v>45544</v>
      </c>
      <c r="H190" s="5"/>
      <c r="I190" s="5"/>
      <c r="J190" s="5">
        <f t="shared" si="21"/>
        <v>11.899999999999864</v>
      </c>
      <c r="K190" s="8" t="b">
        <f t="shared" si="22"/>
        <v>1</v>
      </c>
    </row>
    <row r="191" spans="1:11">
      <c r="A191" s="5" t="s">
        <v>220</v>
      </c>
      <c r="B191" s="6">
        <v>45545</v>
      </c>
      <c r="C191" s="7">
        <v>0.6</v>
      </c>
      <c r="D191" s="5">
        <v>10.73</v>
      </c>
      <c r="E191" s="5">
        <v>1417.6</v>
      </c>
      <c r="F191" s="5">
        <v>1429.5</v>
      </c>
      <c r="G191" s="6">
        <v>45545</v>
      </c>
      <c r="H191" s="5"/>
      <c r="I191" s="5"/>
      <c r="J191" s="5">
        <f t="shared" si="21"/>
        <v>11.900000000000091</v>
      </c>
      <c r="K191" s="8" t="b">
        <f t="shared" si="22"/>
        <v>1</v>
      </c>
    </row>
    <row r="192" spans="1:11">
      <c r="A192" s="5" t="s">
        <v>220</v>
      </c>
      <c r="B192" s="6">
        <v>45546</v>
      </c>
      <c r="C192" s="7">
        <v>0.6</v>
      </c>
      <c r="D192" s="5">
        <v>10.73</v>
      </c>
      <c r="E192" s="5">
        <v>1429.5</v>
      </c>
      <c r="F192" s="5">
        <v>1441.5</v>
      </c>
      <c r="G192" s="6">
        <v>45546</v>
      </c>
      <c r="H192" s="5"/>
      <c r="I192" s="5"/>
      <c r="J192" s="5">
        <f t="shared" si="21"/>
        <v>12</v>
      </c>
      <c r="K192" s="8" t="b">
        <f t="shared" si="22"/>
        <v>1</v>
      </c>
    </row>
    <row r="193" spans="1:11">
      <c r="A193" s="5" t="s">
        <v>220</v>
      </c>
      <c r="B193" s="6">
        <v>45548</v>
      </c>
      <c r="C193" s="7">
        <v>0.6</v>
      </c>
      <c r="D193" s="5">
        <v>10.73</v>
      </c>
      <c r="E193" s="5">
        <v>1441.5</v>
      </c>
      <c r="F193" s="5">
        <v>1453.5</v>
      </c>
      <c r="G193" s="6">
        <v>45548</v>
      </c>
      <c r="H193" s="5"/>
      <c r="I193" s="5"/>
      <c r="J193" s="5">
        <f t="shared" si="21"/>
        <v>12</v>
      </c>
      <c r="K193" s="8" t="b">
        <f t="shared" si="22"/>
        <v>1</v>
      </c>
    </row>
    <row r="194" spans="1:11">
      <c r="A194" s="5" t="s">
        <v>220</v>
      </c>
      <c r="B194" s="6">
        <v>45550</v>
      </c>
      <c r="C194" s="7">
        <v>0.6</v>
      </c>
      <c r="D194" s="5">
        <v>10.73</v>
      </c>
      <c r="E194" s="5">
        <v>1453.5</v>
      </c>
      <c r="F194" s="5">
        <v>1465.5</v>
      </c>
      <c r="G194" s="6">
        <v>45550</v>
      </c>
      <c r="H194" s="5"/>
      <c r="I194" s="5"/>
      <c r="J194" s="5">
        <f t="shared" si="21"/>
        <v>12</v>
      </c>
      <c r="K194" s="8" t="b">
        <f t="shared" si="22"/>
        <v>1</v>
      </c>
    </row>
    <row r="195" spans="1:11">
      <c r="A195" s="5" t="s">
        <v>220</v>
      </c>
      <c r="B195" s="6">
        <v>45552</v>
      </c>
      <c r="C195" s="7">
        <v>0.6</v>
      </c>
      <c r="D195" s="5">
        <v>10.73</v>
      </c>
      <c r="E195" s="5">
        <v>1465.5</v>
      </c>
      <c r="F195" s="5">
        <v>1478.3</v>
      </c>
      <c r="G195" s="6">
        <v>45552</v>
      </c>
      <c r="H195" s="5"/>
      <c r="I195" s="5"/>
      <c r="J195" s="5">
        <f t="shared" si="21"/>
        <v>12.799999999999955</v>
      </c>
      <c r="K195" s="8" t="b">
        <f t="shared" si="22"/>
        <v>1</v>
      </c>
    </row>
    <row r="196" spans="1:11">
      <c r="A196" s="5" t="s">
        <v>220</v>
      </c>
      <c r="B196" s="6">
        <v>45554</v>
      </c>
      <c r="C196" s="7">
        <v>0.6</v>
      </c>
      <c r="D196" s="5">
        <v>10.73</v>
      </c>
      <c r="E196" s="5">
        <v>1478.3</v>
      </c>
      <c r="F196" s="5">
        <v>1492.8</v>
      </c>
      <c r="G196" s="6">
        <v>45554</v>
      </c>
      <c r="H196" s="5"/>
      <c r="I196" s="5"/>
      <c r="J196" s="5">
        <f t="shared" si="21"/>
        <v>14.5</v>
      </c>
      <c r="K196" s="8" t="b">
        <f t="shared" si="22"/>
        <v>1</v>
      </c>
    </row>
    <row r="197" spans="1:11">
      <c r="A197" s="5" t="s">
        <v>220</v>
      </c>
      <c r="B197" s="6">
        <v>45554</v>
      </c>
      <c r="C197" s="7">
        <v>0.8</v>
      </c>
      <c r="D197" s="5">
        <v>8.0500000000000007</v>
      </c>
      <c r="E197" s="5">
        <v>1492.8</v>
      </c>
      <c r="F197" s="5">
        <v>1501.8</v>
      </c>
      <c r="G197" s="6">
        <v>45554</v>
      </c>
      <c r="H197" s="5"/>
      <c r="I197" s="5"/>
      <c r="J197" s="5">
        <f t="shared" si="21"/>
        <v>9</v>
      </c>
      <c r="K197" s="8" t="b">
        <f t="shared" si="22"/>
        <v>1</v>
      </c>
    </row>
    <row r="198" spans="1:11">
      <c r="A198" s="5" t="s">
        <v>218</v>
      </c>
      <c r="B198" s="6">
        <v>45558</v>
      </c>
      <c r="C198" s="66">
        <v>0.8</v>
      </c>
      <c r="D198" s="5">
        <v>8.0500000000000007</v>
      </c>
      <c r="E198" s="5">
        <v>1501.8</v>
      </c>
      <c r="F198" s="5">
        <v>1510.7</v>
      </c>
      <c r="G198" s="6">
        <v>45558</v>
      </c>
      <c r="H198" s="5"/>
      <c r="I198" s="5"/>
      <c r="J198" s="5">
        <f t="shared" si="21"/>
        <v>8.9000000000000909</v>
      </c>
      <c r="K198" s="8" t="b">
        <f t="shared" si="22"/>
        <v>1</v>
      </c>
    </row>
    <row r="199" spans="1:11">
      <c r="A199" s="5" t="s">
        <v>220</v>
      </c>
      <c r="B199" s="122">
        <v>45560</v>
      </c>
      <c r="C199" s="66">
        <v>0.8</v>
      </c>
      <c r="D199" s="5">
        <v>8.0500000000000007</v>
      </c>
      <c r="E199" s="5">
        <v>1510.7</v>
      </c>
      <c r="F199" s="5">
        <v>1519.6</v>
      </c>
      <c r="G199" s="12">
        <v>45560</v>
      </c>
      <c r="H199" s="5"/>
      <c r="I199" s="5"/>
      <c r="J199" s="5">
        <f t="shared" si="21"/>
        <v>8.8999999999998636</v>
      </c>
      <c r="K199" s="8" t="b">
        <f t="shared" si="22"/>
        <v>1</v>
      </c>
    </row>
    <row r="200" spans="1:11">
      <c r="A200" s="5" t="s">
        <v>220</v>
      </c>
      <c r="B200" s="6">
        <v>45563</v>
      </c>
      <c r="C200" s="7">
        <v>0.6</v>
      </c>
      <c r="D200" s="5">
        <v>10.73</v>
      </c>
      <c r="E200" s="5">
        <v>1519.6</v>
      </c>
      <c r="F200" s="5">
        <v>1532.1</v>
      </c>
      <c r="G200" s="6">
        <v>45563</v>
      </c>
      <c r="H200" s="5"/>
      <c r="I200" s="5"/>
      <c r="J200" s="5">
        <f t="shared" si="21"/>
        <v>12.5</v>
      </c>
      <c r="K200" s="8" t="b">
        <f t="shared" si="22"/>
        <v>1</v>
      </c>
    </row>
    <row r="201" spans="1:11">
      <c r="A201" s="5" t="s">
        <v>218</v>
      </c>
      <c r="B201" s="6">
        <v>45565</v>
      </c>
      <c r="C201" s="7">
        <v>1</v>
      </c>
      <c r="D201" s="5">
        <v>6.44</v>
      </c>
      <c r="E201" s="5">
        <v>1532.1</v>
      </c>
      <c r="F201" s="5">
        <v>1539.8</v>
      </c>
      <c r="G201" s="6">
        <v>45565</v>
      </c>
      <c r="H201" s="5"/>
      <c r="I201" s="5"/>
      <c r="J201" s="5">
        <f t="shared" si="21"/>
        <v>7.7000000000000455</v>
      </c>
      <c r="K201" s="8" t="b">
        <f t="shared" si="22"/>
        <v>1</v>
      </c>
    </row>
    <row r="202" spans="1:11">
      <c r="A202" s="5" t="s">
        <v>220</v>
      </c>
      <c r="B202" s="6">
        <v>45567</v>
      </c>
      <c r="C202" s="7">
        <v>0.6</v>
      </c>
      <c r="D202" s="5">
        <v>10.73</v>
      </c>
      <c r="E202" s="5">
        <v>1539.8</v>
      </c>
      <c r="F202" s="5">
        <v>1551.4</v>
      </c>
      <c r="G202" s="6">
        <v>45567</v>
      </c>
      <c r="H202" s="5"/>
      <c r="I202" s="5"/>
      <c r="J202" s="5">
        <f t="shared" si="21"/>
        <v>11.600000000000136</v>
      </c>
      <c r="K202" s="8" t="b">
        <f t="shared" si="22"/>
        <v>1</v>
      </c>
    </row>
    <row r="203" spans="1:11">
      <c r="A203" s="5" t="s">
        <v>220</v>
      </c>
      <c r="B203" s="6">
        <v>45569</v>
      </c>
      <c r="C203" s="7">
        <v>0.7</v>
      </c>
      <c r="D203" s="5">
        <v>10.29</v>
      </c>
      <c r="E203" s="5">
        <v>1551.4</v>
      </c>
      <c r="F203" s="5">
        <v>1562</v>
      </c>
      <c r="G203" s="6">
        <v>45569</v>
      </c>
      <c r="H203" s="5"/>
      <c r="I203" s="5"/>
      <c r="J203" s="5">
        <f t="shared" si="21"/>
        <v>10.599999999999909</v>
      </c>
      <c r="K203" s="8" t="b">
        <f t="shared" si="22"/>
        <v>1</v>
      </c>
    </row>
    <row r="204" spans="1:11">
      <c r="A204" s="5" t="s">
        <v>221</v>
      </c>
      <c r="B204" s="6">
        <v>45575</v>
      </c>
      <c r="C204" s="7">
        <v>0.7</v>
      </c>
      <c r="D204" s="5">
        <v>10.29</v>
      </c>
      <c r="E204" s="5">
        <v>1562</v>
      </c>
      <c r="F204" s="5">
        <v>1573.3</v>
      </c>
      <c r="G204" s="6">
        <v>45575</v>
      </c>
      <c r="H204" s="5"/>
      <c r="I204" s="5"/>
      <c r="J204" s="5">
        <f t="shared" si="21"/>
        <v>11.299999999999955</v>
      </c>
      <c r="K204" s="8" t="b">
        <f t="shared" si="22"/>
        <v>1</v>
      </c>
    </row>
    <row r="205" spans="1:11">
      <c r="A205" s="5" t="s">
        <v>221</v>
      </c>
      <c r="B205" s="6">
        <v>45580</v>
      </c>
      <c r="C205" s="7">
        <v>1</v>
      </c>
      <c r="D205" s="5">
        <v>6.44</v>
      </c>
      <c r="E205" s="5">
        <v>1573.3</v>
      </c>
      <c r="F205" s="5">
        <v>1575.5</v>
      </c>
      <c r="G205" s="6">
        <v>45580</v>
      </c>
      <c r="H205" s="5"/>
      <c r="I205" s="5"/>
      <c r="J205" s="5">
        <f t="shared" si="21"/>
        <v>2.2000000000000455</v>
      </c>
      <c r="K205" s="8" t="b">
        <f t="shared" si="22"/>
        <v>1</v>
      </c>
    </row>
    <row r="206" spans="1:11">
      <c r="A206" s="5" t="s">
        <v>222</v>
      </c>
      <c r="B206" s="6"/>
      <c r="C206" s="7"/>
      <c r="D206" s="5"/>
      <c r="E206" s="5"/>
      <c r="F206" s="5"/>
      <c r="G206" s="6"/>
      <c r="H206" s="5"/>
      <c r="I206" s="5"/>
      <c r="J206" s="5"/>
      <c r="K206" s="8" t="b">
        <f t="shared" si="22"/>
        <v>0</v>
      </c>
    </row>
    <row r="207" spans="1:11">
      <c r="A207" s="5" t="s">
        <v>222</v>
      </c>
      <c r="B207" s="6"/>
      <c r="C207" s="7"/>
      <c r="D207" s="5"/>
      <c r="E207" s="5"/>
      <c r="F207" s="5"/>
      <c r="G207" s="6"/>
      <c r="H207" s="5"/>
      <c r="I207" s="5"/>
      <c r="J207" s="5"/>
      <c r="K207" s="8" t="b">
        <f t="shared" si="22"/>
        <v>1</v>
      </c>
    </row>
    <row r="208" spans="1:11">
      <c r="A208" s="5" t="s">
        <v>222</v>
      </c>
      <c r="B208" s="6"/>
      <c r="C208" s="7"/>
      <c r="D208" s="5"/>
      <c r="E208" s="5"/>
      <c r="F208" s="5"/>
      <c r="G208" s="6"/>
      <c r="H208" s="5"/>
      <c r="I208" s="5"/>
      <c r="J208" s="5"/>
      <c r="K208" s="8" t="b">
        <f t="shared" si="22"/>
        <v>1</v>
      </c>
    </row>
    <row r="209" spans="1:11">
      <c r="A209" s="5" t="s">
        <v>222</v>
      </c>
      <c r="B209" s="6"/>
      <c r="C209" s="7"/>
      <c r="D209" s="5"/>
      <c r="E209" s="5"/>
      <c r="F209" s="5"/>
      <c r="G209" s="6"/>
      <c r="H209" s="5"/>
      <c r="I209" s="5"/>
      <c r="J209" s="5"/>
      <c r="K209" s="8" t="b">
        <f t="shared" si="22"/>
        <v>1</v>
      </c>
    </row>
    <row r="210" spans="1:11">
      <c r="A210" s="5" t="s">
        <v>222</v>
      </c>
      <c r="B210" s="6"/>
      <c r="C210" s="7"/>
      <c r="D210" s="5"/>
      <c r="E210" s="5"/>
      <c r="F210" s="5"/>
      <c r="G210" s="6"/>
      <c r="H210" s="5"/>
      <c r="I210" s="5"/>
      <c r="J210" s="5"/>
      <c r="K210" s="8" t="b">
        <f t="shared" si="22"/>
        <v>1</v>
      </c>
    </row>
    <row r="211" spans="1:11">
      <c r="A211" s="5" t="s">
        <v>222</v>
      </c>
      <c r="B211" s="6"/>
      <c r="C211" s="7"/>
      <c r="D211" s="5"/>
      <c r="E211" s="5"/>
      <c r="F211" s="5"/>
      <c r="G211" s="6"/>
      <c r="H211" s="5"/>
      <c r="I211" s="5"/>
      <c r="J211" s="5"/>
      <c r="K211" s="8" t="b">
        <f t="shared" si="22"/>
        <v>1</v>
      </c>
    </row>
    <row r="212" spans="1:11">
      <c r="A212" s="5" t="s">
        <v>222</v>
      </c>
      <c r="B212" s="6"/>
      <c r="C212" s="7"/>
      <c r="D212" s="5"/>
      <c r="E212" s="5"/>
      <c r="F212" s="5"/>
      <c r="G212" s="6"/>
      <c r="H212" s="5"/>
      <c r="I212" s="5"/>
      <c r="J212" s="5"/>
      <c r="K212" s="8" t="b">
        <f t="shared" si="22"/>
        <v>1</v>
      </c>
    </row>
    <row r="213" spans="1:11">
      <c r="A213" s="5" t="s">
        <v>222</v>
      </c>
      <c r="B213" s="6"/>
      <c r="C213" s="7"/>
      <c r="D213" s="5"/>
      <c r="E213" s="5"/>
      <c r="F213" s="5"/>
      <c r="G213" s="6"/>
      <c r="H213" s="5"/>
      <c r="I213" s="5"/>
      <c r="J213" s="5"/>
      <c r="K213" s="8" t="b">
        <f t="shared" ref="K213:K230" si="23">E213=F212</f>
        <v>1</v>
      </c>
    </row>
    <row r="214" spans="1:11">
      <c r="A214" s="5" t="s">
        <v>222</v>
      </c>
      <c r="B214" s="6"/>
      <c r="C214" s="7"/>
      <c r="D214" s="5"/>
      <c r="E214" s="5"/>
      <c r="F214" s="5"/>
      <c r="G214" s="6"/>
      <c r="H214" s="5"/>
      <c r="I214" s="5"/>
      <c r="J214" s="5"/>
      <c r="K214" s="8" t="b">
        <f t="shared" si="23"/>
        <v>1</v>
      </c>
    </row>
    <row r="215" spans="1:11">
      <c r="A215" s="5" t="s">
        <v>222</v>
      </c>
      <c r="B215" s="6"/>
      <c r="C215" s="7"/>
      <c r="D215" s="5"/>
      <c r="E215" s="5"/>
      <c r="F215" s="5"/>
      <c r="G215" s="6"/>
      <c r="H215" s="5"/>
      <c r="I215" s="5"/>
      <c r="J215" s="5"/>
      <c r="K215" s="8" t="b">
        <f t="shared" si="23"/>
        <v>1</v>
      </c>
    </row>
    <row r="216" spans="1:11">
      <c r="A216" s="5" t="s">
        <v>222</v>
      </c>
      <c r="B216" s="6"/>
      <c r="C216" s="7"/>
      <c r="D216" s="5"/>
      <c r="E216" s="5"/>
      <c r="F216" s="5"/>
      <c r="G216" s="6"/>
      <c r="H216" s="5"/>
      <c r="I216" s="5"/>
      <c r="J216" s="5"/>
      <c r="K216" s="8" t="b">
        <f t="shared" si="23"/>
        <v>1</v>
      </c>
    </row>
    <row r="217" spans="1:11">
      <c r="A217" s="5" t="s">
        <v>222</v>
      </c>
      <c r="B217" s="6"/>
      <c r="C217" s="7"/>
      <c r="D217" s="5"/>
      <c r="E217" s="5"/>
      <c r="F217" s="5"/>
      <c r="G217" s="6"/>
      <c r="H217" s="5"/>
      <c r="I217" s="5"/>
      <c r="J217" s="5"/>
      <c r="K217" s="8" t="b">
        <f t="shared" si="23"/>
        <v>1</v>
      </c>
    </row>
    <row r="218" spans="1:11">
      <c r="A218" s="5" t="s">
        <v>222</v>
      </c>
      <c r="B218" s="6"/>
      <c r="C218" s="7"/>
      <c r="D218" s="5"/>
      <c r="E218" s="5"/>
      <c r="F218" s="5"/>
      <c r="G218" s="6"/>
      <c r="H218" s="5"/>
      <c r="I218" s="5"/>
      <c r="J218" s="5"/>
      <c r="K218" s="8" t="b">
        <f t="shared" si="23"/>
        <v>1</v>
      </c>
    </row>
    <row r="219" spans="1:11">
      <c r="A219" s="5" t="s">
        <v>222</v>
      </c>
      <c r="B219" s="6"/>
      <c r="C219" s="7"/>
      <c r="D219" s="5"/>
      <c r="E219" s="5"/>
      <c r="F219" s="5"/>
      <c r="G219" s="6"/>
      <c r="H219" s="5"/>
      <c r="I219" s="5"/>
      <c r="J219" s="5"/>
      <c r="K219" s="8" t="b">
        <f t="shared" si="23"/>
        <v>1</v>
      </c>
    </row>
    <row r="220" spans="1:11">
      <c r="A220" s="5" t="s">
        <v>222</v>
      </c>
      <c r="B220" s="6"/>
      <c r="C220" s="7"/>
      <c r="D220" s="5"/>
      <c r="E220" s="5"/>
      <c r="F220" s="5"/>
      <c r="G220" s="6"/>
      <c r="H220" s="5"/>
      <c r="I220" s="5"/>
      <c r="J220" s="5"/>
      <c r="K220" s="8" t="b">
        <f t="shared" si="23"/>
        <v>1</v>
      </c>
    </row>
    <row r="221" spans="1:11">
      <c r="A221" s="5" t="s">
        <v>222</v>
      </c>
      <c r="B221" s="6"/>
      <c r="C221" s="7"/>
      <c r="D221" s="5"/>
      <c r="E221" s="5"/>
      <c r="F221" s="5"/>
      <c r="G221" s="6"/>
      <c r="H221" s="5"/>
      <c r="I221" s="5"/>
      <c r="J221" s="5"/>
      <c r="K221" s="8" t="b">
        <f t="shared" si="23"/>
        <v>1</v>
      </c>
    </row>
    <row r="222" spans="1:11">
      <c r="A222" s="5" t="s">
        <v>222</v>
      </c>
      <c r="B222" s="6"/>
      <c r="C222" s="7"/>
      <c r="D222" s="5"/>
      <c r="E222" s="5"/>
      <c r="F222" s="5"/>
      <c r="G222" s="6"/>
      <c r="H222" s="5"/>
      <c r="I222" s="5"/>
      <c r="J222" s="5"/>
      <c r="K222" s="8" t="b">
        <f t="shared" si="23"/>
        <v>1</v>
      </c>
    </row>
    <row r="223" spans="1:11">
      <c r="A223" s="5" t="s">
        <v>222</v>
      </c>
      <c r="B223" s="6"/>
      <c r="C223" s="7"/>
      <c r="D223" s="5"/>
      <c r="E223" s="5"/>
      <c r="F223" s="5"/>
      <c r="G223" s="6"/>
      <c r="H223" s="5"/>
      <c r="I223" s="5"/>
      <c r="J223" s="5"/>
      <c r="K223" s="8" t="b">
        <f t="shared" si="23"/>
        <v>1</v>
      </c>
    </row>
    <row r="224" spans="1:11">
      <c r="A224" s="5" t="s">
        <v>222</v>
      </c>
      <c r="B224" s="6"/>
      <c r="C224" s="7"/>
      <c r="D224" s="5"/>
      <c r="E224" s="5"/>
      <c r="F224" s="5"/>
      <c r="G224" s="6"/>
      <c r="H224" s="5"/>
      <c r="I224" s="5"/>
      <c r="J224" s="5"/>
      <c r="K224" s="8" t="b">
        <f t="shared" si="23"/>
        <v>1</v>
      </c>
    </row>
    <row r="225" spans="1:11">
      <c r="A225" s="5" t="s">
        <v>222</v>
      </c>
      <c r="B225" s="6"/>
      <c r="C225" s="7"/>
      <c r="D225" s="5"/>
      <c r="E225" s="5"/>
      <c r="F225" s="5"/>
      <c r="G225" s="6"/>
      <c r="H225" s="5"/>
      <c r="I225" s="5"/>
      <c r="J225" s="5"/>
      <c r="K225" s="8" t="b">
        <f t="shared" si="23"/>
        <v>1</v>
      </c>
    </row>
    <row r="226" spans="1:11">
      <c r="A226" s="5" t="s">
        <v>222</v>
      </c>
      <c r="B226" s="6"/>
      <c r="C226" s="7"/>
      <c r="D226" s="5"/>
      <c r="E226" s="5"/>
      <c r="F226" s="5"/>
      <c r="G226" s="6"/>
      <c r="H226" s="5"/>
      <c r="I226" s="5"/>
      <c r="J226" s="5"/>
      <c r="K226" s="8" t="b">
        <f t="shared" si="23"/>
        <v>1</v>
      </c>
    </row>
    <row r="227" spans="1:11">
      <c r="A227" s="5" t="s">
        <v>222</v>
      </c>
      <c r="B227" s="6"/>
      <c r="C227" s="7"/>
      <c r="D227" s="5"/>
      <c r="E227" s="5"/>
      <c r="F227" s="5"/>
      <c r="G227" s="6"/>
      <c r="H227" s="5"/>
      <c r="I227" s="5"/>
      <c r="J227" s="5"/>
      <c r="K227" s="8" t="b">
        <f t="shared" si="23"/>
        <v>1</v>
      </c>
    </row>
    <row r="228" spans="1:11">
      <c r="A228" s="5" t="s">
        <v>222</v>
      </c>
      <c r="B228" s="6"/>
      <c r="C228" s="7"/>
      <c r="D228" s="5"/>
      <c r="E228" s="5"/>
      <c r="F228" s="5"/>
      <c r="G228" s="6"/>
      <c r="H228" s="5"/>
      <c r="I228" s="5"/>
      <c r="J228" s="5"/>
      <c r="K228" s="8" t="b">
        <f t="shared" si="23"/>
        <v>1</v>
      </c>
    </row>
    <row r="229" spans="1:11">
      <c r="A229" s="5" t="s">
        <v>222</v>
      </c>
      <c r="B229" s="6"/>
      <c r="C229" s="7"/>
      <c r="D229" s="5"/>
      <c r="E229" s="5"/>
      <c r="F229" s="5"/>
      <c r="G229" s="6"/>
      <c r="H229" s="5"/>
      <c r="I229" s="5"/>
      <c r="J229" s="5"/>
      <c r="K229" s="8" t="b">
        <f t="shared" si="23"/>
        <v>1</v>
      </c>
    </row>
    <row r="230" spans="1:11">
      <c r="A230" s="5" t="s">
        <v>222</v>
      </c>
      <c r="B230" s="6"/>
      <c r="C230" s="7"/>
      <c r="D230" s="5"/>
      <c r="E230" s="5"/>
      <c r="F230" s="5"/>
      <c r="G230" s="6"/>
      <c r="H230" s="5"/>
      <c r="I230" s="5"/>
      <c r="J230" s="5"/>
      <c r="K230" s="8" t="b">
        <f t="shared" si="23"/>
        <v>1</v>
      </c>
    </row>
  </sheetData>
  <autoFilter ref="A110:K191" xr:uid="{321B76C8-B8A0-48BB-A5FB-A9FA65B311EE}"/>
  <mergeCells count="15">
    <mergeCell ref="A104:K104"/>
    <mergeCell ref="A105:K105"/>
    <mergeCell ref="A107:K107"/>
    <mergeCell ref="A27:K27"/>
    <mergeCell ref="A1:K1"/>
    <mergeCell ref="A2:K2"/>
    <mergeCell ref="A4:K4"/>
    <mergeCell ref="A24:K24"/>
    <mergeCell ref="A25:K25"/>
    <mergeCell ref="A56:K56"/>
    <mergeCell ref="A57:K57"/>
    <mergeCell ref="A59:K59"/>
    <mergeCell ref="A42:K42"/>
    <mergeCell ref="A43:K43"/>
    <mergeCell ref="A45:K45"/>
  </mergeCells>
  <conditionalFormatting sqref="K1:K2 K4 K7:K22 K24:K25 K27 K30:K40 K48:K54 K110:K230">
    <cfRule type="cellIs" dxfId="73" priority="7" operator="equal">
      <formula>TRUE</formula>
    </cfRule>
    <cfRule type="cellIs" dxfId="72" priority="8" operator="equal">
      <formula>FALSE</formula>
    </cfRule>
  </conditionalFormatting>
  <conditionalFormatting sqref="K42:K43 K45">
    <cfRule type="cellIs" dxfId="71" priority="5" operator="equal">
      <formula>TRUE</formula>
    </cfRule>
    <cfRule type="cellIs" dxfId="70" priority="6" operator="equal">
      <formula>FALSE</formula>
    </cfRule>
  </conditionalFormatting>
  <conditionalFormatting sqref="K56:K57 K59">
    <cfRule type="cellIs" dxfId="69" priority="3" operator="equal">
      <formula>TRUE</formula>
    </cfRule>
    <cfRule type="cellIs" dxfId="68" priority="4" operator="equal">
      <formula>FALSE</formula>
    </cfRule>
  </conditionalFormatting>
  <conditionalFormatting sqref="K62:K105 K107">
    <cfRule type="cellIs" dxfId="67" priority="1" operator="equal">
      <formula>TRUE</formula>
    </cfRule>
    <cfRule type="cellIs" dxfId="66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EE3D-100B-41AC-BADA-D6E75974001F}">
  <sheetPr codeName="Planilha20" filterMode="1"/>
  <dimension ref="A1:K221"/>
  <sheetViews>
    <sheetView topLeftCell="A179" workbookViewId="0">
      <selection activeCell="D219" sqref="D219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7.28515625" customWidth="1"/>
    <col min="11" max="11" width="12.42578125" bestFit="1" customWidth="1"/>
  </cols>
  <sheetData>
    <row r="1" spans="1:11" ht="26.25">
      <c r="A1" s="193" t="s">
        <v>223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224</v>
      </c>
      <c r="B8" s="6">
        <v>44582</v>
      </c>
      <c r="C8" s="7">
        <v>0.7</v>
      </c>
      <c r="D8" s="5">
        <v>10.39</v>
      </c>
      <c r="E8" s="5">
        <v>0</v>
      </c>
      <c r="F8" s="5">
        <v>20</v>
      </c>
      <c r="G8" s="6">
        <v>44582</v>
      </c>
      <c r="H8" s="5"/>
      <c r="I8" s="5"/>
      <c r="J8" s="5">
        <f>F8-E8</f>
        <v>20</v>
      </c>
      <c r="K8" s="8" t="b">
        <f>E8=F8</f>
        <v>0</v>
      </c>
    </row>
    <row r="9" spans="1:11">
      <c r="A9" s="5" t="s">
        <v>224</v>
      </c>
      <c r="B9" s="6">
        <v>44591</v>
      </c>
      <c r="C9" s="7">
        <v>0.7</v>
      </c>
      <c r="D9" s="5">
        <v>10.39</v>
      </c>
      <c r="E9" s="5">
        <v>20</v>
      </c>
      <c r="F9" s="5">
        <v>40.1</v>
      </c>
      <c r="G9" s="6">
        <v>44591</v>
      </c>
      <c r="H9" s="5"/>
      <c r="I9" s="5"/>
      <c r="J9" s="5">
        <f>F9-E9</f>
        <v>20.100000000000001</v>
      </c>
      <c r="K9" s="8" t="b">
        <f>E9=F8</f>
        <v>1</v>
      </c>
    </row>
    <row r="10" spans="1:11">
      <c r="A10" s="5" t="s">
        <v>224</v>
      </c>
      <c r="B10" s="6">
        <v>44618</v>
      </c>
      <c r="C10" s="7">
        <v>0.8</v>
      </c>
      <c r="D10" s="5">
        <v>9.09</v>
      </c>
      <c r="E10" s="5">
        <v>40.1</v>
      </c>
      <c r="F10" s="5">
        <v>58.2</v>
      </c>
      <c r="G10" s="6">
        <v>44618</v>
      </c>
      <c r="H10" s="5"/>
      <c r="I10" s="5"/>
      <c r="J10" s="5">
        <f>F10-E10</f>
        <v>18.100000000000001</v>
      </c>
      <c r="K10" s="8" t="b">
        <f>E10=F9</f>
        <v>1</v>
      </c>
    </row>
    <row r="11" spans="1:11">
      <c r="A11" s="5" t="s">
        <v>224</v>
      </c>
      <c r="B11" s="6">
        <v>44626</v>
      </c>
      <c r="C11" s="7">
        <v>0.8</v>
      </c>
      <c r="D11" s="5">
        <v>9.09</v>
      </c>
      <c r="E11" s="5">
        <v>76.599999999999994</v>
      </c>
      <c r="F11" s="5">
        <v>93.8</v>
      </c>
      <c r="G11" s="6">
        <v>44626</v>
      </c>
      <c r="H11" s="5"/>
      <c r="I11" s="5"/>
      <c r="J11" s="5">
        <f>F11-E11</f>
        <v>17.200000000000003</v>
      </c>
      <c r="K11" s="8" t="b">
        <f t="shared" ref="K11:K34" si="0">E11=F10</f>
        <v>0</v>
      </c>
    </row>
    <row r="12" spans="1:11">
      <c r="A12" s="5" t="s">
        <v>224</v>
      </c>
      <c r="B12" s="6">
        <v>44629</v>
      </c>
      <c r="C12" s="7">
        <v>0.8</v>
      </c>
      <c r="D12" s="5">
        <v>9.09</v>
      </c>
      <c r="E12" s="5">
        <v>93.8</v>
      </c>
      <c r="F12" s="5">
        <v>111.7</v>
      </c>
      <c r="G12" s="6">
        <v>44629</v>
      </c>
      <c r="H12" s="5"/>
      <c r="I12" s="5"/>
      <c r="J12" s="5">
        <f t="shared" ref="J12:J21" si="1">F12-E12</f>
        <v>17.900000000000006</v>
      </c>
      <c r="K12" s="8" t="b">
        <f t="shared" si="0"/>
        <v>1</v>
      </c>
    </row>
    <row r="13" spans="1:11">
      <c r="A13" s="5" t="s">
        <v>224</v>
      </c>
      <c r="B13" s="6">
        <v>44638</v>
      </c>
      <c r="C13" s="7">
        <v>0.7</v>
      </c>
      <c r="D13" s="5">
        <v>10.39</v>
      </c>
      <c r="E13" s="5">
        <v>130</v>
      </c>
      <c r="F13" s="5">
        <v>149</v>
      </c>
      <c r="G13" s="6">
        <v>44638</v>
      </c>
      <c r="H13" s="5"/>
      <c r="I13" s="5"/>
      <c r="J13" s="5">
        <f t="shared" si="1"/>
        <v>19</v>
      </c>
      <c r="K13" s="8" t="b">
        <f t="shared" si="0"/>
        <v>0</v>
      </c>
    </row>
    <row r="14" spans="1:11">
      <c r="A14" s="5" t="s">
        <v>224</v>
      </c>
      <c r="B14" s="6">
        <v>44643</v>
      </c>
      <c r="C14" s="7">
        <v>0.7</v>
      </c>
      <c r="D14" s="5">
        <v>10.39</v>
      </c>
      <c r="E14" s="5">
        <v>149</v>
      </c>
      <c r="F14" s="5">
        <v>168</v>
      </c>
      <c r="G14" s="6">
        <v>44643</v>
      </c>
      <c r="H14" s="5"/>
      <c r="I14" s="5"/>
      <c r="J14" s="5">
        <f t="shared" si="1"/>
        <v>19</v>
      </c>
      <c r="K14" s="8" t="b">
        <f t="shared" si="0"/>
        <v>1</v>
      </c>
    </row>
    <row r="15" spans="1:11">
      <c r="A15" s="5" t="s">
        <v>224</v>
      </c>
      <c r="B15" s="6">
        <v>44646</v>
      </c>
      <c r="C15" s="7">
        <v>0.7</v>
      </c>
      <c r="D15" s="5">
        <v>10.39</v>
      </c>
      <c r="E15" s="5">
        <v>168</v>
      </c>
      <c r="F15" s="5">
        <v>185.5</v>
      </c>
      <c r="G15" s="6">
        <v>44646</v>
      </c>
      <c r="H15" s="5"/>
      <c r="I15" s="5"/>
      <c r="J15" s="5">
        <f t="shared" si="1"/>
        <v>17.5</v>
      </c>
      <c r="K15" s="8" t="b">
        <f t="shared" si="0"/>
        <v>1</v>
      </c>
    </row>
    <row r="16" spans="1:11">
      <c r="A16" s="5" t="s">
        <v>224</v>
      </c>
      <c r="B16" s="6">
        <v>44649</v>
      </c>
      <c r="C16" s="7">
        <v>0.7</v>
      </c>
      <c r="D16" s="5">
        <v>10.39</v>
      </c>
      <c r="E16" s="5">
        <v>185.5</v>
      </c>
      <c r="F16" s="5">
        <v>203.4</v>
      </c>
      <c r="G16" s="6">
        <v>44649</v>
      </c>
      <c r="H16" s="5"/>
      <c r="I16" s="5"/>
      <c r="J16" s="5">
        <f t="shared" si="1"/>
        <v>17.900000000000006</v>
      </c>
      <c r="K16" s="8" t="b">
        <f t="shared" si="0"/>
        <v>1</v>
      </c>
    </row>
    <row r="17" spans="1:11">
      <c r="A17" s="39" t="s">
        <v>224</v>
      </c>
      <c r="B17" s="40"/>
      <c r="C17" s="41"/>
      <c r="D17" s="39"/>
      <c r="E17" s="39"/>
      <c r="F17" s="39"/>
      <c r="G17" s="40"/>
      <c r="H17" s="39"/>
      <c r="I17" s="39"/>
      <c r="J17" s="39">
        <f t="shared" si="1"/>
        <v>0</v>
      </c>
      <c r="K17" s="8" t="b">
        <f t="shared" si="0"/>
        <v>0</v>
      </c>
    </row>
    <row r="18" spans="1:11">
      <c r="A18" s="39" t="s">
        <v>224</v>
      </c>
      <c r="B18" s="40"/>
      <c r="C18" s="41"/>
      <c r="D18" s="39"/>
      <c r="E18" s="39"/>
      <c r="F18" s="39"/>
      <c r="G18" s="40"/>
      <c r="H18" s="39"/>
      <c r="I18" s="39"/>
      <c r="J18" s="39">
        <f t="shared" si="1"/>
        <v>0</v>
      </c>
      <c r="K18" s="8" t="b">
        <f t="shared" si="0"/>
        <v>1</v>
      </c>
    </row>
    <row r="19" spans="1:11">
      <c r="A19" s="39" t="s">
        <v>224</v>
      </c>
      <c r="B19" s="40"/>
      <c r="C19" s="41"/>
      <c r="D19" s="39"/>
      <c r="E19" s="39"/>
      <c r="F19" s="39"/>
      <c r="G19" s="40"/>
      <c r="H19" s="39"/>
      <c r="I19" s="39"/>
      <c r="J19" s="39">
        <f t="shared" si="1"/>
        <v>0</v>
      </c>
      <c r="K19" s="8" t="b">
        <f t="shared" si="0"/>
        <v>1</v>
      </c>
    </row>
    <row r="20" spans="1:11">
      <c r="A20" s="39" t="s">
        <v>224</v>
      </c>
      <c r="B20" s="40"/>
      <c r="C20" s="41"/>
      <c r="D20" s="39"/>
      <c r="E20" s="39"/>
      <c r="F20" s="39"/>
      <c r="G20" s="40"/>
      <c r="H20" s="39"/>
      <c r="I20" s="39"/>
      <c r="J20" s="39">
        <f t="shared" si="1"/>
        <v>0</v>
      </c>
      <c r="K20" s="8" t="b">
        <f t="shared" si="0"/>
        <v>1</v>
      </c>
    </row>
    <row r="21" spans="1:11">
      <c r="A21" s="39" t="s">
        <v>224</v>
      </c>
      <c r="B21" s="40"/>
      <c r="C21" s="41"/>
      <c r="D21" s="39"/>
      <c r="E21" s="39"/>
      <c r="F21" s="39"/>
      <c r="G21" s="40"/>
      <c r="H21" s="39"/>
      <c r="I21" s="39"/>
      <c r="J21" s="39">
        <f t="shared" si="1"/>
        <v>0</v>
      </c>
      <c r="K21" s="8" t="b">
        <f t="shared" si="0"/>
        <v>1</v>
      </c>
    </row>
    <row r="22" spans="1:11">
      <c r="A22" s="5" t="s">
        <v>224</v>
      </c>
      <c r="B22" s="6">
        <v>44674</v>
      </c>
      <c r="C22" s="7">
        <v>0.7</v>
      </c>
      <c r="D22" s="5">
        <v>10.39</v>
      </c>
      <c r="E22" s="5">
        <v>325.60000000000002</v>
      </c>
      <c r="F22" s="5">
        <v>346</v>
      </c>
      <c r="G22" s="6">
        <v>44674</v>
      </c>
      <c r="H22" s="5"/>
      <c r="I22" s="5"/>
      <c r="J22" s="5">
        <f t="shared" ref="J22:J33" si="2">F22-E22</f>
        <v>20.399999999999977</v>
      </c>
      <c r="K22" s="8" t="b">
        <f t="shared" si="0"/>
        <v>0</v>
      </c>
    </row>
    <row r="23" spans="1:11">
      <c r="A23" s="5" t="s">
        <v>224</v>
      </c>
      <c r="B23" s="6">
        <v>44677</v>
      </c>
      <c r="C23" s="7">
        <v>0.7</v>
      </c>
      <c r="D23" s="5">
        <v>10.39</v>
      </c>
      <c r="E23" s="5">
        <v>346</v>
      </c>
      <c r="F23" s="5">
        <v>366.3</v>
      </c>
      <c r="G23" s="6">
        <v>44677</v>
      </c>
      <c r="H23" s="5"/>
      <c r="I23" s="5"/>
      <c r="J23" s="5">
        <f t="shared" si="2"/>
        <v>20.300000000000011</v>
      </c>
      <c r="K23" s="8" t="b">
        <f t="shared" si="0"/>
        <v>1</v>
      </c>
    </row>
    <row r="24" spans="1:11">
      <c r="A24" s="5" t="s">
        <v>224</v>
      </c>
      <c r="B24" s="6">
        <v>44680</v>
      </c>
      <c r="C24" s="7">
        <v>0.7</v>
      </c>
      <c r="D24" s="5">
        <v>10.39</v>
      </c>
      <c r="E24" s="5">
        <v>366.3</v>
      </c>
      <c r="F24" s="5">
        <v>379.7</v>
      </c>
      <c r="G24" s="6">
        <v>44680</v>
      </c>
      <c r="H24" s="5"/>
      <c r="I24" s="5"/>
      <c r="J24" s="5">
        <f t="shared" si="2"/>
        <v>13.399999999999977</v>
      </c>
      <c r="K24" s="8" t="b">
        <f t="shared" si="0"/>
        <v>1</v>
      </c>
    </row>
    <row r="25" spans="1:11">
      <c r="A25" s="5" t="s">
        <v>224</v>
      </c>
      <c r="B25" s="6">
        <v>44681</v>
      </c>
      <c r="C25" s="7">
        <v>0.55000000000000004</v>
      </c>
      <c r="D25" s="5">
        <v>13.22</v>
      </c>
      <c r="E25" s="5">
        <v>379.7</v>
      </c>
      <c r="F25" s="5">
        <v>392.5</v>
      </c>
      <c r="G25" s="6">
        <v>44681</v>
      </c>
      <c r="H25" s="5"/>
      <c r="I25" s="5"/>
      <c r="J25" s="5">
        <f t="shared" si="2"/>
        <v>12.800000000000011</v>
      </c>
      <c r="K25" s="8" t="b">
        <f t="shared" si="0"/>
        <v>1</v>
      </c>
    </row>
    <row r="26" spans="1:11">
      <c r="A26" s="5" t="s">
        <v>224</v>
      </c>
      <c r="B26" s="6">
        <v>44683</v>
      </c>
      <c r="C26" s="7">
        <v>0.55000000000000004</v>
      </c>
      <c r="D26" s="5">
        <v>13.22</v>
      </c>
      <c r="E26" s="5">
        <v>392.5</v>
      </c>
      <c r="F26" s="5">
        <v>405.5</v>
      </c>
      <c r="G26" s="6">
        <v>44683</v>
      </c>
      <c r="H26" s="5"/>
      <c r="I26" s="5"/>
      <c r="J26" s="5">
        <f t="shared" si="2"/>
        <v>13</v>
      </c>
      <c r="K26" s="8" t="b">
        <f t="shared" si="0"/>
        <v>1</v>
      </c>
    </row>
    <row r="27" spans="1:11">
      <c r="A27" s="5" t="s">
        <v>224</v>
      </c>
      <c r="B27" s="6">
        <v>44684</v>
      </c>
      <c r="C27" s="7">
        <v>0.55000000000000004</v>
      </c>
      <c r="D27" s="5">
        <v>13.22</v>
      </c>
      <c r="E27" s="5">
        <v>405.5</v>
      </c>
      <c r="F27" s="5">
        <v>418.5</v>
      </c>
      <c r="G27" s="6">
        <v>44684</v>
      </c>
      <c r="H27" s="5"/>
      <c r="I27" s="5"/>
      <c r="J27" s="5">
        <f t="shared" si="2"/>
        <v>13</v>
      </c>
      <c r="K27" s="8" t="b">
        <f t="shared" si="0"/>
        <v>1</v>
      </c>
    </row>
    <row r="28" spans="1:11">
      <c r="A28" s="5" t="s">
        <v>224</v>
      </c>
      <c r="B28" s="6">
        <v>44686</v>
      </c>
      <c r="C28" s="7">
        <v>0.55000000000000004</v>
      </c>
      <c r="D28" s="5">
        <v>13.22</v>
      </c>
      <c r="E28" s="5">
        <v>418.5</v>
      </c>
      <c r="F28" s="5">
        <v>431.8</v>
      </c>
      <c r="G28" s="6">
        <v>44686</v>
      </c>
      <c r="H28" s="5"/>
      <c r="I28" s="5"/>
      <c r="J28" s="5">
        <f t="shared" si="2"/>
        <v>13.300000000000011</v>
      </c>
      <c r="K28" s="8" t="b">
        <f t="shared" si="0"/>
        <v>1</v>
      </c>
    </row>
    <row r="29" spans="1:11">
      <c r="A29" s="5" t="s">
        <v>224</v>
      </c>
      <c r="B29" s="6">
        <v>44687</v>
      </c>
      <c r="C29" s="7">
        <v>0.55000000000000004</v>
      </c>
      <c r="D29" s="5">
        <v>13.22</v>
      </c>
      <c r="E29" s="5">
        <v>431.8</v>
      </c>
      <c r="F29" s="5">
        <v>444.4</v>
      </c>
      <c r="G29" s="6">
        <v>44687</v>
      </c>
      <c r="H29" s="5"/>
      <c r="I29" s="5"/>
      <c r="J29" s="5">
        <f t="shared" si="2"/>
        <v>12.599999999999966</v>
      </c>
      <c r="K29" s="8" t="b">
        <f>E29=F28</f>
        <v>1</v>
      </c>
    </row>
    <row r="30" spans="1:11">
      <c r="A30" s="5" t="s">
        <v>224</v>
      </c>
      <c r="B30" s="6">
        <v>44690</v>
      </c>
      <c r="C30" s="7">
        <v>0.55000000000000004</v>
      </c>
      <c r="D30" s="5">
        <v>13.22</v>
      </c>
      <c r="E30" s="5">
        <v>444.4</v>
      </c>
      <c r="F30" s="5">
        <v>457.8</v>
      </c>
      <c r="G30" s="6">
        <v>44690</v>
      </c>
      <c r="H30" s="5"/>
      <c r="I30" s="5"/>
      <c r="J30" s="5">
        <f t="shared" si="2"/>
        <v>13.400000000000034</v>
      </c>
      <c r="K30" s="8" t="b">
        <f t="shared" si="0"/>
        <v>1</v>
      </c>
    </row>
    <row r="31" spans="1:11">
      <c r="A31" s="5" t="s">
        <v>224</v>
      </c>
      <c r="B31" s="6">
        <v>44691</v>
      </c>
      <c r="C31" s="7">
        <v>0.55000000000000004</v>
      </c>
      <c r="D31" s="5">
        <v>13.22</v>
      </c>
      <c r="E31" s="5">
        <v>457.8</v>
      </c>
      <c r="F31" s="5">
        <v>470.5</v>
      </c>
      <c r="G31" s="6">
        <v>44691</v>
      </c>
      <c r="H31" s="5"/>
      <c r="I31" s="5"/>
      <c r="J31" s="5">
        <f t="shared" si="2"/>
        <v>12.699999999999989</v>
      </c>
      <c r="K31" s="8" t="b">
        <f t="shared" si="0"/>
        <v>1</v>
      </c>
    </row>
    <row r="32" spans="1:11">
      <c r="A32" s="5" t="s">
        <v>224</v>
      </c>
      <c r="B32" s="6">
        <v>44693</v>
      </c>
      <c r="C32" s="7">
        <v>0.55000000000000004</v>
      </c>
      <c r="D32" s="5">
        <v>13.22</v>
      </c>
      <c r="E32" s="5">
        <v>470.5</v>
      </c>
      <c r="F32" s="5">
        <v>485.5</v>
      </c>
      <c r="G32" s="6">
        <v>44693</v>
      </c>
      <c r="H32" s="5"/>
      <c r="I32" s="5"/>
      <c r="J32" s="5">
        <f t="shared" si="2"/>
        <v>15</v>
      </c>
      <c r="K32" s="8" t="b">
        <f t="shared" si="0"/>
        <v>1</v>
      </c>
    </row>
    <row r="33" spans="1:11">
      <c r="A33" s="5" t="s">
        <v>224</v>
      </c>
      <c r="B33" s="6">
        <v>44694</v>
      </c>
      <c r="C33" s="7">
        <v>0.55000000000000004</v>
      </c>
      <c r="D33" s="5">
        <v>13.22</v>
      </c>
      <c r="E33" s="5">
        <v>485.5</v>
      </c>
      <c r="F33" s="5">
        <v>499.4</v>
      </c>
      <c r="G33" s="6">
        <v>44694</v>
      </c>
      <c r="H33" s="5"/>
      <c r="I33" s="5"/>
      <c r="J33" s="5">
        <f t="shared" si="2"/>
        <v>13.899999999999977</v>
      </c>
      <c r="K33" s="8" t="b">
        <f t="shared" si="0"/>
        <v>1</v>
      </c>
    </row>
    <row r="34" spans="1:11">
      <c r="A34" s="5" t="s">
        <v>224</v>
      </c>
      <c r="B34" s="6"/>
      <c r="C34" s="7"/>
      <c r="D34" s="5"/>
      <c r="E34" s="5"/>
      <c r="F34" s="5"/>
      <c r="G34" s="6"/>
      <c r="H34" s="5"/>
      <c r="I34" s="5"/>
      <c r="J34" s="5"/>
      <c r="K34" s="8" t="b">
        <f t="shared" si="0"/>
        <v>0</v>
      </c>
    </row>
    <row r="36" spans="1:11" ht="26.25">
      <c r="A36" s="126" t="s">
        <v>223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8"/>
    </row>
    <row r="37" spans="1:11" ht="26.25">
      <c r="A37" s="129" t="s">
        <v>17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1"/>
    </row>
    <row r="38" spans="1:11" ht="15.75" thickBot="1"/>
    <row r="39" spans="1:11" ht="15.75" thickBot="1">
      <c r="A39" s="132" t="s">
        <v>2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4"/>
    </row>
    <row r="41" spans="1:11" ht="19.5" thickBot="1">
      <c r="A41" s="1" t="s">
        <v>3</v>
      </c>
      <c r="B41" s="1"/>
      <c r="C41" s="1"/>
      <c r="D41" s="1"/>
      <c r="E41" s="1"/>
      <c r="F41" s="1"/>
      <c r="G41" s="1"/>
      <c r="H41" s="1"/>
      <c r="I41" s="1"/>
    </row>
    <row r="42" spans="1:11" ht="30.75" thickBot="1">
      <c r="A42" s="2" t="s">
        <v>4</v>
      </c>
      <c r="B42" s="3" t="s">
        <v>5</v>
      </c>
      <c r="C42" s="3" t="s">
        <v>6</v>
      </c>
      <c r="D42" s="3" t="s">
        <v>7</v>
      </c>
      <c r="E42" s="3" t="s">
        <v>8</v>
      </c>
      <c r="F42" s="3" t="s">
        <v>9</v>
      </c>
      <c r="G42" s="3" t="s">
        <v>10</v>
      </c>
      <c r="H42" s="3" t="s">
        <v>21</v>
      </c>
      <c r="I42" s="4" t="s">
        <v>22</v>
      </c>
      <c r="J42" s="4" t="s">
        <v>11</v>
      </c>
      <c r="K42" s="4" t="s">
        <v>12</v>
      </c>
    </row>
    <row r="43" spans="1:11">
      <c r="A43" s="5" t="s">
        <v>224</v>
      </c>
      <c r="B43" s="6">
        <v>44902</v>
      </c>
      <c r="C43" s="7">
        <v>1</v>
      </c>
      <c r="D43" s="5">
        <v>7.27</v>
      </c>
      <c r="E43" s="5">
        <v>0</v>
      </c>
      <c r="F43" s="5">
        <v>15</v>
      </c>
      <c r="G43" s="6">
        <v>44902</v>
      </c>
      <c r="H43" s="5"/>
      <c r="I43" s="5"/>
      <c r="J43" s="5">
        <f>F43-E43</f>
        <v>15</v>
      </c>
      <c r="K43" s="8" t="b">
        <f>E43=F24</f>
        <v>0</v>
      </c>
    </row>
    <row r="44" spans="1:11">
      <c r="A44" s="5" t="s">
        <v>224</v>
      </c>
      <c r="B44" s="6">
        <v>44906</v>
      </c>
      <c r="C44" s="7">
        <v>1</v>
      </c>
      <c r="D44" s="5">
        <v>7.27</v>
      </c>
      <c r="E44" s="5">
        <v>15</v>
      </c>
      <c r="F44" s="5">
        <v>28.9</v>
      </c>
      <c r="G44" s="6">
        <v>44906</v>
      </c>
      <c r="H44" s="5"/>
      <c r="I44" s="5"/>
      <c r="J44" s="5">
        <f>F44-E44</f>
        <v>13.899999999999999</v>
      </c>
      <c r="K44" s="8" t="b">
        <f>E44=F43</f>
        <v>1</v>
      </c>
    </row>
    <row r="45" spans="1:11">
      <c r="A45" s="5" t="s">
        <v>224</v>
      </c>
      <c r="B45" s="6">
        <v>44924</v>
      </c>
      <c r="C45" s="7">
        <v>1</v>
      </c>
      <c r="D45" s="5">
        <v>7.27</v>
      </c>
      <c r="E45" s="5">
        <v>28.9</v>
      </c>
      <c r="F45" s="5">
        <v>43.2</v>
      </c>
      <c r="G45" s="6">
        <v>44924</v>
      </c>
      <c r="H45" s="5"/>
      <c r="I45" s="5"/>
      <c r="J45" s="5">
        <f>F45-E45</f>
        <v>14.300000000000004</v>
      </c>
      <c r="K45" s="8" t="b">
        <f t="shared" ref="K45:K54" si="3">E45=F44</f>
        <v>1</v>
      </c>
    </row>
    <row r="46" spans="1:11">
      <c r="A46" s="5" t="s">
        <v>224</v>
      </c>
      <c r="B46" s="6">
        <v>44939</v>
      </c>
      <c r="C46" s="7">
        <v>1</v>
      </c>
      <c r="D46" s="5">
        <v>7.27</v>
      </c>
      <c r="E46" s="5">
        <v>61.4</v>
      </c>
      <c r="F46" s="5">
        <v>75.8</v>
      </c>
      <c r="G46" s="6">
        <v>44939</v>
      </c>
      <c r="H46" s="5"/>
      <c r="I46" s="5"/>
      <c r="J46" s="5">
        <f>F46-E46</f>
        <v>14.399999999999999</v>
      </c>
      <c r="K46" s="8" t="b">
        <f t="shared" si="3"/>
        <v>0</v>
      </c>
    </row>
    <row r="47" spans="1:11">
      <c r="A47" s="5" t="s">
        <v>224</v>
      </c>
      <c r="B47" s="6">
        <v>44957</v>
      </c>
      <c r="C47" s="7">
        <v>0.7</v>
      </c>
      <c r="D47" s="5">
        <v>10.39</v>
      </c>
      <c r="E47" s="5">
        <v>75.8</v>
      </c>
      <c r="F47" s="5">
        <v>97.3</v>
      </c>
      <c r="G47" s="6">
        <v>44958</v>
      </c>
      <c r="H47" s="5"/>
      <c r="I47" s="5"/>
      <c r="J47" s="5">
        <f t="shared" ref="J47:J54" si="4">F47-E47</f>
        <v>21.5</v>
      </c>
      <c r="K47" s="8" t="b">
        <f t="shared" si="3"/>
        <v>1</v>
      </c>
    </row>
    <row r="48" spans="1:11">
      <c r="A48" s="5" t="s">
        <v>224</v>
      </c>
      <c r="B48" s="6">
        <v>44965</v>
      </c>
      <c r="C48" s="7">
        <v>0.7</v>
      </c>
      <c r="D48" s="5">
        <v>10.39</v>
      </c>
      <c r="E48" s="5">
        <v>97.3</v>
      </c>
      <c r="F48" s="5">
        <v>118.3</v>
      </c>
      <c r="G48" s="6">
        <v>44965</v>
      </c>
      <c r="H48" s="5"/>
      <c r="I48" s="5"/>
      <c r="J48" s="5">
        <f t="shared" si="4"/>
        <v>21</v>
      </c>
      <c r="K48" s="8" t="b">
        <f t="shared" si="3"/>
        <v>1</v>
      </c>
    </row>
    <row r="49" spans="1:11">
      <c r="A49" s="5" t="s">
        <v>224</v>
      </c>
      <c r="B49" s="6">
        <v>44968</v>
      </c>
      <c r="C49" s="7">
        <v>0.7</v>
      </c>
      <c r="D49" s="5">
        <v>10.39</v>
      </c>
      <c r="E49" s="5">
        <v>118.3</v>
      </c>
      <c r="F49" s="5">
        <v>138.19999999999999</v>
      </c>
      <c r="G49" s="6">
        <v>44968</v>
      </c>
      <c r="H49" s="5"/>
      <c r="I49" s="5"/>
      <c r="J49" s="5">
        <f t="shared" si="4"/>
        <v>19.899999999999991</v>
      </c>
      <c r="K49" s="8" t="b">
        <f t="shared" si="3"/>
        <v>1</v>
      </c>
    </row>
    <row r="50" spans="1:11">
      <c r="A50" s="5" t="s">
        <v>224</v>
      </c>
      <c r="B50" s="6">
        <v>44973</v>
      </c>
      <c r="C50" s="7">
        <v>0.7</v>
      </c>
      <c r="D50" s="5">
        <v>10.39</v>
      </c>
      <c r="E50" s="5">
        <v>138.19999999999999</v>
      </c>
      <c r="F50" s="5">
        <v>156.30000000000001</v>
      </c>
      <c r="G50" s="6">
        <v>44973</v>
      </c>
      <c r="H50" s="5"/>
      <c r="I50" s="5"/>
      <c r="J50" s="5">
        <f t="shared" si="4"/>
        <v>18.100000000000023</v>
      </c>
      <c r="K50" s="8" t="b">
        <f t="shared" si="3"/>
        <v>1</v>
      </c>
    </row>
    <row r="51" spans="1:11">
      <c r="A51" s="5" t="s">
        <v>224</v>
      </c>
      <c r="B51" s="6">
        <v>44975</v>
      </c>
      <c r="C51" s="7">
        <v>0.6</v>
      </c>
      <c r="D51" s="5">
        <v>12.12</v>
      </c>
      <c r="E51" s="5">
        <v>156.30000000000001</v>
      </c>
      <c r="F51" s="5">
        <v>184.4</v>
      </c>
      <c r="G51" s="6">
        <v>45005</v>
      </c>
      <c r="H51" s="5"/>
      <c r="I51" s="5"/>
      <c r="J51" s="5">
        <f t="shared" si="4"/>
        <v>28.099999999999994</v>
      </c>
      <c r="K51" s="8" t="b">
        <f t="shared" si="3"/>
        <v>1</v>
      </c>
    </row>
    <row r="52" spans="1:11">
      <c r="A52" s="5" t="s">
        <v>224</v>
      </c>
      <c r="B52" s="6">
        <v>44978</v>
      </c>
      <c r="C52" s="7">
        <v>0.7</v>
      </c>
      <c r="D52" s="5">
        <v>10.39</v>
      </c>
      <c r="E52" s="5">
        <v>184.4</v>
      </c>
      <c r="F52" s="5">
        <v>204</v>
      </c>
      <c r="G52" s="6">
        <v>45007</v>
      </c>
      <c r="H52" s="5"/>
      <c r="I52" s="5"/>
      <c r="J52" s="5">
        <f t="shared" si="4"/>
        <v>19.599999999999994</v>
      </c>
      <c r="K52" s="8" t="b">
        <f t="shared" si="3"/>
        <v>1</v>
      </c>
    </row>
    <row r="53" spans="1:11">
      <c r="A53" s="5" t="s">
        <v>224</v>
      </c>
      <c r="B53" s="6">
        <v>44992</v>
      </c>
      <c r="C53" s="7">
        <v>0.6</v>
      </c>
      <c r="D53" s="5">
        <v>12.12</v>
      </c>
      <c r="E53" s="5">
        <v>204</v>
      </c>
      <c r="F53" s="5">
        <v>231</v>
      </c>
      <c r="G53" s="6">
        <v>44993</v>
      </c>
      <c r="H53" s="5"/>
      <c r="I53" s="5"/>
      <c r="J53" s="5">
        <f t="shared" si="4"/>
        <v>27</v>
      </c>
      <c r="K53" s="8" t="b">
        <f t="shared" si="3"/>
        <v>1</v>
      </c>
    </row>
    <row r="54" spans="1:11">
      <c r="A54" s="5" t="s">
        <v>224</v>
      </c>
      <c r="B54" s="6">
        <v>45000</v>
      </c>
      <c r="C54" s="7">
        <v>0.6</v>
      </c>
      <c r="D54" s="5">
        <v>12.12</v>
      </c>
      <c r="E54" s="5">
        <v>231</v>
      </c>
      <c r="F54" s="5">
        <v>252.7</v>
      </c>
      <c r="G54" s="6">
        <v>45000</v>
      </c>
      <c r="H54" s="5"/>
      <c r="I54" s="5"/>
      <c r="J54" s="5">
        <f t="shared" si="4"/>
        <v>21.699999999999989</v>
      </c>
      <c r="K54" s="8" t="b">
        <f t="shared" si="3"/>
        <v>1</v>
      </c>
    </row>
    <row r="55" spans="1:11">
      <c r="A55" s="5" t="s">
        <v>224</v>
      </c>
      <c r="B55" s="6">
        <v>45003</v>
      </c>
      <c r="C55" s="7">
        <v>0.65</v>
      </c>
      <c r="D55" s="5">
        <v>11.18</v>
      </c>
      <c r="E55" s="5">
        <v>252.7</v>
      </c>
      <c r="F55" s="5">
        <v>274.7</v>
      </c>
      <c r="G55" s="6">
        <v>45003</v>
      </c>
      <c r="H55" s="5"/>
      <c r="I55" s="5"/>
      <c r="J55" s="5">
        <f t="shared" ref="J55:J59" si="5">F55-E55</f>
        <v>22</v>
      </c>
      <c r="K55" s="8" t="b">
        <f t="shared" ref="K55:K59" si="6">E55=F54</f>
        <v>1</v>
      </c>
    </row>
    <row r="56" spans="1:11">
      <c r="A56" s="5" t="s">
        <v>224</v>
      </c>
      <c r="B56" s="6">
        <v>45010</v>
      </c>
      <c r="C56" s="7">
        <v>0.65</v>
      </c>
      <c r="D56" s="5">
        <v>11.18</v>
      </c>
      <c r="E56" s="5">
        <v>274.7</v>
      </c>
      <c r="F56" s="5"/>
      <c r="G56" s="6"/>
      <c r="H56" s="5"/>
      <c r="I56" s="5"/>
      <c r="J56" s="5">
        <f t="shared" si="5"/>
        <v>-274.7</v>
      </c>
      <c r="K56" s="8" t="b">
        <f t="shared" si="6"/>
        <v>1</v>
      </c>
    </row>
    <row r="57" spans="1:11">
      <c r="A57" s="5" t="s">
        <v>224</v>
      </c>
      <c r="B57" s="6"/>
      <c r="C57" s="7"/>
      <c r="D57" s="5"/>
      <c r="E57" s="5"/>
      <c r="F57" s="5"/>
      <c r="G57" s="6"/>
      <c r="H57" s="5"/>
      <c r="I57" s="5"/>
      <c r="J57" s="5">
        <f t="shared" si="5"/>
        <v>0</v>
      </c>
      <c r="K57" s="8" t="b">
        <f t="shared" si="6"/>
        <v>1</v>
      </c>
    </row>
    <row r="58" spans="1:11">
      <c r="A58" s="5" t="s">
        <v>224</v>
      </c>
      <c r="B58" s="6"/>
      <c r="C58" s="7"/>
      <c r="D58" s="5"/>
      <c r="E58" s="5"/>
      <c r="F58" s="5"/>
      <c r="G58" s="6"/>
      <c r="H58" s="5"/>
      <c r="I58" s="5"/>
      <c r="J58" s="5">
        <f t="shared" si="5"/>
        <v>0</v>
      </c>
      <c r="K58" s="8" t="b">
        <f t="shared" si="6"/>
        <v>1</v>
      </c>
    </row>
    <row r="59" spans="1:11">
      <c r="A59" s="5" t="s">
        <v>224</v>
      </c>
      <c r="B59" s="6"/>
      <c r="C59" s="7"/>
      <c r="D59" s="5"/>
      <c r="E59" s="5"/>
      <c r="F59" s="5"/>
      <c r="G59" s="6"/>
      <c r="H59" s="5"/>
      <c r="I59" s="5"/>
      <c r="J59" s="5">
        <f t="shared" si="5"/>
        <v>0</v>
      </c>
      <c r="K59" s="8" t="b">
        <f t="shared" si="6"/>
        <v>1</v>
      </c>
    </row>
    <row r="60" spans="1:11" ht="26.25">
      <c r="A60" s="135" t="s">
        <v>223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7"/>
    </row>
    <row r="61" spans="1:11" ht="26.25">
      <c r="A61" s="138" t="s">
        <v>225</v>
      </c>
      <c r="B61" s="139"/>
      <c r="C61" s="139"/>
      <c r="D61" s="139"/>
      <c r="E61" s="139"/>
      <c r="F61" s="139"/>
      <c r="G61" s="139"/>
      <c r="H61" s="139"/>
      <c r="I61" s="139"/>
      <c r="J61" s="139"/>
      <c r="K61" s="140"/>
    </row>
    <row r="63" spans="1:11">
      <c r="A63" s="132" t="s">
        <v>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4"/>
    </row>
    <row r="65" spans="1:11" ht="18.75">
      <c r="A65" s="1" t="s">
        <v>3</v>
      </c>
      <c r="B65" s="1"/>
      <c r="C65" s="1"/>
      <c r="D65" s="1"/>
      <c r="E65" s="1"/>
      <c r="F65" s="1"/>
      <c r="G65" s="1"/>
      <c r="H65" s="1"/>
      <c r="I65" s="1"/>
    </row>
    <row r="66" spans="1:11" ht="30">
      <c r="A66" s="2" t="s">
        <v>4</v>
      </c>
      <c r="B66" s="3" t="s">
        <v>5</v>
      </c>
      <c r="C66" s="3" t="s">
        <v>6</v>
      </c>
      <c r="D66" s="3" t="s">
        <v>7</v>
      </c>
      <c r="E66" s="3" t="s">
        <v>8</v>
      </c>
      <c r="F66" s="3" t="s">
        <v>9</v>
      </c>
      <c r="G66" s="3" t="s">
        <v>10</v>
      </c>
      <c r="H66" s="3" t="s">
        <v>21</v>
      </c>
      <c r="I66" s="4" t="s">
        <v>22</v>
      </c>
      <c r="J66" s="4" t="s">
        <v>11</v>
      </c>
      <c r="K66" s="4" t="s">
        <v>12</v>
      </c>
    </row>
    <row r="67" spans="1:11">
      <c r="A67" s="5" t="s">
        <v>224</v>
      </c>
      <c r="B67" s="6" t="s">
        <v>137</v>
      </c>
      <c r="C67" s="7">
        <v>0.8</v>
      </c>
      <c r="D67" s="5">
        <v>9.09</v>
      </c>
      <c r="E67" s="5">
        <v>216.1</v>
      </c>
      <c r="F67" s="5">
        <v>234.5</v>
      </c>
      <c r="G67" s="6" t="s">
        <v>137</v>
      </c>
      <c r="H67" s="5"/>
      <c r="I67" s="5"/>
      <c r="J67" s="5">
        <f>F67-E67</f>
        <v>18.400000000000006</v>
      </c>
      <c r="K67" s="8" t="b">
        <f>E67=F48</f>
        <v>0</v>
      </c>
    </row>
    <row r="68" spans="1:11">
      <c r="A68" s="5" t="s">
        <v>224</v>
      </c>
      <c r="B68" s="6" t="s">
        <v>97</v>
      </c>
      <c r="C68" s="7">
        <v>1</v>
      </c>
      <c r="D68" s="5">
        <v>7.27</v>
      </c>
      <c r="E68" s="5">
        <v>234.5</v>
      </c>
      <c r="F68" s="5">
        <v>248.8</v>
      </c>
      <c r="G68" s="6" t="s">
        <v>97</v>
      </c>
      <c r="H68" s="5"/>
      <c r="I68" s="5"/>
      <c r="J68" s="5">
        <f t="shared" ref="J68:J83" si="7">F68-E68</f>
        <v>14.300000000000011</v>
      </c>
      <c r="K68" s="8" t="b">
        <f>E68=F67</f>
        <v>1</v>
      </c>
    </row>
    <row r="69" spans="1:11">
      <c r="A69" s="5" t="s">
        <v>224</v>
      </c>
      <c r="B69" s="6">
        <v>45078</v>
      </c>
      <c r="C69" s="7">
        <v>1</v>
      </c>
      <c r="D69" s="5">
        <v>7.27</v>
      </c>
      <c r="E69" s="5">
        <v>248.8</v>
      </c>
      <c r="F69" s="5">
        <v>263.3</v>
      </c>
      <c r="G69" s="6">
        <v>45078</v>
      </c>
      <c r="H69" s="5"/>
      <c r="I69" s="5"/>
      <c r="J69" s="5">
        <f t="shared" si="7"/>
        <v>14.5</v>
      </c>
      <c r="K69" s="8" t="b">
        <f t="shared" ref="K69:K83" si="8">E69=F68</f>
        <v>1</v>
      </c>
    </row>
    <row r="70" spans="1:11">
      <c r="A70" s="5" t="s">
        <v>224</v>
      </c>
      <c r="B70" s="6">
        <v>45090</v>
      </c>
      <c r="C70" s="7">
        <v>0.5</v>
      </c>
      <c r="D70" s="5">
        <v>14.54</v>
      </c>
      <c r="E70" s="5">
        <v>263.3</v>
      </c>
      <c r="F70" s="5">
        <v>278.10000000000002</v>
      </c>
      <c r="G70" s="6">
        <v>45090</v>
      </c>
      <c r="H70" s="5"/>
      <c r="I70" s="5"/>
      <c r="J70" s="5">
        <f t="shared" si="7"/>
        <v>14.800000000000011</v>
      </c>
      <c r="K70" s="8" t="b">
        <f t="shared" si="8"/>
        <v>1</v>
      </c>
    </row>
    <row r="71" spans="1:11">
      <c r="A71" s="5" t="s">
        <v>224</v>
      </c>
      <c r="B71" s="6">
        <v>45091</v>
      </c>
      <c r="C71" s="7">
        <v>0.5</v>
      </c>
      <c r="D71" s="5">
        <v>14.54</v>
      </c>
      <c r="E71" s="5">
        <v>278.10000000000002</v>
      </c>
      <c r="F71" s="5">
        <v>292.5</v>
      </c>
      <c r="G71" s="6">
        <v>45091</v>
      </c>
      <c r="H71" s="5"/>
      <c r="I71" s="5"/>
      <c r="J71" s="5">
        <f t="shared" si="7"/>
        <v>14.399999999999977</v>
      </c>
      <c r="K71" s="8" t="b">
        <f t="shared" si="8"/>
        <v>1</v>
      </c>
    </row>
    <row r="72" spans="1:11">
      <c r="A72" s="5" t="s">
        <v>224</v>
      </c>
      <c r="B72" s="6">
        <v>45100</v>
      </c>
      <c r="C72" s="7">
        <v>0.5</v>
      </c>
      <c r="D72" s="5">
        <v>14.54</v>
      </c>
      <c r="E72" s="5">
        <v>292.5</v>
      </c>
      <c r="F72" s="5">
        <v>321</v>
      </c>
      <c r="G72" s="6">
        <v>45100</v>
      </c>
      <c r="H72" s="5"/>
      <c r="I72" s="5"/>
      <c r="J72" s="5">
        <f t="shared" si="7"/>
        <v>28.5</v>
      </c>
      <c r="K72" s="8" t="b">
        <f t="shared" si="8"/>
        <v>1</v>
      </c>
    </row>
    <row r="73" spans="1:11">
      <c r="A73" s="5" t="s">
        <v>224</v>
      </c>
      <c r="B73" s="6">
        <v>45107</v>
      </c>
      <c r="C73" s="7">
        <v>0.5</v>
      </c>
      <c r="D73" s="5">
        <v>14.54</v>
      </c>
      <c r="E73" s="5">
        <v>321</v>
      </c>
      <c r="F73" s="5">
        <v>335.6</v>
      </c>
      <c r="G73" s="6">
        <v>45107</v>
      </c>
      <c r="H73" s="5"/>
      <c r="I73" s="5"/>
      <c r="J73" s="5">
        <f t="shared" si="7"/>
        <v>14.600000000000023</v>
      </c>
      <c r="K73" s="8" t="b">
        <f t="shared" si="8"/>
        <v>1</v>
      </c>
    </row>
    <row r="74" spans="1:11">
      <c r="A74" s="5" t="s">
        <v>224</v>
      </c>
      <c r="B74" s="6">
        <v>45108</v>
      </c>
      <c r="C74" s="7">
        <v>0.5</v>
      </c>
      <c r="D74" s="5">
        <v>14.54</v>
      </c>
      <c r="E74" s="5">
        <v>335.6</v>
      </c>
      <c r="F74" s="5">
        <v>349.6</v>
      </c>
      <c r="G74" s="6">
        <v>45108</v>
      </c>
      <c r="H74" s="5"/>
      <c r="I74" s="5"/>
      <c r="J74" s="5">
        <f t="shared" si="7"/>
        <v>14</v>
      </c>
      <c r="K74" s="8" t="b">
        <f t="shared" si="8"/>
        <v>1</v>
      </c>
    </row>
    <row r="75" spans="1:11">
      <c r="A75" s="5" t="s">
        <v>224</v>
      </c>
      <c r="B75" s="6">
        <v>45113</v>
      </c>
      <c r="C75" s="7">
        <v>0.7</v>
      </c>
      <c r="D75" s="5">
        <v>10.39</v>
      </c>
      <c r="E75" s="5">
        <v>349.6</v>
      </c>
      <c r="F75" s="5">
        <v>360.1</v>
      </c>
      <c r="G75" s="6">
        <v>45113</v>
      </c>
      <c r="H75" s="5"/>
      <c r="I75" s="5"/>
      <c r="J75" s="5">
        <f t="shared" si="7"/>
        <v>10.5</v>
      </c>
      <c r="K75" s="8" t="b">
        <f t="shared" si="8"/>
        <v>1</v>
      </c>
    </row>
    <row r="76" spans="1:11">
      <c r="A76" s="5" t="s">
        <v>224</v>
      </c>
      <c r="B76" s="6">
        <v>45114</v>
      </c>
      <c r="C76" s="7">
        <v>0.7</v>
      </c>
      <c r="D76" s="5">
        <v>10.39</v>
      </c>
      <c r="E76" s="5">
        <v>360.1</v>
      </c>
      <c r="F76" s="5">
        <v>370.8</v>
      </c>
      <c r="G76" s="6">
        <v>45084</v>
      </c>
      <c r="H76" s="5"/>
      <c r="I76" s="5"/>
      <c r="J76" s="5">
        <f t="shared" si="7"/>
        <v>10.699999999999989</v>
      </c>
      <c r="K76" s="8" t="b">
        <f t="shared" si="8"/>
        <v>1</v>
      </c>
    </row>
    <row r="77" spans="1:11">
      <c r="A77" s="5" t="s">
        <v>224</v>
      </c>
      <c r="B77" s="6">
        <v>45115</v>
      </c>
      <c r="C77" s="7">
        <v>1</v>
      </c>
      <c r="D77" s="5">
        <v>7.27</v>
      </c>
      <c r="E77" s="5">
        <v>370.8</v>
      </c>
      <c r="F77" s="5">
        <v>385.6</v>
      </c>
      <c r="G77" s="6">
        <v>45115</v>
      </c>
      <c r="H77" s="5"/>
      <c r="I77" s="5"/>
      <c r="J77" s="5">
        <f t="shared" si="7"/>
        <v>14.800000000000011</v>
      </c>
      <c r="K77" s="8" t="b">
        <f t="shared" si="8"/>
        <v>1</v>
      </c>
    </row>
    <row r="78" spans="1:11">
      <c r="A78" s="5" t="s">
        <v>224</v>
      </c>
      <c r="B78" s="6">
        <v>45116</v>
      </c>
      <c r="C78" s="7">
        <v>1</v>
      </c>
      <c r="D78" s="5">
        <v>7.27</v>
      </c>
      <c r="E78" s="5">
        <v>385.6</v>
      </c>
      <c r="F78" s="5">
        <v>400.1</v>
      </c>
      <c r="G78" s="6">
        <v>45116</v>
      </c>
      <c r="H78" s="5"/>
      <c r="I78" s="5"/>
      <c r="J78" s="5">
        <f t="shared" si="7"/>
        <v>14.5</v>
      </c>
      <c r="K78" s="8" t="b">
        <f t="shared" si="8"/>
        <v>1</v>
      </c>
    </row>
    <row r="79" spans="1:11">
      <c r="A79" s="5" t="s">
        <v>224</v>
      </c>
      <c r="B79" s="6">
        <v>45117</v>
      </c>
      <c r="C79" s="7">
        <v>1</v>
      </c>
      <c r="D79" s="5">
        <v>7.27</v>
      </c>
      <c r="E79" s="5">
        <v>400.1</v>
      </c>
      <c r="F79" s="5">
        <v>414.7</v>
      </c>
      <c r="G79" s="6">
        <v>45117</v>
      </c>
      <c r="H79" s="5"/>
      <c r="I79" s="5"/>
      <c r="J79" s="5">
        <f t="shared" si="7"/>
        <v>14.599999999999966</v>
      </c>
      <c r="K79" s="8" t="b">
        <f t="shared" si="8"/>
        <v>1</v>
      </c>
    </row>
    <row r="80" spans="1:11">
      <c r="A80" s="5" t="s">
        <v>226</v>
      </c>
      <c r="B80" s="6">
        <v>45120</v>
      </c>
      <c r="C80" s="7">
        <v>1</v>
      </c>
      <c r="D80" s="5">
        <v>7.27</v>
      </c>
      <c r="E80" s="5">
        <v>414.7</v>
      </c>
      <c r="F80" s="5">
        <v>422.1</v>
      </c>
      <c r="G80" s="6">
        <v>45120</v>
      </c>
      <c r="H80" s="5"/>
      <c r="I80" s="5"/>
      <c r="J80" s="5">
        <f t="shared" si="7"/>
        <v>7.4000000000000341</v>
      </c>
      <c r="K80" s="8" t="b">
        <f t="shared" si="8"/>
        <v>1</v>
      </c>
    </row>
    <row r="81" spans="1:11">
      <c r="A81" s="5" t="s">
        <v>227</v>
      </c>
      <c r="B81" s="6">
        <v>45121</v>
      </c>
      <c r="C81" s="7">
        <v>1</v>
      </c>
      <c r="D81" s="5">
        <v>7.27</v>
      </c>
      <c r="E81" s="5">
        <v>422.1</v>
      </c>
      <c r="F81" s="5">
        <v>436.8</v>
      </c>
      <c r="G81" s="6">
        <v>45121</v>
      </c>
      <c r="H81" s="5"/>
      <c r="I81" s="5"/>
      <c r="J81" s="5">
        <f t="shared" si="7"/>
        <v>14.699999999999989</v>
      </c>
      <c r="K81" s="8" t="b">
        <f t="shared" si="8"/>
        <v>1</v>
      </c>
    </row>
    <row r="82" spans="1:11">
      <c r="A82" s="5" t="s">
        <v>227</v>
      </c>
      <c r="B82" s="6">
        <v>45122</v>
      </c>
      <c r="C82" s="7">
        <v>1</v>
      </c>
      <c r="D82" s="5">
        <v>7.27</v>
      </c>
      <c r="E82" s="5">
        <v>436.8</v>
      </c>
      <c r="F82" s="5">
        <v>451.3</v>
      </c>
      <c r="G82" s="6">
        <v>45122</v>
      </c>
      <c r="H82" s="5"/>
      <c r="I82" s="5"/>
      <c r="J82" s="5">
        <f t="shared" si="7"/>
        <v>14.5</v>
      </c>
      <c r="K82" s="8" t="b">
        <f t="shared" si="8"/>
        <v>1</v>
      </c>
    </row>
    <row r="83" spans="1:11">
      <c r="A83" s="5" t="s">
        <v>227</v>
      </c>
      <c r="B83" s="6">
        <v>45123</v>
      </c>
      <c r="C83" s="7">
        <v>1</v>
      </c>
      <c r="D83" s="5">
        <v>7.27</v>
      </c>
      <c r="E83" s="5">
        <v>451.3</v>
      </c>
      <c r="F83" s="5">
        <v>466.2</v>
      </c>
      <c r="G83" s="6">
        <v>45123</v>
      </c>
      <c r="H83" s="5"/>
      <c r="I83" s="5"/>
      <c r="J83" s="5">
        <f t="shared" si="7"/>
        <v>14.899999999999977</v>
      </c>
      <c r="K83" s="8" t="b">
        <f t="shared" si="8"/>
        <v>1</v>
      </c>
    </row>
    <row r="84" spans="1:11">
      <c r="A84" s="5" t="s">
        <v>227</v>
      </c>
      <c r="B84" s="6">
        <v>45124</v>
      </c>
      <c r="C84" s="7">
        <v>1</v>
      </c>
      <c r="D84" s="5">
        <v>7.27</v>
      </c>
      <c r="E84" s="5">
        <v>466.2</v>
      </c>
      <c r="F84" s="5">
        <v>480.4</v>
      </c>
      <c r="G84" s="6">
        <v>45124</v>
      </c>
      <c r="H84" s="5"/>
      <c r="I84" s="5"/>
      <c r="J84" s="5">
        <f t="shared" ref="J84:J89" si="9">F84-E84</f>
        <v>14.199999999999989</v>
      </c>
      <c r="K84" s="8" t="b">
        <f t="shared" ref="K84:K89" si="10">E84=F83</f>
        <v>1</v>
      </c>
    </row>
    <row r="85" spans="1:11">
      <c r="A85" s="5" t="s">
        <v>227</v>
      </c>
      <c r="B85" s="6">
        <v>45125</v>
      </c>
      <c r="C85" s="7">
        <v>1</v>
      </c>
      <c r="D85" s="5">
        <v>7.27</v>
      </c>
      <c r="E85" s="5">
        <v>480.4</v>
      </c>
      <c r="F85" s="5">
        <v>495.4</v>
      </c>
      <c r="G85" s="6">
        <v>45125</v>
      </c>
      <c r="H85" s="5"/>
      <c r="I85" s="5"/>
      <c r="J85" s="5">
        <f t="shared" si="9"/>
        <v>15</v>
      </c>
      <c r="K85" s="8" t="b">
        <f t="shared" si="10"/>
        <v>1</v>
      </c>
    </row>
    <row r="86" spans="1:11">
      <c r="A86" s="5" t="s">
        <v>227</v>
      </c>
      <c r="B86" s="6">
        <v>45126</v>
      </c>
      <c r="C86" s="7">
        <v>1</v>
      </c>
      <c r="D86" s="5">
        <v>7.27</v>
      </c>
      <c r="E86" s="5">
        <v>495.4</v>
      </c>
      <c r="F86" s="5">
        <v>510.2</v>
      </c>
      <c r="G86" s="6">
        <v>45126</v>
      </c>
      <c r="H86" s="5"/>
      <c r="I86" s="5"/>
      <c r="J86" s="5">
        <f t="shared" si="9"/>
        <v>14.800000000000011</v>
      </c>
      <c r="K86" s="8" t="b">
        <f t="shared" si="10"/>
        <v>1</v>
      </c>
    </row>
    <row r="87" spans="1:11">
      <c r="A87" s="5" t="s">
        <v>227</v>
      </c>
      <c r="B87" s="6">
        <v>45127</v>
      </c>
      <c r="C87" s="7">
        <v>1</v>
      </c>
      <c r="D87" s="5">
        <v>7.27</v>
      </c>
      <c r="E87" s="5">
        <v>510.2</v>
      </c>
      <c r="F87" s="5">
        <v>524.79999999999995</v>
      </c>
      <c r="G87" s="6">
        <v>45127</v>
      </c>
      <c r="H87" s="5"/>
      <c r="I87" s="5"/>
      <c r="J87" s="5">
        <f t="shared" si="9"/>
        <v>14.599999999999966</v>
      </c>
      <c r="K87" s="8" t="b">
        <f t="shared" si="10"/>
        <v>1</v>
      </c>
    </row>
    <row r="88" spans="1:11">
      <c r="A88" s="5" t="s">
        <v>227</v>
      </c>
      <c r="B88" s="6">
        <v>45128</v>
      </c>
      <c r="C88" s="7">
        <v>1</v>
      </c>
      <c r="D88" s="5">
        <v>7.27</v>
      </c>
      <c r="E88" s="5">
        <v>524.79999999999995</v>
      </c>
      <c r="F88" s="5">
        <v>539.29999999999995</v>
      </c>
      <c r="G88" s="6">
        <v>45128</v>
      </c>
      <c r="H88" s="5"/>
      <c r="I88" s="5"/>
      <c r="J88" s="5">
        <f t="shared" si="9"/>
        <v>14.5</v>
      </c>
      <c r="K88" s="8" t="b">
        <f t="shared" si="10"/>
        <v>1</v>
      </c>
    </row>
    <row r="89" spans="1:11">
      <c r="A89" s="5" t="s">
        <v>227</v>
      </c>
      <c r="B89" s="6">
        <v>45129</v>
      </c>
      <c r="C89" s="7">
        <v>1</v>
      </c>
      <c r="D89" s="5">
        <v>7.27</v>
      </c>
      <c r="E89" s="5">
        <v>539.29999999999995</v>
      </c>
      <c r="F89" s="5">
        <v>553.9</v>
      </c>
      <c r="G89" s="6">
        <v>45129</v>
      </c>
      <c r="H89" s="5"/>
      <c r="I89" s="5"/>
      <c r="J89" s="5">
        <f t="shared" si="9"/>
        <v>14.600000000000023</v>
      </c>
      <c r="K89" s="8" t="b">
        <f t="shared" si="10"/>
        <v>1</v>
      </c>
    </row>
    <row r="90" spans="1:11">
      <c r="A90" s="5" t="s">
        <v>227</v>
      </c>
      <c r="B90" s="6">
        <v>45130</v>
      </c>
      <c r="C90" s="7">
        <v>1</v>
      </c>
      <c r="D90" s="5">
        <v>7.27</v>
      </c>
      <c r="E90" s="5">
        <v>553.9</v>
      </c>
      <c r="F90" s="5">
        <v>568.4</v>
      </c>
      <c r="G90" s="6">
        <v>45130</v>
      </c>
      <c r="H90" s="5"/>
      <c r="I90" s="5"/>
      <c r="J90" s="5">
        <f t="shared" ref="J90:J97" si="11">F90-E90</f>
        <v>14.5</v>
      </c>
      <c r="K90" s="8" t="b">
        <f t="shared" ref="K90:K97" si="12">E90=F89</f>
        <v>1</v>
      </c>
    </row>
    <row r="91" spans="1:11">
      <c r="A91" s="5" t="s">
        <v>227</v>
      </c>
      <c r="B91" s="6">
        <v>45131</v>
      </c>
      <c r="C91" s="7">
        <v>1</v>
      </c>
      <c r="D91" s="5">
        <v>7.27</v>
      </c>
      <c r="E91" s="5">
        <v>568.4</v>
      </c>
      <c r="F91" s="5">
        <v>582.9</v>
      </c>
      <c r="G91" s="6">
        <v>45131</v>
      </c>
      <c r="H91" s="5"/>
      <c r="I91" s="5"/>
      <c r="J91" s="5">
        <f t="shared" si="11"/>
        <v>14.5</v>
      </c>
      <c r="K91" s="8" t="b">
        <f t="shared" si="12"/>
        <v>1</v>
      </c>
    </row>
    <row r="92" spans="1:11">
      <c r="A92" s="5" t="s">
        <v>227</v>
      </c>
      <c r="B92" s="6">
        <v>45133</v>
      </c>
      <c r="C92" s="7">
        <v>1</v>
      </c>
      <c r="D92" s="5">
        <v>7.27</v>
      </c>
      <c r="E92" s="5">
        <v>582.9</v>
      </c>
      <c r="F92" s="5">
        <v>597.29999999999995</v>
      </c>
      <c r="G92" s="6">
        <v>45133</v>
      </c>
      <c r="H92" s="5"/>
      <c r="I92" s="5"/>
      <c r="J92" s="5">
        <f t="shared" si="11"/>
        <v>14.399999999999977</v>
      </c>
      <c r="K92" s="8" t="b">
        <f t="shared" si="12"/>
        <v>1</v>
      </c>
    </row>
    <row r="93" spans="1:11">
      <c r="A93" s="5" t="s">
        <v>227</v>
      </c>
      <c r="B93" s="6">
        <v>45136</v>
      </c>
      <c r="C93" s="7">
        <v>1</v>
      </c>
      <c r="D93" s="5">
        <v>7.27</v>
      </c>
      <c r="E93" s="5">
        <v>597.29999999999995</v>
      </c>
      <c r="F93" s="5">
        <v>612.20000000000005</v>
      </c>
      <c r="G93" s="6">
        <v>45136</v>
      </c>
      <c r="H93" s="5"/>
      <c r="I93" s="5"/>
      <c r="J93" s="5">
        <f t="shared" si="11"/>
        <v>14.900000000000091</v>
      </c>
      <c r="K93" s="8" t="b">
        <f t="shared" si="12"/>
        <v>1</v>
      </c>
    </row>
    <row r="94" spans="1:11">
      <c r="A94" s="5" t="s">
        <v>227</v>
      </c>
      <c r="B94" s="6">
        <v>45139</v>
      </c>
      <c r="C94" s="7">
        <v>1</v>
      </c>
      <c r="D94" s="5">
        <v>7.27</v>
      </c>
      <c r="E94" s="5">
        <v>612.20000000000005</v>
      </c>
      <c r="F94" s="5">
        <v>626.79999999999995</v>
      </c>
      <c r="G94" s="6">
        <v>45139</v>
      </c>
      <c r="H94" s="5"/>
      <c r="I94" s="5"/>
      <c r="J94" s="5">
        <f t="shared" si="11"/>
        <v>14.599999999999909</v>
      </c>
      <c r="K94" s="8" t="b">
        <f t="shared" si="12"/>
        <v>1</v>
      </c>
    </row>
    <row r="95" spans="1:11">
      <c r="A95" s="80" t="s">
        <v>227</v>
      </c>
      <c r="B95" s="81">
        <v>45142</v>
      </c>
      <c r="C95" s="82">
        <v>1</v>
      </c>
      <c r="D95" s="80">
        <v>7.27</v>
      </c>
      <c r="E95" s="80">
        <v>626.79999999999995</v>
      </c>
      <c r="F95" s="80">
        <v>641.29999999999995</v>
      </c>
      <c r="G95" s="81">
        <v>45142</v>
      </c>
      <c r="H95" s="80"/>
      <c r="I95" s="80"/>
      <c r="J95" s="80">
        <f t="shared" si="11"/>
        <v>14.5</v>
      </c>
      <c r="K95" s="8" t="b">
        <f t="shared" si="12"/>
        <v>1</v>
      </c>
    </row>
    <row r="96" spans="1:11">
      <c r="A96" s="5" t="s">
        <v>227</v>
      </c>
      <c r="B96" s="6">
        <v>45143</v>
      </c>
      <c r="C96" s="7">
        <v>1</v>
      </c>
      <c r="D96" s="5">
        <v>7.27</v>
      </c>
      <c r="E96" s="5">
        <v>641.29999999999995</v>
      </c>
      <c r="F96" s="5">
        <v>655.9</v>
      </c>
      <c r="G96" s="6">
        <v>45143</v>
      </c>
      <c r="H96" s="5"/>
      <c r="I96" s="5"/>
      <c r="J96" s="5">
        <f t="shared" si="11"/>
        <v>14.600000000000023</v>
      </c>
      <c r="K96" s="8" t="b">
        <f t="shared" si="12"/>
        <v>1</v>
      </c>
    </row>
    <row r="97" spans="1:11">
      <c r="A97" s="5" t="s">
        <v>227</v>
      </c>
      <c r="B97" s="6">
        <v>45145</v>
      </c>
      <c r="C97" s="7">
        <v>1</v>
      </c>
      <c r="D97" s="5">
        <v>7.27</v>
      </c>
      <c r="E97" s="5">
        <v>655.9</v>
      </c>
      <c r="F97" s="5">
        <v>670.7</v>
      </c>
      <c r="G97" s="6">
        <v>45145</v>
      </c>
      <c r="H97" s="5"/>
      <c r="I97" s="5"/>
      <c r="J97" s="5">
        <f t="shared" si="11"/>
        <v>14.800000000000068</v>
      </c>
      <c r="K97" s="8" t="b">
        <f t="shared" si="12"/>
        <v>1</v>
      </c>
    </row>
    <row r="98" spans="1:11">
      <c r="A98" s="80" t="s">
        <v>227</v>
      </c>
      <c r="B98" s="81">
        <v>45147</v>
      </c>
      <c r="C98" s="82">
        <v>1</v>
      </c>
      <c r="D98" s="80">
        <v>7.27</v>
      </c>
      <c r="E98" s="80">
        <v>670.7</v>
      </c>
      <c r="F98" s="80">
        <v>684.5</v>
      </c>
      <c r="G98" s="81">
        <v>45147</v>
      </c>
      <c r="H98" s="80"/>
      <c r="I98" s="80"/>
      <c r="J98" s="80">
        <f t="shared" ref="J98:J106" si="13">F98-E98</f>
        <v>13.799999999999955</v>
      </c>
      <c r="K98" s="8" t="b">
        <f t="shared" ref="K98:K104" si="14">E98=F97</f>
        <v>1</v>
      </c>
    </row>
    <row r="99" spans="1:11">
      <c r="A99" s="5" t="s">
        <v>227</v>
      </c>
      <c r="B99" s="6">
        <v>45149</v>
      </c>
      <c r="C99" s="7">
        <v>1</v>
      </c>
      <c r="D99" s="5">
        <v>7.27</v>
      </c>
      <c r="E99" s="5">
        <v>684.5</v>
      </c>
      <c r="F99" s="5">
        <v>700.6</v>
      </c>
      <c r="G99" s="6">
        <v>45149</v>
      </c>
      <c r="H99" s="5"/>
      <c r="I99" s="5"/>
      <c r="J99" s="5">
        <f t="shared" si="13"/>
        <v>16.100000000000023</v>
      </c>
      <c r="K99" s="8" t="b">
        <f t="shared" si="14"/>
        <v>1</v>
      </c>
    </row>
    <row r="100" spans="1:11">
      <c r="A100" s="5" t="s">
        <v>227</v>
      </c>
      <c r="B100" s="6">
        <v>45150</v>
      </c>
      <c r="C100" s="7">
        <v>0.85</v>
      </c>
      <c r="D100" s="5">
        <v>6.91</v>
      </c>
      <c r="E100" s="5">
        <v>700.6</v>
      </c>
      <c r="F100" s="5">
        <v>717.7</v>
      </c>
      <c r="G100" s="6">
        <v>45150</v>
      </c>
      <c r="H100" s="5"/>
      <c r="I100" s="5"/>
      <c r="J100" s="5">
        <f t="shared" si="13"/>
        <v>17.100000000000023</v>
      </c>
      <c r="K100" s="8" t="b">
        <f t="shared" si="14"/>
        <v>1</v>
      </c>
    </row>
    <row r="101" spans="1:11">
      <c r="A101" s="5" t="s">
        <v>227</v>
      </c>
      <c r="B101" s="6">
        <v>45152</v>
      </c>
      <c r="C101" s="7">
        <v>0.85</v>
      </c>
      <c r="D101" s="5">
        <v>6.91</v>
      </c>
      <c r="E101" s="5">
        <v>717.7</v>
      </c>
      <c r="F101" s="5">
        <v>734.5</v>
      </c>
      <c r="G101" s="6">
        <v>45152</v>
      </c>
      <c r="H101" s="5"/>
      <c r="I101" s="5"/>
      <c r="J101" s="5">
        <f t="shared" si="13"/>
        <v>16.799999999999955</v>
      </c>
      <c r="K101" s="8" t="b">
        <f t="shared" si="14"/>
        <v>1</v>
      </c>
    </row>
    <row r="102" spans="1:11">
      <c r="A102" s="80" t="s">
        <v>227</v>
      </c>
      <c r="B102" s="81">
        <v>45154</v>
      </c>
      <c r="C102" s="82">
        <v>1</v>
      </c>
      <c r="D102" s="80">
        <v>7.27</v>
      </c>
      <c r="E102" s="80">
        <v>734.5</v>
      </c>
      <c r="F102" s="80">
        <v>750.8</v>
      </c>
      <c r="G102" s="81">
        <v>45154</v>
      </c>
      <c r="H102" s="80"/>
      <c r="I102" s="80"/>
      <c r="J102" s="80">
        <f t="shared" si="13"/>
        <v>16.299999999999955</v>
      </c>
      <c r="K102" s="8" t="b">
        <f t="shared" si="14"/>
        <v>1</v>
      </c>
    </row>
    <row r="103" spans="1:11">
      <c r="A103" s="5" t="s">
        <v>227</v>
      </c>
      <c r="B103" s="6">
        <v>45156</v>
      </c>
      <c r="C103" s="7">
        <v>0.75</v>
      </c>
      <c r="D103" s="5">
        <v>9.69</v>
      </c>
      <c r="E103" s="5">
        <v>750.8</v>
      </c>
      <c r="F103" s="5">
        <v>771.1</v>
      </c>
      <c r="G103" s="6">
        <v>45156</v>
      </c>
      <c r="H103" s="5"/>
      <c r="I103" s="5"/>
      <c r="J103" s="5">
        <f t="shared" si="13"/>
        <v>20.300000000000068</v>
      </c>
      <c r="K103" s="8" t="b">
        <f t="shared" si="14"/>
        <v>1</v>
      </c>
    </row>
    <row r="104" spans="1:11">
      <c r="A104" s="5" t="s">
        <v>227</v>
      </c>
      <c r="B104" s="6">
        <v>45157</v>
      </c>
      <c r="C104" s="7">
        <v>1</v>
      </c>
      <c r="D104" s="5">
        <v>7.27</v>
      </c>
      <c r="E104" s="5">
        <v>771.1</v>
      </c>
      <c r="F104" s="5">
        <v>785.3</v>
      </c>
      <c r="G104" s="6">
        <v>45157</v>
      </c>
      <c r="H104" s="5"/>
      <c r="I104" s="5"/>
      <c r="J104" s="5">
        <f t="shared" si="13"/>
        <v>14.199999999999932</v>
      </c>
      <c r="K104" s="8" t="b">
        <f t="shared" si="14"/>
        <v>1</v>
      </c>
    </row>
    <row r="105" spans="1:11">
      <c r="A105" s="5" t="s">
        <v>227</v>
      </c>
      <c r="B105" s="6">
        <v>45159</v>
      </c>
      <c r="C105" s="7">
        <v>0.8</v>
      </c>
      <c r="D105" s="5">
        <v>9.09</v>
      </c>
      <c r="E105" s="5">
        <v>785.3</v>
      </c>
      <c r="F105" s="5">
        <v>803.6</v>
      </c>
      <c r="G105" s="6">
        <v>45159</v>
      </c>
      <c r="H105" s="5"/>
      <c r="I105" s="5"/>
      <c r="J105" s="5">
        <f t="shared" si="13"/>
        <v>18.300000000000068</v>
      </c>
      <c r="K105" s="8" t="b">
        <f>E105=F104</f>
        <v>1</v>
      </c>
    </row>
    <row r="106" spans="1:11">
      <c r="A106" s="5" t="s">
        <v>227</v>
      </c>
      <c r="B106" s="6">
        <v>45161</v>
      </c>
      <c r="C106" s="7">
        <v>0.8</v>
      </c>
      <c r="D106" s="5">
        <v>9.09</v>
      </c>
      <c r="E106" s="5">
        <v>803.6</v>
      </c>
      <c r="F106" s="5">
        <v>822</v>
      </c>
      <c r="G106" s="6">
        <v>45161</v>
      </c>
      <c r="H106" s="5"/>
      <c r="I106" s="5"/>
      <c r="J106" s="5">
        <f t="shared" si="13"/>
        <v>18.399999999999977</v>
      </c>
      <c r="K106" s="8" t="b">
        <f t="shared" ref="K106:K109" si="15">E106=F105</f>
        <v>1</v>
      </c>
    </row>
    <row r="107" spans="1:11">
      <c r="A107" s="5" t="s">
        <v>228</v>
      </c>
      <c r="B107" s="6">
        <v>45162</v>
      </c>
      <c r="C107" s="7">
        <v>0.65</v>
      </c>
      <c r="D107" s="5">
        <v>11.18</v>
      </c>
      <c r="E107" s="5">
        <v>822</v>
      </c>
      <c r="F107" s="5">
        <v>833</v>
      </c>
      <c r="G107" s="6">
        <v>45162</v>
      </c>
      <c r="H107" s="5"/>
      <c r="I107" s="5"/>
      <c r="J107" s="5">
        <f t="shared" ref="J107:J170" si="16">F107-E107</f>
        <v>11</v>
      </c>
      <c r="K107" s="8" t="b">
        <f t="shared" si="15"/>
        <v>1</v>
      </c>
    </row>
    <row r="108" spans="1:11">
      <c r="A108" s="5" t="s">
        <v>229</v>
      </c>
      <c r="B108" s="6">
        <v>45163</v>
      </c>
      <c r="C108" s="7">
        <v>0.65</v>
      </c>
      <c r="D108" s="5">
        <v>11.18</v>
      </c>
      <c r="E108" s="5">
        <v>833</v>
      </c>
      <c r="F108" s="5">
        <v>844.4</v>
      </c>
      <c r="G108" s="6">
        <v>45163</v>
      </c>
      <c r="H108" s="5"/>
      <c r="I108" s="5"/>
      <c r="J108" s="5">
        <f t="shared" si="16"/>
        <v>11.399999999999977</v>
      </c>
      <c r="K108" s="8" t="b">
        <f t="shared" si="15"/>
        <v>1</v>
      </c>
    </row>
    <row r="109" spans="1:11">
      <c r="A109" s="5" t="s">
        <v>228</v>
      </c>
      <c r="B109" s="6">
        <v>45164</v>
      </c>
      <c r="C109" s="7">
        <v>0.65</v>
      </c>
      <c r="D109" s="5">
        <v>11.18</v>
      </c>
      <c r="E109" s="5">
        <v>844.4</v>
      </c>
      <c r="F109" s="5">
        <v>855.6</v>
      </c>
      <c r="G109" s="6">
        <v>45164</v>
      </c>
      <c r="H109" s="5"/>
      <c r="I109" s="5"/>
      <c r="J109" s="5">
        <f t="shared" si="16"/>
        <v>11.200000000000045</v>
      </c>
      <c r="K109" s="8" t="b">
        <f t="shared" si="15"/>
        <v>1</v>
      </c>
    </row>
    <row r="110" spans="1:11">
      <c r="A110" s="5" t="s">
        <v>229</v>
      </c>
      <c r="B110" s="6">
        <v>45165</v>
      </c>
      <c r="C110" s="7">
        <v>0.65</v>
      </c>
      <c r="D110" s="5">
        <v>11.18</v>
      </c>
      <c r="E110" s="5">
        <v>855.6</v>
      </c>
      <c r="F110" s="5">
        <v>866.9</v>
      </c>
      <c r="G110" s="6">
        <v>45165</v>
      </c>
      <c r="H110" s="5"/>
      <c r="I110" s="5"/>
      <c r="J110" s="5">
        <f t="shared" si="16"/>
        <v>11.299999999999955</v>
      </c>
      <c r="K110" s="8" t="b">
        <f t="shared" ref="K110:K118" si="17">E110=F109</f>
        <v>1</v>
      </c>
    </row>
    <row r="111" spans="1:11">
      <c r="A111" s="5" t="s">
        <v>228</v>
      </c>
      <c r="B111" s="6">
        <v>45166</v>
      </c>
      <c r="C111" s="7">
        <v>0.65</v>
      </c>
      <c r="D111" s="5">
        <v>11.18</v>
      </c>
      <c r="E111" s="5">
        <v>866.9</v>
      </c>
      <c r="F111" s="5">
        <v>878</v>
      </c>
      <c r="G111" s="6">
        <v>45166</v>
      </c>
      <c r="H111" s="5"/>
      <c r="I111" s="5"/>
      <c r="J111" s="5">
        <f t="shared" si="16"/>
        <v>11.100000000000023</v>
      </c>
      <c r="K111" s="8" t="b">
        <f t="shared" si="17"/>
        <v>1</v>
      </c>
    </row>
    <row r="112" spans="1:11">
      <c r="A112" s="5" t="s">
        <v>227</v>
      </c>
      <c r="B112" s="6">
        <v>45169</v>
      </c>
      <c r="C112" s="7">
        <v>0.9</v>
      </c>
      <c r="D112" s="5">
        <v>8.08</v>
      </c>
      <c r="E112" s="5">
        <v>878</v>
      </c>
      <c r="F112" s="5">
        <v>894.1</v>
      </c>
      <c r="G112" s="6">
        <v>45169</v>
      </c>
      <c r="H112" s="5"/>
      <c r="I112" s="5"/>
      <c r="J112" s="5">
        <f t="shared" si="16"/>
        <v>16.100000000000023</v>
      </c>
      <c r="K112" s="8" t="b">
        <f t="shared" si="17"/>
        <v>1</v>
      </c>
    </row>
    <row r="113" spans="1:11">
      <c r="A113" s="5" t="s">
        <v>227</v>
      </c>
      <c r="B113" s="6">
        <v>45172</v>
      </c>
      <c r="C113" s="7">
        <v>1</v>
      </c>
      <c r="D113" s="5">
        <v>7.27</v>
      </c>
      <c r="E113" s="5">
        <v>894.1</v>
      </c>
      <c r="F113" s="5">
        <v>908.9</v>
      </c>
      <c r="G113" s="6">
        <v>45172</v>
      </c>
      <c r="H113" s="5"/>
      <c r="I113" s="5"/>
      <c r="J113" s="5">
        <f t="shared" si="16"/>
        <v>14.799999999999955</v>
      </c>
      <c r="K113" s="8" t="b">
        <f t="shared" si="17"/>
        <v>1</v>
      </c>
    </row>
    <row r="114" spans="1:11">
      <c r="A114" s="5" t="s">
        <v>227</v>
      </c>
      <c r="B114" s="6">
        <v>45175</v>
      </c>
      <c r="C114" s="7">
        <v>0.8</v>
      </c>
      <c r="D114" s="5">
        <v>9.09</v>
      </c>
      <c r="E114" s="5">
        <v>908.9</v>
      </c>
      <c r="F114" s="5">
        <v>927</v>
      </c>
      <c r="G114" s="6">
        <v>45175</v>
      </c>
      <c r="H114" s="5"/>
      <c r="I114" s="5"/>
      <c r="J114" s="5">
        <f t="shared" si="16"/>
        <v>18.100000000000023</v>
      </c>
      <c r="K114" s="8" t="b">
        <f t="shared" si="17"/>
        <v>1</v>
      </c>
    </row>
    <row r="115" spans="1:11">
      <c r="A115" s="5" t="s">
        <v>227</v>
      </c>
      <c r="B115" s="6">
        <v>45178</v>
      </c>
      <c r="C115" s="7">
        <v>0.65</v>
      </c>
      <c r="D115" s="5">
        <v>11.18</v>
      </c>
      <c r="E115" s="5">
        <v>927</v>
      </c>
      <c r="F115" s="5">
        <v>949.1</v>
      </c>
      <c r="G115" s="6">
        <v>45178</v>
      </c>
      <c r="H115" s="5"/>
      <c r="I115" s="5"/>
      <c r="J115" s="5">
        <f t="shared" si="16"/>
        <v>22.100000000000023</v>
      </c>
      <c r="K115" s="8" t="b">
        <f t="shared" si="17"/>
        <v>1</v>
      </c>
    </row>
    <row r="116" spans="1:11">
      <c r="A116" s="5" t="s">
        <v>227</v>
      </c>
      <c r="B116" s="6">
        <v>45179</v>
      </c>
      <c r="C116" s="7">
        <v>0.65</v>
      </c>
      <c r="D116" s="5">
        <v>11.18</v>
      </c>
      <c r="E116" s="5">
        <v>949.1</v>
      </c>
      <c r="F116" s="5">
        <v>971.3</v>
      </c>
      <c r="G116" s="6">
        <v>45179</v>
      </c>
      <c r="H116" s="5"/>
      <c r="I116" s="5"/>
      <c r="J116" s="5">
        <f t="shared" si="16"/>
        <v>22.199999999999932</v>
      </c>
      <c r="K116" s="8" t="b">
        <f t="shared" si="17"/>
        <v>1</v>
      </c>
    </row>
    <row r="117" spans="1:11">
      <c r="A117" s="5" t="s">
        <v>228</v>
      </c>
      <c r="B117" s="6">
        <v>45180</v>
      </c>
      <c r="C117" s="7">
        <v>1</v>
      </c>
      <c r="D117" s="5">
        <v>7.27</v>
      </c>
      <c r="E117" s="5">
        <v>971.3</v>
      </c>
      <c r="F117" s="5">
        <v>981.1</v>
      </c>
      <c r="G117" s="6">
        <v>45180</v>
      </c>
      <c r="H117" s="5"/>
      <c r="I117" s="5"/>
      <c r="J117" s="5">
        <f t="shared" si="16"/>
        <v>9.8000000000000682</v>
      </c>
      <c r="K117" s="8" t="b">
        <f t="shared" si="17"/>
        <v>1</v>
      </c>
    </row>
    <row r="118" spans="1:11">
      <c r="A118" s="5" t="s">
        <v>228</v>
      </c>
      <c r="B118" s="6">
        <v>45181</v>
      </c>
      <c r="C118" s="7">
        <v>0.6</v>
      </c>
      <c r="D118" s="5">
        <v>11.18</v>
      </c>
      <c r="E118" s="5">
        <v>981.1</v>
      </c>
      <c r="F118" s="5">
        <v>993</v>
      </c>
      <c r="G118" s="6">
        <v>45181</v>
      </c>
      <c r="H118" s="5"/>
      <c r="I118" s="5"/>
      <c r="J118" s="5">
        <f t="shared" si="16"/>
        <v>11.899999999999977</v>
      </c>
      <c r="K118" s="8" t="b">
        <f t="shared" si="17"/>
        <v>1</v>
      </c>
    </row>
    <row r="119" spans="1:11">
      <c r="A119" s="5" t="s">
        <v>229</v>
      </c>
      <c r="B119" s="6">
        <v>45182</v>
      </c>
      <c r="C119" s="7">
        <v>0.6</v>
      </c>
      <c r="D119" s="5">
        <v>9.67</v>
      </c>
      <c r="E119" s="5">
        <v>993</v>
      </c>
      <c r="F119" s="5">
        <v>1005.2</v>
      </c>
      <c r="G119" s="6">
        <v>45182</v>
      </c>
      <c r="H119" s="5"/>
      <c r="I119" s="5"/>
      <c r="J119" s="5">
        <f t="shared" si="16"/>
        <v>12.200000000000045</v>
      </c>
      <c r="K119" s="8" t="b">
        <f t="shared" ref="K119:K140" si="18">E119=F118</f>
        <v>1</v>
      </c>
    </row>
    <row r="120" spans="1:11">
      <c r="A120" s="5" t="s">
        <v>228</v>
      </c>
      <c r="B120" s="6">
        <v>45183</v>
      </c>
      <c r="C120" s="7">
        <v>0.5</v>
      </c>
      <c r="D120" s="5">
        <v>14.54</v>
      </c>
      <c r="E120" s="5">
        <v>1005.2</v>
      </c>
      <c r="F120" s="5">
        <v>1019.5</v>
      </c>
      <c r="G120" s="6">
        <v>45183</v>
      </c>
      <c r="H120" s="5"/>
      <c r="I120" s="5"/>
      <c r="J120" s="5">
        <f t="shared" si="16"/>
        <v>14.299999999999955</v>
      </c>
      <c r="K120" s="8" t="b">
        <f t="shared" si="18"/>
        <v>1</v>
      </c>
    </row>
    <row r="121" spans="1:11">
      <c r="A121" s="5" t="s">
        <v>229</v>
      </c>
      <c r="B121" s="6">
        <v>45184</v>
      </c>
      <c r="C121" s="7">
        <v>0.5</v>
      </c>
      <c r="D121" s="5">
        <v>14.54</v>
      </c>
      <c r="E121" s="5">
        <v>1019.5</v>
      </c>
      <c r="F121" s="5">
        <v>1034.5</v>
      </c>
      <c r="G121" s="6">
        <v>45184</v>
      </c>
      <c r="H121" s="5"/>
      <c r="I121" s="5"/>
      <c r="J121" s="5">
        <f t="shared" si="16"/>
        <v>15</v>
      </c>
      <c r="K121" s="8" t="b">
        <f t="shared" si="18"/>
        <v>1</v>
      </c>
    </row>
    <row r="122" spans="1:11">
      <c r="A122" s="5" t="s">
        <v>228</v>
      </c>
      <c r="B122" s="6">
        <v>45185</v>
      </c>
      <c r="C122" s="7">
        <v>0.5</v>
      </c>
      <c r="D122" s="5">
        <v>14.54</v>
      </c>
      <c r="E122" s="5">
        <v>1034.5</v>
      </c>
      <c r="F122" s="5">
        <v>1048.8</v>
      </c>
      <c r="G122" s="6">
        <v>45185</v>
      </c>
      <c r="H122" s="5"/>
      <c r="I122" s="5"/>
      <c r="J122" s="5">
        <f t="shared" si="16"/>
        <v>14.299999999999955</v>
      </c>
      <c r="K122" s="8" t="b">
        <f t="shared" si="18"/>
        <v>1</v>
      </c>
    </row>
    <row r="123" spans="1:11">
      <c r="A123" s="5" t="s">
        <v>229</v>
      </c>
      <c r="B123" s="6">
        <v>45186</v>
      </c>
      <c r="C123" s="7">
        <v>0.5</v>
      </c>
      <c r="D123" s="5">
        <v>14.54</v>
      </c>
      <c r="E123" s="5">
        <v>1048.8</v>
      </c>
      <c r="F123" s="5">
        <v>1063.8</v>
      </c>
      <c r="G123" s="6">
        <v>45186</v>
      </c>
      <c r="H123" s="5"/>
      <c r="I123" s="5"/>
      <c r="J123" s="5">
        <f t="shared" si="16"/>
        <v>15</v>
      </c>
      <c r="K123" s="8" t="b">
        <f t="shared" si="18"/>
        <v>1</v>
      </c>
    </row>
    <row r="124" spans="1:11">
      <c r="A124" s="5" t="s">
        <v>228</v>
      </c>
      <c r="B124" s="6">
        <v>45187</v>
      </c>
      <c r="C124" s="7">
        <v>0.5</v>
      </c>
      <c r="D124" s="5">
        <v>14.54</v>
      </c>
      <c r="E124" s="5">
        <v>1063.8</v>
      </c>
      <c r="F124" s="5">
        <v>1077.8</v>
      </c>
      <c r="G124" s="6">
        <v>45187</v>
      </c>
      <c r="H124" s="5"/>
      <c r="I124" s="5"/>
      <c r="J124" s="5">
        <f t="shared" si="16"/>
        <v>14</v>
      </c>
      <c r="K124" s="8" t="b">
        <f t="shared" si="18"/>
        <v>1</v>
      </c>
    </row>
    <row r="125" spans="1:11">
      <c r="A125" s="5" t="s">
        <v>229</v>
      </c>
      <c r="B125" s="6">
        <v>45188</v>
      </c>
      <c r="C125" s="7">
        <v>0.5</v>
      </c>
      <c r="D125" s="5">
        <v>14.54</v>
      </c>
      <c r="E125" s="5">
        <v>1077.8</v>
      </c>
      <c r="F125" s="5">
        <v>1092.5</v>
      </c>
      <c r="G125" s="6">
        <v>45188</v>
      </c>
      <c r="H125" s="5"/>
      <c r="I125" s="5"/>
      <c r="J125" s="5">
        <f t="shared" si="16"/>
        <v>14.700000000000045</v>
      </c>
      <c r="K125" s="8" t="b">
        <f t="shared" si="18"/>
        <v>1</v>
      </c>
    </row>
    <row r="126" spans="1:11">
      <c r="A126" s="5" t="s">
        <v>228</v>
      </c>
      <c r="B126" s="6">
        <v>45189</v>
      </c>
      <c r="C126" s="7">
        <v>0.5</v>
      </c>
      <c r="D126" s="5">
        <v>14.54</v>
      </c>
      <c r="E126" s="5">
        <v>1092.5</v>
      </c>
      <c r="F126" s="5">
        <v>1106.9000000000001</v>
      </c>
      <c r="G126" s="6">
        <v>45189</v>
      </c>
      <c r="H126" s="5"/>
      <c r="I126" s="5"/>
      <c r="J126" s="5">
        <f t="shared" si="16"/>
        <v>14.400000000000091</v>
      </c>
      <c r="K126" s="8" t="b">
        <f t="shared" si="18"/>
        <v>1</v>
      </c>
    </row>
    <row r="127" spans="1:11">
      <c r="A127" s="5" t="s">
        <v>229</v>
      </c>
      <c r="B127" s="6">
        <v>45190</v>
      </c>
      <c r="C127" s="7">
        <v>0.5</v>
      </c>
      <c r="D127" s="5">
        <v>14.54</v>
      </c>
      <c r="E127" s="5">
        <v>1106.9000000000001</v>
      </c>
      <c r="F127" s="5">
        <v>1121.7</v>
      </c>
      <c r="G127" s="6">
        <v>45190</v>
      </c>
      <c r="H127" s="5"/>
      <c r="I127" s="5"/>
      <c r="J127" s="5">
        <f t="shared" si="16"/>
        <v>14.799999999999955</v>
      </c>
      <c r="K127" s="8" t="b">
        <f t="shared" si="18"/>
        <v>1</v>
      </c>
    </row>
    <row r="128" spans="1:11">
      <c r="A128" s="5" t="s">
        <v>228</v>
      </c>
      <c r="B128" s="6">
        <v>45191</v>
      </c>
      <c r="C128" s="7">
        <v>0.5</v>
      </c>
      <c r="D128" s="5">
        <v>14.54</v>
      </c>
      <c r="E128" s="5">
        <v>1121.7</v>
      </c>
      <c r="F128" s="5">
        <v>1135.7</v>
      </c>
      <c r="G128" s="6">
        <v>45191</v>
      </c>
      <c r="H128" s="5"/>
      <c r="I128" s="5"/>
      <c r="J128" s="5">
        <f t="shared" si="16"/>
        <v>14</v>
      </c>
      <c r="K128" s="8" t="b">
        <f t="shared" si="18"/>
        <v>1</v>
      </c>
    </row>
    <row r="129" spans="1:11">
      <c r="A129" s="5" t="s">
        <v>229</v>
      </c>
      <c r="B129" s="6">
        <v>45192</v>
      </c>
      <c r="C129" s="7">
        <v>0.4</v>
      </c>
      <c r="D129" s="5">
        <v>18.18</v>
      </c>
      <c r="E129" s="5">
        <v>1135.7</v>
      </c>
      <c r="F129" s="5">
        <v>1153.9000000000001</v>
      </c>
      <c r="G129" s="6">
        <v>45192</v>
      </c>
      <c r="H129" s="5"/>
      <c r="I129" s="5"/>
      <c r="J129" s="5">
        <f t="shared" si="16"/>
        <v>18.200000000000045</v>
      </c>
      <c r="K129" s="8" t="b">
        <f t="shared" si="18"/>
        <v>1</v>
      </c>
    </row>
    <row r="130" spans="1:11">
      <c r="A130" s="5" t="s">
        <v>228</v>
      </c>
      <c r="B130" s="6">
        <v>45193</v>
      </c>
      <c r="C130" s="7">
        <v>0.4</v>
      </c>
      <c r="D130" s="5">
        <v>18.18</v>
      </c>
      <c r="E130" s="5">
        <v>1153.9000000000001</v>
      </c>
      <c r="F130" s="5">
        <v>1171.8</v>
      </c>
      <c r="G130" s="6">
        <v>45193</v>
      </c>
      <c r="H130" s="5"/>
      <c r="I130" s="5"/>
      <c r="J130" s="5">
        <f t="shared" si="16"/>
        <v>17.899999999999864</v>
      </c>
      <c r="K130" s="8" t="b">
        <f t="shared" si="18"/>
        <v>1</v>
      </c>
    </row>
    <row r="131" spans="1:11">
      <c r="A131" s="5" t="s">
        <v>229</v>
      </c>
      <c r="B131" s="6">
        <v>45194</v>
      </c>
      <c r="C131" s="7">
        <v>0.4</v>
      </c>
      <c r="D131" s="5">
        <v>18.18</v>
      </c>
      <c r="E131" s="5">
        <v>1171.8</v>
      </c>
      <c r="F131" s="5">
        <v>1189.8</v>
      </c>
      <c r="G131" s="6">
        <v>45194</v>
      </c>
      <c r="H131" s="5"/>
      <c r="I131" s="5"/>
      <c r="J131" s="5">
        <f t="shared" si="16"/>
        <v>18</v>
      </c>
      <c r="K131" s="8" t="b">
        <f t="shared" si="18"/>
        <v>1</v>
      </c>
    </row>
    <row r="132" spans="1:11">
      <c r="A132" s="5" t="s">
        <v>228</v>
      </c>
      <c r="B132" s="6">
        <v>45195</v>
      </c>
      <c r="C132" s="7">
        <v>0.4</v>
      </c>
      <c r="D132" s="5">
        <v>18.18</v>
      </c>
      <c r="E132" s="5">
        <v>1189.8</v>
      </c>
      <c r="F132" s="5">
        <v>1207.5999999999999</v>
      </c>
      <c r="G132" s="6">
        <v>45195</v>
      </c>
      <c r="H132" s="5"/>
      <c r="I132" s="5"/>
      <c r="J132" s="5">
        <f t="shared" si="16"/>
        <v>17.799999999999955</v>
      </c>
      <c r="K132" s="8" t="b">
        <f t="shared" si="18"/>
        <v>1</v>
      </c>
    </row>
    <row r="133" spans="1:11">
      <c r="A133" s="5" t="s">
        <v>229</v>
      </c>
      <c r="B133" s="6">
        <v>45196</v>
      </c>
      <c r="C133" s="7">
        <v>0.4</v>
      </c>
      <c r="D133" s="5">
        <v>18.18</v>
      </c>
      <c r="E133" s="5">
        <v>1207.5999999999999</v>
      </c>
      <c r="F133" s="5">
        <v>1225.9000000000001</v>
      </c>
      <c r="G133" s="6">
        <v>45196</v>
      </c>
      <c r="H133" s="5"/>
      <c r="I133" s="5"/>
      <c r="J133" s="5">
        <f t="shared" si="16"/>
        <v>18.300000000000182</v>
      </c>
      <c r="K133" s="8" t="b">
        <f t="shared" si="18"/>
        <v>1</v>
      </c>
    </row>
    <row r="134" spans="1:11">
      <c r="A134" s="5" t="s">
        <v>228</v>
      </c>
      <c r="B134" s="6">
        <v>45197</v>
      </c>
      <c r="C134" s="7">
        <v>0.4</v>
      </c>
      <c r="D134" s="5">
        <v>18.18</v>
      </c>
      <c r="E134" s="5">
        <v>1225.9000000000001</v>
      </c>
      <c r="F134" s="5">
        <v>1243.5</v>
      </c>
      <c r="G134" s="6">
        <v>45197</v>
      </c>
      <c r="H134" s="5"/>
      <c r="I134" s="5"/>
      <c r="J134" s="5">
        <f t="shared" si="16"/>
        <v>17.599999999999909</v>
      </c>
      <c r="K134" s="8" t="b">
        <f t="shared" si="18"/>
        <v>1</v>
      </c>
    </row>
    <row r="135" spans="1:11">
      <c r="A135" s="5" t="s">
        <v>229</v>
      </c>
      <c r="B135" s="6">
        <v>45198</v>
      </c>
      <c r="C135" s="7">
        <v>0.4</v>
      </c>
      <c r="D135" s="5">
        <v>18.18</v>
      </c>
      <c r="E135" s="5">
        <v>1243.5</v>
      </c>
      <c r="F135" s="5">
        <v>1261.0999999999999</v>
      </c>
      <c r="G135" s="6">
        <v>45198</v>
      </c>
      <c r="H135" s="5"/>
      <c r="I135" s="5"/>
      <c r="J135" s="5">
        <f t="shared" si="16"/>
        <v>17.599999999999909</v>
      </c>
      <c r="K135" s="8" t="b">
        <f t="shared" si="18"/>
        <v>1</v>
      </c>
    </row>
    <row r="136" spans="1:11">
      <c r="A136" s="5" t="s">
        <v>228</v>
      </c>
      <c r="B136" s="6">
        <v>45199</v>
      </c>
      <c r="C136" s="7">
        <v>0.4</v>
      </c>
      <c r="D136" s="5">
        <v>18.18</v>
      </c>
      <c r="E136" s="5">
        <v>1261.0999999999999</v>
      </c>
      <c r="F136" s="5">
        <v>1278.8</v>
      </c>
      <c r="G136" s="6">
        <v>45199</v>
      </c>
      <c r="H136" s="5"/>
      <c r="I136" s="5"/>
      <c r="J136" s="5">
        <f t="shared" si="16"/>
        <v>17.700000000000045</v>
      </c>
      <c r="K136" s="8" t="b">
        <f t="shared" si="18"/>
        <v>1</v>
      </c>
    </row>
    <row r="137" spans="1:11">
      <c r="A137" s="5" t="s">
        <v>229</v>
      </c>
      <c r="B137" s="6">
        <v>45200</v>
      </c>
      <c r="C137" s="7">
        <v>0.4</v>
      </c>
      <c r="D137" s="5">
        <v>18.18</v>
      </c>
      <c r="E137" s="5">
        <v>1278.8</v>
      </c>
      <c r="F137" s="5">
        <v>1296.9000000000001</v>
      </c>
      <c r="G137" s="6">
        <v>45200</v>
      </c>
      <c r="H137" s="5"/>
      <c r="I137" s="5"/>
      <c r="J137" s="5">
        <f t="shared" si="16"/>
        <v>18.100000000000136</v>
      </c>
      <c r="K137" s="8" t="b">
        <f t="shared" si="18"/>
        <v>1</v>
      </c>
    </row>
    <row r="138" spans="1:11">
      <c r="A138" s="5" t="s">
        <v>228</v>
      </c>
      <c r="B138" s="6">
        <v>45201</v>
      </c>
      <c r="C138" s="7">
        <v>0.4</v>
      </c>
      <c r="D138" s="5">
        <v>18.18</v>
      </c>
      <c r="E138" s="5">
        <v>1296.9000000000001</v>
      </c>
      <c r="F138" s="5">
        <v>1314.7</v>
      </c>
      <c r="G138" s="6">
        <v>45202</v>
      </c>
      <c r="H138" s="5"/>
      <c r="I138" s="5"/>
      <c r="J138" s="5">
        <f t="shared" si="16"/>
        <v>17.799999999999955</v>
      </c>
      <c r="K138" s="8" t="b">
        <f t="shared" si="18"/>
        <v>1</v>
      </c>
    </row>
    <row r="139" spans="1:11">
      <c r="A139" s="5" t="s">
        <v>229</v>
      </c>
      <c r="B139" s="6">
        <v>45202</v>
      </c>
      <c r="C139" s="7">
        <v>0.4</v>
      </c>
      <c r="D139" s="5">
        <v>18.18</v>
      </c>
      <c r="E139" s="5">
        <v>1314.7</v>
      </c>
      <c r="F139" s="5">
        <v>1332.8</v>
      </c>
      <c r="G139" s="6">
        <v>45203</v>
      </c>
      <c r="H139" s="5"/>
      <c r="I139" s="5"/>
      <c r="J139" s="5">
        <f t="shared" si="16"/>
        <v>18.099999999999909</v>
      </c>
      <c r="K139" s="8" t="b">
        <f t="shared" si="18"/>
        <v>1</v>
      </c>
    </row>
    <row r="140" spans="1:11">
      <c r="A140" s="5" t="s">
        <v>228</v>
      </c>
      <c r="B140" s="6">
        <v>45203</v>
      </c>
      <c r="C140" s="7">
        <v>0.4</v>
      </c>
      <c r="D140" s="5">
        <v>18.18</v>
      </c>
      <c r="E140" s="5">
        <v>1332.8</v>
      </c>
      <c r="F140" s="5">
        <v>1350.6</v>
      </c>
      <c r="G140" s="6">
        <v>45203</v>
      </c>
      <c r="H140" s="5"/>
      <c r="I140" s="5"/>
      <c r="J140" s="5">
        <f t="shared" si="16"/>
        <v>17.799999999999955</v>
      </c>
      <c r="K140" s="8" t="b">
        <f t="shared" si="18"/>
        <v>1</v>
      </c>
    </row>
    <row r="141" spans="1:11">
      <c r="A141" s="5" t="s">
        <v>229</v>
      </c>
      <c r="B141" s="6">
        <v>45204</v>
      </c>
      <c r="C141" s="7">
        <v>0.7</v>
      </c>
      <c r="D141" s="5">
        <v>10.39</v>
      </c>
      <c r="E141" s="5">
        <v>1350.6</v>
      </c>
      <c r="F141" s="5">
        <v>1360.9</v>
      </c>
      <c r="G141" s="6">
        <v>45204</v>
      </c>
      <c r="H141" s="5"/>
      <c r="I141" s="5"/>
      <c r="J141" s="5">
        <f t="shared" si="16"/>
        <v>10.300000000000182</v>
      </c>
      <c r="K141" s="8" t="b">
        <f t="shared" ref="K141:K157" si="19">E141=F140</f>
        <v>1</v>
      </c>
    </row>
    <row r="142" spans="1:11">
      <c r="A142" s="5" t="s">
        <v>228</v>
      </c>
      <c r="B142" s="6">
        <v>45205</v>
      </c>
      <c r="C142" s="7">
        <v>0.4</v>
      </c>
      <c r="D142" s="5">
        <v>18.18</v>
      </c>
      <c r="E142" s="5">
        <v>1360.9</v>
      </c>
      <c r="F142" s="5">
        <v>1375.7</v>
      </c>
      <c r="G142" s="6">
        <v>45205</v>
      </c>
      <c r="H142" s="5"/>
      <c r="I142" s="5"/>
      <c r="J142" s="5">
        <f t="shared" si="16"/>
        <v>14.799999999999955</v>
      </c>
      <c r="K142" s="8" t="b">
        <f t="shared" si="19"/>
        <v>1</v>
      </c>
    </row>
    <row r="143" spans="1:11">
      <c r="A143" s="5" t="s">
        <v>229</v>
      </c>
      <c r="B143" s="6">
        <v>45206</v>
      </c>
      <c r="C143" s="7">
        <v>0.4</v>
      </c>
      <c r="D143" s="5">
        <v>18.18</v>
      </c>
      <c r="E143" s="5">
        <v>1375.7</v>
      </c>
      <c r="F143" s="5">
        <v>1393.2</v>
      </c>
      <c r="G143" s="6">
        <v>45206</v>
      </c>
      <c r="H143" s="5"/>
      <c r="I143" s="5"/>
      <c r="J143" s="5">
        <f t="shared" si="16"/>
        <v>17.5</v>
      </c>
      <c r="K143" s="8" t="b">
        <f t="shared" si="19"/>
        <v>1</v>
      </c>
    </row>
    <row r="144" spans="1:11">
      <c r="A144" s="5" t="s">
        <v>228</v>
      </c>
      <c r="B144" s="6">
        <v>45207</v>
      </c>
      <c r="C144" s="7">
        <v>0.4</v>
      </c>
      <c r="D144" s="5">
        <v>18.18</v>
      </c>
      <c r="E144" s="5">
        <v>1393.2</v>
      </c>
      <c r="F144" s="5">
        <v>1411.3</v>
      </c>
      <c r="G144" s="6">
        <v>45207</v>
      </c>
      <c r="H144" s="5"/>
      <c r="I144" s="5"/>
      <c r="J144" s="5">
        <f t="shared" si="16"/>
        <v>18.099999999999909</v>
      </c>
      <c r="K144" s="8" t="b">
        <f t="shared" si="19"/>
        <v>1</v>
      </c>
    </row>
    <row r="145" spans="1:11">
      <c r="A145" s="25" t="s">
        <v>227</v>
      </c>
      <c r="B145" s="26">
        <v>45208</v>
      </c>
      <c r="C145" s="27">
        <v>1</v>
      </c>
      <c r="D145" s="25">
        <v>7.27</v>
      </c>
      <c r="E145" s="25">
        <v>1411.3</v>
      </c>
      <c r="F145" s="25">
        <v>1424.8</v>
      </c>
      <c r="G145" s="26">
        <v>45208</v>
      </c>
      <c r="H145" s="25"/>
      <c r="I145" s="25"/>
      <c r="J145" s="25">
        <f t="shared" si="16"/>
        <v>13.5</v>
      </c>
      <c r="K145" s="8" t="b">
        <f t="shared" si="19"/>
        <v>1</v>
      </c>
    </row>
    <row r="146" spans="1:11">
      <c r="A146" s="5" t="s">
        <v>227</v>
      </c>
      <c r="B146" s="6">
        <v>45209</v>
      </c>
      <c r="C146" s="7">
        <v>1</v>
      </c>
      <c r="D146" s="5">
        <v>7.27</v>
      </c>
      <c r="E146" s="5">
        <v>1424.8</v>
      </c>
      <c r="F146" s="5">
        <v>1439.3</v>
      </c>
      <c r="G146" s="6">
        <v>45209</v>
      </c>
      <c r="H146" s="5"/>
      <c r="I146" s="5"/>
      <c r="J146" s="5">
        <f t="shared" si="16"/>
        <v>14.5</v>
      </c>
      <c r="K146" s="8" t="b">
        <f t="shared" si="19"/>
        <v>1</v>
      </c>
    </row>
    <row r="147" spans="1:11">
      <c r="A147" s="5" t="s">
        <v>229</v>
      </c>
      <c r="B147" s="6">
        <v>45210</v>
      </c>
      <c r="C147" s="7">
        <v>0.5</v>
      </c>
      <c r="D147" s="5">
        <v>14.54</v>
      </c>
      <c r="E147" s="5">
        <v>1439.3</v>
      </c>
      <c r="F147" s="5">
        <v>1456</v>
      </c>
      <c r="G147" s="6">
        <v>45210</v>
      </c>
      <c r="H147" s="5"/>
      <c r="I147" s="5"/>
      <c r="J147" s="5">
        <f t="shared" si="16"/>
        <v>16.700000000000045</v>
      </c>
      <c r="K147" s="8" t="b">
        <f t="shared" si="19"/>
        <v>1</v>
      </c>
    </row>
    <row r="148" spans="1:11">
      <c r="A148" s="5" t="s">
        <v>228</v>
      </c>
      <c r="B148" s="6">
        <v>45211</v>
      </c>
      <c r="C148" s="7">
        <v>0.1</v>
      </c>
      <c r="D148" s="5">
        <v>18.18</v>
      </c>
      <c r="E148" s="5">
        <v>1456</v>
      </c>
      <c r="F148" s="5">
        <v>1474.2</v>
      </c>
      <c r="G148" s="6">
        <v>45211</v>
      </c>
      <c r="H148" s="5"/>
      <c r="I148" s="5"/>
      <c r="J148" s="5">
        <f t="shared" si="16"/>
        <v>18.200000000000045</v>
      </c>
      <c r="K148" s="8" t="b">
        <f t="shared" si="19"/>
        <v>1</v>
      </c>
    </row>
    <row r="149" spans="1:11">
      <c r="A149" s="5" t="s">
        <v>229</v>
      </c>
      <c r="B149" s="6">
        <v>45212</v>
      </c>
      <c r="C149" s="7">
        <v>0.4</v>
      </c>
      <c r="D149" s="5">
        <v>18.18</v>
      </c>
      <c r="E149" s="5">
        <v>1474.2</v>
      </c>
      <c r="F149" s="5">
        <v>1491.8</v>
      </c>
      <c r="G149" s="6">
        <v>45212</v>
      </c>
      <c r="H149" s="5"/>
      <c r="I149" s="5"/>
      <c r="J149" s="5">
        <f t="shared" si="16"/>
        <v>17.599999999999909</v>
      </c>
      <c r="K149" s="8" t="b">
        <f t="shared" si="19"/>
        <v>1</v>
      </c>
    </row>
    <row r="150" spans="1:11">
      <c r="A150" s="5" t="s">
        <v>229</v>
      </c>
      <c r="B150" s="6">
        <v>45213</v>
      </c>
      <c r="C150" s="7">
        <v>0.5</v>
      </c>
      <c r="D150" s="5">
        <v>14.54</v>
      </c>
      <c r="E150" s="5">
        <v>1491.8</v>
      </c>
      <c r="F150" s="5">
        <v>1506.5</v>
      </c>
      <c r="G150" s="6">
        <v>45213</v>
      </c>
      <c r="H150" s="5"/>
      <c r="I150" s="5"/>
      <c r="J150" s="5">
        <f t="shared" si="16"/>
        <v>14.700000000000045</v>
      </c>
      <c r="K150" s="8" t="b">
        <f t="shared" si="19"/>
        <v>1</v>
      </c>
    </row>
    <row r="151" spans="1:11">
      <c r="A151" s="5" t="s">
        <v>228</v>
      </c>
      <c r="B151" s="6">
        <v>45214</v>
      </c>
      <c r="C151" s="7">
        <v>0.4</v>
      </c>
      <c r="D151" s="5">
        <v>18.18</v>
      </c>
      <c r="E151" s="5">
        <v>1506.5</v>
      </c>
      <c r="F151" s="5">
        <v>1524.1</v>
      </c>
      <c r="G151" s="6">
        <v>45214</v>
      </c>
      <c r="H151" s="5"/>
      <c r="I151" s="5"/>
      <c r="J151" s="5">
        <f t="shared" si="16"/>
        <v>17.599999999999909</v>
      </c>
      <c r="K151" s="8" t="b">
        <f t="shared" si="19"/>
        <v>1</v>
      </c>
    </row>
    <row r="152" spans="1:11">
      <c r="A152" s="5" t="s">
        <v>229</v>
      </c>
      <c r="B152" s="6">
        <v>45215</v>
      </c>
      <c r="C152" s="7">
        <v>0.5</v>
      </c>
      <c r="D152" s="5">
        <v>14.54</v>
      </c>
      <c r="E152" s="5">
        <v>1524.1</v>
      </c>
      <c r="F152" s="5">
        <v>1538.7</v>
      </c>
      <c r="G152" s="6">
        <v>45215</v>
      </c>
      <c r="H152" s="5"/>
      <c r="I152" s="5"/>
      <c r="J152" s="5">
        <f t="shared" si="16"/>
        <v>14.600000000000136</v>
      </c>
      <c r="K152" s="8" t="b">
        <f t="shared" si="19"/>
        <v>1</v>
      </c>
    </row>
    <row r="153" spans="1:11">
      <c r="A153" s="5" t="s">
        <v>228</v>
      </c>
      <c r="B153" s="6">
        <v>45216</v>
      </c>
      <c r="C153" s="7">
        <v>0.5</v>
      </c>
      <c r="D153" s="5">
        <v>14.54</v>
      </c>
      <c r="E153" s="5">
        <v>1538.7</v>
      </c>
      <c r="F153" s="5">
        <v>1553.3</v>
      </c>
      <c r="G153" s="6">
        <v>45216</v>
      </c>
      <c r="H153" s="5"/>
      <c r="I153" s="5"/>
      <c r="J153" s="5">
        <f t="shared" si="16"/>
        <v>14.599999999999909</v>
      </c>
      <c r="K153" s="8" t="b">
        <f t="shared" si="19"/>
        <v>1</v>
      </c>
    </row>
    <row r="154" spans="1:11">
      <c r="A154" s="5" t="s">
        <v>229</v>
      </c>
      <c r="B154" s="6">
        <v>45217</v>
      </c>
      <c r="C154" s="7">
        <v>0.4</v>
      </c>
      <c r="D154" s="5">
        <v>18.18</v>
      </c>
      <c r="E154" s="5">
        <v>1553.3</v>
      </c>
      <c r="F154" s="5">
        <v>1571.8</v>
      </c>
      <c r="G154" s="6">
        <v>45217</v>
      </c>
      <c r="H154" s="5"/>
      <c r="I154" s="5"/>
      <c r="J154" s="5">
        <f t="shared" si="16"/>
        <v>18.5</v>
      </c>
      <c r="K154" s="8" t="b">
        <f t="shared" si="19"/>
        <v>1</v>
      </c>
    </row>
    <row r="155" spans="1:11">
      <c r="A155" s="5" t="s">
        <v>228</v>
      </c>
      <c r="B155" s="6">
        <v>45218</v>
      </c>
      <c r="C155" s="7">
        <v>0.4</v>
      </c>
      <c r="D155" s="5">
        <v>18.18</v>
      </c>
      <c r="E155" s="5">
        <v>1571.8</v>
      </c>
      <c r="F155" s="5">
        <v>1590.3</v>
      </c>
      <c r="G155" s="6">
        <v>45218</v>
      </c>
      <c r="H155" s="5"/>
      <c r="I155" s="5"/>
      <c r="J155" s="5">
        <f t="shared" si="16"/>
        <v>18.5</v>
      </c>
      <c r="K155" s="8" t="b">
        <f t="shared" si="19"/>
        <v>1</v>
      </c>
    </row>
    <row r="156" spans="1:11">
      <c r="A156" s="5" t="s">
        <v>229</v>
      </c>
      <c r="B156" s="6">
        <v>45219</v>
      </c>
      <c r="C156" s="7">
        <v>0.4</v>
      </c>
      <c r="D156" s="5">
        <v>18.18</v>
      </c>
      <c r="E156" s="5">
        <v>1590.3</v>
      </c>
      <c r="F156" s="5">
        <v>1608.6</v>
      </c>
      <c r="G156" s="6">
        <v>45219</v>
      </c>
      <c r="H156" s="5"/>
      <c r="I156" s="5"/>
      <c r="J156" s="5">
        <f t="shared" si="16"/>
        <v>18.299999999999955</v>
      </c>
      <c r="K156" s="8" t="b">
        <f t="shared" si="19"/>
        <v>1</v>
      </c>
    </row>
    <row r="157" spans="1:11">
      <c r="A157" s="5" t="s">
        <v>228</v>
      </c>
      <c r="B157" s="6">
        <v>45220</v>
      </c>
      <c r="C157" s="7">
        <v>0.65</v>
      </c>
      <c r="D157" s="5">
        <v>11.18</v>
      </c>
      <c r="E157" s="5">
        <v>1608.6</v>
      </c>
      <c r="F157" s="5">
        <v>1620.1</v>
      </c>
      <c r="G157" s="6">
        <v>45220</v>
      </c>
      <c r="H157" s="5"/>
      <c r="I157" s="5"/>
      <c r="J157" s="5">
        <f t="shared" si="16"/>
        <v>11.5</v>
      </c>
      <c r="K157" s="8" t="b">
        <f t="shared" si="19"/>
        <v>1</v>
      </c>
    </row>
    <row r="158" spans="1:11">
      <c r="A158" s="5" t="s">
        <v>229</v>
      </c>
      <c r="B158" s="6">
        <v>45221</v>
      </c>
      <c r="C158" s="7">
        <v>0.4</v>
      </c>
      <c r="D158" s="5">
        <v>18.18</v>
      </c>
      <c r="E158" s="5">
        <v>1620.1</v>
      </c>
      <c r="F158" s="5">
        <v>1636.8</v>
      </c>
      <c r="G158" s="6">
        <v>45221</v>
      </c>
      <c r="H158" s="5"/>
      <c r="I158" s="5"/>
      <c r="J158" s="5">
        <f t="shared" si="16"/>
        <v>16.700000000000045</v>
      </c>
      <c r="K158" s="8" t="b">
        <f t="shared" ref="K158:K172" si="20">E158=F157</f>
        <v>1</v>
      </c>
    </row>
    <row r="159" spans="1:11">
      <c r="A159" s="5" t="s">
        <v>228</v>
      </c>
      <c r="B159" s="6">
        <v>45222</v>
      </c>
      <c r="C159" s="7">
        <v>0.4</v>
      </c>
      <c r="D159" s="5">
        <v>18.18</v>
      </c>
      <c r="E159" s="5">
        <v>1636.8</v>
      </c>
      <c r="F159" s="5">
        <v>1655.7</v>
      </c>
      <c r="G159" s="6">
        <v>45222</v>
      </c>
      <c r="H159" s="5"/>
      <c r="I159" s="5"/>
      <c r="J159" s="5">
        <f t="shared" si="16"/>
        <v>18.900000000000091</v>
      </c>
      <c r="K159" s="8" t="b">
        <f t="shared" si="20"/>
        <v>1</v>
      </c>
    </row>
    <row r="160" spans="1:11">
      <c r="A160" s="5" t="s">
        <v>229</v>
      </c>
      <c r="B160" s="6">
        <v>45223</v>
      </c>
      <c r="C160" s="7">
        <v>0.4</v>
      </c>
      <c r="D160" s="5">
        <v>18.18</v>
      </c>
      <c r="E160" s="5">
        <v>1655.7</v>
      </c>
      <c r="F160" s="5">
        <v>1672.9</v>
      </c>
      <c r="G160" s="6">
        <v>45223</v>
      </c>
      <c r="H160" s="5"/>
      <c r="I160" s="5"/>
      <c r="J160" s="5">
        <f t="shared" si="16"/>
        <v>17.200000000000045</v>
      </c>
      <c r="K160" s="8" t="b">
        <f t="shared" si="20"/>
        <v>1</v>
      </c>
    </row>
    <row r="161" spans="1:11">
      <c r="A161" s="101" t="s">
        <v>228</v>
      </c>
      <c r="B161" s="102">
        <v>45224</v>
      </c>
      <c r="C161" s="103">
        <v>0.4</v>
      </c>
      <c r="D161" s="101">
        <v>18.18</v>
      </c>
      <c r="E161" s="101"/>
      <c r="F161" s="101"/>
      <c r="G161" s="102">
        <v>45224</v>
      </c>
      <c r="H161" s="101"/>
      <c r="I161" s="101"/>
      <c r="J161" s="5">
        <f t="shared" si="16"/>
        <v>0</v>
      </c>
      <c r="K161" s="8" t="b">
        <f t="shared" si="20"/>
        <v>0</v>
      </c>
    </row>
    <row r="162" spans="1:11">
      <c r="A162" s="101" t="s">
        <v>229</v>
      </c>
      <c r="B162" s="102">
        <v>45225</v>
      </c>
      <c r="C162" s="103">
        <v>0.4</v>
      </c>
      <c r="D162" s="101">
        <v>18.18</v>
      </c>
      <c r="E162" s="101"/>
      <c r="F162" s="101"/>
      <c r="G162" s="102">
        <v>45225</v>
      </c>
      <c r="H162" s="101"/>
      <c r="I162" s="101"/>
      <c r="J162" s="5">
        <f t="shared" si="16"/>
        <v>0</v>
      </c>
      <c r="K162" s="8" t="b">
        <f t="shared" si="20"/>
        <v>1</v>
      </c>
    </row>
    <row r="163" spans="1:11">
      <c r="A163" s="5" t="s">
        <v>228</v>
      </c>
      <c r="B163" s="6">
        <v>45226</v>
      </c>
      <c r="C163" s="7">
        <v>1</v>
      </c>
      <c r="D163" s="5">
        <v>7.27</v>
      </c>
      <c r="E163" s="5">
        <v>1672.9</v>
      </c>
      <c r="F163" s="5">
        <v>1681.8</v>
      </c>
      <c r="G163" s="6">
        <v>45226</v>
      </c>
      <c r="H163" s="5"/>
      <c r="I163" s="5"/>
      <c r="J163" s="5">
        <f t="shared" si="16"/>
        <v>8.8999999999998636</v>
      </c>
      <c r="K163" s="8" t="b">
        <f t="shared" si="20"/>
        <v>0</v>
      </c>
    </row>
    <row r="164" spans="1:11">
      <c r="A164" s="5" t="s">
        <v>229</v>
      </c>
      <c r="B164" s="6">
        <v>45227</v>
      </c>
      <c r="C164" s="7">
        <v>0.4</v>
      </c>
      <c r="D164" s="5">
        <v>18.18</v>
      </c>
      <c r="E164" s="5">
        <v>1681.8</v>
      </c>
      <c r="F164" s="5">
        <v>1699</v>
      </c>
      <c r="G164" s="6">
        <v>45227</v>
      </c>
      <c r="H164" s="5"/>
      <c r="I164" s="5"/>
      <c r="J164" s="5">
        <f t="shared" si="16"/>
        <v>17.200000000000045</v>
      </c>
      <c r="K164" s="8" t="b">
        <f t="shared" si="20"/>
        <v>1</v>
      </c>
    </row>
    <row r="165" spans="1:11">
      <c r="A165" s="5" t="s">
        <v>228</v>
      </c>
      <c r="B165" s="6">
        <v>45228</v>
      </c>
      <c r="C165" s="7">
        <v>0.4</v>
      </c>
      <c r="D165" s="5">
        <v>18.18</v>
      </c>
      <c r="E165" s="5">
        <v>1699</v>
      </c>
      <c r="F165" s="5">
        <v>1717.1</v>
      </c>
      <c r="G165" s="6">
        <v>45228</v>
      </c>
      <c r="H165" s="5"/>
      <c r="I165" s="5"/>
      <c r="J165" s="5">
        <f t="shared" si="16"/>
        <v>18.099999999999909</v>
      </c>
      <c r="K165" s="8" t="b">
        <f t="shared" si="20"/>
        <v>1</v>
      </c>
    </row>
    <row r="166" spans="1:11">
      <c r="A166" s="5" t="s">
        <v>229</v>
      </c>
      <c r="B166" s="6">
        <v>45229</v>
      </c>
      <c r="C166" s="7">
        <v>0.4</v>
      </c>
      <c r="D166" s="5">
        <v>18.18</v>
      </c>
      <c r="E166" s="5">
        <v>1717.1</v>
      </c>
      <c r="F166" s="5">
        <v>1734.9</v>
      </c>
      <c r="G166" s="6">
        <v>45229</v>
      </c>
      <c r="H166" s="5"/>
      <c r="I166" s="5"/>
      <c r="J166" s="5">
        <f t="shared" si="16"/>
        <v>17.800000000000182</v>
      </c>
      <c r="K166" s="8" t="b">
        <f t="shared" si="20"/>
        <v>1</v>
      </c>
    </row>
    <row r="167" spans="1:11">
      <c r="A167" s="5" t="s">
        <v>230</v>
      </c>
      <c r="B167" s="6">
        <v>45230</v>
      </c>
      <c r="C167" s="7">
        <v>0.4</v>
      </c>
      <c r="D167" s="5">
        <v>18.18</v>
      </c>
      <c r="E167" s="5">
        <v>1734.9</v>
      </c>
      <c r="F167" s="5">
        <v>1753.1</v>
      </c>
      <c r="G167" s="6">
        <v>45230</v>
      </c>
      <c r="H167" s="5"/>
      <c r="I167" s="5"/>
      <c r="J167" s="5">
        <f t="shared" si="16"/>
        <v>18.199999999999818</v>
      </c>
      <c r="K167" s="8" t="b">
        <f t="shared" si="20"/>
        <v>1</v>
      </c>
    </row>
    <row r="168" spans="1:11">
      <c r="A168" s="5" t="s">
        <v>229</v>
      </c>
      <c r="B168" s="6">
        <v>45231</v>
      </c>
      <c r="C168" s="7">
        <v>0.4</v>
      </c>
      <c r="D168" s="5">
        <v>18.18</v>
      </c>
      <c r="E168" s="5">
        <v>1753.1</v>
      </c>
      <c r="F168" s="5">
        <v>1771.2</v>
      </c>
      <c r="G168" s="6">
        <v>45231</v>
      </c>
      <c r="H168" s="5"/>
      <c r="I168" s="5"/>
      <c r="J168" s="5">
        <f>F168-E168</f>
        <v>18.100000000000136</v>
      </c>
      <c r="K168" s="8" t="b">
        <f t="shared" si="20"/>
        <v>1</v>
      </c>
    </row>
    <row r="169" spans="1:11">
      <c r="A169" s="5" t="s">
        <v>228</v>
      </c>
      <c r="B169" s="6">
        <v>45232</v>
      </c>
      <c r="C169" s="7">
        <v>0.4</v>
      </c>
      <c r="D169" s="5">
        <v>18.18</v>
      </c>
      <c r="E169" s="5">
        <v>1771.2</v>
      </c>
      <c r="F169" s="5">
        <v>1789.3</v>
      </c>
      <c r="G169" s="6">
        <v>45232</v>
      </c>
      <c r="H169" s="5"/>
      <c r="I169" s="5"/>
      <c r="J169" s="5">
        <f>F169-E169</f>
        <v>18.099999999999909</v>
      </c>
      <c r="K169" s="8" t="b">
        <f t="shared" si="20"/>
        <v>1</v>
      </c>
    </row>
    <row r="170" spans="1:11">
      <c r="A170" s="5" t="s">
        <v>228</v>
      </c>
      <c r="B170" s="6">
        <v>45235</v>
      </c>
      <c r="C170" s="7">
        <v>0.5</v>
      </c>
      <c r="D170" s="5">
        <v>14.54</v>
      </c>
      <c r="E170" s="5">
        <v>1789.3</v>
      </c>
      <c r="F170" s="5">
        <v>1803.5</v>
      </c>
      <c r="G170" s="6">
        <v>45235</v>
      </c>
      <c r="H170" s="5"/>
      <c r="I170" s="5"/>
      <c r="J170" s="5">
        <f t="shared" si="16"/>
        <v>14.200000000000045</v>
      </c>
      <c r="K170" s="8" t="b">
        <f t="shared" si="20"/>
        <v>1</v>
      </c>
    </row>
    <row r="171" spans="1:11">
      <c r="A171" s="5" t="s">
        <v>229</v>
      </c>
      <c r="B171" s="6">
        <v>45236</v>
      </c>
      <c r="C171" s="7">
        <v>0.75</v>
      </c>
      <c r="D171" s="5">
        <v>9.69</v>
      </c>
      <c r="E171" s="5">
        <v>1803.5</v>
      </c>
      <c r="F171" s="5">
        <v>1813.2</v>
      </c>
      <c r="G171" s="6">
        <v>45236</v>
      </c>
      <c r="H171" s="5"/>
      <c r="I171" s="5"/>
      <c r="J171" s="5">
        <f t="shared" ref="J171:J220" si="21">F171-E171</f>
        <v>9.7000000000000455</v>
      </c>
      <c r="K171" s="8" t="b">
        <f t="shared" si="20"/>
        <v>1</v>
      </c>
    </row>
    <row r="172" spans="1:11">
      <c r="A172" s="5" t="s">
        <v>228</v>
      </c>
      <c r="B172" s="6">
        <v>45237</v>
      </c>
      <c r="C172" s="7">
        <v>0.4</v>
      </c>
      <c r="D172" s="5">
        <v>18.18</v>
      </c>
      <c r="E172" s="5">
        <v>1813.2</v>
      </c>
      <c r="F172" s="5">
        <v>1830.8</v>
      </c>
      <c r="G172" s="6">
        <v>45237</v>
      </c>
      <c r="H172" s="5"/>
      <c r="I172" s="5"/>
      <c r="J172" s="5">
        <f t="shared" si="21"/>
        <v>17.599999999999909</v>
      </c>
      <c r="K172" s="8" t="b">
        <f t="shared" si="20"/>
        <v>1</v>
      </c>
    </row>
    <row r="173" spans="1:11">
      <c r="A173" s="5" t="s">
        <v>229</v>
      </c>
      <c r="B173" s="6">
        <v>45238</v>
      </c>
      <c r="C173" s="7">
        <v>0.4</v>
      </c>
      <c r="D173" s="5">
        <v>18.18</v>
      </c>
      <c r="E173" s="5">
        <v>1830.8</v>
      </c>
      <c r="F173" s="5">
        <v>1849</v>
      </c>
      <c r="G173" s="6">
        <v>45238</v>
      </c>
      <c r="H173" s="5"/>
      <c r="I173" s="5"/>
      <c r="J173" s="5">
        <f t="shared" si="21"/>
        <v>18.200000000000045</v>
      </c>
      <c r="K173" s="8" t="b">
        <f t="shared" ref="K173:K175" si="22">E173=F172</f>
        <v>1</v>
      </c>
    </row>
    <row r="174" spans="1:11">
      <c r="A174" s="5" t="s">
        <v>228</v>
      </c>
      <c r="B174" s="6">
        <v>45239</v>
      </c>
      <c r="C174" s="7">
        <v>0.4</v>
      </c>
      <c r="D174" s="5">
        <v>18.18</v>
      </c>
      <c r="E174" s="5">
        <v>1849</v>
      </c>
      <c r="F174" s="5">
        <v>1866.7</v>
      </c>
      <c r="G174" s="6">
        <v>45239</v>
      </c>
      <c r="H174" s="5"/>
      <c r="I174" s="5"/>
      <c r="J174" s="5">
        <f t="shared" si="21"/>
        <v>17.700000000000045</v>
      </c>
      <c r="K174" s="8" t="b">
        <f t="shared" si="22"/>
        <v>1</v>
      </c>
    </row>
    <row r="175" spans="1:11">
      <c r="A175" s="5" t="s">
        <v>227</v>
      </c>
      <c r="B175" s="6">
        <v>45240</v>
      </c>
      <c r="C175" s="7">
        <v>0.8</v>
      </c>
      <c r="D175" s="5">
        <v>9.09</v>
      </c>
      <c r="E175" s="5">
        <v>1866.7</v>
      </c>
      <c r="F175" s="5">
        <v>1884.7</v>
      </c>
      <c r="G175" s="6">
        <v>45240</v>
      </c>
      <c r="H175" s="5"/>
      <c r="I175" s="5"/>
      <c r="J175" s="5">
        <f t="shared" si="21"/>
        <v>18</v>
      </c>
      <c r="K175" s="8" t="b">
        <f t="shared" si="22"/>
        <v>1</v>
      </c>
    </row>
    <row r="177" spans="1:11" ht="26.25">
      <c r="A177" s="126" t="s">
        <v>223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8"/>
    </row>
    <row r="178" spans="1:11" ht="26.25">
      <c r="A178" s="129" t="s">
        <v>19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1"/>
    </row>
    <row r="179" spans="1:11" ht="15.75" thickBot="1"/>
    <row r="180" spans="1:11" ht="15.75" thickBot="1">
      <c r="A180" s="132" t="s">
        <v>2</v>
      </c>
      <c r="B180" s="133"/>
      <c r="C180" s="133"/>
      <c r="D180" s="133"/>
      <c r="E180" s="133"/>
      <c r="F180" s="133"/>
      <c r="G180" s="133"/>
      <c r="H180" s="133"/>
      <c r="I180" s="133"/>
      <c r="J180" s="133"/>
      <c r="K180" s="134"/>
    </row>
    <row r="182" spans="1:11" ht="19.5" thickBot="1">
      <c r="A182" s="1" t="s">
        <v>3</v>
      </c>
      <c r="B182" s="1"/>
      <c r="C182" s="1"/>
      <c r="D182" s="1"/>
      <c r="E182" s="1"/>
      <c r="F182" s="1"/>
      <c r="G182" s="1"/>
      <c r="H182" s="1"/>
      <c r="I182" s="1"/>
    </row>
    <row r="183" spans="1:11" ht="30.75" thickBot="1">
      <c r="A183" s="2" t="s">
        <v>4</v>
      </c>
      <c r="B183" s="3" t="s">
        <v>5</v>
      </c>
      <c r="C183" s="3" t="s">
        <v>6</v>
      </c>
      <c r="D183" s="3" t="s">
        <v>7</v>
      </c>
      <c r="E183" s="3" t="s">
        <v>8</v>
      </c>
      <c r="F183" s="3" t="s">
        <v>9</v>
      </c>
      <c r="G183" s="3" t="s">
        <v>10</v>
      </c>
      <c r="H183" s="3" t="s">
        <v>21</v>
      </c>
      <c r="I183" s="4" t="s">
        <v>22</v>
      </c>
      <c r="J183" s="4" t="s">
        <v>11</v>
      </c>
      <c r="K183" s="4" t="s">
        <v>12</v>
      </c>
    </row>
    <row r="184" spans="1:11" hidden="1">
      <c r="A184" s="5" t="s">
        <v>227</v>
      </c>
      <c r="B184" s="6">
        <v>45311</v>
      </c>
      <c r="C184" s="7">
        <v>1</v>
      </c>
      <c r="D184" s="5">
        <v>7.27</v>
      </c>
      <c r="E184" s="5">
        <v>0</v>
      </c>
      <c r="F184" s="5">
        <v>15</v>
      </c>
      <c r="G184" s="6">
        <v>45311</v>
      </c>
      <c r="H184" s="5"/>
      <c r="I184" s="5"/>
      <c r="J184" s="5">
        <f t="shared" si="21"/>
        <v>15</v>
      </c>
      <c r="K184" s="8" t="b">
        <f>E184=F175</f>
        <v>0</v>
      </c>
    </row>
    <row r="185" spans="1:11" hidden="1">
      <c r="A185" s="5" t="s">
        <v>227</v>
      </c>
      <c r="B185" s="6">
        <v>45312</v>
      </c>
      <c r="C185" s="7">
        <v>1</v>
      </c>
      <c r="D185" s="5">
        <v>7.27</v>
      </c>
      <c r="E185" s="5">
        <v>15</v>
      </c>
      <c r="F185" s="5">
        <v>30.1</v>
      </c>
      <c r="G185" s="6">
        <v>45312</v>
      </c>
      <c r="H185" s="5"/>
      <c r="I185" s="5"/>
      <c r="J185" s="5">
        <f t="shared" si="21"/>
        <v>15.100000000000001</v>
      </c>
      <c r="K185" s="8" t="b">
        <f>E185=F184</f>
        <v>1</v>
      </c>
    </row>
    <row r="186" spans="1:11" hidden="1">
      <c r="A186" s="5" t="s">
        <v>227</v>
      </c>
      <c r="B186" s="6">
        <v>45313</v>
      </c>
      <c r="C186" s="7">
        <v>1</v>
      </c>
      <c r="D186" s="5">
        <v>7.27</v>
      </c>
      <c r="E186" s="5">
        <v>30.1</v>
      </c>
      <c r="F186" s="5">
        <v>45</v>
      </c>
      <c r="G186" s="6">
        <v>45313</v>
      </c>
      <c r="H186" s="5"/>
      <c r="I186" s="5"/>
      <c r="J186" s="5">
        <f t="shared" si="21"/>
        <v>14.899999999999999</v>
      </c>
      <c r="K186" s="8" t="b">
        <f t="shared" ref="K186:K221" si="23">E186=F185</f>
        <v>1</v>
      </c>
    </row>
    <row r="187" spans="1:11" hidden="1">
      <c r="A187" s="5" t="s">
        <v>227</v>
      </c>
      <c r="B187" s="6">
        <v>45345</v>
      </c>
      <c r="C187" s="7">
        <v>1</v>
      </c>
      <c r="D187" s="5">
        <v>7.27</v>
      </c>
      <c r="E187" s="5">
        <v>45</v>
      </c>
      <c r="F187" s="5">
        <v>60</v>
      </c>
      <c r="G187" s="6">
        <v>45345</v>
      </c>
      <c r="H187" s="5"/>
      <c r="I187" s="5"/>
      <c r="J187" s="5">
        <f t="shared" si="21"/>
        <v>15</v>
      </c>
      <c r="K187" s="8" t="b">
        <f t="shared" si="23"/>
        <v>1</v>
      </c>
    </row>
    <row r="188" spans="1:11" hidden="1">
      <c r="A188" s="5" t="s">
        <v>227</v>
      </c>
      <c r="B188" s="6">
        <v>45351</v>
      </c>
      <c r="C188" s="7">
        <v>0.8</v>
      </c>
      <c r="D188" s="5">
        <v>9.09</v>
      </c>
      <c r="E188" s="5">
        <v>60</v>
      </c>
      <c r="F188" s="5">
        <v>79.3</v>
      </c>
      <c r="G188" s="6">
        <v>45351</v>
      </c>
      <c r="H188" s="5"/>
      <c r="I188" s="5"/>
      <c r="J188" s="5">
        <f t="shared" si="21"/>
        <v>19.299999999999997</v>
      </c>
      <c r="K188" s="8" t="b">
        <f t="shared" si="23"/>
        <v>1</v>
      </c>
    </row>
    <row r="189" spans="1:11" hidden="1">
      <c r="A189" s="5" t="s">
        <v>227</v>
      </c>
      <c r="B189" s="6">
        <v>45354</v>
      </c>
      <c r="C189" s="7">
        <v>0.8</v>
      </c>
      <c r="D189" s="5">
        <v>9.09</v>
      </c>
      <c r="E189" s="5">
        <v>79.3</v>
      </c>
      <c r="F189" s="5">
        <v>98.3</v>
      </c>
      <c r="G189" s="6">
        <v>45354</v>
      </c>
      <c r="H189" s="5"/>
      <c r="I189" s="5"/>
      <c r="J189" s="5">
        <f t="shared" si="21"/>
        <v>19</v>
      </c>
      <c r="K189" s="8" t="b">
        <f t="shared" si="23"/>
        <v>1</v>
      </c>
    </row>
    <row r="190" spans="1:11" hidden="1">
      <c r="A190" s="5" t="s">
        <v>227</v>
      </c>
      <c r="B190" s="6">
        <v>45361</v>
      </c>
      <c r="C190" s="7">
        <v>0.8</v>
      </c>
      <c r="D190" s="5">
        <v>9.09</v>
      </c>
      <c r="E190" s="5">
        <v>98.3</v>
      </c>
      <c r="F190" s="5">
        <v>117.3</v>
      </c>
      <c r="G190" s="6">
        <v>45361</v>
      </c>
      <c r="H190" s="5"/>
      <c r="I190" s="5"/>
      <c r="J190" s="5">
        <f t="shared" si="21"/>
        <v>19</v>
      </c>
      <c r="K190" s="8" t="b">
        <f t="shared" si="23"/>
        <v>1</v>
      </c>
    </row>
    <row r="191" spans="1:11" hidden="1">
      <c r="A191" s="5" t="s">
        <v>227</v>
      </c>
      <c r="B191" s="6">
        <v>45364</v>
      </c>
      <c r="C191" s="7">
        <v>1</v>
      </c>
      <c r="D191" s="5">
        <v>7.27</v>
      </c>
      <c r="E191" s="5">
        <v>117.3</v>
      </c>
      <c r="F191" s="5">
        <v>131.19999999999999</v>
      </c>
      <c r="G191" s="6">
        <v>45364</v>
      </c>
      <c r="H191" s="5"/>
      <c r="I191" s="5"/>
      <c r="J191" s="5">
        <f t="shared" si="21"/>
        <v>13.899999999999991</v>
      </c>
      <c r="K191" s="8" t="b">
        <f t="shared" si="23"/>
        <v>1</v>
      </c>
    </row>
    <row r="192" spans="1:11" hidden="1">
      <c r="A192" s="5" t="s">
        <v>227</v>
      </c>
      <c r="B192" s="6">
        <v>45365</v>
      </c>
      <c r="C192" s="7">
        <v>1</v>
      </c>
      <c r="D192" s="5">
        <v>7.27</v>
      </c>
      <c r="E192" s="5">
        <v>131.19999999999999</v>
      </c>
      <c r="F192" s="5">
        <v>146</v>
      </c>
      <c r="G192" s="6">
        <v>45365</v>
      </c>
      <c r="H192" s="5"/>
      <c r="I192" s="5"/>
      <c r="J192" s="5">
        <f t="shared" si="21"/>
        <v>14.800000000000011</v>
      </c>
      <c r="K192" s="8" t="b">
        <f t="shared" si="23"/>
        <v>1</v>
      </c>
    </row>
    <row r="193" spans="1:11" hidden="1">
      <c r="A193" s="5" t="s">
        <v>227</v>
      </c>
      <c r="B193" s="6">
        <v>45369</v>
      </c>
      <c r="C193" s="7">
        <v>0.6</v>
      </c>
      <c r="D193" s="5">
        <v>12.12</v>
      </c>
      <c r="E193" s="5">
        <v>146</v>
      </c>
      <c r="F193" s="5">
        <v>171.4</v>
      </c>
      <c r="G193" s="6">
        <v>45369</v>
      </c>
      <c r="H193" s="5"/>
      <c r="I193" s="5"/>
      <c r="J193" s="5">
        <f t="shared" si="21"/>
        <v>25.400000000000006</v>
      </c>
      <c r="K193" s="8" t="b">
        <f t="shared" si="23"/>
        <v>1</v>
      </c>
    </row>
    <row r="194" spans="1:11" hidden="1">
      <c r="A194" s="5" t="s">
        <v>227</v>
      </c>
      <c r="B194" s="6">
        <v>45371</v>
      </c>
      <c r="C194" s="7">
        <v>0.7</v>
      </c>
      <c r="D194" s="5">
        <v>10.39</v>
      </c>
      <c r="E194" s="5">
        <v>171.4</v>
      </c>
      <c r="F194" s="5">
        <v>176.4</v>
      </c>
      <c r="G194" s="6">
        <v>45371</v>
      </c>
      <c r="H194" s="5"/>
      <c r="I194" s="5"/>
      <c r="J194" s="5">
        <f t="shared" si="21"/>
        <v>5</v>
      </c>
      <c r="K194" s="8" t="b">
        <f t="shared" si="23"/>
        <v>1</v>
      </c>
    </row>
    <row r="195" spans="1:11" hidden="1">
      <c r="A195" s="5" t="s">
        <v>227</v>
      </c>
      <c r="B195" s="6">
        <v>45378</v>
      </c>
      <c r="C195" s="7">
        <v>0.9</v>
      </c>
      <c r="D195" s="5">
        <v>8.08</v>
      </c>
      <c r="E195" s="5">
        <v>176.4</v>
      </c>
      <c r="F195" s="5">
        <v>192.6</v>
      </c>
      <c r="G195" s="6">
        <v>45378</v>
      </c>
      <c r="H195" s="5"/>
      <c r="I195" s="5"/>
      <c r="J195" s="5">
        <f t="shared" si="21"/>
        <v>16.199999999999989</v>
      </c>
      <c r="K195" s="8" t="b">
        <f t="shared" si="23"/>
        <v>1</v>
      </c>
    </row>
    <row r="196" spans="1:11" hidden="1">
      <c r="A196" s="5" t="s">
        <v>227</v>
      </c>
      <c r="B196" s="6">
        <v>45381</v>
      </c>
      <c r="C196" s="7">
        <v>1</v>
      </c>
      <c r="D196" s="5">
        <v>7.27</v>
      </c>
      <c r="E196" s="5">
        <v>192.6</v>
      </c>
      <c r="F196" s="5">
        <v>207.6</v>
      </c>
      <c r="G196" s="6">
        <v>45381</v>
      </c>
      <c r="H196" s="5"/>
      <c r="I196" s="5"/>
      <c r="J196" s="5">
        <f t="shared" si="21"/>
        <v>15</v>
      </c>
      <c r="K196" s="8" t="b">
        <f t="shared" si="23"/>
        <v>1</v>
      </c>
    </row>
    <row r="197" spans="1:11" hidden="1">
      <c r="A197" s="5" t="s">
        <v>227</v>
      </c>
      <c r="B197" s="6">
        <v>45383</v>
      </c>
      <c r="C197" s="7">
        <v>1</v>
      </c>
      <c r="D197" s="5">
        <v>7.27</v>
      </c>
      <c r="E197" s="5">
        <v>207.6</v>
      </c>
      <c r="F197" s="5">
        <v>222.7</v>
      </c>
      <c r="G197" s="6">
        <v>45383</v>
      </c>
      <c r="H197" s="5"/>
      <c r="I197" s="5"/>
      <c r="J197" s="5">
        <f t="shared" si="21"/>
        <v>15.099999999999994</v>
      </c>
      <c r="K197" s="8" t="b">
        <f t="shared" si="23"/>
        <v>1</v>
      </c>
    </row>
    <row r="198" spans="1:11" hidden="1">
      <c r="A198" s="5" t="s">
        <v>227</v>
      </c>
      <c r="B198" s="6">
        <v>45385</v>
      </c>
      <c r="C198" s="7">
        <v>1</v>
      </c>
      <c r="D198" s="5">
        <v>7.27</v>
      </c>
      <c r="E198" s="5">
        <v>222.7</v>
      </c>
      <c r="F198" s="5">
        <v>237.4</v>
      </c>
      <c r="G198" s="6">
        <v>45385</v>
      </c>
      <c r="H198" s="5"/>
      <c r="I198" s="5"/>
      <c r="J198" s="5">
        <f t="shared" si="21"/>
        <v>14.700000000000017</v>
      </c>
      <c r="K198" s="8" t="b">
        <f t="shared" si="23"/>
        <v>1</v>
      </c>
    </row>
    <row r="199" spans="1:11" hidden="1">
      <c r="A199" s="5" t="s">
        <v>227</v>
      </c>
      <c r="B199" s="6">
        <v>45390</v>
      </c>
      <c r="C199" s="7">
        <v>1</v>
      </c>
      <c r="D199" s="5">
        <v>7.27</v>
      </c>
      <c r="E199" s="5">
        <v>237.4</v>
      </c>
      <c r="F199" s="5">
        <v>252.4</v>
      </c>
      <c r="G199" s="6">
        <v>45390</v>
      </c>
      <c r="H199" s="5"/>
      <c r="I199" s="5"/>
      <c r="J199" s="5">
        <f t="shared" si="21"/>
        <v>15</v>
      </c>
      <c r="K199" s="8" t="b">
        <f t="shared" si="23"/>
        <v>1</v>
      </c>
    </row>
    <row r="200" spans="1:11" hidden="1">
      <c r="A200" s="5" t="s">
        <v>227</v>
      </c>
      <c r="B200" s="6">
        <v>45392</v>
      </c>
      <c r="C200" s="7">
        <v>1</v>
      </c>
      <c r="D200" s="5">
        <v>7.27</v>
      </c>
      <c r="E200" s="5">
        <v>252.4</v>
      </c>
      <c r="F200" s="5">
        <v>267.39999999999998</v>
      </c>
      <c r="G200" s="6">
        <v>45392</v>
      </c>
      <c r="H200" s="5"/>
      <c r="I200" s="5"/>
      <c r="J200" s="5">
        <f t="shared" si="21"/>
        <v>14.999999999999972</v>
      </c>
      <c r="K200" s="8" t="b">
        <f t="shared" si="23"/>
        <v>1</v>
      </c>
    </row>
    <row r="201" spans="1:11" hidden="1">
      <c r="A201" s="5" t="s">
        <v>227</v>
      </c>
      <c r="B201" s="6">
        <v>45400</v>
      </c>
      <c r="C201" s="7">
        <v>0.7</v>
      </c>
      <c r="D201" s="5">
        <v>10.39</v>
      </c>
      <c r="E201" s="5">
        <v>282.39999999999998</v>
      </c>
      <c r="F201" s="5">
        <v>303.39999999999998</v>
      </c>
      <c r="G201" s="6">
        <v>45400</v>
      </c>
      <c r="H201" s="5"/>
      <c r="I201" s="5"/>
      <c r="J201" s="5">
        <f t="shared" si="21"/>
        <v>21</v>
      </c>
      <c r="K201" s="8" t="b">
        <f t="shared" si="23"/>
        <v>0</v>
      </c>
    </row>
    <row r="202" spans="1:11" hidden="1">
      <c r="A202" s="5" t="s">
        <v>227</v>
      </c>
      <c r="B202" s="6">
        <v>45403</v>
      </c>
      <c r="C202" s="7">
        <v>0.7</v>
      </c>
      <c r="D202" s="5">
        <v>10.39</v>
      </c>
      <c r="E202" s="5">
        <v>303.39999999999998</v>
      </c>
      <c r="F202" s="5">
        <v>325.2</v>
      </c>
      <c r="G202" s="6">
        <v>45403</v>
      </c>
      <c r="H202" s="5"/>
      <c r="I202" s="5"/>
      <c r="J202" s="5">
        <f t="shared" si="21"/>
        <v>21.800000000000011</v>
      </c>
      <c r="K202" s="8" t="b">
        <f t="shared" si="23"/>
        <v>1</v>
      </c>
    </row>
    <row r="203" spans="1:11" hidden="1">
      <c r="A203" s="5" t="s">
        <v>227</v>
      </c>
      <c r="B203" s="6">
        <v>45406</v>
      </c>
      <c r="C203" s="7">
        <v>0.7</v>
      </c>
      <c r="D203" s="5">
        <v>10.39</v>
      </c>
      <c r="E203" s="5">
        <v>325.2</v>
      </c>
      <c r="F203" s="5">
        <v>346.2</v>
      </c>
      <c r="G203" s="6">
        <v>45406</v>
      </c>
      <c r="H203" s="5"/>
      <c r="I203" s="5"/>
      <c r="J203" s="5">
        <f t="shared" si="21"/>
        <v>21</v>
      </c>
      <c r="K203" s="8" t="b">
        <f t="shared" si="23"/>
        <v>1</v>
      </c>
    </row>
    <row r="204" spans="1:11" hidden="1">
      <c r="A204" s="5" t="s">
        <v>227</v>
      </c>
      <c r="B204" s="6">
        <v>45409</v>
      </c>
      <c r="C204" s="7">
        <v>0.7</v>
      </c>
      <c r="D204" s="5">
        <v>10.39</v>
      </c>
      <c r="E204" s="5">
        <v>346.2</v>
      </c>
      <c r="F204" s="5">
        <v>368.2</v>
      </c>
      <c r="G204" s="6">
        <v>45409</v>
      </c>
      <c r="H204" s="5"/>
      <c r="I204" s="5"/>
      <c r="J204" s="5">
        <f t="shared" si="21"/>
        <v>22</v>
      </c>
      <c r="K204" s="8" t="b">
        <f t="shared" si="23"/>
        <v>1</v>
      </c>
    </row>
    <row r="205" spans="1:11" hidden="1">
      <c r="A205" s="5" t="s">
        <v>227</v>
      </c>
      <c r="B205" s="6">
        <v>45412</v>
      </c>
      <c r="C205" s="7">
        <v>0.7</v>
      </c>
      <c r="D205" s="5">
        <v>10.39</v>
      </c>
      <c r="E205" s="5">
        <v>368.2</v>
      </c>
      <c r="F205" s="5">
        <v>390.3</v>
      </c>
      <c r="G205" s="6">
        <v>45412</v>
      </c>
      <c r="H205" s="5"/>
      <c r="I205" s="5"/>
      <c r="J205" s="5">
        <f t="shared" si="21"/>
        <v>22.100000000000023</v>
      </c>
      <c r="K205" s="8" t="b">
        <f t="shared" si="23"/>
        <v>1</v>
      </c>
    </row>
    <row r="206" spans="1:11" hidden="1">
      <c r="A206" s="5" t="s">
        <v>227</v>
      </c>
      <c r="B206" s="6">
        <v>45422</v>
      </c>
      <c r="C206" s="7">
        <v>0.7</v>
      </c>
      <c r="D206" s="5">
        <v>10.39</v>
      </c>
      <c r="E206" s="5">
        <v>390.3</v>
      </c>
      <c r="F206" s="5">
        <v>412.1</v>
      </c>
      <c r="G206" s="6">
        <v>45422</v>
      </c>
      <c r="H206" s="5"/>
      <c r="I206" s="5"/>
      <c r="J206" s="5">
        <f t="shared" si="21"/>
        <v>21.800000000000011</v>
      </c>
      <c r="K206" s="8" t="b">
        <f t="shared" si="23"/>
        <v>1</v>
      </c>
    </row>
    <row r="207" spans="1:11" hidden="1">
      <c r="A207" s="5" t="s">
        <v>227</v>
      </c>
      <c r="B207" s="6">
        <v>45429</v>
      </c>
      <c r="C207" s="7">
        <v>0.7</v>
      </c>
      <c r="D207" s="5">
        <v>10.39</v>
      </c>
      <c r="E207" s="5">
        <v>412.1</v>
      </c>
      <c r="F207" s="5">
        <v>433.9</v>
      </c>
      <c r="G207" s="6">
        <v>1705</v>
      </c>
      <c r="H207" s="5"/>
      <c r="I207" s="5"/>
      <c r="J207" s="5">
        <f t="shared" si="21"/>
        <v>21.799999999999955</v>
      </c>
      <c r="K207" s="8" t="b">
        <f t="shared" si="23"/>
        <v>1</v>
      </c>
    </row>
    <row r="208" spans="1:11" hidden="1">
      <c r="A208" s="5" t="s">
        <v>227</v>
      </c>
      <c r="B208" s="6">
        <v>45434</v>
      </c>
      <c r="C208" s="7">
        <v>0.6</v>
      </c>
      <c r="D208" s="5">
        <v>12.12</v>
      </c>
      <c r="E208" s="5">
        <v>433.9</v>
      </c>
      <c r="F208" s="5">
        <v>458.9</v>
      </c>
      <c r="G208" s="6">
        <v>45434</v>
      </c>
      <c r="H208" s="5"/>
      <c r="I208" s="5"/>
      <c r="J208" s="5">
        <f t="shared" si="21"/>
        <v>25</v>
      </c>
      <c r="K208" s="8" t="b">
        <f t="shared" si="23"/>
        <v>1</v>
      </c>
    </row>
    <row r="209" spans="1:11" hidden="1">
      <c r="A209" s="5" t="s">
        <v>227</v>
      </c>
      <c r="B209" s="6">
        <v>45437</v>
      </c>
      <c r="C209" s="7">
        <v>0.7</v>
      </c>
      <c r="D209" s="5">
        <v>10.39</v>
      </c>
      <c r="E209" s="5">
        <v>458.9</v>
      </c>
      <c r="F209" s="5">
        <v>479.9</v>
      </c>
      <c r="G209" s="6">
        <v>45437</v>
      </c>
      <c r="H209" s="5"/>
      <c r="I209" s="5"/>
      <c r="J209" s="5">
        <f t="shared" si="21"/>
        <v>21</v>
      </c>
      <c r="K209" s="8" t="b">
        <f t="shared" si="23"/>
        <v>1</v>
      </c>
    </row>
    <row r="210" spans="1:11" hidden="1">
      <c r="A210" s="5" t="s">
        <v>227</v>
      </c>
      <c r="B210" s="6">
        <v>45440</v>
      </c>
      <c r="C210" s="7">
        <v>0.7</v>
      </c>
      <c r="D210" s="5">
        <v>10.39</v>
      </c>
      <c r="E210" s="5">
        <v>479.9</v>
      </c>
      <c r="F210" s="5">
        <v>490.4</v>
      </c>
      <c r="G210" s="6">
        <v>45440</v>
      </c>
      <c r="H210" s="5"/>
      <c r="I210" s="5"/>
      <c r="J210" s="5">
        <f t="shared" si="21"/>
        <v>10.5</v>
      </c>
      <c r="K210" s="8" t="b">
        <f t="shared" si="23"/>
        <v>1</v>
      </c>
    </row>
    <row r="211" spans="1:11" hidden="1">
      <c r="A211" s="5" t="s">
        <v>227</v>
      </c>
      <c r="B211" s="6">
        <v>45443</v>
      </c>
      <c r="C211" s="7">
        <v>0.7</v>
      </c>
      <c r="D211" s="5">
        <v>10.39</v>
      </c>
      <c r="E211" s="5">
        <v>490.4</v>
      </c>
      <c r="F211" s="5">
        <v>511.2</v>
      </c>
      <c r="G211" s="6">
        <v>45443</v>
      </c>
      <c r="H211" s="5"/>
      <c r="I211" s="5"/>
      <c r="J211" s="5">
        <f t="shared" si="21"/>
        <v>20.800000000000011</v>
      </c>
      <c r="K211" s="8" t="b">
        <f t="shared" si="23"/>
        <v>1</v>
      </c>
    </row>
    <row r="212" spans="1:11" hidden="1">
      <c r="A212" s="5" t="s">
        <v>227</v>
      </c>
      <c r="B212" s="6">
        <v>45446</v>
      </c>
      <c r="C212" s="7">
        <v>0.7</v>
      </c>
      <c r="D212" s="5">
        <v>10.39</v>
      </c>
      <c r="E212" s="5">
        <v>511.2</v>
      </c>
      <c r="F212" s="5">
        <v>532.20000000000005</v>
      </c>
      <c r="G212" s="6">
        <v>45446</v>
      </c>
      <c r="H212" s="5"/>
      <c r="I212" s="5"/>
      <c r="J212" s="5">
        <f t="shared" si="21"/>
        <v>21.000000000000057</v>
      </c>
      <c r="K212" s="8" t="b">
        <f t="shared" si="23"/>
        <v>1</v>
      </c>
    </row>
    <row r="213" spans="1:11" hidden="1">
      <c r="A213" s="5" t="s">
        <v>227</v>
      </c>
      <c r="B213" s="6">
        <v>45449</v>
      </c>
      <c r="C213" s="7">
        <v>0.7</v>
      </c>
      <c r="D213" s="5">
        <v>10.39</v>
      </c>
      <c r="E213" s="5">
        <v>532.20000000000005</v>
      </c>
      <c r="F213" s="5">
        <v>553.20000000000005</v>
      </c>
      <c r="G213" s="6">
        <v>45449</v>
      </c>
      <c r="H213" s="5"/>
      <c r="I213" s="5"/>
      <c r="J213" s="5">
        <f t="shared" si="21"/>
        <v>21</v>
      </c>
      <c r="K213" s="8" t="b">
        <f t="shared" si="23"/>
        <v>1</v>
      </c>
    </row>
    <row r="214" spans="1:11" hidden="1">
      <c r="A214" s="5" t="s">
        <v>227</v>
      </c>
      <c r="B214" s="6">
        <v>45452</v>
      </c>
      <c r="C214" s="7">
        <v>0.7</v>
      </c>
      <c r="D214" s="5">
        <v>10.39</v>
      </c>
      <c r="E214" s="5">
        <v>553.20000000000005</v>
      </c>
      <c r="F214" s="5">
        <v>574.70000000000005</v>
      </c>
      <c r="G214" s="6">
        <v>45452</v>
      </c>
      <c r="H214" s="5"/>
      <c r="I214" s="5"/>
      <c r="J214" s="5">
        <f t="shared" si="21"/>
        <v>21.5</v>
      </c>
      <c r="K214" s="8" t="b">
        <f t="shared" si="23"/>
        <v>1</v>
      </c>
    </row>
    <row r="215" spans="1:11" hidden="1">
      <c r="A215" s="5" t="s">
        <v>227</v>
      </c>
      <c r="B215" s="6">
        <v>45455</v>
      </c>
      <c r="C215" s="7">
        <v>0.7</v>
      </c>
      <c r="D215" s="5">
        <v>10.39</v>
      </c>
      <c r="E215" s="5">
        <v>574.70000000000005</v>
      </c>
      <c r="F215" s="5">
        <v>596.20000000000005</v>
      </c>
      <c r="G215" s="6">
        <v>45455</v>
      </c>
      <c r="H215" s="5"/>
      <c r="I215" s="5"/>
      <c r="J215" s="5">
        <f t="shared" si="21"/>
        <v>21.5</v>
      </c>
      <c r="K215" s="8" t="b">
        <f t="shared" si="23"/>
        <v>1</v>
      </c>
    </row>
    <row r="216" spans="1:11" hidden="1">
      <c r="A216" s="5" t="s">
        <v>227</v>
      </c>
      <c r="B216" s="6">
        <v>45458</v>
      </c>
      <c r="C216" s="7">
        <v>0.7</v>
      </c>
      <c r="D216" s="5">
        <v>10.39</v>
      </c>
      <c r="E216" s="5">
        <v>596.20000000000005</v>
      </c>
      <c r="F216" s="5">
        <v>617.20000000000005</v>
      </c>
      <c r="G216" s="6">
        <v>45458</v>
      </c>
      <c r="H216" s="5"/>
      <c r="I216" s="5"/>
      <c r="J216" s="5">
        <f t="shared" si="21"/>
        <v>21</v>
      </c>
      <c r="K216" s="8" t="b">
        <f t="shared" si="23"/>
        <v>1</v>
      </c>
    </row>
    <row r="217" spans="1:11" hidden="1">
      <c r="A217" s="5" t="s">
        <v>227</v>
      </c>
      <c r="B217" s="6">
        <v>45461</v>
      </c>
      <c r="C217" s="7">
        <v>0.6</v>
      </c>
      <c r="D217" s="5">
        <v>12.12</v>
      </c>
      <c r="E217" s="5">
        <v>617.20000000000005</v>
      </c>
      <c r="F217" s="5">
        <v>642.5</v>
      </c>
      <c r="G217" s="6">
        <v>45461</v>
      </c>
      <c r="H217" s="5"/>
      <c r="I217" s="5"/>
      <c r="J217" s="5">
        <f t="shared" si="21"/>
        <v>25.299999999999955</v>
      </c>
      <c r="K217" s="8" t="b">
        <f t="shared" si="23"/>
        <v>1</v>
      </c>
    </row>
    <row r="218" spans="1:11" hidden="1">
      <c r="A218" s="5" t="s">
        <v>227</v>
      </c>
      <c r="B218" s="6">
        <v>45470</v>
      </c>
      <c r="C218" s="7">
        <v>0.7</v>
      </c>
      <c r="D218" s="5">
        <v>10.39</v>
      </c>
      <c r="E218" s="5">
        <v>642.5</v>
      </c>
      <c r="F218" s="5">
        <v>663.5</v>
      </c>
      <c r="G218" s="6">
        <v>45470</v>
      </c>
      <c r="H218" s="5"/>
      <c r="I218" s="5"/>
      <c r="J218" s="5">
        <f t="shared" si="21"/>
        <v>21</v>
      </c>
      <c r="K218" s="8" t="b">
        <f t="shared" si="23"/>
        <v>1</v>
      </c>
    </row>
    <row r="219" spans="1:11">
      <c r="A219" s="5" t="s">
        <v>227</v>
      </c>
      <c r="B219" s="6">
        <v>45477</v>
      </c>
      <c r="C219" s="7">
        <v>0.7</v>
      </c>
      <c r="D219" s="5">
        <v>10.39</v>
      </c>
      <c r="E219" s="5">
        <v>663.5</v>
      </c>
      <c r="F219" s="5">
        <v>685.2</v>
      </c>
      <c r="G219" s="6">
        <v>45477</v>
      </c>
      <c r="H219" s="5"/>
      <c r="I219" s="5"/>
      <c r="J219" s="5">
        <f t="shared" si="21"/>
        <v>21.700000000000045</v>
      </c>
      <c r="K219" s="8" t="b">
        <f t="shared" si="23"/>
        <v>1</v>
      </c>
    </row>
    <row r="220" spans="1:11" hidden="1">
      <c r="A220" s="5" t="s">
        <v>227</v>
      </c>
      <c r="B220" s="6"/>
      <c r="C220" s="7"/>
      <c r="D220" s="5"/>
      <c r="E220" s="5"/>
      <c r="F220" s="5"/>
      <c r="G220" s="6"/>
      <c r="H220" s="5"/>
      <c r="I220" s="5"/>
      <c r="J220" s="5">
        <f t="shared" si="21"/>
        <v>0</v>
      </c>
      <c r="K220" s="8" t="b">
        <f t="shared" si="23"/>
        <v>0</v>
      </c>
    </row>
    <row r="221" spans="1:11" hidden="1">
      <c r="A221" s="5" t="s">
        <v>227</v>
      </c>
      <c r="B221" s="6"/>
      <c r="C221" s="7"/>
      <c r="D221" s="5"/>
      <c r="E221" s="5"/>
      <c r="F221" s="5"/>
      <c r="G221" s="6"/>
      <c r="H221" s="5"/>
      <c r="I221" s="5"/>
      <c r="J221" s="5">
        <f t="shared" ref="J221" si="24">F221-E221</f>
        <v>0</v>
      </c>
      <c r="K221" s="8" t="b">
        <f t="shared" si="23"/>
        <v>1</v>
      </c>
    </row>
  </sheetData>
  <autoFilter ref="A183:K221" xr:uid="{1D93EE3D-100B-41AC-BADA-D6E75974001F}">
    <filterColumn colId="1">
      <filters>
        <dateGroupItem year="2024" month="7" dateTimeGrouping="month"/>
      </filters>
    </filterColumn>
  </autoFilter>
  <mergeCells count="12">
    <mergeCell ref="A39:K39"/>
    <mergeCell ref="A1:K1"/>
    <mergeCell ref="A2:K2"/>
    <mergeCell ref="A4:K4"/>
    <mergeCell ref="A36:K36"/>
    <mergeCell ref="A37:K37"/>
    <mergeCell ref="A177:K177"/>
    <mergeCell ref="A178:K178"/>
    <mergeCell ref="A180:K180"/>
    <mergeCell ref="A60:K60"/>
    <mergeCell ref="A61:K61"/>
    <mergeCell ref="A63:K63"/>
  </mergeCells>
  <conditionalFormatting sqref="K1:K2 K4 K7:K34 K36:K37 K39 K42:K61 K63 K66:K175 K177:K178 K180 K183:K221">
    <cfRule type="cellIs" dxfId="65" priority="1" operator="equal">
      <formula>TRUE</formula>
    </cfRule>
    <cfRule type="cellIs" dxfId="64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B5A3-422E-451F-8600-67482CA8E699}">
  <sheetPr codeName="Planilha21" filterMode="1"/>
  <dimension ref="A1:K205"/>
  <sheetViews>
    <sheetView topLeftCell="A133" workbookViewId="0">
      <selection activeCell="H176" sqref="H176"/>
    </sheetView>
  </sheetViews>
  <sheetFormatPr defaultRowHeight="15"/>
  <cols>
    <col min="1" max="1" width="14.42578125" bestFit="1" customWidth="1"/>
    <col min="2" max="2" width="12.425781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  <col min="14" max="14" width="9.140625" customWidth="1"/>
  </cols>
  <sheetData>
    <row r="1" spans="1:11" ht="26.25">
      <c r="A1" s="193" t="s">
        <v>231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232</v>
      </c>
      <c r="B8" s="6">
        <v>44532</v>
      </c>
      <c r="C8" s="7">
        <v>1</v>
      </c>
      <c r="D8" s="5">
        <v>7.06</v>
      </c>
      <c r="E8" s="5">
        <v>0</v>
      </c>
      <c r="F8" s="5">
        <v>14.2</v>
      </c>
      <c r="G8" s="6">
        <v>44533</v>
      </c>
      <c r="H8" s="5"/>
      <c r="I8" s="5"/>
      <c r="J8" s="5">
        <f>F8-E8</f>
        <v>14.2</v>
      </c>
      <c r="K8" s="8" t="b">
        <f>E8=F8</f>
        <v>0</v>
      </c>
    </row>
    <row r="9" spans="1:11">
      <c r="A9" s="5" t="s">
        <v>232</v>
      </c>
      <c r="B9" s="6">
        <v>44533</v>
      </c>
      <c r="C9" s="7">
        <v>1</v>
      </c>
      <c r="D9" s="5">
        <v>7.06</v>
      </c>
      <c r="E9" s="5">
        <v>15.1</v>
      </c>
      <c r="F9" s="5">
        <v>25</v>
      </c>
      <c r="G9" s="6">
        <v>44533</v>
      </c>
      <c r="H9" s="5"/>
      <c r="I9" s="5"/>
      <c r="J9" s="5">
        <f>F9-E9</f>
        <v>9.9</v>
      </c>
      <c r="K9" s="8" t="b">
        <f>E9=F8</f>
        <v>0</v>
      </c>
    </row>
    <row r="10" spans="1:11">
      <c r="A10" s="5" t="s">
        <v>232</v>
      </c>
      <c r="B10" s="6">
        <v>44581</v>
      </c>
      <c r="C10" s="7">
        <v>0.7</v>
      </c>
      <c r="D10" s="5">
        <v>10.09</v>
      </c>
      <c r="E10" s="5">
        <v>25</v>
      </c>
      <c r="F10" s="5">
        <v>45.5</v>
      </c>
      <c r="G10" s="6">
        <v>44581</v>
      </c>
      <c r="H10" s="5"/>
      <c r="I10" s="5"/>
      <c r="J10" s="5">
        <f>F10-E10</f>
        <v>20.5</v>
      </c>
      <c r="K10" s="8" t="b">
        <f t="shared" ref="K10:K23" si="0">E10=F9</f>
        <v>1</v>
      </c>
    </row>
    <row r="11" spans="1:11">
      <c r="A11" s="5" t="s">
        <v>232</v>
      </c>
      <c r="B11" s="6">
        <v>44591</v>
      </c>
      <c r="C11" s="7">
        <v>0.7</v>
      </c>
      <c r="D11" s="5">
        <v>10.09</v>
      </c>
      <c r="E11" s="5">
        <v>45.5</v>
      </c>
      <c r="F11" s="5">
        <v>65.7</v>
      </c>
      <c r="G11" s="6">
        <v>44591</v>
      </c>
      <c r="H11" s="5"/>
      <c r="I11" s="5"/>
      <c r="J11" s="5">
        <f>F11-E11</f>
        <v>20.200000000000003</v>
      </c>
      <c r="K11" s="8" t="b">
        <f t="shared" si="0"/>
        <v>1</v>
      </c>
    </row>
    <row r="12" spans="1:11">
      <c r="A12" s="5" t="s">
        <v>232</v>
      </c>
      <c r="B12" s="6">
        <v>44595</v>
      </c>
      <c r="C12" s="7">
        <v>0.7</v>
      </c>
      <c r="D12" s="5">
        <v>10.09</v>
      </c>
      <c r="E12" s="5">
        <v>65.7</v>
      </c>
      <c r="F12" s="5">
        <v>77.2</v>
      </c>
      <c r="G12" s="6">
        <v>44591</v>
      </c>
      <c r="H12" s="5"/>
      <c r="I12" s="5"/>
      <c r="J12" s="5">
        <f t="shared" ref="J12:J20" si="1">F12-E12</f>
        <v>11.5</v>
      </c>
      <c r="K12" s="8" t="b">
        <f t="shared" si="0"/>
        <v>1</v>
      </c>
    </row>
    <row r="13" spans="1:11">
      <c r="A13" s="5" t="s">
        <v>232</v>
      </c>
      <c r="B13" s="6">
        <v>44598</v>
      </c>
      <c r="C13" s="7">
        <v>0.8</v>
      </c>
      <c r="D13" s="5">
        <v>8.83</v>
      </c>
      <c r="E13" s="5">
        <v>77.2</v>
      </c>
      <c r="F13" s="5">
        <v>93.1</v>
      </c>
      <c r="G13" s="6">
        <v>44598</v>
      </c>
      <c r="H13" s="5"/>
      <c r="I13" s="5"/>
      <c r="J13" s="5">
        <f t="shared" si="1"/>
        <v>15.899999999999991</v>
      </c>
      <c r="K13" s="8" t="b">
        <f t="shared" si="0"/>
        <v>1</v>
      </c>
    </row>
    <row r="14" spans="1:11">
      <c r="A14" s="5" t="s">
        <v>232</v>
      </c>
      <c r="B14" s="6">
        <v>44619</v>
      </c>
      <c r="C14" s="7">
        <v>0.8</v>
      </c>
      <c r="D14" s="5">
        <v>8.83</v>
      </c>
      <c r="E14" s="5">
        <v>93.1</v>
      </c>
      <c r="F14" s="5">
        <v>110.8</v>
      </c>
      <c r="G14" s="6">
        <v>44619</v>
      </c>
      <c r="H14" s="5"/>
      <c r="I14" s="5"/>
      <c r="J14" s="5">
        <f t="shared" si="1"/>
        <v>17.700000000000003</v>
      </c>
      <c r="K14" s="8" t="b">
        <f t="shared" si="0"/>
        <v>1</v>
      </c>
    </row>
    <row r="15" spans="1:11">
      <c r="A15" s="5" t="s">
        <v>232</v>
      </c>
      <c r="B15" s="6">
        <v>44622</v>
      </c>
      <c r="C15" s="7">
        <v>0.8</v>
      </c>
      <c r="D15" s="5">
        <v>8.83</v>
      </c>
      <c r="E15" s="5">
        <v>110.8</v>
      </c>
      <c r="F15" s="5">
        <v>128.5</v>
      </c>
      <c r="G15" s="6">
        <v>44622</v>
      </c>
      <c r="H15" s="5"/>
      <c r="I15" s="5"/>
      <c r="J15" s="5">
        <f t="shared" si="1"/>
        <v>17.700000000000003</v>
      </c>
      <c r="K15" s="8" t="b">
        <f t="shared" si="0"/>
        <v>1</v>
      </c>
    </row>
    <row r="16" spans="1:11">
      <c r="A16" s="5" t="s">
        <v>232</v>
      </c>
      <c r="B16" s="6">
        <v>44624</v>
      </c>
      <c r="C16" s="7">
        <v>0.8</v>
      </c>
      <c r="D16" s="5">
        <v>8.83</v>
      </c>
      <c r="E16" s="5">
        <v>128.5</v>
      </c>
      <c r="F16" s="5">
        <v>142.69999999999999</v>
      </c>
      <c r="G16" s="6">
        <v>44624</v>
      </c>
      <c r="H16" s="5"/>
      <c r="I16" s="5"/>
      <c r="J16" s="5">
        <f t="shared" si="1"/>
        <v>14.199999999999989</v>
      </c>
      <c r="K16" s="8" t="b">
        <f t="shared" si="0"/>
        <v>1</v>
      </c>
    </row>
    <row r="17" spans="1:11">
      <c r="A17" s="5" t="s">
        <v>232</v>
      </c>
      <c r="B17" s="6">
        <v>44627</v>
      </c>
      <c r="C17" s="7">
        <v>0.8</v>
      </c>
      <c r="D17" s="5">
        <v>8.83</v>
      </c>
      <c r="E17" s="5">
        <v>142.69999999999999</v>
      </c>
      <c r="F17" s="5">
        <v>159.80000000000001</v>
      </c>
      <c r="G17" s="6">
        <v>44627</v>
      </c>
      <c r="H17" s="5"/>
      <c r="I17" s="5"/>
      <c r="J17" s="5">
        <f t="shared" si="1"/>
        <v>17.100000000000023</v>
      </c>
      <c r="K17" s="8" t="b">
        <f t="shared" si="0"/>
        <v>1</v>
      </c>
    </row>
    <row r="18" spans="1:11">
      <c r="A18" s="5" t="s">
        <v>232</v>
      </c>
      <c r="B18" s="6">
        <v>44630</v>
      </c>
      <c r="C18" s="7">
        <v>0.8</v>
      </c>
      <c r="D18" s="5">
        <v>8.83</v>
      </c>
      <c r="E18" s="5">
        <v>159.80000000000001</v>
      </c>
      <c r="F18" s="5">
        <v>177.4</v>
      </c>
      <c r="G18" s="6">
        <v>44630</v>
      </c>
      <c r="H18" s="5"/>
      <c r="I18" s="5"/>
      <c r="J18" s="5">
        <f t="shared" si="1"/>
        <v>17.599999999999994</v>
      </c>
      <c r="K18" s="8" t="b">
        <f t="shared" si="0"/>
        <v>1</v>
      </c>
    </row>
    <row r="19" spans="1:11">
      <c r="A19" s="5" t="s">
        <v>232</v>
      </c>
      <c r="B19" s="6">
        <v>44638</v>
      </c>
      <c r="C19" s="7">
        <v>0.8</v>
      </c>
      <c r="D19" s="5">
        <v>8.83</v>
      </c>
      <c r="E19" s="5">
        <v>186.7</v>
      </c>
      <c r="F19" s="5">
        <v>204.5</v>
      </c>
      <c r="G19" s="6">
        <v>44638</v>
      </c>
      <c r="H19" s="5"/>
      <c r="I19" s="5"/>
      <c r="J19" s="5">
        <f t="shared" si="1"/>
        <v>17.800000000000011</v>
      </c>
      <c r="K19" s="8" t="b">
        <f t="shared" si="0"/>
        <v>0</v>
      </c>
    </row>
    <row r="20" spans="1:11">
      <c r="A20" s="5" t="s">
        <v>232</v>
      </c>
      <c r="B20" s="6">
        <v>44640</v>
      </c>
      <c r="C20" s="7">
        <v>0.7</v>
      </c>
      <c r="D20" s="5">
        <v>10.09</v>
      </c>
      <c r="E20" s="5">
        <v>204.7</v>
      </c>
      <c r="F20" s="5">
        <v>224.7</v>
      </c>
      <c r="G20" s="6">
        <v>44640</v>
      </c>
      <c r="H20" s="5"/>
      <c r="I20" s="5"/>
      <c r="J20" s="5">
        <f t="shared" si="1"/>
        <v>20</v>
      </c>
      <c r="K20" s="8" t="b">
        <f t="shared" si="0"/>
        <v>0</v>
      </c>
    </row>
    <row r="21" spans="1:11">
      <c r="A21" s="5" t="s">
        <v>232</v>
      </c>
      <c r="B21" s="6">
        <v>44645</v>
      </c>
      <c r="C21" s="7">
        <v>0.7</v>
      </c>
      <c r="D21" s="5">
        <v>10.09</v>
      </c>
      <c r="E21" s="5">
        <v>224.7</v>
      </c>
      <c r="F21" s="5">
        <v>245.1</v>
      </c>
      <c r="G21" s="6">
        <v>44645</v>
      </c>
      <c r="H21" s="5"/>
      <c r="I21" s="5"/>
      <c r="J21" s="5">
        <f>F21-E21</f>
        <v>20.400000000000006</v>
      </c>
      <c r="K21" s="8" t="b">
        <f t="shared" si="0"/>
        <v>1</v>
      </c>
    </row>
    <row r="22" spans="1:11">
      <c r="A22" s="5" t="s">
        <v>232</v>
      </c>
      <c r="B22" s="6">
        <v>44648</v>
      </c>
      <c r="C22" s="7">
        <v>0.8</v>
      </c>
      <c r="D22" s="5">
        <v>8.83</v>
      </c>
      <c r="E22" s="5">
        <v>245.1</v>
      </c>
      <c r="F22" s="5">
        <v>263.7</v>
      </c>
      <c r="G22" s="6">
        <v>44648</v>
      </c>
      <c r="H22" s="5"/>
      <c r="I22" s="5"/>
      <c r="J22" s="5">
        <f>F22-E22</f>
        <v>18.599999999999994</v>
      </c>
      <c r="K22" s="8" t="b">
        <f t="shared" si="0"/>
        <v>1</v>
      </c>
    </row>
    <row r="23" spans="1:11">
      <c r="A23" s="5" t="s">
        <v>232</v>
      </c>
      <c r="B23" s="6"/>
      <c r="C23" s="7"/>
      <c r="D23" s="5"/>
      <c r="E23" s="5"/>
      <c r="F23" s="5"/>
      <c r="G23" s="6"/>
      <c r="H23" s="5"/>
      <c r="I23" s="5"/>
      <c r="J23" s="5">
        <f>F23-E23</f>
        <v>0</v>
      </c>
      <c r="K23" s="8" t="b">
        <f t="shared" si="0"/>
        <v>0</v>
      </c>
    </row>
    <row r="25" spans="1:11" ht="26.25">
      <c r="A25" s="126" t="s">
        <v>231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8"/>
    </row>
    <row r="26" spans="1:11" ht="26.25">
      <c r="A26" s="129" t="s">
        <v>17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1"/>
    </row>
    <row r="27" spans="1:11" ht="15.75" thickBot="1"/>
    <row r="28" spans="1:11" ht="15.75" thickBot="1">
      <c r="A28" s="132" t="s">
        <v>2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4"/>
    </row>
    <row r="30" spans="1:11" ht="19.5" thickBot="1">
      <c r="A30" s="1" t="s">
        <v>3</v>
      </c>
      <c r="B30" s="1"/>
      <c r="C30" s="1"/>
      <c r="D30" s="1"/>
      <c r="E30" s="1"/>
      <c r="F30" s="1"/>
      <c r="G30" s="1"/>
      <c r="H30" s="1"/>
      <c r="I30" s="1"/>
    </row>
    <row r="31" spans="1:11" ht="30.75" thickBot="1">
      <c r="A31" s="2" t="s">
        <v>4</v>
      </c>
      <c r="B31" s="3" t="s">
        <v>5</v>
      </c>
      <c r="C31" s="3" t="s">
        <v>6</v>
      </c>
      <c r="D31" s="3" t="s">
        <v>7</v>
      </c>
      <c r="E31" s="3" t="s">
        <v>8</v>
      </c>
      <c r="F31" s="3" t="s">
        <v>9</v>
      </c>
      <c r="G31" s="3" t="s">
        <v>10</v>
      </c>
      <c r="H31" s="3" t="s">
        <v>21</v>
      </c>
      <c r="I31" s="4" t="s">
        <v>22</v>
      </c>
      <c r="J31" s="4" t="s">
        <v>11</v>
      </c>
      <c r="K31" s="4" t="s">
        <v>12</v>
      </c>
    </row>
    <row r="32" spans="1:11">
      <c r="A32" s="5" t="s">
        <v>232</v>
      </c>
      <c r="B32" s="6">
        <v>44902</v>
      </c>
      <c r="C32" s="7">
        <v>1</v>
      </c>
      <c r="D32" s="5">
        <v>7.06</v>
      </c>
      <c r="E32" s="5">
        <v>0</v>
      </c>
      <c r="F32" s="5">
        <v>15</v>
      </c>
      <c r="G32" s="6">
        <v>44902</v>
      </c>
      <c r="H32" s="5"/>
      <c r="I32" s="5"/>
      <c r="J32" s="5">
        <f>F32-E32</f>
        <v>15</v>
      </c>
      <c r="K32" s="8" t="b">
        <f>E32=F22</f>
        <v>0</v>
      </c>
    </row>
    <row r="33" spans="1:11">
      <c r="A33" s="5" t="s">
        <v>232</v>
      </c>
      <c r="B33" s="6">
        <v>44906</v>
      </c>
      <c r="C33" s="7">
        <v>1</v>
      </c>
      <c r="D33" s="5">
        <v>7.06</v>
      </c>
      <c r="E33" s="5">
        <v>15</v>
      </c>
      <c r="F33" s="5">
        <v>28.5</v>
      </c>
      <c r="G33" s="6">
        <v>44906</v>
      </c>
      <c r="H33" s="5"/>
      <c r="I33" s="5"/>
      <c r="J33" s="5">
        <f>F33-E33</f>
        <v>13.5</v>
      </c>
      <c r="K33" s="8" t="b">
        <f>E33=F32</f>
        <v>1</v>
      </c>
    </row>
    <row r="34" spans="1:11">
      <c r="A34" s="5" t="s">
        <v>232</v>
      </c>
      <c r="B34" s="6">
        <v>44928</v>
      </c>
      <c r="C34" s="7">
        <v>1</v>
      </c>
      <c r="D34" s="5">
        <v>7.06</v>
      </c>
      <c r="E34" s="5">
        <v>44</v>
      </c>
      <c r="F34" s="5">
        <v>51.7</v>
      </c>
      <c r="G34" s="6">
        <v>44929</v>
      </c>
      <c r="H34" s="5"/>
      <c r="I34" s="5"/>
      <c r="J34" s="5">
        <f>F34-E34</f>
        <v>7.7000000000000028</v>
      </c>
      <c r="K34" s="8" t="b">
        <f t="shared" ref="K34:K42" si="2">E34=F33</f>
        <v>0</v>
      </c>
    </row>
    <row r="35" spans="1:11">
      <c r="A35" s="5" t="s">
        <v>232</v>
      </c>
      <c r="B35" s="6">
        <v>44945</v>
      </c>
      <c r="C35" s="7">
        <v>1</v>
      </c>
      <c r="D35" s="5">
        <v>7.06</v>
      </c>
      <c r="E35" s="5">
        <v>51.7</v>
      </c>
      <c r="F35" s="5">
        <v>66.099999999999994</v>
      </c>
      <c r="G35" s="6">
        <v>44945</v>
      </c>
      <c r="H35" s="5"/>
      <c r="I35" s="5"/>
      <c r="J35" s="5">
        <f>F35-E35</f>
        <v>14.399999999999991</v>
      </c>
      <c r="K35" s="8" t="b">
        <f t="shared" si="2"/>
        <v>1</v>
      </c>
    </row>
    <row r="36" spans="1:11">
      <c r="A36" s="5" t="s">
        <v>232</v>
      </c>
      <c r="B36" s="6">
        <v>44958</v>
      </c>
      <c r="C36" s="7">
        <v>0.7</v>
      </c>
      <c r="D36" s="5">
        <v>10.09</v>
      </c>
      <c r="E36" s="5">
        <v>66.099999999999994</v>
      </c>
      <c r="F36" s="5">
        <v>86.5</v>
      </c>
      <c r="G36" s="6">
        <v>44958</v>
      </c>
      <c r="H36" s="5"/>
      <c r="I36" s="5"/>
      <c r="J36" s="5">
        <f t="shared" ref="J36:J42" si="3">F36-E36</f>
        <v>20.400000000000006</v>
      </c>
      <c r="K36" s="8" t="b">
        <f t="shared" si="2"/>
        <v>1</v>
      </c>
    </row>
    <row r="37" spans="1:11">
      <c r="A37" s="5" t="s">
        <v>232</v>
      </c>
      <c r="B37" s="6"/>
      <c r="C37" s="7"/>
      <c r="D37" s="5"/>
      <c r="E37" s="5"/>
      <c r="F37" s="5"/>
      <c r="G37" s="6"/>
      <c r="H37" s="5"/>
      <c r="I37" s="5"/>
      <c r="J37" s="5">
        <f t="shared" si="3"/>
        <v>0</v>
      </c>
      <c r="K37" s="8" t="b">
        <f t="shared" si="2"/>
        <v>0</v>
      </c>
    </row>
    <row r="38" spans="1:11">
      <c r="A38" s="5" t="s">
        <v>232</v>
      </c>
      <c r="B38" s="6"/>
      <c r="C38" s="7"/>
      <c r="D38" s="5"/>
      <c r="E38" s="5"/>
      <c r="F38" s="5"/>
      <c r="G38" s="6"/>
      <c r="H38" s="5"/>
      <c r="I38" s="5"/>
      <c r="J38" s="5">
        <f t="shared" si="3"/>
        <v>0</v>
      </c>
      <c r="K38" s="8" t="b">
        <f t="shared" si="2"/>
        <v>1</v>
      </c>
    </row>
    <row r="39" spans="1:11">
      <c r="A39" s="5" t="s">
        <v>232</v>
      </c>
      <c r="B39" s="6"/>
      <c r="C39" s="7"/>
      <c r="D39" s="5"/>
      <c r="E39" s="5"/>
      <c r="F39" s="5"/>
      <c r="G39" s="6"/>
      <c r="H39" s="5"/>
      <c r="I39" s="5"/>
      <c r="J39" s="5">
        <f t="shared" si="3"/>
        <v>0</v>
      </c>
      <c r="K39" s="8" t="b">
        <f t="shared" si="2"/>
        <v>1</v>
      </c>
    </row>
    <row r="40" spans="1:11">
      <c r="A40" s="5" t="s">
        <v>232</v>
      </c>
      <c r="B40" s="6"/>
      <c r="C40" s="7"/>
      <c r="D40" s="5"/>
      <c r="E40" s="5"/>
      <c r="F40" s="5"/>
      <c r="G40" s="6"/>
      <c r="H40" s="5"/>
      <c r="I40" s="5"/>
      <c r="J40" s="5">
        <f t="shared" si="3"/>
        <v>0</v>
      </c>
      <c r="K40" s="8" t="b">
        <f t="shared" si="2"/>
        <v>1</v>
      </c>
    </row>
    <row r="41" spans="1:11">
      <c r="A41" s="5" t="s">
        <v>232</v>
      </c>
      <c r="B41" s="6"/>
      <c r="C41" s="7"/>
      <c r="D41" s="5"/>
      <c r="E41" s="5"/>
      <c r="F41" s="5"/>
      <c r="G41" s="6"/>
      <c r="H41" s="5"/>
      <c r="I41" s="5"/>
      <c r="J41" s="5">
        <f t="shared" si="3"/>
        <v>0</v>
      </c>
      <c r="K41" s="8" t="b">
        <f t="shared" si="2"/>
        <v>1</v>
      </c>
    </row>
    <row r="42" spans="1:11">
      <c r="A42" s="5" t="s">
        <v>232</v>
      </c>
      <c r="B42" s="6"/>
      <c r="C42" s="7"/>
      <c r="D42" s="5"/>
      <c r="E42" s="5"/>
      <c r="F42" s="5"/>
      <c r="G42" s="6"/>
      <c r="H42" s="5"/>
      <c r="I42" s="5"/>
      <c r="J42" s="5">
        <f t="shared" si="3"/>
        <v>0</v>
      </c>
      <c r="K42" s="8" t="b">
        <f t="shared" si="2"/>
        <v>1</v>
      </c>
    </row>
    <row r="43" spans="1:11" ht="26.25">
      <c r="A43" s="126" t="s">
        <v>231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8"/>
    </row>
    <row r="44" spans="1:11" ht="26.25">
      <c r="A44" s="129">
        <v>2023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1"/>
    </row>
    <row r="46" spans="1:11">
      <c r="A46" s="132" t="s">
        <v>2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4"/>
    </row>
    <row r="48" spans="1:11" ht="18.75">
      <c r="A48" s="1" t="s">
        <v>3</v>
      </c>
      <c r="B48" s="1"/>
      <c r="C48" s="1"/>
      <c r="D48" s="1"/>
      <c r="E48" s="1"/>
      <c r="F48" s="1"/>
      <c r="G48" s="1"/>
      <c r="H48" s="1"/>
      <c r="I48" s="1"/>
    </row>
    <row r="49" spans="1:11" ht="30">
      <c r="A49" s="2" t="s">
        <v>4</v>
      </c>
      <c r="B49" s="3" t="s">
        <v>5</v>
      </c>
      <c r="C49" s="3" t="s">
        <v>6</v>
      </c>
      <c r="D49" s="3" t="s">
        <v>7</v>
      </c>
      <c r="E49" s="3" t="s">
        <v>8</v>
      </c>
      <c r="F49" s="3" t="s">
        <v>9</v>
      </c>
      <c r="G49" s="3" t="s">
        <v>10</v>
      </c>
      <c r="H49" s="3" t="s">
        <v>21</v>
      </c>
      <c r="I49" s="4" t="s">
        <v>22</v>
      </c>
      <c r="J49" s="4" t="s">
        <v>11</v>
      </c>
      <c r="K49" s="4" t="s">
        <v>12</v>
      </c>
    </row>
    <row r="50" spans="1:11">
      <c r="A50" s="5" t="s">
        <v>232</v>
      </c>
      <c r="B50" s="6">
        <v>45144</v>
      </c>
      <c r="C50" s="7">
        <v>0.45</v>
      </c>
      <c r="D50" s="5">
        <v>15.79</v>
      </c>
      <c r="E50" s="5">
        <v>90.9</v>
      </c>
      <c r="F50" s="5">
        <v>107</v>
      </c>
      <c r="G50" s="6">
        <v>45144</v>
      </c>
      <c r="H50" s="5"/>
      <c r="I50" s="5"/>
      <c r="J50" s="5">
        <f>F50-E50</f>
        <v>16.099999999999994</v>
      </c>
      <c r="K50" s="8" t="b">
        <f>E50=F49</f>
        <v>0</v>
      </c>
    </row>
    <row r="51" spans="1:11">
      <c r="A51" s="5" t="s">
        <v>232</v>
      </c>
      <c r="B51" s="6">
        <v>45146</v>
      </c>
      <c r="C51" s="7">
        <v>0.45</v>
      </c>
      <c r="D51" s="5">
        <v>15.79</v>
      </c>
      <c r="E51" s="5">
        <v>107</v>
      </c>
      <c r="F51" s="5">
        <v>124.2</v>
      </c>
      <c r="G51" s="6">
        <v>45146</v>
      </c>
      <c r="H51" s="5"/>
      <c r="I51" s="5"/>
      <c r="J51" s="5">
        <f>F51-E51</f>
        <v>17.200000000000003</v>
      </c>
      <c r="K51" s="8" t="b">
        <f>E51=F50</f>
        <v>1</v>
      </c>
    </row>
    <row r="52" spans="1:11">
      <c r="A52" s="5" t="s">
        <v>232</v>
      </c>
      <c r="B52" s="6">
        <v>45150</v>
      </c>
      <c r="C52" s="7">
        <v>0.45</v>
      </c>
      <c r="D52" s="5">
        <v>15.79</v>
      </c>
      <c r="E52" s="5">
        <v>124.2</v>
      </c>
      <c r="F52" s="5">
        <v>138.6</v>
      </c>
      <c r="G52" s="6">
        <v>45150</v>
      </c>
      <c r="H52" s="5"/>
      <c r="I52" s="5"/>
      <c r="J52" s="5">
        <f t="shared" ref="J52:J58" si="4">F52-E52</f>
        <v>14.399999999999991</v>
      </c>
      <c r="K52" s="8" t="b">
        <f t="shared" ref="K52:K58" si="5">E52=F51</f>
        <v>1</v>
      </c>
    </row>
    <row r="53" spans="1:11">
      <c r="A53" s="5" t="s">
        <v>232</v>
      </c>
      <c r="B53" s="6">
        <v>45151</v>
      </c>
      <c r="C53" s="7">
        <v>0.45</v>
      </c>
      <c r="D53" s="5">
        <v>15.79</v>
      </c>
      <c r="E53" s="5">
        <v>138.6</v>
      </c>
      <c r="F53" s="5">
        <v>154.4</v>
      </c>
      <c r="G53" s="6">
        <v>45151</v>
      </c>
      <c r="H53" s="5"/>
      <c r="I53" s="5"/>
      <c r="J53" s="5">
        <f t="shared" si="4"/>
        <v>15.800000000000011</v>
      </c>
      <c r="K53" s="8" t="b">
        <f t="shared" si="5"/>
        <v>1</v>
      </c>
    </row>
    <row r="54" spans="1:11">
      <c r="A54" s="5" t="s">
        <v>232</v>
      </c>
      <c r="B54" s="6"/>
      <c r="C54" s="7"/>
      <c r="D54" s="5"/>
      <c r="E54" s="5"/>
      <c r="F54" s="5"/>
      <c r="G54" s="6"/>
      <c r="H54" s="5"/>
      <c r="I54" s="5"/>
      <c r="J54" s="5">
        <f t="shared" si="4"/>
        <v>0</v>
      </c>
      <c r="K54" s="8" t="b">
        <f t="shared" si="5"/>
        <v>0</v>
      </c>
    </row>
    <row r="55" spans="1:11">
      <c r="A55" s="5" t="s">
        <v>232</v>
      </c>
      <c r="B55" s="6"/>
      <c r="C55" s="7"/>
      <c r="D55" s="5"/>
      <c r="E55" s="5"/>
      <c r="F55" s="5"/>
      <c r="G55" s="6"/>
      <c r="H55" s="5"/>
      <c r="I55" s="5"/>
      <c r="J55" s="5">
        <f t="shared" si="4"/>
        <v>0</v>
      </c>
      <c r="K55" s="8" t="b">
        <f t="shared" si="5"/>
        <v>1</v>
      </c>
    </row>
    <row r="56" spans="1:11">
      <c r="A56" s="5" t="s">
        <v>232</v>
      </c>
      <c r="B56" s="6"/>
      <c r="C56" s="7"/>
      <c r="D56" s="5"/>
      <c r="E56" s="5"/>
      <c r="F56" s="5"/>
      <c r="G56" s="6"/>
      <c r="H56" s="5"/>
      <c r="I56" s="5"/>
      <c r="J56" s="5">
        <f t="shared" si="4"/>
        <v>0</v>
      </c>
      <c r="K56" s="8" t="b">
        <f t="shared" si="5"/>
        <v>1</v>
      </c>
    </row>
    <row r="57" spans="1:11">
      <c r="A57" s="5" t="s">
        <v>232</v>
      </c>
      <c r="B57" s="6"/>
      <c r="C57" s="7"/>
      <c r="D57" s="5"/>
      <c r="E57" s="5"/>
      <c r="F57" s="5"/>
      <c r="G57" s="6"/>
      <c r="H57" s="5"/>
      <c r="I57" s="5"/>
      <c r="J57" s="5">
        <f t="shared" si="4"/>
        <v>0</v>
      </c>
      <c r="K57" s="8" t="b">
        <f t="shared" si="5"/>
        <v>1</v>
      </c>
    </row>
    <row r="58" spans="1:11">
      <c r="A58" s="5" t="s">
        <v>232</v>
      </c>
      <c r="B58" s="6"/>
      <c r="C58" s="7"/>
      <c r="D58" s="5"/>
      <c r="E58" s="5"/>
      <c r="F58" s="5"/>
      <c r="G58" s="6"/>
      <c r="H58" s="5"/>
      <c r="I58" s="5"/>
      <c r="J58" s="5">
        <f t="shared" si="4"/>
        <v>0</v>
      </c>
      <c r="K58" s="8" t="b">
        <f t="shared" si="5"/>
        <v>1</v>
      </c>
    </row>
    <row r="60" spans="1:11" ht="26.25">
      <c r="A60" s="211" t="s">
        <v>231</v>
      </c>
      <c r="B60" s="212"/>
      <c r="C60" s="212"/>
      <c r="D60" s="212"/>
      <c r="E60" s="212"/>
      <c r="F60" s="212"/>
      <c r="G60" s="212"/>
      <c r="H60" s="212"/>
      <c r="I60" s="212"/>
      <c r="J60" s="212"/>
      <c r="K60" s="213"/>
    </row>
    <row r="61" spans="1:11" ht="26.25">
      <c r="A61" s="214" t="s">
        <v>209</v>
      </c>
      <c r="B61" s="215"/>
      <c r="C61" s="215"/>
      <c r="D61" s="215"/>
      <c r="E61" s="215"/>
      <c r="F61" s="215"/>
      <c r="G61" s="215"/>
      <c r="H61" s="215"/>
      <c r="I61" s="215"/>
      <c r="J61" s="215"/>
      <c r="K61" s="216"/>
    </row>
    <row r="62" spans="1:11" ht="15.75" thickBot="1"/>
    <row r="63" spans="1:11" ht="15.75" thickBot="1">
      <c r="A63" s="132" t="s">
        <v>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4"/>
    </row>
    <row r="65" spans="1:11" ht="19.5" thickBot="1">
      <c r="A65" s="1" t="s">
        <v>3</v>
      </c>
      <c r="B65" s="1"/>
      <c r="C65" s="1"/>
      <c r="D65" s="1"/>
      <c r="E65" s="1"/>
      <c r="F65" s="1"/>
      <c r="G65" s="1"/>
      <c r="H65" s="1"/>
      <c r="I65" s="1"/>
    </row>
    <row r="66" spans="1:11" ht="30.75" thickBot="1">
      <c r="A66" s="2" t="s">
        <v>4</v>
      </c>
      <c r="B66" s="3" t="s">
        <v>5</v>
      </c>
      <c r="C66" s="3" t="s">
        <v>6</v>
      </c>
      <c r="D66" s="3" t="s">
        <v>7</v>
      </c>
      <c r="E66" s="3" t="s">
        <v>8</v>
      </c>
      <c r="F66" s="3" t="s">
        <v>9</v>
      </c>
      <c r="G66" s="3" t="s">
        <v>10</v>
      </c>
      <c r="H66" s="3" t="s">
        <v>21</v>
      </c>
      <c r="I66" s="4" t="s">
        <v>22</v>
      </c>
      <c r="J66" s="4" t="s">
        <v>11</v>
      </c>
      <c r="K66" s="4" t="s">
        <v>12</v>
      </c>
    </row>
    <row r="67" spans="1:11">
      <c r="A67" s="5" t="s">
        <v>233</v>
      </c>
      <c r="B67" s="6">
        <v>45308</v>
      </c>
      <c r="C67" s="7">
        <v>1</v>
      </c>
      <c r="D67" s="5">
        <v>7.06</v>
      </c>
      <c r="E67" s="5">
        <v>0</v>
      </c>
      <c r="F67" s="5">
        <v>7.5</v>
      </c>
      <c r="G67" s="6">
        <v>45308</v>
      </c>
      <c r="H67" s="5"/>
      <c r="I67" s="5"/>
      <c r="J67" s="5">
        <f>F67-E67</f>
        <v>7.5</v>
      </c>
      <c r="K67" s="8" t="b">
        <f>E67=F66</f>
        <v>0</v>
      </c>
    </row>
    <row r="68" spans="1:11">
      <c r="A68" s="5" t="s">
        <v>234</v>
      </c>
      <c r="B68" s="6">
        <v>45308</v>
      </c>
      <c r="C68" s="7">
        <v>0.8</v>
      </c>
      <c r="D68" s="5">
        <v>8.83</v>
      </c>
      <c r="E68" s="5">
        <v>7.5</v>
      </c>
      <c r="F68" s="5">
        <v>17.899999999999999</v>
      </c>
      <c r="G68" s="6">
        <v>45308</v>
      </c>
      <c r="H68" s="5"/>
      <c r="I68" s="5"/>
      <c r="J68" s="5">
        <f t="shared" ref="J68:J84" si="6">F68-E68</f>
        <v>10.399999999999999</v>
      </c>
      <c r="K68" s="8" t="b">
        <f t="shared" ref="K68:K106" si="7">E68=F67</f>
        <v>1</v>
      </c>
    </row>
    <row r="69" spans="1:11">
      <c r="A69" s="5" t="s">
        <v>235</v>
      </c>
      <c r="B69" s="6">
        <v>45309</v>
      </c>
      <c r="C69" s="7">
        <v>1</v>
      </c>
      <c r="D69" s="5">
        <v>7.06</v>
      </c>
      <c r="E69" s="5">
        <v>17.899999999999999</v>
      </c>
      <c r="F69" s="5">
        <v>23.9</v>
      </c>
      <c r="G69" s="6">
        <v>45309</v>
      </c>
      <c r="H69" s="5"/>
      <c r="I69" s="5"/>
      <c r="J69" s="5">
        <f t="shared" si="6"/>
        <v>6</v>
      </c>
      <c r="K69" s="8" t="b">
        <f t="shared" si="7"/>
        <v>1</v>
      </c>
    </row>
    <row r="70" spans="1:11">
      <c r="A70" s="5" t="s">
        <v>236</v>
      </c>
      <c r="B70" s="6">
        <v>45309</v>
      </c>
      <c r="C70" s="7">
        <v>0.6</v>
      </c>
      <c r="D70" s="5">
        <v>11.77</v>
      </c>
      <c r="E70" s="5">
        <v>23.9</v>
      </c>
      <c r="F70" s="5">
        <v>33</v>
      </c>
      <c r="G70" s="6">
        <v>45309</v>
      </c>
      <c r="H70" s="5"/>
      <c r="I70" s="5"/>
      <c r="J70" s="5">
        <f t="shared" si="6"/>
        <v>9.1000000000000014</v>
      </c>
      <c r="K70" s="8" t="b">
        <f t="shared" si="7"/>
        <v>1</v>
      </c>
    </row>
    <row r="71" spans="1:11">
      <c r="A71" s="5" t="s">
        <v>237</v>
      </c>
      <c r="B71" s="6">
        <v>45310</v>
      </c>
      <c r="C71" s="7">
        <v>1</v>
      </c>
      <c r="D71" s="5">
        <v>7.06</v>
      </c>
      <c r="E71" s="5">
        <v>33</v>
      </c>
      <c r="F71" s="5">
        <v>47.7</v>
      </c>
      <c r="G71" s="6">
        <v>45310</v>
      </c>
      <c r="H71" s="5"/>
      <c r="I71" s="5"/>
      <c r="J71" s="5">
        <f t="shared" si="6"/>
        <v>14.700000000000003</v>
      </c>
      <c r="K71" s="8" t="b">
        <f t="shared" si="7"/>
        <v>1</v>
      </c>
    </row>
    <row r="72" spans="1:11">
      <c r="A72" s="5" t="s">
        <v>238</v>
      </c>
      <c r="B72" s="6">
        <v>45311</v>
      </c>
      <c r="C72" s="7">
        <v>1</v>
      </c>
      <c r="D72" s="5">
        <v>7.06</v>
      </c>
      <c r="E72" s="5">
        <v>47.7</v>
      </c>
      <c r="F72" s="5">
        <v>60.4</v>
      </c>
      <c r="G72" s="6">
        <v>45311</v>
      </c>
      <c r="H72" s="5"/>
      <c r="I72" s="5"/>
      <c r="J72" s="5">
        <f t="shared" si="6"/>
        <v>12.699999999999996</v>
      </c>
      <c r="K72" s="8" t="b">
        <f t="shared" si="7"/>
        <v>1</v>
      </c>
    </row>
    <row r="73" spans="1:11">
      <c r="A73" s="5" t="s">
        <v>237</v>
      </c>
      <c r="B73" s="6">
        <v>45312</v>
      </c>
      <c r="C73" s="7">
        <v>1</v>
      </c>
      <c r="D73" s="5">
        <v>7.06</v>
      </c>
      <c r="E73" s="5">
        <v>60.4</v>
      </c>
      <c r="F73" s="5">
        <v>73.099999999999994</v>
      </c>
      <c r="G73" s="6">
        <v>45312</v>
      </c>
      <c r="H73" s="5"/>
      <c r="I73" s="5"/>
      <c r="J73" s="5">
        <f t="shared" si="6"/>
        <v>12.699999999999996</v>
      </c>
      <c r="K73" s="8" t="b">
        <f t="shared" si="7"/>
        <v>1</v>
      </c>
    </row>
    <row r="74" spans="1:11">
      <c r="A74" s="101" t="s">
        <v>239</v>
      </c>
      <c r="B74" s="102">
        <v>45313</v>
      </c>
      <c r="C74" s="103">
        <v>1</v>
      </c>
      <c r="D74" s="101">
        <v>7.06</v>
      </c>
      <c r="E74" s="101">
        <v>73.099999999999994</v>
      </c>
      <c r="F74" s="101">
        <v>76.8</v>
      </c>
      <c r="G74" s="102">
        <v>45313</v>
      </c>
      <c r="H74" s="101"/>
      <c r="I74" s="101"/>
      <c r="J74" s="101">
        <f t="shared" si="6"/>
        <v>3.7000000000000028</v>
      </c>
      <c r="K74" s="8" t="b">
        <f t="shared" si="7"/>
        <v>1</v>
      </c>
    </row>
    <row r="75" spans="1:11">
      <c r="A75" s="5" t="s">
        <v>233</v>
      </c>
      <c r="B75" s="6">
        <v>45315</v>
      </c>
      <c r="C75" s="7">
        <v>1</v>
      </c>
      <c r="D75" s="5">
        <v>7.06</v>
      </c>
      <c r="E75" s="5">
        <v>76.8</v>
      </c>
      <c r="F75" s="5">
        <v>83.3</v>
      </c>
      <c r="G75" s="6">
        <v>45315</v>
      </c>
      <c r="H75" s="5"/>
      <c r="I75" s="5"/>
      <c r="J75" s="5">
        <f t="shared" si="6"/>
        <v>6.5</v>
      </c>
      <c r="K75" s="8" t="b">
        <f t="shared" si="7"/>
        <v>1</v>
      </c>
    </row>
    <row r="76" spans="1:11">
      <c r="A76" s="5" t="s">
        <v>240</v>
      </c>
      <c r="B76" s="6">
        <v>45317</v>
      </c>
      <c r="C76" s="66">
        <v>1</v>
      </c>
      <c r="D76" s="5">
        <v>7.06</v>
      </c>
      <c r="E76" s="5">
        <v>83.3</v>
      </c>
      <c r="F76" s="5">
        <v>94.5</v>
      </c>
      <c r="G76" s="6">
        <v>45317</v>
      </c>
      <c r="H76" s="5"/>
      <c r="I76" s="5"/>
      <c r="J76" s="5">
        <f t="shared" si="6"/>
        <v>11.200000000000003</v>
      </c>
      <c r="K76" s="8" t="b">
        <f t="shared" si="7"/>
        <v>1</v>
      </c>
    </row>
    <row r="77" spans="1:11" ht="15" customHeight="1">
      <c r="A77" s="5" t="s">
        <v>237</v>
      </c>
      <c r="B77" s="6">
        <v>45319</v>
      </c>
      <c r="C77" s="66">
        <v>1</v>
      </c>
      <c r="D77" s="5">
        <v>7.06</v>
      </c>
      <c r="E77" s="5">
        <v>94.5</v>
      </c>
      <c r="F77" s="5">
        <v>108.1</v>
      </c>
      <c r="G77" s="6">
        <v>45319</v>
      </c>
      <c r="H77" s="5"/>
      <c r="I77" s="5"/>
      <c r="J77" s="5">
        <f t="shared" si="6"/>
        <v>13.599999999999994</v>
      </c>
      <c r="K77" s="8" t="b">
        <f t="shared" si="7"/>
        <v>1</v>
      </c>
    </row>
    <row r="78" spans="1:11">
      <c r="A78" s="5" t="s">
        <v>241</v>
      </c>
      <c r="B78" s="6">
        <v>45320</v>
      </c>
      <c r="C78" s="66">
        <v>1</v>
      </c>
      <c r="D78" s="5">
        <v>7.06</v>
      </c>
      <c r="E78" s="5">
        <v>108.1</v>
      </c>
      <c r="F78" s="5">
        <v>111.5</v>
      </c>
      <c r="G78" s="6">
        <v>45320</v>
      </c>
      <c r="H78" s="5"/>
      <c r="I78" s="5"/>
      <c r="J78" s="5">
        <f t="shared" si="6"/>
        <v>3.4000000000000057</v>
      </c>
      <c r="K78" s="8" t="b">
        <f t="shared" si="7"/>
        <v>1</v>
      </c>
    </row>
    <row r="79" spans="1:11">
      <c r="A79" s="5" t="s">
        <v>237</v>
      </c>
      <c r="B79" s="6">
        <v>45325</v>
      </c>
      <c r="C79" s="66">
        <v>1</v>
      </c>
      <c r="D79" s="5">
        <v>7.06</v>
      </c>
      <c r="E79" s="5">
        <v>111.5</v>
      </c>
      <c r="F79" s="5">
        <v>125.1</v>
      </c>
      <c r="G79" s="6">
        <v>45325</v>
      </c>
      <c r="H79" s="5"/>
      <c r="I79" s="5"/>
      <c r="J79" s="5">
        <f t="shared" si="6"/>
        <v>13.599999999999994</v>
      </c>
      <c r="K79" s="8" t="b">
        <f t="shared" si="7"/>
        <v>1</v>
      </c>
    </row>
    <row r="80" spans="1:11">
      <c r="A80" s="80" t="s">
        <v>237</v>
      </c>
      <c r="B80" s="81">
        <v>45328</v>
      </c>
      <c r="C80" s="105">
        <v>1</v>
      </c>
      <c r="D80" s="80">
        <v>7.06</v>
      </c>
      <c r="E80" s="80">
        <v>125.1</v>
      </c>
      <c r="F80" s="80">
        <v>137.9</v>
      </c>
      <c r="G80" s="81">
        <v>45328</v>
      </c>
      <c r="H80" s="80"/>
      <c r="I80" s="80"/>
      <c r="J80" s="80">
        <f t="shared" si="6"/>
        <v>12.800000000000011</v>
      </c>
      <c r="K80" s="8" t="b">
        <f t="shared" si="7"/>
        <v>1</v>
      </c>
    </row>
    <row r="81" spans="1:11">
      <c r="A81" s="5" t="s">
        <v>239</v>
      </c>
      <c r="B81" s="6">
        <v>45328</v>
      </c>
      <c r="C81" s="66">
        <v>1</v>
      </c>
      <c r="D81" s="5">
        <v>7.06</v>
      </c>
      <c r="E81" s="5">
        <v>137.9</v>
      </c>
      <c r="F81" s="5">
        <v>142.1</v>
      </c>
      <c r="G81" s="6">
        <v>45328</v>
      </c>
      <c r="H81" s="5"/>
      <c r="I81" s="5"/>
      <c r="J81" s="5">
        <f t="shared" si="6"/>
        <v>4.1999999999999886</v>
      </c>
      <c r="K81" s="8" t="b">
        <f t="shared" si="7"/>
        <v>1</v>
      </c>
    </row>
    <row r="82" spans="1:11">
      <c r="A82" s="5" t="s">
        <v>239</v>
      </c>
      <c r="B82" s="6">
        <v>45329</v>
      </c>
      <c r="C82" s="66">
        <v>1</v>
      </c>
      <c r="D82" s="5">
        <v>7.06</v>
      </c>
      <c r="E82" s="5">
        <v>142.1</v>
      </c>
      <c r="F82" s="5">
        <v>145.6</v>
      </c>
      <c r="G82" s="6">
        <v>45329</v>
      </c>
      <c r="H82" s="5"/>
      <c r="I82" s="5"/>
      <c r="J82" s="5">
        <f t="shared" si="6"/>
        <v>3.5</v>
      </c>
      <c r="K82" s="8" t="b">
        <f t="shared" si="7"/>
        <v>1</v>
      </c>
    </row>
    <row r="83" spans="1:11">
      <c r="A83" s="80" t="s">
        <v>237</v>
      </c>
      <c r="B83" s="81">
        <v>45336</v>
      </c>
      <c r="C83" s="105">
        <v>1</v>
      </c>
      <c r="D83" s="80">
        <v>7.06</v>
      </c>
      <c r="E83" s="80">
        <v>145.6</v>
      </c>
      <c r="F83" s="80">
        <v>160</v>
      </c>
      <c r="G83" s="81">
        <v>45336</v>
      </c>
      <c r="H83" s="80"/>
      <c r="I83" s="80"/>
      <c r="J83" s="80">
        <f t="shared" si="6"/>
        <v>14.400000000000006</v>
      </c>
      <c r="K83" s="8" t="b">
        <f t="shared" si="7"/>
        <v>1</v>
      </c>
    </row>
    <row r="84" spans="1:11">
      <c r="A84" s="21" t="s">
        <v>237</v>
      </c>
      <c r="B84" s="22">
        <v>45349</v>
      </c>
      <c r="C84" s="110">
        <v>0.9</v>
      </c>
      <c r="D84" s="21">
        <v>7.84</v>
      </c>
      <c r="E84" s="21">
        <v>160</v>
      </c>
      <c r="F84" s="21">
        <v>176.4</v>
      </c>
      <c r="G84" s="22">
        <v>45349</v>
      </c>
      <c r="H84" s="21"/>
      <c r="I84" s="21"/>
      <c r="J84" s="21">
        <f t="shared" si="6"/>
        <v>16.400000000000006</v>
      </c>
      <c r="K84" s="8" t="b">
        <f t="shared" si="7"/>
        <v>1</v>
      </c>
    </row>
    <row r="85" spans="1:11">
      <c r="A85" s="21" t="s">
        <v>234</v>
      </c>
      <c r="B85" s="22">
        <v>45351</v>
      </c>
      <c r="C85" s="110">
        <v>0.9</v>
      </c>
      <c r="D85" s="21">
        <v>7.48</v>
      </c>
      <c r="E85" s="21">
        <v>176.4</v>
      </c>
      <c r="F85" s="21">
        <v>184.8</v>
      </c>
      <c r="G85" s="22">
        <v>45351</v>
      </c>
      <c r="H85" s="21"/>
      <c r="I85" s="21"/>
      <c r="J85" s="21"/>
      <c r="K85" s="8" t="b">
        <f t="shared" si="7"/>
        <v>1</v>
      </c>
    </row>
    <row r="86" spans="1:11">
      <c r="A86" s="21" t="s">
        <v>233</v>
      </c>
      <c r="B86" s="22">
        <v>45351</v>
      </c>
      <c r="C86" s="110">
        <v>0.7</v>
      </c>
      <c r="D86" s="21">
        <v>10.09</v>
      </c>
      <c r="E86" s="21">
        <v>184.8</v>
      </c>
      <c r="F86" s="21">
        <v>196.9</v>
      </c>
      <c r="G86" s="22">
        <v>45351</v>
      </c>
      <c r="H86" s="21"/>
      <c r="I86" s="21"/>
      <c r="J86" s="21"/>
      <c r="K86" s="8" t="b">
        <f t="shared" si="7"/>
        <v>1</v>
      </c>
    </row>
    <row r="87" spans="1:11">
      <c r="A87" s="21" t="s">
        <v>237</v>
      </c>
      <c r="B87" s="22">
        <v>45353</v>
      </c>
      <c r="C87" s="110">
        <v>0.8</v>
      </c>
      <c r="D87" s="21">
        <v>8.83</v>
      </c>
      <c r="E87" s="21">
        <v>196.9</v>
      </c>
      <c r="F87" s="21">
        <v>217</v>
      </c>
      <c r="G87" s="22">
        <v>45353</v>
      </c>
      <c r="H87" s="21"/>
      <c r="I87" s="21"/>
      <c r="J87" s="21"/>
      <c r="K87" s="8" t="b">
        <f t="shared" si="7"/>
        <v>1</v>
      </c>
    </row>
    <row r="88" spans="1:11">
      <c r="A88" s="21" t="s">
        <v>237</v>
      </c>
      <c r="B88" s="22"/>
      <c r="C88" s="110"/>
      <c r="D88" s="21"/>
      <c r="E88" s="21"/>
      <c r="F88" s="21"/>
      <c r="G88" s="22"/>
      <c r="H88" s="21"/>
      <c r="I88" s="21"/>
      <c r="J88" s="21"/>
      <c r="K88" s="8" t="b">
        <f t="shared" si="7"/>
        <v>0</v>
      </c>
    </row>
    <row r="89" spans="1:11">
      <c r="A89" s="21" t="s">
        <v>237</v>
      </c>
      <c r="B89" s="22"/>
      <c r="C89" s="110"/>
      <c r="D89" s="21"/>
      <c r="E89" s="21"/>
      <c r="F89" s="21"/>
      <c r="G89" s="22"/>
      <c r="H89" s="21"/>
      <c r="I89" s="21"/>
      <c r="J89" s="21"/>
      <c r="K89" s="8" t="b">
        <f t="shared" si="7"/>
        <v>1</v>
      </c>
    </row>
    <row r="90" spans="1:11">
      <c r="A90" s="21" t="s">
        <v>237</v>
      </c>
      <c r="B90" s="22"/>
      <c r="C90" s="110"/>
      <c r="D90" s="21"/>
      <c r="E90" s="21"/>
      <c r="F90" s="21"/>
      <c r="G90" s="22"/>
      <c r="H90" s="21"/>
      <c r="I90" s="21"/>
      <c r="J90" s="21"/>
      <c r="K90" s="8" t="b">
        <f t="shared" si="7"/>
        <v>1</v>
      </c>
    </row>
    <row r="91" spans="1:11">
      <c r="A91" s="21" t="s">
        <v>237</v>
      </c>
      <c r="B91" s="22"/>
      <c r="C91" s="110"/>
      <c r="D91" s="21"/>
      <c r="E91" s="21"/>
      <c r="F91" s="21"/>
      <c r="G91" s="22"/>
      <c r="H91" s="21"/>
      <c r="I91" s="21"/>
      <c r="J91" s="21"/>
      <c r="K91" s="8" t="b">
        <f t="shared" si="7"/>
        <v>1</v>
      </c>
    </row>
    <row r="92" spans="1:11">
      <c r="A92" s="21" t="s">
        <v>237</v>
      </c>
      <c r="B92" s="22"/>
      <c r="C92" s="110"/>
      <c r="D92" s="21"/>
      <c r="E92" s="21"/>
      <c r="F92" s="21"/>
      <c r="G92" s="22"/>
      <c r="H92" s="21"/>
      <c r="I92" s="21"/>
      <c r="J92" s="21"/>
      <c r="K92" s="8" t="b">
        <f t="shared" si="7"/>
        <v>1</v>
      </c>
    </row>
    <row r="93" spans="1:11">
      <c r="A93" s="21" t="s">
        <v>237</v>
      </c>
      <c r="B93" s="22"/>
      <c r="C93" s="110"/>
      <c r="D93" s="21"/>
      <c r="E93" s="21"/>
      <c r="F93" s="21"/>
      <c r="G93" s="22"/>
      <c r="H93" s="21"/>
      <c r="I93" s="21"/>
      <c r="J93" s="21"/>
      <c r="K93" s="8" t="b">
        <f t="shared" si="7"/>
        <v>1</v>
      </c>
    </row>
    <row r="94" spans="1:11">
      <c r="A94" s="21" t="s">
        <v>237</v>
      </c>
      <c r="B94" s="22"/>
      <c r="C94" s="110"/>
      <c r="D94" s="21"/>
      <c r="E94" s="21"/>
      <c r="F94" s="21"/>
      <c r="G94" s="22"/>
      <c r="H94" s="21"/>
      <c r="I94" s="21"/>
      <c r="J94" s="21"/>
      <c r="K94" s="8" t="b">
        <f t="shared" si="7"/>
        <v>1</v>
      </c>
    </row>
    <row r="95" spans="1:11">
      <c r="A95" s="21" t="s">
        <v>237</v>
      </c>
      <c r="B95" s="22"/>
      <c r="C95" s="110"/>
      <c r="D95" s="21"/>
      <c r="E95" s="21"/>
      <c r="F95" s="21"/>
      <c r="G95" s="22"/>
      <c r="H95" s="21"/>
      <c r="I95" s="21"/>
      <c r="J95" s="21"/>
      <c r="K95" s="8" t="b">
        <f t="shared" si="7"/>
        <v>1</v>
      </c>
    </row>
    <row r="96" spans="1:11">
      <c r="A96" s="21" t="s">
        <v>237</v>
      </c>
      <c r="B96" s="22"/>
      <c r="C96" s="110"/>
      <c r="D96" s="21"/>
      <c r="E96" s="21"/>
      <c r="F96" s="21"/>
      <c r="G96" s="22"/>
      <c r="H96" s="21"/>
      <c r="I96" s="21"/>
      <c r="J96" s="21"/>
      <c r="K96" s="8" t="b">
        <f t="shared" si="7"/>
        <v>1</v>
      </c>
    </row>
    <row r="97" spans="1:11">
      <c r="A97" s="21" t="s">
        <v>237</v>
      </c>
      <c r="B97" s="22"/>
      <c r="C97" s="110"/>
      <c r="D97" s="21"/>
      <c r="E97" s="21"/>
      <c r="F97" s="21"/>
      <c r="G97" s="22"/>
      <c r="H97" s="21"/>
      <c r="I97" s="21"/>
      <c r="J97" s="21"/>
      <c r="K97" s="8" t="b">
        <f t="shared" si="7"/>
        <v>1</v>
      </c>
    </row>
    <row r="98" spans="1:11">
      <c r="A98" s="21" t="s">
        <v>237</v>
      </c>
      <c r="B98" s="22"/>
      <c r="C98" s="110"/>
      <c r="D98" s="21"/>
      <c r="E98" s="21"/>
      <c r="F98" s="21"/>
      <c r="G98" s="22"/>
      <c r="H98" s="21"/>
      <c r="I98" s="21"/>
      <c r="J98" s="21"/>
      <c r="K98" s="8" t="b">
        <f t="shared" si="7"/>
        <v>1</v>
      </c>
    </row>
    <row r="99" spans="1:11">
      <c r="A99" s="21" t="s">
        <v>237</v>
      </c>
      <c r="B99" s="22"/>
      <c r="C99" s="110"/>
      <c r="D99" s="21"/>
      <c r="E99" s="21"/>
      <c r="F99" s="21"/>
      <c r="G99" s="22"/>
      <c r="H99" s="21"/>
      <c r="I99" s="21"/>
      <c r="J99" s="21"/>
      <c r="K99" s="8" t="b">
        <f t="shared" si="7"/>
        <v>1</v>
      </c>
    </row>
    <row r="100" spans="1:11">
      <c r="A100" s="21" t="s">
        <v>237</v>
      </c>
      <c r="B100" s="22"/>
      <c r="C100" s="110"/>
      <c r="D100" s="21"/>
      <c r="E100" s="21"/>
      <c r="F100" s="21"/>
      <c r="G100" s="22"/>
      <c r="H100" s="21"/>
      <c r="I100" s="21"/>
      <c r="J100" s="21"/>
      <c r="K100" s="8" t="b">
        <f t="shared" si="7"/>
        <v>1</v>
      </c>
    </row>
    <row r="101" spans="1:11">
      <c r="A101" s="21" t="s">
        <v>237</v>
      </c>
      <c r="B101" s="22"/>
      <c r="C101" s="110"/>
      <c r="D101" s="21"/>
      <c r="E101" s="21"/>
      <c r="F101" s="21"/>
      <c r="G101" s="22"/>
      <c r="H101" s="21"/>
      <c r="I101" s="21"/>
      <c r="J101" s="21"/>
      <c r="K101" s="8" t="b">
        <f t="shared" si="7"/>
        <v>1</v>
      </c>
    </row>
    <row r="102" spans="1:11" ht="17.25" customHeight="1">
      <c r="A102" s="21" t="s">
        <v>237</v>
      </c>
      <c r="B102" s="22"/>
      <c r="C102" s="110"/>
      <c r="D102" s="21"/>
      <c r="E102" s="21"/>
      <c r="F102" s="21"/>
      <c r="G102" s="22"/>
      <c r="H102" s="21"/>
      <c r="I102" s="21"/>
      <c r="J102" s="21"/>
      <c r="K102" s="8" t="b">
        <f t="shared" si="7"/>
        <v>1</v>
      </c>
    </row>
    <row r="103" spans="1:11" ht="16.5" customHeight="1">
      <c r="A103" s="21" t="s">
        <v>237</v>
      </c>
      <c r="B103" s="22"/>
      <c r="C103" s="110"/>
      <c r="D103" s="21"/>
      <c r="E103" s="21"/>
      <c r="F103" s="21"/>
      <c r="G103" s="22"/>
      <c r="H103" s="21"/>
      <c r="I103" s="21"/>
      <c r="J103" s="21"/>
      <c r="K103" s="8" t="b">
        <f t="shared" si="7"/>
        <v>1</v>
      </c>
    </row>
    <row r="104" spans="1:11" ht="17.25" customHeight="1">
      <c r="A104" s="21" t="s">
        <v>237</v>
      </c>
      <c r="B104" s="22">
        <v>45353</v>
      </c>
      <c r="C104" s="110">
        <v>0.8</v>
      </c>
      <c r="D104" s="21">
        <v>8.83</v>
      </c>
      <c r="E104" s="21">
        <v>196.9</v>
      </c>
      <c r="F104" s="21">
        <v>217</v>
      </c>
      <c r="G104" s="22">
        <v>45353</v>
      </c>
      <c r="H104" s="21"/>
      <c r="I104" s="21"/>
      <c r="J104" s="21"/>
      <c r="K104" s="8" t="b">
        <f t="shared" si="7"/>
        <v>0</v>
      </c>
    </row>
    <row r="105" spans="1:11">
      <c r="A105" s="5" t="s">
        <v>237</v>
      </c>
      <c r="B105" s="6">
        <v>45358</v>
      </c>
      <c r="C105" s="66">
        <v>1</v>
      </c>
      <c r="D105" s="5">
        <v>7.06</v>
      </c>
      <c r="E105" s="5">
        <v>217.1</v>
      </c>
      <c r="F105" s="5">
        <v>232</v>
      </c>
      <c r="G105" s="6">
        <v>45358</v>
      </c>
      <c r="H105" s="5"/>
      <c r="I105" s="5"/>
      <c r="J105" s="5">
        <f t="shared" ref="J105:J122" si="8">F105-E105</f>
        <v>14.900000000000006</v>
      </c>
      <c r="K105" s="8" t="b">
        <f t="shared" si="7"/>
        <v>0</v>
      </c>
    </row>
    <row r="106" spans="1:11">
      <c r="A106" s="5" t="s">
        <v>237</v>
      </c>
      <c r="B106" s="6">
        <v>45361</v>
      </c>
      <c r="C106" s="66">
        <v>1</v>
      </c>
      <c r="D106" s="5">
        <v>7.06</v>
      </c>
      <c r="E106" s="5">
        <v>233.5</v>
      </c>
      <c r="F106" s="5">
        <v>247.8</v>
      </c>
      <c r="G106" s="6">
        <v>45361</v>
      </c>
      <c r="H106" s="5"/>
      <c r="I106" s="5"/>
      <c r="J106" s="5">
        <f t="shared" si="8"/>
        <v>14.300000000000011</v>
      </c>
      <c r="K106" s="8" t="b">
        <f t="shared" si="7"/>
        <v>0</v>
      </c>
    </row>
    <row r="107" spans="1:11">
      <c r="A107" s="5" t="s">
        <v>237</v>
      </c>
      <c r="B107" s="6">
        <v>45363</v>
      </c>
      <c r="C107" s="66">
        <v>1</v>
      </c>
      <c r="D107" s="5">
        <v>7.06</v>
      </c>
      <c r="E107" s="5">
        <v>247.8</v>
      </c>
      <c r="F107" s="5">
        <v>262.8</v>
      </c>
      <c r="G107" s="6">
        <v>45363</v>
      </c>
      <c r="H107" s="5"/>
      <c r="I107" s="5"/>
      <c r="J107" s="5">
        <f t="shared" si="8"/>
        <v>15</v>
      </c>
      <c r="K107" s="8" t="b">
        <f t="shared" ref="K107:K122" si="9">E107=F106</f>
        <v>1</v>
      </c>
    </row>
    <row r="108" spans="1:11">
      <c r="A108" s="5" t="s">
        <v>237</v>
      </c>
      <c r="B108" s="6">
        <v>45365</v>
      </c>
      <c r="C108" s="66">
        <v>0.8</v>
      </c>
      <c r="D108" s="5">
        <v>8.83</v>
      </c>
      <c r="E108" s="5">
        <v>262.8</v>
      </c>
      <c r="F108" s="5">
        <v>280.3</v>
      </c>
      <c r="G108" s="6">
        <v>45365</v>
      </c>
      <c r="H108" s="5"/>
      <c r="I108" s="5"/>
      <c r="J108" s="5">
        <f t="shared" si="8"/>
        <v>17.5</v>
      </c>
      <c r="K108" s="8" t="b">
        <f t="shared" si="9"/>
        <v>1</v>
      </c>
    </row>
    <row r="109" spans="1:11">
      <c r="A109" s="5" t="s">
        <v>237</v>
      </c>
      <c r="B109" s="6">
        <v>45366</v>
      </c>
      <c r="C109" s="66">
        <v>1</v>
      </c>
      <c r="D109" s="5">
        <v>7.06</v>
      </c>
      <c r="E109" s="5">
        <v>280.3</v>
      </c>
      <c r="F109" s="5">
        <v>286.60000000000002</v>
      </c>
      <c r="G109" s="6">
        <v>45366</v>
      </c>
      <c r="H109" s="5"/>
      <c r="I109" s="5"/>
      <c r="J109" s="5">
        <f t="shared" si="8"/>
        <v>6.3000000000000114</v>
      </c>
      <c r="K109" s="8" t="b">
        <f t="shared" si="9"/>
        <v>1</v>
      </c>
    </row>
    <row r="110" spans="1:11">
      <c r="A110" s="5" t="s">
        <v>237</v>
      </c>
      <c r="B110" s="6">
        <v>45368</v>
      </c>
      <c r="C110" s="66">
        <v>0.9</v>
      </c>
      <c r="D110" s="5">
        <v>7.16</v>
      </c>
      <c r="E110" s="5">
        <v>286.60000000000002</v>
      </c>
      <c r="F110" s="5">
        <v>302.5</v>
      </c>
      <c r="G110" s="6">
        <v>45368</v>
      </c>
      <c r="H110" s="5"/>
      <c r="I110" s="5"/>
      <c r="J110" s="5">
        <f t="shared" si="8"/>
        <v>15.899999999999977</v>
      </c>
      <c r="K110" s="8" t="b">
        <f t="shared" si="9"/>
        <v>1</v>
      </c>
    </row>
    <row r="111" spans="1:11">
      <c r="A111" s="5" t="s">
        <v>237</v>
      </c>
      <c r="B111" s="6">
        <v>45369</v>
      </c>
      <c r="C111" s="66">
        <v>1</v>
      </c>
      <c r="D111" s="5">
        <v>7.06</v>
      </c>
      <c r="E111" s="5">
        <v>302.5</v>
      </c>
      <c r="F111" s="5">
        <v>311.60000000000002</v>
      </c>
      <c r="G111" s="6">
        <v>45369</v>
      </c>
      <c r="H111" s="5"/>
      <c r="I111" s="5"/>
      <c r="J111" s="5">
        <f t="shared" si="8"/>
        <v>9.1000000000000227</v>
      </c>
      <c r="K111" s="8" t="b">
        <f t="shared" si="9"/>
        <v>1</v>
      </c>
    </row>
    <row r="112" spans="1:11">
      <c r="A112" s="5" t="s">
        <v>237</v>
      </c>
      <c r="B112" s="6">
        <v>45371</v>
      </c>
      <c r="C112" s="66">
        <v>1</v>
      </c>
      <c r="D112" s="5">
        <v>7.06</v>
      </c>
      <c r="E112" s="5">
        <v>311.60000000000002</v>
      </c>
      <c r="F112" s="5">
        <v>313.39999999999998</v>
      </c>
      <c r="G112" s="6">
        <v>45371</v>
      </c>
      <c r="H112" s="5"/>
      <c r="I112" s="5"/>
      <c r="J112" s="5">
        <f t="shared" si="8"/>
        <v>1.7999999999999545</v>
      </c>
      <c r="K112" s="8" t="b">
        <f t="shared" si="9"/>
        <v>1</v>
      </c>
    </row>
    <row r="113" spans="1:11">
      <c r="A113" s="5" t="s">
        <v>237</v>
      </c>
      <c r="B113" s="6">
        <v>45372</v>
      </c>
      <c r="C113" s="66">
        <v>1</v>
      </c>
      <c r="D113" s="5">
        <v>7.06</v>
      </c>
      <c r="E113" s="5">
        <v>313.39999999999998</v>
      </c>
      <c r="F113" s="5">
        <v>327.9</v>
      </c>
      <c r="G113" s="6">
        <v>45372</v>
      </c>
      <c r="H113" s="5"/>
      <c r="I113" s="5"/>
      <c r="J113" s="5">
        <f t="shared" si="8"/>
        <v>14.5</v>
      </c>
      <c r="K113" s="8" t="b">
        <f t="shared" si="9"/>
        <v>1</v>
      </c>
    </row>
    <row r="114" spans="1:11">
      <c r="A114" s="5" t="s">
        <v>237</v>
      </c>
      <c r="B114" s="6">
        <v>45374</v>
      </c>
      <c r="C114" s="66">
        <v>1</v>
      </c>
      <c r="D114" s="5">
        <v>7.06</v>
      </c>
      <c r="E114" s="5">
        <v>327.9</v>
      </c>
      <c r="F114" s="5">
        <v>329.8</v>
      </c>
      <c r="G114" s="6">
        <v>45374</v>
      </c>
      <c r="H114" s="5"/>
      <c r="I114" s="5"/>
      <c r="J114" s="5">
        <f t="shared" si="8"/>
        <v>1.9000000000000341</v>
      </c>
      <c r="K114" s="8" t="b">
        <f t="shared" si="9"/>
        <v>1</v>
      </c>
    </row>
    <row r="115" spans="1:11">
      <c r="A115" s="5" t="s">
        <v>237</v>
      </c>
      <c r="B115" s="6">
        <v>45376</v>
      </c>
      <c r="C115" s="66">
        <v>1</v>
      </c>
      <c r="D115" s="5">
        <v>7.06</v>
      </c>
      <c r="E115" s="5">
        <v>329.8</v>
      </c>
      <c r="F115" s="5">
        <v>345</v>
      </c>
      <c r="G115" s="6">
        <v>45376</v>
      </c>
      <c r="H115" s="5"/>
      <c r="I115" s="5"/>
      <c r="J115" s="5">
        <f t="shared" si="8"/>
        <v>15.199999999999989</v>
      </c>
      <c r="K115" s="8" t="b">
        <f t="shared" si="9"/>
        <v>1</v>
      </c>
    </row>
    <row r="116" spans="1:11">
      <c r="A116" s="5" t="s">
        <v>237</v>
      </c>
      <c r="B116" s="6">
        <v>45378</v>
      </c>
      <c r="C116" s="66">
        <v>0.75</v>
      </c>
      <c r="D116" s="5">
        <v>8.59</v>
      </c>
      <c r="E116" s="5">
        <v>345</v>
      </c>
      <c r="F116" s="5">
        <v>363.7</v>
      </c>
      <c r="G116" s="6">
        <v>45378</v>
      </c>
      <c r="H116" s="5"/>
      <c r="I116" s="5"/>
      <c r="J116" s="5">
        <f t="shared" si="8"/>
        <v>18.699999999999989</v>
      </c>
      <c r="K116" s="8" t="b">
        <f t="shared" si="9"/>
        <v>1</v>
      </c>
    </row>
    <row r="117" spans="1:11">
      <c r="A117" s="5" t="s">
        <v>237</v>
      </c>
      <c r="B117" s="6">
        <v>45380</v>
      </c>
      <c r="C117" s="66">
        <v>0.75</v>
      </c>
      <c r="D117" s="5">
        <v>8.59</v>
      </c>
      <c r="E117" s="5">
        <v>363.7</v>
      </c>
      <c r="F117" s="5">
        <v>382.9</v>
      </c>
      <c r="G117" s="6">
        <v>45380</v>
      </c>
      <c r="H117" s="5"/>
      <c r="I117" s="5"/>
      <c r="J117" s="5">
        <f t="shared" si="8"/>
        <v>19.199999999999989</v>
      </c>
      <c r="K117" s="8" t="b">
        <f t="shared" si="9"/>
        <v>1</v>
      </c>
    </row>
    <row r="118" spans="1:11">
      <c r="A118" s="5" t="s">
        <v>237</v>
      </c>
      <c r="B118" s="6">
        <v>45382</v>
      </c>
      <c r="C118" s="66">
        <v>0.9</v>
      </c>
      <c r="D118" s="5">
        <v>7.16</v>
      </c>
      <c r="E118" s="5">
        <v>382.9</v>
      </c>
      <c r="F118" s="5">
        <v>398.6</v>
      </c>
      <c r="G118" s="6">
        <v>45382</v>
      </c>
      <c r="H118" s="5"/>
      <c r="I118" s="5"/>
      <c r="J118" s="5">
        <f t="shared" si="8"/>
        <v>15.700000000000045</v>
      </c>
      <c r="K118" s="8" t="b">
        <f t="shared" si="9"/>
        <v>1</v>
      </c>
    </row>
    <row r="119" spans="1:11">
      <c r="A119" s="5" t="s">
        <v>237</v>
      </c>
      <c r="B119" s="6">
        <v>45386</v>
      </c>
      <c r="C119" s="66">
        <v>1</v>
      </c>
      <c r="D119" s="5">
        <v>7.06</v>
      </c>
      <c r="E119" s="5">
        <v>398.6</v>
      </c>
      <c r="F119" s="5">
        <v>401.9</v>
      </c>
      <c r="G119" s="6">
        <v>45386</v>
      </c>
      <c r="H119" s="5"/>
      <c r="I119" s="5"/>
      <c r="J119" s="5">
        <f t="shared" si="8"/>
        <v>3.2999999999999545</v>
      </c>
      <c r="K119" s="8" t="b">
        <f t="shared" si="9"/>
        <v>1</v>
      </c>
    </row>
    <row r="120" spans="1:11">
      <c r="A120" s="5" t="s">
        <v>237</v>
      </c>
      <c r="B120" s="6">
        <v>45390</v>
      </c>
      <c r="C120" s="66">
        <v>1</v>
      </c>
      <c r="D120" s="5">
        <v>7.06</v>
      </c>
      <c r="E120" s="5">
        <v>401.9</v>
      </c>
      <c r="F120" s="5">
        <v>413.7</v>
      </c>
      <c r="G120" s="6">
        <v>45390</v>
      </c>
      <c r="H120" s="5"/>
      <c r="I120" s="5"/>
      <c r="J120" s="5">
        <f t="shared" si="8"/>
        <v>11.800000000000011</v>
      </c>
      <c r="K120" s="8" t="b">
        <f t="shared" si="9"/>
        <v>1</v>
      </c>
    </row>
    <row r="121" spans="1:11">
      <c r="A121" s="5" t="s">
        <v>237</v>
      </c>
      <c r="B121" s="6">
        <v>45403</v>
      </c>
      <c r="C121" s="66">
        <v>1</v>
      </c>
      <c r="D121" s="5">
        <v>7.06</v>
      </c>
      <c r="E121" s="5">
        <v>431.7</v>
      </c>
      <c r="F121" s="5">
        <v>446.9</v>
      </c>
      <c r="G121" s="6">
        <v>45403</v>
      </c>
      <c r="H121" s="5"/>
      <c r="I121" s="5"/>
      <c r="J121" s="5">
        <f t="shared" si="8"/>
        <v>15.199999999999989</v>
      </c>
      <c r="K121" s="8" t="b">
        <f t="shared" si="9"/>
        <v>0</v>
      </c>
    </row>
    <row r="122" spans="1:11">
      <c r="A122" s="5" t="s">
        <v>242</v>
      </c>
      <c r="B122" s="6">
        <v>45408</v>
      </c>
      <c r="C122" s="66">
        <v>1</v>
      </c>
      <c r="D122" s="5">
        <v>7.06</v>
      </c>
      <c r="E122" s="5">
        <v>446.9</v>
      </c>
      <c r="F122" s="5">
        <v>461.2</v>
      </c>
      <c r="G122" s="6">
        <v>45408</v>
      </c>
      <c r="H122" s="5"/>
      <c r="I122" s="5"/>
      <c r="J122" s="5">
        <f t="shared" si="8"/>
        <v>14.300000000000011</v>
      </c>
      <c r="K122" s="8" t="b">
        <f t="shared" si="9"/>
        <v>1</v>
      </c>
    </row>
    <row r="123" spans="1:11">
      <c r="A123" s="5" t="s">
        <v>237</v>
      </c>
      <c r="B123" s="6">
        <v>45413</v>
      </c>
      <c r="C123" s="66">
        <v>1</v>
      </c>
      <c r="D123" s="5">
        <v>7.06</v>
      </c>
      <c r="E123" s="5">
        <v>461.2</v>
      </c>
      <c r="F123" s="5">
        <v>475.5</v>
      </c>
      <c r="G123" s="6">
        <v>45413</v>
      </c>
      <c r="H123" s="5"/>
      <c r="I123" s="5"/>
      <c r="J123" s="5">
        <f t="shared" ref="J123:J143" si="10">F123-E123</f>
        <v>14.300000000000011</v>
      </c>
      <c r="K123" s="8" t="b">
        <f t="shared" ref="K123:K129" si="11">E123=F122</f>
        <v>1</v>
      </c>
    </row>
    <row r="124" spans="1:11">
      <c r="A124" s="5" t="s">
        <v>237</v>
      </c>
      <c r="B124" s="6">
        <v>45418</v>
      </c>
      <c r="C124" s="66">
        <v>1</v>
      </c>
      <c r="D124" s="5">
        <v>7.06</v>
      </c>
      <c r="E124" s="5">
        <v>475.5</v>
      </c>
      <c r="F124" s="5">
        <v>490.4</v>
      </c>
      <c r="G124" s="6">
        <v>45418</v>
      </c>
      <c r="H124" s="5"/>
      <c r="I124" s="5"/>
      <c r="J124" s="5">
        <f t="shared" si="10"/>
        <v>14.899999999999977</v>
      </c>
      <c r="K124" s="8" t="b">
        <f t="shared" si="11"/>
        <v>1</v>
      </c>
    </row>
    <row r="125" spans="1:11">
      <c r="A125" s="5" t="s">
        <v>241</v>
      </c>
      <c r="B125" s="6">
        <v>45420</v>
      </c>
      <c r="C125" s="66">
        <v>1</v>
      </c>
      <c r="D125" s="5">
        <v>7.06</v>
      </c>
      <c r="E125" s="5">
        <v>490.4</v>
      </c>
      <c r="F125" s="5">
        <v>494.1</v>
      </c>
      <c r="G125" s="6">
        <v>45420</v>
      </c>
      <c r="H125" s="5"/>
      <c r="I125" s="5"/>
      <c r="J125" s="5">
        <f t="shared" si="10"/>
        <v>3.7000000000000455</v>
      </c>
      <c r="K125" s="8" t="b">
        <f t="shared" si="11"/>
        <v>1</v>
      </c>
    </row>
    <row r="126" spans="1:11">
      <c r="A126" s="5" t="s">
        <v>234</v>
      </c>
      <c r="B126" s="6">
        <v>45423</v>
      </c>
      <c r="C126" s="66">
        <v>1</v>
      </c>
      <c r="D126" s="5">
        <v>7.06</v>
      </c>
      <c r="E126" s="5">
        <v>494.1</v>
      </c>
      <c r="F126" s="5">
        <v>503.8</v>
      </c>
      <c r="G126" s="6">
        <v>45423</v>
      </c>
      <c r="H126" s="5"/>
      <c r="I126" s="5"/>
      <c r="J126" s="5">
        <f t="shared" si="10"/>
        <v>9.6999999999999886</v>
      </c>
      <c r="K126" s="8" t="b">
        <f t="shared" si="11"/>
        <v>1</v>
      </c>
    </row>
    <row r="127" spans="1:11">
      <c r="A127" s="5" t="s">
        <v>239</v>
      </c>
      <c r="B127" s="6">
        <v>45425</v>
      </c>
      <c r="C127" s="66">
        <v>1</v>
      </c>
      <c r="D127" s="5">
        <v>7.06</v>
      </c>
      <c r="E127" s="5">
        <v>503.8</v>
      </c>
      <c r="F127" s="5">
        <v>507.6</v>
      </c>
      <c r="G127" s="6">
        <v>45425</v>
      </c>
      <c r="H127" s="5"/>
      <c r="I127" s="5"/>
      <c r="J127" s="5">
        <f t="shared" si="10"/>
        <v>3.8000000000000114</v>
      </c>
      <c r="K127" s="8" t="b">
        <f t="shared" si="11"/>
        <v>1</v>
      </c>
    </row>
    <row r="128" spans="1:11">
      <c r="A128" s="5" t="s">
        <v>234</v>
      </c>
      <c r="B128" s="6">
        <v>45427</v>
      </c>
      <c r="C128" s="66">
        <v>1</v>
      </c>
      <c r="D128" s="5">
        <v>7.06</v>
      </c>
      <c r="E128" s="5">
        <v>507.6</v>
      </c>
      <c r="F128" s="5">
        <v>514.79999999999995</v>
      </c>
      <c r="G128" s="6">
        <v>45427</v>
      </c>
      <c r="H128" s="5"/>
      <c r="I128" s="5"/>
      <c r="J128" s="5">
        <f t="shared" si="10"/>
        <v>7.1999999999999318</v>
      </c>
      <c r="K128" s="8" t="b">
        <f t="shared" si="11"/>
        <v>1</v>
      </c>
    </row>
    <row r="129" spans="1:11">
      <c r="A129" s="5" t="s">
        <v>237</v>
      </c>
      <c r="B129" s="6"/>
      <c r="C129" s="66"/>
      <c r="D129" s="5"/>
      <c r="E129" s="5"/>
      <c r="F129" s="5"/>
      <c r="G129" s="6"/>
      <c r="H129" s="5"/>
      <c r="I129" s="5"/>
      <c r="J129" s="5">
        <f t="shared" si="10"/>
        <v>0</v>
      </c>
      <c r="K129" s="8" t="b">
        <f t="shared" si="11"/>
        <v>0</v>
      </c>
    </row>
    <row r="130" spans="1:11" ht="26.25">
      <c r="A130" s="135" t="s">
        <v>231</v>
      </c>
      <c r="B130" s="136"/>
      <c r="C130" s="136"/>
      <c r="D130" s="136"/>
      <c r="E130" s="136"/>
      <c r="F130" s="136"/>
      <c r="G130" s="136"/>
      <c r="H130" s="136"/>
      <c r="I130" s="136"/>
      <c r="J130" s="136"/>
      <c r="K130" s="137"/>
    </row>
    <row r="131" spans="1:11" ht="26.25">
      <c r="A131" s="138" t="s">
        <v>243</v>
      </c>
      <c r="B131" s="139"/>
      <c r="C131" s="139"/>
      <c r="D131" s="139"/>
      <c r="E131" s="139"/>
      <c r="F131" s="139"/>
      <c r="G131" s="139"/>
      <c r="H131" s="139"/>
      <c r="I131" s="139"/>
      <c r="J131" s="139"/>
      <c r="K131" s="140"/>
    </row>
    <row r="132" spans="1:11" ht="15.75" thickBot="1"/>
    <row r="133" spans="1:11" ht="15.75" thickBot="1">
      <c r="A133" s="132" t="s">
        <v>2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4"/>
    </row>
    <row r="135" spans="1:11" ht="19.5" thickBot="1">
      <c r="A135" s="1" t="s">
        <v>3</v>
      </c>
      <c r="B135" s="1"/>
      <c r="C135" s="1"/>
      <c r="D135" s="1"/>
      <c r="E135" s="1"/>
      <c r="F135" s="1"/>
      <c r="G135" s="1"/>
      <c r="H135" s="1"/>
      <c r="I135" s="1"/>
    </row>
    <row r="136" spans="1:11" ht="30.75" thickBot="1">
      <c r="A136" s="2" t="s">
        <v>4</v>
      </c>
      <c r="B136" s="3" t="s">
        <v>5</v>
      </c>
      <c r="C136" s="3" t="s">
        <v>6</v>
      </c>
      <c r="D136" s="3" t="s">
        <v>7</v>
      </c>
      <c r="E136" s="3" t="s">
        <v>8</v>
      </c>
      <c r="F136" s="3" t="s">
        <v>9</v>
      </c>
      <c r="G136" s="3" t="s">
        <v>10</v>
      </c>
      <c r="H136" s="3" t="s">
        <v>21</v>
      </c>
      <c r="I136" s="4" t="s">
        <v>22</v>
      </c>
      <c r="J136" s="4" t="s">
        <v>11</v>
      </c>
      <c r="K136" s="4" t="s">
        <v>12</v>
      </c>
    </row>
    <row r="137" spans="1:11" hidden="1">
      <c r="A137" s="5" t="s">
        <v>239</v>
      </c>
      <c r="B137" s="6">
        <v>45451</v>
      </c>
      <c r="C137" s="7">
        <v>1</v>
      </c>
      <c r="D137" s="5">
        <v>6.44</v>
      </c>
      <c r="E137" s="5">
        <v>514.79999999999995</v>
      </c>
      <c r="F137" s="5">
        <v>530.79999999999995</v>
      </c>
      <c r="G137" s="6">
        <v>45451</v>
      </c>
      <c r="H137" s="5"/>
      <c r="I137" s="5"/>
      <c r="J137" s="5">
        <f>F137-E137</f>
        <v>16</v>
      </c>
      <c r="K137" s="8" t="b">
        <f>E137=F136</f>
        <v>0</v>
      </c>
    </row>
    <row r="138" spans="1:11" hidden="1">
      <c r="A138" s="5" t="s">
        <v>239</v>
      </c>
      <c r="B138" s="6">
        <v>45452</v>
      </c>
      <c r="C138" s="66">
        <v>1</v>
      </c>
      <c r="D138" s="5">
        <v>6.44</v>
      </c>
      <c r="E138" s="5">
        <v>530.79999999999995</v>
      </c>
      <c r="F138" s="5">
        <v>545.1</v>
      </c>
      <c r="G138" s="6">
        <v>45452</v>
      </c>
      <c r="H138" s="5"/>
      <c r="I138" s="5"/>
      <c r="J138" s="5">
        <f t="shared" si="10"/>
        <v>14.300000000000068</v>
      </c>
      <c r="K138" s="8" t="b">
        <f t="shared" ref="K138:K143" si="12">E138=F137</f>
        <v>1</v>
      </c>
    </row>
    <row r="139" spans="1:11" hidden="1">
      <c r="A139" s="5" t="s">
        <v>239</v>
      </c>
      <c r="B139" s="6">
        <v>45454</v>
      </c>
      <c r="C139" s="66">
        <v>1</v>
      </c>
      <c r="D139" s="5">
        <v>6.44</v>
      </c>
      <c r="E139" s="5">
        <v>545.1</v>
      </c>
      <c r="F139" s="5">
        <v>559.6</v>
      </c>
      <c r="G139" s="6">
        <v>45454</v>
      </c>
      <c r="H139" s="5"/>
      <c r="I139" s="5"/>
      <c r="J139" s="5">
        <f t="shared" si="10"/>
        <v>14.5</v>
      </c>
      <c r="K139" s="8" t="b">
        <f t="shared" si="12"/>
        <v>1</v>
      </c>
    </row>
    <row r="140" spans="1:11" hidden="1">
      <c r="A140" s="5" t="s">
        <v>239</v>
      </c>
      <c r="B140" s="6">
        <v>45456</v>
      </c>
      <c r="C140" s="66">
        <v>0.9</v>
      </c>
      <c r="D140" s="5">
        <v>7.16</v>
      </c>
      <c r="E140" s="5">
        <v>559.6</v>
      </c>
      <c r="F140" s="5">
        <v>575.4</v>
      </c>
      <c r="G140" s="6">
        <v>45456</v>
      </c>
      <c r="H140" s="5"/>
      <c r="I140" s="5"/>
      <c r="J140" s="5">
        <f t="shared" si="10"/>
        <v>15.799999999999955</v>
      </c>
      <c r="K140" s="8" t="b">
        <f t="shared" si="12"/>
        <v>1</v>
      </c>
    </row>
    <row r="141" spans="1:11" hidden="1">
      <c r="A141" s="5" t="s">
        <v>239</v>
      </c>
      <c r="B141" s="6">
        <v>45459</v>
      </c>
      <c r="C141" s="66">
        <v>0.7</v>
      </c>
      <c r="D141" s="5">
        <v>9.1999999999999993</v>
      </c>
      <c r="E141" s="5">
        <v>575.4</v>
      </c>
      <c r="F141" s="5">
        <v>595.5</v>
      </c>
      <c r="G141" s="6">
        <v>45459</v>
      </c>
      <c r="H141" s="5"/>
      <c r="I141" s="5"/>
      <c r="J141" s="5">
        <f t="shared" si="10"/>
        <v>20.100000000000023</v>
      </c>
      <c r="K141" s="8" t="b">
        <f t="shared" si="12"/>
        <v>1</v>
      </c>
    </row>
    <row r="142" spans="1:11" hidden="1">
      <c r="A142" s="5" t="s">
        <v>239</v>
      </c>
      <c r="B142" s="6">
        <v>45461</v>
      </c>
      <c r="C142" s="66">
        <v>1</v>
      </c>
      <c r="D142" s="5">
        <v>6.44</v>
      </c>
      <c r="E142" s="5">
        <v>595.5</v>
      </c>
      <c r="F142" s="5">
        <v>609.70000000000005</v>
      </c>
      <c r="G142" s="6">
        <v>45461</v>
      </c>
      <c r="H142" s="5"/>
      <c r="I142" s="5"/>
      <c r="J142" s="5">
        <f t="shared" si="10"/>
        <v>14.200000000000045</v>
      </c>
      <c r="K142" s="8" t="b">
        <f t="shared" si="12"/>
        <v>1</v>
      </c>
    </row>
    <row r="143" spans="1:11" hidden="1">
      <c r="A143" s="5" t="s">
        <v>239</v>
      </c>
      <c r="B143" s="6">
        <v>45462</v>
      </c>
      <c r="C143" s="66">
        <v>1</v>
      </c>
      <c r="D143" s="5">
        <v>6.44</v>
      </c>
      <c r="E143" s="5">
        <v>609.70000000000005</v>
      </c>
      <c r="F143" s="5">
        <v>624</v>
      </c>
      <c r="G143" s="6">
        <v>45462</v>
      </c>
      <c r="H143" s="5"/>
      <c r="I143" s="5"/>
      <c r="J143" s="5">
        <f t="shared" si="10"/>
        <v>14.299999999999955</v>
      </c>
      <c r="K143" s="8" t="b">
        <f t="shared" si="12"/>
        <v>1</v>
      </c>
    </row>
    <row r="144" spans="1:11" hidden="1">
      <c r="A144" s="5" t="s">
        <v>239</v>
      </c>
      <c r="B144" s="6">
        <v>45463</v>
      </c>
      <c r="C144" s="66">
        <v>1</v>
      </c>
      <c r="D144" s="5">
        <v>6.44</v>
      </c>
      <c r="E144" s="5">
        <v>624</v>
      </c>
      <c r="F144" s="5">
        <v>638.20000000000005</v>
      </c>
      <c r="G144" s="6">
        <v>45463</v>
      </c>
      <c r="H144" s="5"/>
      <c r="I144" s="5"/>
      <c r="J144" s="5">
        <f t="shared" ref="J144:J158" si="13">F144-E144</f>
        <v>14.200000000000045</v>
      </c>
      <c r="K144" s="8" t="b">
        <f t="shared" ref="K144:K158" si="14">E144=F143</f>
        <v>1</v>
      </c>
    </row>
    <row r="145" spans="1:11" hidden="1">
      <c r="A145" s="5" t="s">
        <v>239</v>
      </c>
      <c r="B145" s="6">
        <v>45466</v>
      </c>
      <c r="C145" s="66">
        <v>1</v>
      </c>
      <c r="D145" s="5">
        <v>6.44</v>
      </c>
      <c r="E145" s="5">
        <v>638.20000000000005</v>
      </c>
      <c r="F145" s="5">
        <v>652.5</v>
      </c>
      <c r="G145" s="6">
        <v>45466</v>
      </c>
      <c r="H145" s="5"/>
      <c r="I145" s="5"/>
      <c r="J145" s="5">
        <f t="shared" si="13"/>
        <v>14.299999999999955</v>
      </c>
      <c r="K145" s="8" t="b">
        <f t="shared" si="14"/>
        <v>1</v>
      </c>
    </row>
    <row r="146" spans="1:11">
      <c r="A146" s="5" t="s">
        <v>239</v>
      </c>
      <c r="B146" s="6">
        <v>45481</v>
      </c>
      <c r="C146" s="66">
        <v>1</v>
      </c>
      <c r="D146" s="5">
        <v>7.05</v>
      </c>
      <c r="E146" s="5">
        <v>652.5</v>
      </c>
      <c r="F146" s="5">
        <v>666.8</v>
      </c>
      <c r="G146" s="6">
        <v>45481</v>
      </c>
      <c r="H146" s="5"/>
      <c r="I146" s="5"/>
      <c r="J146" s="5">
        <f t="shared" si="13"/>
        <v>14.299999999999955</v>
      </c>
      <c r="K146" s="8" t="b">
        <f t="shared" si="14"/>
        <v>1</v>
      </c>
    </row>
    <row r="147" spans="1:11">
      <c r="A147" s="5" t="s">
        <v>239</v>
      </c>
      <c r="B147" s="6">
        <v>45486</v>
      </c>
      <c r="C147" s="66">
        <v>0.7</v>
      </c>
      <c r="D147" s="5">
        <v>10.08</v>
      </c>
      <c r="E147" s="5">
        <v>666.8</v>
      </c>
      <c r="F147" s="5">
        <v>677.4</v>
      </c>
      <c r="G147" s="6">
        <v>45486</v>
      </c>
      <c r="H147" s="5"/>
      <c r="I147" s="5"/>
      <c r="J147" s="5">
        <f t="shared" si="13"/>
        <v>10.600000000000023</v>
      </c>
      <c r="K147" s="8" t="b">
        <f t="shared" si="14"/>
        <v>1</v>
      </c>
    </row>
    <row r="148" spans="1:11">
      <c r="A148" s="5" t="s">
        <v>239</v>
      </c>
      <c r="B148" s="6">
        <v>45487</v>
      </c>
      <c r="C148" s="66">
        <v>0.7</v>
      </c>
      <c r="D148" s="5">
        <v>10.08</v>
      </c>
      <c r="E148" s="5">
        <v>677.4</v>
      </c>
      <c r="F148" s="5">
        <v>694</v>
      </c>
      <c r="G148" s="6">
        <v>45487</v>
      </c>
      <c r="H148" s="5"/>
      <c r="I148" s="5"/>
      <c r="J148" s="5">
        <f t="shared" si="13"/>
        <v>16.600000000000023</v>
      </c>
      <c r="K148" s="8" t="b">
        <f t="shared" si="14"/>
        <v>1</v>
      </c>
    </row>
    <row r="149" spans="1:11">
      <c r="A149" s="5" t="s">
        <v>239</v>
      </c>
      <c r="B149" s="6">
        <v>45489</v>
      </c>
      <c r="C149" s="66">
        <v>1</v>
      </c>
      <c r="D149" s="5">
        <v>7.05</v>
      </c>
      <c r="E149" s="5">
        <v>694</v>
      </c>
      <c r="F149" s="5">
        <v>708.3</v>
      </c>
      <c r="G149" s="6">
        <v>45489</v>
      </c>
      <c r="H149" s="5"/>
      <c r="I149" s="5"/>
      <c r="J149" s="5">
        <f t="shared" si="13"/>
        <v>14.299999999999955</v>
      </c>
      <c r="K149" s="8" t="b">
        <f t="shared" si="14"/>
        <v>1</v>
      </c>
    </row>
    <row r="150" spans="1:11">
      <c r="A150" s="5" t="s">
        <v>239</v>
      </c>
      <c r="B150" s="6">
        <v>45490</v>
      </c>
      <c r="C150" s="66">
        <v>1</v>
      </c>
      <c r="D150" s="5">
        <v>7.05</v>
      </c>
      <c r="E150" s="5">
        <v>708.3</v>
      </c>
      <c r="F150" s="5">
        <v>722.9</v>
      </c>
      <c r="G150" s="6">
        <v>45490</v>
      </c>
      <c r="H150" s="5"/>
      <c r="I150" s="5"/>
      <c r="J150" s="5">
        <f t="shared" si="13"/>
        <v>14.600000000000023</v>
      </c>
      <c r="K150" s="8" t="b">
        <f t="shared" si="14"/>
        <v>1</v>
      </c>
    </row>
    <row r="151" spans="1:11">
      <c r="A151" s="5" t="s">
        <v>239</v>
      </c>
      <c r="B151" s="6">
        <v>45491</v>
      </c>
      <c r="C151" s="66">
        <v>1</v>
      </c>
      <c r="D151" s="5">
        <v>7.05</v>
      </c>
      <c r="E151" s="5">
        <v>722.9</v>
      </c>
      <c r="F151" s="5">
        <v>737.6</v>
      </c>
      <c r="G151" s="6">
        <v>45491</v>
      </c>
      <c r="H151" s="5"/>
      <c r="I151" s="5"/>
      <c r="J151" s="5">
        <f t="shared" si="13"/>
        <v>14.700000000000045</v>
      </c>
      <c r="K151" s="8" t="b">
        <f t="shared" si="14"/>
        <v>1</v>
      </c>
    </row>
    <row r="152" spans="1:11">
      <c r="A152" s="5" t="s">
        <v>239</v>
      </c>
      <c r="B152" s="6">
        <v>45492</v>
      </c>
      <c r="C152" s="66">
        <v>1</v>
      </c>
      <c r="D152" s="5">
        <v>7.05</v>
      </c>
      <c r="E152" s="5">
        <v>737.6</v>
      </c>
      <c r="F152" s="5">
        <v>751.9</v>
      </c>
      <c r="G152" s="6">
        <v>45492</v>
      </c>
      <c r="H152" s="5"/>
      <c r="I152" s="5"/>
      <c r="J152" s="5">
        <f t="shared" si="13"/>
        <v>14.299999999999955</v>
      </c>
      <c r="K152" s="8" t="b">
        <f t="shared" si="14"/>
        <v>1</v>
      </c>
    </row>
    <row r="153" spans="1:11">
      <c r="A153" s="5" t="s">
        <v>239</v>
      </c>
      <c r="B153" s="6">
        <v>45493</v>
      </c>
      <c r="C153" s="66">
        <v>1</v>
      </c>
      <c r="D153" s="5">
        <v>7.05</v>
      </c>
      <c r="E153" s="5">
        <v>751.9</v>
      </c>
      <c r="F153" s="5">
        <v>766.2</v>
      </c>
      <c r="G153" s="6">
        <v>45493</v>
      </c>
      <c r="H153" s="5"/>
      <c r="I153" s="5"/>
      <c r="J153" s="5">
        <f t="shared" si="13"/>
        <v>14.300000000000068</v>
      </c>
      <c r="K153" s="8" t="b">
        <f t="shared" si="14"/>
        <v>1</v>
      </c>
    </row>
    <row r="154" spans="1:11">
      <c r="A154" s="5" t="s">
        <v>239</v>
      </c>
      <c r="B154" s="6">
        <v>45495</v>
      </c>
      <c r="C154" s="66">
        <v>1</v>
      </c>
      <c r="D154" s="5">
        <v>7.05</v>
      </c>
      <c r="E154" s="5">
        <v>766.2</v>
      </c>
      <c r="F154" s="5">
        <v>780.4</v>
      </c>
      <c r="G154" s="6">
        <v>45495</v>
      </c>
      <c r="H154" s="5"/>
      <c r="I154" s="5"/>
      <c r="J154" s="5">
        <f t="shared" si="13"/>
        <v>14.199999999999932</v>
      </c>
      <c r="K154" s="8" t="b">
        <f t="shared" si="14"/>
        <v>1</v>
      </c>
    </row>
    <row r="155" spans="1:11">
      <c r="A155" s="5" t="s">
        <v>239</v>
      </c>
      <c r="B155" s="6">
        <v>45496</v>
      </c>
      <c r="C155" s="66">
        <v>1</v>
      </c>
      <c r="D155" s="5">
        <v>7.05</v>
      </c>
      <c r="E155" s="5">
        <v>780.4</v>
      </c>
      <c r="F155" s="5">
        <v>794.7</v>
      </c>
      <c r="G155" s="6">
        <v>45496</v>
      </c>
      <c r="H155" s="5"/>
      <c r="I155" s="5"/>
      <c r="J155" s="5">
        <f t="shared" si="13"/>
        <v>14.300000000000068</v>
      </c>
      <c r="K155" s="8" t="b">
        <f t="shared" si="14"/>
        <v>1</v>
      </c>
    </row>
    <row r="156" spans="1:11">
      <c r="A156" s="5" t="s">
        <v>239</v>
      </c>
      <c r="B156" s="6">
        <v>45497</v>
      </c>
      <c r="C156" s="66">
        <v>1</v>
      </c>
      <c r="D156" s="5">
        <v>7.05</v>
      </c>
      <c r="E156" s="5">
        <v>794.7</v>
      </c>
      <c r="F156" s="5">
        <v>809.2</v>
      </c>
      <c r="G156" s="6">
        <v>45497</v>
      </c>
      <c r="H156" s="5"/>
      <c r="I156" s="5"/>
      <c r="J156" s="5">
        <f t="shared" si="13"/>
        <v>14.5</v>
      </c>
      <c r="K156" s="8" t="b">
        <f t="shared" si="14"/>
        <v>1</v>
      </c>
    </row>
    <row r="157" spans="1:11">
      <c r="A157" s="5" t="s">
        <v>239</v>
      </c>
      <c r="B157" s="6">
        <v>45498</v>
      </c>
      <c r="C157" s="66">
        <v>1</v>
      </c>
      <c r="D157" s="5">
        <v>7.05</v>
      </c>
      <c r="E157" s="5">
        <v>809.2</v>
      </c>
      <c r="F157" s="5">
        <v>824</v>
      </c>
      <c r="G157" s="6">
        <v>45498</v>
      </c>
      <c r="H157" s="5"/>
      <c r="I157" s="5"/>
      <c r="J157" s="5">
        <f t="shared" si="13"/>
        <v>14.799999999999955</v>
      </c>
      <c r="K157" s="8" t="b">
        <f t="shared" si="14"/>
        <v>1</v>
      </c>
    </row>
    <row r="158" spans="1:11">
      <c r="A158" s="5" t="s">
        <v>239</v>
      </c>
      <c r="B158" s="6">
        <v>45499</v>
      </c>
      <c r="C158" s="66">
        <v>1</v>
      </c>
      <c r="D158" s="5">
        <v>7.05</v>
      </c>
      <c r="E158" s="5">
        <v>824</v>
      </c>
      <c r="F158" s="5">
        <v>838.2</v>
      </c>
      <c r="G158" s="6">
        <v>45499</v>
      </c>
      <c r="H158" s="5"/>
      <c r="I158" s="5"/>
      <c r="J158" s="5">
        <f t="shared" si="13"/>
        <v>14.200000000000045</v>
      </c>
      <c r="K158" s="8" t="b">
        <f t="shared" si="14"/>
        <v>1</v>
      </c>
    </row>
    <row r="159" spans="1:11">
      <c r="A159" s="5" t="s">
        <v>239</v>
      </c>
      <c r="B159" s="6">
        <v>45500</v>
      </c>
      <c r="C159" s="66">
        <v>1</v>
      </c>
      <c r="D159" s="5">
        <v>7.05</v>
      </c>
      <c r="E159" s="5">
        <v>838.2</v>
      </c>
      <c r="F159" s="5">
        <v>852.6</v>
      </c>
      <c r="G159" s="6">
        <v>45500</v>
      </c>
      <c r="H159" s="5"/>
      <c r="I159" s="5"/>
      <c r="J159" s="5">
        <f t="shared" ref="J159:J205" si="15">F159-E159</f>
        <v>14.399999999999977</v>
      </c>
      <c r="K159" s="8" t="b">
        <f t="shared" ref="K159:K205" si="16">E159=F158</f>
        <v>1</v>
      </c>
    </row>
    <row r="160" spans="1:11">
      <c r="A160" s="5" t="s">
        <v>239</v>
      </c>
      <c r="B160" s="6">
        <v>45501</v>
      </c>
      <c r="C160" s="66">
        <v>1</v>
      </c>
      <c r="D160" s="5">
        <v>7.05</v>
      </c>
      <c r="E160" s="5">
        <v>852.6</v>
      </c>
      <c r="F160" s="5">
        <v>866.8</v>
      </c>
      <c r="G160" s="6">
        <v>45501</v>
      </c>
      <c r="H160" s="5"/>
      <c r="I160" s="5"/>
      <c r="J160" s="5">
        <f t="shared" si="15"/>
        <v>14.199999999999932</v>
      </c>
      <c r="K160" s="8" t="b">
        <f t="shared" si="16"/>
        <v>1</v>
      </c>
    </row>
    <row r="161" spans="1:11">
      <c r="A161" s="5" t="s">
        <v>239</v>
      </c>
      <c r="B161" s="6">
        <v>45503</v>
      </c>
      <c r="C161" s="66">
        <v>1</v>
      </c>
      <c r="D161" s="5">
        <v>7.05</v>
      </c>
      <c r="E161" s="5">
        <v>866.8</v>
      </c>
      <c r="F161" s="5">
        <v>881</v>
      </c>
      <c r="G161" s="6">
        <v>45503</v>
      </c>
      <c r="H161" s="5"/>
      <c r="I161" s="5"/>
      <c r="J161" s="5">
        <f t="shared" si="15"/>
        <v>14.200000000000045</v>
      </c>
      <c r="K161" s="8" t="b">
        <f t="shared" si="16"/>
        <v>1</v>
      </c>
    </row>
    <row r="162" spans="1:11">
      <c r="A162" s="5" t="s">
        <v>239</v>
      </c>
      <c r="B162" s="6">
        <v>45504</v>
      </c>
      <c r="C162" s="66">
        <v>1</v>
      </c>
      <c r="D162" s="5">
        <v>7.05</v>
      </c>
      <c r="E162" s="5">
        <v>881</v>
      </c>
      <c r="F162" s="5">
        <v>895.3</v>
      </c>
      <c r="G162" s="6">
        <v>45504</v>
      </c>
      <c r="H162" s="5"/>
      <c r="I162" s="5"/>
      <c r="J162" s="5">
        <f t="shared" si="15"/>
        <v>14.299999999999955</v>
      </c>
      <c r="K162" s="8" t="b">
        <f t="shared" si="16"/>
        <v>1</v>
      </c>
    </row>
    <row r="163" spans="1:11">
      <c r="A163" s="5" t="s">
        <v>239</v>
      </c>
      <c r="B163" s="6">
        <v>45505</v>
      </c>
      <c r="C163" s="66">
        <v>1</v>
      </c>
      <c r="D163" s="5">
        <v>6.44</v>
      </c>
      <c r="E163" s="5">
        <v>895.3</v>
      </c>
      <c r="F163" s="5">
        <v>909.6</v>
      </c>
      <c r="G163" s="6">
        <v>45505</v>
      </c>
      <c r="H163" s="5"/>
      <c r="I163" s="5"/>
      <c r="J163" s="5">
        <f t="shared" si="15"/>
        <v>14.300000000000068</v>
      </c>
      <c r="K163" s="8" t="b">
        <f t="shared" si="16"/>
        <v>1</v>
      </c>
    </row>
    <row r="164" spans="1:11">
      <c r="A164" s="5" t="s">
        <v>239</v>
      </c>
      <c r="B164" s="6">
        <v>45506</v>
      </c>
      <c r="C164" s="66">
        <v>1</v>
      </c>
      <c r="D164" s="5">
        <v>6.44</v>
      </c>
      <c r="E164" s="5">
        <v>909.6</v>
      </c>
      <c r="F164" s="5">
        <v>923.8</v>
      </c>
      <c r="G164" s="6">
        <v>45506</v>
      </c>
      <c r="H164" s="5"/>
      <c r="I164" s="5"/>
      <c r="J164" s="5">
        <f t="shared" si="15"/>
        <v>14.199999999999932</v>
      </c>
      <c r="K164" s="8" t="b">
        <f t="shared" si="16"/>
        <v>1</v>
      </c>
    </row>
    <row r="165" spans="1:11">
      <c r="A165" s="5" t="s">
        <v>239</v>
      </c>
      <c r="B165" s="6">
        <v>45507</v>
      </c>
      <c r="C165" s="66">
        <v>1</v>
      </c>
      <c r="D165" s="5">
        <v>6.44</v>
      </c>
      <c r="E165" s="5">
        <v>923.8</v>
      </c>
      <c r="F165" s="5">
        <v>937.9</v>
      </c>
      <c r="G165" s="6">
        <v>45507</v>
      </c>
      <c r="H165" s="5"/>
      <c r="I165" s="5"/>
      <c r="J165" s="5">
        <f t="shared" si="15"/>
        <v>14.100000000000023</v>
      </c>
      <c r="K165" s="8" t="b">
        <f t="shared" si="16"/>
        <v>1</v>
      </c>
    </row>
    <row r="166" spans="1:11">
      <c r="A166" s="5" t="s">
        <v>239</v>
      </c>
      <c r="B166" s="6">
        <v>45508</v>
      </c>
      <c r="C166" s="66">
        <v>1</v>
      </c>
      <c r="D166" s="5">
        <v>6.44</v>
      </c>
      <c r="E166" s="5">
        <v>937.9</v>
      </c>
      <c r="F166" s="5">
        <v>952.6</v>
      </c>
      <c r="G166" s="6">
        <v>45508</v>
      </c>
      <c r="H166" s="5"/>
      <c r="I166" s="5"/>
      <c r="J166" s="5">
        <f t="shared" si="15"/>
        <v>14.700000000000045</v>
      </c>
      <c r="K166" s="8" t="b">
        <f t="shared" si="16"/>
        <v>1</v>
      </c>
    </row>
    <row r="167" spans="1:11">
      <c r="A167" s="5" t="s">
        <v>239</v>
      </c>
      <c r="B167" s="6">
        <v>45511</v>
      </c>
      <c r="C167" s="66">
        <v>1</v>
      </c>
      <c r="D167" s="5">
        <v>6.44</v>
      </c>
      <c r="E167" s="5">
        <v>952.6</v>
      </c>
      <c r="F167" s="5">
        <v>966.8</v>
      </c>
      <c r="G167" s="6">
        <v>45511</v>
      </c>
      <c r="H167" s="5"/>
      <c r="I167" s="5"/>
      <c r="J167" s="5">
        <f t="shared" si="15"/>
        <v>14.199999999999932</v>
      </c>
      <c r="K167" s="8" t="b">
        <f t="shared" si="16"/>
        <v>1</v>
      </c>
    </row>
    <row r="168" spans="1:11">
      <c r="A168" s="5" t="s">
        <v>239</v>
      </c>
      <c r="B168" s="6">
        <v>45513</v>
      </c>
      <c r="C168" s="66">
        <v>1</v>
      </c>
      <c r="D168" s="5">
        <v>6.44</v>
      </c>
      <c r="E168" s="5">
        <v>966.8</v>
      </c>
      <c r="F168" s="5">
        <v>981.4</v>
      </c>
      <c r="G168" s="6">
        <v>45513</v>
      </c>
      <c r="H168" s="5"/>
      <c r="I168" s="5"/>
      <c r="J168" s="5">
        <f t="shared" si="15"/>
        <v>14.600000000000023</v>
      </c>
      <c r="K168" s="8" t="b">
        <f t="shared" si="16"/>
        <v>1</v>
      </c>
    </row>
    <row r="169" spans="1:11">
      <c r="A169" s="5" t="s">
        <v>239</v>
      </c>
      <c r="B169" s="6">
        <v>45515</v>
      </c>
      <c r="C169" s="66">
        <v>1</v>
      </c>
      <c r="D169" s="5">
        <v>6.44</v>
      </c>
      <c r="E169" s="5">
        <v>981.4</v>
      </c>
      <c r="F169" s="5">
        <v>995.7</v>
      </c>
      <c r="G169" s="6">
        <v>45515</v>
      </c>
      <c r="H169" s="5"/>
      <c r="I169" s="5"/>
      <c r="J169" s="5">
        <f t="shared" si="15"/>
        <v>14.300000000000068</v>
      </c>
      <c r="K169" s="8" t="b">
        <f t="shared" si="16"/>
        <v>1</v>
      </c>
    </row>
    <row r="170" spans="1:11">
      <c r="A170" s="5" t="s">
        <v>239</v>
      </c>
      <c r="B170" s="6">
        <v>45517</v>
      </c>
      <c r="C170" s="66">
        <v>1</v>
      </c>
      <c r="D170" s="5">
        <v>6.44</v>
      </c>
      <c r="E170" s="5">
        <v>995.7</v>
      </c>
      <c r="F170" s="5">
        <v>1010.4</v>
      </c>
      <c r="G170" s="6">
        <v>45517</v>
      </c>
      <c r="H170" s="5"/>
      <c r="I170" s="5"/>
      <c r="J170" s="5">
        <f t="shared" si="15"/>
        <v>14.699999999999932</v>
      </c>
      <c r="K170" s="8" t="b">
        <f t="shared" si="16"/>
        <v>1</v>
      </c>
    </row>
    <row r="171" spans="1:11">
      <c r="A171" s="5" t="s">
        <v>239</v>
      </c>
      <c r="B171" s="6">
        <v>45521</v>
      </c>
      <c r="C171" s="66">
        <v>1</v>
      </c>
      <c r="D171" s="5">
        <v>6.44</v>
      </c>
      <c r="E171" s="5">
        <v>1010.4</v>
      </c>
      <c r="F171" s="5">
        <v>1024.5999999999999</v>
      </c>
      <c r="G171" s="6">
        <v>45521</v>
      </c>
      <c r="H171" s="5"/>
      <c r="I171" s="5"/>
      <c r="J171" s="5">
        <f t="shared" si="15"/>
        <v>14.199999999999932</v>
      </c>
      <c r="K171" s="8" t="b">
        <f t="shared" si="16"/>
        <v>1</v>
      </c>
    </row>
    <row r="172" spans="1:11">
      <c r="A172" s="5" t="s">
        <v>239</v>
      </c>
      <c r="B172" s="6">
        <v>45527</v>
      </c>
      <c r="C172" s="66">
        <v>0.6</v>
      </c>
      <c r="D172" s="5">
        <v>10.73</v>
      </c>
      <c r="E172" s="5">
        <v>1024.5999999999999</v>
      </c>
      <c r="F172" s="5">
        <v>1047.5999999999999</v>
      </c>
      <c r="G172" s="6">
        <v>45527</v>
      </c>
      <c r="H172" s="5"/>
      <c r="I172" s="5"/>
      <c r="J172" s="5">
        <f t="shared" si="15"/>
        <v>23</v>
      </c>
      <c r="K172" s="8" t="b">
        <f t="shared" si="16"/>
        <v>1</v>
      </c>
    </row>
    <row r="173" spans="1:11">
      <c r="A173" s="5" t="s">
        <v>239</v>
      </c>
      <c r="B173" s="6">
        <v>45529</v>
      </c>
      <c r="C173" s="66">
        <v>0.7</v>
      </c>
      <c r="D173" s="5">
        <v>9.1999999999999993</v>
      </c>
      <c r="E173" s="5">
        <v>1047.5999999999999</v>
      </c>
      <c r="F173" s="5">
        <v>1067.7</v>
      </c>
      <c r="G173" s="6">
        <v>45529</v>
      </c>
      <c r="H173" s="5"/>
      <c r="I173" s="5"/>
      <c r="J173" s="5">
        <f t="shared" si="15"/>
        <v>20.100000000000136</v>
      </c>
      <c r="K173" s="8" t="b">
        <f t="shared" si="16"/>
        <v>1</v>
      </c>
    </row>
    <row r="174" spans="1:11">
      <c r="A174" s="5" t="s">
        <v>239</v>
      </c>
      <c r="B174" s="6">
        <v>45533</v>
      </c>
      <c r="C174" s="66">
        <v>0.6</v>
      </c>
      <c r="D174" s="5">
        <v>10.73</v>
      </c>
      <c r="E174" s="5">
        <v>1067.7</v>
      </c>
      <c r="F174" s="5">
        <v>1091</v>
      </c>
      <c r="G174" s="6">
        <v>45533</v>
      </c>
      <c r="H174" s="5"/>
      <c r="I174" s="5"/>
      <c r="J174" s="5">
        <f t="shared" si="15"/>
        <v>23.299999999999955</v>
      </c>
      <c r="K174" s="8" t="b">
        <f t="shared" si="16"/>
        <v>1</v>
      </c>
    </row>
    <row r="175" spans="1:11">
      <c r="A175" s="5" t="s">
        <v>239</v>
      </c>
      <c r="B175" s="6">
        <v>45535</v>
      </c>
      <c r="C175" s="66">
        <v>0.7</v>
      </c>
      <c r="D175" s="5">
        <v>9.1999999999999993</v>
      </c>
      <c r="E175" s="5">
        <v>1091</v>
      </c>
      <c r="F175" s="5">
        <v>1111.0999999999999</v>
      </c>
      <c r="G175" s="6">
        <v>45535</v>
      </c>
      <c r="H175" s="5"/>
      <c r="I175" s="5"/>
      <c r="J175" s="5">
        <f t="shared" si="15"/>
        <v>20.099999999999909</v>
      </c>
      <c r="K175" s="8" t="b">
        <f t="shared" si="16"/>
        <v>1</v>
      </c>
    </row>
    <row r="176" spans="1:11">
      <c r="A176" s="5" t="s">
        <v>239</v>
      </c>
      <c r="B176" s="6">
        <v>45547</v>
      </c>
      <c r="C176" s="66">
        <v>0.6</v>
      </c>
      <c r="D176" s="5">
        <v>10.73</v>
      </c>
      <c r="E176" s="5">
        <v>1111.0999999999999</v>
      </c>
      <c r="F176" s="5">
        <v>1134.5999999999999</v>
      </c>
      <c r="G176" s="6">
        <v>45547</v>
      </c>
      <c r="H176" s="5"/>
      <c r="I176" s="5"/>
      <c r="J176" s="5">
        <f t="shared" si="15"/>
        <v>23.5</v>
      </c>
      <c r="K176" s="8" t="b">
        <f t="shared" si="16"/>
        <v>1</v>
      </c>
    </row>
    <row r="177" spans="1:11">
      <c r="A177" s="5" t="s">
        <v>239</v>
      </c>
      <c r="B177" s="6"/>
      <c r="C177" s="66"/>
      <c r="D177" s="5"/>
      <c r="E177" s="5"/>
      <c r="F177" s="5"/>
      <c r="G177" s="6"/>
      <c r="H177" s="5"/>
      <c r="I177" s="5"/>
      <c r="J177" s="5">
        <f t="shared" si="15"/>
        <v>0</v>
      </c>
      <c r="K177" s="8" t="b">
        <f t="shared" si="16"/>
        <v>0</v>
      </c>
    </row>
    <row r="178" spans="1:11">
      <c r="A178" s="5" t="s">
        <v>239</v>
      </c>
      <c r="B178" s="6"/>
      <c r="C178" s="66"/>
      <c r="D178" s="5"/>
      <c r="E178" s="5"/>
      <c r="F178" s="5"/>
      <c r="G178" s="6"/>
      <c r="H178" s="5"/>
      <c r="I178" s="5"/>
      <c r="J178" s="5">
        <f t="shared" si="15"/>
        <v>0</v>
      </c>
      <c r="K178" s="8" t="b">
        <f t="shared" si="16"/>
        <v>1</v>
      </c>
    </row>
    <row r="179" spans="1:11">
      <c r="A179" s="5" t="s">
        <v>239</v>
      </c>
      <c r="B179" s="6"/>
      <c r="C179" s="66"/>
      <c r="D179" s="5"/>
      <c r="E179" s="5"/>
      <c r="F179" s="5"/>
      <c r="G179" s="6"/>
      <c r="H179" s="5"/>
      <c r="I179" s="5"/>
      <c r="J179" s="5">
        <f t="shared" si="15"/>
        <v>0</v>
      </c>
      <c r="K179" s="8" t="b">
        <f t="shared" si="16"/>
        <v>1</v>
      </c>
    </row>
    <row r="180" spans="1:11">
      <c r="A180" s="5" t="s">
        <v>239</v>
      </c>
      <c r="B180" s="6"/>
      <c r="C180" s="66"/>
      <c r="D180" s="5"/>
      <c r="E180" s="5"/>
      <c r="F180" s="5"/>
      <c r="G180" s="6"/>
      <c r="H180" s="5"/>
      <c r="I180" s="5"/>
      <c r="J180" s="5">
        <f t="shared" si="15"/>
        <v>0</v>
      </c>
      <c r="K180" s="8" t="b">
        <f t="shared" si="16"/>
        <v>1</v>
      </c>
    </row>
    <row r="181" spans="1:11">
      <c r="A181" s="5" t="s">
        <v>239</v>
      </c>
      <c r="B181" s="6"/>
      <c r="C181" s="66"/>
      <c r="D181" s="5"/>
      <c r="E181" s="5"/>
      <c r="F181" s="5"/>
      <c r="G181" s="6"/>
      <c r="H181" s="5"/>
      <c r="I181" s="5"/>
      <c r="J181" s="5">
        <f t="shared" si="15"/>
        <v>0</v>
      </c>
      <c r="K181" s="8" t="b">
        <f t="shared" si="16"/>
        <v>1</v>
      </c>
    </row>
    <row r="182" spans="1:11">
      <c r="A182" s="5" t="s">
        <v>239</v>
      </c>
      <c r="B182" s="6"/>
      <c r="C182" s="66"/>
      <c r="D182" s="5"/>
      <c r="E182" s="5"/>
      <c r="F182" s="5"/>
      <c r="G182" s="6"/>
      <c r="H182" s="5"/>
      <c r="I182" s="5"/>
      <c r="J182" s="5">
        <f t="shared" si="15"/>
        <v>0</v>
      </c>
      <c r="K182" s="8" t="b">
        <f t="shared" si="16"/>
        <v>1</v>
      </c>
    </row>
    <row r="183" spans="1:11">
      <c r="A183" s="5" t="s">
        <v>239</v>
      </c>
      <c r="B183" s="6"/>
      <c r="C183" s="66"/>
      <c r="D183" s="5"/>
      <c r="E183" s="5"/>
      <c r="F183" s="5"/>
      <c r="G183" s="6"/>
      <c r="H183" s="5"/>
      <c r="I183" s="5"/>
      <c r="J183" s="5">
        <f t="shared" si="15"/>
        <v>0</v>
      </c>
      <c r="K183" s="8" t="b">
        <f t="shared" si="16"/>
        <v>1</v>
      </c>
    </row>
    <row r="184" spans="1:11">
      <c r="A184" s="5" t="s">
        <v>239</v>
      </c>
      <c r="B184" s="6"/>
      <c r="C184" s="66"/>
      <c r="D184" s="5"/>
      <c r="E184" s="5"/>
      <c r="F184" s="5"/>
      <c r="G184" s="6"/>
      <c r="H184" s="5"/>
      <c r="I184" s="5"/>
      <c r="J184" s="5">
        <f t="shared" si="15"/>
        <v>0</v>
      </c>
      <c r="K184" s="8" t="b">
        <f t="shared" si="16"/>
        <v>1</v>
      </c>
    </row>
    <row r="185" spans="1:11">
      <c r="A185" s="5" t="s">
        <v>239</v>
      </c>
      <c r="B185" s="6"/>
      <c r="C185" s="66"/>
      <c r="D185" s="5"/>
      <c r="E185" s="5"/>
      <c r="F185" s="5"/>
      <c r="G185" s="6"/>
      <c r="H185" s="5"/>
      <c r="I185" s="5"/>
      <c r="J185" s="5">
        <f t="shared" si="15"/>
        <v>0</v>
      </c>
      <c r="K185" s="8" t="b">
        <f t="shared" si="16"/>
        <v>1</v>
      </c>
    </row>
    <row r="186" spans="1:11">
      <c r="A186" s="5" t="s">
        <v>239</v>
      </c>
      <c r="B186" s="6"/>
      <c r="C186" s="66"/>
      <c r="D186" s="5"/>
      <c r="E186" s="5"/>
      <c r="F186" s="5"/>
      <c r="G186" s="6"/>
      <c r="H186" s="5"/>
      <c r="I186" s="5"/>
      <c r="J186" s="5">
        <f t="shared" si="15"/>
        <v>0</v>
      </c>
      <c r="K186" s="8" t="b">
        <f t="shared" si="16"/>
        <v>1</v>
      </c>
    </row>
    <row r="187" spans="1:11">
      <c r="A187" s="5" t="s">
        <v>239</v>
      </c>
      <c r="B187" s="6"/>
      <c r="C187" s="66"/>
      <c r="D187" s="5"/>
      <c r="E187" s="5"/>
      <c r="F187" s="5"/>
      <c r="G187" s="6"/>
      <c r="H187" s="5"/>
      <c r="I187" s="5"/>
      <c r="J187" s="5">
        <f t="shared" si="15"/>
        <v>0</v>
      </c>
      <c r="K187" s="8" t="b">
        <f t="shared" si="16"/>
        <v>1</v>
      </c>
    </row>
    <row r="188" spans="1:11">
      <c r="A188" s="5" t="s">
        <v>239</v>
      </c>
      <c r="B188" s="6"/>
      <c r="C188" s="66"/>
      <c r="D188" s="5"/>
      <c r="E188" s="5"/>
      <c r="F188" s="5"/>
      <c r="G188" s="6"/>
      <c r="H188" s="5"/>
      <c r="I188" s="5"/>
      <c r="J188" s="5">
        <f t="shared" si="15"/>
        <v>0</v>
      </c>
      <c r="K188" s="8" t="b">
        <f t="shared" si="16"/>
        <v>1</v>
      </c>
    </row>
    <row r="189" spans="1:11">
      <c r="A189" s="5" t="s">
        <v>239</v>
      </c>
      <c r="B189" s="6"/>
      <c r="C189" s="66"/>
      <c r="D189" s="5"/>
      <c r="E189" s="5"/>
      <c r="F189" s="5"/>
      <c r="G189" s="6"/>
      <c r="H189" s="5"/>
      <c r="I189" s="5"/>
      <c r="J189" s="5">
        <f t="shared" si="15"/>
        <v>0</v>
      </c>
      <c r="K189" s="8" t="b">
        <f t="shared" si="16"/>
        <v>1</v>
      </c>
    </row>
    <row r="190" spans="1:11">
      <c r="A190" s="5" t="s">
        <v>239</v>
      </c>
      <c r="B190" s="6"/>
      <c r="C190" s="66"/>
      <c r="D190" s="5"/>
      <c r="E190" s="5"/>
      <c r="F190" s="5"/>
      <c r="G190" s="6"/>
      <c r="H190" s="5"/>
      <c r="I190" s="5"/>
      <c r="J190" s="5">
        <f t="shared" si="15"/>
        <v>0</v>
      </c>
      <c r="K190" s="8" t="b">
        <f t="shared" si="16"/>
        <v>1</v>
      </c>
    </row>
    <row r="191" spans="1:11">
      <c r="A191" s="5" t="s">
        <v>239</v>
      </c>
      <c r="B191" s="6"/>
      <c r="C191" s="66"/>
      <c r="D191" s="5"/>
      <c r="E191" s="5"/>
      <c r="F191" s="5"/>
      <c r="G191" s="6"/>
      <c r="H191" s="5"/>
      <c r="I191" s="5"/>
      <c r="J191" s="5">
        <f t="shared" si="15"/>
        <v>0</v>
      </c>
      <c r="K191" s="8" t="b">
        <f t="shared" si="16"/>
        <v>1</v>
      </c>
    </row>
    <row r="192" spans="1:11">
      <c r="A192" s="5" t="s">
        <v>239</v>
      </c>
      <c r="B192" s="6"/>
      <c r="C192" s="66"/>
      <c r="D192" s="5"/>
      <c r="E192" s="5"/>
      <c r="F192" s="5"/>
      <c r="G192" s="6"/>
      <c r="H192" s="5"/>
      <c r="I192" s="5"/>
      <c r="J192" s="5">
        <f t="shared" si="15"/>
        <v>0</v>
      </c>
      <c r="K192" s="8" t="b">
        <f t="shared" si="16"/>
        <v>1</v>
      </c>
    </row>
    <row r="193" spans="1:11">
      <c r="A193" s="5" t="s">
        <v>239</v>
      </c>
      <c r="B193" s="6"/>
      <c r="C193" s="66"/>
      <c r="D193" s="5"/>
      <c r="E193" s="5"/>
      <c r="F193" s="5"/>
      <c r="G193" s="6"/>
      <c r="H193" s="5"/>
      <c r="I193" s="5"/>
      <c r="J193" s="5">
        <f t="shared" si="15"/>
        <v>0</v>
      </c>
      <c r="K193" s="8" t="b">
        <f t="shared" si="16"/>
        <v>1</v>
      </c>
    </row>
    <row r="194" spans="1:11">
      <c r="A194" s="5" t="s">
        <v>239</v>
      </c>
      <c r="B194" s="6"/>
      <c r="C194" s="66"/>
      <c r="D194" s="5"/>
      <c r="E194" s="5"/>
      <c r="F194" s="5"/>
      <c r="G194" s="6"/>
      <c r="H194" s="5"/>
      <c r="I194" s="5"/>
      <c r="J194" s="5">
        <f t="shared" si="15"/>
        <v>0</v>
      </c>
      <c r="K194" s="8" t="b">
        <f t="shared" si="16"/>
        <v>1</v>
      </c>
    </row>
    <row r="195" spans="1:11">
      <c r="A195" s="5" t="s">
        <v>239</v>
      </c>
      <c r="B195" s="6"/>
      <c r="C195" s="66"/>
      <c r="D195" s="5"/>
      <c r="E195" s="5"/>
      <c r="F195" s="5"/>
      <c r="G195" s="6"/>
      <c r="H195" s="5"/>
      <c r="I195" s="5"/>
      <c r="J195" s="5">
        <f t="shared" si="15"/>
        <v>0</v>
      </c>
      <c r="K195" s="8" t="b">
        <f t="shared" si="16"/>
        <v>1</v>
      </c>
    </row>
    <row r="196" spans="1:11">
      <c r="A196" s="5" t="s">
        <v>239</v>
      </c>
      <c r="B196" s="6"/>
      <c r="C196" s="66"/>
      <c r="D196" s="5"/>
      <c r="E196" s="5"/>
      <c r="F196" s="5"/>
      <c r="G196" s="6"/>
      <c r="H196" s="5"/>
      <c r="I196" s="5"/>
      <c r="J196" s="5">
        <f t="shared" si="15"/>
        <v>0</v>
      </c>
      <c r="K196" s="8" t="b">
        <f t="shared" si="16"/>
        <v>1</v>
      </c>
    </row>
    <row r="197" spans="1:11">
      <c r="A197" s="5" t="s">
        <v>239</v>
      </c>
      <c r="B197" s="6"/>
      <c r="C197" s="66"/>
      <c r="D197" s="5"/>
      <c r="E197" s="5"/>
      <c r="F197" s="5"/>
      <c r="G197" s="6"/>
      <c r="H197" s="5"/>
      <c r="I197" s="5"/>
      <c r="J197" s="5">
        <f t="shared" si="15"/>
        <v>0</v>
      </c>
      <c r="K197" s="8" t="b">
        <f t="shared" si="16"/>
        <v>1</v>
      </c>
    </row>
    <row r="198" spans="1:11">
      <c r="A198" s="5" t="s">
        <v>239</v>
      </c>
      <c r="B198" s="6"/>
      <c r="C198" s="66"/>
      <c r="D198" s="5"/>
      <c r="E198" s="5"/>
      <c r="F198" s="5"/>
      <c r="G198" s="6"/>
      <c r="H198" s="5"/>
      <c r="I198" s="5"/>
      <c r="J198" s="5">
        <f t="shared" si="15"/>
        <v>0</v>
      </c>
      <c r="K198" s="8" t="b">
        <f t="shared" si="16"/>
        <v>1</v>
      </c>
    </row>
    <row r="199" spans="1:11">
      <c r="A199" s="5" t="s">
        <v>239</v>
      </c>
      <c r="B199" s="6"/>
      <c r="C199" s="66"/>
      <c r="D199" s="5"/>
      <c r="E199" s="5"/>
      <c r="F199" s="5"/>
      <c r="G199" s="6"/>
      <c r="H199" s="5"/>
      <c r="I199" s="5"/>
      <c r="J199" s="5">
        <f t="shared" si="15"/>
        <v>0</v>
      </c>
      <c r="K199" s="8" t="b">
        <f t="shared" si="16"/>
        <v>1</v>
      </c>
    </row>
    <row r="200" spans="1:11">
      <c r="A200" s="5" t="s">
        <v>239</v>
      </c>
      <c r="B200" s="6"/>
      <c r="C200" s="66"/>
      <c r="D200" s="5"/>
      <c r="E200" s="5"/>
      <c r="F200" s="5"/>
      <c r="G200" s="6"/>
      <c r="H200" s="5"/>
      <c r="I200" s="5"/>
      <c r="J200" s="5">
        <f t="shared" si="15"/>
        <v>0</v>
      </c>
      <c r="K200" s="8" t="b">
        <f t="shared" si="16"/>
        <v>1</v>
      </c>
    </row>
    <row r="201" spans="1:11">
      <c r="A201" s="5" t="s">
        <v>239</v>
      </c>
      <c r="B201" s="6"/>
      <c r="C201" s="66"/>
      <c r="D201" s="5"/>
      <c r="E201" s="5"/>
      <c r="F201" s="5"/>
      <c r="G201" s="6"/>
      <c r="H201" s="5"/>
      <c r="I201" s="5"/>
      <c r="J201" s="5">
        <f t="shared" si="15"/>
        <v>0</v>
      </c>
      <c r="K201" s="8" t="b">
        <f t="shared" si="16"/>
        <v>1</v>
      </c>
    </row>
    <row r="202" spans="1:11">
      <c r="A202" s="5" t="s">
        <v>239</v>
      </c>
      <c r="B202" s="6"/>
      <c r="C202" s="66"/>
      <c r="D202" s="5"/>
      <c r="E202" s="5"/>
      <c r="F202" s="5"/>
      <c r="G202" s="6"/>
      <c r="H202" s="5"/>
      <c r="I202" s="5"/>
      <c r="J202" s="5">
        <f t="shared" si="15"/>
        <v>0</v>
      </c>
      <c r="K202" s="8" t="b">
        <f t="shared" si="16"/>
        <v>1</v>
      </c>
    </row>
    <row r="203" spans="1:11">
      <c r="A203" s="5" t="s">
        <v>239</v>
      </c>
      <c r="B203" s="6"/>
      <c r="C203" s="66"/>
      <c r="D203" s="5"/>
      <c r="E203" s="5"/>
      <c r="F203" s="5"/>
      <c r="G203" s="6"/>
      <c r="H203" s="5"/>
      <c r="I203" s="5"/>
      <c r="J203" s="5">
        <f t="shared" si="15"/>
        <v>0</v>
      </c>
      <c r="K203" s="8" t="b">
        <f t="shared" si="16"/>
        <v>1</v>
      </c>
    </row>
    <row r="204" spans="1:11">
      <c r="A204" s="5" t="s">
        <v>239</v>
      </c>
      <c r="B204" s="6"/>
      <c r="C204" s="66"/>
      <c r="D204" s="5"/>
      <c r="E204" s="5"/>
      <c r="F204" s="5"/>
      <c r="G204" s="6"/>
      <c r="H204" s="5"/>
      <c r="I204" s="5"/>
      <c r="J204" s="5">
        <f t="shared" si="15"/>
        <v>0</v>
      </c>
      <c r="K204" s="8" t="b">
        <f t="shared" si="16"/>
        <v>1</v>
      </c>
    </row>
    <row r="205" spans="1:11">
      <c r="A205" s="5" t="s">
        <v>239</v>
      </c>
      <c r="B205" s="6"/>
      <c r="C205" s="66"/>
      <c r="D205" s="5"/>
      <c r="E205" s="5"/>
      <c r="F205" s="5"/>
      <c r="G205" s="6"/>
      <c r="H205" s="5"/>
      <c r="I205" s="5"/>
      <c r="J205" s="5">
        <f t="shared" si="15"/>
        <v>0</v>
      </c>
      <c r="K205" s="8" t="b">
        <f t="shared" si="16"/>
        <v>1</v>
      </c>
    </row>
  </sheetData>
  <autoFilter ref="A136:K205" xr:uid="{6288B5A3-422E-451F-8600-67482CA8E699}">
    <filterColumn colId="1">
      <filters>
        <dateGroupItem year="2024" month="7" dateTimeGrouping="month"/>
      </filters>
    </filterColumn>
  </autoFilter>
  <mergeCells count="15">
    <mergeCell ref="A43:K43"/>
    <mergeCell ref="A44:K44"/>
    <mergeCell ref="A46:K46"/>
    <mergeCell ref="A28:K28"/>
    <mergeCell ref="A1:K1"/>
    <mergeCell ref="A2:K2"/>
    <mergeCell ref="A4:K4"/>
    <mergeCell ref="A25:K25"/>
    <mergeCell ref="A26:K26"/>
    <mergeCell ref="A130:K130"/>
    <mergeCell ref="A131:K131"/>
    <mergeCell ref="A133:K133"/>
    <mergeCell ref="A60:K60"/>
    <mergeCell ref="A61:K61"/>
    <mergeCell ref="A63:K63"/>
  </mergeCells>
  <conditionalFormatting sqref="K1:K2 K4 K7:K23 K25:K26 K28 K31:K44 K46 K49:K58 K136:K205">
    <cfRule type="cellIs" dxfId="63" priority="5" operator="equal">
      <formula>TRUE</formula>
    </cfRule>
    <cfRule type="cellIs" dxfId="62" priority="6" operator="equal">
      <formula>FALSE</formula>
    </cfRule>
  </conditionalFormatting>
  <conditionalFormatting sqref="K60:K61 K63">
    <cfRule type="cellIs" dxfId="61" priority="3" operator="equal">
      <formula>TRUE</formula>
    </cfRule>
    <cfRule type="cellIs" dxfId="60" priority="4" operator="equal">
      <formula>FALSE</formula>
    </cfRule>
  </conditionalFormatting>
  <conditionalFormatting sqref="K66:K131 K133">
    <cfRule type="cellIs" dxfId="59" priority="1" operator="equal">
      <formula>TRUE</formula>
    </cfRule>
    <cfRule type="cellIs" dxfId="58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4E7A-25E9-4E57-B033-A70983B616BF}">
  <sheetPr codeName="Planilha22"/>
  <dimension ref="A1:K247"/>
  <sheetViews>
    <sheetView topLeftCell="A177" workbookViewId="0">
      <selection activeCell="F187" sqref="F187"/>
    </sheetView>
  </sheetViews>
  <sheetFormatPr defaultRowHeight="15"/>
  <cols>
    <col min="1" max="1" width="14.14062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5.140625" customWidth="1"/>
    <col min="8" max="9" width="10.140625" customWidth="1"/>
    <col min="10" max="10" width="9" customWidth="1"/>
    <col min="11" max="11" width="12.42578125" bestFit="1" customWidth="1"/>
  </cols>
  <sheetData>
    <row r="1" spans="1:11" ht="26.25">
      <c r="A1" s="193" t="s">
        <v>244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245</v>
      </c>
      <c r="B8" s="6">
        <v>44582</v>
      </c>
      <c r="C8" s="7">
        <v>0.7</v>
      </c>
      <c r="D8" s="5">
        <v>10.39</v>
      </c>
      <c r="E8" s="5">
        <v>0</v>
      </c>
      <c r="F8" s="5">
        <v>20.399999999999999</v>
      </c>
      <c r="G8" s="6">
        <v>44582</v>
      </c>
      <c r="H8" s="5"/>
      <c r="I8" s="5"/>
      <c r="J8" s="5">
        <f>F8-E8</f>
        <v>20.399999999999999</v>
      </c>
      <c r="K8" s="8" t="b">
        <f>E8=F8</f>
        <v>0</v>
      </c>
    </row>
    <row r="9" spans="1:11">
      <c r="A9" s="5" t="s">
        <v>245</v>
      </c>
      <c r="B9" s="6">
        <v>44594</v>
      </c>
      <c r="C9" s="7">
        <v>0.7</v>
      </c>
      <c r="D9" s="5">
        <v>10.39</v>
      </c>
      <c r="E9" s="5">
        <v>20.399999999999999</v>
      </c>
      <c r="F9" s="5">
        <v>41.7</v>
      </c>
      <c r="G9" s="6">
        <v>44594</v>
      </c>
      <c r="H9" s="5"/>
      <c r="I9" s="5"/>
      <c r="J9" s="5">
        <f>F9-E9</f>
        <v>21.300000000000004</v>
      </c>
      <c r="K9" s="8" t="b">
        <f>E9=F8</f>
        <v>1</v>
      </c>
    </row>
    <row r="10" spans="1:11">
      <c r="A10" s="5" t="s">
        <v>245</v>
      </c>
      <c r="B10" s="6">
        <v>44617</v>
      </c>
      <c r="C10" s="7">
        <v>0.8</v>
      </c>
      <c r="D10" s="5">
        <v>9.09</v>
      </c>
      <c r="E10" s="5">
        <v>41.7</v>
      </c>
      <c r="F10" s="5">
        <v>59.8</v>
      </c>
      <c r="G10" s="6">
        <v>44617</v>
      </c>
      <c r="H10" s="5"/>
      <c r="I10" s="5"/>
      <c r="J10" s="5">
        <f>F10-E10</f>
        <v>18.099999999999994</v>
      </c>
      <c r="K10" s="8" t="b">
        <f t="shared" ref="K10:K36" si="0">E10=F9</f>
        <v>1</v>
      </c>
    </row>
    <row r="11" spans="1:11">
      <c r="A11" s="5" t="s">
        <v>245</v>
      </c>
      <c r="B11" s="6">
        <v>44620</v>
      </c>
      <c r="C11" s="7">
        <v>0.8</v>
      </c>
      <c r="D11" s="5">
        <v>9.09</v>
      </c>
      <c r="E11" s="5">
        <v>59.8</v>
      </c>
      <c r="F11" s="5">
        <v>77.900000000000006</v>
      </c>
      <c r="G11" s="6">
        <v>44620</v>
      </c>
      <c r="H11" s="5"/>
      <c r="I11" s="5"/>
      <c r="J11" s="5">
        <f>F11-E11</f>
        <v>18.100000000000009</v>
      </c>
      <c r="K11" s="8" t="b">
        <f t="shared" si="0"/>
        <v>1</v>
      </c>
    </row>
    <row r="12" spans="1:11">
      <c r="A12" s="5" t="s">
        <v>245</v>
      </c>
      <c r="B12" s="6">
        <v>44623</v>
      </c>
      <c r="C12" s="7">
        <v>0.8</v>
      </c>
      <c r="D12" s="5">
        <v>9.09</v>
      </c>
      <c r="E12" s="5">
        <v>77.900000000000006</v>
      </c>
      <c r="F12" s="5">
        <v>93.9</v>
      </c>
      <c r="G12" s="6">
        <v>44623</v>
      </c>
      <c r="H12" s="5"/>
      <c r="I12" s="5"/>
      <c r="J12" s="5">
        <f t="shared" ref="J12:J18" si="1">F12-E12</f>
        <v>16</v>
      </c>
      <c r="K12" s="8" t="b">
        <f t="shared" si="0"/>
        <v>1</v>
      </c>
    </row>
    <row r="13" spans="1:11">
      <c r="A13" s="5" t="s">
        <v>245</v>
      </c>
      <c r="B13" s="6">
        <v>44626</v>
      </c>
      <c r="C13" s="7">
        <v>0.8</v>
      </c>
      <c r="D13" s="5">
        <v>9.09</v>
      </c>
      <c r="E13" s="5">
        <v>93.9</v>
      </c>
      <c r="F13" s="5">
        <v>112.1</v>
      </c>
      <c r="G13" s="6">
        <v>44626</v>
      </c>
      <c r="H13" s="5"/>
      <c r="I13" s="5"/>
      <c r="J13" s="5">
        <f t="shared" si="1"/>
        <v>18.199999999999989</v>
      </c>
      <c r="K13" s="8" t="b">
        <f t="shared" si="0"/>
        <v>1</v>
      </c>
    </row>
    <row r="14" spans="1:11">
      <c r="A14" s="5" t="s">
        <v>245</v>
      </c>
      <c r="B14" s="6">
        <v>44628</v>
      </c>
      <c r="C14" s="7">
        <v>1</v>
      </c>
      <c r="D14" s="5">
        <v>7.27</v>
      </c>
      <c r="E14" s="5">
        <v>112.1</v>
      </c>
      <c r="F14" s="5">
        <v>126.6</v>
      </c>
      <c r="G14" s="6">
        <v>44628</v>
      </c>
      <c r="H14" s="5"/>
      <c r="I14" s="5"/>
      <c r="J14" s="5">
        <f t="shared" si="1"/>
        <v>14.5</v>
      </c>
      <c r="K14" s="8" t="b">
        <f t="shared" si="0"/>
        <v>1</v>
      </c>
    </row>
    <row r="15" spans="1:11">
      <c r="A15" s="5" t="s">
        <v>245</v>
      </c>
      <c r="B15" s="6">
        <v>44637</v>
      </c>
      <c r="C15" s="7">
        <v>0.8</v>
      </c>
      <c r="D15" s="5">
        <v>9.09</v>
      </c>
      <c r="E15" s="5">
        <v>162.30000000000001</v>
      </c>
      <c r="F15" s="5">
        <v>180.9</v>
      </c>
      <c r="G15" s="6">
        <v>44637</v>
      </c>
      <c r="H15" s="5"/>
      <c r="I15" s="5"/>
      <c r="J15" s="5">
        <f t="shared" si="1"/>
        <v>18.599999999999994</v>
      </c>
      <c r="K15" s="8" t="b">
        <f t="shared" si="0"/>
        <v>0</v>
      </c>
    </row>
    <row r="16" spans="1:11">
      <c r="A16" s="5" t="s">
        <v>245</v>
      </c>
      <c r="B16" s="6">
        <v>44641</v>
      </c>
      <c r="C16" s="7">
        <v>0.7</v>
      </c>
      <c r="D16" s="5">
        <v>10.39</v>
      </c>
      <c r="E16" s="5">
        <v>180.9</v>
      </c>
      <c r="F16" s="5">
        <v>201.3</v>
      </c>
      <c r="G16" s="6">
        <v>44641</v>
      </c>
      <c r="H16" s="5"/>
      <c r="I16" s="5"/>
      <c r="J16" s="5">
        <f t="shared" si="1"/>
        <v>20.400000000000006</v>
      </c>
      <c r="K16" s="8" t="b">
        <f t="shared" si="0"/>
        <v>1</v>
      </c>
    </row>
    <row r="17" spans="1:11">
      <c r="A17" s="5" t="s">
        <v>245</v>
      </c>
      <c r="B17" s="6">
        <v>44646</v>
      </c>
      <c r="C17" s="7">
        <v>1</v>
      </c>
      <c r="D17" s="5">
        <v>7.27</v>
      </c>
      <c r="E17" s="5">
        <v>201.3</v>
      </c>
      <c r="F17" s="5">
        <v>215.6</v>
      </c>
      <c r="G17" s="6">
        <v>44646</v>
      </c>
      <c r="H17" s="5"/>
      <c r="I17" s="5"/>
      <c r="J17" s="5">
        <f t="shared" si="1"/>
        <v>14.299999999999983</v>
      </c>
      <c r="K17" s="8" t="b">
        <f t="shared" si="0"/>
        <v>1</v>
      </c>
    </row>
    <row r="18" spans="1:11">
      <c r="A18" s="5" t="s">
        <v>245</v>
      </c>
      <c r="B18" s="6">
        <v>44650</v>
      </c>
      <c r="C18" s="7">
        <v>0.7</v>
      </c>
      <c r="D18" s="5">
        <v>10.39</v>
      </c>
      <c r="E18" s="5">
        <v>215.6</v>
      </c>
      <c r="F18" s="5">
        <v>233.7</v>
      </c>
      <c r="G18" s="6">
        <v>44650</v>
      </c>
      <c r="H18" s="5"/>
      <c r="I18" s="5"/>
      <c r="J18" s="5">
        <f t="shared" si="1"/>
        <v>18.099999999999994</v>
      </c>
      <c r="K18" s="8" t="b">
        <f t="shared" si="0"/>
        <v>1</v>
      </c>
    </row>
    <row r="19" spans="1:11">
      <c r="A19" s="39" t="s">
        <v>245</v>
      </c>
      <c r="B19" s="40"/>
      <c r="C19" s="41"/>
      <c r="D19" s="39"/>
      <c r="E19" s="39"/>
      <c r="F19" s="39"/>
      <c r="G19" s="40"/>
      <c r="H19" s="39"/>
      <c r="I19" s="39"/>
      <c r="J19" s="39">
        <f t="shared" ref="J19:J23" si="2">F19-E19</f>
        <v>0</v>
      </c>
      <c r="K19" s="8" t="b">
        <f t="shared" si="0"/>
        <v>0</v>
      </c>
    </row>
    <row r="20" spans="1:11">
      <c r="A20" s="39" t="s">
        <v>245</v>
      </c>
      <c r="B20" s="40"/>
      <c r="C20" s="41"/>
      <c r="D20" s="39"/>
      <c r="E20" s="39"/>
      <c r="F20" s="39"/>
      <c r="G20" s="40"/>
      <c r="H20" s="39"/>
      <c r="I20" s="39"/>
      <c r="J20" s="39">
        <f t="shared" si="2"/>
        <v>0</v>
      </c>
      <c r="K20" s="8" t="b">
        <f t="shared" si="0"/>
        <v>1</v>
      </c>
    </row>
    <row r="21" spans="1:11">
      <c r="A21" s="39" t="s">
        <v>245</v>
      </c>
      <c r="B21" s="40"/>
      <c r="C21" s="41"/>
      <c r="D21" s="39"/>
      <c r="E21" s="39"/>
      <c r="F21" s="39"/>
      <c r="G21" s="40"/>
      <c r="H21" s="39"/>
      <c r="I21" s="39"/>
      <c r="J21" s="39">
        <f t="shared" si="2"/>
        <v>0</v>
      </c>
      <c r="K21" s="8" t="b">
        <f t="shared" si="0"/>
        <v>1</v>
      </c>
    </row>
    <row r="22" spans="1:11">
      <c r="A22" s="39" t="s">
        <v>245</v>
      </c>
      <c r="B22" s="40"/>
      <c r="C22" s="41"/>
      <c r="D22" s="39"/>
      <c r="E22" s="39"/>
      <c r="F22" s="39"/>
      <c r="G22" s="40"/>
      <c r="H22" s="39"/>
      <c r="I22" s="39"/>
      <c r="J22" s="39">
        <f t="shared" si="2"/>
        <v>0</v>
      </c>
      <c r="K22" s="8" t="b">
        <f t="shared" si="0"/>
        <v>1</v>
      </c>
    </row>
    <row r="23" spans="1:11">
      <c r="A23" s="39" t="s">
        <v>245</v>
      </c>
      <c r="B23" s="40"/>
      <c r="C23" s="41"/>
      <c r="D23" s="39"/>
      <c r="E23" s="39"/>
      <c r="F23" s="39"/>
      <c r="G23" s="40"/>
      <c r="H23" s="39"/>
      <c r="I23" s="39"/>
      <c r="J23" s="39">
        <f t="shared" si="2"/>
        <v>0</v>
      </c>
      <c r="K23" s="8" t="b">
        <f t="shared" si="0"/>
        <v>1</v>
      </c>
    </row>
    <row r="24" spans="1:11">
      <c r="A24" s="5" t="s">
        <v>245</v>
      </c>
      <c r="B24" s="6">
        <v>44676</v>
      </c>
      <c r="C24" s="7">
        <v>0.7</v>
      </c>
      <c r="D24" s="5">
        <v>10.39</v>
      </c>
      <c r="E24" s="5">
        <v>362.3</v>
      </c>
      <c r="F24" s="5">
        <v>383</v>
      </c>
      <c r="G24" s="6">
        <v>44676</v>
      </c>
      <c r="H24" s="5"/>
      <c r="I24" s="5"/>
      <c r="J24" s="5">
        <f t="shared" ref="J24:J36" si="3">F24-E24</f>
        <v>20.699999999999989</v>
      </c>
      <c r="K24" s="8" t="b">
        <f>E24=F23</f>
        <v>0</v>
      </c>
    </row>
    <row r="25" spans="1:11">
      <c r="A25" s="5" t="s">
        <v>245</v>
      </c>
      <c r="B25" s="6">
        <v>44679</v>
      </c>
      <c r="C25" s="7">
        <v>0.7</v>
      </c>
      <c r="D25" s="5">
        <v>10.39</v>
      </c>
      <c r="E25" s="5">
        <v>383</v>
      </c>
      <c r="F25" s="5">
        <v>403.4</v>
      </c>
      <c r="G25" s="6">
        <v>44679</v>
      </c>
      <c r="H25" s="5"/>
      <c r="I25" s="5"/>
      <c r="J25" s="5">
        <f t="shared" si="3"/>
        <v>20.399999999999977</v>
      </c>
      <c r="K25" s="8" t="b">
        <f t="shared" si="0"/>
        <v>1</v>
      </c>
    </row>
    <row r="26" spans="1:11">
      <c r="A26" s="5" t="s">
        <v>245</v>
      </c>
      <c r="B26" s="6">
        <v>44681</v>
      </c>
      <c r="C26" s="7">
        <v>0.55000000000000004</v>
      </c>
      <c r="D26" s="5">
        <v>13.22</v>
      </c>
      <c r="E26" s="5">
        <v>403.4</v>
      </c>
      <c r="F26" s="5">
        <v>416.3</v>
      </c>
      <c r="G26" s="6">
        <v>44681</v>
      </c>
      <c r="H26" s="5"/>
      <c r="I26" s="5"/>
      <c r="J26" s="5">
        <f t="shared" si="3"/>
        <v>12.900000000000034</v>
      </c>
      <c r="K26" s="8" t="b">
        <f t="shared" si="0"/>
        <v>1</v>
      </c>
    </row>
    <row r="27" spans="1:11">
      <c r="A27" s="5" t="s">
        <v>245</v>
      </c>
      <c r="B27" s="6">
        <v>44683</v>
      </c>
      <c r="C27" s="7">
        <v>0.55000000000000004</v>
      </c>
      <c r="D27" s="5">
        <v>13.22</v>
      </c>
      <c r="E27" s="5">
        <v>416.3</v>
      </c>
      <c r="F27" s="5">
        <v>429.3</v>
      </c>
      <c r="G27" s="6">
        <v>44683</v>
      </c>
      <c r="H27" s="5"/>
      <c r="I27" s="5"/>
      <c r="J27" s="5">
        <f t="shared" si="3"/>
        <v>13</v>
      </c>
      <c r="K27" s="8" t="b">
        <f t="shared" si="0"/>
        <v>1</v>
      </c>
    </row>
    <row r="28" spans="1:11">
      <c r="A28" s="5" t="s">
        <v>245</v>
      </c>
      <c r="B28" s="6">
        <v>44684</v>
      </c>
      <c r="C28" s="7">
        <v>0.55000000000000004</v>
      </c>
      <c r="D28" s="5">
        <v>13.22</v>
      </c>
      <c r="E28" s="5">
        <v>429.3</v>
      </c>
      <c r="F28" s="5">
        <v>442.3</v>
      </c>
      <c r="G28" s="6">
        <v>44684</v>
      </c>
      <c r="H28" s="5"/>
      <c r="I28" s="5"/>
      <c r="J28" s="5">
        <f t="shared" si="3"/>
        <v>13</v>
      </c>
      <c r="K28" s="8" t="b">
        <f t="shared" si="0"/>
        <v>1</v>
      </c>
    </row>
    <row r="29" spans="1:11">
      <c r="A29" s="5" t="s">
        <v>245</v>
      </c>
      <c r="B29" s="6">
        <v>44685</v>
      </c>
      <c r="C29" s="7">
        <v>0.55000000000000004</v>
      </c>
      <c r="D29" s="5">
        <v>13.22</v>
      </c>
      <c r="E29" s="5">
        <v>442.3</v>
      </c>
      <c r="F29" s="5">
        <v>455.4</v>
      </c>
      <c r="G29" s="6">
        <v>44685</v>
      </c>
      <c r="H29" s="5"/>
      <c r="I29" s="5"/>
      <c r="J29" s="5">
        <f t="shared" si="3"/>
        <v>13.099999999999966</v>
      </c>
      <c r="K29" s="8" t="b">
        <f t="shared" si="0"/>
        <v>1</v>
      </c>
    </row>
    <row r="30" spans="1:11">
      <c r="A30" s="5" t="s">
        <v>245</v>
      </c>
      <c r="B30" s="6">
        <v>44687</v>
      </c>
      <c r="C30" s="7">
        <v>0.55000000000000004</v>
      </c>
      <c r="D30" s="5">
        <v>13.22</v>
      </c>
      <c r="E30" s="5">
        <v>455.4</v>
      </c>
      <c r="F30" s="5">
        <v>468.4</v>
      </c>
      <c r="G30" s="6">
        <v>44687</v>
      </c>
      <c r="H30" s="5"/>
      <c r="I30" s="5"/>
      <c r="J30" s="5">
        <f t="shared" si="3"/>
        <v>13</v>
      </c>
      <c r="K30" s="8" t="b">
        <f t="shared" si="0"/>
        <v>1</v>
      </c>
    </row>
    <row r="31" spans="1:11">
      <c r="A31" s="5" t="s">
        <v>245</v>
      </c>
      <c r="B31" s="6">
        <v>44688</v>
      </c>
      <c r="C31" s="7">
        <v>0.55000000000000004</v>
      </c>
      <c r="D31" s="5">
        <v>13.22</v>
      </c>
      <c r="E31" s="5">
        <v>468.4</v>
      </c>
      <c r="F31" s="5">
        <v>481.1</v>
      </c>
      <c r="G31" s="6">
        <v>44688</v>
      </c>
      <c r="H31" s="5"/>
      <c r="I31" s="5"/>
      <c r="J31" s="5">
        <f t="shared" si="3"/>
        <v>12.700000000000045</v>
      </c>
      <c r="K31" s="8" t="b">
        <f t="shared" si="0"/>
        <v>1</v>
      </c>
    </row>
    <row r="32" spans="1:11">
      <c r="A32" s="5" t="s">
        <v>245</v>
      </c>
      <c r="B32" s="6">
        <v>44691</v>
      </c>
      <c r="C32" s="7">
        <v>0.55000000000000004</v>
      </c>
      <c r="D32" s="5">
        <v>13.22</v>
      </c>
      <c r="E32" s="5">
        <v>481.1</v>
      </c>
      <c r="F32" s="5">
        <v>494</v>
      </c>
      <c r="G32" s="6">
        <v>44691</v>
      </c>
      <c r="H32" s="5"/>
      <c r="I32" s="5"/>
      <c r="J32" s="5">
        <f t="shared" si="3"/>
        <v>12.899999999999977</v>
      </c>
      <c r="K32" s="8" t="b">
        <f t="shared" si="0"/>
        <v>1</v>
      </c>
    </row>
    <row r="33" spans="1:11">
      <c r="A33" s="5" t="s">
        <v>245</v>
      </c>
      <c r="B33" s="6">
        <v>44692</v>
      </c>
      <c r="C33" s="7">
        <v>0.55000000000000004</v>
      </c>
      <c r="D33" s="5">
        <v>13.22</v>
      </c>
      <c r="E33" s="5">
        <v>494</v>
      </c>
      <c r="F33" s="5">
        <v>508</v>
      </c>
      <c r="G33" s="6">
        <v>44692</v>
      </c>
      <c r="H33" s="5"/>
      <c r="I33" s="5"/>
      <c r="J33" s="5">
        <f t="shared" si="3"/>
        <v>14</v>
      </c>
      <c r="K33" s="8" t="b">
        <f t="shared" si="0"/>
        <v>1</v>
      </c>
    </row>
    <row r="34" spans="1:11">
      <c r="A34" s="5" t="s">
        <v>245</v>
      </c>
      <c r="B34" s="6">
        <v>44694</v>
      </c>
      <c r="C34" s="7">
        <v>0.55000000000000004</v>
      </c>
      <c r="D34" s="5">
        <v>13.22</v>
      </c>
      <c r="E34" s="5">
        <v>508</v>
      </c>
      <c r="F34" s="5">
        <v>522.9</v>
      </c>
      <c r="G34" s="6">
        <v>44694</v>
      </c>
      <c r="H34" s="5"/>
      <c r="I34" s="5"/>
      <c r="J34" s="5">
        <f t="shared" si="3"/>
        <v>14.899999999999977</v>
      </c>
      <c r="K34" s="8" t="b">
        <f t="shared" si="0"/>
        <v>1</v>
      </c>
    </row>
    <row r="35" spans="1:11">
      <c r="A35" s="5" t="s">
        <v>245</v>
      </c>
      <c r="B35" s="6">
        <v>44695</v>
      </c>
      <c r="C35" s="7">
        <v>0.55000000000000004</v>
      </c>
      <c r="D35" s="5">
        <v>13.22</v>
      </c>
      <c r="E35" s="5">
        <v>522.9</v>
      </c>
      <c r="F35" s="5">
        <v>537.20000000000005</v>
      </c>
      <c r="G35" s="6">
        <v>44695</v>
      </c>
      <c r="H35" s="5"/>
      <c r="I35" s="5"/>
      <c r="J35" s="5">
        <f t="shared" si="3"/>
        <v>14.300000000000068</v>
      </c>
      <c r="K35" s="8" t="b">
        <f t="shared" si="0"/>
        <v>1</v>
      </c>
    </row>
    <row r="36" spans="1:11">
      <c r="A36" s="5" t="s">
        <v>245</v>
      </c>
      <c r="B36" s="6"/>
      <c r="C36" s="7"/>
      <c r="D36" s="5"/>
      <c r="E36" s="5"/>
      <c r="F36" s="5"/>
      <c r="G36" s="6"/>
      <c r="H36" s="5"/>
      <c r="I36" s="5"/>
      <c r="J36" s="5">
        <f t="shared" si="3"/>
        <v>0</v>
      </c>
      <c r="K36" s="8" t="b">
        <f t="shared" si="0"/>
        <v>0</v>
      </c>
    </row>
    <row r="38" spans="1:11" ht="26.25">
      <c r="A38" s="126" t="s">
        <v>244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8"/>
    </row>
    <row r="39" spans="1:11" ht="26.25">
      <c r="A39" s="129" t="s">
        <v>17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1"/>
    </row>
    <row r="40" spans="1:11" ht="15.75" thickBot="1"/>
    <row r="41" spans="1:11" ht="15.75" thickBot="1">
      <c r="A41" s="132" t="s">
        <v>2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4"/>
    </row>
    <row r="43" spans="1:11" ht="19.5" thickBot="1">
      <c r="A43" s="1" t="s">
        <v>3</v>
      </c>
      <c r="B43" s="1"/>
      <c r="C43" s="1"/>
      <c r="D43" s="1"/>
      <c r="E43" s="1"/>
      <c r="F43" s="1"/>
      <c r="G43" s="1"/>
      <c r="H43" s="1"/>
      <c r="I43" s="1"/>
    </row>
    <row r="44" spans="1:11" ht="30.75" thickBot="1">
      <c r="A44" s="2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  <c r="G44" s="3" t="s">
        <v>10</v>
      </c>
      <c r="H44" s="3" t="s">
        <v>21</v>
      </c>
      <c r="I44" s="4" t="s">
        <v>22</v>
      </c>
      <c r="J44" s="4" t="s">
        <v>11</v>
      </c>
      <c r="K44" s="4" t="s">
        <v>12</v>
      </c>
    </row>
    <row r="45" spans="1:11">
      <c r="A45" s="5" t="s">
        <v>245</v>
      </c>
      <c r="B45" s="6">
        <v>44902</v>
      </c>
      <c r="C45" s="7">
        <v>1</v>
      </c>
      <c r="D45" s="5">
        <v>7.27</v>
      </c>
      <c r="E45" s="5">
        <v>0</v>
      </c>
      <c r="F45" s="5">
        <v>8</v>
      </c>
      <c r="G45" s="6">
        <v>44902</v>
      </c>
      <c r="H45" s="5"/>
      <c r="I45" s="5"/>
      <c r="J45" s="5">
        <f>F45-E45</f>
        <v>8</v>
      </c>
      <c r="K45" s="8" t="b">
        <f>E45=F25</f>
        <v>0</v>
      </c>
    </row>
    <row r="46" spans="1:11">
      <c r="A46" s="5" t="s">
        <v>245</v>
      </c>
      <c r="B46" s="6">
        <v>44906</v>
      </c>
      <c r="C46" s="7">
        <v>1</v>
      </c>
      <c r="D46" s="5">
        <v>7.27</v>
      </c>
      <c r="E46" s="5">
        <v>8</v>
      </c>
      <c r="F46" s="5">
        <v>22.3</v>
      </c>
      <c r="G46" s="6">
        <v>44906</v>
      </c>
      <c r="H46" s="5"/>
      <c r="I46" s="5"/>
      <c r="J46" s="5">
        <f>F46-E46</f>
        <v>14.3</v>
      </c>
      <c r="K46" s="8" t="b">
        <f>E46=F45</f>
        <v>1</v>
      </c>
    </row>
    <row r="47" spans="1:11">
      <c r="A47" s="5" t="s">
        <v>245</v>
      </c>
      <c r="B47" s="6">
        <v>44924</v>
      </c>
      <c r="C47" s="7">
        <v>1</v>
      </c>
      <c r="D47" s="5">
        <v>7.27</v>
      </c>
      <c r="E47" s="5">
        <v>22.3</v>
      </c>
      <c r="F47" s="5">
        <v>37.6</v>
      </c>
      <c r="G47" s="6">
        <v>44924</v>
      </c>
      <c r="H47" s="5"/>
      <c r="I47" s="5"/>
      <c r="J47" s="5">
        <f>F47-E47</f>
        <v>15.3</v>
      </c>
      <c r="K47" s="8" t="b">
        <f t="shared" ref="K47:K56" si="4">E47=F46</f>
        <v>1</v>
      </c>
    </row>
    <row r="48" spans="1:11">
      <c r="A48" s="5" t="s">
        <v>245</v>
      </c>
      <c r="B48" s="6">
        <v>44929</v>
      </c>
      <c r="C48" s="7">
        <v>0.8</v>
      </c>
      <c r="D48" s="5">
        <v>9.09</v>
      </c>
      <c r="E48" s="5">
        <v>37.6</v>
      </c>
      <c r="F48" s="5">
        <v>56.1</v>
      </c>
      <c r="G48" s="6">
        <v>44929</v>
      </c>
      <c r="H48" s="5"/>
      <c r="I48" s="5"/>
      <c r="J48" s="5">
        <f>F48-E48</f>
        <v>18.5</v>
      </c>
      <c r="K48" s="8" t="b">
        <f t="shared" si="4"/>
        <v>1</v>
      </c>
    </row>
    <row r="49" spans="1:11">
      <c r="A49" s="5" t="s">
        <v>245</v>
      </c>
      <c r="B49" s="6">
        <v>44943</v>
      </c>
      <c r="C49" s="7">
        <v>1</v>
      </c>
      <c r="D49" s="5">
        <v>7.27</v>
      </c>
      <c r="E49" s="5">
        <v>56.1</v>
      </c>
      <c r="F49" s="5">
        <v>70.2</v>
      </c>
      <c r="G49" s="6">
        <v>44943</v>
      </c>
      <c r="H49" s="5"/>
      <c r="I49" s="5"/>
      <c r="J49" s="5">
        <f>F49-E49</f>
        <v>14.100000000000001</v>
      </c>
      <c r="K49" s="8" t="b">
        <f t="shared" si="4"/>
        <v>1</v>
      </c>
    </row>
    <row r="50" spans="1:11">
      <c r="A50" s="5" t="s">
        <v>245</v>
      </c>
      <c r="B50" s="6">
        <v>44958</v>
      </c>
      <c r="C50" s="7">
        <v>1</v>
      </c>
      <c r="D50" s="5">
        <v>7.27</v>
      </c>
      <c r="E50" s="5">
        <v>70.2</v>
      </c>
      <c r="F50" s="5">
        <v>77.099999999999994</v>
      </c>
      <c r="G50" s="6">
        <v>44958</v>
      </c>
      <c r="H50" s="5"/>
      <c r="I50" s="5"/>
      <c r="J50" s="5">
        <f t="shared" ref="J50:J57" si="5">F50-E50</f>
        <v>6.8999999999999915</v>
      </c>
      <c r="K50" s="8" t="b">
        <f t="shared" si="4"/>
        <v>1</v>
      </c>
    </row>
    <row r="51" spans="1:11">
      <c r="A51" s="5" t="s">
        <v>245</v>
      </c>
      <c r="B51" s="6">
        <v>44965</v>
      </c>
      <c r="C51" s="7">
        <v>0.7</v>
      </c>
      <c r="D51" s="5">
        <v>10.39</v>
      </c>
      <c r="E51" s="5">
        <v>77.099999999999994</v>
      </c>
      <c r="F51" s="5">
        <v>100.2</v>
      </c>
      <c r="G51" s="6">
        <v>44965</v>
      </c>
      <c r="H51" s="5"/>
      <c r="I51" s="5"/>
      <c r="J51" s="5">
        <f t="shared" si="5"/>
        <v>23.100000000000009</v>
      </c>
      <c r="K51" s="8" t="b">
        <f t="shared" si="4"/>
        <v>1</v>
      </c>
    </row>
    <row r="52" spans="1:11">
      <c r="A52" s="5" t="s">
        <v>245</v>
      </c>
      <c r="B52" s="6">
        <v>44967</v>
      </c>
      <c r="C52" s="7">
        <v>0.7</v>
      </c>
      <c r="D52" s="5">
        <v>10.39</v>
      </c>
      <c r="E52" s="5">
        <v>100.2</v>
      </c>
      <c r="F52" s="5">
        <v>120.3</v>
      </c>
      <c r="G52" s="6">
        <v>44967</v>
      </c>
      <c r="H52" s="5"/>
      <c r="I52" s="5"/>
      <c r="J52" s="5">
        <f t="shared" si="5"/>
        <v>20.099999999999994</v>
      </c>
      <c r="K52" s="8" t="b">
        <f t="shared" si="4"/>
        <v>1</v>
      </c>
    </row>
    <row r="53" spans="1:11">
      <c r="A53" s="5" t="s">
        <v>245</v>
      </c>
      <c r="B53" s="6">
        <v>44974</v>
      </c>
      <c r="C53" s="7">
        <v>0.7</v>
      </c>
      <c r="D53" s="5">
        <v>10.39</v>
      </c>
      <c r="E53" s="5">
        <v>120.3</v>
      </c>
      <c r="F53" s="5">
        <v>140.4</v>
      </c>
      <c r="G53" s="6">
        <v>44974</v>
      </c>
      <c r="H53" s="5"/>
      <c r="I53" s="5"/>
      <c r="J53" s="5">
        <f t="shared" si="5"/>
        <v>20.100000000000009</v>
      </c>
      <c r="K53" s="8" t="b">
        <f t="shared" si="4"/>
        <v>1</v>
      </c>
    </row>
    <row r="54" spans="1:11">
      <c r="A54" s="5" t="s">
        <v>245</v>
      </c>
      <c r="B54" s="6">
        <v>44976</v>
      </c>
      <c r="C54" s="7">
        <v>0.7</v>
      </c>
      <c r="D54" s="5">
        <v>10.39</v>
      </c>
      <c r="E54" s="5">
        <v>140.4</v>
      </c>
      <c r="F54" s="5">
        <v>160.9</v>
      </c>
      <c r="G54" s="6">
        <v>44976</v>
      </c>
      <c r="H54" s="5"/>
      <c r="I54" s="5"/>
      <c r="J54" s="5">
        <f t="shared" si="5"/>
        <v>20.5</v>
      </c>
      <c r="K54" s="8" t="b">
        <f t="shared" si="4"/>
        <v>1</v>
      </c>
    </row>
    <row r="55" spans="1:11">
      <c r="A55" s="5" t="s">
        <v>245</v>
      </c>
      <c r="B55" s="6">
        <v>44985</v>
      </c>
      <c r="C55" s="7">
        <v>0.7</v>
      </c>
      <c r="D55" s="5">
        <v>10.39</v>
      </c>
      <c r="E55" s="5">
        <v>160.9</v>
      </c>
      <c r="F55" s="5">
        <v>180.6</v>
      </c>
      <c r="G55" s="6">
        <v>44985</v>
      </c>
      <c r="H55" s="5"/>
      <c r="I55" s="5"/>
      <c r="J55" s="5">
        <f t="shared" si="5"/>
        <v>19.699999999999989</v>
      </c>
      <c r="K55" s="8" t="b">
        <f t="shared" si="4"/>
        <v>1</v>
      </c>
    </row>
    <row r="56" spans="1:11">
      <c r="A56" s="5" t="s">
        <v>245</v>
      </c>
      <c r="B56" s="6">
        <v>44996</v>
      </c>
      <c r="C56" s="7">
        <v>0.6</v>
      </c>
      <c r="D56" s="5">
        <v>12.12</v>
      </c>
      <c r="E56" s="5">
        <v>180.6</v>
      </c>
      <c r="F56" s="5">
        <v>206.5</v>
      </c>
      <c r="G56" s="6">
        <v>44997</v>
      </c>
      <c r="H56" s="5"/>
      <c r="I56" s="5"/>
      <c r="J56" s="5">
        <f t="shared" si="5"/>
        <v>25.900000000000006</v>
      </c>
      <c r="K56" s="8" t="b">
        <f t="shared" si="4"/>
        <v>1</v>
      </c>
    </row>
    <row r="57" spans="1:11">
      <c r="A57" s="5" t="s">
        <v>245</v>
      </c>
      <c r="B57" s="6">
        <v>45011</v>
      </c>
      <c r="C57" s="7">
        <v>0.7</v>
      </c>
      <c r="D57" s="5">
        <v>10.39</v>
      </c>
      <c r="E57" s="5">
        <v>206.5</v>
      </c>
      <c r="F57" s="5">
        <v>234.5</v>
      </c>
      <c r="G57" s="6">
        <v>45011</v>
      </c>
      <c r="H57" s="5"/>
      <c r="I57" s="5"/>
      <c r="J57" s="5">
        <f t="shared" si="5"/>
        <v>28</v>
      </c>
      <c r="K57" s="8" t="b">
        <f>E58=F56</f>
        <v>0</v>
      </c>
    </row>
    <row r="58" spans="1:11">
      <c r="A58" s="5" t="s">
        <v>245</v>
      </c>
      <c r="B58" s="6"/>
      <c r="C58" s="7"/>
      <c r="D58" s="5"/>
      <c r="E58" s="5"/>
      <c r="F58" s="5"/>
      <c r="G58" s="6"/>
      <c r="H58" s="5"/>
      <c r="I58" s="5"/>
      <c r="J58" s="5">
        <f t="shared" ref="J58:J59" si="6">F58-E58</f>
        <v>0</v>
      </c>
      <c r="K58" s="8" t="b">
        <f>E57=F58</f>
        <v>0</v>
      </c>
    </row>
    <row r="59" spans="1:11">
      <c r="A59" s="5" t="s">
        <v>245</v>
      </c>
      <c r="B59" s="6"/>
      <c r="C59" s="7"/>
      <c r="D59" s="5"/>
      <c r="E59" s="5"/>
      <c r="F59" s="5"/>
      <c r="G59" s="6"/>
      <c r="H59" s="5"/>
      <c r="I59" s="5"/>
      <c r="J59" s="5">
        <f t="shared" si="6"/>
        <v>0</v>
      </c>
      <c r="K59" s="8" t="b">
        <f>E59=F57</f>
        <v>0</v>
      </c>
    </row>
    <row r="60" spans="1:11" ht="26.25">
      <c r="A60" s="135" t="s">
        <v>244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7"/>
    </row>
    <row r="61" spans="1:11" ht="26.25">
      <c r="A61" s="138" t="s">
        <v>246</v>
      </c>
      <c r="B61" s="139"/>
      <c r="C61" s="139"/>
      <c r="D61" s="139"/>
      <c r="E61" s="139"/>
      <c r="F61" s="139"/>
      <c r="G61" s="139"/>
      <c r="H61" s="139"/>
      <c r="I61" s="139"/>
      <c r="J61" s="139"/>
      <c r="K61" s="140"/>
    </row>
    <row r="63" spans="1:11">
      <c r="A63" s="132" t="s">
        <v>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4"/>
    </row>
    <row r="65" spans="1:11" ht="18.75">
      <c r="A65" s="1" t="s">
        <v>3</v>
      </c>
      <c r="B65" s="1"/>
      <c r="C65" s="1"/>
      <c r="D65" s="1"/>
      <c r="E65" s="1"/>
      <c r="F65" s="1"/>
      <c r="G65" s="1"/>
      <c r="H65" s="1"/>
      <c r="I65" s="1"/>
    </row>
    <row r="66" spans="1:11" ht="30">
      <c r="A66" s="2" t="s">
        <v>4</v>
      </c>
      <c r="B66" s="3" t="s">
        <v>5</v>
      </c>
      <c r="C66" s="3" t="s">
        <v>6</v>
      </c>
      <c r="D66" s="3" t="s">
        <v>7</v>
      </c>
      <c r="E66" s="3" t="s">
        <v>8</v>
      </c>
      <c r="F66" s="3" t="s">
        <v>9</v>
      </c>
      <c r="G66" s="3" t="s">
        <v>10</v>
      </c>
      <c r="H66" s="3" t="s">
        <v>21</v>
      </c>
      <c r="I66" s="4" t="s">
        <v>22</v>
      </c>
      <c r="J66" s="4" t="s">
        <v>11</v>
      </c>
      <c r="K66" s="4" t="s">
        <v>12</v>
      </c>
    </row>
    <row r="67" spans="1:11">
      <c r="A67" s="5" t="s">
        <v>247</v>
      </c>
      <c r="B67" s="6" t="s">
        <v>98</v>
      </c>
      <c r="C67" s="7">
        <v>0.9</v>
      </c>
      <c r="D67" s="5">
        <v>8.08</v>
      </c>
      <c r="E67" s="5">
        <v>234.5</v>
      </c>
      <c r="F67" s="5">
        <v>250.7</v>
      </c>
      <c r="G67" s="6" t="s">
        <v>248</v>
      </c>
      <c r="H67" s="5"/>
      <c r="I67" s="5"/>
      <c r="J67" s="5">
        <f>F67-E67</f>
        <v>16.199999999999989</v>
      </c>
      <c r="K67" s="8" t="b">
        <f>E67=F57</f>
        <v>1</v>
      </c>
    </row>
    <row r="68" spans="1:11">
      <c r="A68" s="5" t="s">
        <v>247</v>
      </c>
      <c r="B68" s="6">
        <v>45089</v>
      </c>
      <c r="C68" s="7">
        <v>1</v>
      </c>
      <c r="D68" s="5">
        <v>7.27</v>
      </c>
      <c r="E68" s="5">
        <v>250.7</v>
      </c>
      <c r="F68" s="5">
        <v>265.3</v>
      </c>
      <c r="G68" s="6">
        <v>45089</v>
      </c>
      <c r="H68" s="5"/>
      <c r="I68" s="5"/>
      <c r="J68" s="5">
        <f>F68-E68</f>
        <v>14.600000000000023</v>
      </c>
      <c r="K68" s="8" t="b">
        <f>E68=F67</f>
        <v>1</v>
      </c>
    </row>
    <row r="69" spans="1:11">
      <c r="A69" s="5" t="s">
        <v>247</v>
      </c>
      <c r="B69" s="6">
        <v>45095</v>
      </c>
      <c r="C69" s="7">
        <v>0.5</v>
      </c>
      <c r="D69" s="5">
        <v>14.54</v>
      </c>
      <c r="E69" s="5">
        <v>0.1</v>
      </c>
      <c r="F69" s="5">
        <v>29.5</v>
      </c>
      <c r="G69" s="6">
        <v>45095</v>
      </c>
      <c r="H69" s="5"/>
      <c r="I69" s="5"/>
      <c r="J69" s="5">
        <f t="shared" ref="J69:J78" si="7">F69-E69</f>
        <v>29.4</v>
      </c>
      <c r="K69" s="8" t="b">
        <f>E69=F68</f>
        <v>0</v>
      </c>
    </row>
    <row r="70" spans="1:11">
      <c r="A70" s="5" t="s">
        <v>247</v>
      </c>
      <c r="B70" s="6">
        <v>45101</v>
      </c>
      <c r="C70" s="7">
        <v>0.5</v>
      </c>
      <c r="D70" s="5">
        <v>14.54</v>
      </c>
      <c r="E70" s="5">
        <v>29.5</v>
      </c>
      <c r="F70" s="5">
        <v>58.7</v>
      </c>
      <c r="G70" s="6">
        <v>45101</v>
      </c>
      <c r="H70" s="5"/>
      <c r="I70" s="5"/>
      <c r="J70" s="5">
        <f t="shared" si="7"/>
        <v>29.200000000000003</v>
      </c>
      <c r="K70" s="8" t="b">
        <f t="shared" ref="K70:K78" si="8">E70=F69</f>
        <v>1</v>
      </c>
    </row>
    <row r="71" spans="1:11">
      <c r="A71" s="5" t="s">
        <v>245</v>
      </c>
      <c r="B71" s="6">
        <v>45112</v>
      </c>
      <c r="C71" s="7">
        <v>0.6</v>
      </c>
      <c r="D71" s="5">
        <v>12.12</v>
      </c>
      <c r="E71" s="5">
        <v>58.7</v>
      </c>
      <c r="F71" s="5">
        <v>61.8</v>
      </c>
      <c r="G71" s="6">
        <v>45112</v>
      </c>
      <c r="H71" s="5"/>
      <c r="I71" s="5"/>
      <c r="J71" s="5">
        <f t="shared" si="7"/>
        <v>3.0999999999999943</v>
      </c>
      <c r="K71" s="8" t="b">
        <f t="shared" si="8"/>
        <v>1</v>
      </c>
    </row>
    <row r="72" spans="1:11">
      <c r="A72" s="5" t="s">
        <v>249</v>
      </c>
      <c r="B72" s="6">
        <v>45115</v>
      </c>
      <c r="C72" s="7">
        <v>0.7</v>
      </c>
      <c r="D72" s="5">
        <v>10.39</v>
      </c>
      <c r="E72" s="5">
        <v>61.8</v>
      </c>
      <c r="F72" s="5">
        <v>72.099999999999994</v>
      </c>
      <c r="G72" s="6">
        <v>45115</v>
      </c>
      <c r="H72" s="5"/>
      <c r="I72" s="5"/>
      <c r="J72" s="5">
        <f t="shared" si="7"/>
        <v>10.299999999999997</v>
      </c>
      <c r="K72" s="8" t="b">
        <f t="shared" si="8"/>
        <v>1</v>
      </c>
    </row>
    <row r="73" spans="1:11">
      <c r="A73" s="5" t="s">
        <v>250</v>
      </c>
      <c r="B73" s="6">
        <v>45116</v>
      </c>
      <c r="C73" s="7">
        <v>0.7</v>
      </c>
      <c r="D73" s="5">
        <v>10.39</v>
      </c>
      <c r="E73" s="5">
        <v>72.099999999999994</v>
      </c>
      <c r="F73" s="5">
        <v>82.5</v>
      </c>
      <c r="G73" s="6">
        <v>45116</v>
      </c>
      <c r="H73" s="5"/>
      <c r="I73" s="5"/>
      <c r="J73" s="5">
        <f t="shared" si="7"/>
        <v>10.400000000000006</v>
      </c>
      <c r="K73" s="8" t="b">
        <f t="shared" si="8"/>
        <v>1</v>
      </c>
    </row>
    <row r="74" spans="1:11">
      <c r="A74" s="5" t="s">
        <v>247</v>
      </c>
      <c r="B74" s="6">
        <v>45117</v>
      </c>
      <c r="C74" s="7">
        <v>1</v>
      </c>
      <c r="D74" s="5">
        <v>6.18</v>
      </c>
      <c r="E74" s="5">
        <v>82.5</v>
      </c>
      <c r="F74" s="5">
        <v>96.8</v>
      </c>
      <c r="G74" s="6">
        <v>45117</v>
      </c>
      <c r="H74" s="5"/>
      <c r="I74" s="5"/>
      <c r="J74" s="5">
        <f t="shared" si="7"/>
        <v>14.299999999999997</v>
      </c>
      <c r="K74" s="8" t="b">
        <f t="shared" si="8"/>
        <v>1</v>
      </c>
    </row>
    <row r="75" spans="1:11">
      <c r="A75" s="5" t="s">
        <v>247</v>
      </c>
      <c r="B75" s="6">
        <v>45118</v>
      </c>
      <c r="C75" s="7">
        <v>1</v>
      </c>
      <c r="D75" s="5">
        <v>6.18</v>
      </c>
      <c r="E75" s="5">
        <v>96.8</v>
      </c>
      <c r="F75" s="5">
        <v>111.2</v>
      </c>
      <c r="G75" s="6">
        <v>45118</v>
      </c>
      <c r="H75" s="5"/>
      <c r="I75" s="5"/>
      <c r="J75" s="5">
        <f t="shared" si="7"/>
        <v>14.400000000000006</v>
      </c>
      <c r="K75" s="8" t="b">
        <f t="shared" si="8"/>
        <v>1</v>
      </c>
    </row>
    <row r="76" spans="1:11">
      <c r="A76" s="5" t="s">
        <v>247</v>
      </c>
      <c r="B76" s="6">
        <v>45119</v>
      </c>
      <c r="C76" s="7">
        <v>1</v>
      </c>
      <c r="D76" s="5">
        <v>6.18</v>
      </c>
      <c r="E76" s="5">
        <v>111.2</v>
      </c>
      <c r="F76" s="5">
        <v>125.6</v>
      </c>
      <c r="G76" s="6">
        <v>45119</v>
      </c>
      <c r="H76" s="5"/>
      <c r="I76" s="5"/>
      <c r="J76" s="5">
        <f t="shared" si="7"/>
        <v>14.399999999999991</v>
      </c>
      <c r="K76" s="8" t="b">
        <f t="shared" si="8"/>
        <v>1</v>
      </c>
    </row>
    <row r="77" spans="1:11">
      <c r="A77" s="5" t="s">
        <v>247</v>
      </c>
      <c r="B77" s="6">
        <v>45120</v>
      </c>
      <c r="C77" s="7">
        <v>1</v>
      </c>
      <c r="D77" s="5">
        <v>6.18</v>
      </c>
      <c r="E77" s="5">
        <v>125.6</v>
      </c>
      <c r="F77" s="5">
        <v>140.1</v>
      </c>
      <c r="G77" s="6">
        <v>45120</v>
      </c>
      <c r="H77" s="5"/>
      <c r="I77" s="5"/>
      <c r="J77" s="5">
        <f t="shared" si="7"/>
        <v>14.5</v>
      </c>
      <c r="K77" s="8" t="b">
        <f t="shared" si="8"/>
        <v>1</v>
      </c>
    </row>
    <row r="78" spans="1:11">
      <c r="A78" s="5" t="s">
        <v>250</v>
      </c>
      <c r="B78" s="6">
        <v>45122</v>
      </c>
      <c r="C78" s="7">
        <v>1</v>
      </c>
      <c r="D78" s="5">
        <v>6.18</v>
      </c>
      <c r="E78" s="5">
        <v>140.1</v>
      </c>
      <c r="F78" s="5">
        <v>147.30000000000001</v>
      </c>
      <c r="G78" s="6">
        <v>45122</v>
      </c>
      <c r="H78" s="5"/>
      <c r="I78" s="5"/>
      <c r="J78" s="5">
        <f t="shared" si="7"/>
        <v>7.2000000000000171</v>
      </c>
      <c r="K78" s="8" t="b">
        <f t="shared" si="8"/>
        <v>1</v>
      </c>
    </row>
    <row r="79" spans="1:11">
      <c r="A79" s="5" t="s">
        <v>247</v>
      </c>
      <c r="B79" s="6">
        <v>45123</v>
      </c>
      <c r="C79" s="7">
        <v>1</v>
      </c>
      <c r="D79" s="5">
        <v>6.18</v>
      </c>
      <c r="E79" s="5">
        <v>147.30000000000001</v>
      </c>
      <c r="F79" s="5">
        <v>161.80000000000001</v>
      </c>
      <c r="G79" s="6">
        <v>45123</v>
      </c>
      <c r="H79" s="5"/>
      <c r="I79" s="5"/>
      <c r="J79" s="5">
        <f t="shared" ref="J79:J84" si="9">F79-E79</f>
        <v>14.5</v>
      </c>
      <c r="K79" s="8" t="b">
        <f t="shared" ref="K79:K84" si="10">E79=F78</f>
        <v>1</v>
      </c>
    </row>
    <row r="80" spans="1:11">
      <c r="A80" s="5" t="s">
        <v>247</v>
      </c>
      <c r="B80" s="6">
        <v>45124</v>
      </c>
      <c r="C80" s="7">
        <v>1</v>
      </c>
      <c r="D80" s="5">
        <v>6.18</v>
      </c>
      <c r="E80" s="5">
        <v>161.80000000000001</v>
      </c>
      <c r="F80" s="5">
        <v>176.4</v>
      </c>
      <c r="G80" s="6">
        <v>45124</v>
      </c>
      <c r="H80" s="5"/>
      <c r="I80" s="5"/>
      <c r="J80" s="5">
        <f t="shared" si="9"/>
        <v>14.599999999999994</v>
      </c>
      <c r="K80" s="8" t="b">
        <f t="shared" si="10"/>
        <v>1</v>
      </c>
    </row>
    <row r="81" spans="1:11">
      <c r="A81" s="5" t="s">
        <v>247</v>
      </c>
      <c r="B81" s="6">
        <v>45125</v>
      </c>
      <c r="C81" s="7">
        <v>1</v>
      </c>
      <c r="D81" s="5">
        <v>6.18</v>
      </c>
      <c r="E81" s="5">
        <v>176.4</v>
      </c>
      <c r="F81" s="5">
        <v>190.9</v>
      </c>
      <c r="G81" s="6">
        <v>45125</v>
      </c>
      <c r="H81" s="5"/>
      <c r="I81" s="5"/>
      <c r="J81" s="5">
        <f t="shared" si="9"/>
        <v>14.5</v>
      </c>
      <c r="K81" s="8" t="b">
        <f t="shared" si="10"/>
        <v>1</v>
      </c>
    </row>
    <row r="82" spans="1:11">
      <c r="A82" s="5" t="s">
        <v>247</v>
      </c>
      <c r="B82" s="6">
        <v>45126</v>
      </c>
      <c r="C82" s="7">
        <v>1</v>
      </c>
      <c r="D82" s="5">
        <v>6.18</v>
      </c>
      <c r="E82" s="5">
        <v>190.9</v>
      </c>
      <c r="F82" s="5">
        <v>205.5</v>
      </c>
      <c r="G82" s="6">
        <v>45126</v>
      </c>
      <c r="H82" s="5"/>
      <c r="I82" s="5"/>
      <c r="J82" s="5">
        <f t="shared" si="9"/>
        <v>14.599999999999994</v>
      </c>
      <c r="K82" s="8" t="b">
        <f t="shared" si="10"/>
        <v>1</v>
      </c>
    </row>
    <row r="83" spans="1:11">
      <c r="A83" s="5" t="s">
        <v>247</v>
      </c>
      <c r="B83" s="6">
        <v>45128</v>
      </c>
      <c r="C83" s="7">
        <v>1</v>
      </c>
      <c r="D83" s="5">
        <v>6.18</v>
      </c>
      <c r="E83" s="5">
        <v>205.5</v>
      </c>
      <c r="F83" s="5">
        <v>234.8</v>
      </c>
      <c r="G83" s="6">
        <v>45128</v>
      </c>
      <c r="H83" s="5"/>
      <c r="I83" s="5"/>
      <c r="J83" s="5">
        <f t="shared" si="9"/>
        <v>29.300000000000011</v>
      </c>
      <c r="K83" s="8" t="b">
        <f t="shared" si="10"/>
        <v>1</v>
      </c>
    </row>
    <row r="84" spans="1:11">
      <c r="A84" s="5" t="s">
        <v>250</v>
      </c>
      <c r="B84" s="6">
        <v>45129</v>
      </c>
      <c r="C84" s="7">
        <v>0.7</v>
      </c>
      <c r="D84" s="5">
        <v>10.39</v>
      </c>
      <c r="E84" s="5">
        <v>234.8</v>
      </c>
      <c r="F84" s="5">
        <v>247.5</v>
      </c>
      <c r="G84" s="6">
        <v>45129</v>
      </c>
      <c r="H84" s="5"/>
      <c r="I84" s="5"/>
      <c r="J84" s="5">
        <f t="shared" si="9"/>
        <v>12.699999999999989</v>
      </c>
      <c r="K84" s="8" t="b">
        <f t="shared" si="10"/>
        <v>1</v>
      </c>
    </row>
    <row r="85" spans="1:11">
      <c r="A85" s="5" t="s">
        <v>247</v>
      </c>
      <c r="B85" s="6">
        <v>45130</v>
      </c>
      <c r="C85" s="7">
        <v>1</v>
      </c>
      <c r="D85" s="5">
        <v>6.18</v>
      </c>
      <c r="E85" s="5">
        <v>247.5</v>
      </c>
      <c r="F85" s="5">
        <v>262.10000000000002</v>
      </c>
      <c r="G85" s="6">
        <v>45130</v>
      </c>
      <c r="H85" s="5"/>
      <c r="I85" s="5"/>
      <c r="J85" s="5">
        <f t="shared" ref="J85:J95" si="11">F85-E85</f>
        <v>14.600000000000023</v>
      </c>
      <c r="K85" s="8" t="b">
        <f t="shared" ref="K85:K95" si="12">E85=F84</f>
        <v>1</v>
      </c>
    </row>
    <row r="86" spans="1:11">
      <c r="A86" s="5" t="s">
        <v>247</v>
      </c>
      <c r="B86" s="6">
        <v>45131</v>
      </c>
      <c r="C86" s="7">
        <v>1</v>
      </c>
      <c r="D86" s="5">
        <v>6.18</v>
      </c>
      <c r="E86" s="5">
        <v>262.10000000000002</v>
      </c>
      <c r="F86" s="5">
        <v>276.8</v>
      </c>
      <c r="G86" s="6">
        <v>45131</v>
      </c>
      <c r="H86" s="5"/>
      <c r="I86" s="5"/>
      <c r="J86" s="5">
        <f t="shared" si="11"/>
        <v>14.699999999999989</v>
      </c>
      <c r="K86" s="8" t="b">
        <f t="shared" si="12"/>
        <v>1</v>
      </c>
    </row>
    <row r="87" spans="1:11">
      <c r="A87" s="5" t="s">
        <v>247</v>
      </c>
      <c r="B87" s="6">
        <v>45132</v>
      </c>
      <c r="C87" s="7">
        <v>1</v>
      </c>
      <c r="D87" s="5">
        <v>6.18</v>
      </c>
      <c r="E87" s="5">
        <v>276.8</v>
      </c>
      <c r="F87" s="5">
        <v>291.3</v>
      </c>
      <c r="G87" s="6">
        <v>45132</v>
      </c>
      <c r="H87" s="5"/>
      <c r="I87" s="5"/>
      <c r="J87" s="5">
        <f t="shared" si="11"/>
        <v>14.5</v>
      </c>
      <c r="K87" s="8" t="b">
        <f t="shared" si="12"/>
        <v>1</v>
      </c>
    </row>
    <row r="88" spans="1:11">
      <c r="A88" s="5" t="s">
        <v>247</v>
      </c>
      <c r="B88" s="6">
        <v>45133</v>
      </c>
      <c r="C88" s="7">
        <v>1</v>
      </c>
      <c r="D88" s="5">
        <v>6.18</v>
      </c>
      <c r="E88" s="5">
        <v>291.3</v>
      </c>
      <c r="F88" s="5">
        <v>306</v>
      </c>
      <c r="G88" s="6">
        <v>45133</v>
      </c>
      <c r="H88" s="5"/>
      <c r="I88" s="5"/>
      <c r="J88" s="5">
        <f t="shared" si="11"/>
        <v>14.699999999999989</v>
      </c>
      <c r="K88" s="8" t="b">
        <f t="shared" si="12"/>
        <v>1</v>
      </c>
    </row>
    <row r="89" spans="1:11">
      <c r="A89" s="5" t="s">
        <v>247</v>
      </c>
      <c r="B89" s="6">
        <v>45135</v>
      </c>
      <c r="C89" s="7">
        <v>1</v>
      </c>
      <c r="D89" s="5">
        <v>6.18</v>
      </c>
      <c r="E89" s="5">
        <v>306</v>
      </c>
      <c r="F89" s="5">
        <v>321.8</v>
      </c>
      <c r="G89" s="6">
        <v>45135</v>
      </c>
      <c r="H89" s="5"/>
      <c r="I89" s="5"/>
      <c r="J89" s="5">
        <f t="shared" si="11"/>
        <v>15.800000000000011</v>
      </c>
      <c r="K89" s="8" t="b">
        <f t="shared" si="12"/>
        <v>1</v>
      </c>
    </row>
    <row r="90" spans="1:11">
      <c r="A90" s="5" t="s">
        <v>247</v>
      </c>
      <c r="B90" s="6">
        <v>45137</v>
      </c>
      <c r="C90" s="7">
        <v>1</v>
      </c>
      <c r="D90" s="5">
        <v>6.18</v>
      </c>
      <c r="E90" s="5">
        <v>321.8</v>
      </c>
      <c r="F90" s="5">
        <v>336.8</v>
      </c>
      <c r="G90" s="6">
        <v>45137</v>
      </c>
      <c r="H90" s="5"/>
      <c r="I90" s="5"/>
      <c r="J90" s="5">
        <f t="shared" si="11"/>
        <v>15</v>
      </c>
      <c r="K90" s="8" t="b">
        <f t="shared" si="12"/>
        <v>1</v>
      </c>
    </row>
    <row r="91" spans="1:11">
      <c r="A91" s="5" t="s">
        <v>247</v>
      </c>
      <c r="B91" s="6">
        <v>45138</v>
      </c>
      <c r="C91" s="7">
        <v>1</v>
      </c>
      <c r="D91" s="5">
        <v>6.18</v>
      </c>
      <c r="E91" s="5">
        <v>336.8</v>
      </c>
      <c r="F91" s="5">
        <v>350.4</v>
      </c>
      <c r="G91" s="6">
        <v>45138</v>
      </c>
      <c r="H91" s="5"/>
      <c r="I91" s="5"/>
      <c r="J91" s="5">
        <f t="shared" si="11"/>
        <v>13.599999999999966</v>
      </c>
      <c r="K91" s="8" t="b">
        <f t="shared" si="12"/>
        <v>1</v>
      </c>
    </row>
    <row r="92" spans="1:11">
      <c r="A92" s="5" t="s">
        <v>247</v>
      </c>
      <c r="B92" s="6">
        <v>45140</v>
      </c>
      <c r="C92" s="7">
        <v>1</v>
      </c>
      <c r="D92" s="5">
        <v>6.18</v>
      </c>
      <c r="E92" s="5">
        <v>350.4</v>
      </c>
      <c r="F92" s="5">
        <v>366.5</v>
      </c>
      <c r="G92" s="6">
        <v>45140</v>
      </c>
      <c r="H92" s="5"/>
      <c r="I92" s="5"/>
      <c r="J92" s="5">
        <f t="shared" si="11"/>
        <v>16.100000000000023</v>
      </c>
      <c r="K92" s="8" t="b">
        <f t="shared" si="12"/>
        <v>1</v>
      </c>
    </row>
    <row r="93" spans="1:11">
      <c r="A93" s="5" t="s">
        <v>247</v>
      </c>
      <c r="B93" s="6">
        <v>45143</v>
      </c>
      <c r="C93" s="7">
        <v>1</v>
      </c>
      <c r="D93" s="5">
        <v>6.18</v>
      </c>
      <c r="E93" s="5">
        <v>366.5</v>
      </c>
      <c r="F93" s="5">
        <v>381</v>
      </c>
      <c r="G93" s="6">
        <v>45143</v>
      </c>
      <c r="H93" s="5"/>
      <c r="I93" s="5"/>
      <c r="J93" s="5">
        <f t="shared" si="11"/>
        <v>14.5</v>
      </c>
      <c r="K93" s="8" t="b">
        <f t="shared" si="12"/>
        <v>1</v>
      </c>
    </row>
    <row r="94" spans="1:11">
      <c r="A94" s="85" t="s">
        <v>247</v>
      </c>
      <c r="B94" s="86">
        <v>45145</v>
      </c>
      <c r="C94" s="87">
        <v>1</v>
      </c>
      <c r="D94" s="85">
        <v>6.18</v>
      </c>
      <c r="E94" s="85">
        <v>381</v>
      </c>
      <c r="F94" s="85">
        <v>396</v>
      </c>
      <c r="G94" s="86">
        <v>45145</v>
      </c>
      <c r="H94" s="85"/>
      <c r="I94" s="85"/>
      <c r="J94" s="85">
        <f t="shared" si="11"/>
        <v>15</v>
      </c>
      <c r="K94" s="8" t="b">
        <f t="shared" si="12"/>
        <v>1</v>
      </c>
    </row>
    <row r="95" spans="1:11">
      <c r="A95" s="5" t="s">
        <v>247</v>
      </c>
      <c r="B95" s="6">
        <v>45146</v>
      </c>
      <c r="C95" s="7">
        <v>1</v>
      </c>
      <c r="D95" s="5">
        <v>6.18</v>
      </c>
      <c r="E95" s="5">
        <v>396</v>
      </c>
      <c r="F95" s="5">
        <v>411.7</v>
      </c>
      <c r="G95" s="6">
        <v>45146</v>
      </c>
      <c r="H95" s="5"/>
      <c r="I95" s="5"/>
      <c r="J95" s="5">
        <f t="shared" si="11"/>
        <v>15.699999999999989</v>
      </c>
      <c r="K95" s="8" t="b">
        <f t="shared" si="12"/>
        <v>1</v>
      </c>
    </row>
    <row r="96" spans="1:11">
      <c r="A96" s="80" t="s">
        <v>247</v>
      </c>
      <c r="B96" s="81">
        <v>45147</v>
      </c>
      <c r="C96" s="82">
        <v>1</v>
      </c>
      <c r="D96" s="80">
        <v>6.18</v>
      </c>
      <c r="E96" s="80">
        <v>411.7</v>
      </c>
      <c r="F96" s="80">
        <v>425.6</v>
      </c>
      <c r="G96" s="81">
        <v>45147</v>
      </c>
      <c r="H96" s="80"/>
      <c r="I96" s="80"/>
      <c r="J96" s="80">
        <f t="shared" ref="J96:J103" si="13">F96-E96</f>
        <v>13.900000000000034</v>
      </c>
      <c r="K96" s="8" t="b">
        <f t="shared" ref="K96:K103" si="14">E96=F95</f>
        <v>1</v>
      </c>
    </row>
    <row r="97" spans="1:11">
      <c r="A97" s="5" t="s">
        <v>247</v>
      </c>
      <c r="B97" s="6">
        <v>45148</v>
      </c>
      <c r="C97" s="7">
        <v>0.9</v>
      </c>
      <c r="D97" s="5">
        <v>8.08</v>
      </c>
      <c r="E97" s="5">
        <v>425.6</v>
      </c>
      <c r="F97" s="5">
        <v>442.8</v>
      </c>
      <c r="G97" s="6">
        <v>45148</v>
      </c>
      <c r="H97" s="5"/>
      <c r="I97" s="5"/>
      <c r="J97" s="5">
        <f t="shared" si="13"/>
        <v>17.199999999999989</v>
      </c>
      <c r="K97" s="8" t="b">
        <f t="shared" si="14"/>
        <v>1</v>
      </c>
    </row>
    <row r="98" spans="1:11">
      <c r="A98" s="5" t="s">
        <v>247</v>
      </c>
      <c r="B98" s="6">
        <v>45150</v>
      </c>
      <c r="C98" s="7">
        <v>0.9</v>
      </c>
      <c r="D98" s="5">
        <v>8.08</v>
      </c>
      <c r="E98" s="5">
        <v>442.8</v>
      </c>
      <c r="F98" s="5">
        <v>458.6</v>
      </c>
      <c r="G98" s="6">
        <v>45150</v>
      </c>
      <c r="H98" s="5"/>
      <c r="I98" s="5"/>
      <c r="J98" s="5">
        <f t="shared" si="13"/>
        <v>15.800000000000011</v>
      </c>
      <c r="K98" s="8" t="b">
        <f t="shared" si="14"/>
        <v>1</v>
      </c>
    </row>
    <row r="99" spans="1:11">
      <c r="A99" s="5" t="s">
        <v>247</v>
      </c>
      <c r="B99" s="6">
        <v>45152</v>
      </c>
      <c r="C99" s="7">
        <v>0.9</v>
      </c>
      <c r="D99" s="5">
        <v>8.08</v>
      </c>
      <c r="E99" s="5">
        <v>458.6</v>
      </c>
      <c r="F99" s="5">
        <v>474.8</v>
      </c>
      <c r="G99" s="6">
        <v>45151</v>
      </c>
      <c r="H99" s="5"/>
      <c r="I99" s="5"/>
      <c r="J99" s="5">
        <f t="shared" si="13"/>
        <v>16.199999999999989</v>
      </c>
      <c r="K99" s="8" t="b">
        <f t="shared" si="14"/>
        <v>1</v>
      </c>
    </row>
    <row r="100" spans="1:11">
      <c r="A100" s="5" t="s">
        <v>247</v>
      </c>
      <c r="B100" s="6">
        <v>45153</v>
      </c>
      <c r="C100" s="7">
        <v>1</v>
      </c>
      <c r="D100" s="5">
        <v>6.18</v>
      </c>
      <c r="E100" s="5">
        <v>474.8</v>
      </c>
      <c r="F100" s="5">
        <v>489.7</v>
      </c>
      <c r="G100" s="6">
        <v>45153</v>
      </c>
      <c r="H100" s="5"/>
      <c r="I100" s="5"/>
      <c r="J100" s="5">
        <f t="shared" si="13"/>
        <v>14.899999999999977</v>
      </c>
      <c r="K100" s="8" t="b">
        <f t="shared" si="14"/>
        <v>1</v>
      </c>
    </row>
    <row r="101" spans="1:11">
      <c r="A101" s="5" t="s">
        <v>247</v>
      </c>
      <c r="B101" s="6">
        <v>45155</v>
      </c>
      <c r="C101" s="7">
        <v>0.9</v>
      </c>
      <c r="D101" s="5">
        <v>8.08</v>
      </c>
      <c r="E101" s="5">
        <v>489.7</v>
      </c>
      <c r="F101" s="5">
        <v>506</v>
      </c>
      <c r="G101" s="6">
        <v>45155</v>
      </c>
      <c r="H101" s="5"/>
      <c r="I101" s="5"/>
      <c r="J101" s="5">
        <f t="shared" si="13"/>
        <v>16.300000000000011</v>
      </c>
      <c r="K101" s="8" t="b">
        <f t="shared" si="14"/>
        <v>1</v>
      </c>
    </row>
    <row r="102" spans="1:11">
      <c r="A102" s="80" t="s">
        <v>247</v>
      </c>
      <c r="B102" s="81">
        <v>45156</v>
      </c>
      <c r="C102" s="88">
        <v>1</v>
      </c>
      <c r="D102" s="80">
        <v>6.18</v>
      </c>
      <c r="E102" s="80">
        <v>506</v>
      </c>
      <c r="F102" s="80">
        <v>521</v>
      </c>
      <c r="G102" s="81">
        <v>45156</v>
      </c>
      <c r="H102" s="80"/>
      <c r="I102" s="80"/>
      <c r="J102" s="80">
        <f t="shared" si="13"/>
        <v>15</v>
      </c>
      <c r="K102" s="8" t="b">
        <f t="shared" si="14"/>
        <v>1</v>
      </c>
    </row>
    <row r="103" spans="1:11">
      <c r="A103" s="5" t="s">
        <v>247</v>
      </c>
      <c r="B103" s="6">
        <v>45157</v>
      </c>
      <c r="C103" s="7">
        <v>0.75</v>
      </c>
      <c r="D103" s="5">
        <v>9.69</v>
      </c>
      <c r="E103" s="5">
        <v>521</v>
      </c>
      <c r="F103" s="5">
        <v>540.29999999999995</v>
      </c>
      <c r="G103" s="6">
        <v>45157</v>
      </c>
      <c r="H103" s="5"/>
      <c r="I103" s="5"/>
      <c r="J103" s="5">
        <f t="shared" si="13"/>
        <v>19.299999999999955</v>
      </c>
      <c r="K103" s="8" t="b">
        <f t="shared" si="14"/>
        <v>1</v>
      </c>
    </row>
    <row r="104" spans="1:11">
      <c r="A104" s="5" t="s">
        <v>247</v>
      </c>
      <c r="B104" s="6">
        <v>45159</v>
      </c>
      <c r="C104" s="7">
        <v>0.75</v>
      </c>
      <c r="D104" s="5">
        <v>9.69</v>
      </c>
      <c r="E104" s="5">
        <v>540.29999999999995</v>
      </c>
      <c r="F104" s="5">
        <v>559.6</v>
      </c>
      <c r="G104" s="6">
        <v>45159</v>
      </c>
      <c r="H104" s="5"/>
      <c r="I104" s="5"/>
      <c r="J104" s="5">
        <f t="shared" ref="J104:J110" si="15">F104-E104</f>
        <v>19.300000000000068</v>
      </c>
      <c r="K104" s="8" t="b">
        <f t="shared" ref="K104:K110" si="16">E104=F103</f>
        <v>1</v>
      </c>
    </row>
    <row r="105" spans="1:11">
      <c r="A105" s="5" t="s">
        <v>247</v>
      </c>
      <c r="B105" s="6">
        <v>45161</v>
      </c>
      <c r="C105" s="7">
        <v>0.75</v>
      </c>
      <c r="D105" s="5">
        <v>9.69</v>
      </c>
      <c r="E105" s="5">
        <v>559.6</v>
      </c>
      <c r="F105" s="5">
        <v>579</v>
      </c>
      <c r="G105" s="6">
        <v>45161</v>
      </c>
      <c r="H105" s="5"/>
      <c r="I105" s="5"/>
      <c r="J105" s="5">
        <f t="shared" si="15"/>
        <v>19.399999999999977</v>
      </c>
      <c r="K105" s="8" t="b">
        <f t="shared" si="16"/>
        <v>1</v>
      </c>
    </row>
    <row r="106" spans="1:11">
      <c r="A106" s="5" t="s">
        <v>250</v>
      </c>
      <c r="B106" s="6">
        <v>45162</v>
      </c>
      <c r="C106" s="7">
        <v>0.7</v>
      </c>
      <c r="D106" s="5">
        <v>10.39</v>
      </c>
      <c r="E106" s="5">
        <v>579</v>
      </c>
      <c r="F106" s="5">
        <v>589.9</v>
      </c>
      <c r="G106" s="6">
        <v>45162</v>
      </c>
      <c r="H106" s="5"/>
      <c r="I106" s="5"/>
      <c r="J106" s="5">
        <f t="shared" si="15"/>
        <v>10.899999999999977</v>
      </c>
      <c r="K106" s="8" t="b">
        <f t="shared" si="16"/>
        <v>1</v>
      </c>
    </row>
    <row r="107" spans="1:11">
      <c r="A107" s="5" t="s">
        <v>249</v>
      </c>
      <c r="B107" s="6">
        <v>45163</v>
      </c>
      <c r="C107" s="7">
        <v>0.7</v>
      </c>
      <c r="D107" s="5">
        <v>10.39</v>
      </c>
      <c r="E107" s="5">
        <v>589.9</v>
      </c>
      <c r="F107" s="5">
        <v>599.79999999999995</v>
      </c>
      <c r="G107" s="6">
        <v>45163</v>
      </c>
      <c r="H107" s="5"/>
      <c r="I107" s="5"/>
      <c r="J107" s="5">
        <f t="shared" si="15"/>
        <v>9.8999999999999773</v>
      </c>
      <c r="K107" s="8" t="b">
        <f t="shared" si="16"/>
        <v>1</v>
      </c>
    </row>
    <row r="108" spans="1:11">
      <c r="A108" s="5" t="s">
        <v>250</v>
      </c>
      <c r="B108" s="6">
        <v>45164</v>
      </c>
      <c r="C108" s="7">
        <v>0.7</v>
      </c>
      <c r="D108" s="5">
        <v>10.39</v>
      </c>
      <c r="E108" s="5">
        <v>599.79999999999995</v>
      </c>
      <c r="F108" s="5">
        <v>610.1</v>
      </c>
      <c r="G108" s="6">
        <v>45164</v>
      </c>
      <c r="H108" s="5"/>
      <c r="I108" s="5"/>
      <c r="J108" s="5">
        <f t="shared" si="15"/>
        <v>10.300000000000068</v>
      </c>
      <c r="K108" s="8" t="b">
        <f t="shared" si="16"/>
        <v>1</v>
      </c>
    </row>
    <row r="109" spans="1:11">
      <c r="A109" s="5" t="s">
        <v>249</v>
      </c>
      <c r="B109" s="6">
        <v>45165</v>
      </c>
      <c r="C109" s="7">
        <v>0.7</v>
      </c>
      <c r="D109" s="5">
        <v>10.39</v>
      </c>
      <c r="E109" s="5">
        <v>610.1</v>
      </c>
      <c r="F109" s="5">
        <v>620.6</v>
      </c>
      <c r="G109" s="6">
        <v>45165</v>
      </c>
      <c r="H109" s="5"/>
      <c r="I109" s="5"/>
      <c r="J109" s="5">
        <f t="shared" si="15"/>
        <v>10.5</v>
      </c>
      <c r="K109" s="8" t="b">
        <f t="shared" si="16"/>
        <v>1</v>
      </c>
    </row>
    <row r="110" spans="1:11">
      <c r="A110" s="5" t="s">
        <v>250</v>
      </c>
      <c r="B110" s="6">
        <v>45166</v>
      </c>
      <c r="C110" s="7">
        <v>0.7</v>
      </c>
      <c r="D110" s="5">
        <v>10.39</v>
      </c>
      <c r="E110" s="5">
        <v>620.6</v>
      </c>
      <c r="F110" s="5">
        <v>630.9</v>
      </c>
      <c r="G110" s="6">
        <v>45166</v>
      </c>
      <c r="H110" s="5"/>
      <c r="I110" s="5"/>
      <c r="J110" s="5">
        <f t="shared" si="15"/>
        <v>10.299999999999955</v>
      </c>
      <c r="K110" s="8" t="b">
        <f t="shared" si="16"/>
        <v>1</v>
      </c>
    </row>
    <row r="111" spans="1:11">
      <c r="A111" s="5" t="s">
        <v>247</v>
      </c>
      <c r="B111" s="6">
        <v>45169</v>
      </c>
      <c r="C111" s="7">
        <v>0.9</v>
      </c>
      <c r="D111" s="5">
        <v>8.08</v>
      </c>
      <c r="E111" s="5">
        <v>630.9</v>
      </c>
      <c r="F111" s="5">
        <v>646.9</v>
      </c>
      <c r="G111" s="6">
        <v>45169</v>
      </c>
      <c r="H111" s="5"/>
      <c r="I111" s="5"/>
      <c r="J111" s="5">
        <f t="shared" ref="J111:J121" si="17">F111-E111</f>
        <v>16</v>
      </c>
      <c r="K111" s="8" t="b">
        <f t="shared" ref="K111:K121" si="18">E111=F110</f>
        <v>1</v>
      </c>
    </row>
    <row r="112" spans="1:11">
      <c r="A112" s="5" t="s">
        <v>247</v>
      </c>
      <c r="B112" s="6">
        <v>45172</v>
      </c>
      <c r="C112" s="7">
        <v>0.9</v>
      </c>
      <c r="D112" s="5">
        <v>8.08</v>
      </c>
      <c r="E112" s="5">
        <v>646.9</v>
      </c>
      <c r="F112" s="5">
        <v>663.1</v>
      </c>
      <c r="G112" s="6">
        <v>45172</v>
      </c>
      <c r="H112" s="5"/>
      <c r="I112" s="5"/>
      <c r="J112" s="5">
        <f t="shared" si="17"/>
        <v>16.200000000000045</v>
      </c>
      <c r="K112" s="8" t="b">
        <f t="shared" si="18"/>
        <v>1</v>
      </c>
    </row>
    <row r="113" spans="1:11">
      <c r="A113" s="5" t="s">
        <v>247</v>
      </c>
      <c r="B113" s="6">
        <v>45175</v>
      </c>
      <c r="C113" s="7">
        <v>0.75</v>
      </c>
      <c r="D113" s="5">
        <v>9.69</v>
      </c>
      <c r="E113" s="5">
        <v>663.1</v>
      </c>
      <c r="F113" s="5">
        <v>682.4</v>
      </c>
      <c r="G113" s="6">
        <v>45175</v>
      </c>
      <c r="H113" s="5"/>
      <c r="I113" s="5"/>
      <c r="J113" s="5">
        <f t="shared" si="17"/>
        <v>19.299999999999955</v>
      </c>
      <c r="K113" s="8" t="b">
        <f t="shared" si="18"/>
        <v>1</v>
      </c>
    </row>
    <row r="114" spans="1:11">
      <c r="A114" s="5" t="s">
        <v>247</v>
      </c>
      <c r="B114" s="6">
        <v>45178</v>
      </c>
      <c r="C114" s="7">
        <v>0.65</v>
      </c>
      <c r="D114" s="5">
        <v>11.18</v>
      </c>
      <c r="E114" s="5">
        <v>682.4</v>
      </c>
      <c r="F114" s="5">
        <v>704.7</v>
      </c>
      <c r="G114" s="6">
        <v>45178</v>
      </c>
      <c r="H114" s="5"/>
      <c r="I114" s="5"/>
      <c r="J114" s="5">
        <f t="shared" si="17"/>
        <v>22.300000000000068</v>
      </c>
      <c r="K114" s="8" t="b">
        <f t="shared" si="18"/>
        <v>1</v>
      </c>
    </row>
    <row r="115" spans="1:11">
      <c r="A115" s="5" t="s">
        <v>249</v>
      </c>
      <c r="B115" s="6">
        <v>45179</v>
      </c>
      <c r="C115" s="7">
        <v>0.55000000000000004</v>
      </c>
      <c r="D115" s="5">
        <v>7.27</v>
      </c>
      <c r="E115" s="5">
        <v>704.7</v>
      </c>
      <c r="F115" s="5">
        <v>712</v>
      </c>
      <c r="G115" s="6">
        <v>45179</v>
      </c>
      <c r="H115" s="5"/>
      <c r="I115" s="5"/>
      <c r="J115" s="5">
        <f t="shared" si="17"/>
        <v>7.2999999999999545</v>
      </c>
      <c r="K115" s="8" t="b">
        <f t="shared" si="18"/>
        <v>1</v>
      </c>
    </row>
    <row r="116" spans="1:11">
      <c r="A116" s="5" t="s">
        <v>250</v>
      </c>
      <c r="B116" s="6">
        <v>45180</v>
      </c>
      <c r="C116" s="7">
        <v>0.55000000000000004</v>
      </c>
      <c r="D116" s="5">
        <v>7.27</v>
      </c>
      <c r="E116" s="5">
        <v>712</v>
      </c>
      <c r="F116" s="5">
        <v>725.3</v>
      </c>
      <c r="G116" s="6">
        <v>45180</v>
      </c>
      <c r="H116" s="5"/>
      <c r="I116" s="5"/>
      <c r="J116" s="5">
        <f t="shared" si="17"/>
        <v>13.299999999999955</v>
      </c>
      <c r="K116" s="8" t="b">
        <f t="shared" si="18"/>
        <v>1</v>
      </c>
    </row>
    <row r="117" spans="1:11">
      <c r="A117" s="5" t="s">
        <v>249</v>
      </c>
      <c r="B117" s="6">
        <v>45181</v>
      </c>
      <c r="C117" s="7">
        <v>0.5</v>
      </c>
      <c r="D117" s="5">
        <v>14.54</v>
      </c>
      <c r="E117" s="5">
        <v>725.3</v>
      </c>
      <c r="F117" s="5">
        <v>738.3</v>
      </c>
      <c r="G117" s="6">
        <v>45181</v>
      </c>
      <c r="H117" s="5"/>
      <c r="I117" s="5"/>
      <c r="J117" s="5">
        <f t="shared" si="17"/>
        <v>13</v>
      </c>
      <c r="K117" s="8" t="b">
        <f t="shared" si="18"/>
        <v>1</v>
      </c>
    </row>
    <row r="118" spans="1:11">
      <c r="A118" s="5" t="s">
        <v>250</v>
      </c>
      <c r="B118" s="6">
        <v>45182</v>
      </c>
      <c r="C118" s="7">
        <v>0.55000000000000004</v>
      </c>
      <c r="D118" s="5">
        <v>13.22</v>
      </c>
      <c r="E118" s="5">
        <v>738.3</v>
      </c>
      <c r="F118" s="5">
        <v>751.5</v>
      </c>
      <c r="G118" s="6">
        <v>45182</v>
      </c>
      <c r="H118" s="5"/>
      <c r="I118" s="5"/>
      <c r="J118" s="5">
        <f t="shared" si="17"/>
        <v>13.200000000000045</v>
      </c>
      <c r="K118" s="8" t="b">
        <f t="shared" si="18"/>
        <v>1</v>
      </c>
    </row>
    <row r="119" spans="1:11">
      <c r="A119" s="5" t="s">
        <v>249</v>
      </c>
      <c r="B119" s="6">
        <v>45183</v>
      </c>
      <c r="C119" s="7">
        <v>0.5</v>
      </c>
      <c r="D119" s="5">
        <v>14.54</v>
      </c>
      <c r="E119" s="5">
        <v>751.5</v>
      </c>
      <c r="F119" s="5">
        <v>766.3</v>
      </c>
      <c r="G119" s="6">
        <v>45183</v>
      </c>
      <c r="H119" s="5"/>
      <c r="I119" s="5"/>
      <c r="J119" s="5">
        <f t="shared" si="17"/>
        <v>14.799999999999955</v>
      </c>
      <c r="K119" s="8" t="b">
        <f t="shared" si="18"/>
        <v>1</v>
      </c>
    </row>
    <row r="120" spans="1:11">
      <c r="A120" s="5" t="s">
        <v>250</v>
      </c>
      <c r="B120" s="6">
        <v>45184</v>
      </c>
      <c r="C120" s="7">
        <v>0.5</v>
      </c>
      <c r="D120" s="5">
        <v>14.54</v>
      </c>
      <c r="E120" s="5">
        <v>766.3</v>
      </c>
      <c r="F120" s="5">
        <v>781</v>
      </c>
      <c r="G120" s="6">
        <v>45184</v>
      </c>
      <c r="H120" s="5"/>
      <c r="I120" s="5"/>
      <c r="J120" s="5">
        <f t="shared" si="17"/>
        <v>14.700000000000045</v>
      </c>
      <c r="K120" s="8" t="b">
        <f t="shared" si="18"/>
        <v>1</v>
      </c>
    </row>
    <row r="121" spans="1:11">
      <c r="A121" s="5" t="s">
        <v>249</v>
      </c>
      <c r="B121" s="6">
        <v>45185</v>
      </c>
      <c r="C121" s="7">
        <v>0.5</v>
      </c>
      <c r="D121" s="5">
        <v>14.54</v>
      </c>
      <c r="E121" s="5">
        <v>781</v>
      </c>
      <c r="F121" s="5">
        <v>795.8</v>
      </c>
      <c r="G121" s="6">
        <v>45185</v>
      </c>
      <c r="H121" s="5"/>
      <c r="I121" s="5"/>
      <c r="J121" s="5">
        <f t="shared" si="17"/>
        <v>14.799999999999955</v>
      </c>
      <c r="K121" s="8" t="b">
        <f t="shared" si="18"/>
        <v>1</v>
      </c>
    </row>
    <row r="122" spans="1:11">
      <c r="A122" s="5" t="s">
        <v>250</v>
      </c>
      <c r="B122" s="6">
        <v>45186</v>
      </c>
      <c r="C122" s="7">
        <v>0.5</v>
      </c>
      <c r="D122" s="5">
        <v>14.54</v>
      </c>
      <c r="E122" s="5">
        <v>795.8</v>
      </c>
      <c r="F122" s="5">
        <v>810.1</v>
      </c>
      <c r="G122" s="6">
        <v>45186</v>
      </c>
      <c r="H122" s="5"/>
      <c r="I122" s="5"/>
      <c r="J122" s="5">
        <f t="shared" ref="J122:J162" si="19">F122-E122</f>
        <v>14.300000000000068</v>
      </c>
      <c r="K122" s="8" t="b">
        <f t="shared" ref="K122:K162" si="20">E122=F121</f>
        <v>1</v>
      </c>
    </row>
    <row r="123" spans="1:11">
      <c r="A123" s="5" t="s">
        <v>249</v>
      </c>
      <c r="B123" s="6">
        <v>45187</v>
      </c>
      <c r="C123" s="7">
        <v>0.5</v>
      </c>
      <c r="D123" s="5">
        <v>14.54</v>
      </c>
      <c r="E123" s="5">
        <v>810.1</v>
      </c>
      <c r="F123" s="5">
        <v>824.6</v>
      </c>
      <c r="G123" s="6">
        <v>45187</v>
      </c>
      <c r="H123" s="5"/>
      <c r="I123" s="5"/>
      <c r="J123" s="5">
        <f t="shared" si="19"/>
        <v>14.5</v>
      </c>
      <c r="K123" s="8" t="b">
        <f t="shared" si="20"/>
        <v>1</v>
      </c>
    </row>
    <row r="124" spans="1:11">
      <c r="A124" s="5" t="s">
        <v>250</v>
      </c>
      <c r="B124" s="6">
        <v>45188</v>
      </c>
      <c r="C124" s="7">
        <v>0.5</v>
      </c>
      <c r="D124" s="5">
        <v>14.54</v>
      </c>
      <c r="E124" s="5">
        <v>824.6</v>
      </c>
      <c r="F124" s="5">
        <v>839.3</v>
      </c>
      <c r="G124" s="6">
        <v>45188</v>
      </c>
      <c r="H124" s="5"/>
      <c r="I124" s="5"/>
      <c r="J124" s="5">
        <f t="shared" si="19"/>
        <v>14.699999999999932</v>
      </c>
      <c r="K124" s="8" t="b">
        <f t="shared" si="20"/>
        <v>1</v>
      </c>
    </row>
    <row r="125" spans="1:11">
      <c r="A125" s="5" t="s">
        <v>249</v>
      </c>
      <c r="B125" s="6">
        <v>45189</v>
      </c>
      <c r="C125" s="7">
        <v>0.5</v>
      </c>
      <c r="D125" s="5">
        <v>14.54</v>
      </c>
      <c r="E125" s="5">
        <v>839.3</v>
      </c>
      <c r="F125" s="5">
        <v>853.9</v>
      </c>
      <c r="G125" s="6">
        <v>45189</v>
      </c>
      <c r="H125" s="5"/>
      <c r="I125" s="5"/>
      <c r="J125" s="5">
        <f t="shared" si="19"/>
        <v>14.600000000000023</v>
      </c>
      <c r="K125" s="8" t="b">
        <f t="shared" si="20"/>
        <v>1</v>
      </c>
    </row>
    <row r="126" spans="1:11">
      <c r="A126" s="5" t="s">
        <v>250</v>
      </c>
      <c r="B126" s="6">
        <v>45190</v>
      </c>
      <c r="C126" s="7">
        <v>0.5</v>
      </c>
      <c r="D126" s="5">
        <v>14.54</v>
      </c>
      <c r="E126" s="5">
        <v>853.9</v>
      </c>
      <c r="F126" s="5">
        <v>868.4</v>
      </c>
      <c r="G126" s="6">
        <v>45190</v>
      </c>
      <c r="H126" s="5"/>
      <c r="I126" s="5"/>
      <c r="J126" s="5">
        <f t="shared" si="19"/>
        <v>14.5</v>
      </c>
      <c r="K126" s="8" t="b">
        <f t="shared" si="20"/>
        <v>1</v>
      </c>
    </row>
    <row r="127" spans="1:11">
      <c r="A127" s="5" t="s">
        <v>249</v>
      </c>
      <c r="B127" s="6">
        <v>45191</v>
      </c>
      <c r="C127" s="7">
        <v>0.5</v>
      </c>
      <c r="D127" s="5">
        <v>14.54</v>
      </c>
      <c r="E127" s="5">
        <v>868.4</v>
      </c>
      <c r="F127" s="5">
        <v>882.9</v>
      </c>
      <c r="G127" s="6">
        <v>45191</v>
      </c>
      <c r="H127" s="5"/>
      <c r="I127" s="5"/>
      <c r="J127" s="5">
        <f t="shared" si="19"/>
        <v>14.5</v>
      </c>
      <c r="K127" s="8" t="b">
        <f t="shared" si="20"/>
        <v>1</v>
      </c>
    </row>
    <row r="128" spans="1:11">
      <c r="A128" s="5" t="s">
        <v>250</v>
      </c>
      <c r="B128" s="6">
        <v>45192</v>
      </c>
      <c r="C128" s="7">
        <v>0.4</v>
      </c>
      <c r="D128" s="5">
        <v>18.18</v>
      </c>
      <c r="E128" s="5">
        <v>882.9</v>
      </c>
      <c r="F128" s="5">
        <v>900.9</v>
      </c>
      <c r="G128" s="6">
        <v>45192</v>
      </c>
      <c r="H128" s="5"/>
      <c r="I128" s="5"/>
      <c r="J128" s="5">
        <f t="shared" si="19"/>
        <v>18</v>
      </c>
      <c r="K128" s="8" t="b">
        <f t="shared" si="20"/>
        <v>1</v>
      </c>
    </row>
    <row r="129" spans="1:11">
      <c r="A129" s="5" t="s">
        <v>249</v>
      </c>
      <c r="B129" s="6">
        <v>45193</v>
      </c>
      <c r="C129" s="7">
        <v>0.4</v>
      </c>
      <c r="D129" s="5">
        <v>18.18</v>
      </c>
      <c r="E129" s="5">
        <v>900.9</v>
      </c>
      <c r="F129" s="5">
        <v>918.8</v>
      </c>
      <c r="G129" s="6">
        <v>45193</v>
      </c>
      <c r="H129" s="5"/>
      <c r="I129" s="5"/>
      <c r="J129" s="5">
        <f t="shared" si="19"/>
        <v>17.899999999999977</v>
      </c>
      <c r="K129" s="8" t="b">
        <f t="shared" si="20"/>
        <v>1</v>
      </c>
    </row>
    <row r="130" spans="1:11">
      <c r="A130" s="5" t="s">
        <v>250</v>
      </c>
      <c r="B130" s="6">
        <v>45194</v>
      </c>
      <c r="C130" s="7">
        <v>0.4</v>
      </c>
      <c r="D130" s="5">
        <v>18.18</v>
      </c>
      <c r="E130" s="5">
        <v>918.8</v>
      </c>
      <c r="F130" s="5">
        <v>937</v>
      </c>
      <c r="G130" s="6">
        <v>45194</v>
      </c>
      <c r="H130" s="5"/>
      <c r="I130" s="5"/>
      <c r="J130" s="5">
        <f t="shared" si="19"/>
        <v>18.200000000000045</v>
      </c>
      <c r="K130" s="8" t="b">
        <f t="shared" si="20"/>
        <v>1</v>
      </c>
    </row>
    <row r="131" spans="1:11">
      <c r="A131" s="5" t="s">
        <v>249</v>
      </c>
      <c r="B131" s="6">
        <v>45195</v>
      </c>
      <c r="C131" s="7">
        <v>0.4</v>
      </c>
      <c r="D131" s="5">
        <v>18.18</v>
      </c>
      <c r="E131" s="5">
        <v>937</v>
      </c>
      <c r="F131" s="5">
        <v>955</v>
      </c>
      <c r="G131" s="6">
        <v>45195</v>
      </c>
      <c r="H131" s="5"/>
      <c r="I131" s="5"/>
      <c r="J131" s="5">
        <f t="shared" si="19"/>
        <v>18</v>
      </c>
      <c r="K131" s="8" t="b">
        <f t="shared" si="20"/>
        <v>1</v>
      </c>
    </row>
    <row r="132" spans="1:11">
      <c r="A132" s="5" t="s">
        <v>250</v>
      </c>
      <c r="B132" s="6">
        <v>45196</v>
      </c>
      <c r="C132" s="7">
        <v>0.4</v>
      </c>
      <c r="D132" s="5">
        <v>18.18</v>
      </c>
      <c r="E132" s="5">
        <v>955</v>
      </c>
      <c r="F132" s="5">
        <v>972.9</v>
      </c>
      <c r="G132" s="6">
        <v>45196</v>
      </c>
      <c r="H132" s="5"/>
      <c r="I132" s="5"/>
      <c r="J132" s="5">
        <f t="shared" si="19"/>
        <v>17.899999999999977</v>
      </c>
      <c r="K132" s="8" t="b">
        <f t="shared" si="20"/>
        <v>1</v>
      </c>
    </row>
    <row r="133" spans="1:11">
      <c r="A133" s="5" t="s">
        <v>249</v>
      </c>
      <c r="B133" s="6">
        <v>45197</v>
      </c>
      <c r="C133" s="7">
        <v>0.4</v>
      </c>
      <c r="D133" s="5">
        <v>18.18</v>
      </c>
      <c r="E133" s="5">
        <v>972.9</v>
      </c>
      <c r="F133" s="5">
        <v>990.8</v>
      </c>
      <c r="G133" s="6">
        <v>45197</v>
      </c>
      <c r="H133" s="5"/>
      <c r="I133" s="5"/>
      <c r="J133" s="5">
        <f t="shared" si="19"/>
        <v>17.899999999999977</v>
      </c>
      <c r="K133" s="8" t="b">
        <f t="shared" si="20"/>
        <v>1</v>
      </c>
    </row>
    <row r="134" spans="1:11">
      <c r="A134" s="5" t="s">
        <v>250</v>
      </c>
      <c r="B134" s="6">
        <v>45198</v>
      </c>
      <c r="C134" s="7">
        <v>0.4</v>
      </c>
      <c r="D134" s="5">
        <v>18.18</v>
      </c>
      <c r="E134" s="5">
        <v>990.8</v>
      </c>
      <c r="F134" s="5">
        <v>1008.5</v>
      </c>
      <c r="G134" s="6">
        <v>45198</v>
      </c>
      <c r="H134" s="5"/>
      <c r="I134" s="5"/>
      <c r="J134" s="5">
        <f t="shared" si="19"/>
        <v>17.700000000000045</v>
      </c>
      <c r="K134" s="8" t="b">
        <f t="shared" si="20"/>
        <v>1</v>
      </c>
    </row>
    <row r="135" spans="1:11">
      <c r="A135" s="5" t="s">
        <v>249</v>
      </c>
      <c r="B135" s="6">
        <v>45199</v>
      </c>
      <c r="C135" s="7">
        <v>0.4</v>
      </c>
      <c r="D135" s="5">
        <v>18.18</v>
      </c>
      <c r="E135" s="5">
        <v>1008.5</v>
      </c>
      <c r="F135" s="5">
        <v>1026.9000000000001</v>
      </c>
      <c r="G135" s="6">
        <v>45199</v>
      </c>
      <c r="H135" s="5"/>
      <c r="I135" s="5"/>
      <c r="J135" s="5">
        <f t="shared" si="19"/>
        <v>18.400000000000091</v>
      </c>
      <c r="K135" s="8" t="b">
        <f t="shared" si="20"/>
        <v>1</v>
      </c>
    </row>
    <row r="136" spans="1:11">
      <c r="A136" s="5" t="s">
        <v>250</v>
      </c>
      <c r="B136" s="6">
        <v>45200</v>
      </c>
      <c r="C136" s="7">
        <v>0.4</v>
      </c>
      <c r="D136" s="5">
        <v>18.18</v>
      </c>
      <c r="E136" s="5">
        <v>1026.9000000000001</v>
      </c>
      <c r="F136" s="5">
        <v>1044.4000000000001</v>
      </c>
      <c r="G136" s="6">
        <v>45200</v>
      </c>
      <c r="H136" s="5"/>
      <c r="I136" s="5"/>
      <c r="J136" s="5">
        <f t="shared" si="19"/>
        <v>17.5</v>
      </c>
      <c r="K136" s="8" t="b">
        <f t="shared" si="20"/>
        <v>1</v>
      </c>
    </row>
    <row r="137" spans="1:11">
      <c r="A137" s="5" t="s">
        <v>249</v>
      </c>
      <c r="B137" s="6">
        <v>45201</v>
      </c>
      <c r="C137" s="7">
        <v>0.4</v>
      </c>
      <c r="D137" s="5">
        <v>18.18</v>
      </c>
      <c r="E137" s="5">
        <v>1044.4000000000001</v>
      </c>
      <c r="F137" s="5">
        <v>1061.9000000000001</v>
      </c>
      <c r="G137" s="6">
        <v>45202</v>
      </c>
      <c r="H137" s="5"/>
      <c r="I137" s="5"/>
      <c r="J137" s="5">
        <f t="shared" si="19"/>
        <v>17.5</v>
      </c>
      <c r="K137" s="8" t="b">
        <f t="shared" si="20"/>
        <v>1</v>
      </c>
    </row>
    <row r="138" spans="1:11">
      <c r="A138" s="5" t="s">
        <v>250</v>
      </c>
      <c r="B138" s="6">
        <v>45202</v>
      </c>
      <c r="C138" s="7">
        <v>0.4</v>
      </c>
      <c r="D138" s="5">
        <v>18.18</v>
      </c>
      <c r="E138" s="5">
        <v>1061.9000000000001</v>
      </c>
      <c r="F138" s="5">
        <v>1079.5999999999999</v>
      </c>
      <c r="G138" s="6">
        <v>45203</v>
      </c>
      <c r="H138" s="5"/>
      <c r="I138" s="5"/>
      <c r="J138" s="5">
        <f t="shared" si="19"/>
        <v>17.699999999999818</v>
      </c>
      <c r="K138" s="8" t="b">
        <f t="shared" si="20"/>
        <v>1</v>
      </c>
    </row>
    <row r="139" spans="1:11">
      <c r="A139" s="5" t="s">
        <v>249</v>
      </c>
      <c r="B139" s="6">
        <v>45203</v>
      </c>
      <c r="C139" s="7">
        <v>0.4</v>
      </c>
      <c r="D139" s="5">
        <v>18.18</v>
      </c>
      <c r="E139" s="5">
        <v>1079.5999999999999</v>
      </c>
      <c r="F139" s="5">
        <v>1097.3</v>
      </c>
      <c r="G139" s="6">
        <v>45203</v>
      </c>
      <c r="H139" s="5"/>
      <c r="I139" s="5"/>
      <c r="J139" s="5">
        <f t="shared" si="19"/>
        <v>17.700000000000045</v>
      </c>
      <c r="K139" s="8" t="b">
        <f t="shared" si="20"/>
        <v>1</v>
      </c>
    </row>
    <row r="140" spans="1:11">
      <c r="A140" s="5" t="s">
        <v>250</v>
      </c>
      <c r="B140" s="6">
        <v>45204</v>
      </c>
      <c r="C140" s="7">
        <v>0.45</v>
      </c>
      <c r="D140" s="5">
        <v>16.16</v>
      </c>
      <c r="E140" s="5">
        <v>1097.3</v>
      </c>
      <c r="F140" s="5">
        <v>1113.5</v>
      </c>
      <c r="G140" s="6">
        <v>45204</v>
      </c>
      <c r="H140" s="5"/>
      <c r="I140" s="5"/>
      <c r="J140" s="5">
        <f t="shared" si="19"/>
        <v>16.200000000000045</v>
      </c>
      <c r="K140" s="8" t="b">
        <f t="shared" si="20"/>
        <v>1</v>
      </c>
    </row>
    <row r="141" spans="1:11">
      <c r="A141" s="5" t="s">
        <v>249</v>
      </c>
      <c r="B141" s="6">
        <v>45205</v>
      </c>
      <c r="C141" s="7">
        <v>0.4</v>
      </c>
      <c r="D141" s="5">
        <v>18.18</v>
      </c>
      <c r="E141" s="5">
        <v>1113.5</v>
      </c>
      <c r="F141" s="5">
        <v>1129.5</v>
      </c>
      <c r="G141" s="6">
        <v>45205</v>
      </c>
      <c r="H141" s="5"/>
      <c r="I141" s="5"/>
      <c r="J141" s="5">
        <f t="shared" si="19"/>
        <v>16</v>
      </c>
      <c r="K141" s="8" t="b">
        <f t="shared" si="20"/>
        <v>1</v>
      </c>
    </row>
    <row r="142" spans="1:11">
      <c r="A142" s="5" t="s">
        <v>250</v>
      </c>
      <c r="B142" s="6">
        <v>45206</v>
      </c>
      <c r="C142" s="7">
        <v>0.4</v>
      </c>
      <c r="D142" s="5">
        <v>18.18</v>
      </c>
      <c r="E142" s="5">
        <v>1129.5</v>
      </c>
      <c r="F142" s="5">
        <v>1146.5</v>
      </c>
      <c r="G142" s="6">
        <v>45206</v>
      </c>
      <c r="H142" s="5"/>
      <c r="I142" s="5"/>
      <c r="J142" s="5">
        <f t="shared" si="19"/>
        <v>17</v>
      </c>
      <c r="K142" s="8" t="b">
        <f t="shared" si="20"/>
        <v>1</v>
      </c>
    </row>
    <row r="143" spans="1:11">
      <c r="A143" s="5" t="s">
        <v>249</v>
      </c>
      <c r="B143" s="6">
        <v>45207</v>
      </c>
      <c r="C143" s="7">
        <v>0.4</v>
      </c>
      <c r="D143" s="5">
        <v>18.18</v>
      </c>
      <c r="E143" s="5">
        <v>1146.5</v>
      </c>
      <c r="F143" s="5">
        <v>1165.0999999999999</v>
      </c>
      <c r="G143" s="6">
        <v>45207</v>
      </c>
      <c r="H143" s="5"/>
      <c r="I143" s="5"/>
      <c r="J143" s="5">
        <f t="shared" si="19"/>
        <v>18.599999999999909</v>
      </c>
      <c r="K143" s="8" t="b">
        <f t="shared" si="20"/>
        <v>1</v>
      </c>
    </row>
    <row r="144" spans="1:11">
      <c r="A144" s="5" t="s">
        <v>250</v>
      </c>
      <c r="B144" s="6">
        <v>45208</v>
      </c>
      <c r="C144" s="7">
        <v>0.4</v>
      </c>
      <c r="D144" s="5">
        <v>18.18</v>
      </c>
      <c r="E144" s="5">
        <v>1165.0999999999999</v>
      </c>
      <c r="F144" s="5">
        <v>1183.5</v>
      </c>
      <c r="G144" s="6">
        <v>45208</v>
      </c>
      <c r="H144" s="5"/>
      <c r="I144" s="5"/>
      <c r="J144" s="5">
        <f t="shared" si="19"/>
        <v>18.400000000000091</v>
      </c>
      <c r="K144" s="8" t="b">
        <f t="shared" si="20"/>
        <v>1</v>
      </c>
    </row>
    <row r="145" spans="1:11">
      <c r="A145" s="5" t="s">
        <v>249</v>
      </c>
      <c r="B145" s="6">
        <v>45209</v>
      </c>
      <c r="C145" s="7">
        <v>0.4</v>
      </c>
      <c r="D145" s="5">
        <v>18.18</v>
      </c>
      <c r="E145" s="5">
        <v>1183.5</v>
      </c>
      <c r="F145" s="5">
        <v>1202.2</v>
      </c>
      <c r="G145" s="6">
        <v>45209</v>
      </c>
      <c r="H145" s="5"/>
      <c r="I145" s="5"/>
      <c r="J145" s="5">
        <f t="shared" si="19"/>
        <v>18.700000000000045</v>
      </c>
      <c r="K145" s="8" t="b">
        <f t="shared" si="20"/>
        <v>1</v>
      </c>
    </row>
    <row r="146" spans="1:11">
      <c r="A146" s="5" t="s">
        <v>250</v>
      </c>
      <c r="B146" s="6">
        <v>45210</v>
      </c>
      <c r="C146" s="7">
        <v>0.4</v>
      </c>
      <c r="D146" s="5">
        <v>18.18</v>
      </c>
      <c r="E146" s="5">
        <v>1202.2</v>
      </c>
      <c r="F146" s="5">
        <v>1219.2</v>
      </c>
      <c r="G146" s="6">
        <v>45210</v>
      </c>
      <c r="H146" s="5"/>
      <c r="I146" s="5"/>
      <c r="J146" s="5">
        <f t="shared" si="19"/>
        <v>17</v>
      </c>
      <c r="K146" s="8" t="b">
        <f t="shared" si="20"/>
        <v>1</v>
      </c>
    </row>
    <row r="147" spans="1:11">
      <c r="A147" s="25" t="s">
        <v>247</v>
      </c>
      <c r="B147" s="26">
        <v>45211</v>
      </c>
      <c r="C147" s="27">
        <v>1</v>
      </c>
      <c r="D147" s="25">
        <v>6.18</v>
      </c>
      <c r="E147" s="25">
        <v>1219.2</v>
      </c>
      <c r="F147" s="25">
        <v>1233.9000000000001</v>
      </c>
      <c r="G147" s="26">
        <v>45211</v>
      </c>
      <c r="H147" s="25"/>
      <c r="I147" s="25"/>
      <c r="J147" s="25">
        <f t="shared" si="19"/>
        <v>14.700000000000045</v>
      </c>
      <c r="K147" s="8" t="b">
        <f t="shared" si="20"/>
        <v>1</v>
      </c>
    </row>
    <row r="148" spans="1:11">
      <c r="A148" s="5" t="s">
        <v>250</v>
      </c>
      <c r="B148" s="6">
        <v>45212</v>
      </c>
      <c r="C148" s="7">
        <v>0.4</v>
      </c>
      <c r="D148" s="5">
        <v>18.18</v>
      </c>
      <c r="E148" s="5">
        <v>1233.9000000000001</v>
      </c>
      <c r="F148" s="5">
        <v>1253.3</v>
      </c>
      <c r="G148" s="6">
        <v>45212</v>
      </c>
      <c r="H148" s="5"/>
      <c r="I148" s="5"/>
      <c r="J148" s="5">
        <f t="shared" si="19"/>
        <v>19.399999999999864</v>
      </c>
      <c r="K148" s="8" t="b">
        <f t="shared" si="20"/>
        <v>1</v>
      </c>
    </row>
    <row r="149" spans="1:11">
      <c r="A149" s="5" t="s">
        <v>250</v>
      </c>
      <c r="B149" s="6">
        <v>45213</v>
      </c>
      <c r="C149" s="7">
        <v>0.4</v>
      </c>
      <c r="D149" s="5">
        <v>18.18</v>
      </c>
      <c r="E149" s="5">
        <v>1253.3</v>
      </c>
      <c r="F149" s="5">
        <v>1270</v>
      </c>
      <c r="G149" s="6">
        <v>45213</v>
      </c>
      <c r="H149" s="5"/>
      <c r="I149" s="5"/>
      <c r="J149" s="5">
        <f t="shared" si="19"/>
        <v>16.700000000000045</v>
      </c>
      <c r="K149" s="8" t="b">
        <f t="shared" si="20"/>
        <v>1</v>
      </c>
    </row>
    <row r="150" spans="1:11">
      <c r="A150" s="5" t="s">
        <v>249</v>
      </c>
      <c r="B150" s="6">
        <v>45214</v>
      </c>
      <c r="C150" s="7">
        <v>0.4</v>
      </c>
      <c r="D150" s="5">
        <v>18.18</v>
      </c>
      <c r="E150" s="5">
        <v>1270</v>
      </c>
      <c r="F150" s="5">
        <v>1287.9000000000001</v>
      </c>
      <c r="G150" s="6">
        <v>45214</v>
      </c>
      <c r="H150" s="5"/>
      <c r="I150" s="5"/>
      <c r="J150" s="5">
        <f t="shared" si="19"/>
        <v>17.900000000000091</v>
      </c>
      <c r="K150" s="8" t="b">
        <f t="shared" si="20"/>
        <v>1</v>
      </c>
    </row>
    <row r="151" spans="1:11">
      <c r="A151" s="5" t="s">
        <v>250</v>
      </c>
      <c r="B151" s="6">
        <v>45215</v>
      </c>
      <c r="C151" s="7">
        <v>0.4</v>
      </c>
      <c r="D151" s="5">
        <v>18.18</v>
      </c>
      <c r="E151" s="5">
        <v>1287.9000000000001</v>
      </c>
      <c r="F151" s="5">
        <v>1305.8</v>
      </c>
      <c r="G151" s="6">
        <v>45215</v>
      </c>
      <c r="H151" s="5"/>
      <c r="I151" s="5"/>
      <c r="J151" s="5">
        <f t="shared" si="19"/>
        <v>17.899999999999864</v>
      </c>
      <c r="K151" s="8" t="b">
        <f t="shared" si="20"/>
        <v>1</v>
      </c>
    </row>
    <row r="152" spans="1:11">
      <c r="A152" s="5" t="s">
        <v>249</v>
      </c>
      <c r="B152" s="6">
        <v>45216</v>
      </c>
      <c r="C152" s="7">
        <v>0.4</v>
      </c>
      <c r="D152" s="5">
        <v>18.18</v>
      </c>
      <c r="E152" s="5">
        <v>1305.8</v>
      </c>
      <c r="F152" s="5">
        <v>1323.9</v>
      </c>
      <c r="G152" s="6">
        <v>45216</v>
      </c>
      <c r="H152" s="5"/>
      <c r="I152" s="5"/>
      <c r="J152" s="5">
        <f t="shared" si="19"/>
        <v>18.100000000000136</v>
      </c>
      <c r="K152" s="8" t="b">
        <f t="shared" si="20"/>
        <v>1</v>
      </c>
    </row>
    <row r="153" spans="1:11">
      <c r="A153" s="5" t="s">
        <v>250</v>
      </c>
      <c r="B153" s="6">
        <v>45217</v>
      </c>
      <c r="C153" s="7">
        <v>0.4</v>
      </c>
      <c r="D153" s="5">
        <v>18.18</v>
      </c>
      <c r="E153" s="5">
        <v>1323.9</v>
      </c>
      <c r="F153" s="5">
        <v>1342.4</v>
      </c>
      <c r="G153" s="6">
        <v>45217</v>
      </c>
      <c r="H153" s="5"/>
      <c r="I153" s="5"/>
      <c r="J153" s="5">
        <f t="shared" si="19"/>
        <v>18.5</v>
      </c>
      <c r="K153" s="8" t="b">
        <f t="shared" si="20"/>
        <v>1</v>
      </c>
    </row>
    <row r="154" spans="1:11">
      <c r="A154" s="5" t="s">
        <v>249</v>
      </c>
      <c r="B154" s="6">
        <v>45218</v>
      </c>
      <c r="C154" s="7">
        <v>0.4</v>
      </c>
      <c r="D154" s="5">
        <v>18.18</v>
      </c>
      <c r="E154" s="5">
        <v>1342.4</v>
      </c>
      <c r="F154" s="5">
        <v>1360.9</v>
      </c>
      <c r="G154" s="6">
        <v>45218</v>
      </c>
      <c r="H154" s="5"/>
      <c r="I154" s="5"/>
      <c r="J154" s="5">
        <f t="shared" si="19"/>
        <v>18.5</v>
      </c>
      <c r="K154" s="8" t="b">
        <f t="shared" si="20"/>
        <v>1</v>
      </c>
    </row>
    <row r="155" spans="1:11">
      <c r="A155" s="5" t="s">
        <v>250</v>
      </c>
      <c r="B155" s="6">
        <v>45219</v>
      </c>
      <c r="C155" s="7">
        <v>0.4</v>
      </c>
      <c r="D155" s="5">
        <v>18.18</v>
      </c>
      <c r="E155" s="5">
        <v>1360.9</v>
      </c>
      <c r="F155" s="5">
        <v>1378.9</v>
      </c>
      <c r="G155" s="6">
        <v>45219</v>
      </c>
      <c r="H155" s="5"/>
      <c r="I155" s="5"/>
      <c r="J155" s="5">
        <f t="shared" si="19"/>
        <v>18</v>
      </c>
      <c r="K155" s="8" t="b">
        <f t="shared" si="20"/>
        <v>1</v>
      </c>
    </row>
    <row r="156" spans="1:11">
      <c r="A156" s="5" t="s">
        <v>249</v>
      </c>
      <c r="B156" s="6">
        <v>45220</v>
      </c>
      <c r="C156" s="7">
        <v>0.8</v>
      </c>
      <c r="D156" s="5">
        <v>9.09</v>
      </c>
      <c r="E156" s="5">
        <v>1378.9</v>
      </c>
      <c r="F156" s="5">
        <v>1384.7</v>
      </c>
      <c r="G156" s="6">
        <v>45220</v>
      </c>
      <c r="H156" s="5"/>
      <c r="I156" s="5"/>
      <c r="J156" s="5">
        <f t="shared" si="19"/>
        <v>5.7999999999999545</v>
      </c>
      <c r="K156" s="8" t="b">
        <f t="shared" si="20"/>
        <v>1</v>
      </c>
    </row>
    <row r="157" spans="1:11">
      <c r="A157" s="5" t="s">
        <v>250</v>
      </c>
      <c r="B157" s="6">
        <v>45221</v>
      </c>
      <c r="C157" s="7">
        <v>0.4</v>
      </c>
      <c r="D157" s="5">
        <v>18.18</v>
      </c>
      <c r="E157" s="5">
        <v>1384.7</v>
      </c>
      <c r="F157" s="5">
        <v>1400.4</v>
      </c>
      <c r="G157" s="6">
        <v>45221</v>
      </c>
      <c r="H157" s="5"/>
      <c r="I157" s="5"/>
      <c r="J157" s="5">
        <f t="shared" si="19"/>
        <v>15.700000000000045</v>
      </c>
      <c r="K157" s="8" t="b">
        <f t="shared" si="20"/>
        <v>1</v>
      </c>
    </row>
    <row r="158" spans="1:11">
      <c r="A158" s="5" t="s">
        <v>249</v>
      </c>
      <c r="B158" s="6">
        <v>45222</v>
      </c>
      <c r="C158" s="7">
        <v>0.4</v>
      </c>
      <c r="D158" s="5">
        <v>18.18</v>
      </c>
      <c r="E158" s="5">
        <v>1400.4</v>
      </c>
      <c r="F158" s="5">
        <v>1416.6</v>
      </c>
      <c r="G158" s="6">
        <v>45222</v>
      </c>
      <c r="H158" s="5"/>
      <c r="I158" s="5"/>
      <c r="J158" s="5">
        <f t="shared" si="19"/>
        <v>16.199999999999818</v>
      </c>
      <c r="K158" s="8" t="b">
        <f t="shared" si="20"/>
        <v>1</v>
      </c>
    </row>
    <row r="159" spans="1:11">
      <c r="A159" s="5" t="s">
        <v>250</v>
      </c>
      <c r="B159" s="6">
        <v>45223</v>
      </c>
      <c r="C159" s="7">
        <v>0.4</v>
      </c>
      <c r="D159" s="5">
        <v>18.18</v>
      </c>
      <c r="E159" s="5">
        <v>1416.6</v>
      </c>
      <c r="F159" s="5">
        <v>1434.6</v>
      </c>
      <c r="G159" s="6">
        <v>45223</v>
      </c>
      <c r="H159" s="5"/>
      <c r="I159" s="5"/>
      <c r="J159" s="5">
        <f t="shared" si="19"/>
        <v>18</v>
      </c>
      <c r="K159" s="8" t="b">
        <f t="shared" si="20"/>
        <v>1</v>
      </c>
    </row>
    <row r="160" spans="1:11">
      <c r="A160" s="101" t="s">
        <v>249</v>
      </c>
      <c r="B160" s="102">
        <v>45224</v>
      </c>
      <c r="C160" s="103">
        <v>0.4</v>
      </c>
      <c r="D160" s="101">
        <v>18.18</v>
      </c>
      <c r="E160" s="101">
        <v>1434.6</v>
      </c>
      <c r="F160" s="101">
        <v>1445.9</v>
      </c>
      <c r="G160" s="102">
        <v>45224</v>
      </c>
      <c r="H160" s="101"/>
      <c r="I160" s="101"/>
      <c r="J160" s="101">
        <f t="shared" si="19"/>
        <v>11.300000000000182</v>
      </c>
      <c r="K160" s="8" t="b">
        <f t="shared" si="20"/>
        <v>1</v>
      </c>
    </row>
    <row r="161" spans="1:11">
      <c r="A161" s="101" t="s">
        <v>250</v>
      </c>
      <c r="B161" s="102">
        <v>45225</v>
      </c>
      <c r="C161" s="103">
        <v>0.4</v>
      </c>
      <c r="D161" s="101">
        <v>18.18</v>
      </c>
      <c r="E161" s="101"/>
      <c r="F161" s="101"/>
      <c r="G161" s="102">
        <v>45225</v>
      </c>
      <c r="H161" s="101"/>
      <c r="I161" s="101"/>
      <c r="J161" s="101">
        <f t="shared" si="19"/>
        <v>0</v>
      </c>
      <c r="K161" s="8" t="b">
        <f t="shared" si="20"/>
        <v>0</v>
      </c>
    </row>
    <row r="162" spans="1:11">
      <c r="A162" s="5" t="s">
        <v>249</v>
      </c>
      <c r="B162" s="6">
        <v>45227</v>
      </c>
      <c r="C162" s="7">
        <v>0.4</v>
      </c>
      <c r="D162" s="5">
        <v>18.18</v>
      </c>
      <c r="E162" s="5">
        <v>1445.9</v>
      </c>
      <c r="F162" s="5">
        <v>1465.9</v>
      </c>
      <c r="G162" s="6">
        <v>45227</v>
      </c>
      <c r="H162" s="5"/>
      <c r="I162" s="5"/>
      <c r="J162" s="5">
        <f t="shared" si="19"/>
        <v>20</v>
      </c>
      <c r="K162" s="8" t="b">
        <f t="shared" si="20"/>
        <v>0</v>
      </c>
    </row>
    <row r="163" spans="1:11">
      <c r="A163" s="5" t="s">
        <v>250</v>
      </c>
      <c r="B163" s="6">
        <v>45228</v>
      </c>
      <c r="C163" s="7">
        <v>0.4</v>
      </c>
      <c r="D163" s="5">
        <v>18.18</v>
      </c>
      <c r="E163" s="5">
        <v>1465.9</v>
      </c>
      <c r="F163" s="5">
        <v>1481.6</v>
      </c>
      <c r="G163" s="6">
        <v>45228</v>
      </c>
      <c r="H163" s="5"/>
      <c r="I163" s="5"/>
      <c r="J163" s="5">
        <f t="shared" ref="J163:J221" si="21">F163-E163</f>
        <v>15.699999999999818</v>
      </c>
      <c r="K163" s="8" t="b">
        <f t="shared" ref="K163:K211" si="22">E163=F162</f>
        <v>1</v>
      </c>
    </row>
    <row r="164" spans="1:11">
      <c r="A164" s="5" t="s">
        <v>249</v>
      </c>
      <c r="B164" s="6">
        <v>45229</v>
      </c>
      <c r="C164" s="7">
        <v>0.4</v>
      </c>
      <c r="D164" s="5">
        <v>18.18</v>
      </c>
      <c r="E164" s="5">
        <v>1481.6</v>
      </c>
      <c r="F164" s="5">
        <v>1499.6</v>
      </c>
      <c r="G164" s="6">
        <v>45229</v>
      </c>
      <c r="H164" s="5"/>
      <c r="I164" s="5"/>
      <c r="J164" s="5">
        <f t="shared" si="21"/>
        <v>18</v>
      </c>
      <c r="K164" s="8" t="b">
        <f t="shared" si="22"/>
        <v>1</v>
      </c>
    </row>
    <row r="165" spans="1:11">
      <c r="A165" s="5" t="s">
        <v>250</v>
      </c>
      <c r="B165" s="6">
        <v>45230</v>
      </c>
      <c r="C165" s="7">
        <v>0.4</v>
      </c>
      <c r="D165" s="5">
        <v>18.18</v>
      </c>
      <c r="E165" s="5">
        <v>1499.6</v>
      </c>
      <c r="F165" s="5">
        <v>1517.6</v>
      </c>
      <c r="G165" s="6">
        <v>45230</v>
      </c>
      <c r="H165" s="5"/>
      <c r="I165" s="5"/>
      <c r="J165" s="5">
        <f t="shared" si="21"/>
        <v>18</v>
      </c>
      <c r="K165" s="8" t="b">
        <f t="shared" si="22"/>
        <v>1</v>
      </c>
    </row>
    <row r="166" spans="1:11">
      <c r="A166" s="5" t="s">
        <v>249</v>
      </c>
      <c r="B166" s="6">
        <v>45231</v>
      </c>
      <c r="C166" s="7">
        <v>0.4</v>
      </c>
      <c r="D166" s="5">
        <v>18.18</v>
      </c>
      <c r="E166" s="5">
        <v>1517.6</v>
      </c>
      <c r="F166" s="5">
        <v>1535.7</v>
      </c>
      <c r="G166" s="6">
        <v>45231</v>
      </c>
      <c r="H166" s="5"/>
      <c r="I166" s="5"/>
      <c r="J166" s="5">
        <f t="shared" si="21"/>
        <v>18.100000000000136</v>
      </c>
      <c r="K166" s="8" t="b">
        <f t="shared" si="22"/>
        <v>1</v>
      </c>
    </row>
    <row r="167" spans="1:11">
      <c r="A167" s="5" t="s">
        <v>250</v>
      </c>
      <c r="B167" s="6">
        <v>45232</v>
      </c>
      <c r="C167" s="7">
        <v>0.4</v>
      </c>
      <c r="D167" s="5">
        <v>18.18</v>
      </c>
      <c r="E167" s="5">
        <v>1535.7</v>
      </c>
      <c r="F167" s="5">
        <v>1553.8</v>
      </c>
      <c r="G167" s="6">
        <v>45232</v>
      </c>
      <c r="H167" s="5"/>
      <c r="I167" s="5"/>
      <c r="J167" s="5">
        <f t="shared" si="21"/>
        <v>18.099999999999909</v>
      </c>
      <c r="K167" s="8" t="b">
        <f t="shared" si="22"/>
        <v>1</v>
      </c>
    </row>
    <row r="168" spans="1:11">
      <c r="A168" s="5" t="s">
        <v>249</v>
      </c>
      <c r="B168" s="6">
        <v>45235</v>
      </c>
      <c r="C168" s="7">
        <v>0.6</v>
      </c>
      <c r="D168" s="5">
        <v>12.12</v>
      </c>
      <c r="E168" s="5">
        <v>1553.8</v>
      </c>
      <c r="F168" s="5">
        <v>1565.9</v>
      </c>
      <c r="G168" s="6">
        <v>45235</v>
      </c>
      <c r="H168" s="5"/>
      <c r="I168" s="5"/>
      <c r="J168" s="5">
        <f t="shared" si="21"/>
        <v>12.100000000000136</v>
      </c>
      <c r="K168" s="8" t="b">
        <f t="shared" si="22"/>
        <v>1</v>
      </c>
    </row>
    <row r="169" spans="1:11">
      <c r="A169" s="5" t="s">
        <v>250</v>
      </c>
      <c r="B169" s="6">
        <v>45236</v>
      </c>
      <c r="C169" s="7">
        <v>0.6</v>
      </c>
      <c r="D169" s="5">
        <v>12.12</v>
      </c>
      <c r="E169" s="5">
        <v>1565.9</v>
      </c>
      <c r="F169" s="5">
        <v>1577.9</v>
      </c>
      <c r="G169" s="6">
        <v>45236</v>
      </c>
      <c r="H169" s="5"/>
      <c r="I169" s="5"/>
      <c r="J169" s="5">
        <f t="shared" si="21"/>
        <v>12</v>
      </c>
      <c r="K169" s="8" t="b">
        <f t="shared" si="22"/>
        <v>1</v>
      </c>
    </row>
    <row r="170" spans="1:11">
      <c r="A170" s="5" t="s">
        <v>249</v>
      </c>
      <c r="B170" s="6">
        <v>45237</v>
      </c>
      <c r="C170" s="7">
        <v>0.4</v>
      </c>
      <c r="D170" s="5">
        <v>18.18</v>
      </c>
      <c r="E170" s="5">
        <v>1577.9</v>
      </c>
      <c r="F170" s="5">
        <v>1596</v>
      </c>
      <c r="G170" s="6">
        <v>45237</v>
      </c>
      <c r="H170" s="5"/>
      <c r="I170" s="5"/>
      <c r="J170" s="5">
        <f t="shared" si="21"/>
        <v>18.099999999999909</v>
      </c>
      <c r="K170" s="8" t="b">
        <f t="shared" si="22"/>
        <v>1</v>
      </c>
    </row>
    <row r="171" spans="1:11">
      <c r="A171" s="5" t="s">
        <v>250</v>
      </c>
      <c r="B171" s="6">
        <v>45238</v>
      </c>
      <c r="C171" s="7">
        <v>0.4</v>
      </c>
      <c r="D171" s="5">
        <v>18.18</v>
      </c>
      <c r="E171" s="5">
        <v>1596</v>
      </c>
      <c r="F171" s="5">
        <v>1613.8</v>
      </c>
      <c r="G171" s="6">
        <v>45238</v>
      </c>
      <c r="H171" s="5"/>
      <c r="I171" s="5"/>
      <c r="J171" s="5">
        <f t="shared" si="21"/>
        <v>17.799999999999955</v>
      </c>
      <c r="K171" s="8" t="b">
        <f t="shared" si="22"/>
        <v>1</v>
      </c>
    </row>
    <row r="172" spans="1:11">
      <c r="A172" s="5" t="s">
        <v>249</v>
      </c>
      <c r="B172" s="6">
        <v>45239</v>
      </c>
      <c r="C172" s="7">
        <v>0.4</v>
      </c>
      <c r="D172" s="5">
        <v>18.18</v>
      </c>
      <c r="E172" s="5">
        <v>1613.8</v>
      </c>
      <c r="F172" s="5">
        <v>1631.9</v>
      </c>
      <c r="G172" s="6">
        <v>45239</v>
      </c>
      <c r="H172" s="5"/>
      <c r="I172" s="5"/>
      <c r="J172" s="5">
        <f t="shared" si="21"/>
        <v>18.100000000000136</v>
      </c>
      <c r="K172" s="8" t="b">
        <f t="shared" si="22"/>
        <v>1</v>
      </c>
    </row>
    <row r="173" spans="1:11">
      <c r="A173" s="5" t="s">
        <v>247</v>
      </c>
      <c r="B173" s="6">
        <v>45240</v>
      </c>
      <c r="C173" s="7">
        <v>0.8</v>
      </c>
      <c r="D173" s="5">
        <v>9.09</v>
      </c>
      <c r="E173" s="5">
        <v>1631.9</v>
      </c>
      <c r="F173" s="5">
        <v>1649.9</v>
      </c>
      <c r="G173" s="6">
        <v>45240</v>
      </c>
      <c r="H173" s="5"/>
      <c r="I173" s="5"/>
      <c r="J173" s="5">
        <f t="shared" si="21"/>
        <v>18</v>
      </c>
      <c r="K173" s="8" t="b">
        <f t="shared" si="22"/>
        <v>1</v>
      </c>
    </row>
    <row r="174" spans="1:11">
      <c r="A174" s="5" t="s">
        <v>247</v>
      </c>
      <c r="B174" s="6">
        <v>45242</v>
      </c>
      <c r="C174" s="7">
        <v>0.8</v>
      </c>
      <c r="D174" s="5">
        <v>9.09</v>
      </c>
      <c r="E174" s="5">
        <v>1649.9</v>
      </c>
      <c r="F174" s="5">
        <v>1668</v>
      </c>
      <c r="G174" s="6">
        <v>45242</v>
      </c>
      <c r="H174" s="5"/>
      <c r="I174" s="5"/>
      <c r="J174" s="5">
        <f t="shared" si="21"/>
        <v>18.099999999999909</v>
      </c>
      <c r="K174" s="8" t="b">
        <f t="shared" si="22"/>
        <v>1</v>
      </c>
    </row>
    <row r="175" spans="1:11">
      <c r="A175" s="5" t="s">
        <v>247</v>
      </c>
      <c r="B175" s="6">
        <v>45244</v>
      </c>
      <c r="C175" s="7">
        <v>0.8</v>
      </c>
      <c r="D175" s="5">
        <v>9.09</v>
      </c>
      <c r="E175" s="5">
        <v>1668</v>
      </c>
      <c r="F175" s="5">
        <v>1686.1</v>
      </c>
      <c r="G175" s="6">
        <v>45244</v>
      </c>
      <c r="H175" s="5"/>
      <c r="I175" s="5"/>
      <c r="J175" s="5">
        <f t="shared" si="21"/>
        <v>18.099999999999909</v>
      </c>
      <c r="K175" s="8" t="b">
        <f t="shared" si="22"/>
        <v>1</v>
      </c>
    </row>
    <row r="176" spans="1:11">
      <c r="A176" s="5" t="s">
        <v>247</v>
      </c>
      <c r="B176" s="6">
        <v>45246</v>
      </c>
      <c r="C176" s="7">
        <v>0.8</v>
      </c>
      <c r="D176" s="5">
        <v>9.09</v>
      </c>
      <c r="E176" s="5">
        <v>1686.1</v>
      </c>
      <c r="F176" s="5">
        <v>1704.3</v>
      </c>
      <c r="G176" s="6">
        <v>45246</v>
      </c>
      <c r="H176" s="5"/>
      <c r="I176" s="5"/>
      <c r="J176" s="5">
        <f t="shared" si="21"/>
        <v>18.200000000000045</v>
      </c>
      <c r="K176" s="8" t="b">
        <f t="shared" si="22"/>
        <v>1</v>
      </c>
    </row>
    <row r="177" spans="1:11" ht="26.25">
      <c r="A177" s="126" t="s">
        <v>244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8"/>
    </row>
    <row r="178" spans="1:11" ht="26.25">
      <c r="A178" s="129" t="s">
        <v>19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1"/>
    </row>
    <row r="179" spans="1:11" ht="15.75" thickBot="1"/>
    <row r="180" spans="1:11" ht="15.75" thickBot="1">
      <c r="A180" s="132" t="s">
        <v>2</v>
      </c>
      <c r="B180" s="133"/>
      <c r="C180" s="133"/>
      <c r="D180" s="133"/>
      <c r="E180" s="133"/>
      <c r="F180" s="133"/>
      <c r="G180" s="133"/>
      <c r="H180" s="133"/>
      <c r="I180" s="133"/>
      <c r="J180" s="133"/>
      <c r="K180" s="134"/>
    </row>
    <row r="182" spans="1:11" ht="19.5" thickBot="1">
      <c r="A182" s="1" t="s">
        <v>3</v>
      </c>
      <c r="B182" s="1"/>
      <c r="C182" s="1"/>
      <c r="D182" s="1"/>
      <c r="E182" s="1"/>
      <c r="F182" s="1"/>
      <c r="G182" s="1"/>
      <c r="H182" s="1"/>
      <c r="I182" s="1"/>
    </row>
    <row r="183" spans="1:11" ht="30.75" thickBot="1">
      <c r="A183" s="2" t="s">
        <v>4</v>
      </c>
      <c r="B183" s="3" t="s">
        <v>5</v>
      </c>
      <c r="C183" s="3" t="s">
        <v>6</v>
      </c>
      <c r="D183" s="3" t="s">
        <v>7</v>
      </c>
      <c r="E183" s="3" t="s">
        <v>8</v>
      </c>
      <c r="F183" s="3" t="s">
        <v>9</v>
      </c>
      <c r="G183" s="3" t="s">
        <v>10</v>
      </c>
      <c r="H183" s="3" t="s">
        <v>21</v>
      </c>
      <c r="I183" s="4" t="s">
        <v>22</v>
      </c>
      <c r="J183" s="4" t="s">
        <v>11</v>
      </c>
      <c r="K183" s="4" t="s">
        <v>12</v>
      </c>
    </row>
    <row r="184" spans="1:11">
      <c r="A184" s="5" t="s">
        <v>247</v>
      </c>
      <c r="B184" s="6">
        <v>45312</v>
      </c>
      <c r="C184" s="7">
        <v>1</v>
      </c>
      <c r="D184" s="5">
        <v>6.18</v>
      </c>
      <c r="E184" s="5">
        <v>0</v>
      </c>
      <c r="F184" s="5">
        <v>15</v>
      </c>
      <c r="G184" s="6">
        <v>45312</v>
      </c>
      <c r="H184" s="5"/>
      <c r="I184" s="5"/>
      <c r="J184" s="5">
        <f t="shared" si="21"/>
        <v>15</v>
      </c>
      <c r="K184" s="8" t="b">
        <f>E184=F176</f>
        <v>0</v>
      </c>
    </row>
    <row r="185" spans="1:11">
      <c r="A185" s="101" t="s">
        <v>247</v>
      </c>
      <c r="B185" s="102">
        <v>45313</v>
      </c>
      <c r="C185" s="103">
        <v>1</v>
      </c>
      <c r="D185" s="101">
        <v>6.18</v>
      </c>
      <c r="E185" s="101">
        <v>15</v>
      </c>
      <c r="F185" s="101">
        <v>22.1</v>
      </c>
      <c r="G185" s="102">
        <v>45313</v>
      </c>
      <c r="H185" s="101"/>
      <c r="I185" s="101"/>
      <c r="J185" s="101">
        <f t="shared" si="21"/>
        <v>7.1000000000000014</v>
      </c>
      <c r="K185" s="8" t="b">
        <f t="shared" si="22"/>
        <v>1</v>
      </c>
    </row>
    <row r="186" spans="1:11">
      <c r="A186" s="5" t="s">
        <v>247</v>
      </c>
      <c r="B186" s="6">
        <v>45316</v>
      </c>
      <c r="C186" s="7">
        <v>1</v>
      </c>
      <c r="D186" s="5">
        <v>6.18</v>
      </c>
      <c r="E186" s="5">
        <v>22.1</v>
      </c>
      <c r="F186" s="5">
        <v>37.1</v>
      </c>
      <c r="G186" s="6">
        <v>45316</v>
      </c>
      <c r="H186" s="5"/>
      <c r="I186" s="5"/>
      <c r="J186" s="5">
        <f t="shared" si="21"/>
        <v>15</v>
      </c>
      <c r="K186" s="8" t="b">
        <f t="shared" si="22"/>
        <v>1</v>
      </c>
    </row>
    <row r="187" spans="1:11">
      <c r="A187" s="5" t="s">
        <v>247</v>
      </c>
      <c r="B187" s="22">
        <v>45317</v>
      </c>
      <c r="C187" s="23">
        <v>1</v>
      </c>
      <c r="D187" s="21">
        <v>6.18</v>
      </c>
      <c r="E187" s="21">
        <v>37.1</v>
      </c>
      <c r="F187" s="21">
        <v>47.6</v>
      </c>
      <c r="G187" s="22">
        <v>45317</v>
      </c>
      <c r="H187" s="21"/>
      <c r="I187" s="21"/>
      <c r="J187" s="21">
        <f t="shared" si="21"/>
        <v>10.5</v>
      </c>
      <c r="K187" s="8" t="b">
        <f t="shared" si="22"/>
        <v>1</v>
      </c>
    </row>
    <row r="188" spans="1:11">
      <c r="A188" s="5" t="s">
        <v>247</v>
      </c>
      <c r="B188" s="22">
        <v>45328</v>
      </c>
      <c r="C188" s="23">
        <v>0.5</v>
      </c>
      <c r="D188" s="21">
        <v>14.54</v>
      </c>
      <c r="E188" s="21">
        <v>47.6</v>
      </c>
      <c r="F188" s="21">
        <v>65.599999999999994</v>
      </c>
      <c r="G188" s="22">
        <v>45328</v>
      </c>
      <c r="H188" s="21"/>
      <c r="I188" s="21"/>
      <c r="J188" s="21">
        <f t="shared" si="21"/>
        <v>17.999999999999993</v>
      </c>
      <c r="K188" s="8" t="b">
        <f t="shared" si="22"/>
        <v>1</v>
      </c>
    </row>
    <row r="189" spans="1:11">
      <c r="A189" s="21" t="s">
        <v>247</v>
      </c>
      <c r="B189" s="6">
        <v>45348</v>
      </c>
      <c r="C189" s="7">
        <v>1</v>
      </c>
      <c r="D189" s="5">
        <v>6.18</v>
      </c>
      <c r="E189" s="5">
        <v>65.599999999999994</v>
      </c>
      <c r="F189" s="5">
        <v>79.5</v>
      </c>
      <c r="G189" s="6">
        <v>45348</v>
      </c>
      <c r="H189" s="21"/>
      <c r="I189" s="21"/>
      <c r="J189" s="21">
        <f t="shared" si="21"/>
        <v>13.900000000000006</v>
      </c>
      <c r="K189" s="8" t="b">
        <f t="shared" si="22"/>
        <v>1</v>
      </c>
    </row>
    <row r="190" spans="1:11">
      <c r="A190" s="21" t="s">
        <v>247</v>
      </c>
      <c r="B190" s="6">
        <v>45351</v>
      </c>
      <c r="C190" s="7">
        <v>1</v>
      </c>
      <c r="D190" s="5">
        <v>6.18</v>
      </c>
      <c r="E190" s="5">
        <v>79.5</v>
      </c>
      <c r="F190" s="5">
        <v>93.3</v>
      </c>
      <c r="G190" s="6">
        <v>45351</v>
      </c>
      <c r="H190" s="21"/>
      <c r="I190" s="21"/>
      <c r="J190" s="21">
        <f t="shared" si="21"/>
        <v>13.799999999999997</v>
      </c>
      <c r="K190" s="8" t="b">
        <f t="shared" si="22"/>
        <v>1</v>
      </c>
    </row>
    <row r="191" spans="1:11">
      <c r="A191" s="21" t="s">
        <v>247</v>
      </c>
      <c r="B191" s="6">
        <v>45352</v>
      </c>
      <c r="C191" s="7">
        <v>0.7</v>
      </c>
      <c r="D191" s="5">
        <v>10.39</v>
      </c>
      <c r="E191" s="5">
        <v>93.3</v>
      </c>
      <c r="F191" s="5">
        <v>114.8</v>
      </c>
      <c r="G191" s="6">
        <v>45352</v>
      </c>
      <c r="H191" s="21"/>
      <c r="I191" s="21"/>
      <c r="J191" s="21">
        <f t="shared" si="21"/>
        <v>21.5</v>
      </c>
      <c r="K191" s="8" t="b">
        <f t="shared" si="22"/>
        <v>1</v>
      </c>
    </row>
    <row r="192" spans="1:11">
      <c r="A192" s="21" t="s">
        <v>247</v>
      </c>
      <c r="B192" s="6">
        <v>45360</v>
      </c>
      <c r="C192" s="7">
        <v>1</v>
      </c>
      <c r="D192" s="5">
        <v>6.18</v>
      </c>
      <c r="E192" s="5">
        <v>114.8</v>
      </c>
      <c r="F192" s="5">
        <v>129.4</v>
      </c>
      <c r="G192" s="6">
        <v>45360</v>
      </c>
      <c r="H192" s="21"/>
      <c r="I192" s="21"/>
      <c r="J192" s="21">
        <f t="shared" si="21"/>
        <v>14.600000000000009</v>
      </c>
      <c r="K192" s="8" t="b">
        <f t="shared" si="22"/>
        <v>1</v>
      </c>
    </row>
    <row r="193" spans="1:11">
      <c r="A193" s="21" t="s">
        <v>247</v>
      </c>
      <c r="B193" s="6">
        <v>45363</v>
      </c>
      <c r="C193" s="7">
        <v>0.8</v>
      </c>
      <c r="D193" s="5">
        <v>9.09</v>
      </c>
      <c r="E193" s="5">
        <v>129.4</v>
      </c>
      <c r="F193" s="5">
        <v>148.4</v>
      </c>
      <c r="G193" s="6">
        <v>45363</v>
      </c>
      <c r="H193" s="21"/>
      <c r="I193" s="21"/>
      <c r="J193" s="21">
        <f t="shared" si="21"/>
        <v>19</v>
      </c>
      <c r="K193" s="8" t="b">
        <f t="shared" si="22"/>
        <v>1</v>
      </c>
    </row>
    <row r="194" spans="1:11">
      <c r="A194" s="21" t="s">
        <v>247</v>
      </c>
      <c r="B194" s="6">
        <v>45370</v>
      </c>
      <c r="C194" s="7">
        <v>0.7</v>
      </c>
      <c r="D194" s="5">
        <v>10.39</v>
      </c>
      <c r="E194" s="5">
        <v>148.4</v>
      </c>
      <c r="F194" s="5">
        <v>169.4</v>
      </c>
      <c r="G194" s="6">
        <v>45370</v>
      </c>
      <c r="H194" s="21"/>
      <c r="I194" s="21"/>
      <c r="J194" s="21">
        <f t="shared" si="21"/>
        <v>21</v>
      </c>
      <c r="K194" s="8" t="b">
        <f t="shared" si="22"/>
        <v>1</v>
      </c>
    </row>
    <row r="195" spans="1:11">
      <c r="A195" s="21" t="s">
        <v>247</v>
      </c>
      <c r="B195" s="6">
        <v>45376</v>
      </c>
      <c r="C195" s="7">
        <v>1</v>
      </c>
      <c r="D195" s="5">
        <v>6.18</v>
      </c>
      <c r="E195" s="5">
        <v>169.4</v>
      </c>
      <c r="F195" s="5">
        <v>184.4</v>
      </c>
      <c r="G195" s="6">
        <v>45376</v>
      </c>
      <c r="H195" s="21"/>
      <c r="I195" s="21"/>
      <c r="J195" s="21">
        <f t="shared" si="21"/>
        <v>15</v>
      </c>
      <c r="K195" s="8" t="b">
        <f t="shared" si="22"/>
        <v>1</v>
      </c>
    </row>
    <row r="196" spans="1:11">
      <c r="A196" s="21" t="s">
        <v>247</v>
      </c>
      <c r="B196" s="6">
        <v>45379</v>
      </c>
      <c r="C196" s="7">
        <v>1</v>
      </c>
      <c r="D196" s="5">
        <v>6.18</v>
      </c>
      <c r="E196" s="5">
        <v>184.4</v>
      </c>
      <c r="F196" s="5">
        <v>199.4</v>
      </c>
      <c r="G196" s="6">
        <v>45379</v>
      </c>
      <c r="H196" s="21"/>
      <c r="I196" s="21"/>
      <c r="J196" s="21">
        <f t="shared" si="21"/>
        <v>15</v>
      </c>
      <c r="K196" s="8" t="b">
        <f t="shared" si="22"/>
        <v>1</v>
      </c>
    </row>
    <row r="197" spans="1:11">
      <c r="A197" s="21" t="s">
        <v>247</v>
      </c>
      <c r="B197" s="6">
        <v>45381</v>
      </c>
      <c r="C197" s="7">
        <v>1</v>
      </c>
      <c r="D197" s="5">
        <v>6.18</v>
      </c>
      <c r="E197" s="5">
        <v>199.4</v>
      </c>
      <c r="F197" s="5">
        <v>214.4</v>
      </c>
      <c r="G197" s="6">
        <v>45381</v>
      </c>
      <c r="H197" s="21"/>
      <c r="I197" s="21"/>
      <c r="J197" s="21">
        <f t="shared" si="21"/>
        <v>15</v>
      </c>
      <c r="K197" s="8" t="b">
        <f t="shared" si="22"/>
        <v>1</v>
      </c>
    </row>
    <row r="198" spans="1:11">
      <c r="A198" s="21" t="s">
        <v>247</v>
      </c>
      <c r="B198" s="6">
        <v>45383</v>
      </c>
      <c r="C198" s="7">
        <v>1</v>
      </c>
      <c r="D198" s="5">
        <v>6.18</v>
      </c>
      <c r="E198" s="5">
        <v>214.4</v>
      </c>
      <c r="F198" s="5">
        <v>229.8</v>
      </c>
      <c r="G198" s="6">
        <v>45383</v>
      </c>
      <c r="H198" s="21"/>
      <c r="I198" s="21"/>
      <c r="J198" s="21">
        <f t="shared" si="21"/>
        <v>15.400000000000006</v>
      </c>
      <c r="K198" s="8" t="b">
        <f t="shared" si="22"/>
        <v>1</v>
      </c>
    </row>
    <row r="199" spans="1:11">
      <c r="A199" s="21" t="s">
        <v>247</v>
      </c>
      <c r="B199" s="6">
        <v>45385</v>
      </c>
      <c r="C199" s="7">
        <v>1</v>
      </c>
      <c r="D199" s="5">
        <v>6.18</v>
      </c>
      <c r="E199" s="5">
        <v>229.8</v>
      </c>
      <c r="F199" s="5">
        <v>237.4</v>
      </c>
      <c r="G199" s="6">
        <v>45385</v>
      </c>
      <c r="H199" s="21"/>
      <c r="I199" s="21"/>
      <c r="J199" s="21">
        <f t="shared" si="21"/>
        <v>7.5999999999999943</v>
      </c>
      <c r="K199" s="8" t="b">
        <f t="shared" si="22"/>
        <v>1</v>
      </c>
    </row>
    <row r="200" spans="1:11" ht="16.5" customHeight="1">
      <c r="A200" s="21" t="s">
        <v>247</v>
      </c>
      <c r="B200" s="6">
        <v>45389</v>
      </c>
      <c r="C200" s="7">
        <v>1</v>
      </c>
      <c r="D200" s="5">
        <v>6.18</v>
      </c>
      <c r="E200" s="5">
        <v>244.4</v>
      </c>
      <c r="F200" s="5">
        <v>252.4</v>
      </c>
      <c r="G200" s="6">
        <v>45389</v>
      </c>
      <c r="H200" s="21"/>
      <c r="I200" s="21"/>
      <c r="J200" s="21">
        <f t="shared" si="21"/>
        <v>8</v>
      </c>
      <c r="K200" s="8" t="b">
        <f t="shared" si="22"/>
        <v>0</v>
      </c>
    </row>
    <row r="201" spans="1:11">
      <c r="A201" s="21" t="s">
        <v>247</v>
      </c>
      <c r="B201" s="6">
        <v>45392</v>
      </c>
      <c r="C201" s="7">
        <v>0.7</v>
      </c>
      <c r="D201" s="5">
        <v>10.39</v>
      </c>
      <c r="E201" s="5">
        <v>252.4</v>
      </c>
      <c r="F201" s="5">
        <v>267.39999999999998</v>
      </c>
      <c r="G201" s="6">
        <v>45392</v>
      </c>
      <c r="H201" s="21"/>
      <c r="I201" s="21"/>
      <c r="J201" s="21">
        <f t="shared" si="21"/>
        <v>14.999999999999972</v>
      </c>
      <c r="K201" s="8" t="b">
        <f t="shared" si="22"/>
        <v>1</v>
      </c>
    </row>
    <row r="202" spans="1:11">
      <c r="A202" s="21" t="s">
        <v>247</v>
      </c>
      <c r="B202" s="6">
        <v>45394</v>
      </c>
      <c r="C202" s="7">
        <v>1</v>
      </c>
      <c r="D202" s="5">
        <v>6.18</v>
      </c>
      <c r="E202" s="5">
        <v>267.39999999999998</v>
      </c>
      <c r="F202" s="5">
        <v>282.39999999999998</v>
      </c>
      <c r="G202" s="6">
        <v>45394</v>
      </c>
      <c r="H202" s="21"/>
      <c r="I202" s="21"/>
      <c r="J202" s="21">
        <f t="shared" si="21"/>
        <v>15</v>
      </c>
      <c r="K202" s="8" t="b">
        <f t="shared" si="22"/>
        <v>1</v>
      </c>
    </row>
    <row r="203" spans="1:11">
      <c r="A203" s="21" t="s">
        <v>247</v>
      </c>
      <c r="B203" s="6">
        <v>45396</v>
      </c>
      <c r="C203" s="7">
        <v>1</v>
      </c>
      <c r="D203" s="5">
        <v>6.18</v>
      </c>
      <c r="E203" s="5">
        <v>282.39999999999998</v>
      </c>
      <c r="F203" s="5">
        <v>297.60000000000002</v>
      </c>
      <c r="G203" s="6">
        <v>45396</v>
      </c>
      <c r="H203" s="21"/>
      <c r="I203" s="21"/>
      <c r="J203" s="21">
        <f t="shared" si="21"/>
        <v>15.200000000000045</v>
      </c>
      <c r="K203" s="8" t="b">
        <f t="shared" si="22"/>
        <v>1</v>
      </c>
    </row>
    <row r="204" spans="1:11">
      <c r="A204" s="21" t="s">
        <v>247</v>
      </c>
      <c r="B204" s="6">
        <v>45399</v>
      </c>
      <c r="C204" s="7">
        <v>0.7</v>
      </c>
      <c r="D204" s="5">
        <v>10.39</v>
      </c>
      <c r="E204" s="5">
        <v>297.60000000000002</v>
      </c>
      <c r="F204" s="5">
        <v>318.60000000000002</v>
      </c>
      <c r="G204" s="6">
        <v>45399</v>
      </c>
      <c r="H204" s="21"/>
      <c r="I204" s="21"/>
      <c r="J204" s="21">
        <f t="shared" si="21"/>
        <v>21</v>
      </c>
      <c r="K204" s="8" t="b">
        <f t="shared" si="22"/>
        <v>1</v>
      </c>
    </row>
    <row r="205" spans="1:11">
      <c r="A205" s="21" t="s">
        <v>247</v>
      </c>
      <c r="B205" s="6">
        <v>45408</v>
      </c>
      <c r="C205" s="7">
        <v>0.7</v>
      </c>
      <c r="D205" s="5">
        <v>10.39</v>
      </c>
      <c r="E205" s="5">
        <v>348.6</v>
      </c>
      <c r="F205" s="5">
        <v>370.4</v>
      </c>
      <c r="G205" s="6">
        <v>45408</v>
      </c>
      <c r="H205" s="21"/>
      <c r="I205" s="21"/>
      <c r="J205" s="21">
        <f t="shared" si="21"/>
        <v>21.799999999999955</v>
      </c>
      <c r="K205" s="8" t="b">
        <f t="shared" si="22"/>
        <v>0</v>
      </c>
    </row>
    <row r="206" spans="1:11">
      <c r="A206" s="21" t="s">
        <v>247</v>
      </c>
      <c r="B206" s="6">
        <v>45411</v>
      </c>
      <c r="C206" s="7">
        <v>0.7</v>
      </c>
      <c r="D206" s="5">
        <v>10.39</v>
      </c>
      <c r="E206" s="5">
        <v>370.4</v>
      </c>
      <c r="F206" s="5">
        <v>392.4</v>
      </c>
      <c r="G206" s="6">
        <v>45411</v>
      </c>
      <c r="H206" s="21"/>
      <c r="I206" s="21"/>
      <c r="J206" s="21">
        <f t="shared" si="21"/>
        <v>22</v>
      </c>
      <c r="K206" s="8" t="b">
        <f t="shared" si="22"/>
        <v>1</v>
      </c>
    </row>
    <row r="207" spans="1:11">
      <c r="A207" s="21" t="s">
        <v>247</v>
      </c>
      <c r="B207" s="6">
        <v>45422</v>
      </c>
      <c r="C207" s="7">
        <v>0.7</v>
      </c>
      <c r="D207" s="5">
        <v>10.39</v>
      </c>
      <c r="E207" s="5">
        <v>392.4</v>
      </c>
      <c r="F207" s="5">
        <v>414.2</v>
      </c>
      <c r="G207" s="6">
        <v>45422</v>
      </c>
      <c r="H207" s="21"/>
      <c r="I207" s="21"/>
      <c r="J207" s="21">
        <f t="shared" si="21"/>
        <v>21.800000000000011</v>
      </c>
      <c r="K207" s="8" t="b">
        <f t="shared" si="22"/>
        <v>1</v>
      </c>
    </row>
    <row r="208" spans="1:11">
      <c r="A208" s="21" t="s">
        <v>247</v>
      </c>
      <c r="B208" s="6">
        <v>45429</v>
      </c>
      <c r="C208" s="7">
        <v>0.7</v>
      </c>
      <c r="D208" s="5">
        <v>10.39</v>
      </c>
      <c r="E208" s="5">
        <v>414.2</v>
      </c>
      <c r="F208" s="5">
        <v>435.6</v>
      </c>
      <c r="G208" s="6">
        <v>45429</v>
      </c>
      <c r="H208" s="21"/>
      <c r="I208" s="21"/>
      <c r="J208" s="21">
        <f t="shared" si="21"/>
        <v>21.400000000000034</v>
      </c>
      <c r="K208" s="8" t="b">
        <f t="shared" si="22"/>
        <v>1</v>
      </c>
    </row>
    <row r="209" spans="1:11">
      <c r="A209" s="21" t="s">
        <v>247</v>
      </c>
      <c r="B209" s="6">
        <v>45433</v>
      </c>
      <c r="C209" s="7">
        <v>0.7</v>
      </c>
      <c r="D209" s="5">
        <v>10.39</v>
      </c>
      <c r="E209" s="5">
        <v>435.6</v>
      </c>
      <c r="F209" s="5">
        <v>455.1</v>
      </c>
      <c r="G209" s="6">
        <v>45433</v>
      </c>
      <c r="H209" s="21"/>
      <c r="I209" s="21"/>
      <c r="J209" s="21">
        <f t="shared" si="21"/>
        <v>19.5</v>
      </c>
      <c r="K209" s="8" t="b">
        <f t="shared" si="22"/>
        <v>1</v>
      </c>
    </row>
    <row r="210" spans="1:11">
      <c r="A210" s="21" t="s">
        <v>247</v>
      </c>
      <c r="B210" s="6">
        <v>45436</v>
      </c>
      <c r="C210" s="7">
        <v>0.7</v>
      </c>
      <c r="D210" s="5">
        <v>10.39</v>
      </c>
      <c r="E210" s="5">
        <v>455.1</v>
      </c>
      <c r="F210" s="5">
        <v>476.1</v>
      </c>
      <c r="G210" s="6">
        <v>45436</v>
      </c>
      <c r="H210" s="21"/>
      <c r="I210" s="21"/>
      <c r="J210" s="21">
        <f t="shared" si="21"/>
        <v>21</v>
      </c>
      <c r="K210" s="8" t="b">
        <f t="shared" si="22"/>
        <v>1</v>
      </c>
    </row>
    <row r="211" spans="1:11">
      <c r="A211" s="21" t="s">
        <v>247</v>
      </c>
      <c r="B211" s="6">
        <v>45439</v>
      </c>
      <c r="C211" s="7">
        <v>0.7</v>
      </c>
      <c r="D211" s="5">
        <v>10.39</v>
      </c>
      <c r="E211" s="5">
        <v>476.1</v>
      </c>
      <c r="F211" s="5">
        <v>497.1</v>
      </c>
      <c r="G211" s="6">
        <v>45439</v>
      </c>
      <c r="H211" s="21"/>
      <c r="I211" s="21"/>
      <c r="J211" s="21">
        <f t="shared" si="21"/>
        <v>21</v>
      </c>
      <c r="K211" s="8" t="b">
        <f t="shared" si="22"/>
        <v>1</v>
      </c>
    </row>
    <row r="212" spans="1:11">
      <c r="A212" s="21" t="s">
        <v>247</v>
      </c>
      <c r="B212" s="6">
        <v>45443</v>
      </c>
      <c r="C212" s="7">
        <v>0.6</v>
      </c>
      <c r="D212" s="5">
        <v>12.12</v>
      </c>
      <c r="E212" s="5">
        <v>497.1</v>
      </c>
      <c r="F212" s="5">
        <v>522.1</v>
      </c>
      <c r="G212" s="6">
        <v>45443</v>
      </c>
      <c r="H212" s="21"/>
      <c r="I212" s="21"/>
      <c r="J212" s="21">
        <f t="shared" si="21"/>
        <v>25</v>
      </c>
      <c r="K212" s="8" t="b">
        <f t="shared" ref="K212:K221" si="23">E212=F211</f>
        <v>1</v>
      </c>
    </row>
    <row r="213" spans="1:11">
      <c r="A213" s="21" t="s">
        <v>247</v>
      </c>
      <c r="B213" s="6">
        <v>45445</v>
      </c>
      <c r="C213" s="7">
        <v>0.7</v>
      </c>
      <c r="D213" s="5">
        <v>10.39</v>
      </c>
      <c r="E213" s="5">
        <v>522.1</v>
      </c>
      <c r="F213" s="5">
        <v>543.1</v>
      </c>
      <c r="G213" s="6">
        <v>45445</v>
      </c>
      <c r="H213" s="21"/>
      <c r="I213" s="21"/>
      <c r="J213" s="21">
        <f t="shared" si="21"/>
        <v>21</v>
      </c>
      <c r="K213" s="8" t="b">
        <f t="shared" si="23"/>
        <v>1</v>
      </c>
    </row>
    <row r="214" spans="1:11">
      <c r="A214" s="21" t="s">
        <v>247</v>
      </c>
      <c r="B214" s="6">
        <v>45448</v>
      </c>
      <c r="C214" s="7">
        <v>0.7</v>
      </c>
      <c r="D214" s="5">
        <v>10.39</v>
      </c>
      <c r="E214" s="5">
        <v>543.1</v>
      </c>
      <c r="F214" s="5">
        <v>564.9</v>
      </c>
      <c r="G214" s="6">
        <v>45448</v>
      </c>
      <c r="H214" s="21"/>
      <c r="I214" s="21"/>
      <c r="J214" s="21">
        <f t="shared" si="21"/>
        <v>21.799999999999955</v>
      </c>
      <c r="K214" s="8" t="b">
        <f t="shared" si="23"/>
        <v>1</v>
      </c>
    </row>
    <row r="215" spans="1:11">
      <c r="A215" s="21" t="s">
        <v>247</v>
      </c>
      <c r="B215" s="6">
        <v>45451</v>
      </c>
      <c r="C215" s="7">
        <v>0.6</v>
      </c>
      <c r="D215" s="5">
        <v>12.12</v>
      </c>
      <c r="E215" s="5">
        <v>564.9</v>
      </c>
      <c r="F215" s="5">
        <v>590.4</v>
      </c>
      <c r="G215" s="6">
        <v>45451</v>
      </c>
      <c r="H215" s="21"/>
      <c r="I215" s="21"/>
      <c r="J215" s="21">
        <f t="shared" si="21"/>
        <v>25.5</v>
      </c>
      <c r="K215" s="8" t="b">
        <f t="shared" si="23"/>
        <v>1</v>
      </c>
    </row>
    <row r="216" spans="1:11">
      <c r="A216" s="21" t="s">
        <v>247</v>
      </c>
      <c r="B216" s="6">
        <v>45454</v>
      </c>
      <c r="C216" s="7">
        <v>0.6</v>
      </c>
      <c r="D216" s="5">
        <v>12.12</v>
      </c>
      <c r="E216" s="5">
        <v>590.4</v>
      </c>
      <c r="F216" s="5">
        <v>612.9</v>
      </c>
      <c r="G216" s="6">
        <v>45454</v>
      </c>
      <c r="H216" s="21"/>
      <c r="I216" s="21"/>
      <c r="J216" s="21">
        <f t="shared" si="21"/>
        <v>22.5</v>
      </c>
      <c r="K216" s="8" t="b">
        <f t="shared" si="23"/>
        <v>1</v>
      </c>
    </row>
    <row r="217" spans="1:11">
      <c r="A217" s="21" t="s">
        <v>247</v>
      </c>
      <c r="B217" s="6">
        <v>45459</v>
      </c>
      <c r="C217" s="7">
        <v>0.6</v>
      </c>
      <c r="D217" s="5">
        <v>12.12</v>
      </c>
      <c r="E217" s="5">
        <v>612.9</v>
      </c>
      <c r="F217" s="5">
        <v>637.4</v>
      </c>
      <c r="G217" s="6">
        <v>45459</v>
      </c>
      <c r="H217" s="21"/>
      <c r="I217" s="21"/>
      <c r="J217" s="21">
        <f t="shared" si="21"/>
        <v>24.5</v>
      </c>
      <c r="K217" s="8" t="b">
        <f t="shared" si="23"/>
        <v>1</v>
      </c>
    </row>
    <row r="218" spans="1:11">
      <c r="A218" s="21" t="s">
        <v>247</v>
      </c>
      <c r="B218" s="6">
        <v>45462</v>
      </c>
      <c r="C218" s="7">
        <v>0.6</v>
      </c>
      <c r="D218" s="5">
        <v>12.12</v>
      </c>
      <c r="E218" s="5">
        <v>637.4</v>
      </c>
      <c r="F218" s="5">
        <v>662.4</v>
      </c>
      <c r="G218" s="6">
        <v>45462</v>
      </c>
      <c r="H218" s="21"/>
      <c r="I218" s="21"/>
      <c r="J218" s="21">
        <f t="shared" si="21"/>
        <v>25</v>
      </c>
      <c r="K218" s="8" t="b">
        <f t="shared" si="23"/>
        <v>1</v>
      </c>
    </row>
    <row r="219" spans="1:11">
      <c r="A219" s="21" t="s">
        <v>247</v>
      </c>
      <c r="B219" s="6">
        <v>45471</v>
      </c>
      <c r="C219" s="7">
        <v>0.5</v>
      </c>
      <c r="D219" s="5">
        <v>14.54</v>
      </c>
      <c r="E219" s="5">
        <v>662.4</v>
      </c>
      <c r="F219" s="5">
        <v>677</v>
      </c>
      <c r="G219" s="6">
        <v>45471</v>
      </c>
      <c r="H219" s="21"/>
      <c r="I219" s="21"/>
      <c r="J219" s="21">
        <f t="shared" si="21"/>
        <v>14.600000000000023</v>
      </c>
      <c r="K219" s="8" t="b">
        <f t="shared" si="23"/>
        <v>1</v>
      </c>
    </row>
    <row r="220" spans="1:11">
      <c r="A220" s="21" t="s">
        <v>247</v>
      </c>
      <c r="B220" s="6">
        <v>45472</v>
      </c>
      <c r="C220" s="7">
        <v>0.5</v>
      </c>
      <c r="D220" s="5">
        <v>14.54</v>
      </c>
      <c r="E220" s="5">
        <v>677</v>
      </c>
      <c r="F220" s="5">
        <v>691.6</v>
      </c>
      <c r="G220" s="6">
        <v>45472</v>
      </c>
      <c r="H220" s="21"/>
      <c r="I220" s="21"/>
      <c r="J220" s="21">
        <f t="shared" si="21"/>
        <v>14.600000000000023</v>
      </c>
      <c r="K220" s="8" t="b">
        <f t="shared" si="23"/>
        <v>1</v>
      </c>
    </row>
    <row r="221" spans="1:11">
      <c r="A221" s="21" t="s">
        <v>247</v>
      </c>
      <c r="B221" s="6"/>
      <c r="C221" s="7"/>
      <c r="D221" s="5"/>
      <c r="E221" s="5"/>
      <c r="F221" s="5"/>
      <c r="G221" s="6"/>
      <c r="H221" s="21"/>
      <c r="I221" s="21"/>
      <c r="J221" s="21">
        <f t="shared" si="21"/>
        <v>0</v>
      </c>
      <c r="K221" s="8" t="b">
        <f t="shared" si="23"/>
        <v>0</v>
      </c>
    </row>
    <row r="222" spans="1:11">
      <c r="A222" s="21" t="s">
        <v>247</v>
      </c>
      <c r="B222" s="6"/>
      <c r="C222" s="7"/>
      <c r="D222" s="5"/>
      <c r="E222" s="5"/>
      <c r="F222" s="5"/>
      <c r="G222" s="6"/>
      <c r="H222" s="21"/>
      <c r="I222" s="21"/>
      <c r="J222" s="21">
        <f t="shared" ref="J222:J247" si="24">F222-E222</f>
        <v>0</v>
      </c>
      <c r="K222" s="8" t="b">
        <f t="shared" ref="K222:K247" si="25">E222=F221</f>
        <v>1</v>
      </c>
    </row>
    <row r="223" spans="1:11">
      <c r="A223" s="21" t="s">
        <v>247</v>
      </c>
      <c r="B223" s="6"/>
      <c r="C223" s="7"/>
      <c r="D223" s="5"/>
      <c r="E223" s="5"/>
      <c r="F223" s="5"/>
      <c r="G223" s="6"/>
      <c r="H223" s="21"/>
      <c r="I223" s="21"/>
      <c r="J223" s="21">
        <f t="shared" si="24"/>
        <v>0</v>
      </c>
      <c r="K223" s="8" t="b">
        <f t="shared" si="25"/>
        <v>1</v>
      </c>
    </row>
    <row r="224" spans="1:11">
      <c r="A224" s="21" t="s">
        <v>247</v>
      </c>
      <c r="B224" s="6"/>
      <c r="C224" s="7"/>
      <c r="D224" s="5"/>
      <c r="E224" s="5"/>
      <c r="F224" s="5"/>
      <c r="G224" s="6"/>
      <c r="H224" s="21"/>
      <c r="I224" s="21"/>
      <c r="J224" s="21">
        <f t="shared" si="24"/>
        <v>0</v>
      </c>
      <c r="K224" s="8" t="b">
        <f t="shared" si="25"/>
        <v>1</v>
      </c>
    </row>
    <row r="225" spans="1:11">
      <c r="A225" s="21" t="s">
        <v>247</v>
      </c>
      <c r="B225" s="6"/>
      <c r="C225" s="7"/>
      <c r="D225" s="5"/>
      <c r="E225" s="5"/>
      <c r="F225" s="5"/>
      <c r="G225" s="6"/>
      <c r="H225" s="21"/>
      <c r="I225" s="21"/>
      <c r="J225" s="21">
        <f t="shared" si="24"/>
        <v>0</v>
      </c>
      <c r="K225" s="8" t="b">
        <f t="shared" si="25"/>
        <v>1</v>
      </c>
    </row>
    <row r="226" spans="1:11">
      <c r="A226" s="21" t="s">
        <v>247</v>
      </c>
      <c r="B226" s="6"/>
      <c r="C226" s="7"/>
      <c r="D226" s="5"/>
      <c r="E226" s="5"/>
      <c r="F226" s="5"/>
      <c r="G226" s="6"/>
      <c r="H226" s="21"/>
      <c r="I226" s="21"/>
      <c r="J226" s="21">
        <f t="shared" si="24"/>
        <v>0</v>
      </c>
      <c r="K226" s="8" t="b">
        <f t="shared" si="25"/>
        <v>1</v>
      </c>
    </row>
    <row r="227" spans="1:11">
      <c r="A227" s="21" t="s">
        <v>247</v>
      </c>
      <c r="B227" s="6"/>
      <c r="C227" s="7"/>
      <c r="D227" s="5"/>
      <c r="E227" s="5"/>
      <c r="F227" s="5"/>
      <c r="G227" s="6"/>
      <c r="H227" s="21"/>
      <c r="I227" s="21"/>
      <c r="J227" s="21">
        <f t="shared" si="24"/>
        <v>0</v>
      </c>
      <c r="K227" s="8" t="b">
        <f t="shared" si="25"/>
        <v>1</v>
      </c>
    </row>
    <row r="228" spans="1:11">
      <c r="A228" s="21" t="s">
        <v>247</v>
      </c>
      <c r="B228" s="6"/>
      <c r="C228" s="7"/>
      <c r="D228" s="5"/>
      <c r="E228" s="5"/>
      <c r="F228" s="5"/>
      <c r="G228" s="6"/>
      <c r="H228" s="21"/>
      <c r="I228" s="21"/>
      <c r="J228" s="21">
        <f t="shared" si="24"/>
        <v>0</v>
      </c>
      <c r="K228" s="8" t="b">
        <f t="shared" si="25"/>
        <v>1</v>
      </c>
    </row>
    <row r="229" spans="1:11">
      <c r="A229" s="21" t="s">
        <v>247</v>
      </c>
      <c r="B229" s="6"/>
      <c r="C229" s="7"/>
      <c r="D229" s="5"/>
      <c r="E229" s="5"/>
      <c r="F229" s="5"/>
      <c r="G229" s="6"/>
      <c r="H229" s="21"/>
      <c r="I229" s="21"/>
      <c r="J229" s="21">
        <f t="shared" si="24"/>
        <v>0</v>
      </c>
      <c r="K229" s="8" t="b">
        <f t="shared" si="25"/>
        <v>1</v>
      </c>
    </row>
    <row r="230" spans="1:11">
      <c r="A230" s="21" t="s">
        <v>247</v>
      </c>
      <c r="B230" s="6"/>
      <c r="C230" s="7"/>
      <c r="D230" s="5"/>
      <c r="E230" s="5"/>
      <c r="F230" s="5"/>
      <c r="G230" s="6"/>
      <c r="H230" s="21"/>
      <c r="I230" s="21"/>
      <c r="J230" s="21">
        <f t="shared" si="24"/>
        <v>0</v>
      </c>
      <c r="K230" s="8" t="b">
        <f t="shared" si="25"/>
        <v>1</v>
      </c>
    </row>
    <row r="231" spans="1:11">
      <c r="A231" s="21" t="s">
        <v>247</v>
      </c>
      <c r="B231" s="6"/>
      <c r="C231" s="7"/>
      <c r="D231" s="5"/>
      <c r="E231" s="5"/>
      <c r="F231" s="5"/>
      <c r="G231" s="6"/>
      <c r="H231" s="21"/>
      <c r="I231" s="21"/>
      <c r="J231" s="21">
        <f t="shared" si="24"/>
        <v>0</v>
      </c>
      <c r="K231" s="8" t="b">
        <f t="shared" si="25"/>
        <v>1</v>
      </c>
    </row>
    <row r="232" spans="1:11">
      <c r="A232" s="21" t="s">
        <v>247</v>
      </c>
      <c r="B232" s="6"/>
      <c r="C232" s="7"/>
      <c r="D232" s="5"/>
      <c r="E232" s="5"/>
      <c r="F232" s="5"/>
      <c r="G232" s="6"/>
      <c r="H232" s="21"/>
      <c r="I232" s="21"/>
      <c r="J232" s="21">
        <f t="shared" si="24"/>
        <v>0</v>
      </c>
      <c r="K232" s="8" t="b">
        <f t="shared" si="25"/>
        <v>1</v>
      </c>
    </row>
    <row r="233" spans="1:11">
      <c r="A233" s="21" t="s">
        <v>247</v>
      </c>
      <c r="B233" s="6"/>
      <c r="C233" s="7"/>
      <c r="D233" s="5"/>
      <c r="E233" s="5"/>
      <c r="F233" s="5"/>
      <c r="G233" s="6"/>
      <c r="H233" s="21"/>
      <c r="I233" s="21"/>
      <c r="J233" s="21">
        <f t="shared" si="24"/>
        <v>0</v>
      </c>
      <c r="K233" s="8" t="b">
        <f t="shared" si="25"/>
        <v>1</v>
      </c>
    </row>
    <row r="234" spans="1:11">
      <c r="A234" s="21" t="s">
        <v>247</v>
      </c>
      <c r="B234" s="6"/>
      <c r="C234" s="7"/>
      <c r="D234" s="5"/>
      <c r="E234" s="5"/>
      <c r="F234" s="5"/>
      <c r="G234" s="6"/>
      <c r="H234" s="21"/>
      <c r="I234" s="21"/>
      <c r="J234" s="21">
        <f t="shared" si="24"/>
        <v>0</v>
      </c>
      <c r="K234" s="8" t="b">
        <f t="shared" si="25"/>
        <v>1</v>
      </c>
    </row>
    <row r="235" spans="1:11">
      <c r="A235" s="21" t="s">
        <v>247</v>
      </c>
      <c r="B235" s="6"/>
      <c r="C235" s="7"/>
      <c r="D235" s="5"/>
      <c r="E235" s="5"/>
      <c r="F235" s="5"/>
      <c r="G235" s="6"/>
      <c r="H235" s="21"/>
      <c r="I235" s="21"/>
      <c r="J235" s="21">
        <f t="shared" si="24"/>
        <v>0</v>
      </c>
      <c r="K235" s="8" t="b">
        <f t="shared" si="25"/>
        <v>1</v>
      </c>
    </row>
    <row r="236" spans="1:11">
      <c r="A236" s="21" t="s">
        <v>247</v>
      </c>
      <c r="B236" s="6"/>
      <c r="C236" s="7"/>
      <c r="D236" s="5"/>
      <c r="E236" s="5"/>
      <c r="F236" s="5"/>
      <c r="G236" s="6"/>
      <c r="H236" s="21"/>
      <c r="I236" s="21"/>
      <c r="J236" s="21">
        <f t="shared" si="24"/>
        <v>0</v>
      </c>
      <c r="K236" s="8" t="b">
        <f t="shared" si="25"/>
        <v>1</v>
      </c>
    </row>
    <row r="237" spans="1:11">
      <c r="A237" s="21" t="s">
        <v>247</v>
      </c>
      <c r="B237" s="6"/>
      <c r="C237" s="7"/>
      <c r="D237" s="5"/>
      <c r="E237" s="5"/>
      <c r="F237" s="5"/>
      <c r="G237" s="6"/>
      <c r="H237" s="21"/>
      <c r="I237" s="21"/>
      <c r="J237" s="21">
        <f t="shared" si="24"/>
        <v>0</v>
      </c>
      <c r="K237" s="8" t="b">
        <f t="shared" si="25"/>
        <v>1</v>
      </c>
    </row>
    <row r="238" spans="1:11">
      <c r="A238" s="21" t="s">
        <v>247</v>
      </c>
      <c r="B238" s="6"/>
      <c r="C238" s="7"/>
      <c r="D238" s="5"/>
      <c r="E238" s="5"/>
      <c r="F238" s="5"/>
      <c r="G238" s="6"/>
      <c r="H238" s="21"/>
      <c r="I238" s="21"/>
      <c r="J238" s="21">
        <f t="shared" si="24"/>
        <v>0</v>
      </c>
      <c r="K238" s="8" t="b">
        <f t="shared" si="25"/>
        <v>1</v>
      </c>
    </row>
    <row r="239" spans="1:11">
      <c r="A239" s="21" t="s">
        <v>247</v>
      </c>
      <c r="B239" s="6"/>
      <c r="C239" s="7"/>
      <c r="D239" s="5"/>
      <c r="E239" s="5"/>
      <c r="F239" s="5"/>
      <c r="G239" s="6"/>
      <c r="H239" s="21"/>
      <c r="I239" s="21"/>
      <c r="J239" s="21">
        <f t="shared" si="24"/>
        <v>0</v>
      </c>
      <c r="K239" s="8" t="b">
        <f t="shared" si="25"/>
        <v>1</v>
      </c>
    </row>
    <row r="240" spans="1:11">
      <c r="A240" s="21" t="s">
        <v>247</v>
      </c>
      <c r="B240" s="6"/>
      <c r="C240" s="7"/>
      <c r="D240" s="5"/>
      <c r="E240" s="5"/>
      <c r="F240" s="5"/>
      <c r="G240" s="6"/>
      <c r="H240" s="21"/>
      <c r="I240" s="21"/>
      <c r="J240" s="21">
        <f t="shared" si="24"/>
        <v>0</v>
      </c>
      <c r="K240" s="8" t="b">
        <f t="shared" si="25"/>
        <v>1</v>
      </c>
    </row>
    <row r="241" spans="1:11">
      <c r="A241" s="21" t="s">
        <v>247</v>
      </c>
      <c r="B241" s="6"/>
      <c r="C241" s="7"/>
      <c r="D241" s="5"/>
      <c r="E241" s="5"/>
      <c r="F241" s="5"/>
      <c r="G241" s="6"/>
      <c r="H241" s="21"/>
      <c r="I241" s="21"/>
      <c r="J241" s="21">
        <f t="shared" si="24"/>
        <v>0</v>
      </c>
      <c r="K241" s="8" t="b">
        <f t="shared" si="25"/>
        <v>1</v>
      </c>
    </row>
    <row r="242" spans="1:11">
      <c r="A242" s="21" t="s">
        <v>247</v>
      </c>
      <c r="B242" s="6"/>
      <c r="C242" s="7"/>
      <c r="D242" s="5"/>
      <c r="E242" s="5"/>
      <c r="F242" s="5"/>
      <c r="G242" s="6"/>
      <c r="H242" s="21"/>
      <c r="I242" s="21"/>
      <c r="J242" s="21">
        <f t="shared" si="24"/>
        <v>0</v>
      </c>
      <c r="K242" s="8" t="b">
        <f t="shared" si="25"/>
        <v>1</v>
      </c>
    </row>
    <row r="243" spans="1:11">
      <c r="A243" s="21" t="s">
        <v>247</v>
      </c>
      <c r="B243" s="6"/>
      <c r="C243" s="7"/>
      <c r="D243" s="5"/>
      <c r="E243" s="5"/>
      <c r="F243" s="5"/>
      <c r="G243" s="6"/>
      <c r="H243" s="21"/>
      <c r="I243" s="21"/>
      <c r="J243" s="21">
        <f t="shared" si="24"/>
        <v>0</v>
      </c>
      <c r="K243" s="8" t="b">
        <f t="shared" si="25"/>
        <v>1</v>
      </c>
    </row>
    <row r="244" spans="1:11">
      <c r="A244" s="21" t="s">
        <v>247</v>
      </c>
      <c r="B244" s="6"/>
      <c r="C244" s="7"/>
      <c r="D244" s="5"/>
      <c r="E244" s="5"/>
      <c r="F244" s="5"/>
      <c r="G244" s="6"/>
      <c r="H244" s="21"/>
      <c r="I244" s="21"/>
      <c r="J244" s="21">
        <f t="shared" si="24"/>
        <v>0</v>
      </c>
      <c r="K244" s="8" t="b">
        <f t="shared" si="25"/>
        <v>1</v>
      </c>
    </row>
    <row r="245" spans="1:11">
      <c r="A245" s="21" t="s">
        <v>247</v>
      </c>
      <c r="B245" s="6"/>
      <c r="C245" s="7"/>
      <c r="D245" s="5"/>
      <c r="E245" s="5"/>
      <c r="F245" s="5"/>
      <c r="G245" s="6"/>
      <c r="H245" s="21"/>
      <c r="I245" s="21"/>
      <c r="J245" s="21">
        <f t="shared" si="24"/>
        <v>0</v>
      </c>
      <c r="K245" s="8" t="b">
        <f t="shared" si="25"/>
        <v>1</v>
      </c>
    </row>
    <row r="246" spans="1:11">
      <c r="A246" s="21" t="s">
        <v>247</v>
      </c>
      <c r="B246" s="6"/>
      <c r="C246" s="7"/>
      <c r="D246" s="5"/>
      <c r="E246" s="5"/>
      <c r="F246" s="5"/>
      <c r="G246" s="6"/>
      <c r="H246" s="21"/>
      <c r="I246" s="21"/>
      <c r="J246" s="21">
        <f t="shared" si="24"/>
        <v>0</v>
      </c>
      <c r="K246" s="8" t="b">
        <f t="shared" si="25"/>
        <v>1</v>
      </c>
    </row>
    <row r="247" spans="1:11">
      <c r="A247" s="21" t="s">
        <v>247</v>
      </c>
      <c r="B247" s="6"/>
      <c r="C247" s="7"/>
      <c r="D247" s="5"/>
      <c r="E247" s="5"/>
      <c r="F247" s="5"/>
      <c r="G247" s="6"/>
      <c r="H247" s="21"/>
      <c r="I247" s="21"/>
      <c r="J247" s="21">
        <f t="shared" si="24"/>
        <v>0</v>
      </c>
      <c r="K247" s="8" t="b">
        <f t="shared" si="25"/>
        <v>1</v>
      </c>
    </row>
  </sheetData>
  <mergeCells count="12">
    <mergeCell ref="A177:K177"/>
    <mergeCell ref="A178:K178"/>
    <mergeCell ref="A180:K180"/>
    <mergeCell ref="A60:K60"/>
    <mergeCell ref="A61:K61"/>
    <mergeCell ref="A63:K63"/>
    <mergeCell ref="A41:K41"/>
    <mergeCell ref="A1:K1"/>
    <mergeCell ref="A2:K2"/>
    <mergeCell ref="A4:K4"/>
    <mergeCell ref="A38:K38"/>
    <mergeCell ref="A39:K39"/>
  </mergeCells>
  <conditionalFormatting sqref="K1:K2 K4 K7:K36 K38:K39 K41 K44:K61 K63 K66:K178 K180 K183:K247">
    <cfRule type="cellIs" dxfId="57" priority="1" operator="equal">
      <formula>TRUE</formula>
    </cfRule>
    <cfRule type="cellIs" dxfId="56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95DA-0D4B-4008-9A8F-634654B9C67A}">
  <sheetPr codeName="Planilha23"/>
  <dimension ref="A1:K202"/>
  <sheetViews>
    <sheetView topLeftCell="A174" workbookViewId="0">
      <selection activeCell="G195" sqref="G195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251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252</v>
      </c>
      <c r="B8" s="6">
        <v>44773</v>
      </c>
      <c r="C8" s="7">
        <v>0.7</v>
      </c>
      <c r="D8" s="5"/>
      <c r="E8" s="5">
        <v>447.7</v>
      </c>
      <c r="F8" s="5">
        <v>463.6</v>
      </c>
      <c r="G8" s="6">
        <v>44773</v>
      </c>
      <c r="H8" s="5"/>
      <c r="I8" s="5"/>
      <c r="J8" s="5">
        <f>F8-E8</f>
        <v>15.900000000000034</v>
      </c>
      <c r="K8" s="8" t="b">
        <f>E8=F8</f>
        <v>0</v>
      </c>
    </row>
    <row r="9" spans="1:11">
      <c r="A9" s="5" t="s">
        <v>252</v>
      </c>
      <c r="B9" s="6">
        <v>44775</v>
      </c>
      <c r="C9" s="7">
        <v>1</v>
      </c>
      <c r="D9" s="5"/>
      <c r="E9" s="5">
        <v>463.6</v>
      </c>
      <c r="F9" s="5">
        <v>488.2</v>
      </c>
      <c r="G9" s="6">
        <v>44775</v>
      </c>
      <c r="H9" s="5"/>
      <c r="I9" s="5"/>
      <c r="J9" s="5">
        <f>F9-E9</f>
        <v>24.599999999999966</v>
      </c>
      <c r="K9" s="8" t="b">
        <f>E9=F8</f>
        <v>1</v>
      </c>
    </row>
    <row r="10" spans="1:11">
      <c r="A10" s="5" t="s">
        <v>252</v>
      </c>
      <c r="B10" s="6">
        <v>44777</v>
      </c>
      <c r="C10" s="7">
        <v>0.7</v>
      </c>
      <c r="D10" s="5"/>
      <c r="E10" s="5">
        <v>488.2</v>
      </c>
      <c r="F10" s="5">
        <v>508.6</v>
      </c>
      <c r="G10" s="6">
        <v>44777</v>
      </c>
      <c r="H10" s="5"/>
      <c r="I10" s="5"/>
      <c r="J10" s="5">
        <f>F10-E10</f>
        <v>20.400000000000034</v>
      </c>
      <c r="K10" s="8" t="b">
        <f t="shared" ref="K10:K33" si="0">E10=F9</f>
        <v>1</v>
      </c>
    </row>
    <row r="11" spans="1:11">
      <c r="A11" s="5" t="s">
        <v>252</v>
      </c>
      <c r="B11" s="6">
        <v>44780</v>
      </c>
      <c r="C11" s="7">
        <v>0.7</v>
      </c>
      <c r="D11" s="5"/>
      <c r="E11" s="5">
        <v>508.6</v>
      </c>
      <c r="F11" s="5">
        <v>528.6</v>
      </c>
      <c r="G11" s="6">
        <v>44780</v>
      </c>
      <c r="H11" s="5"/>
      <c r="I11" s="5"/>
      <c r="J11" s="5">
        <f>F11-E11</f>
        <v>20</v>
      </c>
      <c r="K11" s="8" t="b">
        <f t="shared" si="0"/>
        <v>1</v>
      </c>
    </row>
    <row r="12" spans="1:11">
      <c r="A12" s="5" t="s">
        <v>252</v>
      </c>
      <c r="B12" s="6">
        <v>44782</v>
      </c>
      <c r="C12" s="7">
        <v>0.8</v>
      </c>
      <c r="D12" s="5"/>
      <c r="E12" s="5">
        <v>528.6</v>
      </c>
      <c r="F12" s="5">
        <v>546.1</v>
      </c>
      <c r="G12" s="6">
        <v>44782</v>
      </c>
      <c r="H12" s="5"/>
      <c r="I12" s="5"/>
      <c r="J12" s="5">
        <f t="shared" ref="J12:J24" si="1">F12-E12</f>
        <v>17.5</v>
      </c>
      <c r="K12" s="8" t="b">
        <f t="shared" si="0"/>
        <v>1</v>
      </c>
    </row>
    <row r="13" spans="1:11">
      <c r="A13" s="5" t="s">
        <v>252</v>
      </c>
      <c r="B13" s="6">
        <v>44784</v>
      </c>
      <c r="C13" s="7">
        <v>0.8</v>
      </c>
      <c r="D13" s="5"/>
      <c r="E13" s="5">
        <v>546.1</v>
      </c>
      <c r="F13" s="5">
        <v>564.6</v>
      </c>
      <c r="G13" s="6">
        <v>44784</v>
      </c>
      <c r="H13" s="5"/>
      <c r="I13" s="5"/>
      <c r="J13" s="5">
        <f t="shared" si="1"/>
        <v>18.5</v>
      </c>
      <c r="K13" s="8" t="b">
        <f t="shared" si="0"/>
        <v>1</v>
      </c>
    </row>
    <row r="14" spans="1:11">
      <c r="A14" s="5" t="s">
        <v>252</v>
      </c>
      <c r="B14" s="6">
        <v>44786</v>
      </c>
      <c r="C14" s="7">
        <v>0.8</v>
      </c>
      <c r="D14" s="5"/>
      <c r="E14" s="5">
        <v>564.6</v>
      </c>
      <c r="F14" s="5">
        <v>581</v>
      </c>
      <c r="G14" s="6">
        <v>44786</v>
      </c>
      <c r="H14" s="5"/>
      <c r="I14" s="5"/>
      <c r="J14" s="5">
        <f t="shared" si="1"/>
        <v>16.399999999999977</v>
      </c>
      <c r="K14" s="8" t="b">
        <f t="shared" si="0"/>
        <v>1</v>
      </c>
    </row>
    <row r="15" spans="1:11">
      <c r="A15" s="5" t="s">
        <v>252</v>
      </c>
      <c r="B15" s="6">
        <v>44790</v>
      </c>
      <c r="C15" s="7">
        <v>0.8</v>
      </c>
      <c r="D15" s="5"/>
      <c r="E15" s="5">
        <v>581</v>
      </c>
      <c r="F15" s="5">
        <v>598.9</v>
      </c>
      <c r="G15" s="6">
        <v>44790</v>
      </c>
      <c r="H15" s="5"/>
      <c r="I15" s="5"/>
      <c r="J15" s="5">
        <f t="shared" si="1"/>
        <v>17.899999999999977</v>
      </c>
      <c r="K15" s="8" t="b">
        <f t="shared" si="0"/>
        <v>1</v>
      </c>
    </row>
    <row r="16" spans="1:11">
      <c r="A16" s="5" t="s">
        <v>252</v>
      </c>
      <c r="B16" s="6">
        <v>44792</v>
      </c>
      <c r="C16" s="7">
        <v>0.7</v>
      </c>
      <c r="D16" s="5"/>
      <c r="E16" s="5">
        <v>598.9</v>
      </c>
      <c r="F16" s="5">
        <v>618.9</v>
      </c>
      <c r="G16" s="6">
        <v>44792</v>
      </c>
      <c r="H16" s="5"/>
      <c r="I16" s="5"/>
      <c r="J16" s="5">
        <f t="shared" si="1"/>
        <v>20</v>
      </c>
      <c r="K16" s="8" t="b">
        <f t="shared" si="0"/>
        <v>1</v>
      </c>
    </row>
    <row r="17" spans="1:11">
      <c r="A17" s="5" t="s">
        <v>252</v>
      </c>
      <c r="B17" s="6">
        <v>44794</v>
      </c>
      <c r="C17" s="7">
        <v>0.7</v>
      </c>
      <c r="D17" s="5"/>
      <c r="E17" s="5">
        <v>618.9</v>
      </c>
      <c r="F17" s="5">
        <v>638.9</v>
      </c>
      <c r="G17" s="6">
        <v>44794</v>
      </c>
      <c r="H17" s="5"/>
      <c r="I17" s="5"/>
      <c r="J17" s="5">
        <f t="shared" si="1"/>
        <v>20</v>
      </c>
      <c r="K17" s="8" t="b">
        <f t="shared" si="0"/>
        <v>1</v>
      </c>
    </row>
    <row r="18" spans="1:11">
      <c r="A18" s="5" t="s">
        <v>252</v>
      </c>
      <c r="B18" s="6">
        <v>44796</v>
      </c>
      <c r="C18" s="7">
        <v>0.7</v>
      </c>
      <c r="D18" s="5"/>
      <c r="E18" s="5">
        <v>638.9</v>
      </c>
      <c r="F18" s="5">
        <v>659.1</v>
      </c>
      <c r="G18" s="6">
        <v>44796</v>
      </c>
      <c r="H18" s="5"/>
      <c r="I18" s="5"/>
      <c r="J18" s="5">
        <f t="shared" si="1"/>
        <v>20.200000000000045</v>
      </c>
      <c r="K18" s="8" t="b">
        <f t="shared" si="0"/>
        <v>1</v>
      </c>
    </row>
    <row r="19" spans="1:11">
      <c r="A19" s="5" t="s">
        <v>252</v>
      </c>
      <c r="B19" s="6">
        <v>44798</v>
      </c>
      <c r="C19" s="7">
        <v>0.7</v>
      </c>
      <c r="D19" s="5"/>
      <c r="E19" s="5">
        <v>659.1</v>
      </c>
      <c r="F19" s="5">
        <v>674.2</v>
      </c>
      <c r="G19" s="6">
        <v>44798</v>
      </c>
      <c r="H19" s="5"/>
      <c r="I19" s="5"/>
      <c r="J19" s="5">
        <f t="shared" si="1"/>
        <v>15.100000000000023</v>
      </c>
      <c r="K19" s="8" t="b">
        <f t="shared" si="0"/>
        <v>1</v>
      </c>
    </row>
    <row r="20" spans="1:11">
      <c r="A20" s="5" t="s">
        <v>252</v>
      </c>
      <c r="B20" s="6">
        <v>44800</v>
      </c>
      <c r="C20" s="7">
        <v>0.7</v>
      </c>
      <c r="D20" s="5"/>
      <c r="E20" s="5">
        <v>674.2</v>
      </c>
      <c r="F20" s="5">
        <v>692.2</v>
      </c>
      <c r="G20" s="6">
        <v>44800</v>
      </c>
      <c r="H20" s="5"/>
      <c r="I20" s="5"/>
      <c r="J20" s="5">
        <f t="shared" si="1"/>
        <v>18</v>
      </c>
      <c r="K20" s="8" t="b">
        <f t="shared" si="0"/>
        <v>1</v>
      </c>
    </row>
    <row r="21" spans="1:11">
      <c r="A21" s="5" t="s">
        <v>252</v>
      </c>
      <c r="B21" s="6">
        <v>44802</v>
      </c>
      <c r="C21" s="7">
        <v>0.8</v>
      </c>
      <c r="D21" s="5"/>
      <c r="E21" s="5">
        <v>692.2</v>
      </c>
      <c r="F21" s="5">
        <v>711.1</v>
      </c>
      <c r="G21" s="6">
        <v>44802</v>
      </c>
      <c r="H21" s="5"/>
      <c r="I21" s="5"/>
      <c r="J21" s="5">
        <f t="shared" si="1"/>
        <v>18.899999999999977</v>
      </c>
      <c r="K21" s="8" t="b">
        <f t="shared" si="0"/>
        <v>1</v>
      </c>
    </row>
    <row r="22" spans="1:11">
      <c r="A22" s="5" t="s">
        <v>252</v>
      </c>
      <c r="B22" s="6">
        <v>44804</v>
      </c>
      <c r="C22" s="7">
        <v>0.7</v>
      </c>
      <c r="D22" s="5"/>
      <c r="E22" s="5">
        <v>711.1</v>
      </c>
      <c r="F22" s="5">
        <v>737.6</v>
      </c>
      <c r="G22" s="6">
        <v>44804</v>
      </c>
      <c r="H22" s="5"/>
      <c r="I22" s="5"/>
      <c r="J22" s="5">
        <f t="shared" si="1"/>
        <v>26.5</v>
      </c>
      <c r="K22" s="8" t="b">
        <f t="shared" si="0"/>
        <v>1</v>
      </c>
    </row>
    <row r="23" spans="1:11">
      <c r="A23" s="5" t="s">
        <v>252</v>
      </c>
      <c r="B23" s="6">
        <v>44806</v>
      </c>
      <c r="C23" s="7">
        <v>1</v>
      </c>
      <c r="D23" s="5"/>
      <c r="E23" s="5">
        <v>737.6</v>
      </c>
      <c r="F23" s="5">
        <v>758</v>
      </c>
      <c r="G23" s="6">
        <v>44806</v>
      </c>
      <c r="H23" s="5"/>
      <c r="I23" s="5"/>
      <c r="J23" s="5">
        <f t="shared" si="1"/>
        <v>20.399999999999977</v>
      </c>
      <c r="K23" s="8" t="b">
        <f t="shared" si="0"/>
        <v>1</v>
      </c>
    </row>
    <row r="24" spans="1:11">
      <c r="A24" s="5" t="s">
        <v>252</v>
      </c>
      <c r="B24" s="6">
        <v>44808</v>
      </c>
      <c r="C24" s="7">
        <v>0.7</v>
      </c>
      <c r="D24" s="5"/>
      <c r="E24" s="5">
        <v>758</v>
      </c>
      <c r="F24" s="5">
        <v>778.1</v>
      </c>
      <c r="G24" s="6">
        <v>44808</v>
      </c>
      <c r="H24" s="5"/>
      <c r="I24" s="5"/>
      <c r="J24" s="5">
        <f t="shared" si="1"/>
        <v>20.100000000000023</v>
      </c>
      <c r="K24" s="8" t="b">
        <f t="shared" si="0"/>
        <v>1</v>
      </c>
    </row>
    <row r="25" spans="1:11">
      <c r="A25" s="5" t="s">
        <v>252</v>
      </c>
      <c r="B25" s="6">
        <v>44813</v>
      </c>
      <c r="C25" s="7">
        <v>0.7</v>
      </c>
      <c r="D25" s="5"/>
      <c r="E25" s="5">
        <v>778.1</v>
      </c>
      <c r="F25" s="5">
        <v>798.2</v>
      </c>
      <c r="G25" s="6">
        <v>44813</v>
      </c>
      <c r="H25" s="5"/>
      <c r="I25" s="5"/>
      <c r="J25" s="5">
        <f t="shared" ref="J25:J33" si="2">F25-E25</f>
        <v>20.100000000000023</v>
      </c>
      <c r="K25" s="8" t="b">
        <f t="shared" si="0"/>
        <v>1</v>
      </c>
    </row>
    <row r="26" spans="1:11">
      <c r="A26" s="5" t="s">
        <v>252</v>
      </c>
      <c r="B26" s="6">
        <v>44815</v>
      </c>
      <c r="C26" s="7">
        <v>0.7</v>
      </c>
      <c r="D26" s="5"/>
      <c r="E26" s="5">
        <v>798.2</v>
      </c>
      <c r="F26" s="5">
        <v>808.4</v>
      </c>
      <c r="G26" s="6">
        <v>44815</v>
      </c>
      <c r="H26" s="5"/>
      <c r="I26" s="5"/>
      <c r="J26" s="5">
        <f t="shared" si="2"/>
        <v>10.199999999999932</v>
      </c>
      <c r="K26" s="8" t="b">
        <f t="shared" si="0"/>
        <v>1</v>
      </c>
    </row>
    <row r="27" spans="1:11">
      <c r="A27" s="5" t="s">
        <v>252</v>
      </c>
      <c r="B27" s="6">
        <v>44817</v>
      </c>
      <c r="C27" s="7">
        <v>0.7</v>
      </c>
      <c r="D27" s="5"/>
      <c r="E27" s="5">
        <v>808.4</v>
      </c>
      <c r="F27" s="5">
        <v>827.9</v>
      </c>
      <c r="G27" s="6">
        <v>44817</v>
      </c>
      <c r="H27" s="5"/>
      <c r="I27" s="5"/>
      <c r="J27" s="5">
        <f t="shared" si="2"/>
        <v>19.5</v>
      </c>
      <c r="K27" s="8" t="b">
        <f t="shared" si="0"/>
        <v>1</v>
      </c>
    </row>
    <row r="28" spans="1:11">
      <c r="A28" s="5" t="s">
        <v>252</v>
      </c>
      <c r="B28" s="6">
        <v>44819</v>
      </c>
      <c r="C28" s="7">
        <v>1</v>
      </c>
      <c r="D28" s="5"/>
      <c r="E28" s="5">
        <v>827.9</v>
      </c>
      <c r="F28" s="5">
        <v>852.8</v>
      </c>
      <c r="G28" s="6">
        <v>44819</v>
      </c>
      <c r="H28" s="5"/>
      <c r="I28" s="5"/>
      <c r="J28" s="5">
        <f t="shared" si="2"/>
        <v>24.899999999999977</v>
      </c>
      <c r="K28" s="8" t="b">
        <f t="shared" si="0"/>
        <v>1</v>
      </c>
    </row>
    <row r="29" spans="1:11">
      <c r="A29" s="5" t="s">
        <v>252</v>
      </c>
      <c r="B29" s="6">
        <v>44821</v>
      </c>
      <c r="C29" s="7">
        <v>0.7</v>
      </c>
      <c r="D29" s="5"/>
      <c r="E29" s="5">
        <v>852.8</v>
      </c>
      <c r="F29" s="5">
        <v>872.8</v>
      </c>
      <c r="G29" s="6">
        <v>44821</v>
      </c>
      <c r="H29" s="5"/>
      <c r="I29" s="5"/>
      <c r="J29" s="5">
        <f t="shared" si="2"/>
        <v>20</v>
      </c>
      <c r="K29" s="8" t="b">
        <f t="shared" si="0"/>
        <v>1</v>
      </c>
    </row>
    <row r="30" spans="1:11">
      <c r="A30" s="5" t="s">
        <v>252</v>
      </c>
      <c r="B30" s="6">
        <v>44823</v>
      </c>
      <c r="C30" s="7">
        <v>0.7</v>
      </c>
      <c r="D30" s="5"/>
      <c r="E30" s="5">
        <v>872.8</v>
      </c>
      <c r="F30" s="5">
        <v>892.9</v>
      </c>
      <c r="G30" s="6">
        <v>44823</v>
      </c>
      <c r="H30" s="5"/>
      <c r="I30" s="5"/>
      <c r="J30" s="5">
        <f t="shared" si="2"/>
        <v>20.100000000000023</v>
      </c>
      <c r="K30" s="8" t="b">
        <f t="shared" si="0"/>
        <v>1</v>
      </c>
    </row>
    <row r="31" spans="1:11">
      <c r="A31" s="5" t="s">
        <v>252</v>
      </c>
      <c r="B31" s="6">
        <v>44825</v>
      </c>
      <c r="C31" s="7">
        <v>0.7</v>
      </c>
      <c r="D31" s="5"/>
      <c r="E31" s="5">
        <v>892.9</v>
      </c>
      <c r="F31" s="5">
        <v>913</v>
      </c>
      <c r="G31" s="6">
        <v>44825</v>
      </c>
      <c r="H31" s="5"/>
      <c r="I31" s="5"/>
      <c r="J31" s="5">
        <f t="shared" si="2"/>
        <v>20.100000000000023</v>
      </c>
      <c r="K31" s="8" t="b">
        <f t="shared" si="0"/>
        <v>1</v>
      </c>
    </row>
    <row r="32" spans="1:11">
      <c r="A32" s="5" t="s">
        <v>252</v>
      </c>
      <c r="B32" s="6">
        <v>44828</v>
      </c>
      <c r="C32" s="7">
        <v>0.7</v>
      </c>
      <c r="D32" s="5"/>
      <c r="E32" s="5">
        <v>913</v>
      </c>
      <c r="F32" s="5">
        <v>933.1</v>
      </c>
      <c r="G32" s="6">
        <v>44828</v>
      </c>
      <c r="H32" s="5"/>
      <c r="I32" s="5"/>
      <c r="J32" s="5">
        <f t="shared" si="2"/>
        <v>20.100000000000023</v>
      </c>
      <c r="K32" s="8" t="b">
        <f t="shared" si="0"/>
        <v>1</v>
      </c>
    </row>
    <row r="33" spans="1:11">
      <c r="A33" s="5" t="s">
        <v>252</v>
      </c>
      <c r="B33" s="6"/>
      <c r="C33" s="7"/>
      <c r="D33" s="5"/>
      <c r="E33" s="5"/>
      <c r="F33" s="5"/>
      <c r="G33" s="6"/>
      <c r="H33" s="5"/>
      <c r="I33" s="5"/>
      <c r="J33" s="5">
        <f t="shared" si="2"/>
        <v>0</v>
      </c>
      <c r="K33" s="8" t="b">
        <f t="shared" si="0"/>
        <v>0</v>
      </c>
    </row>
    <row r="35" spans="1:11" ht="26.25">
      <c r="A35" s="126" t="s">
        <v>251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8"/>
    </row>
    <row r="36" spans="1:11" ht="26.25">
      <c r="A36" s="129" t="s">
        <v>17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1"/>
    </row>
    <row r="37" spans="1:11" ht="15.75" thickBot="1"/>
    <row r="38" spans="1:11" ht="15.75" thickBot="1">
      <c r="A38" s="132" t="s">
        <v>2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4"/>
    </row>
    <row r="40" spans="1:11" ht="19.5" thickBot="1">
      <c r="A40" s="1" t="s">
        <v>3</v>
      </c>
      <c r="B40" s="1"/>
      <c r="C40" s="1"/>
      <c r="D40" s="1"/>
      <c r="E40" s="1"/>
      <c r="F40" s="1"/>
      <c r="G40" s="1"/>
      <c r="H40" s="1"/>
      <c r="I40" s="1"/>
    </row>
    <row r="41" spans="1:11" ht="30.75" thickBot="1">
      <c r="A41" s="2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21</v>
      </c>
      <c r="I41" s="4" t="s">
        <v>22</v>
      </c>
      <c r="J41" s="4" t="s">
        <v>11</v>
      </c>
      <c r="K41" s="4" t="s">
        <v>12</v>
      </c>
    </row>
    <row r="42" spans="1:11">
      <c r="A42" s="5" t="s">
        <v>252</v>
      </c>
      <c r="B42" s="6">
        <v>44902</v>
      </c>
      <c r="C42" s="7">
        <v>1</v>
      </c>
      <c r="D42" s="5">
        <v>7.27</v>
      </c>
      <c r="E42" s="5">
        <v>0</v>
      </c>
      <c r="F42" s="5">
        <v>15</v>
      </c>
      <c r="G42" s="6">
        <v>44902</v>
      </c>
      <c r="H42" s="5"/>
      <c r="I42" s="5"/>
      <c r="J42" s="5">
        <f>F42-E42</f>
        <v>15</v>
      </c>
      <c r="K42" s="8" t="b">
        <f>E42=F32</f>
        <v>0</v>
      </c>
    </row>
    <row r="43" spans="1:11">
      <c r="A43" s="5" t="s">
        <v>252</v>
      </c>
      <c r="B43" s="6">
        <v>44906</v>
      </c>
      <c r="C43" s="7">
        <v>1</v>
      </c>
      <c r="D43" s="5">
        <v>7.27</v>
      </c>
      <c r="E43" s="5">
        <v>15</v>
      </c>
      <c r="F43" s="5">
        <v>29.4</v>
      </c>
      <c r="G43" s="6">
        <v>44906</v>
      </c>
      <c r="H43" s="5"/>
      <c r="I43" s="5"/>
      <c r="J43" s="5">
        <f t="shared" ref="J43:J48" si="3">F43-E43</f>
        <v>14.399999999999999</v>
      </c>
      <c r="K43" s="8" t="b">
        <f>E43=F42</f>
        <v>1</v>
      </c>
    </row>
    <row r="44" spans="1:11">
      <c r="A44" s="5" t="s">
        <v>252</v>
      </c>
      <c r="B44" s="6">
        <v>44925</v>
      </c>
      <c r="C44" s="7">
        <v>1</v>
      </c>
      <c r="D44" s="5">
        <v>7.27</v>
      </c>
      <c r="E44" s="5">
        <v>29.4</v>
      </c>
      <c r="F44" s="5">
        <v>43.6</v>
      </c>
      <c r="G44" s="6">
        <v>44925</v>
      </c>
      <c r="H44" s="5"/>
      <c r="I44" s="5"/>
      <c r="J44" s="5">
        <f t="shared" si="3"/>
        <v>14.200000000000003</v>
      </c>
      <c r="K44" s="8" t="b">
        <f t="shared" ref="K44:K48" si="4">E44=F43</f>
        <v>1</v>
      </c>
    </row>
    <row r="45" spans="1:11">
      <c r="A45" s="5" t="s">
        <v>252</v>
      </c>
      <c r="B45" s="6">
        <v>44944</v>
      </c>
      <c r="C45" s="7">
        <v>1</v>
      </c>
      <c r="D45" s="5">
        <v>7.27</v>
      </c>
      <c r="E45" s="5">
        <v>43.6</v>
      </c>
      <c r="F45" s="5">
        <v>60.1</v>
      </c>
      <c r="G45" s="6">
        <v>44944</v>
      </c>
      <c r="H45" s="5"/>
      <c r="I45" s="5"/>
      <c r="J45" s="5">
        <f t="shared" si="3"/>
        <v>16.5</v>
      </c>
      <c r="K45" s="8" t="b">
        <f t="shared" si="4"/>
        <v>1</v>
      </c>
    </row>
    <row r="46" spans="1:11">
      <c r="A46" s="5" t="s">
        <v>252</v>
      </c>
      <c r="B46" s="6">
        <v>44957</v>
      </c>
      <c r="C46" s="7">
        <v>0.7</v>
      </c>
      <c r="D46" s="5">
        <v>10.39</v>
      </c>
      <c r="E46" s="5">
        <v>60.1</v>
      </c>
      <c r="F46" s="5">
        <v>80.3</v>
      </c>
      <c r="G46" s="6">
        <v>44957</v>
      </c>
      <c r="H46" s="5"/>
      <c r="I46" s="5"/>
      <c r="J46" s="5">
        <f t="shared" si="3"/>
        <v>20.199999999999996</v>
      </c>
      <c r="K46" s="8" t="b">
        <f t="shared" si="4"/>
        <v>1</v>
      </c>
    </row>
    <row r="47" spans="1:11">
      <c r="A47" s="5" t="s">
        <v>252</v>
      </c>
      <c r="B47" s="6">
        <v>44963</v>
      </c>
      <c r="C47" s="7">
        <v>0.7</v>
      </c>
      <c r="D47" s="5">
        <v>10.39</v>
      </c>
      <c r="E47" s="5">
        <v>80.3</v>
      </c>
      <c r="F47" s="5">
        <v>100.3</v>
      </c>
      <c r="G47" s="6">
        <v>44963</v>
      </c>
      <c r="H47" s="5"/>
      <c r="I47" s="5"/>
      <c r="J47" s="5">
        <f t="shared" si="3"/>
        <v>20</v>
      </c>
      <c r="K47" s="8" t="b">
        <f t="shared" si="4"/>
        <v>1</v>
      </c>
    </row>
    <row r="48" spans="1:11">
      <c r="A48" s="5" t="s">
        <v>252</v>
      </c>
      <c r="B48" s="6">
        <v>44966</v>
      </c>
      <c r="C48" s="7">
        <v>0.7</v>
      </c>
      <c r="D48" s="5">
        <v>10.39</v>
      </c>
      <c r="E48" s="5">
        <v>100.3</v>
      </c>
      <c r="F48" s="5">
        <v>120.3</v>
      </c>
      <c r="G48" s="6">
        <v>44966</v>
      </c>
      <c r="H48" s="5"/>
      <c r="I48" s="5"/>
      <c r="J48" s="5">
        <f t="shared" si="3"/>
        <v>20</v>
      </c>
      <c r="K48" s="8" t="b">
        <f t="shared" si="4"/>
        <v>1</v>
      </c>
    </row>
    <row r="49" spans="1:11">
      <c r="A49" s="5" t="s">
        <v>252</v>
      </c>
      <c r="B49" s="6">
        <v>44968</v>
      </c>
      <c r="C49" s="7">
        <v>0.7</v>
      </c>
      <c r="D49" s="5">
        <v>10.39</v>
      </c>
      <c r="E49" s="5">
        <v>120.3</v>
      </c>
      <c r="F49" s="5">
        <v>140.30000000000001</v>
      </c>
      <c r="G49" s="6">
        <v>44968</v>
      </c>
      <c r="H49" s="5"/>
      <c r="I49" s="5"/>
      <c r="J49" s="5">
        <f t="shared" ref="J49:J58" si="5">F49-E49</f>
        <v>20.000000000000014</v>
      </c>
      <c r="K49" s="8" t="b">
        <f t="shared" ref="K49:K58" si="6">E49=F48</f>
        <v>1</v>
      </c>
    </row>
    <row r="50" spans="1:11">
      <c r="A50" s="5" t="s">
        <v>252</v>
      </c>
      <c r="B50" s="6">
        <v>44970</v>
      </c>
      <c r="C50" s="7">
        <v>0.7</v>
      </c>
      <c r="D50" s="5">
        <v>10.39</v>
      </c>
      <c r="E50" s="5">
        <v>140.30000000000001</v>
      </c>
      <c r="F50" s="5">
        <v>160.4</v>
      </c>
      <c r="G50" s="6">
        <v>44970</v>
      </c>
      <c r="H50" s="5"/>
      <c r="I50" s="5"/>
      <c r="J50" s="5">
        <f t="shared" si="5"/>
        <v>20.099999999999994</v>
      </c>
      <c r="K50" s="8" t="b">
        <f t="shared" si="6"/>
        <v>1</v>
      </c>
    </row>
    <row r="51" spans="1:11">
      <c r="A51" s="5" t="s">
        <v>252</v>
      </c>
      <c r="B51" s="6">
        <v>44972</v>
      </c>
      <c r="C51" s="7">
        <v>0.7</v>
      </c>
      <c r="D51" s="5">
        <v>10.39</v>
      </c>
      <c r="E51" s="5">
        <v>160.4</v>
      </c>
      <c r="F51" s="5">
        <v>180.5</v>
      </c>
      <c r="G51" s="6">
        <v>44972</v>
      </c>
      <c r="H51" s="5"/>
      <c r="I51" s="5"/>
      <c r="J51" s="5">
        <f t="shared" si="5"/>
        <v>20.099999999999994</v>
      </c>
      <c r="K51" s="8" t="b">
        <f t="shared" si="6"/>
        <v>1</v>
      </c>
    </row>
    <row r="52" spans="1:11">
      <c r="A52" s="5" t="s">
        <v>252</v>
      </c>
      <c r="B52" s="6">
        <v>44974</v>
      </c>
      <c r="C52" s="7">
        <v>0.7</v>
      </c>
      <c r="D52" s="5">
        <v>10.39</v>
      </c>
      <c r="E52" s="5">
        <v>180.5</v>
      </c>
      <c r="F52" s="5">
        <v>200.5</v>
      </c>
      <c r="G52" s="6">
        <v>44974</v>
      </c>
      <c r="H52" s="5"/>
      <c r="I52" s="5"/>
      <c r="J52" s="5">
        <f t="shared" si="5"/>
        <v>20</v>
      </c>
      <c r="K52" s="8" t="b">
        <f t="shared" si="6"/>
        <v>1</v>
      </c>
    </row>
    <row r="53" spans="1:11">
      <c r="A53" s="5" t="s">
        <v>252</v>
      </c>
      <c r="B53" s="6">
        <v>44979</v>
      </c>
      <c r="C53" s="7">
        <v>0.7</v>
      </c>
      <c r="D53" s="5">
        <v>10.39</v>
      </c>
      <c r="E53" s="5">
        <v>200.5</v>
      </c>
      <c r="F53" s="5">
        <v>221.4</v>
      </c>
      <c r="G53" s="6">
        <v>44979</v>
      </c>
      <c r="H53" s="5"/>
      <c r="I53" s="5"/>
      <c r="J53" s="5">
        <f t="shared" si="5"/>
        <v>20.900000000000006</v>
      </c>
      <c r="K53" s="8" t="b">
        <f t="shared" si="6"/>
        <v>1</v>
      </c>
    </row>
    <row r="54" spans="1:11">
      <c r="A54" s="5" t="s">
        <v>252</v>
      </c>
      <c r="B54" s="6">
        <v>44987</v>
      </c>
      <c r="C54" s="7">
        <v>0.6</v>
      </c>
      <c r="D54" s="5">
        <v>12.12</v>
      </c>
      <c r="E54" s="5">
        <v>221.4</v>
      </c>
      <c r="F54" s="5">
        <v>244.4</v>
      </c>
      <c r="G54" s="6">
        <v>44987</v>
      </c>
      <c r="H54" s="5"/>
      <c r="I54" s="5"/>
      <c r="J54" s="5">
        <f t="shared" si="5"/>
        <v>23</v>
      </c>
      <c r="K54" s="8" t="b">
        <f t="shared" si="6"/>
        <v>1</v>
      </c>
    </row>
    <row r="55" spans="1:11">
      <c r="A55" s="5" t="s">
        <v>252</v>
      </c>
      <c r="B55" s="6">
        <v>44992</v>
      </c>
      <c r="C55" s="7">
        <v>0.6</v>
      </c>
      <c r="D55" s="5">
        <v>12.12</v>
      </c>
      <c r="E55" s="5">
        <v>244.4</v>
      </c>
      <c r="F55" s="5">
        <v>260.39999999999998</v>
      </c>
      <c r="G55" s="6">
        <v>44992</v>
      </c>
      <c r="H55" s="5"/>
      <c r="I55" s="5"/>
      <c r="J55" s="5">
        <f t="shared" si="5"/>
        <v>15.999999999999972</v>
      </c>
      <c r="K55" s="8" t="b">
        <f t="shared" si="6"/>
        <v>1</v>
      </c>
    </row>
    <row r="56" spans="1:11">
      <c r="A56" s="5" t="s">
        <v>252</v>
      </c>
      <c r="B56" s="6">
        <v>44995</v>
      </c>
      <c r="C56" s="7">
        <v>0.6</v>
      </c>
      <c r="D56" s="5">
        <v>12.12</v>
      </c>
      <c r="E56" s="5">
        <v>260.39999999999998</v>
      </c>
      <c r="F56" s="5">
        <v>284.2</v>
      </c>
      <c r="G56" s="6">
        <v>44996</v>
      </c>
      <c r="H56" s="5"/>
      <c r="I56" s="5"/>
      <c r="J56" s="5">
        <f t="shared" si="5"/>
        <v>23.800000000000011</v>
      </c>
      <c r="K56" s="8" t="b">
        <f t="shared" si="6"/>
        <v>1</v>
      </c>
    </row>
    <row r="57" spans="1:11">
      <c r="A57" s="5" t="s">
        <v>252</v>
      </c>
      <c r="B57" s="6">
        <v>45003</v>
      </c>
      <c r="C57" s="7">
        <v>0.7</v>
      </c>
      <c r="D57" s="5">
        <v>10.39</v>
      </c>
      <c r="E57" s="5">
        <v>284.2</v>
      </c>
      <c r="F57" s="5">
        <v>304.2</v>
      </c>
      <c r="G57" s="6">
        <v>45003</v>
      </c>
      <c r="H57" s="5"/>
      <c r="I57" s="5"/>
      <c r="J57" s="5">
        <f t="shared" si="5"/>
        <v>20</v>
      </c>
      <c r="K57" s="8" t="b">
        <f t="shared" si="6"/>
        <v>1</v>
      </c>
    </row>
    <row r="58" spans="1:11">
      <c r="A58" s="5" t="s">
        <v>252</v>
      </c>
      <c r="B58" s="6">
        <v>45007</v>
      </c>
      <c r="C58" s="7">
        <v>0.7</v>
      </c>
      <c r="D58" s="5">
        <v>10.39</v>
      </c>
      <c r="E58" s="5">
        <v>304.2</v>
      </c>
      <c r="F58" s="5">
        <v>324.39999999999998</v>
      </c>
      <c r="G58" s="6">
        <v>45007</v>
      </c>
      <c r="H58" s="5"/>
      <c r="I58" s="5"/>
      <c r="J58" s="5">
        <f t="shared" si="5"/>
        <v>20.199999999999989</v>
      </c>
      <c r="K58" s="8" t="b">
        <f t="shared" si="6"/>
        <v>1</v>
      </c>
    </row>
    <row r="59" spans="1:11">
      <c r="A59" s="5" t="s">
        <v>252</v>
      </c>
      <c r="B59" s="6">
        <v>45011</v>
      </c>
      <c r="C59" s="7">
        <v>0.7</v>
      </c>
      <c r="D59" s="5">
        <v>10.39</v>
      </c>
      <c r="E59" s="5">
        <v>324.39999999999998</v>
      </c>
      <c r="F59" s="5">
        <v>344.5</v>
      </c>
      <c r="G59" s="6">
        <v>45011</v>
      </c>
      <c r="H59" s="5"/>
      <c r="I59" s="5"/>
      <c r="J59" s="5">
        <f t="shared" ref="J59:J63" si="7">F59-E59</f>
        <v>20.100000000000023</v>
      </c>
      <c r="K59" s="8" t="b">
        <f t="shared" ref="K59:K63" si="8">E59=F58</f>
        <v>1</v>
      </c>
    </row>
    <row r="60" spans="1:11">
      <c r="A60" s="5" t="s">
        <v>252</v>
      </c>
      <c r="B60" s="6">
        <v>45013</v>
      </c>
      <c r="C60" s="7">
        <v>0.7</v>
      </c>
      <c r="D60" s="5">
        <v>10.39</v>
      </c>
      <c r="E60" s="5">
        <v>344.5</v>
      </c>
      <c r="F60" s="5">
        <v>365.5</v>
      </c>
      <c r="G60" s="6">
        <v>45013</v>
      </c>
      <c r="H60" s="5"/>
      <c r="I60" s="5"/>
      <c r="J60" s="5">
        <f t="shared" si="7"/>
        <v>21</v>
      </c>
      <c r="K60" s="8" t="b">
        <f t="shared" si="8"/>
        <v>1</v>
      </c>
    </row>
    <row r="61" spans="1:11">
      <c r="A61" s="5" t="s">
        <v>252</v>
      </c>
      <c r="B61" s="6">
        <v>45014</v>
      </c>
      <c r="C61" s="7">
        <v>0.7</v>
      </c>
      <c r="D61" s="5">
        <v>10.39</v>
      </c>
      <c r="E61" s="5">
        <v>365.5</v>
      </c>
      <c r="F61" s="5">
        <v>385.6</v>
      </c>
      <c r="G61" s="6">
        <v>45014</v>
      </c>
      <c r="H61" s="5"/>
      <c r="I61" s="5"/>
      <c r="J61" s="5">
        <f t="shared" si="7"/>
        <v>20.100000000000023</v>
      </c>
      <c r="K61" s="8" t="b">
        <f t="shared" si="8"/>
        <v>1</v>
      </c>
    </row>
    <row r="62" spans="1:11">
      <c r="A62" s="5" t="s">
        <v>252</v>
      </c>
      <c r="B62" s="6">
        <v>45022</v>
      </c>
      <c r="C62" s="7">
        <v>0.7</v>
      </c>
      <c r="D62" s="5">
        <v>10.39</v>
      </c>
      <c r="E62" s="5">
        <v>385.6</v>
      </c>
      <c r="F62" s="5">
        <v>411.1</v>
      </c>
      <c r="G62" s="6">
        <v>45022</v>
      </c>
      <c r="H62" s="5"/>
      <c r="I62" s="5"/>
      <c r="J62" s="5">
        <f t="shared" si="7"/>
        <v>25.5</v>
      </c>
      <c r="K62" s="8" t="b">
        <f t="shared" si="8"/>
        <v>1</v>
      </c>
    </row>
    <row r="63" spans="1:11">
      <c r="A63" s="5" t="s">
        <v>252</v>
      </c>
      <c r="B63" s="6">
        <v>45028</v>
      </c>
      <c r="C63" s="7">
        <v>0.7</v>
      </c>
      <c r="D63" s="5">
        <v>10.39</v>
      </c>
      <c r="E63" s="5">
        <v>411.1</v>
      </c>
      <c r="F63" s="5">
        <v>431.4</v>
      </c>
      <c r="G63" s="6">
        <v>45028</v>
      </c>
      <c r="H63" s="5"/>
      <c r="I63" s="5"/>
      <c r="J63" s="5">
        <f t="shared" si="7"/>
        <v>20.299999999999955</v>
      </c>
      <c r="K63" s="8" t="b">
        <f t="shared" si="8"/>
        <v>1</v>
      </c>
    </row>
    <row r="64" spans="1:11">
      <c r="A64" s="5" t="s">
        <v>252</v>
      </c>
      <c r="B64" s="6"/>
      <c r="C64" s="7"/>
      <c r="D64" s="5"/>
      <c r="E64" s="5"/>
      <c r="F64" s="5"/>
      <c r="G64" s="6"/>
      <c r="H64" s="5"/>
      <c r="I64" s="5"/>
      <c r="J64" s="5">
        <f t="shared" ref="J64" si="9">F64-E64</f>
        <v>0</v>
      </c>
      <c r="K64" s="8" t="b">
        <f t="shared" ref="K64" si="10">E64=F63</f>
        <v>0</v>
      </c>
    </row>
    <row r="67" spans="1:11" ht="26.25">
      <c r="A67" s="126" t="s">
        <v>251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8"/>
    </row>
    <row r="68" spans="1:11" ht="26.25">
      <c r="A68" s="129" t="s">
        <v>253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1"/>
    </row>
    <row r="69" spans="1:11" ht="15.75" thickBot="1"/>
    <row r="70" spans="1:11" ht="15.75" thickBot="1">
      <c r="A70" s="132" t="s">
        <v>2</v>
      </c>
      <c r="B70" s="133"/>
      <c r="C70" s="133"/>
      <c r="D70" s="133"/>
      <c r="E70" s="133"/>
      <c r="F70" s="133"/>
      <c r="G70" s="133"/>
      <c r="H70" s="133"/>
      <c r="I70" s="133"/>
      <c r="J70" s="133"/>
      <c r="K70" s="134"/>
    </row>
    <row r="72" spans="1:11" ht="19.5" thickBot="1">
      <c r="A72" s="1" t="s">
        <v>3</v>
      </c>
      <c r="B72" s="1"/>
      <c r="C72" s="1"/>
      <c r="D72" s="1"/>
      <c r="E72" s="1"/>
      <c r="F72" s="1"/>
      <c r="G72" s="1"/>
      <c r="H72" s="1"/>
      <c r="I72" s="1"/>
    </row>
    <row r="73" spans="1:11" ht="30.75" thickBot="1">
      <c r="A73" s="2" t="s">
        <v>4</v>
      </c>
      <c r="B73" s="3" t="s">
        <v>5</v>
      </c>
      <c r="C73" s="3" t="s">
        <v>6</v>
      </c>
      <c r="D73" s="3" t="s">
        <v>7</v>
      </c>
      <c r="E73" s="3" t="s">
        <v>8</v>
      </c>
      <c r="F73" s="3" t="s">
        <v>9</v>
      </c>
      <c r="G73" s="3" t="s">
        <v>10</v>
      </c>
      <c r="H73" s="3" t="s">
        <v>21</v>
      </c>
      <c r="I73" s="4" t="s">
        <v>22</v>
      </c>
      <c r="J73" s="4" t="s">
        <v>11</v>
      </c>
      <c r="K73" s="4" t="s">
        <v>12</v>
      </c>
    </row>
    <row r="74" spans="1:11">
      <c r="A74" s="5" t="s">
        <v>252</v>
      </c>
      <c r="B74" s="6">
        <v>45240</v>
      </c>
      <c r="C74" s="7">
        <v>1</v>
      </c>
      <c r="D74" s="5">
        <v>7.27</v>
      </c>
      <c r="E74" s="5">
        <v>433.7</v>
      </c>
      <c r="F74" s="5">
        <v>448.1</v>
      </c>
      <c r="G74" s="6">
        <v>45240</v>
      </c>
      <c r="H74" s="5"/>
      <c r="I74" s="5"/>
      <c r="J74" s="5">
        <f>F74-E74</f>
        <v>14.400000000000034</v>
      </c>
      <c r="K74" s="8" t="b">
        <f>E74=F74</f>
        <v>0</v>
      </c>
    </row>
    <row r="75" spans="1:11">
      <c r="A75" s="5" t="s">
        <v>252</v>
      </c>
      <c r="B75" s="6">
        <v>45242</v>
      </c>
      <c r="C75" s="7">
        <v>1</v>
      </c>
      <c r="D75" s="5">
        <v>7.27</v>
      </c>
      <c r="E75" s="5">
        <v>448.1</v>
      </c>
      <c r="F75" s="5">
        <v>462.2</v>
      </c>
      <c r="G75" s="6">
        <v>45242</v>
      </c>
      <c r="H75" s="5"/>
      <c r="I75" s="5"/>
      <c r="J75" s="5">
        <f t="shared" ref="J75:J98" si="11">F75-E75</f>
        <v>14.099999999999966</v>
      </c>
      <c r="K75" s="8" t="b">
        <f>E75=F74</f>
        <v>1</v>
      </c>
    </row>
    <row r="76" spans="1:11">
      <c r="A76" s="5" t="s">
        <v>252</v>
      </c>
      <c r="B76" s="6">
        <v>45245</v>
      </c>
      <c r="C76" s="7">
        <v>1</v>
      </c>
      <c r="D76" s="5">
        <v>7.27</v>
      </c>
      <c r="E76" s="5">
        <v>462.2</v>
      </c>
      <c r="F76" s="5">
        <v>476.3</v>
      </c>
      <c r="G76" s="6">
        <v>45245</v>
      </c>
      <c r="H76" s="5"/>
      <c r="I76" s="5"/>
      <c r="J76" s="5">
        <f t="shared" si="11"/>
        <v>14.100000000000023</v>
      </c>
      <c r="K76" s="8" t="b">
        <f t="shared" ref="K76:K98" si="12">E76=F75</f>
        <v>1</v>
      </c>
    </row>
    <row r="77" spans="1:11">
      <c r="A77" s="5" t="s">
        <v>252</v>
      </c>
      <c r="B77" s="6">
        <v>45247</v>
      </c>
      <c r="C77" s="7">
        <v>1</v>
      </c>
      <c r="D77" s="5">
        <v>7.27</v>
      </c>
      <c r="E77" s="5">
        <v>476.3</v>
      </c>
      <c r="F77" s="5">
        <v>490.4</v>
      </c>
      <c r="G77" s="6">
        <v>45247</v>
      </c>
      <c r="H77" s="5"/>
      <c r="I77" s="5"/>
      <c r="J77" s="5">
        <f t="shared" si="11"/>
        <v>14.099999999999966</v>
      </c>
      <c r="K77" s="8" t="b">
        <f t="shared" si="12"/>
        <v>1</v>
      </c>
    </row>
    <row r="78" spans="1:11">
      <c r="A78" s="5" t="s">
        <v>252</v>
      </c>
      <c r="B78" s="6">
        <v>45249</v>
      </c>
      <c r="C78" s="7">
        <v>1</v>
      </c>
      <c r="D78" s="5">
        <v>7.27</v>
      </c>
      <c r="E78" s="5">
        <v>490.4</v>
      </c>
      <c r="F78" s="5">
        <v>504.3</v>
      </c>
      <c r="G78" s="6">
        <v>45249</v>
      </c>
      <c r="H78" s="5"/>
      <c r="I78" s="5"/>
      <c r="J78" s="5">
        <f t="shared" si="11"/>
        <v>13.900000000000034</v>
      </c>
      <c r="K78" s="8" t="b">
        <f t="shared" si="12"/>
        <v>1</v>
      </c>
    </row>
    <row r="79" spans="1:11">
      <c r="A79" s="5" t="s">
        <v>252</v>
      </c>
      <c r="B79" s="6">
        <v>45251</v>
      </c>
      <c r="C79" s="7">
        <v>1</v>
      </c>
      <c r="D79" s="5">
        <v>7.27</v>
      </c>
      <c r="E79" s="5">
        <v>504.3</v>
      </c>
      <c r="F79" s="5">
        <v>518.4</v>
      </c>
      <c r="G79" s="6">
        <v>45251</v>
      </c>
      <c r="H79" s="5"/>
      <c r="I79" s="5"/>
      <c r="J79" s="5">
        <f t="shared" si="11"/>
        <v>14.099999999999966</v>
      </c>
      <c r="K79" s="8" t="b">
        <f t="shared" si="12"/>
        <v>1</v>
      </c>
    </row>
    <row r="80" spans="1:11">
      <c r="A80" s="5" t="s">
        <v>252</v>
      </c>
      <c r="B80" s="6">
        <v>45253</v>
      </c>
      <c r="C80" s="7">
        <v>1</v>
      </c>
      <c r="D80" s="5">
        <v>7.27</v>
      </c>
      <c r="E80" s="5">
        <v>518.4</v>
      </c>
      <c r="F80" s="5">
        <v>532.5</v>
      </c>
      <c r="G80" s="6">
        <v>45253</v>
      </c>
      <c r="H80" s="5"/>
      <c r="I80" s="5"/>
      <c r="J80" s="5">
        <f t="shared" si="11"/>
        <v>14.100000000000023</v>
      </c>
      <c r="K80" s="8" t="b">
        <f t="shared" si="12"/>
        <v>1</v>
      </c>
    </row>
    <row r="81" spans="1:11">
      <c r="A81" s="5" t="s">
        <v>252</v>
      </c>
      <c r="B81" s="6">
        <v>45255</v>
      </c>
      <c r="C81" s="7">
        <v>1</v>
      </c>
      <c r="D81" s="5">
        <v>7.27</v>
      </c>
      <c r="E81" s="5">
        <v>532.5</v>
      </c>
      <c r="F81" s="5">
        <v>546.6</v>
      </c>
      <c r="G81" s="6">
        <v>45255</v>
      </c>
      <c r="H81" s="5"/>
      <c r="I81" s="5"/>
      <c r="J81" s="5">
        <f t="shared" si="11"/>
        <v>14.100000000000023</v>
      </c>
      <c r="K81" s="8" t="b">
        <f t="shared" si="12"/>
        <v>1</v>
      </c>
    </row>
    <row r="82" spans="1:11">
      <c r="A82" s="5" t="s">
        <v>252</v>
      </c>
      <c r="B82" s="6">
        <v>45257</v>
      </c>
      <c r="C82" s="7">
        <v>1</v>
      </c>
      <c r="D82" s="5">
        <v>7.27</v>
      </c>
      <c r="E82" s="5">
        <v>546.6</v>
      </c>
      <c r="F82" s="5">
        <v>560.70000000000005</v>
      </c>
      <c r="G82" s="6">
        <v>45257</v>
      </c>
      <c r="H82" s="5"/>
      <c r="I82" s="5"/>
      <c r="J82" s="5">
        <f t="shared" si="11"/>
        <v>14.100000000000023</v>
      </c>
      <c r="K82" s="8" t="b">
        <f t="shared" si="12"/>
        <v>1</v>
      </c>
    </row>
    <row r="83" spans="1:11">
      <c r="A83" s="80" t="s">
        <v>252</v>
      </c>
      <c r="B83" s="81">
        <v>45259</v>
      </c>
      <c r="C83" s="82">
        <v>1</v>
      </c>
      <c r="D83" s="80">
        <v>7.27</v>
      </c>
      <c r="E83" s="80">
        <v>560.70000000000005</v>
      </c>
      <c r="F83" s="80">
        <v>574.9</v>
      </c>
      <c r="G83" s="81">
        <v>45259</v>
      </c>
      <c r="H83" s="80"/>
      <c r="I83" s="80"/>
      <c r="J83" s="80">
        <f t="shared" si="11"/>
        <v>14.199999999999932</v>
      </c>
      <c r="K83" s="8" t="b">
        <f t="shared" si="12"/>
        <v>1</v>
      </c>
    </row>
    <row r="84" spans="1:11">
      <c r="A84" s="5" t="s">
        <v>252</v>
      </c>
      <c r="B84" s="6">
        <v>45261</v>
      </c>
      <c r="C84" s="7">
        <v>1</v>
      </c>
      <c r="D84" s="5">
        <v>7.27</v>
      </c>
      <c r="E84" s="5">
        <v>574.9</v>
      </c>
      <c r="F84" s="5">
        <v>588.9</v>
      </c>
      <c r="G84" s="6">
        <v>45261</v>
      </c>
      <c r="H84" s="5"/>
      <c r="I84" s="5"/>
      <c r="J84" s="5">
        <f t="shared" si="11"/>
        <v>14</v>
      </c>
      <c r="K84" s="8" t="b">
        <f t="shared" si="12"/>
        <v>1</v>
      </c>
    </row>
    <row r="85" spans="1:11">
      <c r="A85" s="5" t="s">
        <v>252</v>
      </c>
      <c r="B85" s="6">
        <v>45265</v>
      </c>
      <c r="C85" s="7">
        <v>0.7</v>
      </c>
      <c r="D85" s="5">
        <v>10.39</v>
      </c>
      <c r="E85" s="5">
        <v>588.9</v>
      </c>
      <c r="F85" s="5">
        <v>608.79999999999995</v>
      </c>
      <c r="G85" s="6">
        <v>45265</v>
      </c>
      <c r="H85" s="5"/>
      <c r="I85" s="5"/>
      <c r="J85" s="5">
        <f t="shared" si="11"/>
        <v>19.899999999999977</v>
      </c>
      <c r="K85" s="8" t="b">
        <f t="shared" si="12"/>
        <v>1</v>
      </c>
    </row>
    <row r="86" spans="1:11">
      <c r="A86" s="5" t="s">
        <v>252</v>
      </c>
      <c r="B86" s="6">
        <v>45267</v>
      </c>
      <c r="C86" s="7">
        <v>0.7</v>
      </c>
      <c r="D86" s="5">
        <v>10.39</v>
      </c>
      <c r="E86" s="5">
        <v>608.79999999999995</v>
      </c>
      <c r="F86" s="5">
        <v>628.9</v>
      </c>
      <c r="G86" s="6">
        <v>45267</v>
      </c>
      <c r="H86" s="5"/>
      <c r="I86" s="5"/>
      <c r="J86" s="5">
        <f t="shared" si="11"/>
        <v>20.100000000000023</v>
      </c>
      <c r="K86" s="8" t="b">
        <f t="shared" si="12"/>
        <v>1</v>
      </c>
    </row>
    <row r="87" spans="1:11">
      <c r="A87" s="5" t="s">
        <v>252</v>
      </c>
      <c r="B87" s="6">
        <v>45269</v>
      </c>
      <c r="C87" s="7">
        <v>0.8</v>
      </c>
      <c r="D87" s="5">
        <v>8.0500000000000007</v>
      </c>
      <c r="E87" s="5">
        <v>628.9</v>
      </c>
      <c r="F87" s="5">
        <v>646.4</v>
      </c>
      <c r="G87" s="6">
        <v>45269</v>
      </c>
      <c r="H87" s="5"/>
      <c r="I87" s="5"/>
      <c r="J87" s="5">
        <f t="shared" si="11"/>
        <v>17.5</v>
      </c>
      <c r="K87" s="8" t="b">
        <f t="shared" si="12"/>
        <v>1</v>
      </c>
    </row>
    <row r="88" spans="1:11">
      <c r="A88" s="5" t="s">
        <v>252</v>
      </c>
      <c r="B88" s="6">
        <v>45271</v>
      </c>
      <c r="C88" s="7">
        <v>0.7</v>
      </c>
      <c r="D88" s="5">
        <v>10.39</v>
      </c>
      <c r="E88" s="5">
        <v>646.4</v>
      </c>
      <c r="F88" s="5">
        <v>666.5</v>
      </c>
      <c r="G88" s="6">
        <v>45271</v>
      </c>
      <c r="H88" s="5"/>
      <c r="I88" s="5"/>
      <c r="J88" s="5">
        <f t="shared" si="11"/>
        <v>20.100000000000023</v>
      </c>
      <c r="K88" s="8" t="b">
        <f t="shared" si="12"/>
        <v>1</v>
      </c>
    </row>
    <row r="89" spans="1:11">
      <c r="A89" s="5" t="s">
        <v>252</v>
      </c>
      <c r="B89" s="6">
        <v>45273</v>
      </c>
      <c r="C89" s="7">
        <v>0.7</v>
      </c>
      <c r="D89" s="5">
        <v>10.39</v>
      </c>
      <c r="E89" s="5">
        <v>666.5</v>
      </c>
      <c r="F89" s="5">
        <v>686.4</v>
      </c>
      <c r="G89" s="6">
        <v>45273</v>
      </c>
      <c r="H89" s="5"/>
      <c r="I89" s="5"/>
      <c r="J89" s="5">
        <f t="shared" si="11"/>
        <v>19.899999999999977</v>
      </c>
      <c r="K89" s="8" t="b">
        <f t="shared" si="12"/>
        <v>1</v>
      </c>
    </row>
    <row r="90" spans="1:11">
      <c r="A90" s="5" t="s">
        <v>252</v>
      </c>
      <c r="B90" s="6">
        <v>45275</v>
      </c>
      <c r="C90" s="7">
        <v>0.6</v>
      </c>
      <c r="D90" s="5">
        <v>12.12</v>
      </c>
      <c r="E90" s="5">
        <v>686.4</v>
      </c>
      <c r="F90" s="5">
        <v>709.7</v>
      </c>
      <c r="G90" s="6">
        <v>45275</v>
      </c>
      <c r="H90" s="5"/>
      <c r="I90" s="5"/>
      <c r="J90" s="5">
        <f t="shared" si="11"/>
        <v>23.300000000000068</v>
      </c>
      <c r="K90" s="8" t="b">
        <f t="shared" si="12"/>
        <v>1</v>
      </c>
    </row>
    <row r="91" spans="1:11">
      <c r="A91" s="5" t="s">
        <v>252</v>
      </c>
      <c r="B91" s="6">
        <v>45277</v>
      </c>
      <c r="C91" s="7">
        <v>0.7</v>
      </c>
      <c r="D91" s="5">
        <v>10.39</v>
      </c>
      <c r="E91" s="5">
        <v>709.7</v>
      </c>
      <c r="F91" s="5">
        <v>730</v>
      </c>
      <c r="G91" s="6">
        <v>45277</v>
      </c>
      <c r="H91" s="5"/>
      <c r="I91" s="5"/>
      <c r="J91" s="5">
        <f t="shared" si="11"/>
        <v>20.299999999999955</v>
      </c>
      <c r="K91" s="8" t="b">
        <f t="shared" si="12"/>
        <v>1</v>
      </c>
    </row>
    <row r="92" spans="1:11">
      <c r="A92" s="5" t="s">
        <v>252</v>
      </c>
      <c r="B92" s="6">
        <v>45279</v>
      </c>
      <c r="C92" s="7">
        <v>1</v>
      </c>
      <c r="D92" s="5">
        <v>7.27</v>
      </c>
      <c r="E92" s="5">
        <v>730</v>
      </c>
      <c r="F92" s="5">
        <v>744</v>
      </c>
      <c r="G92" s="6">
        <v>45279</v>
      </c>
      <c r="H92" s="5"/>
      <c r="I92" s="5"/>
      <c r="J92" s="5">
        <f t="shared" si="11"/>
        <v>14</v>
      </c>
      <c r="K92" s="8" t="b">
        <f t="shared" si="12"/>
        <v>1</v>
      </c>
    </row>
    <row r="93" spans="1:11">
      <c r="A93" s="5" t="s">
        <v>252</v>
      </c>
      <c r="B93" s="6">
        <v>45281</v>
      </c>
      <c r="C93" s="7">
        <v>1</v>
      </c>
      <c r="D93" s="5">
        <v>7.27</v>
      </c>
      <c r="E93" s="5">
        <v>744</v>
      </c>
      <c r="F93" s="5">
        <v>758.5</v>
      </c>
      <c r="G93" s="6">
        <v>45281</v>
      </c>
      <c r="H93" s="5"/>
      <c r="I93" s="5"/>
      <c r="J93" s="5">
        <f t="shared" si="11"/>
        <v>14.5</v>
      </c>
      <c r="K93" s="8" t="b">
        <f t="shared" si="12"/>
        <v>1</v>
      </c>
    </row>
    <row r="94" spans="1:11">
      <c r="A94" s="80" t="s">
        <v>252</v>
      </c>
      <c r="B94" s="81">
        <v>45282</v>
      </c>
      <c r="C94" s="82">
        <v>1</v>
      </c>
      <c r="D94" s="80">
        <v>7.27</v>
      </c>
      <c r="E94" s="80">
        <v>758.5</v>
      </c>
      <c r="F94" s="80">
        <v>772.7</v>
      </c>
      <c r="G94" s="81">
        <v>45282</v>
      </c>
      <c r="H94" s="80"/>
      <c r="I94" s="80"/>
      <c r="J94" s="80">
        <f t="shared" si="11"/>
        <v>14.200000000000045</v>
      </c>
      <c r="K94" s="8" t="b">
        <f t="shared" si="12"/>
        <v>1</v>
      </c>
    </row>
    <row r="95" spans="1:11">
      <c r="A95" s="5" t="s">
        <v>252</v>
      </c>
      <c r="B95" s="6">
        <v>45286</v>
      </c>
      <c r="C95" s="7">
        <v>0.8</v>
      </c>
      <c r="D95" s="5">
        <v>8.0500000000000007</v>
      </c>
      <c r="E95" s="5">
        <v>772.7</v>
      </c>
      <c r="F95" s="5">
        <v>790.5</v>
      </c>
      <c r="G95" s="6">
        <v>45286</v>
      </c>
      <c r="H95" s="5"/>
      <c r="I95" s="5"/>
      <c r="J95" s="5">
        <f t="shared" si="11"/>
        <v>17.799999999999955</v>
      </c>
      <c r="K95" s="8" t="b">
        <f t="shared" si="12"/>
        <v>1</v>
      </c>
    </row>
    <row r="96" spans="1:11">
      <c r="A96" s="5" t="s">
        <v>252</v>
      </c>
      <c r="B96" s="6">
        <v>45288</v>
      </c>
      <c r="C96" s="7">
        <v>0.75</v>
      </c>
      <c r="D96" s="5">
        <v>8.59</v>
      </c>
      <c r="E96" s="5">
        <v>790.5</v>
      </c>
      <c r="F96" s="5">
        <v>809</v>
      </c>
      <c r="G96" s="6">
        <v>45288</v>
      </c>
      <c r="H96" s="5"/>
      <c r="I96" s="5"/>
      <c r="J96" s="5">
        <f t="shared" si="11"/>
        <v>18.5</v>
      </c>
      <c r="K96" s="8" t="b">
        <f t="shared" si="12"/>
        <v>1</v>
      </c>
    </row>
    <row r="97" spans="1:11">
      <c r="A97" s="5" t="s">
        <v>252</v>
      </c>
      <c r="B97" s="6">
        <v>45290</v>
      </c>
      <c r="C97" s="7">
        <v>0.75</v>
      </c>
      <c r="D97" s="5">
        <v>8.59</v>
      </c>
      <c r="E97" s="5">
        <v>809</v>
      </c>
      <c r="F97" s="5">
        <v>827.8</v>
      </c>
      <c r="G97" s="6">
        <v>45290</v>
      </c>
      <c r="H97" s="5"/>
      <c r="I97" s="5"/>
      <c r="J97" s="5">
        <f t="shared" si="11"/>
        <v>18.799999999999955</v>
      </c>
      <c r="K97" s="8" t="b">
        <f t="shared" si="12"/>
        <v>1</v>
      </c>
    </row>
    <row r="98" spans="1:11">
      <c r="A98" s="5" t="s">
        <v>252</v>
      </c>
      <c r="B98" s="6">
        <v>45304</v>
      </c>
      <c r="C98" s="7">
        <v>0.8</v>
      </c>
      <c r="D98" s="5">
        <v>8.0500000000000007</v>
      </c>
      <c r="E98" s="5">
        <v>827.8</v>
      </c>
      <c r="F98" s="5">
        <v>845.4</v>
      </c>
      <c r="G98" s="6">
        <v>45304</v>
      </c>
      <c r="H98" s="5"/>
      <c r="I98" s="5"/>
      <c r="J98" s="5">
        <f t="shared" si="11"/>
        <v>17.600000000000023</v>
      </c>
      <c r="K98" s="8" t="b">
        <f t="shared" si="12"/>
        <v>1</v>
      </c>
    </row>
    <row r="99" spans="1:11">
      <c r="A99" s="5" t="s">
        <v>252</v>
      </c>
      <c r="B99" s="6">
        <v>45307</v>
      </c>
      <c r="C99" s="7">
        <v>0.8</v>
      </c>
      <c r="D99" s="5">
        <v>8.0500000000000007</v>
      </c>
      <c r="E99" s="5">
        <v>845.4</v>
      </c>
      <c r="F99" s="5">
        <v>862.8</v>
      </c>
      <c r="G99" s="6">
        <v>45307</v>
      </c>
      <c r="H99" s="5"/>
      <c r="I99" s="5"/>
      <c r="J99" s="5">
        <f t="shared" ref="J99:J108" si="13">F99-E99</f>
        <v>17.399999999999977</v>
      </c>
      <c r="K99" s="8" t="b">
        <f t="shared" ref="K99:K108" si="14">E99=F98</f>
        <v>1</v>
      </c>
    </row>
    <row r="100" spans="1:11">
      <c r="A100" s="5" t="s">
        <v>252</v>
      </c>
      <c r="B100" s="6">
        <v>45310</v>
      </c>
      <c r="C100" s="7">
        <v>0.7</v>
      </c>
      <c r="D100" s="5">
        <v>10.39</v>
      </c>
      <c r="E100" s="5">
        <v>862.8</v>
      </c>
      <c r="F100" s="5">
        <v>883</v>
      </c>
      <c r="G100" s="6">
        <v>45310</v>
      </c>
      <c r="H100" s="5"/>
      <c r="I100" s="5"/>
      <c r="J100" s="5">
        <f t="shared" si="13"/>
        <v>20.200000000000045</v>
      </c>
      <c r="K100" s="8" t="b">
        <f t="shared" si="14"/>
        <v>1</v>
      </c>
    </row>
    <row r="101" spans="1:11">
      <c r="A101" s="101" t="s">
        <v>252</v>
      </c>
      <c r="B101" s="102">
        <v>45320</v>
      </c>
      <c r="C101" s="103">
        <v>1</v>
      </c>
      <c r="D101" s="101">
        <v>7.27</v>
      </c>
      <c r="E101" s="101">
        <v>883</v>
      </c>
      <c r="F101" s="101">
        <v>888.6</v>
      </c>
      <c r="G101" s="102">
        <v>45320</v>
      </c>
      <c r="H101" s="101"/>
      <c r="I101" s="101"/>
      <c r="J101" s="101">
        <f t="shared" si="13"/>
        <v>5.6000000000000227</v>
      </c>
      <c r="K101" s="8" t="b">
        <f t="shared" si="14"/>
        <v>1</v>
      </c>
    </row>
    <row r="102" spans="1:11">
      <c r="A102" s="5" t="s">
        <v>252</v>
      </c>
      <c r="B102" s="6">
        <v>45327</v>
      </c>
      <c r="C102" s="7">
        <v>0.7</v>
      </c>
      <c r="D102" s="5">
        <v>10.39</v>
      </c>
      <c r="E102" s="5">
        <v>888.6</v>
      </c>
      <c r="F102" s="5">
        <v>908.5</v>
      </c>
      <c r="G102" s="6">
        <v>45327</v>
      </c>
      <c r="H102" s="5"/>
      <c r="I102" s="5"/>
      <c r="J102" s="5">
        <f t="shared" si="13"/>
        <v>19.899999999999977</v>
      </c>
      <c r="K102" s="8" t="b">
        <f t="shared" si="14"/>
        <v>1</v>
      </c>
    </row>
    <row r="103" spans="1:11">
      <c r="A103" s="5" t="s">
        <v>252</v>
      </c>
      <c r="B103" s="6">
        <v>45336</v>
      </c>
      <c r="C103" s="7">
        <v>1</v>
      </c>
      <c r="D103" s="5">
        <v>7.27</v>
      </c>
      <c r="E103" s="5">
        <v>908.5</v>
      </c>
      <c r="F103" s="5">
        <v>922.4</v>
      </c>
      <c r="G103" s="6">
        <v>45336</v>
      </c>
      <c r="H103" s="5"/>
      <c r="I103" s="5"/>
      <c r="J103" s="5">
        <f t="shared" si="13"/>
        <v>13.899999999999977</v>
      </c>
      <c r="K103" s="8" t="b">
        <f t="shared" si="14"/>
        <v>1</v>
      </c>
    </row>
    <row r="104" spans="1:11">
      <c r="A104" s="5" t="s">
        <v>252</v>
      </c>
      <c r="B104" s="6">
        <v>45348</v>
      </c>
      <c r="C104" s="7">
        <v>1</v>
      </c>
      <c r="D104" s="5">
        <v>7.27</v>
      </c>
      <c r="E104" s="5">
        <v>938.7</v>
      </c>
      <c r="F104" s="5">
        <v>952.3</v>
      </c>
      <c r="G104" s="6">
        <v>45348</v>
      </c>
      <c r="H104" s="5"/>
      <c r="I104" s="5"/>
      <c r="J104" s="5">
        <f t="shared" si="13"/>
        <v>13.599999999999909</v>
      </c>
      <c r="K104" s="8" t="b">
        <f t="shared" si="14"/>
        <v>0</v>
      </c>
    </row>
    <row r="105" spans="1:11">
      <c r="A105" s="5" t="s">
        <v>252</v>
      </c>
      <c r="B105" s="6">
        <v>45351</v>
      </c>
      <c r="C105" s="7">
        <v>0.8</v>
      </c>
      <c r="D105" s="5">
        <v>8.0500000000000007</v>
      </c>
      <c r="E105" s="5">
        <v>952.3</v>
      </c>
      <c r="F105" s="5">
        <v>969.6</v>
      </c>
      <c r="G105" s="6">
        <v>45351</v>
      </c>
      <c r="H105" s="5"/>
      <c r="I105" s="5"/>
      <c r="J105" s="5">
        <f t="shared" si="13"/>
        <v>17.300000000000068</v>
      </c>
      <c r="K105" s="8" t="b">
        <f t="shared" si="14"/>
        <v>1</v>
      </c>
    </row>
    <row r="106" spans="1:11">
      <c r="A106" s="5" t="s">
        <v>252</v>
      </c>
      <c r="B106" s="6">
        <v>45354</v>
      </c>
      <c r="C106" s="7">
        <v>1</v>
      </c>
      <c r="D106" s="5">
        <v>7.27</v>
      </c>
      <c r="E106" s="5">
        <v>969.6</v>
      </c>
      <c r="F106" s="5">
        <v>982.5</v>
      </c>
      <c r="G106" s="6">
        <v>45354</v>
      </c>
      <c r="H106" s="5"/>
      <c r="I106" s="5"/>
      <c r="J106" s="5">
        <f t="shared" si="13"/>
        <v>12.899999999999977</v>
      </c>
      <c r="K106" s="8" t="b">
        <f t="shared" si="14"/>
        <v>1</v>
      </c>
    </row>
    <row r="107" spans="1:11">
      <c r="A107" s="5" t="s">
        <v>252</v>
      </c>
      <c r="B107" s="6">
        <v>45365</v>
      </c>
      <c r="C107" s="7">
        <v>0.7</v>
      </c>
      <c r="D107" s="5">
        <v>10.39</v>
      </c>
      <c r="E107" s="5">
        <v>982.5</v>
      </c>
      <c r="F107" s="5">
        <v>0</v>
      </c>
      <c r="G107" s="6">
        <v>45365</v>
      </c>
      <c r="H107" s="5"/>
      <c r="I107" s="5"/>
      <c r="J107" s="5">
        <f t="shared" si="13"/>
        <v>-982.5</v>
      </c>
      <c r="K107" s="8" t="b">
        <f t="shared" si="14"/>
        <v>1</v>
      </c>
    </row>
    <row r="108" spans="1:11">
      <c r="A108" s="5" t="s">
        <v>252</v>
      </c>
      <c r="B108" s="6"/>
      <c r="C108" s="7"/>
      <c r="D108" s="5"/>
      <c r="E108" s="5"/>
      <c r="F108" s="5"/>
      <c r="G108" s="6"/>
      <c r="H108" s="5"/>
      <c r="I108" s="5"/>
      <c r="J108" s="5">
        <f t="shared" si="13"/>
        <v>0</v>
      </c>
      <c r="K108" s="8" t="b">
        <f t="shared" si="14"/>
        <v>1</v>
      </c>
    </row>
    <row r="110" spans="1:11" ht="26.25">
      <c r="A110" s="126" t="s">
        <v>251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8"/>
    </row>
    <row r="111" spans="1:11" ht="26.25">
      <c r="A111" s="129" t="s">
        <v>254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1"/>
    </row>
    <row r="112" spans="1:11" ht="15.75" thickBot="1"/>
    <row r="113" spans="1:11" ht="15.75" thickBot="1">
      <c r="A113" s="132" t="s">
        <v>2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4"/>
    </row>
    <row r="115" spans="1:11" ht="19.5" thickBot="1">
      <c r="A115" s="1" t="s">
        <v>3</v>
      </c>
      <c r="B115" s="1"/>
      <c r="C115" s="1"/>
      <c r="D115" s="1"/>
      <c r="E115" s="1"/>
      <c r="F115" s="1"/>
      <c r="G115" s="1"/>
      <c r="H115" s="1"/>
      <c r="I115" s="1"/>
    </row>
    <row r="116" spans="1:11" ht="30.75" thickBot="1">
      <c r="A116" s="2" t="s">
        <v>4</v>
      </c>
      <c r="B116" s="3" t="s">
        <v>5</v>
      </c>
      <c r="C116" s="3" t="s">
        <v>6</v>
      </c>
      <c r="D116" s="3" t="s">
        <v>7</v>
      </c>
      <c r="E116" s="3" t="s">
        <v>8</v>
      </c>
      <c r="F116" s="3" t="s">
        <v>9</v>
      </c>
      <c r="G116" s="3" t="s">
        <v>10</v>
      </c>
      <c r="H116" s="3" t="s">
        <v>21</v>
      </c>
      <c r="I116" s="4" t="s">
        <v>22</v>
      </c>
      <c r="J116" s="4" t="s">
        <v>11</v>
      </c>
      <c r="K116" s="4" t="s">
        <v>12</v>
      </c>
    </row>
    <row r="117" spans="1:11">
      <c r="A117" s="5" t="s">
        <v>252</v>
      </c>
      <c r="B117" s="6">
        <v>45389</v>
      </c>
      <c r="C117" s="7">
        <v>1</v>
      </c>
      <c r="D117" s="5">
        <v>7.27</v>
      </c>
      <c r="E117" s="5">
        <v>0</v>
      </c>
      <c r="F117" s="5">
        <v>14.5</v>
      </c>
      <c r="G117" s="6">
        <v>45389</v>
      </c>
      <c r="H117" s="5"/>
      <c r="I117" s="5"/>
      <c r="J117" s="5">
        <f t="shared" ref="J117:J119" si="15">F117-E117</f>
        <v>14.5</v>
      </c>
      <c r="K117" s="111" t="b">
        <f>E117=F107</f>
        <v>1</v>
      </c>
    </row>
    <row r="118" spans="1:11">
      <c r="A118" s="5" t="s">
        <v>252</v>
      </c>
      <c r="B118" s="6">
        <v>45390</v>
      </c>
      <c r="C118" s="7">
        <v>1</v>
      </c>
      <c r="D118" s="5">
        <v>7.27</v>
      </c>
      <c r="E118" s="5">
        <v>14.5</v>
      </c>
      <c r="F118" s="5">
        <v>28.2</v>
      </c>
      <c r="G118" s="6">
        <v>45390</v>
      </c>
      <c r="H118" s="5"/>
      <c r="I118" s="5"/>
      <c r="J118" s="5">
        <f t="shared" si="15"/>
        <v>13.7</v>
      </c>
      <c r="K118" s="111" t="b">
        <f>E118=F117</f>
        <v>1</v>
      </c>
    </row>
    <row r="119" spans="1:11">
      <c r="A119" s="5" t="s">
        <v>252</v>
      </c>
      <c r="B119" s="6">
        <v>45391</v>
      </c>
      <c r="C119" s="7">
        <v>1</v>
      </c>
      <c r="D119" s="5">
        <v>7.27</v>
      </c>
      <c r="E119" s="5">
        <v>28.2</v>
      </c>
      <c r="F119" s="5">
        <v>42.2</v>
      </c>
      <c r="G119" s="6">
        <v>45391</v>
      </c>
      <c r="H119" s="5"/>
      <c r="I119" s="5"/>
      <c r="J119" s="5">
        <f t="shared" si="15"/>
        <v>14.000000000000004</v>
      </c>
      <c r="K119" s="111" t="b">
        <f>E119=F118</f>
        <v>1</v>
      </c>
    </row>
    <row r="120" spans="1:11">
      <c r="A120" s="5" t="s">
        <v>252</v>
      </c>
      <c r="B120" s="6">
        <v>45399</v>
      </c>
      <c r="C120" s="7">
        <v>0.9</v>
      </c>
      <c r="D120" s="5">
        <v>7.16</v>
      </c>
      <c r="E120" s="5">
        <v>42.2</v>
      </c>
      <c r="F120" s="5">
        <v>57.6</v>
      </c>
      <c r="G120" s="6">
        <v>45399</v>
      </c>
      <c r="H120" s="5"/>
      <c r="I120" s="5"/>
      <c r="J120" s="5">
        <f>F120-E120</f>
        <v>15.399999999999999</v>
      </c>
      <c r="K120" s="111" t="b">
        <f>E120=F119</f>
        <v>1</v>
      </c>
    </row>
    <row r="121" spans="1:11">
      <c r="A121" s="5" t="s">
        <v>252</v>
      </c>
      <c r="B121" s="6">
        <v>45403</v>
      </c>
      <c r="C121" s="7">
        <v>0.9</v>
      </c>
      <c r="D121" s="5">
        <v>7.16</v>
      </c>
      <c r="E121" s="5">
        <v>57.6</v>
      </c>
      <c r="F121" s="5">
        <v>73.099999999999994</v>
      </c>
      <c r="G121" s="6">
        <v>45403</v>
      </c>
      <c r="H121" s="5"/>
      <c r="I121" s="5"/>
      <c r="J121" s="5">
        <f t="shared" ref="J121" si="16">F121-E121</f>
        <v>15.499999999999993</v>
      </c>
      <c r="K121" s="111" t="b">
        <f t="shared" ref="K121:K123" si="17">E121=F120</f>
        <v>1</v>
      </c>
    </row>
    <row r="122" spans="1:11">
      <c r="A122" s="5" t="s">
        <v>252</v>
      </c>
      <c r="B122" s="6">
        <v>45407</v>
      </c>
      <c r="C122" s="7">
        <v>0.9</v>
      </c>
      <c r="D122" s="5">
        <v>7.16</v>
      </c>
      <c r="E122" s="5">
        <v>73.099999999999994</v>
      </c>
      <c r="F122" s="5">
        <v>88.6</v>
      </c>
      <c r="G122" s="6">
        <v>45407</v>
      </c>
      <c r="H122" s="5"/>
      <c r="I122" s="5"/>
      <c r="J122" s="5">
        <f t="shared" ref="J122:J156" si="18">F122-E122</f>
        <v>15.5</v>
      </c>
      <c r="K122" s="111" t="b">
        <f t="shared" si="17"/>
        <v>1</v>
      </c>
    </row>
    <row r="123" spans="1:11">
      <c r="A123" s="5" t="s">
        <v>252</v>
      </c>
      <c r="B123" s="6">
        <v>45410</v>
      </c>
      <c r="C123" s="7">
        <v>0.9</v>
      </c>
      <c r="D123" s="5">
        <v>7.16</v>
      </c>
      <c r="E123" s="5">
        <v>88.6</v>
      </c>
      <c r="F123" s="5">
        <v>104.1</v>
      </c>
      <c r="G123" s="6">
        <v>45410</v>
      </c>
      <c r="H123" s="5"/>
      <c r="I123" s="5"/>
      <c r="J123" s="5">
        <f t="shared" si="18"/>
        <v>15.5</v>
      </c>
      <c r="K123" s="111" t="b">
        <f t="shared" si="17"/>
        <v>1</v>
      </c>
    </row>
    <row r="124" spans="1:11">
      <c r="A124" s="5" t="s">
        <v>252</v>
      </c>
      <c r="B124" s="6">
        <v>45416</v>
      </c>
      <c r="C124" s="7">
        <v>1</v>
      </c>
      <c r="D124" s="5">
        <v>6.44</v>
      </c>
      <c r="E124" s="5">
        <v>104.1</v>
      </c>
      <c r="F124" s="5">
        <v>118</v>
      </c>
      <c r="G124" s="6">
        <v>45416</v>
      </c>
      <c r="H124" s="5"/>
      <c r="I124" s="5"/>
      <c r="J124" s="5">
        <f t="shared" si="18"/>
        <v>13.900000000000006</v>
      </c>
      <c r="K124" s="111" t="b">
        <f t="shared" ref="K124:K187" si="19">E124=F123</f>
        <v>1</v>
      </c>
    </row>
    <row r="125" spans="1:11">
      <c r="A125" s="5" t="s">
        <v>252</v>
      </c>
      <c r="B125" s="6">
        <v>45421</v>
      </c>
      <c r="C125" s="7">
        <v>1</v>
      </c>
      <c r="D125" s="5">
        <v>6.44</v>
      </c>
      <c r="E125" s="5">
        <v>118</v>
      </c>
      <c r="F125" s="5">
        <v>132.19999999999999</v>
      </c>
      <c r="G125" s="6">
        <v>45421</v>
      </c>
      <c r="H125" s="5"/>
      <c r="I125" s="5"/>
      <c r="J125" s="5">
        <f t="shared" si="18"/>
        <v>14.199999999999989</v>
      </c>
      <c r="K125" s="111" t="b">
        <f t="shared" si="19"/>
        <v>1</v>
      </c>
    </row>
    <row r="126" spans="1:11">
      <c r="A126" s="5" t="s">
        <v>252</v>
      </c>
      <c r="B126" s="6">
        <v>45426</v>
      </c>
      <c r="C126" s="7">
        <v>0.7</v>
      </c>
      <c r="D126" s="5">
        <v>9.1999999999999993</v>
      </c>
      <c r="E126" s="5">
        <v>132.19999999999999</v>
      </c>
      <c r="F126" s="5">
        <v>152.1</v>
      </c>
      <c r="G126" s="6">
        <v>45426</v>
      </c>
      <c r="H126" s="5"/>
      <c r="I126" s="5"/>
      <c r="J126" s="5">
        <f t="shared" si="18"/>
        <v>19.900000000000006</v>
      </c>
      <c r="K126" s="111" t="b">
        <f t="shared" si="19"/>
        <v>1</v>
      </c>
    </row>
    <row r="127" spans="1:11">
      <c r="A127" s="5"/>
      <c r="B127" s="6"/>
      <c r="C127" s="7"/>
      <c r="D127" s="5"/>
      <c r="E127" s="5"/>
      <c r="F127" s="5"/>
      <c r="G127" s="6"/>
      <c r="H127" s="5"/>
      <c r="I127" s="5"/>
      <c r="J127" s="5"/>
      <c r="K127" s="111" t="b">
        <f t="shared" si="19"/>
        <v>0</v>
      </c>
    </row>
    <row r="129" spans="1:11" ht="26.25">
      <c r="A129" s="135" t="s">
        <v>251</v>
      </c>
      <c r="B129" s="136"/>
      <c r="C129" s="136"/>
      <c r="D129" s="136"/>
      <c r="E129" s="136"/>
      <c r="F129" s="136"/>
      <c r="G129" s="136"/>
      <c r="H129" s="136"/>
      <c r="I129" s="136"/>
      <c r="J129" s="136"/>
      <c r="K129" s="137"/>
    </row>
    <row r="130" spans="1:11" ht="26.25">
      <c r="A130" s="138" t="s">
        <v>255</v>
      </c>
      <c r="B130" s="139"/>
      <c r="C130" s="139"/>
      <c r="D130" s="139"/>
      <c r="E130" s="139"/>
      <c r="F130" s="139"/>
      <c r="G130" s="139"/>
      <c r="H130" s="139"/>
      <c r="I130" s="139"/>
      <c r="J130" s="139"/>
      <c r="K130" s="140"/>
    </row>
    <row r="131" spans="1:11" ht="15.75" thickBot="1"/>
    <row r="132" spans="1:11" ht="15.75" thickBot="1">
      <c r="A132" s="132" t="s">
        <v>2</v>
      </c>
      <c r="B132" s="133"/>
      <c r="C132" s="133"/>
      <c r="D132" s="133"/>
      <c r="E132" s="133"/>
      <c r="F132" s="133"/>
      <c r="G132" s="133"/>
      <c r="H132" s="133"/>
      <c r="I132" s="133"/>
      <c r="J132" s="133"/>
      <c r="K132" s="134"/>
    </row>
    <row r="134" spans="1:11" ht="19.5" thickBot="1">
      <c r="A134" s="1" t="s">
        <v>3</v>
      </c>
      <c r="B134" s="1"/>
      <c r="C134" s="1"/>
      <c r="D134" s="1"/>
      <c r="E134" s="1"/>
      <c r="F134" s="1"/>
      <c r="G134" s="1"/>
      <c r="H134" s="1"/>
      <c r="I134" s="1"/>
    </row>
    <row r="135" spans="1:11" ht="30.75" thickBot="1">
      <c r="A135" s="2" t="s">
        <v>4</v>
      </c>
      <c r="B135" s="3" t="s">
        <v>5</v>
      </c>
      <c r="C135" s="3" t="s">
        <v>6</v>
      </c>
      <c r="D135" s="3" t="s">
        <v>7</v>
      </c>
      <c r="E135" s="3" t="s">
        <v>8</v>
      </c>
      <c r="F135" s="3" t="s">
        <v>9</v>
      </c>
      <c r="G135" s="3" t="s">
        <v>10</v>
      </c>
      <c r="H135" s="3" t="s">
        <v>21</v>
      </c>
      <c r="I135" s="4" t="s">
        <v>22</v>
      </c>
      <c r="J135" s="4" t="s">
        <v>11</v>
      </c>
      <c r="K135" s="4" t="s">
        <v>12</v>
      </c>
    </row>
    <row r="136" spans="1:11">
      <c r="A136" s="5" t="s">
        <v>252</v>
      </c>
      <c r="B136" s="6">
        <v>45447</v>
      </c>
      <c r="C136" s="7">
        <v>0.7</v>
      </c>
      <c r="D136" s="5">
        <v>10.4</v>
      </c>
      <c r="E136" s="5">
        <v>152.1</v>
      </c>
      <c r="F136" s="5">
        <v>172.6</v>
      </c>
      <c r="G136" s="6">
        <v>45447</v>
      </c>
      <c r="H136" s="5"/>
      <c r="I136" s="5"/>
      <c r="J136" s="5">
        <f>F136-E136</f>
        <v>20.5</v>
      </c>
      <c r="K136" s="111" t="b">
        <f>E136=F126</f>
        <v>1</v>
      </c>
    </row>
    <row r="137" spans="1:11">
      <c r="A137" s="5" t="s">
        <v>252</v>
      </c>
      <c r="B137" s="6">
        <v>45448</v>
      </c>
      <c r="C137" s="7">
        <v>1</v>
      </c>
      <c r="D137" s="5">
        <v>7.28</v>
      </c>
      <c r="E137" s="5">
        <v>172.6</v>
      </c>
      <c r="F137" s="5">
        <v>186.5</v>
      </c>
      <c r="G137" s="6">
        <v>45448</v>
      </c>
      <c r="H137" s="5"/>
      <c r="I137" s="5"/>
      <c r="J137" s="5">
        <f t="shared" si="18"/>
        <v>13.900000000000006</v>
      </c>
      <c r="K137" s="111" t="b">
        <f>E137=F136</f>
        <v>1</v>
      </c>
    </row>
    <row r="138" spans="1:11">
      <c r="A138" s="5" t="s">
        <v>252</v>
      </c>
      <c r="B138" s="6">
        <v>45449</v>
      </c>
      <c r="C138" s="7">
        <v>1</v>
      </c>
      <c r="D138" s="5">
        <v>7.28</v>
      </c>
      <c r="E138" s="5">
        <v>186.5</v>
      </c>
      <c r="F138" s="5">
        <v>193.2</v>
      </c>
      <c r="G138" s="6">
        <v>45449</v>
      </c>
      <c r="H138" s="5"/>
      <c r="I138" s="5"/>
      <c r="J138" s="5">
        <f t="shared" si="18"/>
        <v>6.6999999999999886</v>
      </c>
      <c r="K138" s="111" t="b">
        <f t="shared" si="19"/>
        <v>1</v>
      </c>
    </row>
    <row r="139" spans="1:11">
      <c r="A139" s="5" t="s">
        <v>252</v>
      </c>
      <c r="B139" s="6">
        <v>45450</v>
      </c>
      <c r="C139" s="7">
        <v>1</v>
      </c>
      <c r="D139" s="5">
        <v>7.28</v>
      </c>
      <c r="E139" s="5">
        <v>193.2</v>
      </c>
      <c r="F139" s="5">
        <v>200.7</v>
      </c>
      <c r="G139" s="6">
        <v>45450</v>
      </c>
      <c r="H139" s="5"/>
      <c r="I139" s="5"/>
      <c r="J139" s="5">
        <f t="shared" si="18"/>
        <v>7.5</v>
      </c>
      <c r="K139" s="111" t="b">
        <f t="shared" si="19"/>
        <v>1</v>
      </c>
    </row>
    <row r="140" spans="1:11">
      <c r="A140" s="5" t="s">
        <v>252</v>
      </c>
      <c r="B140" s="6">
        <v>45451</v>
      </c>
      <c r="C140" s="7">
        <v>1</v>
      </c>
      <c r="D140" s="5">
        <v>7.28</v>
      </c>
      <c r="E140" s="5">
        <v>200.7</v>
      </c>
      <c r="F140" s="5">
        <v>214.5</v>
      </c>
      <c r="G140" s="6">
        <v>45451</v>
      </c>
      <c r="H140" s="5"/>
      <c r="I140" s="5"/>
      <c r="J140" s="5">
        <f t="shared" si="18"/>
        <v>13.800000000000011</v>
      </c>
      <c r="K140" s="111" t="b">
        <f t="shared" si="19"/>
        <v>1</v>
      </c>
    </row>
    <row r="141" spans="1:11">
      <c r="A141" s="5" t="s">
        <v>252</v>
      </c>
      <c r="B141" s="6">
        <v>45452</v>
      </c>
      <c r="C141" s="7">
        <v>1</v>
      </c>
      <c r="D141" s="5">
        <v>7.28</v>
      </c>
      <c r="E141" s="5">
        <v>214.5</v>
      </c>
      <c r="F141" s="5">
        <v>229</v>
      </c>
      <c r="G141" s="6">
        <v>45452</v>
      </c>
      <c r="H141" s="5"/>
      <c r="I141" s="5"/>
      <c r="J141" s="5">
        <f t="shared" si="18"/>
        <v>14.5</v>
      </c>
      <c r="K141" s="111" t="b">
        <f t="shared" si="19"/>
        <v>1</v>
      </c>
    </row>
    <row r="142" spans="1:11">
      <c r="A142" s="5" t="s">
        <v>252</v>
      </c>
      <c r="B142" s="6">
        <v>45453</v>
      </c>
      <c r="C142" s="7">
        <v>1</v>
      </c>
      <c r="D142" s="5">
        <v>7.28</v>
      </c>
      <c r="E142" s="5">
        <v>229</v>
      </c>
      <c r="F142" s="5">
        <v>243.1</v>
      </c>
      <c r="G142" s="6">
        <v>45453</v>
      </c>
      <c r="H142" s="5"/>
      <c r="I142" s="5"/>
      <c r="J142" s="5">
        <f t="shared" si="18"/>
        <v>14.099999999999994</v>
      </c>
      <c r="K142" s="111" t="b">
        <f t="shared" si="19"/>
        <v>1</v>
      </c>
    </row>
    <row r="143" spans="1:11">
      <c r="A143" s="25" t="s">
        <v>252</v>
      </c>
      <c r="B143" s="26">
        <v>45454</v>
      </c>
      <c r="C143" s="27">
        <v>1</v>
      </c>
      <c r="D143" s="25">
        <v>7.28</v>
      </c>
      <c r="E143" s="25">
        <v>243.1</v>
      </c>
      <c r="F143" s="25">
        <v>257.2</v>
      </c>
      <c r="G143" s="26">
        <v>45454</v>
      </c>
      <c r="H143" s="25"/>
      <c r="I143" s="25"/>
      <c r="J143" s="25">
        <f t="shared" si="18"/>
        <v>14.099999999999994</v>
      </c>
      <c r="K143" s="111" t="b">
        <f t="shared" si="19"/>
        <v>1</v>
      </c>
    </row>
    <row r="144" spans="1:11">
      <c r="A144" s="5" t="s">
        <v>252</v>
      </c>
      <c r="B144" s="6">
        <v>45456</v>
      </c>
      <c r="C144" s="7">
        <v>1</v>
      </c>
      <c r="D144" s="5">
        <v>7.28</v>
      </c>
      <c r="E144" s="5">
        <v>257.2</v>
      </c>
      <c r="F144" s="5">
        <v>271.39999999999998</v>
      </c>
      <c r="G144" s="6">
        <v>45456</v>
      </c>
      <c r="H144" s="5"/>
      <c r="I144" s="5"/>
      <c r="J144" s="5">
        <f t="shared" si="18"/>
        <v>14.199999999999989</v>
      </c>
      <c r="K144" s="111" t="b">
        <f t="shared" si="19"/>
        <v>1</v>
      </c>
    </row>
    <row r="145" spans="1:11">
      <c r="A145" s="5" t="s">
        <v>252</v>
      </c>
      <c r="B145" s="6">
        <v>45457</v>
      </c>
      <c r="C145" s="7">
        <v>1</v>
      </c>
      <c r="D145" s="5">
        <v>7.28</v>
      </c>
      <c r="E145" s="5">
        <v>271.39999999999998</v>
      </c>
      <c r="F145" s="5">
        <v>285.60000000000002</v>
      </c>
      <c r="G145" s="6">
        <v>45457</v>
      </c>
      <c r="H145" s="5"/>
      <c r="I145" s="5"/>
      <c r="J145" s="5">
        <f t="shared" si="18"/>
        <v>14.200000000000045</v>
      </c>
      <c r="K145" s="111" t="b">
        <f t="shared" si="19"/>
        <v>1</v>
      </c>
    </row>
    <row r="146" spans="1:11">
      <c r="A146" s="5" t="s">
        <v>252</v>
      </c>
      <c r="B146" s="6">
        <v>45458</v>
      </c>
      <c r="C146" s="7">
        <v>1</v>
      </c>
      <c r="D146" s="5">
        <v>7.28</v>
      </c>
      <c r="E146" s="5">
        <v>285.60000000000002</v>
      </c>
      <c r="F146" s="5">
        <v>299.8</v>
      </c>
      <c r="G146" s="6">
        <v>45458</v>
      </c>
      <c r="H146" s="5"/>
      <c r="I146" s="5"/>
      <c r="J146" s="5">
        <f t="shared" si="18"/>
        <v>14.199999999999989</v>
      </c>
      <c r="K146" s="111" t="b">
        <f t="shared" si="19"/>
        <v>1</v>
      </c>
    </row>
    <row r="147" spans="1:11">
      <c r="A147" s="5" t="s">
        <v>252</v>
      </c>
      <c r="B147" s="6">
        <v>45459</v>
      </c>
      <c r="C147" s="7">
        <v>0.5</v>
      </c>
      <c r="D147" s="5">
        <v>14.56</v>
      </c>
      <c r="E147" s="5">
        <v>299.8</v>
      </c>
      <c r="F147" s="5">
        <v>327.8</v>
      </c>
      <c r="G147" s="6">
        <v>45428</v>
      </c>
      <c r="H147" s="5"/>
      <c r="I147" s="5"/>
      <c r="J147" s="5">
        <f t="shared" si="18"/>
        <v>28</v>
      </c>
      <c r="K147" s="111" t="b">
        <f t="shared" si="19"/>
        <v>1</v>
      </c>
    </row>
    <row r="148" spans="1:11">
      <c r="A148" s="5" t="s">
        <v>252</v>
      </c>
      <c r="B148" s="6">
        <v>45460</v>
      </c>
      <c r="C148" s="7">
        <v>1</v>
      </c>
      <c r="D148" s="5">
        <v>7.28</v>
      </c>
      <c r="E148" s="5">
        <v>327.8</v>
      </c>
      <c r="F148" s="5">
        <v>341.9</v>
      </c>
      <c r="G148" s="6">
        <v>45460</v>
      </c>
      <c r="H148" s="5"/>
      <c r="I148" s="5"/>
      <c r="J148" s="5">
        <f t="shared" si="18"/>
        <v>14.099999999999966</v>
      </c>
      <c r="K148" s="111" t="b">
        <f t="shared" si="19"/>
        <v>1</v>
      </c>
    </row>
    <row r="149" spans="1:11">
      <c r="A149" s="5" t="s">
        <v>252</v>
      </c>
      <c r="B149" s="6">
        <v>45461</v>
      </c>
      <c r="C149" s="7">
        <v>1</v>
      </c>
      <c r="D149" s="5">
        <v>7.28</v>
      </c>
      <c r="E149" s="5">
        <v>341.9</v>
      </c>
      <c r="F149" s="5">
        <v>355.9</v>
      </c>
      <c r="G149" s="6">
        <v>45461</v>
      </c>
      <c r="H149" s="5"/>
      <c r="I149" s="5"/>
      <c r="J149" s="5">
        <f t="shared" si="18"/>
        <v>14</v>
      </c>
      <c r="K149" s="111" t="b">
        <f t="shared" si="19"/>
        <v>1</v>
      </c>
    </row>
    <row r="150" spans="1:11">
      <c r="A150" s="5" t="s">
        <v>252</v>
      </c>
      <c r="B150" s="6">
        <v>45463</v>
      </c>
      <c r="C150" s="7">
        <v>1</v>
      </c>
      <c r="D150" s="5">
        <v>7.28</v>
      </c>
      <c r="E150" s="5">
        <v>355.9</v>
      </c>
      <c r="F150" s="5">
        <v>370</v>
      </c>
      <c r="G150" s="6">
        <v>45463</v>
      </c>
      <c r="H150" s="5"/>
      <c r="I150" s="5"/>
      <c r="J150" s="5">
        <f t="shared" si="18"/>
        <v>14.100000000000023</v>
      </c>
      <c r="K150" s="111" t="b">
        <f t="shared" si="19"/>
        <v>1</v>
      </c>
    </row>
    <row r="151" spans="1:11">
      <c r="A151" s="5" t="s">
        <v>252</v>
      </c>
      <c r="B151" s="6">
        <v>45468</v>
      </c>
      <c r="C151" s="7">
        <v>1</v>
      </c>
      <c r="D151" s="5">
        <v>7.28</v>
      </c>
      <c r="E151" s="5">
        <v>370</v>
      </c>
      <c r="F151" s="5">
        <v>384.4</v>
      </c>
      <c r="G151" s="6">
        <v>45468</v>
      </c>
      <c r="H151" s="5"/>
      <c r="I151" s="5"/>
      <c r="J151" s="5">
        <f t="shared" si="18"/>
        <v>14.399999999999977</v>
      </c>
      <c r="K151" s="111" t="b">
        <f t="shared" si="19"/>
        <v>1</v>
      </c>
    </row>
    <row r="152" spans="1:11">
      <c r="A152" s="5" t="s">
        <v>252</v>
      </c>
      <c r="B152" s="6">
        <v>45469</v>
      </c>
      <c r="C152" s="7">
        <v>1</v>
      </c>
      <c r="D152" s="5">
        <v>7.28</v>
      </c>
      <c r="E152" s="5">
        <v>384.4</v>
      </c>
      <c r="F152" s="5">
        <v>391.7</v>
      </c>
      <c r="G152" s="6">
        <v>45469</v>
      </c>
      <c r="H152" s="5"/>
      <c r="I152" s="5"/>
      <c r="J152" s="5">
        <f t="shared" si="18"/>
        <v>7.3000000000000114</v>
      </c>
      <c r="K152" s="111" t="b">
        <f t="shared" si="19"/>
        <v>1</v>
      </c>
    </row>
    <row r="153" spans="1:11">
      <c r="A153" s="5" t="s">
        <v>252</v>
      </c>
      <c r="B153" s="6">
        <v>45470</v>
      </c>
      <c r="C153" s="7">
        <v>1</v>
      </c>
      <c r="D153" s="5">
        <v>7.28</v>
      </c>
      <c r="E153" s="5">
        <v>391.7</v>
      </c>
      <c r="F153" s="5">
        <v>412.7</v>
      </c>
      <c r="G153" s="6">
        <v>45470</v>
      </c>
      <c r="H153" s="5"/>
      <c r="I153" s="5"/>
      <c r="J153" s="5">
        <f t="shared" si="18"/>
        <v>21</v>
      </c>
      <c r="K153" s="111" t="b">
        <f t="shared" si="19"/>
        <v>1</v>
      </c>
    </row>
    <row r="154" spans="1:11">
      <c r="A154" s="5" t="s">
        <v>252</v>
      </c>
      <c r="B154" s="6">
        <v>45471</v>
      </c>
      <c r="C154" s="7">
        <v>1</v>
      </c>
      <c r="D154" s="5">
        <v>7.28</v>
      </c>
      <c r="E154" s="5">
        <v>412.7</v>
      </c>
      <c r="F154" s="5">
        <v>426.7</v>
      </c>
      <c r="G154" s="6">
        <v>45471</v>
      </c>
      <c r="H154" s="5"/>
      <c r="I154" s="5"/>
      <c r="J154" s="5">
        <f t="shared" si="18"/>
        <v>14</v>
      </c>
      <c r="K154" s="111" t="b">
        <f t="shared" si="19"/>
        <v>1</v>
      </c>
    </row>
    <row r="155" spans="1:11">
      <c r="A155" s="5" t="s">
        <v>252</v>
      </c>
      <c r="B155" s="6">
        <v>45472</v>
      </c>
      <c r="C155" s="7">
        <v>1</v>
      </c>
      <c r="D155" s="5">
        <v>7.28</v>
      </c>
      <c r="E155" s="5">
        <v>426.7</v>
      </c>
      <c r="F155" s="5">
        <v>440.8</v>
      </c>
      <c r="G155" s="6">
        <v>45472</v>
      </c>
      <c r="H155" s="5"/>
      <c r="I155" s="5"/>
      <c r="J155" s="5">
        <f t="shared" si="18"/>
        <v>14.100000000000023</v>
      </c>
      <c r="K155" s="111" t="b">
        <f t="shared" si="19"/>
        <v>1</v>
      </c>
    </row>
    <row r="156" spans="1:11">
      <c r="A156" s="5" t="s">
        <v>252</v>
      </c>
      <c r="B156" s="6">
        <v>45474</v>
      </c>
      <c r="C156" s="7">
        <v>0.75</v>
      </c>
      <c r="D156" s="5">
        <v>9.7100000000000009</v>
      </c>
      <c r="E156" s="5">
        <v>440.8</v>
      </c>
      <c r="F156" s="5">
        <v>459.3</v>
      </c>
      <c r="G156" s="6">
        <v>45474</v>
      </c>
      <c r="H156" s="5"/>
      <c r="I156" s="5"/>
      <c r="J156" s="5">
        <f t="shared" si="18"/>
        <v>18.5</v>
      </c>
      <c r="K156" s="111" t="b">
        <f t="shared" si="19"/>
        <v>1</v>
      </c>
    </row>
    <row r="157" spans="1:11">
      <c r="A157" s="5" t="s">
        <v>252</v>
      </c>
      <c r="B157" s="6">
        <v>45476</v>
      </c>
      <c r="C157" s="7">
        <v>0.75</v>
      </c>
      <c r="D157" s="5">
        <v>9.7100000000000009</v>
      </c>
      <c r="E157" s="5">
        <v>459.3</v>
      </c>
      <c r="F157" s="5">
        <v>477.9</v>
      </c>
      <c r="G157" s="6">
        <v>45476</v>
      </c>
      <c r="H157" s="5"/>
      <c r="I157" s="5"/>
      <c r="J157" s="5">
        <f t="shared" ref="J157:J192" si="20">F157-E157</f>
        <v>18.599999999999966</v>
      </c>
      <c r="K157" s="111" t="b">
        <f t="shared" si="19"/>
        <v>1</v>
      </c>
    </row>
    <row r="158" spans="1:11">
      <c r="A158" s="5" t="s">
        <v>252</v>
      </c>
      <c r="B158" s="6">
        <v>45478</v>
      </c>
      <c r="C158" s="7">
        <v>0.75</v>
      </c>
      <c r="D158" s="5">
        <v>9.7100000000000009</v>
      </c>
      <c r="E158" s="5">
        <v>477.9</v>
      </c>
      <c r="F158" s="5">
        <v>496.6</v>
      </c>
      <c r="G158" s="6">
        <v>45478</v>
      </c>
      <c r="H158" s="5"/>
      <c r="I158" s="5"/>
      <c r="J158" s="5">
        <f t="shared" si="20"/>
        <v>18.700000000000045</v>
      </c>
      <c r="K158" s="111" t="b">
        <f t="shared" si="19"/>
        <v>1</v>
      </c>
    </row>
    <row r="159" spans="1:11">
      <c r="A159" s="5" t="s">
        <v>252</v>
      </c>
      <c r="B159" s="6">
        <v>45480</v>
      </c>
      <c r="C159" s="7">
        <v>0.7</v>
      </c>
      <c r="D159" s="5">
        <v>10.4</v>
      </c>
      <c r="E159" s="5">
        <v>496.6</v>
      </c>
      <c r="F159" s="5">
        <v>516.6</v>
      </c>
      <c r="G159" s="6">
        <v>45480</v>
      </c>
      <c r="H159" s="5"/>
      <c r="I159" s="5"/>
      <c r="J159" s="5">
        <f t="shared" si="20"/>
        <v>20</v>
      </c>
      <c r="K159" s="111" t="b">
        <f t="shared" si="19"/>
        <v>1</v>
      </c>
    </row>
    <row r="160" spans="1:11">
      <c r="A160" s="5" t="s">
        <v>252</v>
      </c>
      <c r="B160" s="6">
        <v>45482</v>
      </c>
      <c r="C160" s="7">
        <v>0.65</v>
      </c>
      <c r="D160" s="5">
        <v>11.2</v>
      </c>
      <c r="E160" s="5">
        <v>516.6</v>
      </c>
      <c r="F160" s="5">
        <v>533.79999999999995</v>
      </c>
      <c r="G160" s="6">
        <v>45482</v>
      </c>
      <c r="H160" s="5"/>
      <c r="I160" s="5"/>
      <c r="J160" s="5">
        <f t="shared" si="20"/>
        <v>17.199999999999932</v>
      </c>
      <c r="K160" s="111" t="b">
        <f t="shared" si="19"/>
        <v>1</v>
      </c>
    </row>
    <row r="161" spans="1:11">
      <c r="A161" s="5" t="s">
        <v>252</v>
      </c>
      <c r="B161" s="6">
        <v>45484</v>
      </c>
      <c r="C161" s="7">
        <v>0.7</v>
      </c>
      <c r="D161" s="5">
        <v>10.4</v>
      </c>
      <c r="E161" s="5">
        <v>533.79999999999995</v>
      </c>
      <c r="F161" s="5">
        <v>554.20000000000005</v>
      </c>
      <c r="G161" s="6">
        <v>45484</v>
      </c>
      <c r="H161" s="5"/>
      <c r="I161" s="5"/>
      <c r="J161" s="5">
        <f t="shared" si="20"/>
        <v>20.400000000000091</v>
      </c>
      <c r="K161" s="111" t="b">
        <f t="shared" si="19"/>
        <v>1</v>
      </c>
    </row>
    <row r="162" spans="1:11">
      <c r="A162" s="5" t="s">
        <v>252</v>
      </c>
      <c r="B162" s="6">
        <v>45486</v>
      </c>
      <c r="C162" s="7">
        <v>0.6</v>
      </c>
      <c r="D162" s="5">
        <v>12.14</v>
      </c>
      <c r="E162" s="5">
        <v>554.20000000000005</v>
      </c>
      <c r="F162" s="5">
        <v>577.20000000000005</v>
      </c>
      <c r="G162" s="6">
        <v>45395</v>
      </c>
      <c r="H162" s="5"/>
      <c r="I162" s="5"/>
      <c r="J162" s="5">
        <f t="shared" si="20"/>
        <v>23</v>
      </c>
      <c r="K162" s="111" t="b">
        <f t="shared" si="19"/>
        <v>1</v>
      </c>
    </row>
    <row r="163" spans="1:11">
      <c r="A163" s="5" t="s">
        <v>252</v>
      </c>
      <c r="B163" s="6">
        <v>45488</v>
      </c>
      <c r="C163" s="7">
        <v>1</v>
      </c>
      <c r="D163" s="5">
        <v>7.28</v>
      </c>
      <c r="E163" s="5">
        <v>577.20000000000005</v>
      </c>
      <c r="F163" s="5">
        <v>591.20000000000005</v>
      </c>
      <c r="G163" s="6">
        <v>45488</v>
      </c>
      <c r="H163" s="5"/>
      <c r="I163" s="5"/>
      <c r="J163" s="5">
        <f t="shared" si="20"/>
        <v>14</v>
      </c>
      <c r="K163" s="111" t="b">
        <f t="shared" si="19"/>
        <v>1</v>
      </c>
    </row>
    <row r="164" spans="1:11">
      <c r="A164" s="5" t="s">
        <v>252</v>
      </c>
      <c r="B164" s="6">
        <v>45489</v>
      </c>
      <c r="C164" s="7">
        <v>1</v>
      </c>
      <c r="D164" s="5">
        <v>7.28</v>
      </c>
      <c r="E164" s="5">
        <v>591.20000000000005</v>
      </c>
      <c r="F164" s="5">
        <v>605.29999999999995</v>
      </c>
      <c r="G164" s="6">
        <v>45489</v>
      </c>
      <c r="H164" s="5"/>
      <c r="I164" s="5"/>
      <c r="J164" s="5">
        <f t="shared" si="20"/>
        <v>14.099999999999909</v>
      </c>
      <c r="K164" s="111" t="b">
        <f t="shared" si="19"/>
        <v>1</v>
      </c>
    </row>
    <row r="165" spans="1:11">
      <c r="A165" s="5" t="s">
        <v>252</v>
      </c>
      <c r="B165" s="6">
        <v>45491</v>
      </c>
      <c r="C165" s="7">
        <v>0.7</v>
      </c>
      <c r="D165" s="5">
        <v>10.4</v>
      </c>
      <c r="E165" s="5">
        <v>605.29999999999995</v>
      </c>
      <c r="F165" s="5">
        <v>625.70000000000005</v>
      </c>
      <c r="G165" s="6">
        <v>45491</v>
      </c>
      <c r="H165" s="5"/>
      <c r="I165" s="5"/>
      <c r="J165" s="5">
        <f t="shared" si="20"/>
        <v>20.400000000000091</v>
      </c>
      <c r="K165" s="111" t="b">
        <f t="shared" si="19"/>
        <v>1</v>
      </c>
    </row>
    <row r="166" spans="1:11">
      <c r="A166" s="5" t="s">
        <v>252</v>
      </c>
      <c r="B166" s="6">
        <v>45493</v>
      </c>
      <c r="C166" s="7">
        <v>1</v>
      </c>
      <c r="D166" s="5">
        <v>7.28</v>
      </c>
      <c r="E166" s="5">
        <v>625.70000000000005</v>
      </c>
      <c r="F166" s="5">
        <v>639.79999999999995</v>
      </c>
      <c r="G166" s="6">
        <v>45493</v>
      </c>
      <c r="H166" s="5"/>
      <c r="I166" s="5"/>
      <c r="J166" s="5">
        <f t="shared" si="20"/>
        <v>14.099999999999909</v>
      </c>
      <c r="K166" s="111" t="b">
        <f t="shared" si="19"/>
        <v>1</v>
      </c>
    </row>
    <row r="167" spans="1:11">
      <c r="A167" s="5" t="s">
        <v>252</v>
      </c>
      <c r="B167" s="6">
        <v>45495</v>
      </c>
      <c r="C167" s="7">
        <v>0.7</v>
      </c>
      <c r="D167" s="5">
        <v>10.4</v>
      </c>
      <c r="E167" s="5">
        <v>639.79999999999995</v>
      </c>
      <c r="F167" s="5">
        <v>659.9</v>
      </c>
      <c r="G167" s="6">
        <v>45495</v>
      </c>
      <c r="H167" s="5"/>
      <c r="I167" s="5"/>
      <c r="J167" s="5">
        <f t="shared" si="20"/>
        <v>20.100000000000023</v>
      </c>
      <c r="K167" s="111" t="b">
        <f t="shared" si="19"/>
        <v>1</v>
      </c>
    </row>
    <row r="168" spans="1:11">
      <c r="A168" s="5" t="s">
        <v>252</v>
      </c>
      <c r="B168" s="6">
        <v>45497</v>
      </c>
      <c r="C168" s="7">
        <v>1</v>
      </c>
      <c r="D168" s="5">
        <v>7.28</v>
      </c>
      <c r="E168" s="5">
        <v>659.9</v>
      </c>
      <c r="F168" s="5">
        <v>674</v>
      </c>
      <c r="G168" s="6">
        <v>45497</v>
      </c>
      <c r="H168" s="5"/>
      <c r="I168" s="5"/>
      <c r="J168" s="5">
        <f t="shared" si="20"/>
        <v>14.100000000000023</v>
      </c>
      <c r="K168" s="111" t="b">
        <f t="shared" si="19"/>
        <v>1</v>
      </c>
    </row>
    <row r="169" spans="1:11">
      <c r="A169" s="5" t="s">
        <v>252</v>
      </c>
      <c r="B169" s="6">
        <v>45499</v>
      </c>
      <c r="C169" s="7">
        <v>0.6</v>
      </c>
      <c r="D169" s="5">
        <v>12.14</v>
      </c>
      <c r="E169" s="5">
        <v>674</v>
      </c>
      <c r="F169" s="5">
        <v>698.6</v>
      </c>
      <c r="G169" s="6">
        <v>45499</v>
      </c>
      <c r="H169" s="5"/>
      <c r="I169" s="5"/>
      <c r="J169" s="5">
        <f t="shared" si="20"/>
        <v>24.600000000000023</v>
      </c>
      <c r="K169" s="111" t="b">
        <f t="shared" si="19"/>
        <v>1</v>
      </c>
    </row>
    <row r="170" spans="1:11">
      <c r="A170" s="5" t="s">
        <v>252</v>
      </c>
      <c r="B170" s="6">
        <v>45501</v>
      </c>
      <c r="C170" s="7">
        <v>0.7</v>
      </c>
      <c r="D170" s="5">
        <v>10.4</v>
      </c>
      <c r="E170" s="5">
        <v>698.6</v>
      </c>
      <c r="F170" s="5">
        <v>717.1</v>
      </c>
      <c r="G170" s="6">
        <v>45501</v>
      </c>
      <c r="H170" s="5"/>
      <c r="I170" s="5"/>
      <c r="J170" s="5">
        <f t="shared" si="20"/>
        <v>18.5</v>
      </c>
      <c r="K170" s="111" t="b">
        <f t="shared" si="19"/>
        <v>1</v>
      </c>
    </row>
    <row r="171" spans="1:11">
      <c r="A171" s="5" t="s">
        <v>252</v>
      </c>
      <c r="B171" s="6">
        <v>45503</v>
      </c>
      <c r="C171" s="7">
        <v>0.7</v>
      </c>
      <c r="D171" s="5">
        <v>10.4</v>
      </c>
      <c r="E171" s="5">
        <v>717.1</v>
      </c>
      <c r="F171" s="5">
        <v>738.4</v>
      </c>
      <c r="G171" s="6">
        <v>45503</v>
      </c>
      <c r="H171" s="5"/>
      <c r="I171" s="5"/>
      <c r="J171" s="5">
        <f t="shared" si="20"/>
        <v>21.299999999999955</v>
      </c>
      <c r="K171" s="111" t="b">
        <f t="shared" si="19"/>
        <v>1</v>
      </c>
    </row>
    <row r="172" spans="1:11">
      <c r="A172" s="5" t="s">
        <v>252</v>
      </c>
      <c r="B172" s="6">
        <v>45505</v>
      </c>
      <c r="C172" s="7">
        <v>1</v>
      </c>
      <c r="D172" s="5">
        <v>7.28</v>
      </c>
      <c r="E172" s="5">
        <v>738.4</v>
      </c>
      <c r="F172" s="5">
        <v>752.3</v>
      </c>
      <c r="G172" s="6">
        <v>45505</v>
      </c>
      <c r="H172" s="5"/>
      <c r="I172" s="5"/>
      <c r="J172" s="5">
        <f t="shared" si="20"/>
        <v>13.899999999999977</v>
      </c>
      <c r="K172" s="111" t="b">
        <f t="shared" si="19"/>
        <v>1</v>
      </c>
    </row>
    <row r="173" spans="1:11">
      <c r="A173" s="5" t="s">
        <v>252</v>
      </c>
      <c r="B173" s="6">
        <v>45506</v>
      </c>
      <c r="C173" s="7">
        <v>0.7</v>
      </c>
      <c r="D173" s="5">
        <v>9.1999999999999993</v>
      </c>
      <c r="E173" s="5">
        <v>752.3</v>
      </c>
      <c r="F173" s="5">
        <v>768.2</v>
      </c>
      <c r="G173" s="6">
        <v>45506</v>
      </c>
      <c r="H173" s="5"/>
      <c r="I173" s="5"/>
      <c r="J173" s="5">
        <f t="shared" si="20"/>
        <v>15.900000000000091</v>
      </c>
      <c r="K173" s="111" t="b">
        <f t="shared" si="19"/>
        <v>1</v>
      </c>
    </row>
    <row r="174" spans="1:11">
      <c r="A174" s="5" t="s">
        <v>252</v>
      </c>
      <c r="B174" s="6">
        <v>45509</v>
      </c>
      <c r="C174" s="7">
        <v>0.8</v>
      </c>
      <c r="D174" s="5">
        <v>8.14</v>
      </c>
      <c r="E174" s="5">
        <v>768.2</v>
      </c>
      <c r="F174" s="5">
        <v>784.1</v>
      </c>
      <c r="G174" s="6">
        <v>45509</v>
      </c>
      <c r="H174" s="5"/>
      <c r="I174" s="5"/>
      <c r="J174" s="5">
        <f t="shared" si="20"/>
        <v>15.899999999999977</v>
      </c>
      <c r="K174" s="111" t="b">
        <f t="shared" si="19"/>
        <v>1</v>
      </c>
    </row>
    <row r="175" spans="1:11">
      <c r="A175" s="5" t="s">
        <v>252</v>
      </c>
      <c r="B175" s="6">
        <v>45511</v>
      </c>
      <c r="C175" s="7">
        <v>1</v>
      </c>
      <c r="D175" s="5">
        <v>6.44</v>
      </c>
      <c r="E175" s="5">
        <v>784.1</v>
      </c>
      <c r="F175" s="5">
        <v>798.2</v>
      </c>
      <c r="G175" s="6">
        <v>45511</v>
      </c>
      <c r="H175" s="5"/>
      <c r="I175" s="5"/>
      <c r="J175" s="5">
        <f t="shared" si="20"/>
        <v>14.100000000000023</v>
      </c>
      <c r="K175" s="111" t="b">
        <f t="shared" si="19"/>
        <v>1</v>
      </c>
    </row>
    <row r="176" spans="1:11">
      <c r="A176" s="5" t="s">
        <v>252</v>
      </c>
      <c r="B176" s="6">
        <v>45512</v>
      </c>
      <c r="C176" s="7">
        <v>1</v>
      </c>
      <c r="D176" s="5">
        <v>6.44</v>
      </c>
      <c r="E176" s="5">
        <v>798.2</v>
      </c>
      <c r="F176" s="5">
        <v>812.4</v>
      </c>
      <c r="G176" s="6">
        <v>45512</v>
      </c>
      <c r="H176" s="5"/>
      <c r="I176" s="5"/>
      <c r="J176" s="5">
        <f t="shared" si="20"/>
        <v>14.199999999999932</v>
      </c>
      <c r="K176" s="111" t="b">
        <f t="shared" si="19"/>
        <v>1</v>
      </c>
    </row>
    <row r="177" spans="1:11">
      <c r="A177" s="5" t="s">
        <v>252</v>
      </c>
      <c r="B177" s="6">
        <v>45514</v>
      </c>
      <c r="C177" s="7">
        <v>1</v>
      </c>
      <c r="D177" s="5">
        <v>6.44</v>
      </c>
      <c r="E177" s="5">
        <v>812.4</v>
      </c>
      <c r="F177" s="5">
        <v>826</v>
      </c>
      <c r="G177" s="6">
        <v>45514</v>
      </c>
      <c r="H177" s="5"/>
      <c r="I177" s="5"/>
      <c r="J177" s="5">
        <f t="shared" si="20"/>
        <v>13.600000000000023</v>
      </c>
      <c r="K177" s="111" t="b">
        <f t="shared" si="19"/>
        <v>1</v>
      </c>
    </row>
    <row r="178" spans="1:11">
      <c r="A178" s="5" t="s">
        <v>252</v>
      </c>
      <c r="B178" s="6">
        <v>45515</v>
      </c>
      <c r="C178" s="7">
        <v>1</v>
      </c>
      <c r="D178" s="5">
        <v>6.44</v>
      </c>
      <c r="E178" s="5">
        <v>826</v>
      </c>
      <c r="F178" s="5">
        <v>840.6</v>
      </c>
      <c r="G178" s="6">
        <v>45515</v>
      </c>
      <c r="H178" s="5"/>
      <c r="I178" s="5"/>
      <c r="J178" s="5">
        <f t="shared" si="20"/>
        <v>14.600000000000023</v>
      </c>
      <c r="K178" s="111" t="b">
        <f t="shared" si="19"/>
        <v>1</v>
      </c>
    </row>
    <row r="179" spans="1:11">
      <c r="A179" s="5" t="s">
        <v>252</v>
      </c>
      <c r="B179" s="6">
        <v>45516</v>
      </c>
      <c r="C179" s="7">
        <v>1</v>
      </c>
      <c r="D179" s="5">
        <v>6.44</v>
      </c>
      <c r="E179" s="5">
        <v>840.6</v>
      </c>
      <c r="F179" s="5">
        <v>854.8</v>
      </c>
      <c r="G179" s="6">
        <v>45516</v>
      </c>
      <c r="H179" s="5"/>
      <c r="I179" s="5"/>
      <c r="J179" s="5">
        <f t="shared" si="20"/>
        <v>14.199999999999932</v>
      </c>
      <c r="K179" s="111" t="b">
        <f t="shared" si="19"/>
        <v>1</v>
      </c>
    </row>
    <row r="180" spans="1:11">
      <c r="A180" s="5" t="s">
        <v>252</v>
      </c>
      <c r="B180" s="6">
        <v>45518</v>
      </c>
      <c r="C180" s="7">
        <v>0.8</v>
      </c>
      <c r="D180" s="5">
        <v>8.14</v>
      </c>
      <c r="E180" s="5">
        <v>854.8</v>
      </c>
      <c r="F180" s="5">
        <v>872.2</v>
      </c>
      <c r="G180" s="6">
        <v>45518</v>
      </c>
      <c r="H180" s="5"/>
      <c r="I180" s="5"/>
      <c r="J180" s="5">
        <f t="shared" si="20"/>
        <v>17.400000000000091</v>
      </c>
      <c r="K180" s="111" t="b">
        <f t="shared" si="19"/>
        <v>1</v>
      </c>
    </row>
    <row r="181" spans="1:11">
      <c r="A181" s="5" t="s">
        <v>252</v>
      </c>
      <c r="B181" s="6">
        <v>45519</v>
      </c>
      <c r="C181" s="7">
        <v>0.9</v>
      </c>
      <c r="D181" s="5">
        <v>7.23</v>
      </c>
      <c r="E181" s="5">
        <v>872.2</v>
      </c>
      <c r="F181" s="5">
        <v>887.8</v>
      </c>
      <c r="G181" s="6">
        <v>45519</v>
      </c>
      <c r="H181" s="5"/>
      <c r="I181" s="5"/>
      <c r="J181" s="5">
        <f t="shared" si="20"/>
        <v>15.599999999999909</v>
      </c>
      <c r="K181" s="111" t="b">
        <f t="shared" si="19"/>
        <v>1</v>
      </c>
    </row>
    <row r="182" spans="1:11">
      <c r="A182" s="5" t="s">
        <v>252</v>
      </c>
      <c r="B182" s="6">
        <v>45520</v>
      </c>
      <c r="C182" s="7">
        <v>1</v>
      </c>
      <c r="D182" s="5">
        <v>6.44</v>
      </c>
      <c r="E182" s="5">
        <v>887.8</v>
      </c>
      <c r="F182" s="5">
        <v>901.9</v>
      </c>
      <c r="G182" s="6">
        <v>45520</v>
      </c>
      <c r="H182" s="5"/>
      <c r="I182" s="5"/>
      <c r="J182" s="5">
        <f t="shared" si="20"/>
        <v>14.100000000000023</v>
      </c>
      <c r="K182" s="111" t="b">
        <f t="shared" si="19"/>
        <v>1</v>
      </c>
    </row>
    <row r="183" spans="1:11">
      <c r="A183" s="5" t="s">
        <v>252</v>
      </c>
      <c r="B183" s="6">
        <v>45522</v>
      </c>
      <c r="C183" s="7">
        <v>0.8</v>
      </c>
      <c r="D183" s="5">
        <v>8.14</v>
      </c>
      <c r="E183" s="5">
        <v>901.9</v>
      </c>
      <c r="F183" s="5">
        <v>919</v>
      </c>
      <c r="G183" s="6">
        <v>45522</v>
      </c>
      <c r="H183" s="5"/>
      <c r="I183" s="5"/>
      <c r="J183" s="5">
        <f t="shared" si="20"/>
        <v>17.100000000000023</v>
      </c>
      <c r="K183" s="111" t="b">
        <f t="shared" si="19"/>
        <v>1</v>
      </c>
    </row>
    <row r="184" spans="1:11">
      <c r="A184" s="5" t="s">
        <v>252</v>
      </c>
      <c r="B184" s="6">
        <v>45523</v>
      </c>
      <c r="C184" s="7">
        <v>1</v>
      </c>
      <c r="D184" s="5">
        <v>6.44</v>
      </c>
      <c r="E184" s="5">
        <v>919</v>
      </c>
      <c r="F184" s="5">
        <v>933.7</v>
      </c>
      <c r="G184" s="6">
        <v>45523</v>
      </c>
      <c r="H184" s="5"/>
      <c r="I184" s="5"/>
      <c r="J184" s="5">
        <f t="shared" si="20"/>
        <v>14.700000000000045</v>
      </c>
      <c r="K184" s="111" t="b">
        <f t="shared" si="19"/>
        <v>1</v>
      </c>
    </row>
    <row r="185" spans="1:11">
      <c r="A185" s="5" t="s">
        <v>252</v>
      </c>
      <c r="B185" s="6">
        <v>45525</v>
      </c>
      <c r="C185" s="7">
        <v>1</v>
      </c>
      <c r="D185" s="5">
        <v>6.44</v>
      </c>
      <c r="E185" s="5">
        <v>933.7</v>
      </c>
      <c r="F185" s="5">
        <v>947.9</v>
      </c>
      <c r="G185" s="6">
        <v>45525</v>
      </c>
      <c r="H185" s="5"/>
      <c r="I185" s="5"/>
      <c r="J185" s="5">
        <f t="shared" si="20"/>
        <v>14.199999999999932</v>
      </c>
      <c r="K185" s="111" t="b">
        <f t="shared" si="19"/>
        <v>1</v>
      </c>
    </row>
    <row r="186" spans="1:11">
      <c r="A186" s="5" t="s">
        <v>252</v>
      </c>
      <c r="B186" s="6">
        <v>45526</v>
      </c>
      <c r="C186" s="7">
        <v>1</v>
      </c>
      <c r="D186" s="5">
        <v>6.44</v>
      </c>
      <c r="E186" s="5">
        <v>947.9</v>
      </c>
      <c r="F186" s="5">
        <v>962.1</v>
      </c>
      <c r="G186" s="6">
        <v>45526</v>
      </c>
      <c r="H186" s="5"/>
      <c r="I186" s="5"/>
      <c r="J186" s="5">
        <f t="shared" si="20"/>
        <v>14.200000000000045</v>
      </c>
      <c r="K186" s="111" t="b">
        <f t="shared" si="19"/>
        <v>1</v>
      </c>
    </row>
    <row r="187" spans="1:11">
      <c r="A187" s="5" t="s">
        <v>252</v>
      </c>
      <c r="B187" s="6">
        <v>45528</v>
      </c>
      <c r="C187" s="7">
        <v>1</v>
      </c>
      <c r="D187" s="5">
        <v>6.44</v>
      </c>
      <c r="E187" s="5">
        <v>962.1</v>
      </c>
      <c r="F187" s="5">
        <v>976.4</v>
      </c>
      <c r="G187" s="6">
        <v>45528</v>
      </c>
      <c r="H187" s="5"/>
      <c r="I187" s="5"/>
      <c r="J187" s="5">
        <f t="shared" si="20"/>
        <v>14.299999999999955</v>
      </c>
      <c r="K187" s="111" t="b">
        <f t="shared" si="19"/>
        <v>1</v>
      </c>
    </row>
    <row r="188" spans="1:11">
      <c r="A188" s="5" t="s">
        <v>252</v>
      </c>
      <c r="B188" s="6">
        <v>45529</v>
      </c>
      <c r="C188" s="7">
        <v>1</v>
      </c>
      <c r="D188" s="5">
        <v>6.44</v>
      </c>
      <c r="E188" s="5">
        <v>976.4</v>
      </c>
      <c r="F188" s="5">
        <v>990.5</v>
      </c>
      <c r="G188" s="6">
        <v>45529</v>
      </c>
      <c r="H188" s="5"/>
      <c r="I188" s="5"/>
      <c r="J188" s="5">
        <f t="shared" si="20"/>
        <v>14.100000000000023</v>
      </c>
      <c r="K188" s="111" t="b">
        <f t="shared" ref="K188:K192" si="21">E188=F187</f>
        <v>1</v>
      </c>
    </row>
    <row r="189" spans="1:11">
      <c r="A189" s="5" t="s">
        <v>252</v>
      </c>
      <c r="B189" s="6">
        <v>45531</v>
      </c>
      <c r="C189" s="7">
        <v>1</v>
      </c>
      <c r="D189" s="5">
        <v>6.44</v>
      </c>
      <c r="E189" s="5">
        <v>990.5</v>
      </c>
      <c r="F189" s="5">
        <v>1004.6</v>
      </c>
      <c r="G189" s="6">
        <v>45531</v>
      </c>
      <c r="H189" s="5"/>
      <c r="I189" s="5"/>
      <c r="J189" s="5">
        <f t="shared" si="20"/>
        <v>14.100000000000023</v>
      </c>
      <c r="K189" s="111" t="b">
        <f t="shared" si="21"/>
        <v>1</v>
      </c>
    </row>
    <row r="190" spans="1:11">
      <c r="A190" s="5" t="s">
        <v>252</v>
      </c>
      <c r="B190" s="6">
        <v>45533</v>
      </c>
      <c r="C190" s="7">
        <v>1</v>
      </c>
      <c r="D190" s="5">
        <v>6.44</v>
      </c>
      <c r="E190" s="5">
        <v>1004.6</v>
      </c>
      <c r="F190" s="5">
        <v>1018.6</v>
      </c>
      <c r="G190" s="6">
        <v>45533</v>
      </c>
      <c r="H190" s="5"/>
      <c r="I190" s="5"/>
      <c r="J190" s="5">
        <f t="shared" si="20"/>
        <v>14</v>
      </c>
      <c r="K190" s="111" t="b">
        <f t="shared" si="21"/>
        <v>1</v>
      </c>
    </row>
    <row r="191" spans="1:11">
      <c r="A191" s="5" t="s">
        <v>252</v>
      </c>
      <c r="B191" s="6">
        <v>45534</v>
      </c>
      <c r="C191" s="7">
        <v>1</v>
      </c>
      <c r="D191" s="5">
        <v>6.44</v>
      </c>
      <c r="E191" s="5">
        <v>1018.6</v>
      </c>
      <c r="F191" s="5">
        <v>1033.0999999999999</v>
      </c>
      <c r="G191" s="6">
        <v>45534</v>
      </c>
      <c r="H191" s="5"/>
      <c r="I191" s="5"/>
      <c r="J191" s="5">
        <f t="shared" si="20"/>
        <v>14.499999999999886</v>
      </c>
      <c r="K191" s="111" t="b">
        <f t="shared" si="21"/>
        <v>1</v>
      </c>
    </row>
    <row r="192" spans="1:11">
      <c r="A192" s="5" t="s">
        <v>252</v>
      </c>
      <c r="B192" s="6">
        <v>45536</v>
      </c>
      <c r="C192" s="7">
        <v>1</v>
      </c>
      <c r="D192" s="5">
        <v>6.44</v>
      </c>
      <c r="E192" s="5">
        <v>1033.0999999999999</v>
      </c>
      <c r="F192" s="5">
        <v>1047.2</v>
      </c>
      <c r="G192" s="6">
        <v>45536</v>
      </c>
      <c r="H192" s="5"/>
      <c r="I192" s="5"/>
      <c r="J192" s="5">
        <f t="shared" si="20"/>
        <v>14.100000000000136</v>
      </c>
      <c r="K192" s="111" t="b">
        <f t="shared" si="21"/>
        <v>1</v>
      </c>
    </row>
    <row r="193" spans="1:11">
      <c r="A193" s="5" t="s">
        <v>252</v>
      </c>
      <c r="B193" s="6">
        <v>45545</v>
      </c>
      <c r="C193" s="7">
        <v>1</v>
      </c>
      <c r="D193" s="5">
        <v>6.44</v>
      </c>
      <c r="E193" s="5">
        <v>1047.2</v>
      </c>
      <c r="F193" s="5">
        <v>1052.9000000000001</v>
      </c>
      <c r="G193" s="6">
        <v>45545</v>
      </c>
      <c r="H193" s="5"/>
      <c r="I193" s="5"/>
      <c r="J193" s="5">
        <f t="shared" ref="J193:J202" si="22">F193-E193</f>
        <v>5.7000000000000455</v>
      </c>
      <c r="K193" s="111" t="b">
        <f t="shared" ref="K193:K202" si="23">E193=F192</f>
        <v>1</v>
      </c>
    </row>
    <row r="194" spans="1:11">
      <c r="A194" s="5" t="s">
        <v>252</v>
      </c>
      <c r="B194" s="6">
        <v>45551</v>
      </c>
      <c r="C194" s="7">
        <v>1</v>
      </c>
      <c r="D194" s="5">
        <v>6.44</v>
      </c>
      <c r="E194" s="5">
        <v>1052.9000000000001</v>
      </c>
      <c r="F194" s="5">
        <v>1066.5</v>
      </c>
      <c r="G194" s="6">
        <v>45551</v>
      </c>
      <c r="H194" s="5"/>
      <c r="I194" s="5"/>
      <c r="J194" s="5">
        <f t="shared" si="22"/>
        <v>13.599999999999909</v>
      </c>
      <c r="K194" s="111" t="b">
        <f t="shared" si="23"/>
        <v>1</v>
      </c>
    </row>
    <row r="195" spans="1:11">
      <c r="A195" s="5" t="s">
        <v>252</v>
      </c>
      <c r="B195" s="6"/>
      <c r="C195" s="7"/>
      <c r="D195" s="5"/>
      <c r="E195" s="5"/>
      <c r="F195" s="5"/>
      <c r="G195" s="6"/>
      <c r="H195" s="5"/>
      <c r="I195" s="5"/>
      <c r="J195" s="5">
        <f t="shared" si="22"/>
        <v>0</v>
      </c>
      <c r="K195" s="111" t="b">
        <f t="shared" si="23"/>
        <v>0</v>
      </c>
    </row>
    <row r="196" spans="1:11">
      <c r="A196" s="5" t="s">
        <v>252</v>
      </c>
      <c r="B196" s="6"/>
      <c r="C196" s="7"/>
      <c r="D196" s="5"/>
      <c r="E196" s="5"/>
      <c r="F196" s="5"/>
      <c r="G196" s="6"/>
      <c r="H196" s="5"/>
      <c r="I196" s="5"/>
      <c r="J196" s="5">
        <f t="shared" si="22"/>
        <v>0</v>
      </c>
      <c r="K196" s="111" t="b">
        <f t="shared" si="23"/>
        <v>1</v>
      </c>
    </row>
    <row r="197" spans="1:11">
      <c r="A197" s="5" t="s">
        <v>252</v>
      </c>
      <c r="B197" s="6"/>
      <c r="C197" s="7"/>
      <c r="D197" s="5"/>
      <c r="E197" s="5"/>
      <c r="F197" s="5"/>
      <c r="G197" s="6"/>
      <c r="H197" s="5"/>
      <c r="I197" s="5"/>
      <c r="J197" s="5">
        <f t="shared" si="22"/>
        <v>0</v>
      </c>
      <c r="K197" s="111" t="b">
        <f t="shared" si="23"/>
        <v>1</v>
      </c>
    </row>
    <row r="198" spans="1:11">
      <c r="A198" s="5" t="s">
        <v>252</v>
      </c>
      <c r="B198" s="6"/>
      <c r="C198" s="7"/>
      <c r="D198" s="5"/>
      <c r="E198" s="5"/>
      <c r="F198" s="5"/>
      <c r="G198" s="6"/>
      <c r="H198" s="5"/>
      <c r="I198" s="5"/>
      <c r="J198" s="5">
        <f t="shared" si="22"/>
        <v>0</v>
      </c>
      <c r="K198" s="111" t="b">
        <f t="shared" si="23"/>
        <v>1</v>
      </c>
    </row>
    <row r="199" spans="1:11">
      <c r="A199" s="5" t="s">
        <v>252</v>
      </c>
      <c r="B199" s="6"/>
      <c r="C199" s="7"/>
      <c r="D199" s="5"/>
      <c r="E199" s="5"/>
      <c r="F199" s="5"/>
      <c r="G199" s="6"/>
      <c r="H199" s="5"/>
      <c r="I199" s="5"/>
      <c r="J199" s="5">
        <f t="shared" si="22"/>
        <v>0</v>
      </c>
      <c r="K199" s="111" t="b">
        <f t="shared" si="23"/>
        <v>1</v>
      </c>
    </row>
    <row r="200" spans="1:11">
      <c r="A200" s="5" t="s">
        <v>252</v>
      </c>
      <c r="B200" s="6"/>
      <c r="C200" s="7"/>
      <c r="D200" s="5"/>
      <c r="E200" s="5"/>
      <c r="F200" s="5"/>
      <c r="G200" s="6"/>
      <c r="H200" s="5"/>
      <c r="I200" s="5"/>
      <c r="J200" s="5">
        <f t="shared" si="22"/>
        <v>0</v>
      </c>
      <c r="K200" s="111" t="b">
        <f t="shared" si="23"/>
        <v>1</v>
      </c>
    </row>
    <row r="201" spans="1:11">
      <c r="A201" s="5" t="s">
        <v>252</v>
      </c>
      <c r="B201" s="6"/>
      <c r="C201" s="7"/>
      <c r="D201" s="5"/>
      <c r="E201" s="5"/>
      <c r="F201" s="5"/>
      <c r="G201" s="6"/>
      <c r="H201" s="5"/>
      <c r="I201" s="5"/>
      <c r="J201" s="5">
        <f t="shared" si="22"/>
        <v>0</v>
      </c>
      <c r="K201" s="111" t="b">
        <f t="shared" si="23"/>
        <v>1</v>
      </c>
    </row>
    <row r="202" spans="1:11">
      <c r="A202" s="5" t="s">
        <v>252</v>
      </c>
      <c r="B202" s="6"/>
      <c r="C202" s="7"/>
      <c r="D202" s="5"/>
      <c r="E202" s="5"/>
      <c r="F202" s="5"/>
      <c r="G202" s="6"/>
      <c r="H202" s="5"/>
      <c r="I202" s="5"/>
      <c r="J202" s="5">
        <f t="shared" si="22"/>
        <v>0</v>
      </c>
      <c r="K202" s="111" t="b">
        <f t="shared" si="23"/>
        <v>1</v>
      </c>
    </row>
  </sheetData>
  <autoFilter ref="A135:K192" xr:uid="{F7BD95DA-0D4B-4008-9A8F-634654B9C67A}"/>
  <mergeCells count="15">
    <mergeCell ref="A129:K129"/>
    <mergeCell ref="A130:K130"/>
    <mergeCell ref="A132:K132"/>
    <mergeCell ref="A38:K38"/>
    <mergeCell ref="A1:K1"/>
    <mergeCell ref="A2:K2"/>
    <mergeCell ref="A4:K4"/>
    <mergeCell ref="A35:K35"/>
    <mergeCell ref="A36:K36"/>
    <mergeCell ref="A110:K110"/>
    <mergeCell ref="A111:K111"/>
    <mergeCell ref="A113:K113"/>
    <mergeCell ref="A67:K67"/>
    <mergeCell ref="A68:K68"/>
    <mergeCell ref="A70:K70"/>
  </mergeCells>
  <conditionalFormatting sqref="K1:K2 K4 K7:K33 K35:K36 K38 K41:K64 K116:K127 K135:K202">
    <cfRule type="cellIs" dxfId="55" priority="5" operator="equal">
      <formula>TRUE</formula>
    </cfRule>
    <cfRule type="cellIs" dxfId="54" priority="6" operator="equal">
      <formula>FALSE</formula>
    </cfRule>
  </conditionalFormatting>
  <conditionalFormatting sqref="K67:K68 K70 K73:K108 K110:K111 K113">
    <cfRule type="cellIs" dxfId="53" priority="3" operator="equal">
      <formula>TRUE</formula>
    </cfRule>
    <cfRule type="cellIs" dxfId="52" priority="4" operator="equal">
      <formula>FALSE</formula>
    </cfRule>
  </conditionalFormatting>
  <conditionalFormatting sqref="K129:K130 K132">
    <cfRule type="cellIs" dxfId="51" priority="1" operator="equal">
      <formula>TRUE</formula>
    </cfRule>
    <cfRule type="cellIs" dxfId="50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A1AF-3991-439F-AC38-FCB877A293D1}">
  <sheetPr codeName="Planilha24"/>
  <dimension ref="A1:K227"/>
  <sheetViews>
    <sheetView topLeftCell="A114" workbookViewId="0">
      <selection activeCell="E126" sqref="E126"/>
    </sheetView>
  </sheetViews>
  <sheetFormatPr defaultRowHeight="15"/>
  <cols>
    <col min="1" max="1" width="14.4257812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256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257</v>
      </c>
      <c r="B8" s="6">
        <v>44677</v>
      </c>
      <c r="C8" s="7">
        <v>0.45</v>
      </c>
      <c r="D8" s="5">
        <v>16.16</v>
      </c>
      <c r="E8" s="5">
        <v>1071.5999999999999</v>
      </c>
      <c r="F8" s="5">
        <v>1097.3</v>
      </c>
      <c r="G8" s="6">
        <v>44677</v>
      </c>
      <c r="H8" s="5"/>
      <c r="I8" s="5"/>
      <c r="J8" s="5">
        <f>F8-E8</f>
        <v>25.700000000000045</v>
      </c>
      <c r="K8" s="8" t="b">
        <f>E8=F8</f>
        <v>0</v>
      </c>
    </row>
    <row r="9" spans="1:11">
      <c r="A9" s="5" t="s">
        <v>257</v>
      </c>
      <c r="B9" s="6"/>
      <c r="C9" s="7"/>
      <c r="D9" s="5"/>
      <c r="E9" s="5"/>
      <c r="F9" s="5"/>
      <c r="G9" s="6"/>
      <c r="H9" s="5"/>
      <c r="I9" s="5"/>
      <c r="J9" s="5"/>
      <c r="K9" s="8"/>
    </row>
    <row r="11" spans="1:11" ht="26.25">
      <c r="A11" s="135" t="s">
        <v>256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1" ht="26.25">
      <c r="A12" s="138" t="s">
        <v>68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40"/>
    </row>
    <row r="13" spans="1:11" ht="15.75" thickBot="1"/>
    <row r="14" spans="1:11" ht="15.75" thickBot="1">
      <c r="A14" s="132" t="s">
        <v>2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4"/>
    </row>
    <row r="16" spans="1:11" ht="19.5" thickBot="1">
      <c r="A16" s="1" t="s">
        <v>3</v>
      </c>
      <c r="B16" s="1"/>
      <c r="C16" s="1"/>
      <c r="D16" s="1"/>
      <c r="E16" s="1"/>
      <c r="F16" s="1"/>
      <c r="G16" s="1"/>
      <c r="H16" s="1"/>
      <c r="I16" s="1"/>
    </row>
    <row r="17" spans="1:11" ht="30.75" thickBot="1">
      <c r="A17" s="2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21</v>
      </c>
      <c r="I17" s="4" t="s">
        <v>22</v>
      </c>
      <c r="J17" s="4" t="s">
        <v>11</v>
      </c>
      <c r="K17" s="4" t="s">
        <v>12</v>
      </c>
    </row>
    <row r="18" spans="1:11">
      <c r="A18" s="5" t="s">
        <v>257</v>
      </c>
      <c r="B18" s="6">
        <v>44806</v>
      </c>
      <c r="C18" s="7">
        <v>1</v>
      </c>
      <c r="D18" s="5">
        <v>7.27</v>
      </c>
      <c r="E18" s="5">
        <v>1119.3</v>
      </c>
      <c r="F18" s="5">
        <v>1133.7</v>
      </c>
      <c r="G18" s="6">
        <v>44806</v>
      </c>
      <c r="H18" s="5"/>
      <c r="I18" s="5"/>
      <c r="J18" s="5">
        <f>F18-E18</f>
        <v>14.400000000000091</v>
      </c>
      <c r="K18" s="8" t="b">
        <f>E18=F18</f>
        <v>0</v>
      </c>
    </row>
    <row r="19" spans="1:11">
      <c r="A19" s="5" t="s">
        <v>257</v>
      </c>
      <c r="B19" s="6">
        <v>44807</v>
      </c>
      <c r="C19" s="7">
        <v>1</v>
      </c>
      <c r="D19" s="5">
        <v>7.27</v>
      </c>
      <c r="E19" s="5">
        <v>1133.7</v>
      </c>
      <c r="F19" s="5">
        <v>1148.7</v>
      </c>
      <c r="G19" s="6">
        <v>44807</v>
      </c>
      <c r="H19" s="5"/>
      <c r="I19" s="5"/>
      <c r="J19" s="5">
        <f>F19-E19</f>
        <v>15</v>
      </c>
      <c r="K19" s="8" t="b">
        <f>E19=F18</f>
        <v>1</v>
      </c>
    </row>
    <row r="20" spans="1:11">
      <c r="A20" s="5" t="s">
        <v>257</v>
      </c>
      <c r="B20" s="6">
        <v>44808</v>
      </c>
      <c r="C20" s="7">
        <v>1</v>
      </c>
      <c r="D20" s="5">
        <v>7.27</v>
      </c>
      <c r="E20" s="5">
        <v>1148.7</v>
      </c>
      <c r="F20" s="5">
        <v>1161.9000000000001</v>
      </c>
      <c r="G20" s="6">
        <v>44808</v>
      </c>
      <c r="H20" s="5"/>
      <c r="I20" s="5"/>
      <c r="J20" s="5">
        <f>F20-E20</f>
        <v>13.200000000000045</v>
      </c>
      <c r="K20" s="8" t="b">
        <f t="shared" ref="K20:K47" si="0">E20=F19</f>
        <v>1</v>
      </c>
    </row>
    <row r="21" spans="1:11">
      <c r="A21" s="5" t="s">
        <v>257</v>
      </c>
      <c r="B21" s="6">
        <v>44810</v>
      </c>
      <c r="C21" s="7">
        <v>1</v>
      </c>
      <c r="D21" s="5">
        <v>7.27</v>
      </c>
      <c r="E21" s="5">
        <v>1161.9000000000001</v>
      </c>
      <c r="F21" s="5">
        <v>1169</v>
      </c>
      <c r="G21" s="6">
        <v>44810</v>
      </c>
      <c r="H21" s="5"/>
      <c r="I21" s="5"/>
      <c r="J21" s="5">
        <f t="shared" ref="J21:J47" si="1">F21-E21</f>
        <v>7.0999999999999091</v>
      </c>
      <c r="K21" s="8" t="b">
        <f t="shared" si="0"/>
        <v>1</v>
      </c>
    </row>
    <row r="22" spans="1:11">
      <c r="A22" s="5" t="s">
        <v>257</v>
      </c>
      <c r="B22" s="6">
        <v>44831</v>
      </c>
      <c r="C22" s="7">
        <v>1</v>
      </c>
      <c r="D22" s="5">
        <v>7.27</v>
      </c>
      <c r="E22" s="5">
        <v>1169</v>
      </c>
      <c r="F22" s="5">
        <v>1183.2</v>
      </c>
      <c r="G22" s="6">
        <v>44831</v>
      </c>
      <c r="H22" s="5"/>
      <c r="I22" s="5"/>
      <c r="J22" s="5">
        <f t="shared" si="1"/>
        <v>14.200000000000045</v>
      </c>
      <c r="K22" s="8" t="b">
        <f t="shared" si="0"/>
        <v>1</v>
      </c>
    </row>
    <row r="23" spans="1:11">
      <c r="A23" s="5" t="s">
        <v>257</v>
      </c>
      <c r="B23" s="6">
        <v>44833</v>
      </c>
      <c r="C23" s="7">
        <v>0.5</v>
      </c>
      <c r="D23" s="5">
        <v>14.54</v>
      </c>
      <c r="E23" s="5">
        <v>1183.0999999999999</v>
      </c>
      <c r="F23" s="5">
        <v>1211.9000000000001</v>
      </c>
      <c r="G23" s="6">
        <v>44833</v>
      </c>
      <c r="H23" s="5"/>
      <c r="I23" s="5"/>
      <c r="J23" s="5">
        <f t="shared" si="1"/>
        <v>28.800000000000182</v>
      </c>
      <c r="K23" s="8" t="b">
        <f t="shared" si="0"/>
        <v>0</v>
      </c>
    </row>
    <row r="24" spans="1:11">
      <c r="A24" s="5" t="s">
        <v>257</v>
      </c>
      <c r="B24" s="6">
        <v>44835</v>
      </c>
      <c r="C24" s="7">
        <v>1</v>
      </c>
      <c r="D24" s="5">
        <v>7.27</v>
      </c>
      <c r="E24" s="5">
        <v>1211.9000000000001</v>
      </c>
      <c r="F24" s="5">
        <v>1226.5999999999999</v>
      </c>
      <c r="G24" s="6">
        <v>44835</v>
      </c>
      <c r="H24" s="5"/>
      <c r="I24" s="5"/>
      <c r="J24" s="5">
        <f t="shared" si="1"/>
        <v>14.699999999999818</v>
      </c>
      <c r="K24" s="8" t="b">
        <f t="shared" si="0"/>
        <v>1</v>
      </c>
    </row>
    <row r="25" spans="1:11">
      <c r="A25" s="5" t="s">
        <v>257</v>
      </c>
      <c r="B25" s="6">
        <v>44836</v>
      </c>
      <c r="C25" s="7">
        <v>1</v>
      </c>
      <c r="D25" s="5">
        <v>7.27</v>
      </c>
      <c r="E25" s="5">
        <v>1226.5999999999999</v>
      </c>
      <c r="F25" s="5">
        <v>1240.5999999999999</v>
      </c>
      <c r="G25" s="6">
        <v>44836</v>
      </c>
      <c r="H25" s="5"/>
      <c r="I25" s="5"/>
      <c r="J25" s="5">
        <f t="shared" si="1"/>
        <v>14</v>
      </c>
      <c r="K25" s="8" t="b">
        <f t="shared" si="0"/>
        <v>1</v>
      </c>
    </row>
    <row r="26" spans="1:11">
      <c r="A26" s="5" t="s">
        <v>257</v>
      </c>
      <c r="B26" s="6">
        <v>44837</v>
      </c>
      <c r="C26" s="7">
        <v>1</v>
      </c>
      <c r="D26" s="5">
        <v>7.27</v>
      </c>
      <c r="E26" s="5">
        <v>1240.5999999999999</v>
      </c>
      <c r="F26" s="5">
        <v>1254.9000000000001</v>
      </c>
      <c r="G26" s="6">
        <v>44837</v>
      </c>
      <c r="H26" s="5"/>
      <c r="I26" s="5"/>
      <c r="J26" s="5">
        <f t="shared" si="1"/>
        <v>14.300000000000182</v>
      </c>
      <c r="K26" s="8" t="b">
        <f t="shared" si="0"/>
        <v>1</v>
      </c>
    </row>
    <row r="27" spans="1:11">
      <c r="A27" s="5" t="s">
        <v>257</v>
      </c>
      <c r="B27" s="6">
        <v>44838</v>
      </c>
      <c r="C27" s="7">
        <v>1</v>
      </c>
      <c r="D27" s="5">
        <v>7.27</v>
      </c>
      <c r="E27" s="5">
        <v>1254.9000000000001</v>
      </c>
      <c r="F27" s="5">
        <v>1269.2</v>
      </c>
      <c r="G27" s="6">
        <v>44838</v>
      </c>
      <c r="H27" s="5"/>
      <c r="I27" s="5"/>
      <c r="J27" s="5">
        <f t="shared" si="1"/>
        <v>14.299999999999955</v>
      </c>
      <c r="K27" s="8" t="b">
        <f t="shared" si="0"/>
        <v>1</v>
      </c>
    </row>
    <row r="28" spans="1:11">
      <c r="A28" s="5" t="s">
        <v>257</v>
      </c>
      <c r="B28" s="6">
        <v>44839</v>
      </c>
      <c r="C28" s="7">
        <v>1</v>
      </c>
      <c r="D28" s="5">
        <v>7.27</v>
      </c>
      <c r="E28" s="5">
        <v>1269.2</v>
      </c>
      <c r="F28" s="5">
        <v>1283.5</v>
      </c>
      <c r="G28" s="6">
        <v>44839</v>
      </c>
      <c r="H28" s="5"/>
      <c r="I28" s="5"/>
      <c r="J28" s="5">
        <f t="shared" si="1"/>
        <v>14.299999999999955</v>
      </c>
      <c r="K28" s="8" t="b">
        <f t="shared" si="0"/>
        <v>1</v>
      </c>
    </row>
    <row r="29" spans="1:11">
      <c r="A29" s="5" t="s">
        <v>257</v>
      </c>
      <c r="B29" s="6">
        <v>44840</v>
      </c>
      <c r="C29" s="7">
        <v>1</v>
      </c>
      <c r="D29" s="5">
        <v>7.27</v>
      </c>
      <c r="E29" s="5">
        <v>1283.5</v>
      </c>
      <c r="F29" s="5">
        <v>1297.9000000000001</v>
      </c>
      <c r="G29" s="6">
        <v>44840</v>
      </c>
      <c r="H29" s="5"/>
      <c r="I29" s="5"/>
      <c r="J29" s="5">
        <f t="shared" si="1"/>
        <v>14.400000000000091</v>
      </c>
      <c r="K29" s="8" t="b">
        <f t="shared" si="0"/>
        <v>1</v>
      </c>
    </row>
    <row r="30" spans="1:11">
      <c r="A30" s="5" t="s">
        <v>257</v>
      </c>
      <c r="B30" s="6">
        <v>44844</v>
      </c>
      <c r="C30" s="7">
        <v>0.8</v>
      </c>
      <c r="D30" s="5">
        <v>9.09</v>
      </c>
      <c r="E30" s="5">
        <v>1297.9000000000001</v>
      </c>
      <c r="F30" s="5">
        <v>1330.3</v>
      </c>
      <c r="G30" s="6">
        <v>44844</v>
      </c>
      <c r="H30" s="5"/>
      <c r="I30" s="5"/>
      <c r="J30" s="5">
        <f t="shared" si="1"/>
        <v>32.399999999999864</v>
      </c>
      <c r="K30" s="8" t="b">
        <f t="shared" si="0"/>
        <v>1</v>
      </c>
    </row>
    <row r="31" spans="1:11">
      <c r="A31" s="5" t="s">
        <v>257</v>
      </c>
      <c r="B31" s="6">
        <v>44851</v>
      </c>
      <c r="C31" s="7">
        <v>0.8</v>
      </c>
      <c r="D31" s="5">
        <v>9.09</v>
      </c>
      <c r="E31" s="5">
        <v>1330.3</v>
      </c>
      <c r="F31" s="5">
        <v>1366.7</v>
      </c>
      <c r="G31" s="6">
        <v>44851</v>
      </c>
      <c r="H31" s="5"/>
      <c r="I31" s="5"/>
      <c r="J31" s="5">
        <f t="shared" si="1"/>
        <v>36.400000000000091</v>
      </c>
      <c r="K31" s="8" t="b">
        <f t="shared" si="0"/>
        <v>1</v>
      </c>
    </row>
    <row r="32" spans="1:11">
      <c r="A32" s="5" t="s">
        <v>257</v>
      </c>
      <c r="B32" s="6">
        <v>44852</v>
      </c>
      <c r="C32" s="7">
        <v>1</v>
      </c>
      <c r="D32" s="5">
        <v>7.27</v>
      </c>
      <c r="E32" s="5">
        <v>1366.7</v>
      </c>
      <c r="F32" s="5">
        <v>1381.7</v>
      </c>
      <c r="G32" s="6">
        <v>44852</v>
      </c>
      <c r="H32" s="5"/>
      <c r="I32" s="5"/>
      <c r="J32" s="5">
        <f t="shared" si="1"/>
        <v>15</v>
      </c>
      <c r="K32" s="8" t="b">
        <f t="shared" si="0"/>
        <v>1</v>
      </c>
    </row>
    <row r="33" spans="1:11">
      <c r="A33" s="5" t="s">
        <v>257</v>
      </c>
      <c r="B33" s="6">
        <v>44853</v>
      </c>
      <c r="C33" s="7">
        <v>0.7</v>
      </c>
      <c r="D33" s="5">
        <v>10.39</v>
      </c>
      <c r="E33" s="5">
        <v>1381.7</v>
      </c>
      <c r="F33" s="5">
        <v>1402.7</v>
      </c>
      <c r="G33" s="6">
        <v>44853</v>
      </c>
      <c r="H33" s="5"/>
      <c r="I33" s="5"/>
      <c r="J33" s="5">
        <f t="shared" si="1"/>
        <v>21</v>
      </c>
      <c r="K33" s="8" t="b">
        <f t="shared" si="0"/>
        <v>1</v>
      </c>
    </row>
    <row r="34" spans="1:11">
      <c r="A34" s="5" t="s">
        <v>257</v>
      </c>
      <c r="B34" s="6">
        <v>44856</v>
      </c>
      <c r="C34" s="7">
        <v>0.7</v>
      </c>
      <c r="D34" s="5">
        <v>10.39</v>
      </c>
      <c r="E34" s="5">
        <v>1402.7</v>
      </c>
      <c r="F34" s="5">
        <v>1422.4</v>
      </c>
      <c r="G34" s="6">
        <v>44856</v>
      </c>
      <c r="H34" s="5"/>
      <c r="I34" s="5"/>
      <c r="J34" s="5">
        <f t="shared" si="1"/>
        <v>19.700000000000045</v>
      </c>
      <c r="K34" s="8" t="b">
        <f t="shared" si="0"/>
        <v>1</v>
      </c>
    </row>
    <row r="35" spans="1:11">
      <c r="A35" s="5" t="s">
        <v>257</v>
      </c>
      <c r="B35" s="6">
        <v>44858</v>
      </c>
      <c r="C35" s="7">
        <v>0.7</v>
      </c>
      <c r="D35" s="5">
        <v>10.39</v>
      </c>
      <c r="E35" s="5">
        <v>1422.4</v>
      </c>
      <c r="F35" s="5">
        <v>1442.7</v>
      </c>
      <c r="G35" s="6">
        <v>44858</v>
      </c>
      <c r="H35" s="5"/>
      <c r="I35" s="5"/>
      <c r="J35" s="5">
        <f t="shared" si="1"/>
        <v>20.299999999999955</v>
      </c>
      <c r="K35" s="8" t="b">
        <f t="shared" si="0"/>
        <v>1</v>
      </c>
    </row>
    <row r="36" spans="1:11">
      <c r="A36" s="5" t="s">
        <v>257</v>
      </c>
      <c r="B36" s="6">
        <v>44861</v>
      </c>
      <c r="C36" s="7">
        <v>1</v>
      </c>
      <c r="D36" s="5">
        <v>7.27</v>
      </c>
      <c r="E36" s="5">
        <v>1442.7</v>
      </c>
      <c r="F36" s="5">
        <v>1457.7</v>
      </c>
      <c r="G36" s="6">
        <v>44861</v>
      </c>
      <c r="H36" s="5"/>
      <c r="I36" s="5"/>
      <c r="J36" s="5">
        <f t="shared" si="1"/>
        <v>15</v>
      </c>
      <c r="K36" s="8" t="b">
        <f t="shared" si="0"/>
        <v>1</v>
      </c>
    </row>
    <row r="37" spans="1:11">
      <c r="A37" s="5" t="s">
        <v>257</v>
      </c>
      <c r="B37" s="6">
        <v>44862</v>
      </c>
      <c r="C37" s="7">
        <v>0.7</v>
      </c>
      <c r="D37" s="5">
        <v>10.39</v>
      </c>
      <c r="E37" s="5">
        <v>1457.7</v>
      </c>
      <c r="F37" s="5">
        <v>1477.2</v>
      </c>
      <c r="G37" s="6">
        <v>44862</v>
      </c>
      <c r="H37" s="5"/>
      <c r="I37" s="5"/>
      <c r="J37" s="5">
        <f t="shared" si="1"/>
        <v>19.5</v>
      </c>
      <c r="K37" s="8" t="b">
        <f t="shared" si="0"/>
        <v>1</v>
      </c>
    </row>
    <row r="38" spans="1:11">
      <c r="A38" s="5" t="s">
        <v>257</v>
      </c>
      <c r="B38" s="6">
        <v>44863</v>
      </c>
      <c r="C38" s="7">
        <v>0.7</v>
      </c>
      <c r="D38" s="5">
        <v>10.39</v>
      </c>
      <c r="E38" s="5">
        <v>1477.2</v>
      </c>
      <c r="F38" s="5">
        <v>1497.4</v>
      </c>
      <c r="G38" s="6">
        <v>44863</v>
      </c>
      <c r="H38" s="5"/>
      <c r="I38" s="5"/>
      <c r="J38" s="5">
        <f t="shared" si="1"/>
        <v>20.200000000000045</v>
      </c>
      <c r="K38" s="8" t="b">
        <f t="shared" si="0"/>
        <v>1</v>
      </c>
    </row>
    <row r="39" spans="1:11">
      <c r="A39" s="5" t="s">
        <v>257</v>
      </c>
      <c r="B39" s="6">
        <v>44865</v>
      </c>
      <c r="C39" s="7">
        <v>0.7</v>
      </c>
      <c r="D39" s="5">
        <v>10.39</v>
      </c>
      <c r="E39" s="5">
        <v>1497.4</v>
      </c>
      <c r="F39" s="5">
        <v>1517.9</v>
      </c>
      <c r="G39" s="6">
        <v>44865</v>
      </c>
      <c r="H39" s="5"/>
      <c r="I39" s="5"/>
      <c r="J39" s="5">
        <f t="shared" si="1"/>
        <v>20.5</v>
      </c>
      <c r="K39" s="8" t="b">
        <f t="shared" si="0"/>
        <v>1</v>
      </c>
    </row>
    <row r="40" spans="1:11">
      <c r="A40" s="5" t="s">
        <v>257</v>
      </c>
      <c r="B40" s="6">
        <v>44872</v>
      </c>
      <c r="C40" s="7">
        <v>0.8</v>
      </c>
      <c r="D40" s="5">
        <v>9.09</v>
      </c>
      <c r="E40" s="5">
        <v>1517.9</v>
      </c>
      <c r="F40" s="5">
        <v>1536.3</v>
      </c>
      <c r="G40" s="6">
        <v>44872</v>
      </c>
      <c r="H40" s="5"/>
      <c r="I40" s="5"/>
      <c r="J40" s="5">
        <f t="shared" si="1"/>
        <v>18.399999999999864</v>
      </c>
      <c r="K40" s="8" t="b">
        <f t="shared" si="0"/>
        <v>1</v>
      </c>
    </row>
    <row r="41" spans="1:11">
      <c r="A41" s="5" t="s">
        <v>257</v>
      </c>
      <c r="B41" s="6">
        <v>44874</v>
      </c>
      <c r="C41" s="7">
        <v>0.7</v>
      </c>
      <c r="D41" s="5">
        <v>10.39</v>
      </c>
      <c r="E41" s="5">
        <v>1536.3</v>
      </c>
      <c r="F41" s="5">
        <v>1556.8</v>
      </c>
      <c r="G41" s="6">
        <v>44874</v>
      </c>
      <c r="H41" s="5"/>
      <c r="I41" s="5"/>
      <c r="J41" s="5">
        <f t="shared" si="1"/>
        <v>20.5</v>
      </c>
      <c r="K41" s="8" t="b">
        <f t="shared" si="0"/>
        <v>1</v>
      </c>
    </row>
    <row r="42" spans="1:11">
      <c r="A42" s="5" t="s">
        <v>257</v>
      </c>
      <c r="B42" s="6">
        <v>44876</v>
      </c>
      <c r="C42" s="7">
        <v>1</v>
      </c>
      <c r="D42" s="5">
        <v>7.27</v>
      </c>
      <c r="E42" s="5">
        <v>1556.8</v>
      </c>
      <c r="F42" s="5">
        <v>1571.7</v>
      </c>
      <c r="G42" s="6">
        <v>44876</v>
      </c>
      <c r="H42" s="5"/>
      <c r="I42" s="5"/>
      <c r="J42" s="5">
        <f t="shared" si="1"/>
        <v>14.900000000000091</v>
      </c>
      <c r="K42" s="8" t="b">
        <f t="shared" si="0"/>
        <v>1</v>
      </c>
    </row>
    <row r="43" spans="1:11">
      <c r="A43" s="5" t="s">
        <v>257</v>
      </c>
      <c r="B43" s="6">
        <v>44879</v>
      </c>
      <c r="C43" s="7">
        <v>0.7</v>
      </c>
      <c r="D43" s="5">
        <v>10.39</v>
      </c>
      <c r="E43" s="5">
        <v>1571.7</v>
      </c>
      <c r="F43" s="5">
        <v>1592.1</v>
      </c>
      <c r="G43" s="6">
        <v>44879</v>
      </c>
      <c r="H43" s="5"/>
      <c r="I43" s="5"/>
      <c r="J43" s="5">
        <f t="shared" si="1"/>
        <v>20.399999999999864</v>
      </c>
      <c r="K43" s="8" t="b">
        <f t="shared" si="0"/>
        <v>1</v>
      </c>
    </row>
    <row r="44" spans="1:11">
      <c r="A44" s="5" t="s">
        <v>257</v>
      </c>
      <c r="B44" s="6">
        <v>44906</v>
      </c>
      <c r="C44" s="7">
        <v>0.7</v>
      </c>
      <c r="D44" s="5">
        <v>10.39</v>
      </c>
      <c r="E44" s="5">
        <v>1592.1</v>
      </c>
      <c r="F44" s="5">
        <v>1607.5</v>
      </c>
      <c r="G44" s="6">
        <v>44906</v>
      </c>
      <c r="H44" s="5"/>
      <c r="I44" s="5"/>
      <c r="J44" s="5">
        <f t="shared" si="1"/>
        <v>15.400000000000091</v>
      </c>
      <c r="K44" s="8" t="b">
        <f t="shared" si="0"/>
        <v>1</v>
      </c>
    </row>
    <row r="45" spans="1:11">
      <c r="A45" s="5" t="s">
        <v>257</v>
      </c>
      <c r="B45" s="6">
        <v>44563</v>
      </c>
      <c r="C45" s="7">
        <v>0.7</v>
      </c>
      <c r="D45" s="5">
        <v>10.39</v>
      </c>
      <c r="E45" s="5">
        <v>1607.5</v>
      </c>
      <c r="F45" s="5">
        <v>1628.3</v>
      </c>
      <c r="G45" s="6">
        <v>44564</v>
      </c>
      <c r="H45" s="5"/>
      <c r="I45" s="5"/>
      <c r="J45" s="5">
        <f t="shared" si="1"/>
        <v>20.799999999999955</v>
      </c>
      <c r="K45" s="8" t="b">
        <f t="shared" si="0"/>
        <v>1</v>
      </c>
    </row>
    <row r="46" spans="1:11">
      <c r="A46" s="5" t="s">
        <v>257</v>
      </c>
      <c r="B46" s="6">
        <v>44610</v>
      </c>
      <c r="C46" s="7">
        <v>0.6</v>
      </c>
      <c r="D46" s="5"/>
      <c r="E46" s="5"/>
      <c r="F46" s="5"/>
      <c r="G46" s="6"/>
      <c r="H46" s="5"/>
      <c r="I46" s="5"/>
      <c r="J46" s="5">
        <f t="shared" si="1"/>
        <v>0</v>
      </c>
      <c r="K46" s="8" t="b">
        <f t="shared" si="0"/>
        <v>0</v>
      </c>
    </row>
    <row r="47" spans="1:11">
      <c r="A47" s="5" t="s">
        <v>257</v>
      </c>
      <c r="B47" s="6"/>
      <c r="C47" s="7"/>
      <c r="D47" s="5"/>
      <c r="E47" s="5"/>
      <c r="F47" s="5"/>
      <c r="G47" s="6"/>
      <c r="H47" s="5"/>
      <c r="I47" s="5"/>
      <c r="J47" s="5">
        <f t="shared" si="1"/>
        <v>0</v>
      </c>
      <c r="K47" s="8" t="b">
        <f t="shared" si="0"/>
        <v>1</v>
      </c>
    </row>
    <row r="48" spans="1:11" ht="26.25">
      <c r="A48" s="217" t="s">
        <v>256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9"/>
    </row>
    <row r="49" spans="1:11" ht="26.25">
      <c r="A49" s="161" t="s">
        <v>41</v>
      </c>
      <c r="B49" s="220"/>
      <c r="C49" s="220"/>
      <c r="D49" s="220"/>
      <c r="E49" s="220"/>
      <c r="F49" s="220"/>
      <c r="G49" s="220"/>
      <c r="H49" s="220"/>
      <c r="I49" s="220"/>
      <c r="J49" s="220"/>
      <c r="K49" s="221"/>
    </row>
    <row r="50" spans="1:11" ht="15.75" thickBot="1"/>
    <row r="51" spans="1:11" ht="15.75" thickBot="1">
      <c r="A51" s="132" t="s">
        <v>2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4"/>
    </row>
    <row r="53" spans="1:11" ht="19.5" thickBot="1">
      <c r="A53" s="1" t="s">
        <v>3</v>
      </c>
      <c r="B53" s="1"/>
      <c r="C53" s="1"/>
      <c r="D53" s="1"/>
      <c r="E53" s="1"/>
      <c r="F53" s="1"/>
      <c r="G53" s="1"/>
      <c r="H53" s="1"/>
      <c r="I53" s="1"/>
    </row>
    <row r="54" spans="1:11" ht="30.75" thickBot="1">
      <c r="A54" s="2" t="s">
        <v>4</v>
      </c>
      <c r="B54" s="3" t="s">
        <v>5</v>
      </c>
      <c r="C54" s="3" t="s">
        <v>6</v>
      </c>
      <c r="D54" s="3" t="s">
        <v>7</v>
      </c>
      <c r="E54" s="3" t="s">
        <v>8</v>
      </c>
      <c r="F54" s="3" t="s">
        <v>9</v>
      </c>
      <c r="G54" s="3" t="s">
        <v>10</v>
      </c>
      <c r="H54" s="3" t="s">
        <v>21</v>
      </c>
      <c r="I54" s="4" t="s">
        <v>22</v>
      </c>
      <c r="J54" s="4" t="s">
        <v>11</v>
      </c>
      <c r="K54" s="4" t="s">
        <v>12</v>
      </c>
    </row>
    <row r="55" spans="1:11">
      <c r="A55" s="5" t="s">
        <v>258</v>
      </c>
      <c r="B55" s="6">
        <v>44975</v>
      </c>
      <c r="C55" s="7">
        <v>0.6</v>
      </c>
      <c r="D55" s="5">
        <v>12.12</v>
      </c>
      <c r="E55" s="5">
        <v>0</v>
      </c>
      <c r="F55" s="5">
        <v>24.1</v>
      </c>
      <c r="G55" s="6">
        <v>44975</v>
      </c>
      <c r="H55" s="5"/>
      <c r="I55" s="5"/>
      <c r="J55" s="5">
        <f>F55-E55</f>
        <v>24.1</v>
      </c>
      <c r="K55" s="8" t="b">
        <f>E55=F55</f>
        <v>0</v>
      </c>
    </row>
    <row r="56" spans="1:11">
      <c r="A56" s="5" t="s">
        <v>258</v>
      </c>
      <c r="B56" s="6">
        <v>44976</v>
      </c>
      <c r="C56" s="7">
        <v>0.6</v>
      </c>
      <c r="D56" s="5">
        <v>12.12</v>
      </c>
      <c r="E56" s="5">
        <v>24.1</v>
      </c>
      <c r="F56" s="5">
        <v>46.5</v>
      </c>
      <c r="G56" s="6">
        <v>44976</v>
      </c>
      <c r="H56" s="5"/>
      <c r="I56" s="5"/>
      <c r="J56" s="5">
        <f>F56-E56</f>
        <v>22.4</v>
      </c>
      <c r="K56" s="8" t="b">
        <f>E56=F55</f>
        <v>1</v>
      </c>
    </row>
    <row r="57" spans="1:11">
      <c r="A57" s="5" t="s">
        <v>258</v>
      </c>
      <c r="B57" s="6">
        <v>44978</v>
      </c>
      <c r="C57" s="7">
        <v>1</v>
      </c>
      <c r="D57" s="5">
        <v>7.27</v>
      </c>
      <c r="E57" s="5">
        <v>46.5</v>
      </c>
      <c r="F57" s="5">
        <v>68.599999999999994</v>
      </c>
      <c r="G57" s="6">
        <v>44978</v>
      </c>
      <c r="H57" s="5"/>
      <c r="I57" s="5"/>
      <c r="J57" s="5">
        <f t="shared" ref="J57:J60" si="2">F57-E57</f>
        <v>22.099999999999994</v>
      </c>
      <c r="K57" s="8" t="b">
        <f t="shared" ref="K57:K60" si="3">E57=F56</f>
        <v>1</v>
      </c>
    </row>
    <row r="58" spans="1:11">
      <c r="A58" s="5" t="s">
        <v>258</v>
      </c>
      <c r="B58" s="6">
        <v>44979</v>
      </c>
      <c r="C58" s="7">
        <v>1</v>
      </c>
      <c r="D58" s="5">
        <v>7.27</v>
      </c>
      <c r="E58" s="5">
        <v>68.599999999999994</v>
      </c>
      <c r="F58" s="5">
        <v>87.2</v>
      </c>
      <c r="G58" s="6">
        <v>44979</v>
      </c>
      <c r="H58" s="5"/>
      <c r="I58" s="5"/>
      <c r="J58" s="5">
        <f t="shared" si="2"/>
        <v>18.600000000000009</v>
      </c>
      <c r="K58" s="8" t="b">
        <f t="shared" si="3"/>
        <v>1</v>
      </c>
    </row>
    <row r="59" spans="1:11">
      <c r="A59" s="5" t="s">
        <v>258</v>
      </c>
      <c r="B59" s="6">
        <v>44980</v>
      </c>
      <c r="C59" s="7">
        <v>1</v>
      </c>
      <c r="D59" s="5">
        <v>7.27</v>
      </c>
      <c r="E59" s="5">
        <v>87.2</v>
      </c>
      <c r="F59" s="5">
        <v>104.8</v>
      </c>
      <c r="G59" s="6">
        <v>44980</v>
      </c>
      <c r="H59" s="5"/>
      <c r="I59" s="5"/>
      <c r="J59" s="5">
        <f t="shared" si="2"/>
        <v>17.599999999999994</v>
      </c>
      <c r="K59" s="8" t="b">
        <f t="shared" si="3"/>
        <v>1</v>
      </c>
    </row>
    <row r="60" spans="1:11">
      <c r="A60" s="5" t="s">
        <v>258</v>
      </c>
      <c r="B60" s="6">
        <v>44981</v>
      </c>
      <c r="C60" s="7">
        <v>0.8</v>
      </c>
      <c r="D60" s="5">
        <v>9.09</v>
      </c>
      <c r="E60" s="5">
        <v>104.8</v>
      </c>
      <c r="F60" s="5">
        <v>122.7</v>
      </c>
      <c r="G60" s="6">
        <v>44981</v>
      </c>
      <c r="H60" s="5"/>
      <c r="I60" s="5"/>
      <c r="J60" s="5">
        <f t="shared" si="2"/>
        <v>17.900000000000006</v>
      </c>
      <c r="K60" s="8" t="b">
        <f t="shared" si="3"/>
        <v>1</v>
      </c>
    </row>
    <row r="61" spans="1:11">
      <c r="A61" s="5" t="s">
        <v>258</v>
      </c>
      <c r="B61" s="6">
        <v>44982</v>
      </c>
      <c r="C61" s="7">
        <v>0.8</v>
      </c>
      <c r="D61" s="5">
        <v>9.09</v>
      </c>
      <c r="E61" s="5">
        <v>122.7</v>
      </c>
      <c r="F61" s="5">
        <v>139.1</v>
      </c>
      <c r="G61" s="6">
        <v>44982</v>
      </c>
      <c r="H61" s="5"/>
      <c r="I61" s="5"/>
      <c r="J61" s="5">
        <f t="shared" ref="J61:J70" si="4">F61-E61</f>
        <v>16.399999999999991</v>
      </c>
      <c r="K61" s="8" t="b">
        <f t="shared" ref="K61:K70" si="5">E61=F60</f>
        <v>1</v>
      </c>
    </row>
    <row r="62" spans="1:11">
      <c r="A62" s="5" t="s">
        <v>258</v>
      </c>
      <c r="B62" s="6">
        <v>44983</v>
      </c>
      <c r="C62" s="7">
        <v>0.8</v>
      </c>
      <c r="D62" s="5">
        <v>9.09</v>
      </c>
      <c r="E62" s="5">
        <v>139.1</v>
      </c>
      <c r="F62" s="5">
        <v>156.30000000000001</v>
      </c>
      <c r="G62" s="6">
        <v>44983</v>
      </c>
      <c r="H62" s="5"/>
      <c r="I62" s="5"/>
      <c r="J62" s="5">
        <f t="shared" si="4"/>
        <v>17.200000000000017</v>
      </c>
      <c r="K62" s="8" t="b">
        <f t="shared" si="5"/>
        <v>1</v>
      </c>
    </row>
    <row r="63" spans="1:11">
      <c r="A63" s="5" t="s">
        <v>258</v>
      </c>
      <c r="B63" s="6">
        <v>44984</v>
      </c>
      <c r="C63" s="7">
        <v>1</v>
      </c>
      <c r="D63" s="5">
        <v>7.27</v>
      </c>
      <c r="E63" s="5">
        <v>156.30000000000001</v>
      </c>
      <c r="F63" s="5">
        <v>172.1</v>
      </c>
      <c r="G63" s="6">
        <v>44984</v>
      </c>
      <c r="H63" s="5"/>
      <c r="I63" s="5"/>
      <c r="J63" s="5">
        <f t="shared" si="4"/>
        <v>15.799999999999983</v>
      </c>
      <c r="K63" s="8" t="b">
        <f t="shared" si="5"/>
        <v>1</v>
      </c>
    </row>
    <row r="64" spans="1:11">
      <c r="A64" s="5" t="s">
        <v>258</v>
      </c>
      <c r="B64" s="6">
        <v>44985</v>
      </c>
      <c r="C64" s="7">
        <v>1</v>
      </c>
      <c r="D64" s="5">
        <v>7.27</v>
      </c>
      <c r="E64" s="5">
        <v>172.1</v>
      </c>
      <c r="F64" s="5">
        <v>187</v>
      </c>
      <c r="G64" s="6">
        <v>44985</v>
      </c>
      <c r="H64" s="5"/>
      <c r="I64" s="5"/>
      <c r="J64" s="5">
        <f t="shared" si="4"/>
        <v>14.900000000000006</v>
      </c>
      <c r="K64" s="8" t="b">
        <f t="shared" si="5"/>
        <v>1</v>
      </c>
    </row>
    <row r="65" spans="1:11">
      <c r="A65" s="49" t="s">
        <v>258</v>
      </c>
      <c r="B65" s="50">
        <v>44986</v>
      </c>
      <c r="C65" s="51">
        <v>1</v>
      </c>
      <c r="D65" s="49">
        <v>7.27</v>
      </c>
      <c r="E65" s="49">
        <v>187</v>
      </c>
      <c r="F65" s="49">
        <v>203.3</v>
      </c>
      <c r="G65" s="50">
        <v>44987</v>
      </c>
      <c r="H65" s="49"/>
      <c r="I65" s="49"/>
      <c r="J65" s="49">
        <f t="shared" si="4"/>
        <v>16.300000000000011</v>
      </c>
      <c r="K65" s="8" t="b">
        <f t="shared" si="5"/>
        <v>1</v>
      </c>
    </row>
    <row r="66" spans="1:11">
      <c r="A66" s="5" t="s">
        <v>258</v>
      </c>
      <c r="B66" s="6">
        <v>44988</v>
      </c>
      <c r="C66" s="7">
        <v>1</v>
      </c>
      <c r="D66" s="5">
        <v>7.27</v>
      </c>
      <c r="E66" s="5">
        <v>203.3</v>
      </c>
      <c r="F66" s="5">
        <v>219</v>
      </c>
      <c r="G66" s="6">
        <v>44988</v>
      </c>
      <c r="H66" s="5"/>
      <c r="I66" s="5"/>
      <c r="J66" s="5">
        <f t="shared" si="4"/>
        <v>15.699999999999989</v>
      </c>
      <c r="K66" s="8" t="b">
        <f t="shared" si="5"/>
        <v>1</v>
      </c>
    </row>
    <row r="67" spans="1:11">
      <c r="A67" s="5" t="s">
        <v>258</v>
      </c>
      <c r="B67" s="6">
        <v>44989</v>
      </c>
      <c r="C67" s="7">
        <v>1</v>
      </c>
      <c r="D67" s="5">
        <v>7.27</v>
      </c>
      <c r="E67" s="5">
        <v>219</v>
      </c>
      <c r="F67" s="5">
        <v>233.5</v>
      </c>
      <c r="G67" s="6">
        <v>44989</v>
      </c>
      <c r="H67" s="5"/>
      <c r="I67" s="5"/>
      <c r="J67" s="5">
        <f t="shared" si="4"/>
        <v>14.5</v>
      </c>
      <c r="K67" s="8" t="b">
        <f t="shared" si="5"/>
        <v>1</v>
      </c>
    </row>
    <row r="68" spans="1:11">
      <c r="A68" s="5" t="s">
        <v>258</v>
      </c>
      <c r="B68" s="6">
        <v>44990</v>
      </c>
      <c r="C68" s="7">
        <v>1</v>
      </c>
      <c r="D68" s="5">
        <v>7.27</v>
      </c>
      <c r="E68" s="5">
        <v>233.5</v>
      </c>
      <c r="F68" s="5">
        <v>247.9</v>
      </c>
      <c r="G68" s="6">
        <v>44990</v>
      </c>
      <c r="H68" s="5"/>
      <c r="I68" s="5"/>
      <c r="J68" s="5">
        <f t="shared" si="4"/>
        <v>14.400000000000006</v>
      </c>
      <c r="K68" s="8" t="b">
        <f t="shared" si="5"/>
        <v>1</v>
      </c>
    </row>
    <row r="69" spans="1:11">
      <c r="A69" s="5" t="s">
        <v>258</v>
      </c>
      <c r="B69" s="6">
        <v>44992</v>
      </c>
      <c r="C69" s="7">
        <v>1</v>
      </c>
      <c r="D69" s="5">
        <v>7.27</v>
      </c>
      <c r="E69" s="5">
        <v>247.9</v>
      </c>
      <c r="F69" s="5">
        <v>251.6</v>
      </c>
      <c r="G69" s="6">
        <v>44992</v>
      </c>
      <c r="H69" s="5"/>
      <c r="I69" s="5"/>
      <c r="J69" s="5">
        <f t="shared" si="4"/>
        <v>3.6999999999999886</v>
      </c>
      <c r="K69" s="8" t="b">
        <f t="shared" si="5"/>
        <v>1</v>
      </c>
    </row>
    <row r="70" spans="1:11">
      <c r="A70" s="5" t="s">
        <v>258</v>
      </c>
      <c r="B70" s="6">
        <v>44994</v>
      </c>
      <c r="C70" s="7">
        <v>1</v>
      </c>
      <c r="D70" s="5">
        <v>7.27</v>
      </c>
      <c r="E70" s="5">
        <v>251.6</v>
      </c>
      <c r="F70" s="5">
        <v>266.60000000000002</v>
      </c>
      <c r="G70" s="6">
        <v>44994</v>
      </c>
      <c r="H70" s="5"/>
      <c r="I70" s="5"/>
      <c r="J70" s="5">
        <f t="shared" si="4"/>
        <v>15.000000000000028</v>
      </c>
      <c r="K70" s="8" t="b">
        <f t="shared" si="5"/>
        <v>1</v>
      </c>
    </row>
    <row r="71" spans="1:11">
      <c r="A71" s="5" t="s">
        <v>259</v>
      </c>
      <c r="B71" s="6">
        <v>44995</v>
      </c>
      <c r="C71" s="7">
        <v>1</v>
      </c>
      <c r="D71" s="5">
        <v>7.27</v>
      </c>
      <c r="E71" s="5">
        <v>266.60000000000002</v>
      </c>
      <c r="F71" s="5">
        <v>270.7</v>
      </c>
      <c r="G71" s="6">
        <v>44995</v>
      </c>
      <c r="H71" s="5"/>
      <c r="I71" s="5"/>
      <c r="J71" s="5">
        <f t="shared" ref="J71:J101" si="6">F71-E71</f>
        <v>4.0999999999999659</v>
      </c>
      <c r="K71" s="8" t="b">
        <f t="shared" ref="K71:K101" si="7">E71=F70</f>
        <v>1</v>
      </c>
    </row>
    <row r="72" spans="1:11">
      <c r="A72" s="5" t="s">
        <v>258</v>
      </c>
      <c r="B72" s="6">
        <v>44996</v>
      </c>
      <c r="C72" s="7">
        <v>1</v>
      </c>
      <c r="D72" s="5">
        <v>7.27</v>
      </c>
      <c r="E72" s="5">
        <v>270.7</v>
      </c>
      <c r="F72" s="5">
        <v>285.3</v>
      </c>
      <c r="G72" s="6">
        <v>44996</v>
      </c>
      <c r="H72" s="5"/>
      <c r="I72" s="5"/>
      <c r="J72" s="5">
        <f t="shared" si="6"/>
        <v>14.600000000000023</v>
      </c>
      <c r="K72" s="8" t="b">
        <f t="shared" si="7"/>
        <v>1</v>
      </c>
    </row>
    <row r="73" spans="1:11">
      <c r="A73" s="5" t="s">
        <v>260</v>
      </c>
      <c r="B73" s="6">
        <v>44997</v>
      </c>
      <c r="C73" s="7">
        <v>1</v>
      </c>
      <c r="D73" s="5">
        <v>7.27</v>
      </c>
      <c r="E73" s="5">
        <v>285.3</v>
      </c>
      <c r="F73" s="5">
        <v>292.5</v>
      </c>
      <c r="G73" s="6">
        <v>44997</v>
      </c>
      <c r="H73" s="5"/>
      <c r="I73" s="5"/>
      <c r="J73" s="5">
        <f t="shared" si="6"/>
        <v>7.1999999999999886</v>
      </c>
      <c r="K73" s="8" t="b">
        <f t="shared" si="7"/>
        <v>1</v>
      </c>
    </row>
    <row r="74" spans="1:11">
      <c r="A74" s="5" t="s">
        <v>258</v>
      </c>
      <c r="B74" s="6">
        <v>44998</v>
      </c>
      <c r="C74" s="7">
        <v>1</v>
      </c>
      <c r="D74" s="5">
        <v>7.27</v>
      </c>
      <c r="E74" s="5">
        <v>292.5</v>
      </c>
      <c r="F74" s="5">
        <v>306.89999999999998</v>
      </c>
      <c r="G74" s="6">
        <v>44998</v>
      </c>
      <c r="H74" s="5"/>
      <c r="I74" s="5"/>
      <c r="J74" s="5">
        <f t="shared" si="6"/>
        <v>14.399999999999977</v>
      </c>
      <c r="K74" s="8" t="b">
        <f t="shared" si="7"/>
        <v>1</v>
      </c>
    </row>
    <row r="75" spans="1:11">
      <c r="A75" s="5" t="s">
        <v>261</v>
      </c>
      <c r="B75" s="6">
        <v>44999</v>
      </c>
      <c r="C75" s="7">
        <v>1</v>
      </c>
      <c r="D75" s="5">
        <v>7.27</v>
      </c>
      <c r="E75" s="5">
        <v>306.89999999999998</v>
      </c>
      <c r="F75" s="5">
        <v>314.2</v>
      </c>
      <c r="G75" s="6">
        <v>44999</v>
      </c>
      <c r="H75" s="5"/>
      <c r="I75" s="5"/>
      <c r="J75" s="5">
        <f t="shared" si="6"/>
        <v>7.3000000000000114</v>
      </c>
      <c r="K75" s="8" t="b">
        <f t="shared" si="7"/>
        <v>1</v>
      </c>
    </row>
    <row r="76" spans="1:11">
      <c r="A76" s="5" t="s">
        <v>258</v>
      </c>
      <c r="B76" s="6">
        <v>45000</v>
      </c>
      <c r="C76" s="7">
        <v>1</v>
      </c>
      <c r="D76" s="5">
        <v>7.27</v>
      </c>
      <c r="E76" s="5">
        <v>314.2</v>
      </c>
      <c r="F76" s="5">
        <v>328.1</v>
      </c>
      <c r="G76" s="6">
        <v>45000</v>
      </c>
      <c r="H76" s="5"/>
      <c r="I76" s="5"/>
      <c r="J76" s="5">
        <f t="shared" si="6"/>
        <v>13.900000000000034</v>
      </c>
      <c r="K76" s="8" t="b">
        <f t="shared" si="7"/>
        <v>1</v>
      </c>
    </row>
    <row r="77" spans="1:11">
      <c r="A77" s="5" t="s">
        <v>260</v>
      </c>
      <c r="B77" s="6">
        <v>45001</v>
      </c>
      <c r="C77" s="7">
        <v>1</v>
      </c>
      <c r="D77" s="5">
        <v>7.27</v>
      </c>
      <c r="E77" s="5">
        <v>328.1</v>
      </c>
      <c r="F77" s="5">
        <v>335.9</v>
      </c>
      <c r="G77" s="6">
        <v>45001</v>
      </c>
      <c r="H77" s="5"/>
      <c r="I77" s="5"/>
      <c r="J77" s="5">
        <f t="shared" si="6"/>
        <v>7.7999999999999545</v>
      </c>
      <c r="K77" s="8" t="b">
        <f t="shared" si="7"/>
        <v>1</v>
      </c>
    </row>
    <row r="78" spans="1:11">
      <c r="A78" s="5" t="s">
        <v>258</v>
      </c>
      <c r="B78" s="6">
        <v>45002</v>
      </c>
      <c r="C78" s="7">
        <v>0.8</v>
      </c>
      <c r="D78" s="5">
        <v>9.09</v>
      </c>
      <c r="E78" s="5">
        <v>335.9</v>
      </c>
      <c r="F78" s="5">
        <v>353.9</v>
      </c>
      <c r="G78" s="6">
        <v>45002</v>
      </c>
      <c r="H78" s="5"/>
      <c r="I78" s="5"/>
      <c r="J78" s="5">
        <f t="shared" si="6"/>
        <v>18</v>
      </c>
      <c r="K78" s="8" t="b">
        <f t="shared" si="7"/>
        <v>1</v>
      </c>
    </row>
    <row r="79" spans="1:11">
      <c r="A79" s="5" t="s">
        <v>262</v>
      </c>
      <c r="B79" s="6">
        <v>45003</v>
      </c>
      <c r="C79" s="7">
        <v>1</v>
      </c>
      <c r="D79" s="5">
        <v>7.27</v>
      </c>
      <c r="E79" s="5">
        <v>353.9</v>
      </c>
      <c r="F79" s="5">
        <v>357.7</v>
      </c>
      <c r="G79" s="6">
        <v>45003</v>
      </c>
      <c r="H79" s="5"/>
      <c r="I79" s="5"/>
      <c r="J79" s="5">
        <f t="shared" si="6"/>
        <v>3.8000000000000114</v>
      </c>
      <c r="K79" s="8" t="b">
        <f t="shared" si="7"/>
        <v>1</v>
      </c>
    </row>
    <row r="80" spans="1:11">
      <c r="A80" s="5" t="s">
        <v>258</v>
      </c>
      <c r="B80" s="6">
        <v>45005</v>
      </c>
      <c r="C80" s="7">
        <v>0.8</v>
      </c>
      <c r="D80" s="5">
        <v>9.09</v>
      </c>
      <c r="E80" s="5">
        <v>357.7</v>
      </c>
      <c r="F80" s="5">
        <v>376</v>
      </c>
      <c r="G80" s="6">
        <v>45005</v>
      </c>
      <c r="H80" s="5"/>
      <c r="I80" s="5"/>
      <c r="J80" s="5">
        <f t="shared" si="6"/>
        <v>18.300000000000011</v>
      </c>
      <c r="K80" s="8" t="b">
        <f t="shared" si="7"/>
        <v>1</v>
      </c>
    </row>
    <row r="81" spans="1:11">
      <c r="A81" s="5" t="s">
        <v>258</v>
      </c>
      <c r="B81" s="6">
        <v>45007</v>
      </c>
      <c r="C81" s="7">
        <v>1</v>
      </c>
      <c r="D81" s="5">
        <v>7.27</v>
      </c>
      <c r="E81" s="5">
        <v>376</v>
      </c>
      <c r="F81" s="5">
        <v>390.8</v>
      </c>
      <c r="G81" s="6">
        <v>45007</v>
      </c>
      <c r="H81" s="5"/>
      <c r="I81" s="5"/>
      <c r="J81" s="5">
        <f t="shared" si="6"/>
        <v>14.800000000000011</v>
      </c>
      <c r="K81" s="8" t="b">
        <f t="shared" si="7"/>
        <v>1</v>
      </c>
    </row>
    <row r="82" spans="1:11">
      <c r="A82" s="5" t="s">
        <v>258</v>
      </c>
      <c r="B82" s="6">
        <v>45009</v>
      </c>
      <c r="C82" s="7">
        <v>0.8</v>
      </c>
      <c r="D82" s="5">
        <v>9.09</v>
      </c>
      <c r="E82" s="5">
        <v>390.8</v>
      </c>
      <c r="F82" s="5">
        <v>409</v>
      </c>
      <c r="G82" s="6">
        <v>45009</v>
      </c>
      <c r="H82" s="5"/>
      <c r="I82" s="5"/>
      <c r="J82" s="5">
        <f t="shared" si="6"/>
        <v>18.199999999999989</v>
      </c>
      <c r="K82" s="8" t="b">
        <f t="shared" si="7"/>
        <v>1</v>
      </c>
    </row>
    <row r="83" spans="1:11">
      <c r="A83" s="25" t="s">
        <v>258</v>
      </c>
      <c r="B83" s="26">
        <v>45012</v>
      </c>
      <c r="C83" s="27">
        <v>1</v>
      </c>
      <c r="D83" s="25">
        <v>7.27</v>
      </c>
      <c r="E83" s="25">
        <v>409</v>
      </c>
      <c r="F83" s="25">
        <v>423.8</v>
      </c>
      <c r="G83" s="26">
        <v>45012</v>
      </c>
      <c r="H83" s="25"/>
      <c r="I83" s="25"/>
      <c r="J83" s="25">
        <f t="shared" si="6"/>
        <v>14.800000000000011</v>
      </c>
      <c r="K83" s="28" t="b">
        <f t="shared" si="7"/>
        <v>1</v>
      </c>
    </row>
    <row r="84" spans="1:11">
      <c r="A84" s="5" t="s">
        <v>258</v>
      </c>
      <c r="B84" s="6">
        <v>45014</v>
      </c>
      <c r="C84" s="7">
        <v>0.8</v>
      </c>
      <c r="D84" s="5">
        <v>9.09</v>
      </c>
      <c r="E84" s="5">
        <v>423.8</v>
      </c>
      <c r="F84" s="5">
        <v>443.5</v>
      </c>
      <c r="G84" s="6">
        <v>45014</v>
      </c>
      <c r="H84" s="5"/>
      <c r="I84" s="5"/>
      <c r="J84" s="5">
        <f t="shared" si="6"/>
        <v>19.699999999999989</v>
      </c>
      <c r="K84" s="8" t="b">
        <f t="shared" si="7"/>
        <v>1</v>
      </c>
    </row>
    <row r="85" spans="1:11">
      <c r="A85" s="25" t="s">
        <v>258</v>
      </c>
      <c r="B85" s="26">
        <v>45015</v>
      </c>
      <c r="C85" s="27">
        <v>1</v>
      </c>
      <c r="D85" s="25">
        <v>7.27</v>
      </c>
      <c r="E85" s="25">
        <v>443.5</v>
      </c>
      <c r="F85" s="25">
        <v>458</v>
      </c>
      <c r="G85" s="26">
        <v>45015</v>
      </c>
      <c r="H85" s="25"/>
      <c r="I85" s="25"/>
      <c r="J85" s="25">
        <f t="shared" si="6"/>
        <v>14.5</v>
      </c>
      <c r="K85" s="8" t="b">
        <f t="shared" si="7"/>
        <v>1</v>
      </c>
    </row>
    <row r="86" spans="1:11">
      <c r="A86" s="5" t="s">
        <v>258</v>
      </c>
      <c r="B86" s="6">
        <v>45018</v>
      </c>
      <c r="C86" s="7">
        <v>0.8</v>
      </c>
      <c r="D86" s="5">
        <v>9.09</v>
      </c>
      <c r="E86" s="5">
        <v>458</v>
      </c>
      <c r="F86" s="5">
        <v>476.7</v>
      </c>
      <c r="G86" s="6">
        <v>45018</v>
      </c>
      <c r="H86" s="5"/>
      <c r="I86" s="5"/>
      <c r="J86" s="5">
        <f t="shared" si="6"/>
        <v>18.699999999999989</v>
      </c>
      <c r="K86" s="8" t="b">
        <f t="shared" si="7"/>
        <v>1</v>
      </c>
    </row>
    <row r="87" spans="1:11">
      <c r="A87" s="25" t="s">
        <v>258</v>
      </c>
      <c r="B87" s="26">
        <v>45021</v>
      </c>
      <c r="C87" s="27">
        <v>1</v>
      </c>
      <c r="D87" s="25">
        <v>7.27</v>
      </c>
      <c r="E87" s="25">
        <v>476.7</v>
      </c>
      <c r="F87" s="25">
        <v>491.7</v>
      </c>
      <c r="G87" s="26">
        <v>45021</v>
      </c>
      <c r="H87" s="25"/>
      <c r="I87" s="25"/>
      <c r="J87" s="25">
        <f t="shared" si="6"/>
        <v>15</v>
      </c>
      <c r="K87" s="8" t="b">
        <f t="shared" si="7"/>
        <v>1</v>
      </c>
    </row>
    <row r="88" spans="1:11">
      <c r="A88" s="5" t="s">
        <v>258</v>
      </c>
      <c r="B88" s="6">
        <v>45025</v>
      </c>
      <c r="C88" s="7">
        <v>0.8</v>
      </c>
      <c r="D88" s="5">
        <v>9.09</v>
      </c>
      <c r="E88" s="5">
        <v>491.7</v>
      </c>
      <c r="F88" s="5">
        <v>508.7</v>
      </c>
      <c r="G88" s="6">
        <v>45025</v>
      </c>
      <c r="H88" s="5"/>
      <c r="I88" s="5"/>
      <c r="J88" s="5">
        <f t="shared" si="6"/>
        <v>17</v>
      </c>
      <c r="K88" s="8" t="b">
        <f t="shared" si="7"/>
        <v>1</v>
      </c>
    </row>
    <row r="89" spans="1:11">
      <c r="A89" s="25" t="s">
        <v>258</v>
      </c>
      <c r="B89" s="26">
        <v>45029</v>
      </c>
      <c r="C89" s="27">
        <v>1</v>
      </c>
      <c r="D89" s="25">
        <v>7.27</v>
      </c>
      <c r="E89" s="25">
        <v>508.7</v>
      </c>
      <c r="F89" s="25">
        <v>524.29999999999995</v>
      </c>
      <c r="G89" s="26">
        <v>45029</v>
      </c>
      <c r="H89" s="25"/>
      <c r="I89" s="25"/>
      <c r="J89" s="25">
        <f t="shared" si="6"/>
        <v>15.599999999999966</v>
      </c>
      <c r="K89" s="8" t="b">
        <f t="shared" si="7"/>
        <v>1</v>
      </c>
    </row>
    <row r="90" spans="1:11">
      <c r="A90" s="5" t="s">
        <v>258</v>
      </c>
      <c r="B90" s="6">
        <v>45032</v>
      </c>
      <c r="C90" s="7">
        <v>0.8</v>
      </c>
      <c r="D90" s="5">
        <v>9.09</v>
      </c>
      <c r="E90" s="5">
        <v>524.29999999999995</v>
      </c>
      <c r="F90" s="5">
        <v>542.20000000000005</v>
      </c>
      <c r="G90" s="6">
        <v>45032</v>
      </c>
      <c r="H90" s="5"/>
      <c r="I90" s="5"/>
      <c r="J90" s="5">
        <f t="shared" si="6"/>
        <v>17.900000000000091</v>
      </c>
      <c r="K90" s="8" t="b">
        <f t="shared" si="7"/>
        <v>1</v>
      </c>
    </row>
    <row r="91" spans="1:11">
      <c r="A91" s="25" t="s">
        <v>258</v>
      </c>
      <c r="B91" s="26">
        <v>45034</v>
      </c>
      <c r="C91" s="27">
        <v>1</v>
      </c>
      <c r="D91" s="25">
        <v>7.27</v>
      </c>
      <c r="E91" s="25">
        <v>542.20000000000005</v>
      </c>
      <c r="F91" s="25">
        <v>557.20000000000005</v>
      </c>
      <c r="G91" s="26">
        <v>45034</v>
      </c>
      <c r="H91" s="25"/>
      <c r="I91" s="25"/>
      <c r="J91" s="25">
        <f t="shared" si="6"/>
        <v>15</v>
      </c>
      <c r="K91" s="8" t="b">
        <f t="shared" si="7"/>
        <v>1</v>
      </c>
    </row>
    <row r="92" spans="1:11">
      <c r="A92" s="5" t="s">
        <v>258</v>
      </c>
      <c r="B92" s="6">
        <v>45044</v>
      </c>
      <c r="C92" s="7">
        <v>1</v>
      </c>
      <c r="D92" s="5">
        <v>7.27</v>
      </c>
      <c r="E92" s="5">
        <v>557.20000000000005</v>
      </c>
      <c r="F92" s="5">
        <v>571.79999999999995</v>
      </c>
      <c r="G92" s="6">
        <v>45044</v>
      </c>
      <c r="H92" s="5"/>
      <c r="I92" s="5"/>
      <c r="J92" s="5">
        <f t="shared" si="6"/>
        <v>14.599999999999909</v>
      </c>
      <c r="K92" s="8" t="b">
        <f t="shared" si="7"/>
        <v>1</v>
      </c>
    </row>
    <row r="93" spans="1:11">
      <c r="A93" s="5" t="s">
        <v>258</v>
      </c>
      <c r="B93" s="6">
        <v>45045</v>
      </c>
      <c r="C93" s="7">
        <v>1</v>
      </c>
      <c r="D93" s="5">
        <v>7.27</v>
      </c>
      <c r="E93" s="5">
        <v>571.79999999999995</v>
      </c>
      <c r="F93" s="5">
        <v>586</v>
      </c>
      <c r="G93" s="6">
        <v>45045</v>
      </c>
      <c r="H93" s="5"/>
      <c r="I93" s="5"/>
      <c r="J93" s="5">
        <f t="shared" si="6"/>
        <v>14.200000000000045</v>
      </c>
      <c r="K93" s="8" t="b">
        <f t="shared" si="7"/>
        <v>1</v>
      </c>
    </row>
    <row r="94" spans="1:11">
      <c r="A94" s="5" t="s">
        <v>258</v>
      </c>
      <c r="B94" s="6">
        <v>45047</v>
      </c>
      <c r="C94" s="7">
        <v>1</v>
      </c>
      <c r="D94" s="5">
        <v>7.27</v>
      </c>
      <c r="E94" s="5">
        <v>586</v>
      </c>
      <c r="F94" s="5">
        <v>600.29999999999995</v>
      </c>
      <c r="G94" s="6">
        <v>45047</v>
      </c>
      <c r="H94" s="5"/>
      <c r="I94" s="5"/>
      <c r="J94" s="5">
        <f t="shared" si="6"/>
        <v>14.299999999999955</v>
      </c>
      <c r="K94" s="8" t="b">
        <f t="shared" si="7"/>
        <v>1</v>
      </c>
    </row>
    <row r="95" spans="1:11">
      <c r="A95" s="5" t="s">
        <v>258</v>
      </c>
      <c r="B95" s="6">
        <v>45050</v>
      </c>
      <c r="C95" s="7">
        <v>0.8</v>
      </c>
      <c r="D95" s="5">
        <v>9.09</v>
      </c>
      <c r="E95" s="5">
        <v>600.29999999999995</v>
      </c>
      <c r="F95" s="5">
        <v>618.29999999999995</v>
      </c>
      <c r="G95" s="6">
        <v>45050</v>
      </c>
      <c r="H95" s="5"/>
      <c r="I95" s="5"/>
      <c r="J95" s="5">
        <f t="shared" si="6"/>
        <v>18</v>
      </c>
      <c r="K95" s="8" t="b">
        <f t="shared" si="7"/>
        <v>1</v>
      </c>
    </row>
    <row r="96" spans="1:11">
      <c r="A96" s="5" t="s">
        <v>258</v>
      </c>
      <c r="B96" s="6">
        <v>45053</v>
      </c>
      <c r="C96" s="7">
        <v>0.8</v>
      </c>
      <c r="D96" s="5">
        <v>9.09</v>
      </c>
      <c r="E96" s="5">
        <v>618.29999999999995</v>
      </c>
      <c r="F96" s="5">
        <v>636.4</v>
      </c>
      <c r="G96" s="6">
        <v>45053</v>
      </c>
      <c r="H96" s="5"/>
      <c r="I96" s="5"/>
      <c r="J96" s="5">
        <f t="shared" si="6"/>
        <v>18.100000000000023</v>
      </c>
      <c r="K96" s="8" t="b">
        <f t="shared" si="7"/>
        <v>1</v>
      </c>
    </row>
    <row r="97" spans="1:11">
      <c r="A97" s="5" t="s">
        <v>258</v>
      </c>
      <c r="B97" s="6">
        <v>45055</v>
      </c>
      <c r="C97" s="7">
        <v>1</v>
      </c>
      <c r="D97" s="5">
        <v>7.27</v>
      </c>
      <c r="E97" s="5">
        <v>636.4</v>
      </c>
      <c r="F97" s="5">
        <v>651</v>
      </c>
      <c r="G97" s="6">
        <v>45055</v>
      </c>
      <c r="H97" s="5"/>
      <c r="I97" s="5"/>
      <c r="J97" s="5">
        <f t="shared" si="6"/>
        <v>14.600000000000023</v>
      </c>
      <c r="K97" s="8" t="b">
        <f t="shared" si="7"/>
        <v>1</v>
      </c>
    </row>
    <row r="98" spans="1:11">
      <c r="A98" s="5" t="s">
        <v>258</v>
      </c>
      <c r="B98" s="6">
        <v>45057</v>
      </c>
      <c r="C98" s="7">
        <v>1</v>
      </c>
      <c r="D98" s="5">
        <v>7.27</v>
      </c>
      <c r="E98" s="5">
        <v>651</v>
      </c>
      <c r="F98" s="5">
        <v>665.5</v>
      </c>
      <c r="G98" s="6">
        <v>45057</v>
      </c>
      <c r="H98" s="5"/>
      <c r="I98" s="5"/>
      <c r="J98" s="5">
        <f t="shared" si="6"/>
        <v>14.5</v>
      </c>
      <c r="K98" s="8" t="b">
        <f t="shared" si="7"/>
        <v>1</v>
      </c>
    </row>
    <row r="99" spans="1:11">
      <c r="A99" s="5" t="s">
        <v>258</v>
      </c>
      <c r="B99" s="6">
        <v>45059</v>
      </c>
      <c r="C99" s="7">
        <v>0.8</v>
      </c>
      <c r="D99" s="5">
        <v>9.09</v>
      </c>
      <c r="E99" s="5">
        <v>665.5</v>
      </c>
      <c r="F99" s="5">
        <v>683.5</v>
      </c>
      <c r="G99" s="6">
        <v>45059</v>
      </c>
      <c r="H99" s="5"/>
      <c r="I99" s="5"/>
      <c r="J99" s="5">
        <f t="shared" si="6"/>
        <v>18</v>
      </c>
      <c r="K99" s="8" t="b">
        <f t="shared" si="7"/>
        <v>1</v>
      </c>
    </row>
    <row r="100" spans="1:11">
      <c r="A100" s="5" t="s">
        <v>258</v>
      </c>
      <c r="B100" s="6">
        <v>45062</v>
      </c>
      <c r="C100" s="7">
        <v>0.8</v>
      </c>
      <c r="D100" s="5">
        <v>9.09</v>
      </c>
      <c r="E100" s="5">
        <v>683.5</v>
      </c>
      <c r="F100" s="5">
        <v>701.6</v>
      </c>
      <c r="G100" s="6">
        <v>45062</v>
      </c>
      <c r="H100" s="5"/>
      <c r="I100" s="5"/>
      <c r="J100" s="5">
        <f t="shared" si="6"/>
        <v>18.100000000000023</v>
      </c>
      <c r="K100" s="8" t="b">
        <f t="shared" si="7"/>
        <v>1</v>
      </c>
    </row>
    <row r="101" spans="1:11">
      <c r="A101" s="5" t="s">
        <v>258</v>
      </c>
      <c r="B101" s="6">
        <v>45065</v>
      </c>
      <c r="C101" s="7">
        <v>0.8</v>
      </c>
      <c r="D101" s="5">
        <v>9.09</v>
      </c>
      <c r="E101" s="5">
        <v>701.6</v>
      </c>
      <c r="F101" s="5">
        <v>719.5</v>
      </c>
      <c r="G101" s="6">
        <v>45065</v>
      </c>
      <c r="H101" s="5"/>
      <c r="I101" s="5"/>
      <c r="J101" s="5">
        <f t="shared" si="6"/>
        <v>17.899999999999977</v>
      </c>
      <c r="K101" s="8" t="b">
        <f t="shared" si="7"/>
        <v>1</v>
      </c>
    </row>
    <row r="102" spans="1:11">
      <c r="A102" s="5" t="s">
        <v>258</v>
      </c>
      <c r="B102" s="6">
        <v>45067</v>
      </c>
      <c r="C102" s="7">
        <v>1</v>
      </c>
      <c r="D102" s="5">
        <v>7.27</v>
      </c>
      <c r="E102" s="5">
        <v>719.5</v>
      </c>
      <c r="F102" s="5">
        <v>733.8</v>
      </c>
      <c r="G102" s="6">
        <v>45067</v>
      </c>
      <c r="H102" s="5"/>
      <c r="I102" s="5"/>
      <c r="J102" s="5">
        <f t="shared" ref="J102:J113" si="8">F102-E102</f>
        <v>14.299999999999955</v>
      </c>
      <c r="K102" s="8" t="b">
        <f t="shared" ref="K102:K113" si="9">E102=F101</f>
        <v>1</v>
      </c>
    </row>
    <row r="103" spans="1:11">
      <c r="A103" s="5" t="s">
        <v>258</v>
      </c>
      <c r="B103" s="6">
        <v>45070</v>
      </c>
      <c r="C103" s="7">
        <v>1</v>
      </c>
      <c r="D103" s="5">
        <v>7.27</v>
      </c>
      <c r="E103" s="5">
        <v>733.8</v>
      </c>
      <c r="F103" s="5">
        <v>748.2</v>
      </c>
      <c r="G103" s="6" t="s">
        <v>96</v>
      </c>
      <c r="H103" s="5"/>
      <c r="I103" s="5"/>
      <c r="J103" s="5">
        <f t="shared" si="8"/>
        <v>14.400000000000091</v>
      </c>
      <c r="K103" s="8" t="b">
        <f t="shared" si="9"/>
        <v>1</v>
      </c>
    </row>
    <row r="104" spans="1:11">
      <c r="A104" s="5" t="s">
        <v>258</v>
      </c>
      <c r="B104" s="6">
        <v>45073</v>
      </c>
      <c r="C104" s="7">
        <v>0.7</v>
      </c>
      <c r="D104" s="5">
        <v>10.39</v>
      </c>
      <c r="E104" s="5">
        <v>748.2</v>
      </c>
      <c r="F104" s="5">
        <v>768.5</v>
      </c>
      <c r="G104" s="6" t="s">
        <v>137</v>
      </c>
      <c r="H104" s="5"/>
      <c r="I104" s="5"/>
      <c r="J104" s="5">
        <f t="shared" si="8"/>
        <v>20.299999999999955</v>
      </c>
      <c r="K104" s="8" t="b">
        <f t="shared" si="9"/>
        <v>1</v>
      </c>
    </row>
    <row r="105" spans="1:11">
      <c r="A105" s="5" t="s">
        <v>258</v>
      </c>
      <c r="B105" s="6">
        <v>45079</v>
      </c>
      <c r="C105" s="7">
        <v>0.7</v>
      </c>
      <c r="D105" s="5">
        <v>10.39</v>
      </c>
      <c r="E105" s="5">
        <v>768.5</v>
      </c>
      <c r="F105" s="5">
        <v>789</v>
      </c>
      <c r="G105" s="6">
        <v>45079</v>
      </c>
      <c r="H105" s="5"/>
      <c r="I105" s="5"/>
      <c r="J105" s="5">
        <f t="shared" si="8"/>
        <v>20.5</v>
      </c>
      <c r="K105" s="8" t="b">
        <f t="shared" si="9"/>
        <v>1</v>
      </c>
    </row>
    <row r="106" spans="1:11">
      <c r="A106" s="5" t="s">
        <v>258</v>
      </c>
      <c r="B106" s="6">
        <v>45085</v>
      </c>
      <c r="C106" s="24">
        <v>0.7</v>
      </c>
      <c r="D106" s="5">
        <v>10.39</v>
      </c>
      <c r="E106" s="5">
        <v>789</v>
      </c>
      <c r="F106" s="5">
        <v>809.6</v>
      </c>
      <c r="G106" s="6">
        <v>45085</v>
      </c>
      <c r="H106" s="5"/>
      <c r="I106" s="5"/>
      <c r="J106" s="5">
        <f t="shared" si="8"/>
        <v>20.600000000000023</v>
      </c>
      <c r="K106" s="8" t="b">
        <f t="shared" si="9"/>
        <v>1</v>
      </c>
    </row>
    <row r="107" spans="1:11">
      <c r="A107" s="5" t="s">
        <v>263</v>
      </c>
      <c r="B107" s="6">
        <v>45087</v>
      </c>
      <c r="C107" s="7">
        <v>0.9</v>
      </c>
      <c r="D107" s="5">
        <v>8.09</v>
      </c>
      <c r="E107" s="5">
        <v>809.6</v>
      </c>
      <c r="F107" s="5">
        <v>818.1</v>
      </c>
      <c r="G107" s="6">
        <v>45087</v>
      </c>
      <c r="H107" s="5"/>
      <c r="I107" s="5"/>
      <c r="J107" s="5">
        <f t="shared" si="8"/>
        <v>8.5</v>
      </c>
      <c r="K107" s="8" t="b">
        <f t="shared" si="9"/>
        <v>1</v>
      </c>
    </row>
    <row r="108" spans="1:11">
      <c r="A108" s="5" t="s">
        <v>264</v>
      </c>
      <c r="B108" s="6">
        <v>45087</v>
      </c>
      <c r="C108" s="7">
        <v>0.75</v>
      </c>
      <c r="D108" s="5">
        <v>9.7100000000000009</v>
      </c>
      <c r="E108" s="5">
        <v>818.1</v>
      </c>
      <c r="F108" s="5">
        <v>827.2</v>
      </c>
      <c r="G108" s="6">
        <v>45087</v>
      </c>
      <c r="H108" s="5"/>
      <c r="I108" s="5"/>
      <c r="J108" s="5">
        <f t="shared" si="8"/>
        <v>9.1000000000000227</v>
      </c>
      <c r="K108" s="8" t="b">
        <f t="shared" si="9"/>
        <v>1</v>
      </c>
    </row>
    <row r="109" spans="1:11">
      <c r="A109" s="5" t="s">
        <v>258</v>
      </c>
      <c r="B109" s="6">
        <v>45094</v>
      </c>
      <c r="C109" s="7">
        <v>0.8</v>
      </c>
      <c r="D109" s="5">
        <v>9.1</v>
      </c>
      <c r="E109" s="5">
        <v>827.2</v>
      </c>
      <c r="F109" s="5">
        <v>845.3</v>
      </c>
      <c r="G109" s="6">
        <v>45094</v>
      </c>
      <c r="H109" s="5"/>
      <c r="I109" s="5"/>
      <c r="J109" s="5">
        <f t="shared" si="8"/>
        <v>18.099999999999909</v>
      </c>
      <c r="K109" s="8" t="b">
        <f t="shared" si="9"/>
        <v>1</v>
      </c>
    </row>
    <row r="110" spans="1:11">
      <c r="A110" s="5" t="s">
        <v>265</v>
      </c>
      <c r="B110" s="6">
        <v>45099</v>
      </c>
      <c r="C110" s="7">
        <v>1</v>
      </c>
      <c r="D110" s="5">
        <v>7.27</v>
      </c>
      <c r="E110" s="5">
        <v>845.3</v>
      </c>
      <c r="F110" s="5">
        <v>848.9</v>
      </c>
      <c r="G110" s="6">
        <v>45099</v>
      </c>
      <c r="H110" s="5"/>
      <c r="I110" s="5"/>
      <c r="J110" s="5">
        <f t="shared" si="8"/>
        <v>3.6000000000000227</v>
      </c>
      <c r="K110" s="8" t="b">
        <f t="shared" si="9"/>
        <v>1</v>
      </c>
    </row>
    <row r="111" spans="1:11">
      <c r="A111" s="5" t="s">
        <v>264</v>
      </c>
      <c r="B111" s="6">
        <v>45099</v>
      </c>
      <c r="C111" s="7">
        <v>0.7</v>
      </c>
      <c r="D111" s="5">
        <v>10.39</v>
      </c>
      <c r="E111" s="5">
        <v>848.9</v>
      </c>
      <c r="F111" s="5">
        <v>861.7</v>
      </c>
      <c r="G111" s="6">
        <v>45101</v>
      </c>
      <c r="H111" s="5"/>
      <c r="I111" s="5"/>
      <c r="J111" s="5">
        <f t="shared" si="8"/>
        <v>12.800000000000068</v>
      </c>
      <c r="K111" s="8" t="b">
        <f t="shared" si="9"/>
        <v>1</v>
      </c>
    </row>
    <row r="112" spans="1:11">
      <c r="A112" s="5" t="s">
        <v>264</v>
      </c>
      <c r="B112" s="6">
        <v>45104</v>
      </c>
      <c r="C112" s="7">
        <v>0.8</v>
      </c>
      <c r="D112" s="5">
        <v>9.1</v>
      </c>
      <c r="E112" s="5">
        <v>861.7</v>
      </c>
      <c r="F112" s="5">
        <v>871.6</v>
      </c>
      <c r="G112" s="6">
        <v>45104</v>
      </c>
      <c r="H112" s="5"/>
      <c r="I112" s="5"/>
      <c r="J112" s="5">
        <f t="shared" si="8"/>
        <v>9.8999999999999773</v>
      </c>
      <c r="K112" s="8" t="b">
        <f t="shared" si="9"/>
        <v>1</v>
      </c>
    </row>
    <row r="113" spans="1:11">
      <c r="A113" s="5" t="s">
        <v>266</v>
      </c>
      <c r="B113" s="6">
        <v>45109</v>
      </c>
      <c r="C113" s="7">
        <v>0.8</v>
      </c>
      <c r="D113" s="5">
        <v>9.09</v>
      </c>
      <c r="E113" s="5">
        <v>871.6</v>
      </c>
      <c r="F113" s="5">
        <v>876.8</v>
      </c>
      <c r="G113" s="6">
        <v>45109</v>
      </c>
      <c r="H113" s="5"/>
      <c r="I113" s="5"/>
      <c r="J113" s="5">
        <f t="shared" si="8"/>
        <v>5.1999999999999318</v>
      </c>
      <c r="K113" s="8" t="b">
        <f t="shared" si="9"/>
        <v>1</v>
      </c>
    </row>
    <row r="114" spans="1:11" ht="26.25">
      <c r="A114" s="217" t="s">
        <v>256</v>
      </c>
      <c r="B114" s="218"/>
      <c r="C114" s="218"/>
      <c r="D114" s="218"/>
      <c r="E114" s="218"/>
      <c r="F114" s="218"/>
      <c r="G114" s="218"/>
      <c r="H114" s="218"/>
      <c r="I114" s="218"/>
      <c r="J114" s="218"/>
      <c r="K114" s="219"/>
    </row>
    <row r="115" spans="1:11" ht="26.25">
      <c r="A115" s="161" t="s">
        <v>209</v>
      </c>
      <c r="B115" s="220"/>
      <c r="C115" s="220"/>
      <c r="D115" s="220"/>
      <c r="E115" s="220"/>
      <c r="F115" s="220"/>
      <c r="G115" s="220"/>
      <c r="H115" s="220"/>
      <c r="I115" s="220"/>
      <c r="J115" s="220"/>
      <c r="K115" s="221"/>
    </row>
    <row r="116" spans="1:11" ht="15.75" thickBot="1"/>
    <row r="117" spans="1:11" ht="15.75" thickBot="1">
      <c r="A117" s="132" t="s">
        <v>2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4"/>
    </row>
    <row r="119" spans="1:11" ht="19.5" thickBot="1">
      <c r="A119" s="1" t="s">
        <v>3</v>
      </c>
      <c r="B119" s="1"/>
      <c r="C119" s="1"/>
      <c r="D119" s="1"/>
      <c r="E119" s="1"/>
      <c r="F119" s="1"/>
      <c r="G119" s="1"/>
      <c r="H119" s="1"/>
      <c r="I119" s="1"/>
    </row>
    <row r="120" spans="1:11" ht="30.75" thickBot="1">
      <c r="A120" s="2" t="s">
        <v>4</v>
      </c>
      <c r="B120" s="3" t="s">
        <v>5</v>
      </c>
      <c r="C120" s="3" t="s">
        <v>6</v>
      </c>
      <c r="D120" s="3" t="s">
        <v>7</v>
      </c>
      <c r="E120" s="3" t="s">
        <v>8</v>
      </c>
      <c r="F120" s="3" t="s">
        <v>9</v>
      </c>
      <c r="G120" s="3" t="s">
        <v>10</v>
      </c>
      <c r="H120" s="3" t="s">
        <v>21</v>
      </c>
      <c r="I120" s="4" t="s">
        <v>22</v>
      </c>
      <c r="J120" s="4" t="s">
        <v>11</v>
      </c>
      <c r="K120" s="4" t="s">
        <v>12</v>
      </c>
    </row>
    <row r="121" spans="1:11">
      <c r="A121" s="5" t="s">
        <v>260</v>
      </c>
      <c r="B121" s="6">
        <v>45335</v>
      </c>
      <c r="C121" s="7">
        <v>1</v>
      </c>
      <c r="D121" s="5">
        <v>7.27</v>
      </c>
      <c r="E121" s="5">
        <v>0</v>
      </c>
      <c r="F121" s="5">
        <v>7.2</v>
      </c>
      <c r="G121" s="6">
        <v>45335</v>
      </c>
      <c r="H121" s="5"/>
      <c r="I121" s="5"/>
      <c r="J121" s="5">
        <f t="shared" ref="J121:J166" si="10">F121-E121</f>
        <v>7.2</v>
      </c>
      <c r="K121" s="8" t="b">
        <f t="shared" ref="K121:K143" si="11">E121=F120</f>
        <v>0</v>
      </c>
    </row>
    <row r="122" spans="1:11">
      <c r="A122" s="5" t="s">
        <v>267</v>
      </c>
      <c r="B122" s="6">
        <v>45336</v>
      </c>
      <c r="C122" s="7">
        <v>0.8</v>
      </c>
      <c r="D122" s="5">
        <v>9.01</v>
      </c>
      <c r="E122" s="5">
        <v>7.2</v>
      </c>
      <c r="F122" s="5">
        <v>10</v>
      </c>
      <c r="G122" s="6">
        <v>45336</v>
      </c>
      <c r="H122" s="5"/>
      <c r="I122" s="5"/>
      <c r="J122" s="5">
        <f t="shared" si="10"/>
        <v>2.8</v>
      </c>
      <c r="K122" s="8" t="b">
        <f t="shared" si="11"/>
        <v>1</v>
      </c>
    </row>
    <row r="123" spans="1:11">
      <c r="A123" s="5" t="s">
        <v>260</v>
      </c>
      <c r="B123" s="6">
        <v>45336</v>
      </c>
      <c r="C123" s="7">
        <v>1</v>
      </c>
      <c r="D123" s="5">
        <v>7.27</v>
      </c>
      <c r="E123" s="5">
        <v>10</v>
      </c>
      <c r="F123" s="5">
        <v>18</v>
      </c>
      <c r="G123" s="6">
        <v>45336</v>
      </c>
      <c r="H123" s="5"/>
      <c r="I123" s="5"/>
      <c r="J123" s="5">
        <f>F123-E123</f>
        <v>8</v>
      </c>
      <c r="K123" s="8" t="b">
        <f>E123=F122</f>
        <v>1</v>
      </c>
    </row>
    <row r="124" spans="1:11">
      <c r="A124" s="101" t="s">
        <v>260</v>
      </c>
      <c r="B124" s="102">
        <v>45338</v>
      </c>
      <c r="C124" s="103">
        <v>1</v>
      </c>
      <c r="D124" s="101">
        <v>7.27</v>
      </c>
      <c r="E124" s="101">
        <v>18</v>
      </c>
      <c r="F124" s="101">
        <v>24.4</v>
      </c>
      <c r="G124" s="102">
        <v>45338</v>
      </c>
      <c r="H124" s="101"/>
      <c r="I124" s="101"/>
      <c r="J124" s="101">
        <f t="shared" si="10"/>
        <v>6.3999999999999986</v>
      </c>
      <c r="K124" s="8" t="b">
        <f t="shared" si="11"/>
        <v>1</v>
      </c>
    </row>
    <row r="125" spans="1:11">
      <c r="A125" s="5" t="s">
        <v>259</v>
      </c>
      <c r="B125" s="6">
        <v>45339</v>
      </c>
      <c r="C125" s="7">
        <v>1</v>
      </c>
      <c r="D125" s="5">
        <v>7.27</v>
      </c>
      <c r="E125" s="5">
        <v>24.4</v>
      </c>
      <c r="F125" s="5">
        <v>28.6</v>
      </c>
      <c r="G125" s="6">
        <v>45339</v>
      </c>
      <c r="H125" s="5"/>
      <c r="I125" s="5"/>
      <c r="J125" s="5">
        <f t="shared" si="10"/>
        <v>4.2000000000000028</v>
      </c>
      <c r="K125" s="8" t="b">
        <f t="shared" si="11"/>
        <v>1</v>
      </c>
    </row>
    <row r="126" spans="1:11">
      <c r="A126" s="5" t="s">
        <v>260</v>
      </c>
      <c r="B126" s="6">
        <v>45340</v>
      </c>
      <c r="C126" s="7">
        <v>0.8</v>
      </c>
      <c r="D126" s="5">
        <v>9.1</v>
      </c>
      <c r="E126" s="5">
        <v>28.6</v>
      </c>
      <c r="F126" s="5">
        <v>37.5</v>
      </c>
      <c r="G126" s="6">
        <v>45340</v>
      </c>
      <c r="H126" s="5"/>
      <c r="I126" s="5"/>
      <c r="J126" s="5">
        <f t="shared" si="10"/>
        <v>8.8999999999999986</v>
      </c>
      <c r="K126" s="8" t="b">
        <f t="shared" si="11"/>
        <v>1</v>
      </c>
    </row>
    <row r="127" spans="1:11">
      <c r="A127" s="5">
        <v>121</v>
      </c>
      <c r="B127" s="6">
        <v>45342</v>
      </c>
      <c r="C127" s="7">
        <v>1</v>
      </c>
      <c r="D127" s="5">
        <v>7.27</v>
      </c>
      <c r="E127" s="5">
        <v>38.5</v>
      </c>
      <c r="F127" s="5">
        <v>40.299999999999997</v>
      </c>
      <c r="G127" s="6">
        <v>45342</v>
      </c>
      <c r="H127" s="5"/>
      <c r="I127" s="5"/>
      <c r="J127" s="5">
        <f t="shared" si="10"/>
        <v>1.7999999999999972</v>
      </c>
      <c r="K127" s="8" t="b">
        <f t="shared" si="11"/>
        <v>0</v>
      </c>
    </row>
    <row r="128" spans="1:11">
      <c r="A128" s="5" t="s">
        <v>261</v>
      </c>
      <c r="B128" s="6">
        <v>45347</v>
      </c>
      <c r="C128" s="7">
        <v>0.8</v>
      </c>
      <c r="D128" s="5">
        <v>9.1</v>
      </c>
      <c r="E128" s="5">
        <v>40.299999999999997</v>
      </c>
      <c r="F128" s="5">
        <v>47.8</v>
      </c>
      <c r="G128" s="6">
        <v>45347</v>
      </c>
      <c r="H128" s="5"/>
      <c r="I128" s="5"/>
      <c r="J128" s="5">
        <f t="shared" si="10"/>
        <v>7.5</v>
      </c>
      <c r="K128" s="8" t="b">
        <f t="shared" si="11"/>
        <v>1</v>
      </c>
    </row>
    <row r="129" spans="1:11">
      <c r="A129" s="5" t="s">
        <v>260</v>
      </c>
      <c r="B129" s="6">
        <v>45347</v>
      </c>
      <c r="C129" s="7">
        <v>1</v>
      </c>
      <c r="D129" s="5">
        <v>7.27</v>
      </c>
      <c r="E129" s="5">
        <v>47.8</v>
      </c>
      <c r="F129" s="5">
        <v>57</v>
      </c>
      <c r="G129" s="6">
        <v>45347</v>
      </c>
      <c r="H129" s="5"/>
      <c r="I129" s="5"/>
      <c r="J129" s="5">
        <f t="shared" si="10"/>
        <v>9.2000000000000028</v>
      </c>
      <c r="K129" s="8" t="b">
        <f t="shared" si="11"/>
        <v>1</v>
      </c>
    </row>
    <row r="130" spans="1:11">
      <c r="A130" s="5" t="s">
        <v>258</v>
      </c>
      <c r="B130" s="6">
        <v>45349</v>
      </c>
      <c r="C130" s="7">
        <v>1</v>
      </c>
      <c r="D130" s="5">
        <v>7.27</v>
      </c>
      <c r="E130" s="5">
        <v>57</v>
      </c>
      <c r="F130" s="5">
        <v>71.900000000000006</v>
      </c>
      <c r="G130" s="6">
        <v>45349</v>
      </c>
      <c r="H130" s="5"/>
      <c r="I130" s="5"/>
      <c r="J130" s="5">
        <f t="shared" si="10"/>
        <v>14.900000000000006</v>
      </c>
      <c r="K130" s="8" t="b">
        <f t="shared" si="11"/>
        <v>1</v>
      </c>
    </row>
    <row r="131" spans="1:11">
      <c r="A131" s="5" t="s">
        <v>258</v>
      </c>
      <c r="B131" s="6">
        <v>45351</v>
      </c>
      <c r="C131" s="7">
        <v>1</v>
      </c>
      <c r="D131" s="5">
        <v>7.27</v>
      </c>
      <c r="E131" s="5">
        <v>71.900000000000006</v>
      </c>
      <c r="F131" s="5">
        <v>89.3</v>
      </c>
      <c r="G131" s="6">
        <v>45351</v>
      </c>
      <c r="H131" s="5"/>
      <c r="I131" s="5"/>
      <c r="J131" s="5">
        <f t="shared" si="10"/>
        <v>17.399999999999991</v>
      </c>
      <c r="K131" s="8" t="b">
        <f t="shared" si="11"/>
        <v>1</v>
      </c>
    </row>
    <row r="132" spans="1:11">
      <c r="A132" s="5" t="s">
        <v>258</v>
      </c>
      <c r="B132" s="6">
        <v>45354</v>
      </c>
      <c r="C132" s="7">
        <v>1</v>
      </c>
      <c r="D132" s="5">
        <v>7.27</v>
      </c>
      <c r="E132" s="5">
        <v>89.3</v>
      </c>
      <c r="F132" s="5">
        <v>104</v>
      </c>
      <c r="G132" s="6">
        <v>45354</v>
      </c>
      <c r="H132" s="5"/>
      <c r="I132" s="5"/>
      <c r="J132" s="5">
        <f t="shared" si="10"/>
        <v>14.700000000000003</v>
      </c>
      <c r="K132" s="8" t="b">
        <f t="shared" si="11"/>
        <v>1</v>
      </c>
    </row>
    <row r="133" spans="1:11">
      <c r="A133" s="5" t="s">
        <v>258</v>
      </c>
      <c r="B133" s="6">
        <v>45357</v>
      </c>
      <c r="C133" s="7">
        <v>1</v>
      </c>
      <c r="D133" s="5">
        <v>7.27</v>
      </c>
      <c r="E133" s="5">
        <v>104</v>
      </c>
      <c r="F133" s="5">
        <v>118.7</v>
      </c>
      <c r="G133" s="6">
        <v>45357</v>
      </c>
      <c r="H133" s="5"/>
      <c r="I133" s="5"/>
      <c r="J133" s="5">
        <f t="shared" si="10"/>
        <v>14.700000000000003</v>
      </c>
      <c r="K133" s="8" t="b">
        <f t="shared" si="11"/>
        <v>1</v>
      </c>
    </row>
    <row r="134" spans="1:11">
      <c r="A134" s="5" t="s">
        <v>258</v>
      </c>
      <c r="B134" s="6">
        <v>45360</v>
      </c>
      <c r="C134" s="7">
        <v>0.6</v>
      </c>
      <c r="D134" s="5">
        <v>12.12</v>
      </c>
      <c r="E134" s="5">
        <v>118.7</v>
      </c>
      <c r="F134" s="5">
        <v>142.69999999999999</v>
      </c>
      <c r="G134" s="6">
        <v>45360</v>
      </c>
      <c r="H134" s="5"/>
      <c r="I134" s="5"/>
      <c r="J134" s="5">
        <f t="shared" si="10"/>
        <v>23.999999999999986</v>
      </c>
      <c r="K134" s="8" t="b">
        <f t="shared" si="11"/>
        <v>1</v>
      </c>
    </row>
    <row r="135" spans="1:11">
      <c r="A135" s="5" t="s">
        <v>258</v>
      </c>
      <c r="B135" s="6">
        <v>45363</v>
      </c>
      <c r="C135" s="7">
        <v>0.8</v>
      </c>
      <c r="D135" s="5">
        <v>9.1</v>
      </c>
      <c r="E135" s="5">
        <v>142.69999999999999</v>
      </c>
      <c r="F135" s="5">
        <v>160.80000000000001</v>
      </c>
      <c r="G135" s="6">
        <v>45363</v>
      </c>
      <c r="H135" s="5"/>
      <c r="I135" s="5"/>
      <c r="J135" s="5">
        <f t="shared" si="10"/>
        <v>18.100000000000023</v>
      </c>
      <c r="K135" s="8" t="b">
        <f t="shared" si="11"/>
        <v>1</v>
      </c>
    </row>
    <row r="136" spans="1:11">
      <c r="A136" s="5" t="s">
        <v>258</v>
      </c>
      <c r="B136" s="6">
        <v>45364</v>
      </c>
      <c r="C136" s="7">
        <v>1</v>
      </c>
      <c r="D136" s="5">
        <v>7.27</v>
      </c>
      <c r="E136" s="5">
        <v>160.80000000000001</v>
      </c>
      <c r="F136" s="5">
        <v>175.5</v>
      </c>
      <c r="G136" s="6">
        <v>45364</v>
      </c>
      <c r="H136" s="5"/>
      <c r="I136" s="5"/>
      <c r="J136" s="5">
        <f t="shared" si="10"/>
        <v>14.699999999999989</v>
      </c>
      <c r="K136" s="8" t="b">
        <f t="shared" si="11"/>
        <v>1</v>
      </c>
    </row>
    <row r="137" spans="1:11">
      <c r="A137" s="5" t="s">
        <v>258</v>
      </c>
      <c r="B137" s="6">
        <v>45366</v>
      </c>
      <c r="C137" s="7">
        <v>0.7</v>
      </c>
      <c r="D137" s="5">
        <v>10.39</v>
      </c>
      <c r="E137" s="5">
        <v>175.5</v>
      </c>
      <c r="F137" s="5">
        <v>196</v>
      </c>
      <c r="G137" s="6">
        <v>45366</v>
      </c>
      <c r="H137" s="5"/>
      <c r="I137" s="5"/>
      <c r="J137" s="5">
        <f t="shared" si="10"/>
        <v>20.5</v>
      </c>
      <c r="K137" s="8" t="b">
        <f t="shared" si="11"/>
        <v>1</v>
      </c>
    </row>
    <row r="138" spans="1:11">
      <c r="A138" s="5" t="s">
        <v>258</v>
      </c>
      <c r="B138" s="6">
        <v>45368</v>
      </c>
      <c r="C138" s="7">
        <v>0.7</v>
      </c>
      <c r="D138" s="5">
        <v>10.39</v>
      </c>
      <c r="E138" s="5">
        <v>196</v>
      </c>
      <c r="F138" s="5">
        <v>216.5</v>
      </c>
      <c r="G138" s="6">
        <v>45368</v>
      </c>
      <c r="H138" s="5"/>
      <c r="I138" s="5"/>
      <c r="J138" s="5">
        <f t="shared" si="10"/>
        <v>20.5</v>
      </c>
      <c r="K138" s="8" t="b">
        <f t="shared" si="11"/>
        <v>1</v>
      </c>
    </row>
    <row r="139" spans="1:11">
      <c r="A139" s="5" t="s">
        <v>258</v>
      </c>
      <c r="B139" s="6">
        <v>45370</v>
      </c>
      <c r="C139" s="7">
        <v>0.7</v>
      </c>
      <c r="D139" s="5">
        <v>10.39</v>
      </c>
      <c r="E139" s="5">
        <v>216.5</v>
      </c>
      <c r="F139" s="5">
        <v>237.5</v>
      </c>
      <c r="G139" s="6">
        <v>45370</v>
      </c>
      <c r="H139" s="5"/>
      <c r="I139" s="5"/>
      <c r="J139" s="5">
        <f t="shared" si="10"/>
        <v>21</v>
      </c>
      <c r="K139" s="8" t="b">
        <f t="shared" si="11"/>
        <v>1</v>
      </c>
    </row>
    <row r="140" spans="1:11">
      <c r="A140" s="5" t="s">
        <v>268</v>
      </c>
      <c r="B140" s="6">
        <v>45374</v>
      </c>
      <c r="C140" s="7">
        <v>0.7</v>
      </c>
      <c r="D140" s="5">
        <v>10.39</v>
      </c>
      <c r="E140" s="5">
        <v>258.10000000000002</v>
      </c>
      <c r="F140" s="5">
        <v>268.10000000000002</v>
      </c>
      <c r="G140" s="6">
        <v>45374</v>
      </c>
      <c r="H140" s="5"/>
      <c r="I140" s="5"/>
      <c r="J140" s="5">
        <f t="shared" si="10"/>
        <v>10</v>
      </c>
      <c r="K140" s="8" t="b">
        <f t="shared" si="11"/>
        <v>0</v>
      </c>
    </row>
    <row r="141" spans="1:11">
      <c r="A141" s="5" t="s">
        <v>258</v>
      </c>
      <c r="B141" s="6">
        <v>45376</v>
      </c>
      <c r="C141" s="7">
        <v>1</v>
      </c>
      <c r="D141" s="5">
        <v>7.27</v>
      </c>
      <c r="E141" s="5">
        <v>268.10000000000002</v>
      </c>
      <c r="F141" s="5">
        <v>282.89999999999998</v>
      </c>
      <c r="G141" s="6">
        <v>45376</v>
      </c>
      <c r="H141" s="5"/>
      <c r="I141" s="5"/>
      <c r="J141" s="5">
        <f t="shared" si="10"/>
        <v>14.799999999999955</v>
      </c>
      <c r="K141" s="8" t="b">
        <f t="shared" si="11"/>
        <v>1</v>
      </c>
    </row>
    <row r="142" spans="1:11">
      <c r="A142" s="5" t="s">
        <v>258</v>
      </c>
      <c r="B142" s="6">
        <v>45378</v>
      </c>
      <c r="C142" s="7">
        <v>1</v>
      </c>
      <c r="D142" s="5">
        <v>7.27</v>
      </c>
      <c r="E142" s="5">
        <v>282.89999999999998</v>
      </c>
      <c r="F142" s="5">
        <v>297.7</v>
      </c>
      <c r="G142" s="6">
        <v>45378</v>
      </c>
      <c r="H142" s="5"/>
      <c r="I142" s="5"/>
      <c r="J142" s="5">
        <f t="shared" si="10"/>
        <v>14.800000000000011</v>
      </c>
      <c r="K142" s="8" t="b">
        <f t="shared" si="11"/>
        <v>1</v>
      </c>
    </row>
    <row r="143" spans="1:11">
      <c r="A143" s="5" t="s">
        <v>258</v>
      </c>
      <c r="B143" s="6">
        <v>45380</v>
      </c>
      <c r="C143" s="7">
        <v>1</v>
      </c>
      <c r="D143" s="5">
        <v>7.27</v>
      </c>
      <c r="E143" s="5">
        <v>297.7</v>
      </c>
      <c r="F143" s="5">
        <v>305.10000000000002</v>
      </c>
      <c r="G143" s="6">
        <v>45380</v>
      </c>
      <c r="H143" s="5"/>
      <c r="I143" s="5"/>
      <c r="J143" s="5">
        <f t="shared" si="10"/>
        <v>7.4000000000000341</v>
      </c>
      <c r="K143" s="8" t="b">
        <f t="shared" si="11"/>
        <v>1</v>
      </c>
    </row>
    <row r="144" spans="1:11">
      <c r="A144" s="5" t="s">
        <v>260</v>
      </c>
      <c r="B144" s="6">
        <v>45381</v>
      </c>
      <c r="C144" s="7">
        <v>1</v>
      </c>
      <c r="D144" s="5">
        <v>7.27</v>
      </c>
      <c r="E144" s="5">
        <v>305.10000000000002</v>
      </c>
      <c r="F144" s="5">
        <v>312.2</v>
      </c>
      <c r="G144" s="6">
        <v>45381</v>
      </c>
      <c r="H144" s="5"/>
      <c r="I144" s="5"/>
      <c r="J144" s="5">
        <f t="shared" si="10"/>
        <v>7.0999999999999659</v>
      </c>
      <c r="K144" s="8" t="b">
        <f t="shared" ref="K144:K165" si="12">E144=F143</f>
        <v>1</v>
      </c>
    </row>
    <row r="145" spans="1:11">
      <c r="A145" s="5" t="s">
        <v>261</v>
      </c>
      <c r="B145" s="6">
        <v>45382</v>
      </c>
      <c r="C145" s="7">
        <v>1</v>
      </c>
      <c r="D145" s="5">
        <v>7.27</v>
      </c>
      <c r="E145" s="5">
        <v>312.2</v>
      </c>
      <c r="F145" s="5">
        <v>319.5</v>
      </c>
      <c r="G145" s="6">
        <v>45382</v>
      </c>
      <c r="H145" s="5"/>
      <c r="I145" s="5"/>
      <c r="J145" s="5">
        <f t="shared" si="10"/>
        <v>7.3000000000000114</v>
      </c>
      <c r="K145" s="8" t="b">
        <f t="shared" si="12"/>
        <v>1</v>
      </c>
    </row>
    <row r="146" spans="1:11">
      <c r="A146" s="5" t="s">
        <v>260</v>
      </c>
      <c r="B146" s="6">
        <v>45383</v>
      </c>
      <c r="C146" s="7">
        <v>1</v>
      </c>
      <c r="D146" s="5">
        <v>7.27</v>
      </c>
      <c r="E146" s="5">
        <v>319.5</v>
      </c>
      <c r="F146" s="5">
        <v>326.7</v>
      </c>
      <c r="G146" s="6">
        <v>45383</v>
      </c>
      <c r="H146" s="5"/>
      <c r="I146" s="5"/>
      <c r="J146" s="5">
        <f t="shared" si="10"/>
        <v>7.1999999999999886</v>
      </c>
      <c r="K146" s="8" t="b">
        <f t="shared" si="12"/>
        <v>1</v>
      </c>
    </row>
    <row r="147" spans="1:11">
      <c r="A147" s="5" t="s">
        <v>258</v>
      </c>
      <c r="B147" s="6">
        <v>45384</v>
      </c>
      <c r="C147" s="7">
        <v>1</v>
      </c>
      <c r="D147" s="5">
        <v>7.27</v>
      </c>
      <c r="E147" s="5">
        <v>326.7</v>
      </c>
      <c r="F147" s="5">
        <v>341.7</v>
      </c>
      <c r="G147" s="6">
        <v>45384</v>
      </c>
      <c r="H147" s="5"/>
      <c r="I147" s="5"/>
      <c r="J147" s="5">
        <f t="shared" si="10"/>
        <v>15</v>
      </c>
      <c r="K147" s="8" t="b">
        <f t="shared" si="12"/>
        <v>1</v>
      </c>
    </row>
    <row r="148" spans="1:11">
      <c r="A148" s="5" t="s">
        <v>258</v>
      </c>
      <c r="B148" s="6">
        <v>45390</v>
      </c>
      <c r="C148" s="7">
        <v>0.7</v>
      </c>
      <c r="D148" s="5">
        <v>10.39</v>
      </c>
      <c r="E148" s="5">
        <v>341.7</v>
      </c>
      <c r="F148" s="5">
        <v>362</v>
      </c>
      <c r="G148" s="6">
        <v>45390</v>
      </c>
      <c r="H148" s="5"/>
      <c r="I148" s="5"/>
      <c r="J148" s="5">
        <f t="shared" si="10"/>
        <v>20.300000000000011</v>
      </c>
      <c r="K148" s="8" t="b">
        <f t="shared" si="12"/>
        <v>1</v>
      </c>
    </row>
    <row r="149" spans="1:11">
      <c r="A149" s="5" t="s">
        <v>261</v>
      </c>
      <c r="B149" s="6">
        <v>45392</v>
      </c>
      <c r="C149" s="7">
        <v>0.7</v>
      </c>
      <c r="D149" s="5">
        <v>10.39</v>
      </c>
      <c r="E149" s="5">
        <v>362</v>
      </c>
      <c r="F149" s="5">
        <v>373.4</v>
      </c>
      <c r="G149" s="6">
        <v>45392</v>
      </c>
      <c r="H149" s="5"/>
      <c r="I149" s="5"/>
      <c r="J149" s="5">
        <f t="shared" si="10"/>
        <v>11.399999999999977</v>
      </c>
      <c r="K149" s="8" t="b">
        <f t="shared" si="12"/>
        <v>1</v>
      </c>
    </row>
    <row r="150" spans="1:11">
      <c r="A150" s="5" t="s">
        <v>258</v>
      </c>
      <c r="B150" s="6">
        <v>45401</v>
      </c>
      <c r="C150" s="7">
        <v>1</v>
      </c>
      <c r="D150" s="5">
        <v>7.27</v>
      </c>
      <c r="E150" s="5">
        <v>388.5</v>
      </c>
      <c r="F150" s="5">
        <v>403.4</v>
      </c>
      <c r="G150" s="6">
        <v>45401</v>
      </c>
      <c r="H150" s="5"/>
      <c r="I150" s="5"/>
      <c r="J150" s="5">
        <f t="shared" si="10"/>
        <v>14.899999999999977</v>
      </c>
      <c r="K150" s="8" t="b">
        <f t="shared" si="12"/>
        <v>0</v>
      </c>
    </row>
    <row r="151" spans="1:11">
      <c r="A151" s="5" t="s">
        <v>258</v>
      </c>
      <c r="B151" s="6">
        <v>45408</v>
      </c>
      <c r="C151" s="7">
        <v>0.8</v>
      </c>
      <c r="D151" s="5">
        <v>9.1</v>
      </c>
      <c r="E151" s="5">
        <v>419.3</v>
      </c>
      <c r="F151" s="5">
        <v>438.3</v>
      </c>
      <c r="G151" s="6">
        <v>45408</v>
      </c>
      <c r="H151" s="5"/>
      <c r="I151" s="5"/>
      <c r="J151" s="5">
        <f t="shared" si="10"/>
        <v>19</v>
      </c>
      <c r="K151" s="8" t="b">
        <f t="shared" si="12"/>
        <v>0</v>
      </c>
    </row>
    <row r="152" spans="1:11">
      <c r="A152" s="5" t="s">
        <v>258</v>
      </c>
      <c r="B152" s="6">
        <v>45411</v>
      </c>
      <c r="C152" s="7">
        <v>0.75</v>
      </c>
      <c r="D152" s="5">
        <v>9.7100000000000009</v>
      </c>
      <c r="E152" s="5">
        <v>438.3</v>
      </c>
      <c r="F152" s="5">
        <v>458.2</v>
      </c>
      <c r="G152" s="6">
        <v>45411</v>
      </c>
      <c r="H152" s="5"/>
      <c r="I152" s="5"/>
      <c r="J152" s="5">
        <f t="shared" si="10"/>
        <v>19.899999999999977</v>
      </c>
      <c r="K152" s="8" t="b">
        <f t="shared" si="12"/>
        <v>1</v>
      </c>
    </row>
    <row r="153" spans="1:11">
      <c r="A153" s="5" t="s">
        <v>258</v>
      </c>
      <c r="B153" s="6">
        <v>45415</v>
      </c>
      <c r="C153" s="7">
        <v>0.8</v>
      </c>
      <c r="D153" s="5">
        <v>9.1</v>
      </c>
      <c r="E153" s="5">
        <v>458.2</v>
      </c>
      <c r="F153" s="5">
        <v>476.3</v>
      </c>
      <c r="G153" s="6">
        <v>45415</v>
      </c>
      <c r="H153" s="5"/>
      <c r="I153" s="5"/>
      <c r="J153" s="5">
        <f t="shared" si="10"/>
        <v>18.100000000000023</v>
      </c>
      <c r="K153" s="8" t="b">
        <f t="shared" si="12"/>
        <v>1</v>
      </c>
    </row>
    <row r="154" spans="1:11">
      <c r="A154" s="5" t="s">
        <v>258</v>
      </c>
      <c r="B154" s="6">
        <v>45418</v>
      </c>
      <c r="C154" s="7">
        <v>0.8</v>
      </c>
      <c r="D154" s="5">
        <v>9.1</v>
      </c>
      <c r="E154" s="5">
        <v>476.3</v>
      </c>
      <c r="F154" s="5">
        <v>494.5</v>
      </c>
      <c r="G154" s="6">
        <v>45418</v>
      </c>
      <c r="H154" s="5"/>
      <c r="I154" s="5"/>
      <c r="J154" s="5">
        <f t="shared" si="10"/>
        <v>18.199999999999989</v>
      </c>
      <c r="K154" s="8" t="b">
        <f t="shared" si="12"/>
        <v>1</v>
      </c>
    </row>
    <row r="155" spans="1:11">
      <c r="A155" s="5" t="s">
        <v>258</v>
      </c>
      <c r="B155" s="6">
        <v>45421</v>
      </c>
      <c r="C155" s="7">
        <v>0.8</v>
      </c>
      <c r="D155" s="5">
        <v>9.1</v>
      </c>
      <c r="E155" s="5">
        <v>494.5</v>
      </c>
      <c r="F155" s="5">
        <v>513</v>
      </c>
      <c r="G155" s="6">
        <v>45421</v>
      </c>
      <c r="H155" s="5"/>
      <c r="I155" s="5"/>
      <c r="J155" s="5">
        <f t="shared" si="10"/>
        <v>18.5</v>
      </c>
      <c r="K155" s="8" t="b">
        <f t="shared" si="12"/>
        <v>1</v>
      </c>
    </row>
    <row r="156" spans="1:11">
      <c r="A156" s="5" t="s">
        <v>258</v>
      </c>
      <c r="B156" s="6">
        <v>45425</v>
      </c>
      <c r="C156" s="7">
        <v>0.85</v>
      </c>
      <c r="D156" s="5">
        <v>7.49</v>
      </c>
      <c r="E156" s="5">
        <v>513</v>
      </c>
      <c r="F156" s="5">
        <v>530</v>
      </c>
      <c r="G156" s="6">
        <v>45425</v>
      </c>
      <c r="H156" s="5"/>
      <c r="I156" s="5"/>
      <c r="J156" s="5">
        <f t="shared" si="10"/>
        <v>17</v>
      </c>
      <c r="K156" s="8" t="b">
        <f t="shared" si="12"/>
        <v>1</v>
      </c>
    </row>
    <row r="157" spans="1:11">
      <c r="A157" s="5" t="s">
        <v>258</v>
      </c>
      <c r="B157" s="6">
        <v>45430</v>
      </c>
      <c r="C157" s="7">
        <v>1</v>
      </c>
      <c r="D157" s="5">
        <v>7.27</v>
      </c>
      <c r="E157" s="5">
        <v>530</v>
      </c>
      <c r="F157" s="5">
        <v>545.1</v>
      </c>
      <c r="G157" s="6">
        <v>45430</v>
      </c>
      <c r="H157" s="5"/>
      <c r="I157" s="5"/>
      <c r="J157" s="5">
        <f t="shared" si="10"/>
        <v>15.100000000000023</v>
      </c>
      <c r="K157" s="8" t="b">
        <f t="shared" si="12"/>
        <v>1</v>
      </c>
    </row>
    <row r="158" spans="1:11">
      <c r="A158" s="5" t="s">
        <v>261</v>
      </c>
      <c r="B158" s="6">
        <v>45434</v>
      </c>
      <c r="C158" s="7">
        <v>1</v>
      </c>
      <c r="D158" s="5">
        <v>7.27</v>
      </c>
      <c r="E158" s="5">
        <v>545.1</v>
      </c>
      <c r="F158" s="5">
        <v>552.6</v>
      </c>
      <c r="G158" s="6">
        <v>45434</v>
      </c>
      <c r="H158" s="5"/>
      <c r="I158" s="5"/>
      <c r="J158" s="5">
        <f t="shared" si="10"/>
        <v>7.5</v>
      </c>
      <c r="K158" s="8" t="b">
        <f t="shared" si="12"/>
        <v>1</v>
      </c>
    </row>
    <row r="159" spans="1:11">
      <c r="A159" s="5" t="s">
        <v>260</v>
      </c>
      <c r="B159" s="6">
        <v>45435</v>
      </c>
      <c r="C159" s="7">
        <v>1</v>
      </c>
      <c r="D159" s="5">
        <v>7.27</v>
      </c>
      <c r="E159" s="5">
        <v>552.6</v>
      </c>
      <c r="F159" s="5">
        <v>559.79999999999995</v>
      </c>
      <c r="G159" s="6">
        <v>45435</v>
      </c>
      <c r="H159" s="5"/>
      <c r="I159" s="5"/>
      <c r="J159" s="5">
        <f t="shared" si="10"/>
        <v>7.1999999999999318</v>
      </c>
      <c r="K159" s="8" t="b">
        <f t="shared" si="12"/>
        <v>1</v>
      </c>
    </row>
    <row r="160" spans="1:11">
      <c r="A160" s="5" t="s">
        <v>258</v>
      </c>
      <c r="B160" s="6">
        <v>45439</v>
      </c>
      <c r="C160" s="7">
        <v>1</v>
      </c>
      <c r="D160" s="5">
        <v>7.27</v>
      </c>
      <c r="E160" s="5">
        <v>559.79999999999995</v>
      </c>
      <c r="F160" s="5">
        <v>574.4</v>
      </c>
      <c r="G160" s="6">
        <v>45439</v>
      </c>
      <c r="H160" s="5"/>
      <c r="I160" s="5"/>
      <c r="J160" s="5">
        <f t="shared" si="10"/>
        <v>14.600000000000023</v>
      </c>
      <c r="K160" s="8" t="b">
        <f t="shared" si="12"/>
        <v>1</v>
      </c>
    </row>
    <row r="161" spans="1:11">
      <c r="A161" s="5" t="s">
        <v>258</v>
      </c>
      <c r="B161" s="6">
        <v>45442</v>
      </c>
      <c r="C161" s="7">
        <v>0.7</v>
      </c>
      <c r="D161" s="5">
        <v>10.39</v>
      </c>
      <c r="E161" s="5">
        <v>574.4</v>
      </c>
      <c r="F161" s="5">
        <v>594.79999999999995</v>
      </c>
      <c r="G161" s="6">
        <v>45442</v>
      </c>
      <c r="H161" s="5"/>
      <c r="I161" s="5"/>
      <c r="J161" s="5">
        <f t="shared" si="10"/>
        <v>20.399999999999977</v>
      </c>
      <c r="K161" s="8" t="b">
        <f t="shared" si="12"/>
        <v>1</v>
      </c>
    </row>
    <row r="162" spans="1:11">
      <c r="A162" s="5" t="s">
        <v>261</v>
      </c>
      <c r="B162" s="6">
        <v>45443</v>
      </c>
      <c r="C162" s="7">
        <v>0.7</v>
      </c>
      <c r="D162" s="5">
        <v>10.39</v>
      </c>
      <c r="E162" s="5">
        <v>594.79999999999995</v>
      </c>
      <c r="F162" s="5">
        <v>605</v>
      </c>
      <c r="G162" s="6">
        <v>45443</v>
      </c>
      <c r="H162" s="5"/>
      <c r="I162" s="5"/>
      <c r="J162" s="5">
        <f t="shared" si="10"/>
        <v>10.200000000000045</v>
      </c>
      <c r="K162" s="8" t="b">
        <f t="shared" si="12"/>
        <v>1</v>
      </c>
    </row>
    <row r="163" spans="1:11">
      <c r="A163" s="5" t="s">
        <v>265</v>
      </c>
      <c r="B163" s="6">
        <v>45447</v>
      </c>
      <c r="C163" s="7">
        <v>0.7</v>
      </c>
      <c r="D163" s="5">
        <v>10.39</v>
      </c>
      <c r="E163" s="5">
        <v>605</v>
      </c>
      <c r="F163" s="5">
        <v>610.4</v>
      </c>
      <c r="G163" s="6">
        <v>45447</v>
      </c>
      <c r="H163" s="5"/>
      <c r="I163" s="5"/>
      <c r="J163" s="5">
        <f t="shared" si="10"/>
        <v>5.3999999999999773</v>
      </c>
      <c r="K163" s="8" t="b">
        <f t="shared" si="12"/>
        <v>1</v>
      </c>
    </row>
    <row r="164" spans="1:11">
      <c r="A164" s="5" t="s">
        <v>260</v>
      </c>
      <c r="B164" s="6">
        <v>45447</v>
      </c>
      <c r="C164" s="7">
        <v>1</v>
      </c>
      <c r="D164" s="5">
        <v>7.27</v>
      </c>
      <c r="E164" s="5">
        <v>610.4</v>
      </c>
      <c r="F164" s="5">
        <v>618.5</v>
      </c>
      <c r="G164" s="6">
        <v>45447</v>
      </c>
      <c r="H164" s="5"/>
      <c r="I164" s="5"/>
      <c r="J164" s="5">
        <f t="shared" si="10"/>
        <v>8.1000000000000227</v>
      </c>
      <c r="K164" s="8" t="b">
        <f t="shared" si="12"/>
        <v>1</v>
      </c>
    </row>
    <row r="165" spans="1:11">
      <c r="A165" s="5" t="s">
        <v>259</v>
      </c>
      <c r="B165" s="6">
        <v>45452</v>
      </c>
      <c r="C165" s="7">
        <v>1</v>
      </c>
      <c r="D165" s="5">
        <v>7.27</v>
      </c>
      <c r="E165" s="5">
        <v>618.5</v>
      </c>
      <c r="F165" s="5">
        <v>622.5</v>
      </c>
      <c r="G165" s="6">
        <v>45452</v>
      </c>
      <c r="H165" s="5"/>
      <c r="I165" s="5"/>
      <c r="J165" s="5">
        <f t="shared" si="10"/>
        <v>4</v>
      </c>
      <c r="K165" s="8" t="b">
        <f t="shared" si="12"/>
        <v>1</v>
      </c>
    </row>
    <row r="166" spans="1:11">
      <c r="A166" s="5" t="s">
        <v>259</v>
      </c>
      <c r="B166" s="6">
        <v>45454</v>
      </c>
      <c r="C166" s="7">
        <v>0.8</v>
      </c>
      <c r="D166" s="5">
        <v>9.1</v>
      </c>
      <c r="E166" s="5">
        <v>622.5</v>
      </c>
      <c r="F166" s="5">
        <v>627.5</v>
      </c>
      <c r="G166" s="6">
        <v>45454</v>
      </c>
      <c r="H166" s="5"/>
      <c r="I166" s="5"/>
      <c r="J166" s="5">
        <f t="shared" si="10"/>
        <v>5</v>
      </c>
      <c r="K166" s="8" t="b">
        <f t="shared" ref="K166" si="13">E166=F165</f>
        <v>1</v>
      </c>
    </row>
    <row r="167" spans="1:11">
      <c r="A167" s="5"/>
      <c r="B167" s="6"/>
      <c r="C167" s="7"/>
      <c r="D167" s="5"/>
      <c r="E167" s="5"/>
      <c r="F167" s="5"/>
      <c r="G167" s="6"/>
      <c r="H167" s="5"/>
      <c r="I167" s="5"/>
      <c r="J167" s="5"/>
      <c r="K167" s="8"/>
    </row>
    <row r="168" spans="1:11" ht="26.25">
      <c r="A168" s="217" t="s">
        <v>256</v>
      </c>
      <c r="B168" s="218"/>
      <c r="C168" s="218"/>
      <c r="D168" s="218"/>
      <c r="E168" s="218"/>
      <c r="F168" s="218"/>
      <c r="G168" s="218"/>
      <c r="H168" s="218"/>
      <c r="I168" s="218"/>
      <c r="J168" s="218"/>
      <c r="K168" s="219"/>
    </row>
    <row r="169" spans="1:11" ht="26.25">
      <c r="A169" s="161" t="s">
        <v>269</v>
      </c>
      <c r="B169" s="220"/>
      <c r="C169" s="220"/>
      <c r="D169" s="220"/>
      <c r="E169" s="220"/>
      <c r="F169" s="220"/>
      <c r="G169" s="220"/>
      <c r="H169" s="220"/>
      <c r="I169" s="220"/>
      <c r="J169" s="220"/>
      <c r="K169" s="221"/>
    </row>
    <row r="170" spans="1:11" ht="15.75" thickBot="1"/>
    <row r="171" spans="1:11" ht="15.75" thickBot="1">
      <c r="A171" s="132" t="s">
        <v>2</v>
      </c>
      <c r="B171" s="133"/>
      <c r="C171" s="133"/>
      <c r="D171" s="133"/>
      <c r="E171" s="133"/>
      <c r="F171" s="133"/>
      <c r="G171" s="133"/>
      <c r="H171" s="133"/>
      <c r="I171" s="133"/>
      <c r="J171" s="133"/>
      <c r="K171" s="134"/>
    </row>
    <row r="173" spans="1:11" ht="19.5" thickBot="1">
      <c r="A173" s="1" t="s">
        <v>3</v>
      </c>
      <c r="B173" s="1"/>
      <c r="C173" s="1"/>
      <c r="D173" s="1"/>
      <c r="E173" s="1"/>
      <c r="F173" s="1"/>
      <c r="G173" s="1"/>
      <c r="H173" s="1"/>
      <c r="I173" s="1"/>
    </row>
    <row r="174" spans="1:11" ht="30.75" thickBot="1">
      <c r="A174" s="2" t="s">
        <v>4</v>
      </c>
      <c r="B174" s="3" t="s">
        <v>5</v>
      </c>
      <c r="C174" s="3" t="s">
        <v>6</v>
      </c>
      <c r="D174" s="3" t="s">
        <v>7</v>
      </c>
      <c r="E174" s="3" t="s">
        <v>8</v>
      </c>
      <c r="F174" s="3" t="s">
        <v>9</v>
      </c>
      <c r="G174" s="3" t="s">
        <v>10</v>
      </c>
      <c r="H174" s="3" t="s">
        <v>21</v>
      </c>
      <c r="I174" s="4" t="s">
        <v>22</v>
      </c>
      <c r="J174" s="4" t="s">
        <v>11</v>
      </c>
      <c r="K174" s="4" t="s">
        <v>12</v>
      </c>
    </row>
    <row r="175" spans="1:11">
      <c r="A175" s="5" t="s">
        <v>270</v>
      </c>
      <c r="B175" s="6">
        <v>45495</v>
      </c>
      <c r="C175" s="7">
        <v>0.5</v>
      </c>
      <c r="D175" s="5">
        <v>12.74</v>
      </c>
      <c r="E175" s="5">
        <v>627.5</v>
      </c>
      <c r="F175" s="5">
        <v>642.6</v>
      </c>
      <c r="G175" s="6">
        <v>45495</v>
      </c>
      <c r="H175" s="5"/>
      <c r="I175" s="5"/>
      <c r="J175" s="5">
        <f t="shared" ref="J175" si="14">F175-E175</f>
        <v>15.100000000000023</v>
      </c>
      <c r="K175" s="8" t="b">
        <f t="shared" ref="K175" si="15">E175=F174</f>
        <v>0</v>
      </c>
    </row>
    <row r="176" spans="1:11">
      <c r="A176" s="5" t="s">
        <v>270</v>
      </c>
      <c r="B176" s="6">
        <v>45496</v>
      </c>
      <c r="C176" s="7">
        <v>0.5</v>
      </c>
      <c r="D176" s="5">
        <v>12.74</v>
      </c>
      <c r="E176" s="5">
        <v>642.6</v>
      </c>
      <c r="F176" s="5">
        <v>657.5</v>
      </c>
      <c r="G176" s="6">
        <v>45496</v>
      </c>
      <c r="H176" s="5"/>
      <c r="I176" s="5"/>
      <c r="J176" s="5">
        <f t="shared" ref="J176:J227" si="16">F176-E176</f>
        <v>14.899999999999977</v>
      </c>
      <c r="K176" s="8" t="b">
        <f t="shared" ref="K176:K227" si="17">E176=F175</f>
        <v>1</v>
      </c>
    </row>
    <row r="177" spans="1:11">
      <c r="A177" s="5" t="s">
        <v>270</v>
      </c>
      <c r="B177" s="6">
        <v>45498</v>
      </c>
      <c r="C177" s="7">
        <v>0.6</v>
      </c>
      <c r="D177" s="5">
        <v>10.62</v>
      </c>
      <c r="E177" s="5">
        <v>657.5</v>
      </c>
      <c r="F177" s="5">
        <v>670.5</v>
      </c>
      <c r="G177" s="6">
        <v>45498</v>
      </c>
      <c r="H177" s="5"/>
      <c r="I177" s="5"/>
      <c r="J177" s="5">
        <f t="shared" si="16"/>
        <v>13</v>
      </c>
      <c r="K177" s="8" t="b">
        <f t="shared" si="17"/>
        <v>1</v>
      </c>
    </row>
    <row r="178" spans="1:11">
      <c r="A178" s="5" t="s">
        <v>270</v>
      </c>
      <c r="B178" s="6">
        <v>45499</v>
      </c>
      <c r="C178" s="7">
        <v>1</v>
      </c>
      <c r="D178" s="5">
        <v>6.37</v>
      </c>
      <c r="E178" s="5">
        <v>670.5</v>
      </c>
      <c r="F178" s="5">
        <v>678.7</v>
      </c>
      <c r="G178" s="6">
        <v>45499</v>
      </c>
      <c r="H178" s="5"/>
      <c r="I178" s="5"/>
      <c r="J178" s="5">
        <f t="shared" si="16"/>
        <v>8.2000000000000455</v>
      </c>
      <c r="K178" s="8" t="b">
        <f t="shared" si="17"/>
        <v>1</v>
      </c>
    </row>
    <row r="179" spans="1:11">
      <c r="A179" s="5" t="s">
        <v>270</v>
      </c>
      <c r="B179" s="6">
        <v>45503</v>
      </c>
      <c r="C179" s="7">
        <v>0.5</v>
      </c>
      <c r="D179" s="5">
        <v>12.74</v>
      </c>
      <c r="E179" s="5">
        <v>678.7</v>
      </c>
      <c r="F179" s="5">
        <v>693.2</v>
      </c>
      <c r="G179" s="6">
        <v>45503</v>
      </c>
      <c r="H179" s="5"/>
      <c r="I179" s="5"/>
      <c r="J179" s="5">
        <f t="shared" si="16"/>
        <v>14.5</v>
      </c>
      <c r="K179" s="8" t="b">
        <f t="shared" si="17"/>
        <v>1</v>
      </c>
    </row>
    <row r="180" spans="1:11">
      <c r="A180" s="5" t="s">
        <v>270</v>
      </c>
      <c r="B180" s="6"/>
      <c r="C180" s="7"/>
      <c r="D180" s="5"/>
      <c r="E180" s="5"/>
      <c r="F180" s="5"/>
      <c r="G180" s="6"/>
      <c r="H180" s="5"/>
      <c r="I180" s="5"/>
      <c r="J180" s="5">
        <f t="shared" si="16"/>
        <v>0</v>
      </c>
      <c r="K180" s="8" t="b">
        <f t="shared" si="17"/>
        <v>0</v>
      </c>
    </row>
    <row r="181" spans="1:11">
      <c r="A181" s="5" t="s">
        <v>270</v>
      </c>
      <c r="B181" s="6"/>
      <c r="C181" s="7"/>
      <c r="D181" s="5"/>
      <c r="E181" s="5"/>
      <c r="F181" s="5"/>
      <c r="G181" s="6"/>
      <c r="H181" s="5"/>
      <c r="I181" s="5"/>
      <c r="J181" s="5">
        <f t="shared" si="16"/>
        <v>0</v>
      </c>
      <c r="K181" s="8" t="b">
        <f t="shared" si="17"/>
        <v>1</v>
      </c>
    </row>
    <row r="182" spans="1:11">
      <c r="A182" s="5" t="s">
        <v>270</v>
      </c>
      <c r="B182" s="6"/>
      <c r="C182" s="7"/>
      <c r="D182" s="5"/>
      <c r="E182" s="5"/>
      <c r="F182" s="5"/>
      <c r="G182" s="6"/>
      <c r="H182" s="5"/>
      <c r="I182" s="5"/>
      <c r="J182" s="5">
        <f t="shared" si="16"/>
        <v>0</v>
      </c>
      <c r="K182" s="8" t="b">
        <f t="shared" si="17"/>
        <v>1</v>
      </c>
    </row>
    <row r="183" spans="1:11">
      <c r="A183" s="5" t="s">
        <v>270</v>
      </c>
      <c r="B183" s="6"/>
      <c r="C183" s="7"/>
      <c r="D183" s="5"/>
      <c r="E183" s="5"/>
      <c r="F183" s="5"/>
      <c r="G183" s="6"/>
      <c r="H183" s="5"/>
      <c r="I183" s="5"/>
      <c r="J183" s="5">
        <f t="shared" si="16"/>
        <v>0</v>
      </c>
      <c r="K183" s="8" t="b">
        <f t="shared" si="17"/>
        <v>1</v>
      </c>
    </row>
    <row r="184" spans="1:11">
      <c r="A184" s="5" t="s">
        <v>270</v>
      </c>
      <c r="B184" s="6"/>
      <c r="C184" s="7"/>
      <c r="D184" s="5"/>
      <c r="E184" s="5"/>
      <c r="F184" s="5"/>
      <c r="G184" s="6"/>
      <c r="H184" s="5"/>
      <c r="I184" s="5"/>
      <c r="J184" s="5">
        <f t="shared" si="16"/>
        <v>0</v>
      </c>
      <c r="K184" s="8" t="b">
        <f t="shared" si="17"/>
        <v>1</v>
      </c>
    </row>
    <row r="185" spans="1:11">
      <c r="A185" s="5" t="s">
        <v>270</v>
      </c>
      <c r="B185" s="6"/>
      <c r="C185" s="7"/>
      <c r="D185" s="5"/>
      <c r="E185" s="5"/>
      <c r="F185" s="5"/>
      <c r="G185" s="6"/>
      <c r="H185" s="5"/>
      <c r="I185" s="5"/>
      <c r="J185" s="5">
        <f t="shared" si="16"/>
        <v>0</v>
      </c>
      <c r="K185" s="8" t="b">
        <f t="shared" si="17"/>
        <v>1</v>
      </c>
    </row>
    <row r="186" spans="1:11">
      <c r="A186" s="5" t="s">
        <v>270</v>
      </c>
      <c r="B186" s="6"/>
      <c r="C186" s="7"/>
      <c r="D186" s="5"/>
      <c r="E186" s="5"/>
      <c r="F186" s="5"/>
      <c r="G186" s="6"/>
      <c r="H186" s="5"/>
      <c r="I186" s="5"/>
      <c r="J186" s="5">
        <f t="shared" si="16"/>
        <v>0</v>
      </c>
      <c r="K186" s="8" t="b">
        <f t="shared" si="17"/>
        <v>1</v>
      </c>
    </row>
    <row r="187" spans="1:11">
      <c r="A187" s="5" t="s">
        <v>270</v>
      </c>
      <c r="B187" s="6"/>
      <c r="C187" s="7"/>
      <c r="D187" s="5"/>
      <c r="E187" s="5"/>
      <c r="F187" s="5"/>
      <c r="G187" s="6"/>
      <c r="H187" s="5"/>
      <c r="I187" s="5"/>
      <c r="J187" s="5">
        <f t="shared" si="16"/>
        <v>0</v>
      </c>
      <c r="K187" s="8" t="b">
        <f t="shared" si="17"/>
        <v>1</v>
      </c>
    </row>
    <row r="188" spans="1:11">
      <c r="A188" s="5" t="s">
        <v>270</v>
      </c>
      <c r="B188" s="6"/>
      <c r="C188" s="7"/>
      <c r="D188" s="5"/>
      <c r="E188" s="5"/>
      <c r="F188" s="5"/>
      <c r="G188" s="6"/>
      <c r="H188" s="5"/>
      <c r="I188" s="5"/>
      <c r="J188" s="5">
        <f t="shared" si="16"/>
        <v>0</v>
      </c>
      <c r="K188" s="8" t="b">
        <f t="shared" si="17"/>
        <v>1</v>
      </c>
    </row>
    <row r="189" spans="1:11">
      <c r="A189" s="5" t="s">
        <v>270</v>
      </c>
      <c r="B189" s="6"/>
      <c r="C189" s="7"/>
      <c r="D189" s="5"/>
      <c r="E189" s="5"/>
      <c r="F189" s="5"/>
      <c r="G189" s="6"/>
      <c r="H189" s="5"/>
      <c r="I189" s="5"/>
      <c r="J189" s="5">
        <f t="shared" si="16"/>
        <v>0</v>
      </c>
      <c r="K189" s="8" t="b">
        <f t="shared" si="17"/>
        <v>1</v>
      </c>
    </row>
    <row r="190" spans="1:11">
      <c r="A190" s="5" t="s">
        <v>270</v>
      </c>
      <c r="B190" s="6"/>
      <c r="C190" s="7"/>
      <c r="D190" s="5"/>
      <c r="E190" s="5"/>
      <c r="F190" s="5"/>
      <c r="G190" s="6"/>
      <c r="H190" s="5"/>
      <c r="I190" s="5"/>
      <c r="J190" s="5">
        <f t="shared" si="16"/>
        <v>0</v>
      </c>
      <c r="K190" s="8" t="b">
        <f t="shared" si="17"/>
        <v>1</v>
      </c>
    </row>
    <row r="191" spans="1:11">
      <c r="A191" s="5" t="s">
        <v>270</v>
      </c>
      <c r="B191" s="6"/>
      <c r="C191" s="7"/>
      <c r="D191" s="5"/>
      <c r="E191" s="5"/>
      <c r="F191" s="5"/>
      <c r="G191" s="6"/>
      <c r="H191" s="5"/>
      <c r="I191" s="5"/>
      <c r="J191" s="5">
        <f t="shared" si="16"/>
        <v>0</v>
      </c>
      <c r="K191" s="8" t="b">
        <f t="shared" si="17"/>
        <v>1</v>
      </c>
    </row>
    <row r="192" spans="1:11">
      <c r="A192" s="5" t="s">
        <v>270</v>
      </c>
      <c r="B192" s="6"/>
      <c r="C192" s="7"/>
      <c r="D192" s="5"/>
      <c r="E192" s="5"/>
      <c r="F192" s="5"/>
      <c r="G192" s="6"/>
      <c r="H192" s="5"/>
      <c r="I192" s="5"/>
      <c r="J192" s="5">
        <f t="shared" si="16"/>
        <v>0</v>
      </c>
      <c r="K192" s="8" t="b">
        <f t="shared" si="17"/>
        <v>1</v>
      </c>
    </row>
    <row r="193" spans="1:11">
      <c r="A193" s="5" t="s">
        <v>270</v>
      </c>
      <c r="B193" s="6"/>
      <c r="C193" s="7"/>
      <c r="D193" s="5"/>
      <c r="E193" s="5"/>
      <c r="F193" s="5"/>
      <c r="G193" s="6"/>
      <c r="H193" s="5"/>
      <c r="I193" s="5"/>
      <c r="J193" s="5">
        <f t="shared" si="16"/>
        <v>0</v>
      </c>
      <c r="K193" s="8" t="b">
        <f t="shared" si="17"/>
        <v>1</v>
      </c>
    </row>
    <row r="194" spans="1:11">
      <c r="A194" s="5" t="s">
        <v>270</v>
      </c>
      <c r="B194" s="6"/>
      <c r="C194" s="7"/>
      <c r="D194" s="5"/>
      <c r="E194" s="5"/>
      <c r="F194" s="5"/>
      <c r="G194" s="6"/>
      <c r="H194" s="5"/>
      <c r="I194" s="5"/>
      <c r="J194" s="5">
        <f t="shared" si="16"/>
        <v>0</v>
      </c>
      <c r="K194" s="8" t="b">
        <f t="shared" si="17"/>
        <v>1</v>
      </c>
    </row>
    <row r="195" spans="1:11">
      <c r="A195" s="5" t="s">
        <v>270</v>
      </c>
      <c r="B195" s="6"/>
      <c r="C195" s="7"/>
      <c r="D195" s="5"/>
      <c r="E195" s="5"/>
      <c r="F195" s="5"/>
      <c r="G195" s="6"/>
      <c r="H195" s="5"/>
      <c r="I195" s="5"/>
      <c r="J195" s="5">
        <f t="shared" si="16"/>
        <v>0</v>
      </c>
      <c r="K195" s="8" t="b">
        <f t="shared" si="17"/>
        <v>1</v>
      </c>
    </row>
    <row r="196" spans="1:11">
      <c r="A196" s="5" t="s">
        <v>270</v>
      </c>
      <c r="B196" s="6"/>
      <c r="C196" s="7"/>
      <c r="D196" s="5"/>
      <c r="E196" s="5"/>
      <c r="F196" s="5"/>
      <c r="G196" s="6"/>
      <c r="H196" s="5"/>
      <c r="I196" s="5"/>
      <c r="J196" s="5">
        <f t="shared" si="16"/>
        <v>0</v>
      </c>
      <c r="K196" s="8" t="b">
        <f t="shared" si="17"/>
        <v>1</v>
      </c>
    </row>
    <row r="197" spans="1:11">
      <c r="A197" s="5" t="s">
        <v>270</v>
      </c>
      <c r="B197" s="6"/>
      <c r="C197" s="7"/>
      <c r="D197" s="5"/>
      <c r="E197" s="5"/>
      <c r="F197" s="5"/>
      <c r="G197" s="6"/>
      <c r="H197" s="5"/>
      <c r="I197" s="5"/>
      <c r="J197" s="5">
        <f t="shared" si="16"/>
        <v>0</v>
      </c>
      <c r="K197" s="8" t="b">
        <f t="shared" si="17"/>
        <v>1</v>
      </c>
    </row>
    <row r="198" spans="1:11">
      <c r="A198" s="5" t="s">
        <v>270</v>
      </c>
      <c r="B198" s="6"/>
      <c r="C198" s="7"/>
      <c r="D198" s="5"/>
      <c r="E198" s="5"/>
      <c r="F198" s="5"/>
      <c r="G198" s="6"/>
      <c r="H198" s="5"/>
      <c r="I198" s="5"/>
      <c r="J198" s="5">
        <f t="shared" si="16"/>
        <v>0</v>
      </c>
      <c r="K198" s="8" t="b">
        <f t="shared" si="17"/>
        <v>1</v>
      </c>
    </row>
    <row r="199" spans="1:11">
      <c r="A199" s="5" t="s">
        <v>270</v>
      </c>
      <c r="B199" s="6"/>
      <c r="C199" s="7"/>
      <c r="D199" s="5"/>
      <c r="E199" s="5"/>
      <c r="F199" s="5"/>
      <c r="G199" s="6"/>
      <c r="H199" s="5"/>
      <c r="I199" s="5"/>
      <c r="J199" s="5">
        <f t="shared" si="16"/>
        <v>0</v>
      </c>
      <c r="K199" s="8" t="b">
        <f t="shared" si="17"/>
        <v>1</v>
      </c>
    </row>
    <row r="200" spans="1:11">
      <c r="A200" s="5" t="s">
        <v>270</v>
      </c>
      <c r="B200" s="6"/>
      <c r="C200" s="7"/>
      <c r="D200" s="5"/>
      <c r="E200" s="5"/>
      <c r="F200" s="5"/>
      <c r="G200" s="6"/>
      <c r="H200" s="5"/>
      <c r="I200" s="5"/>
      <c r="J200" s="5">
        <f t="shared" si="16"/>
        <v>0</v>
      </c>
      <c r="K200" s="8" t="b">
        <f t="shared" si="17"/>
        <v>1</v>
      </c>
    </row>
    <row r="201" spans="1:11">
      <c r="A201" s="5" t="s">
        <v>270</v>
      </c>
      <c r="B201" s="6"/>
      <c r="C201" s="7"/>
      <c r="D201" s="5"/>
      <c r="E201" s="5"/>
      <c r="F201" s="5"/>
      <c r="G201" s="6"/>
      <c r="H201" s="5"/>
      <c r="I201" s="5"/>
      <c r="J201" s="5">
        <f t="shared" si="16"/>
        <v>0</v>
      </c>
      <c r="K201" s="8" t="b">
        <f t="shared" si="17"/>
        <v>1</v>
      </c>
    </row>
    <row r="202" spans="1:11">
      <c r="A202" s="5" t="s">
        <v>270</v>
      </c>
      <c r="B202" s="6"/>
      <c r="C202" s="7"/>
      <c r="D202" s="5"/>
      <c r="E202" s="5"/>
      <c r="F202" s="5"/>
      <c r="G202" s="6"/>
      <c r="H202" s="5"/>
      <c r="I202" s="5"/>
      <c r="J202" s="5">
        <f t="shared" si="16"/>
        <v>0</v>
      </c>
      <c r="K202" s="8" t="b">
        <f t="shared" si="17"/>
        <v>1</v>
      </c>
    </row>
    <row r="203" spans="1:11">
      <c r="A203" s="5" t="s">
        <v>270</v>
      </c>
      <c r="B203" s="6"/>
      <c r="C203" s="7"/>
      <c r="D203" s="5"/>
      <c r="E203" s="5"/>
      <c r="F203" s="5"/>
      <c r="G203" s="6"/>
      <c r="H203" s="5"/>
      <c r="I203" s="5"/>
      <c r="J203" s="5">
        <f t="shared" si="16"/>
        <v>0</v>
      </c>
      <c r="K203" s="8" t="b">
        <f t="shared" si="17"/>
        <v>1</v>
      </c>
    </row>
    <row r="204" spans="1:11">
      <c r="A204" s="5" t="s">
        <v>270</v>
      </c>
      <c r="B204" s="6"/>
      <c r="C204" s="7"/>
      <c r="D204" s="5"/>
      <c r="E204" s="5"/>
      <c r="F204" s="5"/>
      <c r="G204" s="6"/>
      <c r="H204" s="5"/>
      <c r="I204" s="5"/>
      <c r="J204" s="5">
        <f t="shared" si="16"/>
        <v>0</v>
      </c>
      <c r="K204" s="8" t="b">
        <f t="shared" si="17"/>
        <v>1</v>
      </c>
    </row>
    <row r="205" spans="1:11">
      <c r="A205" s="5" t="s">
        <v>270</v>
      </c>
      <c r="B205" s="6"/>
      <c r="C205" s="7"/>
      <c r="D205" s="5"/>
      <c r="E205" s="5"/>
      <c r="F205" s="5"/>
      <c r="G205" s="6"/>
      <c r="H205" s="5"/>
      <c r="I205" s="5"/>
      <c r="J205" s="5">
        <f t="shared" si="16"/>
        <v>0</v>
      </c>
      <c r="K205" s="8" t="b">
        <f t="shared" si="17"/>
        <v>1</v>
      </c>
    </row>
    <row r="206" spans="1:11">
      <c r="A206" s="5" t="s">
        <v>270</v>
      </c>
      <c r="B206" s="6"/>
      <c r="C206" s="7"/>
      <c r="D206" s="5"/>
      <c r="E206" s="5"/>
      <c r="F206" s="5"/>
      <c r="G206" s="6"/>
      <c r="H206" s="5"/>
      <c r="I206" s="5"/>
      <c r="J206" s="5">
        <f t="shared" si="16"/>
        <v>0</v>
      </c>
      <c r="K206" s="8" t="b">
        <f t="shared" si="17"/>
        <v>1</v>
      </c>
    </row>
    <row r="207" spans="1:11">
      <c r="A207" s="5" t="s">
        <v>270</v>
      </c>
      <c r="B207" s="6"/>
      <c r="C207" s="7"/>
      <c r="D207" s="5"/>
      <c r="E207" s="5"/>
      <c r="F207" s="5"/>
      <c r="G207" s="6"/>
      <c r="H207" s="5"/>
      <c r="I207" s="5"/>
      <c r="J207" s="5">
        <f t="shared" si="16"/>
        <v>0</v>
      </c>
      <c r="K207" s="8" t="b">
        <f t="shared" si="17"/>
        <v>1</v>
      </c>
    </row>
    <row r="208" spans="1:11">
      <c r="A208" s="5" t="s">
        <v>270</v>
      </c>
      <c r="B208" s="6"/>
      <c r="C208" s="7"/>
      <c r="D208" s="5"/>
      <c r="E208" s="5"/>
      <c r="F208" s="5"/>
      <c r="G208" s="6"/>
      <c r="H208" s="5"/>
      <c r="I208" s="5"/>
      <c r="J208" s="5">
        <f t="shared" si="16"/>
        <v>0</v>
      </c>
      <c r="K208" s="8" t="b">
        <f t="shared" si="17"/>
        <v>1</v>
      </c>
    </row>
    <row r="209" spans="1:11">
      <c r="A209" s="5" t="s">
        <v>270</v>
      </c>
      <c r="B209" s="6"/>
      <c r="C209" s="7"/>
      <c r="D209" s="5"/>
      <c r="E209" s="5"/>
      <c r="F209" s="5"/>
      <c r="G209" s="6"/>
      <c r="H209" s="5"/>
      <c r="I209" s="5"/>
      <c r="J209" s="5">
        <f t="shared" si="16"/>
        <v>0</v>
      </c>
      <c r="K209" s="8" t="b">
        <f t="shared" si="17"/>
        <v>1</v>
      </c>
    </row>
    <row r="210" spans="1:11">
      <c r="A210" s="5" t="s">
        <v>270</v>
      </c>
      <c r="B210" s="6"/>
      <c r="C210" s="7"/>
      <c r="D210" s="5"/>
      <c r="E210" s="5"/>
      <c r="F210" s="5"/>
      <c r="G210" s="6"/>
      <c r="H210" s="5"/>
      <c r="I210" s="5"/>
      <c r="J210" s="5">
        <f t="shared" si="16"/>
        <v>0</v>
      </c>
      <c r="K210" s="8" t="b">
        <f t="shared" si="17"/>
        <v>1</v>
      </c>
    </row>
    <row r="211" spans="1:11">
      <c r="A211" s="5" t="s">
        <v>270</v>
      </c>
      <c r="B211" s="6"/>
      <c r="C211" s="7"/>
      <c r="D211" s="5"/>
      <c r="E211" s="5"/>
      <c r="F211" s="5"/>
      <c r="G211" s="6"/>
      <c r="H211" s="5"/>
      <c r="I211" s="5"/>
      <c r="J211" s="5">
        <f t="shared" si="16"/>
        <v>0</v>
      </c>
      <c r="K211" s="8" t="b">
        <f t="shared" si="17"/>
        <v>1</v>
      </c>
    </row>
    <row r="212" spans="1:11">
      <c r="A212" s="5" t="s">
        <v>270</v>
      </c>
      <c r="B212" s="6"/>
      <c r="C212" s="7"/>
      <c r="D212" s="5"/>
      <c r="E212" s="5"/>
      <c r="F212" s="5"/>
      <c r="G212" s="6"/>
      <c r="H212" s="5"/>
      <c r="I212" s="5"/>
      <c r="J212" s="5">
        <f t="shared" si="16"/>
        <v>0</v>
      </c>
      <c r="K212" s="8" t="b">
        <f t="shared" si="17"/>
        <v>1</v>
      </c>
    </row>
    <row r="213" spans="1:11">
      <c r="A213" s="5" t="s">
        <v>270</v>
      </c>
      <c r="B213" s="6"/>
      <c r="C213" s="7"/>
      <c r="D213" s="5"/>
      <c r="E213" s="5"/>
      <c r="F213" s="5"/>
      <c r="G213" s="6"/>
      <c r="H213" s="5"/>
      <c r="I213" s="5"/>
      <c r="J213" s="5">
        <f t="shared" si="16"/>
        <v>0</v>
      </c>
      <c r="K213" s="8" t="b">
        <f t="shared" si="17"/>
        <v>1</v>
      </c>
    </row>
    <row r="214" spans="1:11">
      <c r="A214" s="5" t="s">
        <v>270</v>
      </c>
      <c r="B214" s="6"/>
      <c r="C214" s="7"/>
      <c r="D214" s="5"/>
      <c r="E214" s="5"/>
      <c r="F214" s="5"/>
      <c r="G214" s="6"/>
      <c r="H214" s="5"/>
      <c r="I214" s="5"/>
      <c r="J214" s="5">
        <f t="shared" si="16"/>
        <v>0</v>
      </c>
      <c r="K214" s="8" t="b">
        <f t="shared" si="17"/>
        <v>1</v>
      </c>
    </row>
    <row r="215" spans="1:11">
      <c r="A215" s="5" t="s">
        <v>270</v>
      </c>
      <c r="B215" s="6"/>
      <c r="C215" s="7"/>
      <c r="D215" s="5"/>
      <c r="E215" s="5"/>
      <c r="F215" s="5"/>
      <c r="G215" s="6"/>
      <c r="H215" s="5"/>
      <c r="I215" s="5"/>
      <c r="J215" s="5">
        <f t="shared" si="16"/>
        <v>0</v>
      </c>
      <c r="K215" s="8" t="b">
        <f t="shared" si="17"/>
        <v>1</v>
      </c>
    </row>
    <row r="216" spans="1:11">
      <c r="A216" s="5" t="s">
        <v>270</v>
      </c>
      <c r="B216" s="6"/>
      <c r="C216" s="7"/>
      <c r="D216" s="5"/>
      <c r="E216" s="5"/>
      <c r="F216" s="5"/>
      <c r="G216" s="6"/>
      <c r="H216" s="5"/>
      <c r="I216" s="5"/>
      <c r="J216" s="5">
        <f t="shared" si="16"/>
        <v>0</v>
      </c>
      <c r="K216" s="8" t="b">
        <f t="shared" si="17"/>
        <v>1</v>
      </c>
    </row>
    <row r="217" spans="1:11">
      <c r="A217" s="5" t="s">
        <v>270</v>
      </c>
      <c r="B217" s="6"/>
      <c r="C217" s="7"/>
      <c r="D217" s="5"/>
      <c r="E217" s="5"/>
      <c r="F217" s="5"/>
      <c r="G217" s="6"/>
      <c r="H217" s="5"/>
      <c r="I217" s="5"/>
      <c r="J217" s="5">
        <f t="shared" si="16"/>
        <v>0</v>
      </c>
      <c r="K217" s="8" t="b">
        <f t="shared" si="17"/>
        <v>1</v>
      </c>
    </row>
    <row r="218" spans="1:11">
      <c r="A218" s="5" t="s">
        <v>270</v>
      </c>
      <c r="B218" s="6"/>
      <c r="C218" s="7"/>
      <c r="D218" s="5"/>
      <c r="E218" s="5"/>
      <c r="F218" s="5"/>
      <c r="G218" s="6"/>
      <c r="H218" s="5"/>
      <c r="I218" s="5"/>
      <c r="J218" s="5">
        <f t="shared" si="16"/>
        <v>0</v>
      </c>
      <c r="K218" s="8" t="b">
        <f t="shared" si="17"/>
        <v>1</v>
      </c>
    </row>
    <row r="219" spans="1:11">
      <c r="A219" s="5" t="s">
        <v>270</v>
      </c>
      <c r="B219" s="6"/>
      <c r="C219" s="7"/>
      <c r="D219" s="5"/>
      <c r="E219" s="5"/>
      <c r="F219" s="5"/>
      <c r="G219" s="6"/>
      <c r="H219" s="5"/>
      <c r="I219" s="5"/>
      <c r="J219" s="5">
        <f t="shared" si="16"/>
        <v>0</v>
      </c>
      <c r="K219" s="8" t="b">
        <f t="shared" si="17"/>
        <v>1</v>
      </c>
    </row>
    <row r="220" spans="1:11">
      <c r="A220" s="5" t="s">
        <v>270</v>
      </c>
      <c r="B220" s="6"/>
      <c r="C220" s="7"/>
      <c r="D220" s="5"/>
      <c r="E220" s="5"/>
      <c r="F220" s="5"/>
      <c r="G220" s="6"/>
      <c r="H220" s="5"/>
      <c r="I220" s="5"/>
      <c r="J220" s="5">
        <f t="shared" si="16"/>
        <v>0</v>
      </c>
      <c r="K220" s="8" t="b">
        <f t="shared" si="17"/>
        <v>1</v>
      </c>
    </row>
    <row r="221" spans="1:11">
      <c r="A221" s="5" t="s">
        <v>270</v>
      </c>
      <c r="B221" s="6"/>
      <c r="C221" s="7"/>
      <c r="D221" s="5"/>
      <c r="E221" s="5"/>
      <c r="F221" s="5"/>
      <c r="G221" s="6"/>
      <c r="H221" s="5"/>
      <c r="I221" s="5"/>
      <c r="J221" s="5">
        <f t="shared" si="16"/>
        <v>0</v>
      </c>
      <c r="K221" s="8" t="b">
        <f t="shared" si="17"/>
        <v>1</v>
      </c>
    </row>
    <row r="222" spans="1:11">
      <c r="A222" s="5" t="s">
        <v>270</v>
      </c>
      <c r="B222" s="6"/>
      <c r="C222" s="7"/>
      <c r="D222" s="5"/>
      <c r="E222" s="5"/>
      <c r="F222" s="5"/>
      <c r="G222" s="6"/>
      <c r="H222" s="5"/>
      <c r="I222" s="5"/>
      <c r="J222" s="5">
        <f t="shared" si="16"/>
        <v>0</v>
      </c>
      <c r="K222" s="8" t="b">
        <f t="shared" si="17"/>
        <v>1</v>
      </c>
    </row>
    <row r="223" spans="1:11">
      <c r="A223" s="5" t="s">
        <v>270</v>
      </c>
      <c r="B223" s="6"/>
      <c r="C223" s="7"/>
      <c r="D223" s="5"/>
      <c r="E223" s="5"/>
      <c r="F223" s="5"/>
      <c r="G223" s="6"/>
      <c r="H223" s="5"/>
      <c r="I223" s="5"/>
      <c r="J223" s="5">
        <f t="shared" si="16"/>
        <v>0</v>
      </c>
      <c r="K223" s="8" t="b">
        <f t="shared" si="17"/>
        <v>1</v>
      </c>
    </row>
    <row r="224" spans="1:11">
      <c r="A224" s="5" t="s">
        <v>270</v>
      </c>
      <c r="B224" s="6"/>
      <c r="C224" s="7"/>
      <c r="D224" s="5"/>
      <c r="E224" s="5"/>
      <c r="F224" s="5"/>
      <c r="G224" s="6"/>
      <c r="H224" s="5"/>
      <c r="I224" s="5"/>
      <c r="J224" s="5">
        <f t="shared" si="16"/>
        <v>0</v>
      </c>
      <c r="K224" s="8" t="b">
        <f t="shared" si="17"/>
        <v>1</v>
      </c>
    </row>
    <row r="225" spans="1:11">
      <c r="A225" s="5" t="s">
        <v>270</v>
      </c>
      <c r="B225" s="6"/>
      <c r="C225" s="7"/>
      <c r="D225" s="5"/>
      <c r="E225" s="5"/>
      <c r="F225" s="5"/>
      <c r="G225" s="6"/>
      <c r="H225" s="5"/>
      <c r="I225" s="5"/>
      <c r="J225" s="5">
        <f t="shared" si="16"/>
        <v>0</v>
      </c>
      <c r="K225" s="8" t="b">
        <f t="shared" si="17"/>
        <v>1</v>
      </c>
    </row>
    <row r="226" spans="1:11">
      <c r="A226" s="5" t="s">
        <v>270</v>
      </c>
      <c r="B226" s="6"/>
      <c r="C226" s="7"/>
      <c r="D226" s="5"/>
      <c r="E226" s="5"/>
      <c r="F226" s="5"/>
      <c r="G226" s="6"/>
      <c r="H226" s="5"/>
      <c r="I226" s="5"/>
      <c r="J226" s="5">
        <f t="shared" si="16"/>
        <v>0</v>
      </c>
      <c r="K226" s="8" t="b">
        <f t="shared" si="17"/>
        <v>1</v>
      </c>
    </row>
    <row r="227" spans="1:11">
      <c r="A227" s="5" t="s">
        <v>270</v>
      </c>
      <c r="B227" s="6"/>
      <c r="C227" s="7"/>
      <c r="D227" s="5"/>
      <c r="E227" s="5"/>
      <c r="F227" s="5"/>
      <c r="G227" s="6"/>
      <c r="H227" s="5"/>
      <c r="I227" s="5"/>
      <c r="J227" s="5">
        <f t="shared" si="16"/>
        <v>0</v>
      </c>
      <c r="K227" s="8" t="b">
        <f t="shared" si="17"/>
        <v>1</v>
      </c>
    </row>
  </sheetData>
  <mergeCells count="15">
    <mergeCell ref="A168:K168"/>
    <mergeCell ref="A169:K169"/>
    <mergeCell ref="A171:K171"/>
    <mergeCell ref="A114:K114"/>
    <mergeCell ref="A115:K115"/>
    <mergeCell ref="A117:K117"/>
    <mergeCell ref="A48:K48"/>
    <mergeCell ref="A49:K49"/>
    <mergeCell ref="A51:K51"/>
    <mergeCell ref="A14:K14"/>
    <mergeCell ref="A1:K1"/>
    <mergeCell ref="A2:K2"/>
    <mergeCell ref="A4:K4"/>
    <mergeCell ref="A11:K11"/>
    <mergeCell ref="A12:K12"/>
  </mergeCells>
  <conditionalFormatting sqref="K1:K9 K11:K1048576">
    <cfRule type="containsText" dxfId="49" priority="1" operator="containsText" text="FALSO">
      <formula>NOT(ISERROR(SEARCH("FALSO",K1)))</formula>
    </cfRule>
    <cfRule type="containsText" dxfId="48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7A91-05BD-45CA-8A76-99A02246C353}">
  <sheetPr codeName="Planilha25"/>
  <dimension ref="A1:K241"/>
  <sheetViews>
    <sheetView topLeftCell="A188" workbookViewId="0">
      <selection activeCell="E226" sqref="E226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93" t="s">
        <v>271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272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273</v>
      </c>
      <c r="B8" s="6">
        <v>44741</v>
      </c>
      <c r="C8" s="7">
        <v>0.7</v>
      </c>
      <c r="D8" s="5"/>
      <c r="E8" s="5">
        <v>457.7</v>
      </c>
      <c r="F8" s="5">
        <v>475.2</v>
      </c>
      <c r="G8" s="6">
        <v>44771</v>
      </c>
      <c r="H8" s="5"/>
      <c r="I8" s="5"/>
      <c r="J8" s="5">
        <f>F8-E8</f>
        <v>17.5</v>
      </c>
      <c r="K8" s="8" t="b">
        <f>E8=F8</f>
        <v>0</v>
      </c>
    </row>
    <row r="9" spans="1:11">
      <c r="A9" s="5" t="s">
        <v>273</v>
      </c>
      <c r="B9" s="6">
        <v>44774</v>
      </c>
      <c r="C9" s="7">
        <v>0.9</v>
      </c>
      <c r="D9" s="5"/>
      <c r="E9" s="5">
        <v>475.2</v>
      </c>
      <c r="F9" s="5">
        <v>502.1</v>
      </c>
      <c r="G9" s="6">
        <v>44774</v>
      </c>
      <c r="H9" s="5"/>
      <c r="I9" s="5"/>
      <c r="J9" s="5">
        <f>F9-E9</f>
        <v>26.900000000000034</v>
      </c>
      <c r="K9" s="8" t="b">
        <f>E9=F8</f>
        <v>1</v>
      </c>
    </row>
    <row r="10" spans="1:11">
      <c r="A10" s="5" t="s">
        <v>273</v>
      </c>
      <c r="B10" s="6">
        <v>44776</v>
      </c>
      <c r="C10" s="7">
        <v>0.9</v>
      </c>
      <c r="D10" s="5"/>
      <c r="E10" s="5">
        <v>502.1</v>
      </c>
      <c r="F10" s="5">
        <v>531.5</v>
      </c>
      <c r="G10" s="6">
        <v>44776</v>
      </c>
      <c r="H10" s="5"/>
      <c r="I10" s="5"/>
      <c r="J10" s="5">
        <f>F10-E10</f>
        <v>29.399999999999977</v>
      </c>
      <c r="K10" s="8" t="b">
        <f t="shared" ref="K10:K37" si="0">E10=F9</f>
        <v>1</v>
      </c>
    </row>
    <row r="11" spans="1:11">
      <c r="A11" s="5" t="s">
        <v>273</v>
      </c>
      <c r="B11" s="6">
        <v>44778</v>
      </c>
      <c r="C11" s="7">
        <v>0.7</v>
      </c>
      <c r="D11" s="5"/>
      <c r="E11" s="5">
        <v>531.5</v>
      </c>
      <c r="F11" s="5">
        <v>552.6</v>
      </c>
      <c r="G11" s="6">
        <v>44778</v>
      </c>
      <c r="H11" s="5"/>
      <c r="I11" s="5"/>
      <c r="J11" s="5">
        <f t="shared" ref="J11:J28" si="1">F11-E11</f>
        <v>21.100000000000023</v>
      </c>
      <c r="K11" s="8" t="b">
        <f t="shared" si="0"/>
        <v>1</v>
      </c>
    </row>
    <row r="12" spans="1:11">
      <c r="A12" s="5" t="s">
        <v>273</v>
      </c>
      <c r="B12" s="6">
        <v>44780</v>
      </c>
      <c r="C12" s="7">
        <v>0.9</v>
      </c>
      <c r="D12" s="5"/>
      <c r="E12" s="5">
        <v>552.6</v>
      </c>
      <c r="F12" s="5">
        <v>568</v>
      </c>
      <c r="G12" s="6">
        <v>44780</v>
      </c>
      <c r="H12" s="5"/>
      <c r="I12" s="5"/>
      <c r="J12" s="5">
        <f t="shared" si="1"/>
        <v>15.399999999999977</v>
      </c>
      <c r="K12" s="8" t="b">
        <f t="shared" si="0"/>
        <v>1</v>
      </c>
    </row>
    <row r="13" spans="1:11">
      <c r="A13" s="5" t="s">
        <v>273</v>
      </c>
      <c r="B13" s="6">
        <v>44782</v>
      </c>
      <c r="C13" s="7">
        <v>0.8</v>
      </c>
      <c r="D13" s="5"/>
      <c r="E13" s="5">
        <v>568</v>
      </c>
      <c r="F13" s="5">
        <v>585.29999999999995</v>
      </c>
      <c r="G13" s="6">
        <v>44782</v>
      </c>
      <c r="H13" s="5"/>
      <c r="I13" s="5"/>
      <c r="J13" s="5">
        <f t="shared" si="1"/>
        <v>17.299999999999955</v>
      </c>
      <c r="K13" s="8" t="b">
        <f t="shared" si="0"/>
        <v>1</v>
      </c>
    </row>
    <row r="14" spans="1:11">
      <c r="A14" s="5" t="s">
        <v>273</v>
      </c>
      <c r="B14" s="6">
        <v>44784</v>
      </c>
      <c r="C14" s="7">
        <v>0.8</v>
      </c>
      <c r="D14" s="5"/>
      <c r="E14" s="5">
        <v>585.29999999999995</v>
      </c>
      <c r="F14" s="5">
        <v>603.29999999999995</v>
      </c>
      <c r="G14" s="6">
        <v>44784</v>
      </c>
      <c r="H14" s="5"/>
      <c r="I14" s="5"/>
      <c r="J14" s="5">
        <f t="shared" si="1"/>
        <v>18</v>
      </c>
      <c r="K14" s="8" t="b">
        <f t="shared" si="0"/>
        <v>1</v>
      </c>
    </row>
    <row r="15" spans="1:11">
      <c r="A15" s="5" t="s">
        <v>273</v>
      </c>
      <c r="B15" s="6">
        <v>44786</v>
      </c>
      <c r="C15" s="7">
        <v>0.8</v>
      </c>
      <c r="D15" s="5"/>
      <c r="E15" s="5">
        <v>603.29999999999995</v>
      </c>
      <c r="F15" s="5">
        <v>621.70000000000005</v>
      </c>
      <c r="G15" s="6">
        <v>44786</v>
      </c>
      <c r="H15" s="5"/>
      <c r="I15" s="5"/>
      <c r="J15" s="5">
        <f t="shared" si="1"/>
        <v>18.400000000000091</v>
      </c>
      <c r="K15" s="8" t="b">
        <f t="shared" si="0"/>
        <v>1</v>
      </c>
    </row>
    <row r="16" spans="1:11">
      <c r="A16" s="5" t="s">
        <v>273</v>
      </c>
      <c r="B16" s="6">
        <v>44790</v>
      </c>
      <c r="C16" s="7">
        <v>0.8</v>
      </c>
      <c r="D16" s="5"/>
      <c r="E16" s="5">
        <v>621.70000000000005</v>
      </c>
      <c r="F16" s="5">
        <v>640.20000000000005</v>
      </c>
      <c r="G16" s="6">
        <v>44790</v>
      </c>
      <c r="H16" s="5"/>
      <c r="I16" s="5"/>
      <c r="J16" s="5">
        <f t="shared" si="1"/>
        <v>18.5</v>
      </c>
      <c r="K16" s="8" t="b">
        <f t="shared" si="0"/>
        <v>1</v>
      </c>
    </row>
    <row r="17" spans="1:11">
      <c r="A17" s="5" t="s">
        <v>273</v>
      </c>
      <c r="B17" s="6">
        <v>44791</v>
      </c>
      <c r="C17" s="7">
        <v>0.7</v>
      </c>
      <c r="D17" s="5"/>
      <c r="E17" s="5">
        <v>640.20000000000005</v>
      </c>
      <c r="F17" s="5">
        <v>659.6</v>
      </c>
      <c r="G17" s="6">
        <v>44791</v>
      </c>
      <c r="H17" s="5"/>
      <c r="I17" s="5"/>
      <c r="J17" s="5">
        <f t="shared" si="1"/>
        <v>19.399999999999977</v>
      </c>
      <c r="K17" s="8" t="b">
        <f t="shared" si="0"/>
        <v>1</v>
      </c>
    </row>
    <row r="18" spans="1:11">
      <c r="A18" s="5" t="s">
        <v>273</v>
      </c>
      <c r="B18" s="6">
        <v>44793</v>
      </c>
      <c r="C18" s="7">
        <v>0.7</v>
      </c>
      <c r="D18" s="5"/>
      <c r="E18" s="5">
        <v>659.6</v>
      </c>
      <c r="F18" s="5">
        <v>680.3</v>
      </c>
      <c r="G18" s="6">
        <v>44793</v>
      </c>
      <c r="H18" s="5"/>
      <c r="I18" s="5"/>
      <c r="J18" s="5">
        <f t="shared" si="1"/>
        <v>20.699999999999932</v>
      </c>
      <c r="K18" s="8" t="b">
        <f t="shared" si="0"/>
        <v>1</v>
      </c>
    </row>
    <row r="19" spans="1:11">
      <c r="A19" s="5" t="s">
        <v>273</v>
      </c>
      <c r="B19" s="6">
        <v>44795</v>
      </c>
      <c r="C19" s="7">
        <v>0.7</v>
      </c>
      <c r="D19" s="5"/>
      <c r="E19" s="5">
        <v>680.3</v>
      </c>
      <c r="F19" s="5">
        <v>700.4</v>
      </c>
      <c r="G19" s="6">
        <v>44795</v>
      </c>
      <c r="H19" s="5"/>
      <c r="I19" s="5"/>
      <c r="J19" s="5">
        <f t="shared" si="1"/>
        <v>20.100000000000023</v>
      </c>
      <c r="K19" s="8" t="b">
        <f t="shared" si="0"/>
        <v>1</v>
      </c>
    </row>
    <row r="20" spans="1:11">
      <c r="A20" s="5" t="s">
        <v>273</v>
      </c>
      <c r="B20" s="6">
        <v>44797</v>
      </c>
      <c r="C20" s="7">
        <v>0.7</v>
      </c>
      <c r="D20" s="5"/>
      <c r="E20" s="5">
        <v>700.4</v>
      </c>
      <c r="F20" s="5">
        <v>720.9</v>
      </c>
      <c r="G20" s="6">
        <v>44797</v>
      </c>
      <c r="H20" s="5"/>
      <c r="I20" s="5"/>
      <c r="J20" s="5">
        <f t="shared" si="1"/>
        <v>20.5</v>
      </c>
      <c r="K20" s="8" t="b">
        <f t="shared" si="0"/>
        <v>1</v>
      </c>
    </row>
    <row r="21" spans="1:11">
      <c r="A21" s="5" t="s">
        <v>273</v>
      </c>
      <c r="B21" s="6">
        <v>44799</v>
      </c>
      <c r="C21" s="7">
        <v>0.7</v>
      </c>
      <c r="D21" s="5"/>
      <c r="E21" s="5">
        <v>720.9</v>
      </c>
      <c r="F21" s="5">
        <v>741.6</v>
      </c>
      <c r="G21" s="6">
        <v>44799</v>
      </c>
      <c r="H21" s="5"/>
      <c r="I21" s="5"/>
      <c r="J21" s="5">
        <f t="shared" si="1"/>
        <v>20.700000000000045</v>
      </c>
      <c r="K21" s="8" t="b">
        <f t="shared" si="0"/>
        <v>1</v>
      </c>
    </row>
    <row r="22" spans="1:11">
      <c r="A22" s="5" t="s">
        <v>273</v>
      </c>
      <c r="B22" s="6">
        <v>44801</v>
      </c>
      <c r="C22" s="7">
        <v>0.7</v>
      </c>
      <c r="D22" s="5"/>
      <c r="E22" s="5">
        <v>741.6</v>
      </c>
      <c r="F22" s="5">
        <v>762.3</v>
      </c>
      <c r="G22" s="6">
        <v>44801</v>
      </c>
      <c r="H22" s="5"/>
      <c r="I22" s="5"/>
      <c r="J22" s="5">
        <f t="shared" si="1"/>
        <v>20.699999999999932</v>
      </c>
      <c r="K22" s="8" t="b">
        <f t="shared" si="0"/>
        <v>1</v>
      </c>
    </row>
    <row r="23" spans="1:11">
      <c r="A23" s="5" t="s">
        <v>273</v>
      </c>
      <c r="B23" s="6">
        <v>44803</v>
      </c>
      <c r="C23" s="7">
        <v>0.7</v>
      </c>
      <c r="D23" s="5"/>
      <c r="E23" s="5">
        <v>762.3</v>
      </c>
      <c r="F23" s="5">
        <v>783.3</v>
      </c>
      <c r="G23" s="6">
        <v>44803</v>
      </c>
      <c r="H23" s="5"/>
      <c r="I23" s="5"/>
      <c r="J23" s="5">
        <f t="shared" si="1"/>
        <v>21</v>
      </c>
      <c r="K23" s="8" t="b">
        <f t="shared" si="0"/>
        <v>1</v>
      </c>
    </row>
    <row r="24" spans="1:11">
      <c r="A24" s="5" t="s">
        <v>273</v>
      </c>
      <c r="B24" s="6">
        <v>44804</v>
      </c>
      <c r="C24" s="7">
        <v>1</v>
      </c>
      <c r="D24" s="5"/>
      <c r="E24" s="5">
        <v>783.3</v>
      </c>
      <c r="F24" s="5">
        <v>796.4</v>
      </c>
      <c r="G24" s="6">
        <v>44804</v>
      </c>
      <c r="H24" s="5"/>
      <c r="I24" s="5"/>
      <c r="J24" s="5">
        <f t="shared" si="1"/>
        <v>13.100000000000023</v>
      </c>
      <c r="K24" s="8" t="b">
        <f t="shared" si="0"/>
        <v>1</v>
      </c>
    </row>
    <row r="25" spans="1:11">
      <c r="A25" s="5" t="s">
        <v>273</v>
      </c>
      <c r="B25" s="6">
        <v>44806</v>
      </c>
      <c r="C25" s="7">
        <v>1</v>
      </c>
      <c r="D25" s="5"/>
      <c r="E25" s="5">
        <v>796.4</v>
      </c>
      <c r="F25" s="5">
        <v>811.3</v>
      </c>
      <c r="G25" s="6">
        <v>44806</v>
      </c>
      <c r="H25" s="5"/>
      <c r="I25" s="5"/>
      <c r="J25" s="5">
        <f t="shared" si="1"/>
        <v>14.899999999999977</v>
      </c>
      <c r="K25" s="8" t="b">
        <f t="shared" si="0"/>
        <v>1</v>
      </c>
    </row>
    <row r="26" spans="1:11">
      <c r="A26" s="5" t="s">
        <v>273</v>
      </c>
      <c r="B26" s="6">
        <v>44807</v>
      </c>
      <c r="C26" s="7">
        <v>0.7</v>
      </c>
      <c r="D26" s="5"/>
      <c r="E26" s="5">
        <v>811.3</v>
      </c>
      <c r="F26" s="5">
        <v>831.3</v>
      </c>
      <c r="G26" s="6">
        <v>44807</v>
      </c>
      <c r="H26" s="5"/>
      <c r="I26" s="5"/>
      <c r="J26" s="5">
        <f t="shared" si="1"/>
        <v>20</v>
      </c>
      <c r="K26" s="8" t="b">
        <f t="shared" si="0"/>
        <v>1</v>
      </c>
    </row>
    <row r="27" spans="1:11">
      <c r="A27" s="5" t="s">
        <v>273</v>
      </c>
      <c r="B27" s="6">
        <v>44811</v>
      </c>
      <c r="C27" s="7">
        <v>0.7</v>
      </c>
      <c r="D27" s="5"/>
      <c r="E27" s="5">
        <v>831.3</v>
      </c>
      <c r="F27" s="5">
        <v>851.8</v>
      </c>
      <c r="G27" s="6">
        <v>44811</v>
      </c>
      <c r="H27" s="5"/>
      <c r="I27" s="5"/>
      <c r="J27" s="5">
        <f t="shared" si="1"/>
        <v>20.5</v>
      </c>
      <c r="K27" s="8" t="b">
        <f t="shared" si="0"/>
        <v>1</v>
      </c>
    </row>
    <row r="28" spans="1:11">
      <c r="A28" s="5" t="s">
        <v>273</v>
      </c>
      <c r="B28" s="6">
        <v>44814</v>
      </c>
      <c r="C28" s="7">
        <v>0.7</v>
      </c>
      <c r="D28" s="5"/>
      <c r="E28" s="5">
        <v>851.8</v>
      </c>
      <c r="F28" s="5">
        <v>872.4</v>
      </c>
      <c r="G28" s="6">
        <v>44814</v>
      </c>
      <c r="H28" s="5"/>
      <c r="I28" s="5"/>
      <c r="J28" s="5">
        <f t="shared" si="1"/>
        <v>20.600000000000023</v>
      </c>
      <c r="K28" s="8" t="b">
        <f t="shared" si="0"/>
        <v>1</v>
      </c>
    </row>
    <row r="29" spans="1:11">
      <c r="A29" s="5" t="s">
        <v>273</v>
      </c>
      <c r="B29" s="6">
        <v>44816</v>
      </c>
      <c r="C29" s="7">
        <v>0.7</v>
      </c>
      <c r="D29" s="5"/>
      <c r="E29" s="5">
        <v>872.4</v>
      </c>
      <c r="F29" s="5">
        <v>893</v>
      </c>
      <c r="G29" s="6">
        <v>44816</v>
      </c>
      <c r="H29" s="5"/>
      <c r="I29" s="5"/>
      <c r="J29" s="5">
        <f t="shared" ref="J29:J37" si="2">F29-E29</f>
        <v>20.600000000000023</v>
      </c>
      <c r="K29" s="8" t="b">
        <f t="shared" si="0"/>
        <v>1</v>
      </c>
    </row>
    <row r="30" spans="1:11">
      <c r="A30" s="5" t="s">
        <v>273</v>
      </c>
      <c r="B30" s="6">
        <v>44818</v>
      </c>
      <c r="C30" s="7">
        <v>0.7</v>
      </c>
      <c r="D30" s="5"/>
      <c r="E30" s="5">
        <v>893</v>
      </c>
      <c r="F30" s="5">
        <v>913.6</v>
      </c>
      <c r="G30" s="6">
        <v>44818</v>
      </c>
      <c r="H30" s="5"/>
      <c r="I30" s="5"/>
      <c r="J30" s="5">
        <f t="shared" si="2"/>
        <v>20.600000000000023</v>
      </c>
      <c r="K30" s="8" t="b">
        <f t="shared" si="0"/>
        <v>1</v>
      </c>
    </row>
    <row r="31" spans="1:11">
      <c r="A31" s="5" t="s">
        <v>273</v>
      </c>
      <c r="B31" s="6">
        <v>44819</v>
      </c>
      <c r="C31" s="7">
        <v>1</v>
      </c>
      <c r="D31" s="5"/>
      <c r="E31" s="5">
        <v>913.6</v>
      </c>
      <c r="F31" s="5">
        <v>928.3</v>
      </c>
      <c r="G31" s="6">
        <v>44819</v>
      </c>
      <c r="H31" s="5"/>
      <c r="I31" s="5"/>
      <c r="J31" s="5">
        <f t="shared" si="2"/>
        <v>14.699999999999932</v>
      </c>
      <c r="K31" s="8" t="b">
        <f t="shared" si="0"/>
        <v>1</v>
      </c>
    </row>
    <row r="32" spans="1:11">
      <c r="A32" s="5" t="s">
        <v>273</v>
      </c>
      <c r="B32" s="6">
        <v>44821</v>
      </c>
      <c r="C32" s="7">
        <v>0.7</v>
      </c>
      <c r="D32" s="5"/>
      <c r="E32" s="5">
        <v>928.3</v>
      </c>
      <c r="F32" s="5">
        <v>949.2</v>
      </c>
      <c r="G32" s="6">
        <v>44821</v>
      </c>
      <c r="H32" s="5"/>
      <c r="I32" s="5"/>
      <c r="J32" s="5">
        <f t="shared" si="2"/>
        <v>20.900000000000091</v>
      </c>
      <c r="K32" s="8" t="b">
        <f t="shared" si="0"/>
        <v>1</v>
      </c>
    </row>
    <row r="33" spans="1:11">
      <c r="A33" s="5" t="s">
        <v>273</v>
      </c>
      <c r="B33" s="6">
        <v>44823</v>
      </c>
      <c r="C33" s="7">
        <v>0.7</v>
      </c>
      <c r="D33" s="5"/>
      <c r="E33" s="5">
        <v>949.2</v>
      </c>
      <c r="F33" s="5">
        <v>969.8</v>
      </c>
      <c r="G33" s="6">
        <v>44823</v>
      </c>
      <c r="H33" s="5"/>
      <c r="I33" s="5"/>
      <c r="J33" s="5">
        <f t="shared" si="2"/>
        <v>20.599999999999909</v>
      </c>
      <c r="K33" s="8" t="b">
        <f t="shared" si="0"/>
        <v>1</v>
      </c>
    </row>
    <row r="34" spans="1:11">
      <c r="A34" s="5" t="s">
        <v>273</v>
      </c>
      <c r="B34" s="6">
        <v>44825</v>
      </c>
      <c r="C34" s="7">
        <v>0.7</v>
      </c>
      <c r="D34" s="5"/>
      <c r="E34" s="5">
        <v>969.8</v>
      </c>
      <c r="F34" s="5">
        <v>990.4</v>
      </c>
      <c r="G34" s="6">
        <v>44825</v>
      </c>
      <c r="H34" s="5"/>
      <c r="I34" s="5"/>
      <c r="J34" s="5">
        <f t="shared" si="2"/>
        <v>20.600000000000023</v>
      </c>
      <c r="K34" s="8" t="b">
        <f t="shared" si="0"/>
        <v>1</v>
      </c>
    </row>
    <row r="35" spans="1:11">
      <c r="A35" s="5" t="s">
        <v>273</v>
      </c>
      <c r="B35" s="6">
        <v>44828</v>
      </c>
      <c r="C35" s="7">
        <v>0.7</v>
      </c>
      <c r="D35" s="5"/>
      <c r="E35" s="5">
        <v>990.4</v>
      </c>
      <c r="F35" s="5">
        <v>1010.9</v>
      </c>
      <c r="G35" s="6">
        <v>44828</v>
      </c>
      <c r="H35" s="5"/>
      <c r="I35" s="5"/>
      <c r="J35" s="5">
        <f t="shared" si="2"/>
        <v>20.5</v>
      </c>
      <c r="K35" s="8" t="b">
        <f t="shared" si="0"/>
        <v>1</v>
      </c>
    </row>
    <row r="36" spans="1:11">
      <c r="A36" s="5" t="s">
        <v>273</v>
      </c>
      <c r="B36" s="6"/>
      <c r="C36" s="7"/>
      <c r="D36" s="5"/>
      <c r="E36" s="5"/>
      <c r="F36" s="5"/>
      <c r="G36" s="6"/>
      <c r="H36" s="5"/>
      <c r="I36" s="5"/>
      <c r="J36" s="5">
        <f t="shared" si="2"/>
        <v>0</v>
      </c>
      <c r="K36" s="8" t="b">
        <f t="shared" si="0"/>
        <v>0</v>
      </c>
    </row>
    <row r="37" spans="1:11">
      <c r="A37" s="5" t="s">
        <v>273</v>
      </c>
      <c r="B37" s="6"/>
      <c r="C37" s="7"/>
      <c r="D37" s="5"/>
      <c r="E37" s="5"/>
      <c r="F37" s="5"/>
      <c r="G37" s="6"/>
      <c r="H37" s="5"/>
      <c r="I37" s="5"/>
      <c r="J37" s="5">
        <f t="shared" si="2"/>
        <v>0</v>
      </c>
      <c r="K37" s="8" t="b">
        <f t="shared" si="0"/>
        <v>1</v>
      </c>
    </row>
    <row r="39" spans="1:11" ht="26.25">
      <c r="A39" s="126" t="s">
        <v>271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8"/>
    </row>
    <row r="40" spans="1:11" ht="26.25">
      <c r="A40" s="129" t="s">
        <v>17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1"/>
    </row>
    <row r="41" spans="1:11" ht="15.75" thickBot="1"/>
    <row r="42" spans="1:11" ht="15.75" thickBot="1">
      <c r="A42" s="132" t="s">
        <v>2</v>
      </c>
      <c r="B42" s="133"/>
      <c r="C42" s="133"/>
      <c r="D42" s="133"/>
      <c r="E42" s="133"/>
      <c r="F42" s="133"/>
      <c r="G42" s="133"/>
      <c r="H42" s="133"/>
      <c r="I42" s="133"/>
      <c r="J42" s="133"/>
      <c r="K42" s="134"/>
    </row>
    <row r="44" spans="1:11" ht="19.5" thickBot="1">
      <c r="A44" s="1" t="s">
        <v>3</v>
      </c>
      <c r="B44" s="1"/>
      <c r="C44" s="1"/>
      <c r="D44" s="1"/>
      <c r="E44" s="1"/>
      <c r="F44" s="1"/>
      <c r="G44" s="1"/>
      <c r="H44" s="1"/>
      <c r="I44" s="1"/>
    </row>
    <row r="45" spans="1:11" ht="30.75" thickBot="1">
      <c r="A45" s="2" t="s">
        <v>4</v>
      </c>
      <c r="B45" s="3" t="s">
        <v>5</v>
      </c>
      <c r="C45" s="3" t="s">
        <v>6</v>
      </c>
      <c r="D45" s="3" t="s">
        <v>7</v>
      </c>
      <c r="E45" s="3" t="s">
        <v>8</v>
      </c>
      <c r="F45" s="3" t="s">
        <v>9</v>
      </c>
      <c r="G45" s="3" t="s">
        <v>10</v>
      </c>
      <c r="H45" s="3" t="s">
        <v>21</v>
      </c>
      <c r="I45" s="4" t="s">
        <v>22</v>
      </c>
      <c r="J45" s="4" t="s">
        <v>11</v>
      </c>
      <c r="K45" s="4" t="s">
        <v>12</v>
      </c>
    </row>
    <row r="46" spans="1:11">
      <c r="A46" s="5" t="s">
        <v>273</v>
      </c>
      <c r="B46" s="6">
        <v>44902</v>
      </c>
      <c r="C46" s="7">
        <v>1</v>
      </c>
      <c r="D46" s="5">
        <v>7.26</v>
      </c>
      <c r="E46" s="5">
        <v>0</v>
      </c>
      <c r="F46" s="5">
        <v>15</v>
      </c>
      <c r="G46" s="6">
        <v>44902</v>
      </c>
      <c r="H46" s="5"/>
      <c r="I46" s="5"/>
      <c r="J46" s="5">
        <f>F46-E46</f>
        <v>15</v>
      </c>
      <c r="K46" s="8" t="b">
        <f>E46=F35</f>
        <v>0</v>
      </c>
    </row>
    <row r="47" spans="1:11">
      <c r="A47" s="5" t="s">
        <v>273</v>
      </c>
      <c r="B47" s="6">
        <v>44906</v>
      </c>
      <c r="C47" s="7">
        <v>1</v>
      </c>
      <c r="D47" s="5">
        <v>7.26</v>
      </c>
      <c r="E47" s="5">
        <v>15</v>
      </c>
      <c r="F47" s="5">
        <v>21.8</v>
      </c>
      <c r="G47" s="6">
        <v>44906</v>
      </c>
      <c r="H47" s="5"/>
      <c r="I47" s="5"/>
      <c r="J47" s="5">
        <f>F47-E47</f>
        <v>6.8000000000000007</v>
      </c>
      <c r="K47" s="8" t="b">
        <f>E47=F46</f>
        <v>1</v>
      </c>
    </row>
    <row r="48" spans="1:11">
      <c r="A48" s="5" t="s">
        <v>273</v>
      </c>
      <c r="B48" s="6">
        <v>44925</v>
      </c>
      <c r="C48" s="7">
        <v>1</v>
      </c>
      <c r="D48" s="5">
        <v>7.26</v>
      </c>
      <c r="E48" s="5">
        <v>21.8</v>
      </c>
      <c r="F48" s="5">
        <v>36.200000000000003</v>
      </c>
      <c r="G48" s="6">
        <v>44925</v>
      </c>
      <c r="H48" s="5"/>
      <c r="I48" s="5"/>
      <c r="J48" s="5">
        <f t="shared" ref="J48:J51" si="3">F48-E48</f>
        <v>14.400000000000002</v>
      </c>
      <c r="K48" s="8" t="b">
        <f t="shared" ref="K48:K51" si="4">E48=F47</f>
        <v>1</v>
      </c>
    </row>
    <row r="49" spans="1:11">
      <c r="A49" s="5" t="s">
        <v>273</v>
      </c>
      <c r="B49" s="6">
        <v>44943</v>
      </c>
      <c r="C49" s="7">
        <v>1</v>
      </c>
      <c r="D49" s="5">
        <v>7.26</v>
      </c>
      <c r="E49" s="5">
        <v>36.200000000000003</v>
      </c>
      <c r="F49" s="5">
        <v>43.2</v>
      </c>
      <c r="G49" s="6">
        <v>44943</v>
      </c>
      <c r="H49" s="5"/>
      <c r="I49" s="5"/>
      <c r="J49" s="5">
        <f t="shared" si="3"/>
        <v>7</v>
      </c>
      <c r="K49" s="8" t="b">
        <f t="shared" si="4"/>
        <v>1</v>
      </c>
    </row>
    <row r="50" spans="1:11">
      <c r="A50" s="5" t="s">
        <v>273</v>
      </c>
      <c r="B50" s="6">
        <v>44944</v>
      </c>
      <c r="C50" s="7">
        <v>1</v>
      </c>
      <c r="D50" s="5">
        <v>7.26</v>
      </c>
      <c r="E50" s="5">
        <v>43.2</v>
      </c>
      <c r="F50" s="5">
        <v>50.6</v>
      </c>
      <c r="G50" s="6">
        <v>44944</v>
      </c>
      <c r="H50" s="5"/>
      <c r="I50" s="5"/>
      <c r="J50" s="5">
        <f t="shared" si="3"/>
        <v>7.3999999999999986</v>
      </c>
      <c r="K50" s="8" t="b">
        <f t="shared" si="4"/>
        <v>1</v>
      </c>
    </row>
    <row r="51" spans="1:11">
      <c r="A51" s="5" t="s">
        <v>273</v>
      </c>
      <c r="B51" s="6">
        <v>44958</v>
      </c>
      <c r="C51" s="7">
        <v>0.7</v>
      </c>
      <c r="D51" s="5">
        <v>10.37</v>
      </c>
      <c r="E51" s="5">
        <v>50.6</v>
      </c>
      <c r="F51" s="5">
        <v>63.3</v>
      </c>
      <c r="G51" s="6">
        <v>44958</v>
      </c>
      <c r="H51" s="5"/>
      <c r="I51" s="5"/>
      <c r="J51" s="5">
        <f t="shared" si="3"/>
        <v>12.699999999999996</v>
      </c>
      <c r="K51" s="8" t="b">
        <f t="shared" si="4"/>
        <v>1</v>
      </c>
    </row>
    <row r="52" spans="1:11">
      <c r="A52" s="5" t="s">
        <v>273</v>
      </c>
      <c r="B52" s="6">
        <v>44963</v>
      </c>
      <c r="C52" s="7">
        <v>0.7</v>
      </c>
      <c r="D52" s="5">
        <v>10.37</v>
      </c>
      <c r="E52" s="5">
        <v>63.3</v>
      </c>
      <c r="F52" s="5">
        <v>84</v>
      </c>
      <c r="G52" s="6">
        <v>44963</v>
      </c>
      <c r="H52" s="5"/>
      <c r="I52" s="5"/>
      <c r="J52" s="5">
        <f t="shared" ref="J52:J61" si="5">F52-E52</f>
        <v>20.700000000000003</v>
      </c>
      <c r="K52" s="8" t="b">
        <f t="shared" ref="K52:K61" si="6">E52=F51</f>
        <v>1</v>
      </c>
    </row>
    <row r="53" spans="1:11">
      <c r="A53" s="5" t="s">
        <v>273</v>
      </c>
      <c r="B53" s="6">
        <v>44966</v>
      </c>
      <c r="C53" s="7">
        <v>0.7</v>
      </c>
      <c r="D53" s="5">
        <v>10.37</v>
      </c>
      <c r="E53" s="5">
        <v>84</v>
      </c>
      <c r="F53" s="5">
        <v>104.5</v>
      </c>
      <c r="G53" s="6">
        <v>44966</v>
      </c>
      <c r="H53" s="5"/>
      <c r="I53" s="5"/>
      <c r="J53" s="5">
        <f t="shared" si="5"/>
        <v>20.5</v>
      </c>
      <c r="K53" s="8" t="b">
        <f t="shared" si="6"/>
        <v>1</v>
      </c>
    </row>
    <row r="54" spans="1:11">
      <c r="A54" s="5" t="s">
        <v>273</v>
      </c>
      <c r="B54" s="6">
        <v>44968</v>
      </c>
      <c r="C54" s="7">
        <v>0.7</v>
      </c>
      <c r="D54" s="5">
        <v>10.37</v>
      </c>
      <c r="E54" s="5">
        <v>104.5</v>
      </c>
      <c r="F54" s="5">
        <v>124.3</v>
      </c>
      <c r="G54" s="6">
        <v>44968</v>
      </c>
      <c r="H54" s="5"/>
      <c r="I54" s="5"/>
      <c r="J54" s="5">
        <f t="shared" si="5"/>
        <v>19.799999999999997</v>
      </c>
      <c r="K54" s="8" t="b">
        <f t="shared" si="6"/>
        <v>1</v>
      </c>
    </row>
    <row r="55" spans="1:11">
      <c r="A55" s="5" t="s">
        <v>273</v>
      </c>
      <c r="B55" s="6">
        <v>44970</v>
      </c>
      <c r="C55" s="7">
        <v>0.7</v>
      </c>
      <c r="D55" s="5">
        <v>10.37</v>
      </c>
      <c r="E55" s="5">
        <v>124.3</v>
      </c>
      <c r="F55" s="5">
        <v>145.69999999999999</v>
      </c>
      <c r="G55" s="6">
        <v>44970</v>
      </c>
      <c r="H55" s="5"/>
      <c r="I55" s="5"/>
      <c r="J55" s="5">
        <f t="shared" si="5"/>
        <v>21.399999999999991</v>
      </c>
      <c r="K55" s="8" t="b">
        <f t="shared" si="6"/>
        <v>1</v>
      </c>
    </row>
    <row r="56" spans="1:11">
      <c r="A56" s="5" t="s">
        <v>273</v>
      </c>
      <c r="B56" s="6">
        <v>44972</v>
      </c>
      <c r="C56" s="7">
        <v>0.7</v>
      </c>
      <c r="D56" s="5">
        <v>10.37</v>
      </c>
      <c r="E56" s="5">
        <v>145.69999999999999</v>
      </c>
      <c r="F56" s="5">
        <v>180.5</v>
      </c>
      <c r="G56" s="6">
        <v>44972</v>
      </c>
      <c r="H56" s="5"/>
      <c r="I56" s="5"/>
      <c r="J56" s="5">
        <f t="shared" si="5"/>
        <v>34.800000000000011</v>
      </c>
      <c r="K56" s="8" t="b">
        <f t="shared" si="6"/>
        <v>1</v>
      </c>
    </row>
    <row r="57" spans="1:11">
      <c r="A57" s="5" t="s">
        <v>273</v>
      </c>
      <c r="B57" s="6">
        <v>44975</v>
      </c>
      <c r="C57" s="7">
        <v>0.7</v>
      </c>
      <c r="D57" s="5">
        <v>10.37</v>
      </c>
      <c r="E57" s="5">
        <v>180.5</v>
      </c>
      <c r="F57" s="5">
        <v>186.2</v>
      </c>
      <c r="G57" s="6">
        <v>44975</v>
      </c>
      <c r="H57" s="5"/>
      <c r="I57" s="5"/>
      <c r="J57" s="5">
        <f t="shared" si="5"/>
        <v>5.6999999999999886</v>
      </c>
      <c r="K57" s="8" t="b">
        <f t="shared" si="6"/>
        <v>1</v>
      </c>
    </row>
    <row r="58" spans="1:11">
      <c r="A58" s="5" t="s">
        <v>273</v>
      </c>
      <c r="B58" s="6">
        <v>44978</v>
      </c>
      <c r="C58" s="7">
        <v>0.7</v>
      </c>
      <c r="D58" s="5">
        <v>10.37</v>
      </c>
      <c r="E58" s="5">
        <v>186.2</v>
      </c>
      <c r="F58" s="5">
        <v>207.4</v>
      </c>
      <c r="G58" s="6">
        <v>44978</v>
      </c>
      <c r="H58" s="5"/>
      <c r="I58" s="5"/>
      <c r="J58" s="5">
        <f t="shared" si="5"/>
        <v>21.200000000000017</v>
      </c>
      <c r="K58" s="8" t="b">
        <f t="shared" si="6"/>
        <v>1</v>
      </c>
    </row>
    <row r="59" spans="1:11">
      <c r="A59" s="5" t="s">
        <v>273</v>
      </c>
      <c r="B59" s="6">
        <v>44985</v>
      </c>
      <c r="C59" s="7">
        <v>0.7</v>
      </c>
      <c r="D59" s="5">
        <v>10.37</v>
      </c>
      <c r="E59" s="5">
        <v>207.4</v>
      </c>
      <c r="F59" s="5">
        <v>228.6</v>
      </c>
      <c r="G59" s="6">
        <v>44985</v>
      </c>
      <c r="H59" s="5"/>
      <c r="I59" s="5"/>
      <c r="J59" s="5">
        <f t="shared" si="5"/>
        <v>21.199999999999989</v>
      </c>
      <c r="K59" s="8" t="b">
        <f t="shared" si="6"/>
        <v>1</v>
      </c>
    </row>
    <row r="60" spans="1:11">
      <c r="A60" s="5" t="s">
        <v>273</v>
      </c>
      <c r="B60" s="6">
        <v>44991</v>
      </c>
      <c r="C60" s="7">
        <v>0.6</v>
      </c>
      <c r="D60" s="5">
        <v>12.12</v>
      </c>
      <c r="E60" s="5">
        <v>228.6</v>
      </c>
      <c r="F60" s="5">
        <v>253</v>
      </c>
      <c r="G60" s="6">
        <v>44991</v>
      </c>
      <c r="H60" s="5"/>
      <c r="I60" s="5"/>
      <c r="J60" s="5">
        <f t="shared" si="5"/>
        <v>24.400000000000006</v>
      </c>
      <c r="K60" s="8" t="b">
        <f t="shared" si="6"/>
        <v>1</v>
      </c>
    </row>
    <row r="61" spans="1:11">
      <c r="A61" s="5" t="s">
        <v>273</v>
      </c>
      <c r="B61" s="6">
        <v>44994</v>
      </c>
      <c r="C61" s="7">
        <v>0.6</v>
      </c>
      <c r="D61" s="5">
        <v>12.12</v>
      </c>
      <c r="E61" s="5">
        <v>253</v>
      </c>
      <c r="F61" s="5">
        <v>276.7</v>
      </c>
      <c r="G61" s="6">
        <v>44994</v>
      </c>
      <c r="H61" s="5"/>
      <c r="I61" s="5"/>
      <c r="J61" s="5">
        <f t="shared" si="5"/>
        <v>23.699999999999989</v>
      </c>
      <c r="K61" s="8" t="b">
        <f t="shared" si="6"/>
        <v>1</v>
      </c>
    </row>
    <row r="62" spans="1:11">
      <c r="A62" s="5" t="s">
        <v>273</v>
      </c>
      <c r="B62" s="6">
        <v>44998</v>
      </c>
      <c r="C62" s="7">
        <v>0.6</v>
      </c>
      <c r="D62" s="5">
        <v>12.12</v>
      </c>
      <c r="E62" s="5">
        <v>276.7</v>
      </c>
      <c r="F62" s="5">
        <v>301.39999999999998</v>
      </c>
      <c r="G62" s="6">
        <v>44998</v>
      </c>
      <c r="H62" s="5"/>
      <c r="I62" s="5"/>
      <c r="J62" s="5">
        <f t="shared" ref="J62:J71" si="7">F62-E62</f>
        <v>24.699999999999989</v>
      </c>
      <c r="K62" s="8" t="b">
        <f t="shared" ref="K62:K71" si="8">E62=F61</f>
        <v>1</v>
      </c>
    </row>
    <row r="63" spans="1:11">
      <c r="A63" s="5" t="s">
        <v>273</v>
      </c>
      <c r="B63" s="6">
        <v>45003</v>
      </c>
      <c r="C63" s="7">
        <v>0.6</v>
      </c>
      <c r="D63" s="5">
        <v>12.12</v>
      </c>
      <c r="E63" s="5">
        <v>301</v>
      </c>
      <c r="F63" s="5">
        <v>326</v>
      </c>
      <c r="G63" s="6">
        <v>45004</v>
      </c>
      <c r="H63" s="5"/>
      <c r="I63" s="5"/>
      <c r="J63" s="5">
        <f t="shared" si="7"/>
        <v>25</v>
      </c>
      <c r="K63" s="8" t="b">
        <f t="shared" si="8"/>
        <v>0</v>
      </c>
    </row>
    <row r="64" spans="1:11">
      <c r="A64" s="5" t="s">
        <v>273</v>
      </c>
      <c r="B64" s="6">
        <v>45006</v>
      </c>
      <c r="C64" s="7">
        <v>0.6</v>
      </c>
      <c r="D64" s="5">
        <v>12.12</v>
      </c>
      <c r="E64" s="5">
        <v>326</v>
      </c>
      <c r="F64" s="5">
        <v>351</v>
      </c>
      <c r="G64" s="6">
        <v>45006</v>
      </c>
      <c r="H64" s="5"/>
      <c r="I64" s="5"/>
      <c r="J64" s="5">
        <f t="shared" si="7"/>
        <v>25</v>
      </c>
      <c r="K64" s="8" t="b">
        <f t="shared" si="8"/>
        <v>1</v>
      </c>
    </row>
    <row r="65" spans="1:11">
      <c r="A65" s="5" t="s">
        <v>273</v>
      </c>
      <c r="B65" s="6">
        <v>45009</v>
      </c>
      <c r="C65" s="7">
        <v>0.7</v>
      </c>
      <c r="D65" s="5">
        <v>10.37</v>
      </c>
      <c r="E65" s="5">
        <v>351</v>
      </c>
      <c r="F65" s="5">
        <v>371.9</v>
      </c>
      <c r="G65" s="6">
        <v>45009</v>
      </c>
      <c r="H65" s="5"/>
      <c r="I65" s="5"/>
      <c r="J65" s="5">
        <f t="shared" si="7"/>
        <v>20.899999999999977</v>
      </c>
      <c r="K65" s="8" t="b">
        <f t="shared" si="8"/>
        <v>1</v>
      </c>
    </row>
    <row r="66" spans="1:11">
      <c r="A66" s="5" t="s">
        <v>273</v>
      </c>
      <c r="B66" s="6">
        <v>45014</v>
      </c>
      <c r="C66" s="7">
        <v>0.7</v>
      </c>
      <c r="D66" s="5">
        <v>10.37</v>
      </c>
      <c r="E66" s="5">
        <v>371.9</v>
      </c>
      <c r="F66" s="5">
        <v>392.9</v>
      </c>
      <c r="G66" s="6">
        <v>45014</v>
      </c>
      <c r="H66" s="5"/>
      <c r="I66" s="5"/>
      <c r="J66" s="5">
        <f t="shared" si="7"/>
        <v>21</v>
      </c>
      <c r="K66" s="8" t="b">
        <f t="shared" si="8"/>
        <v>1</v>
      </c>
    </row>
    <row r="67" spans="1:11">
      <c r="A67" s="5" t="s">
        <v>273</v>
      </c>
      <c r="B67" s="6">
        <v>45016</v>
      </c>
      <c r="C67" s="7">
        <v>0.55000000000000004</v>
      </c>
      <c r="D67" s="5">
        <v>13.2</v>
      </c>
      <c r="E67" s="5">
        <v>392.9</v>
      </c>
      <c r="F67" s="5">
        <v>420.8</v>
      </c>
      <c r="G67" s="6">
        <v>45017</v>
      </c>
      <c r="H67" s="5"/>
      <c r="I67" s="5"/>
      <c r="J67" s="5">
        <f t="shared" si="7"/>
        <v>27.900000000000034</v>
      </c>
      <c r="K67" s="8" t="b">
        <f t="shared" si="8"/>
        <v>1</v>
      </c>
    </row>
    <row r="68" spans="1:11">
      <c r="A68" s="5" t="s">
        <v>273</v>
      </c>
      <c r="B68" s="6">
        <v>45026</v>
      </c>
      <c r="C68" s="7">
        <v>0.7</v>
      </c>
      <c r="D68" s="5">
        <v>10.37</v>
      </c>
      <c r="E68" s="5">
        <v>420.8</v>
      </c>
      <c r="F68" s="5">
        <v>441.7</v>
      </c>
      <c r="G68" s="6">
        <v>45026</v>
      </c>
      <c r="H68" s="5"/>
      <c r="I68" s="5"/>
      <c r="J68" s="5">
        <f t="shared" si="7"/>
        <v>20.899999999999977</v>
      </c>
      <c r="K68" s="8" t="b">
        <f t="shared" si="8"/>
        <v>1</v>
      </c>
    </row>
    <row r="69" spans="1:11">
      <c r="A69" s="5" t="s">
        <v>273</v>
      </c>
      <c r="B69" s="6"/>
      <c r="C69" s="7"/>
      <c r="D69" s="5"/>
      <c r="E69" s="5"/>
      <c r="F69" s="5"/>
      <c r="G69" s="6"/>
      <c r="H69" s="5"/>
      <c r="I69" s="5"/>
      <c r="J69" s="5">
        <f t="shared" si="7"/>
        <v>0</v>
      </c>
      <c r="K69" s="8" t="b">
        <f t="shared" si="8"/>
        <v>0</v>
      </c>
    </row>
    <row r="70" spans="1:11">
      <c r="A70" s="5" t="s">
        <v>273</v>
      </c>
      <c r="B70" s="6"/>
      <c r="C70" s="7"/>
      <c r="D70" s="5"/>
      <c r="E70" s="5"/>
      <c r="F70" s="5"/>
      <c r="G70" s="6"/>
      <c r="H70" s="5"/>
      <c r="I70" s="5"/>
      <c r="J70" s="5">
        <f t="shared" si="7"/>
        <v>0</v>
      </c>
      <c r="K70" s="8" t="b">
        <f>E70=F69</f>
        <v>1</v>
      </c>
    </row>
    <row r="71" spans="1:11">
      <c r="A71" s="5" t="s">
        <v>273</v>
      </c>
      <c r="B71" s="6"/>
      <c r="C71" s="7"/>
      <c r="D71" s="5"/>
      <c r="E71" s="5"/>
      <c r="F71" s="5"/>
      <c r="G71" s="6"/>
      <c r="H71" s="5"/>
      <c r="I71" s="5"/>
      <c r="J71" s="5">
        <f t="shared" si="7"/>
        <v>0</v>
      </c>
      <c r="K71" s="8" t="b">
        <f t="shared" si="8"/>
        <v>1</v>
      </c>
    </row>
    <row r="72" spans="1:11">
      <c r="A72" s="96"/>
      <c r="B72" s="97"/>
      <c r="C72" s="98"/>
      <c r="D72" s="99"/>
      <c r="E72" s="99"/>
      <c r="F72" s="99"/>
      <c r="G72" s="97"/>
      <c r="H72" s="99"/>
    </row>
    <row r="73" spans="1:11" ht="26.25">
      <c r="A73" s="126" t="s">
        <v>271</v>
      </c>
      <c r="B73" s="127"/>
      <c r="C73" s="127"/>
      <c r="D73" s="127"/>
      <c r="E73" s="127"/>
      <c r="F73" s="127"/>
      <c r="G73" s="127"/>
      <c r="H73" s="127"/>
      <c r="I73" s="127"/>
      <c r="J73" s="127"/>
      <c r="K73" s="128"/>
    </row>
    <row r="74" spans="1:11" ht="26.25">
      <c r="A74" s="129" t="s">
        <v>274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1"/>
    </row>
    <row r="75" spans="1:11" ht="15.75" thickBot="1"/>
    <row r="76" spans="1:11" ht="15.75" thickBot="1">
      <c r="A76" s="132" t="s">
        <v>2</v>
      </c>
      <c r="B76" s="133"/>
      <c r="C76" s="133"/>
      <c r="D76" s="133"/>
      <c r="E76" s="133"/>
      <c r="F76" s="133"/>
      <c r="G76" s="133"/>
      <c r="H76" s="133"/>
      <c r="I76" s="133"/>
      <c r="J76" s="133"/>
      <c r="K76" s="134"/>
    </row>
    <row r="78" spans="1:11" ht="19.5" thickBot="1">
      <c r="A78" s="1" t="s">
        <v>3</v>
      </c>
      <c r="B78" s="1"/>
      <c r="C78" s="1"/>
      <c r="D78" s="1"/>
      <c r="E78" s="1"/>
      <c r="F78" s="1"/>
      <c r="G78" s="1"/>
      <c r="H78" s="1"/>
      <c r="I78" s="1"/>
    </row>
    <row r="79" spans="1:11" ht="30.75" thickBot="1">
      <c r="A79" s="2" t="s">
        <v>4</v>
      </c>
      <c r="B79" s="3" t="s">
        <v>5</v>
      </c>
      <c r="C79" s="3" t="s">
        <v>6</v>
      </c>
      <c r="D79" s="3" t="s">
        <v>7</v>
      </c>
      <c r="E79" s="3" t="s">
        <v>8</v>
      </c>
      <c r="F79" s="3" t="s">
        <v>9</v>
      </c>
      <c r="G79" s="3" t="s">
        <v>10</v>
      </c>
      <c r="H79" s="3" t="s">
        <v>21</v>
      </c>
      <c r="I79" s="4" t="s">
        <v>22</v>
      </c>
      <c r="J79" s="4" t="s">
        <v>11</v>
      </c>
      <c r="K79" s="4" t="s">
        <v>12</v>
      </c>
    </row>
    <row r="80" spans="1:11">
      <c r="A80" s="5" t="s">
        <v>273</v>
      </c>
      <c r="B80" s="6">
        <v>45238</v>
      </c>
      <c r="C80" s="7">
        <v>1</v>
      </c>
      <c r="D80" s="5">
        <v>7.26</v>
      </c>
      <c r="E80" s="5">
        <v>491.1</v>
      </c>
      <c r="F80" s="5">
        <v>505.5</v>
      </c>
      <c r="G80" s="6">
        <v>45238</v>
      </c>
      <c r="H80" s="5"/>
      <c r="I80" s="5"/>
      <c r="J80" s="5">
        <f t="shared" ref="J80:J91" si="9">F80-E80</f>
        <v>14.399999999999977</v>
      </c>
      <c r="K80" s="8" t="b">
        <f>E80=F68</f>
        <v>0</v>
      </c>
    </row>
    <row r="81" spans="1:11">
      <c r="A81" s="5" t="s">
        <v>273</v>
      </c>
      <c r="B81" s="6">
        <v>45240</v>
      </c>
      <c r="C81" s="7">
        <v>1</v>
      </c>
      <c r="D81" s="5">
        <v>7.26</v>
      </c>
      <c r="E81" s="5">
        <v>505.5</v>
      </c>
      <c r="F81" s="5">
        <v>519.9</v>
      </c>
      <c r="G81" s="6">
        <v>45240</v>
      </c>
      <c r="H81" s="5"/>
      <c r="I81" s="5"/>
      <c r="J81" s="5">
        <f t="shared" si="9"/>
        <v>14.399999999999977</v>
      </c>
      <c r="K81" s="8" t="b">
        <f t="shared" ref="K81:K91" si="10">E81=F80</f>
        <v>1</v>
      </c>
    </row>
    <row r="82" spans="1:11">
      <c r="A82" s="5" t="s">
        <v>273</v>
      </c>
      <c r="B82" s="6">
        <v>45242</v>
      </c>
      <c r="C82" s="7">
        <v>1</v>
      </c>
      <c r="D82" s="5">
        <v>7.26</v>
      </c>
      <c r="E82" s="5">
        <v>519.9</v>
      </c>
      <c r="F82" s="5">
        <v>534.5</v>
      </c>
      <c r="G82" s="6">
        <v>45242</v>
      </c>
      <c r="H82" s="5"/>
      <c r="I82" s="5"/>
      <c r="J82" s="5">
        <f t="shared" si="9"/>
        <v>14.600000000000023</v>
      </c>
      <c r="K82" s="8" t="b">
        <f t="shared" si="10"/>
        <v>1</v>
      </c>
    </row>
    <row r="83" spans="1:11">
      <c r="A83" s="5" t="s">
        <v>273</v>
      </c>
      <c r="B83" s="6">
        <v>45255</v>
      </c>
      <c r="C83" s="7">
        <v>1</v>
      </c>
      <c r="D83" s="5">
        <v>7.26</v>
      </c>
      <c r="E83" s="5">
        <v>534.5</v>
      </c>
      <c r="F83" s="5">
        <v>549</v>
      </c>
      <c r="G83" s="6">
        <v>45255</v>
      </c>
      <c r="H83" s="5"/>
      <c r="I83" s="5"/>
      <c r="J83" s="5">
        <f t="shared" si="9"/>
        <v>14.5</v>
      </c>
      <c r="K83" s="8" t="b">
        <f>E83=F82</f>
        <v>1</v>
      </c>
    </row>
    <row r="84" spans="1:11">
      <c r="A84" s="5" t="s">
        <v>273</v>
      </c>
      <c r="B84" s="6">
        <v>45257</v>
      </c>
      <c r="C84" s="7">
        <v>1</v>
      </c>
      <c r="D84" s="5">
        <v>7.26</v>
      </c>
      <c r="E84" s="5">
        <v>549</v>
      </c>
      <c r="F84" s="5">
        <v>563.4</v>
      </c>
      <c r="G84" s="6">
        <v>45257</v>
      </c>
      <c r="H84" s="5"/>
      <c r="I84" s="5"/>
      <c r="J84" s="5">
        <f t="shared" si="9"/>
        <v>14.399999999999977</v>
      </c>
      <c r="K84" s="8" t="b">
        <f t="shared" si="10"/>
        <v>1</v>
      </c>
    </row>
    <row r="85" spans="1:11">
      <c r="A85" s="5" t="s">
        <v>273</v>
      </c>
      <c r="B85" s="6">
        <v>45259</v>
      </c>
      <c r="C85" s="7">
        <v>1</v>
      </c>
      <c r="D85" s="5">
        <v>7.26</v>
      </c>
      <c r="E85" s="5">
        <v>563.4</v>
      </c>
      <c r="F85" s="5">
        <v>577.70000000000005</v>
      </c>
      <c r="G85" s="6">
        <v>45259</v>
      </c>
      <c r="H85" s="5"/>
      <c r="I85" s="5"/>
      <c r="J85" s="5">
        <f t="shared" si="9"/>
        <v>14.300000000000068</v>
      </c>
      <c r="K85" s="8" t="b">
        <f t="shared" si="10"/>
        <v>1</v>
      </c>
    </row>
    <row r="86" spans="1:11">
      <c r="A86" s="80" t="s">
        <v>273</v>
      </c>
      <c r="B86" s="81">
        <v>45261</v>
      </c>
      <c r="C86" s="82">
        <v>1</v>
      </c>
      <c r="D86" s="80">
        <v>7.26</v>
      </c>
      <c r="E86" s="80">
        <v>577.70000000000005</v>
      </c>
      <c r="F86" s="80">
        <v>592.1</v>
      </c>
      <c r="G86" s="81">
        <v>45261</v>
      </c>
      <c r="H86" s="80"/>
      <c r="I86" s="80"/>
      <c r="J86" s="80">
        <f t="shared" si="9"/>
        <v>14.399999999999977</v>
      </c>
      <c r="K86" s="8" t="b">
        <f t="shared" si="10"/>
        <v>1</v>
      </c>
    </row>
    <row r="87" spans="1:11">
      <c r="A87" s="5" t="s">
        <v>273</v>
      </c>
      <c r="B87" s="6">
        <v>45262</v>
      </c>
      <c r="C87" s="7">
        <v>0.7</v>
      </c>
      <c r="D87" s="5">
        <v>9.1999999999999993</v>
      </c>
      <c r="E87" s="5">
        <v>592.1</v>
      </c>
      <c r="F87" s="5">
        <v>612.79999999999995</v>
      </c>
      <c r="G87" s="6">
        <v>45262</v>
      </c>
      <c r="H87" s="5"/>
      <c r="I87" s="5"/>
      <c r="J87" s="5">
        <f t="shared" si="9"/>
        <v>20.699999999999932</v>
      </c>
      <c r="K87" s="8" t="b">
        <f t="shared" si="10"/>
        <v>1</v>
      </c>
    </row>
    <row r="88" spans="1:11">
      <c r="A88" s="5" t="s">
        <v>273</v>
      </c>
      <c r="B88" s="6">
        <v>45264</v>
      </c>
      <c r="C88" s="7">
        <v>1</v>
      </c>
      <c r="D88" s="5">
        <v>7.26</v>
      </c>
      <c r="E88" s="5">
        <v>612.79999999999995</v>
      </c>
      <c r="F88" s="5">
        <v>628</v>
      </c>
      <c r="G88" s="6">
        <v>45264</v>
      </c>
      <c r="H88" s="5"/>
      <c r="I88" s="5"/>
      <c r="J88" s="5">
        <f t="shared" si="9"/>
        <v>15.200000000000045</v>
      </c>
      <c r="K88" s="8" t="b">
        <f t="shared" si="10"/>
        <v>1</v>
      </c>
    </row>
    <row r="89" spans="1:11">
      <c r="A89" s="5" t="s">
        <v>273</v>
      </c>
      <c r="B89" s="6">
        <v>45266</v>
      </c>
      <c r="C89" s="7">
        <v>1</v>
      </c>
      <c r="D89" s="5">
        <v>7.26</v>
      </c>
      <c r="E89" s="5">
        <v>628</v>
      </c>
      <c r="F89" s="5">
        <v>642.5</v>
      </c>
      <c r="G89" s="6">
        <v>45266</v>
      </c>
      <c r="H89" s="5"/>
      <c r="I89" s="5"/>
      <c r="J89" s="5">
        <f t="shared" si="9"/>
        <v>14.5</v>
      </c>
      <c r="K89" s="8" t="b">
        <f t="shared" si="10"/>
        <v>1</v>
      </c>
    </row>
    <row r="90" spans="1:11">
      <c r="A90" s="5" t="s">
        <v>273</v>
      </c>
      <c r="B90" s="6">
        <v>45268</v>
      </c>
      <c r="C90" s="7">
        <v>0.8</v>
      </c>
      <c r="D90" s="5">
        <v>8.4</v>
      </c>
      <c r="E90" s="5">
        <v>642.5</v>
      </c>
      <c r="F90" s="5">
        <v>660.8</v>
      </c>
      <c r="G90" s="6">
        <v>45268</v>
      </c>
      <c r="H90" s="5"/>
      <c r="I90" s="5"/>
      <c r="J90" s="5">
        <f t="shared" si="9"/>
        <v>18.299999999999955</v>
      </c>
      <c r="K90" s="8" t="b">
        <f t="shared" si="10"/>
        <v>1</v>
      </c>
    </row>
    <row r="91" spans="1:11">
      <c r="A91" s="5" t="s">
        <v>273</v>
      </c>
      <c r="B91" s="6">
        <v>45270</v>
      </c>
      <c r="C91" s="7">
        <v>0.8</v>
      </c>
      <c r="D91" s="5">
        <v>8.4</v>
      </c>
      <c r="E91" s="5">
        <v>660.8</v>
      </c>
      <c r="F91" s="5">
        <v>680.9</v>
      </c>
      <c r="G91" s="6">
        <v>45270</v>
      </c>
      <c r="H91" s="5"/>
      <c r="I91" s="5"/>
      <c r="J91" s="5">
        <f t="shared" si="9"/>
        <v>20.100000000000023</v>
      </c>
      <c r="K91" s="8" t="b">
        <f t="shared" si="10"/>
        <v>1</v>
      </c>
    </row>
    <row r="92" spans="1:11">
      <c r="A92" s="5" t="s">
        <v>273</v>
      </c>
      <c r="B92" s="6">
        <v>45272</v>
      </c>
      <c r="C92" s="7">
        <v>0.8</v>
      </c>
      <c r="D92" s="5">
        <v>8.4</v>
      </c>
      <c r="E92" s="5">
        <v>680.9</v>
      </c>
      <c r="F92" s="5">
        <v>698.7</v>
      </c>
      <c r="G92" s="6">
        <v>45272</v>
      </c>
      <c r="H92" s="5"/>
      <c r="I92" s="5"/>
      <c r="J92" s="5">
        <f t="shared" ref="J92:J99" si="11">F92-E92</f>
        <v>17.800000000000068</v>
      </c>
      <c r="K92" s="8" t="b">
        <f t="shared" ref="K92:K99" si="12">E92=F91</f>
        <v>1</v>
      </c>
    </row>
    <row r="93" spans="1:11">
      <c r="A93" s="5" t="s">
        <v>273</v>
      </c>
      <c r="B93" s="6">
        <v>45274</v>
      </c>
      <c r="C93" s="7">
        <v>0.8</v>
      </c>
      <c r="D93" s="5">
        <v>8.4</v>
      </c>
      <c r="E93" s="5">
        <v>698.7</v>
      </c>
      <c r="F93" s="5">
        <v>716.7</v>
      </c>
      <c r="G93" s="6">
        <v>45274</v>
      </c>
      <c r="H93" s="5"/>
      <c r="I93" s="5"/>
      <c r="J93" s="5">
        <f t="shared" si="11"/>
        <v>18</v>
      </c>
      <c r="K93" s="8" t="b">
        <f t="shared" si="12"/>
        <v>1</v>
      </c>
    </row>
    <row r="94" spans="1:11">
      <c r="A94" s="5" t="s">
        <v>273</v>
      </c>
      <c r="B94" s="6">
        <v>45276</v>
      </c>
      <c r="C94" s="7">
        <v>0.6</v>
      </c>
      <c r="D94" s="5">
        <v>11.2</v>
      </c>
      <c r="E94" s="5">
        <v>716.7</v>
      </c>
      <c r="F94" s="5">
        <v>740.5</v>
      </c>
      <c r="G94" s="6">
        <v>45276</v>
      </c>
      <c r="H94" s="5"/>
      <c r="I94" s="5"/>
      <c r="J94" s="5">
        <f t="shared" si="11"/>
        <v>23.799999999999955</v>
      </c>
      <c r="K94" s="8" t="b">
        <f t="shared" si="12"/>
        <v>1</v>
      </c>
    </row>
    <row r="95" spans="1:11">
      <c r="A95" s="101" t="s">
        <v>273</v>
      </c>
      <c r="B95" s="102">
        <v>45280</v>
      </c>
      <c r="C95" s="103">
        <v>0.7</v>
      </c>
      <c r="D95" s="101">
        <v>9.1999999999999993</v>
      </c>
      <c r="E95" s="101">
        <v>740.5</v>
      </c>
      <c r="F95" s="101">
        <v>751.6</v>
      </c>
      <c r="G95" s="102">
        <v>45280</v>
      </c>
      <c r="H95" s="101"/>
      <c r="I95" s="101"/>
      <c r="J95" s="101">
        <f t="shared" si="11"/>
        <v>11.100000000000023</v>
      </c>
      <c r="K95" s="8" t="b">
        <f t="shared" si="12"/>
        <v>1</v>
      </c>
    </row>
    <row r="96" spans="1:11">
      <c r="A96" s="101" t="s">
        <v>273</v>
      </c>
      <c r="B96" s="102">
        <v>45282</v>
      </c>
      <c r="C96" s="103">
        <v>1</v>
      </c>
      <c r="D96" s="101">
        <v>7.26</v>
      </c>
      <c r="E96" s="101">
        <v>751.6</v>
      </c>
      <c r="F96" s="101">
        <v>763.7</v>
      </c>
      <c r="G96" s="102">
        <v>45282</v>
      </c>
      <c r="H96" s="101"/>
      <c r="I96" s="101"/>
      <c r="J96" s="101">
        <f t="shared" si="11"/>
        <v>12.100000000000023</v>
      </c>
      <c r="K96" s="8" t="b">
        <f t="shared" si="12"/>
        <v>1</v>
      </c>
    </row>
    <row r="97" spans="1:11">
      <c r="A97" s="5" t="s">
        <v>273</v>
      </c>
      <c r="B97" s="6">
        <v>45285</v>
      </c>
      <c r="C97" s="7">
        <v>0.8</v>
      </c>
      <c r="D97" s="5">
        <v>8.4</v>
      </c>
      <c r="E97" s="5">
        <v>763.7</v>
      </c>
      <c r="F97" s="5">
        <v>781.7</v>
      </c>
      <c r="G97" s="6">
        <v>45285</v>
      </c>
      <c r="H97" s="5"/>
      <c r="I97" s="5"/>
      <c r="J97" s="5">
        <f t="shared" si="11"/>
        <v>18</v>
      </c>
      <c r="K97" s="8" t="b">
        <f t="shared" si="12"/>
        <v>1</v>
      </c>
    </row>
    <row r="98" spans="1:11">
      <c r="A98" s="5" t="s">
        <v>273</v>
      </c>
      <c r="B98" s="6">
        <v>45287</v>
      </c>
      <c r="C98" s="7">
        <v>0.8</v>
      </c>
      <c r="D98" s="5">
        <v>8.4</v>
      </c>
      <c r="E98" s="5">
        <v>781.7</v>
      </c>
      <c r="F98" s="5">
        <v>799.6</v>
      </c>
      <c r="G98" s="6">
        <v>45287</v>
      </c>
      <c r="H98" s="5"/>
      <c r="I98" s="5"/>
      <c r="J98" s="5">
        <f t="shared" si="11"/>
        <v>17.899999999999977</v>
      </c>
      <c r="K98" s="8" t="b">
        <f t="shared" si="12"/>
        <v>1</v>
      </c>
    </row>
    <row r="99" spans="1:11">
      <c r="A99" s="5" t="s">
        <v>273</v>
      </c>
      <c r="B99" s="6">
        <v>45289</v>
      </c>
      <c r="C99" s="7">
        <v>0.75</v>
      </c>
      <c r="D99" s="5">
        <v>8.9600000000000009</v>
      </c>
      <c r="E99" s="5">
        <v>799.6</v>
      </c>
      <c r="F99" s="5">
        <v>818.6</v>
      </c>
      <c r="G99" s="6">
        <v>45288</v>
      </c>
      <c r="H99" s="5"/>
      <c r="I99" s="5"/>
      <c r="J99" s="5">
        <f t="shared" si="11"/>
        <v>19</v>
      </c>
      <c r="K99" s="8" t="b">
        <f t="shared" si="12"/>
        <v>1</v>
      </c>
    </row>
    <row r="100" spans="1:11">
      <c r="A100" s="101" t="s">
        <v>273</v>
      </c>
      <c r="B100" s="102">
        <v>45291</v>
      </c>
      <c r="C100" s="103">
        <v>0.75</v>
      </c>
      <c r="D100" s="101">
        <v>8.9600000000000009</v>
      </c>
      <c r="E100" s="101">
        <v>818.6</v>
      </c>
      <c r="F100" s="101">
        <v>826.6</v>
      </c>
      <c r="G100" s="102">
        <v>45291</v>
      </c>
      <c r="H100" s="101"/>
      <c r="I100" s="101"/>
      <c r="J100" s="101">
        <f t="shared" ref="J100:J124" si="13">F100-E100</f>
        <v>8</v>
      </c>
      <c r="K100" s="8" t="b">
        <f t="shared" ref="K100:K122" si="14">E100=F99</f>
        <v>1</v>
      </c>
    </row>
    <row r="101" spans="1:11">
      <c r="A101" s="5" t="s">
        <v>273</v>
      </c>
      <c r="B101" s="6">
        <v>45303</v>
      </c>
      <c r="C101" s="7">
        <v>1</v>
      </c>
      <c r="D101" s="5">
        <v>7.26</v>
      </c>
      <c r="E101" s="5">
        <v>826.6</v>
      </c>
      <c r="F101" s="5">
        <v>842.5</v>
      </c>
      <c r="G101" s="6">
        <v>45303</v>
      </c>
      <c r="H101" s="5"/>
      <c r="I101" s="5"/>
      <c r="J101" s="5">
        <f t="shared" si="13"/>
        <v>15.899999999999977</v>
      </c>
      <c r="K101" s="8" t="b">
        <f t="shared" si="14"/>
        <v>1</v>
      </c>
    </row>
    <row r="102" spans="1:11">
      <c r="A102" s="5" t="s">
        <v>273</v>
      </c>
      <c r="B102" s="6">
        <v>45305</v>
      </c>
      <c r="C102" s="7">
        <v>0.8</v>
      </c>
      <c r="D102" s="5">
        <v>8.4</v>
      </c>
      <c r="E102" s="5">
        <v>842.5</v>
      </c>
      <c r="F102" s="5">
        <v>860.6</v>
      </c>
      <c r="G102" s="6">
        <v>45305</v>
      </c>
      <c r="H102" s="5"/>
      <c r="I102" s="5"/>
      <c r="J102" s="5">
        <f t="shared" si="13"/>
        <v>18.100000000000023</v>
      </c>
      <c r="K102" s="8" t="b">
        <f t="shared" si="14"/>
        <v>1</v>
      </c>
    </row>
    <row r="103" spans="1:11">
      <c r="A103" s="5" t="s">
        <v>273</v>
      </c>
      <c r="B103" s="6">
        <v>45308</v>
      </c>
      <c r="C103" s="7">
        <v>0.7</v>
      </c>
      <c r="D103" s="5">
        <v>10.37</v>
      </c>
      <c r="E103" s="5">
        <v>860.6</v>
      </c>
      <c r="F103" s="5">
        <v>880.1</v>
      </c>
      <c r="G103" s="6">
        <v>45308</v>
      </c>
      <c r="H103" s="5"/>
      <c r="I103" s="5"/>
      <c r="J103" s="5">
        <f t="shared" si="13"/>
        <v>19.5</v>
      </c>
      <c r="K103" s="8" t="b">
        <f t="shared" si="14"/>
        <v>1</v>
      </c>
    </row>
    <row r="104" spans="1:11">
      <c r="A104" s="5" t="s">
        <v>273</v>
      </c>
      <c r="B104" s="6">
        <v>45311</v>
      </c>
      <c r="C104" s="7">
        <v>0.7</v>
      </c>
      <c r="D104" s="5">
        <v>10.37</v>
      </c>
      <c r="E104" s="5">
        <v>880.1</v>
      </c>
      <c r="F104" s="5">
        <v>901</v>
      </c>
      <c r="G104" s="6">
        <v>45311</v>
      </c>
      <c r="H104" s="5"/>
      <c r="I104" s="5"/>
      <c r="J104" s="5">
        <f t="shared" si="13"/>
        <v>20.899999999999977</v>
      </c>
      <c r="K104" s="8" t="b">
        <f t="shared" si="14"/>
        <v>1</v>
      </c>
    </row>
    <row r="105" spans="1:11">
      <c r="A105" s="5" t="s">
        <v>273</v>
      </c>
      <c r="B105" s="6">
        <v>45328</v>
      </c>
      <c r="C105" s="7">
        <v>0.7</v>
      </c>
      <c r="D105" s="5">
        <v>10.37</v>
      </c>
      <c r="E105" s="5">
        <v>901</v>
      </c>
      <c r="F105" s="5">
        <v>920.9</v>
      </c>
      <c r="G105" s="6">
        <v>45328</v>
      </c>
      <c r="H105" s="5"/>
      <c r="I105" s="5"/>
      <c r="J105" s="5">
        <f t="shared" si="13"/>
        <v>19.899999999999977</v>
      </c>
      <c r="K105" s="8" t="b">
        <f t="shared" si="14"/>
        <v>1</v>
      </c>
    </row>
    <row r="106" spans="1:11">
      <c r="A106" s="5" t="s">
        <v>273</v>
      </c>
      <c r="B106" s="6">
        <v>45337</v>
      </c>
      <c r="C106" s="7">
        <v>0.8</v>
      </c>
      <c r="D106" s="5">
        <v>8.4</v>
      </c>
      <c r="E106" s="5">
        <v>920.9</v>
      </c>
      <c r="F106" s="5">
        <v>938.7</v>
      </c>
      <c r="G106" s="6">
        <v>45337</v>
      </c>
      <c r="H106" s="5"/>
      <c r="I106" s="5"/>
      <c r="J106" s="5">
        <f t="shared" si="13"/>
        <v>17.800000000000068</v>
      </c>
      <c r="K106" s="8" t="b">
        <f t="shared" si="14"/>
        <v>1</v>
      </c>
    </row>
    <row r="107" spans="1:11">
      <c r="A107" s="5" t="s">
        <v>273</v>
      </c>
      <c r="B107" s="6">
        <v>45349</v>
      </c>
      <c r="C107" s="7">
        <v>1</v>
      </c>
      <c r="D107" s="5">
        <v>7.26</v>
      </c>
      <c r="E107" s="5">
        <v>938.7</v>
      </c>
      <c r="F107" s="5">
        <v>953.1</v>
      </c>
      <c r="G107" s="6">
        <v>45349</v>
      </c>
      <c r="H107" s="5"/>
      <c r="I107" s="5"/>
      <c r="J107" s="5">
        <f t="shared" si="13"/>
        <v>14.399999999999977</v>
      </c>
      <c r="K107" s="8" t="b">
        <f t="shared" si="14"/>
        <v>1</v>
      </c>
    </row>
    <row r="108" spans="1:11">
      <c r="A108" s="5" t="s">
        <v>273</v>
      </c>
      <c r="B108" s="6">
        <v>45352</v>
      </c>
      <c r="C108" s="7">
        <v>0.7</v>
      </c>
      <c r="D108" s="5">
        <v>10.37</v>
      </c>
      <c r="E108" s="5">
        <v>953.1</v>
      </c>
      <c r="F108" s="5">
        <v>973.5</v>
      </c>
      <c r="G108" s="6">
        <v>45352</v>
      </c>
      <c r="H108" s="5"/>
      <c r="I108" s="5"/>
      <c r="J108" s="5">
        <f t="shared" si="13"/>
        <v>20.399999999999977</v>
      </c>
      <c r="K108" s="8" t="b">
        <f t="shared" si="14"/>
        <v>1</v>
      </c>
    </row>
    <row r="109" spans="1:11">
      <c r="A109" s="5" t="s">
        <v>273</v>
      </c>
      <c r="B109" s="6">
        <v>45353</v>
      </c>
      <c r="C109" s="7">
        <v>0.7</v>
      </c>
      <c r="D109" s="5">
        <v>10.37</v>
      </c>
      <c r="E109" s="5">
        <v>973.5</v>
      </c>
      <c r="F109" s="5">
        <v>993.4</v>
      </c>
      <c r="G109" s="6">
        <v>45353</v>
      </c>
      <c r="H109" s="5"/>
      <c r="I109" s="5"/>
      <c r="J109" s="5">
        <f t="shared" si="13"/>
        <v>19.899999999999977</v>
      </c>
      <c r="K109" s="8" t="b">
        <f t="shared" si="14"/>
        <v>1</v>
      </c>
    </row>
    <row r="110" spans="1:11">
      <c r="A110" s="5" t="s">
        <v>273</v>
      </c>
      <c r="B110" s="6">
        <v>45365</v>
      </c>
      <c r="C110" s="7">
        <v>0.7</v>
      </c>
      <c r="D110" s="5">
        <v>10.37</v>
      </c>
      <c r="E110" s="5">
        <v>993.4</v>
      </c>
      <c r="F110" s="5">
        <v>1015.1</v>
      </c>
      <c r="G110" s="6">
        <v>45365</v>
      </c>
      <c r="H110" s="5"/>
      <c r="I110" s="5"/>
      <c r="J110" s="5">
        <f t="shared" si="13"/>
        <v>21.700000000000045</v>
      </c>
      <c r="K110" s="8" t="b">
        <f t="shared" si="14"/>
        <v>1</v>
      </c>
    </row>
    <row r="111" spans="1:11">
      <c r="A111" s="5" t="s">
        <v>273</v>
      </c>
      <c r="B111" s="6"/>
      <c r="C111" s="7"/>
      <c r="D111" s="5"/>
      <c r="E111" s="5"/>
      <c r="F111" s="5"/>
      <c r="G111" s="6"/>
      <c r="H111" s="5"/>
      <c r="I111" s="5"/>
      <c r="J111" s="5">
        <f t="shared" si="13"/>
        <v>0</v>
      </c>
      <c r="K111" s="8" t="b">
        <f t="shared" si="14"/>
        <v>0</v>
      </c>
    </row>
    <row r="113" spans="1:11" ht="26.25">
      <c r="A113" s="135" t="s">
        <v>271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7"/>
    </row>
    <row r="114" spans="1:11" ht="26.25">
      <c r="A114" s="138" t="s">
        <v>254</v>
      </c>
      <c r="B114" s="139"/>
      <c r="C114" s="139"/>
      <c r="D114" s="139"/>
      <c r="E114" s="139"/>
      <c r="F114" s="139"/>
      <c r="G114" s="139"/>
      <c r="H114" s="139"/>
      <c r="I114" s="139"/>
      <c r="J114" s="139"/>
      <c r="K114" s="140"/>
    </row>
    <row r="115" spans="1:11" ht="15.75" thickBot="1"/>
    <row r="116" spans="1:11" ht="15.75" thickBot="1">
      <c r="A116" s="132" t="s">
        <v>2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4"/>
    </row>
    <row r="118" spans="1:11" ht="19.5" thickBot="1">
      <c r="A118" s="1" t="s">
        <v>3</v>
      </c>
      <c r="B118" s="1"/>
      <c r="C118" s="1"/>
      <c r="D118" s="1"/>
      <c r="E118" s="1"/>
      <c r="F118" s="1"/>
      <c r="G118" s="1"/>
      <c r="H118" s="1"/>
      <c r="I118" s="1"/>
    </row>
    <row r="119" spans="1:11" ht="30.75" thickBot="1">
      <c r="A119" s="2" t="s">
        <v>4</v>
      </c>
      <c r="B119" s="3" t="s">
        <v>5</v>
      </c>
      <c r="C119" s="3" t="s">
        <v>6</v>
      </c>
      <c r="D119" s="3" t="s">
        <v>7</v>
      </c>
      <c r="E119" s="3" t="s">
        <v>8</v>
      </c>
      <c r="F119" s="3" t="s">
        <v>9</v>
      </c>
      <c r="G119" s="3" t="s">
        <v>10</v>
      </c>
      <c r="H119" s="3" t="s">
        <v>21</v>
      </c>
      <c r="I119" s="4" t="s">
        <v>22</v>
      </c>
      <c r="J119" s="4" t="s">
        <v>11</v>
      </c>
      <c r="K119" s="4" t="s">
        <v>12</v>
      </c>
    </row>
    <row r="120" spans="1:11">
      <c r="A120" s="5" t="s">
        <v>273</v>
      </c>
      <c r="B120" s="6">
        <v>45390</v>
      </c>
      <c r="C120" s="7">
        <v>1</v>
      </c>
      <c r="D120" s="5">
        <v>6.72</v>
      </c>
      <c r="E120" s="5">
        <v>0</v>
      </c>
      <c r="F120" s="5">
        <v>14.5</v>
      </c>
      <c r="G120" s="6">
        <v>45390</v>
      </c>
      <c r="H120" s="5"/>
      <c r="I120" s="5"/>
      <c r="J120" s="5">
        <f t="shared" ref="J120:J121" si="15">F120-E120</f>
        <v>14.5</v>
      </c>
      <c r="K120" s="8" t="b">
        <f t="shared" si="14"/>
        <v>0</v>
      </c>
    </row>
    <row r="121" spans="1:11">
      <c r="A121" s="5" t="s">
        <v>273</v>
      </c>
      <c r="B121" s="6">
        <v>45391</v>
      </c>
      <c r="C121" s="7">
        <v>1</v>
      </c>
      <c r="D121" s="5">
        <v>6.72</v>
      </c>
      <c r="E121" s="5">
        <v>14.5</v>
      </c>
      <c r="F121" s="5">
        <v>29.5</v>
      </c>
      <c r="G121" s="6">
        <v>45391</v>
      </c>
      <c r="H121" s="5"/>
      <c r="I121" s="5"/>
      <c r="J121" s="5">
        <f t="shared" si="15"/>
        <v>15</v>
      </c>
      <c r="K121" s="8" t="b">
        <f t="shared" si="14"/>
        <v>1</v>
      </c>
    </row>
    <row r="122" spans="1:11">
      <c r="A122" s="5" t="s">
        <v>273</v>
      </c>
      <c r="B122" s="6">
        <v>45398</v>
      </c>
      <c r="C122" s="7">
        <v>1</v>
      </c>
      <c r="D122" s="5">
        <v>6.72</v>
      </c>
      <c r="E122" s="5">
        <v>29.5</v>
      </c>
      <c r="F122" s="5">
        <v>44</v>
      </c>
      <c r="G122" s="6">
        <v>45398</v>
      </c>
      <c r="H122" s="5"/>
      <c r="I122" s="5"/>
      <c r="J122" s="5">
        <f t="shared" si="13"/>
        <v>14.5</v>
      </c>
      <c r="K122" s="8" t="b">
        <f t="shared" si="14"/>
        <v>1</v>
      </c>
    </row>
    <row r="123" spans="1:11">
      <c r="A123" s="5" t="s">
        <v>273</v>
      </c>
      <c r="B123" s="6">
        <v>45403</v>
      </c>
      <c r="C123" s="7">
        <v>0.9</v>
      </c>
      <c r="D123" s="5">
        <v>7.47</v>
      </c>
      <c r="E123" s="5">
        <v>44</v>
      </c>
      <c r="F123" s="5">
        <v>60.1</v>
      </c>
      <c r="G123" s="6">
        <v>45403</v>
      </c>
      <c r="H123" s="5"/>
      <c r="I123" s="5"/>
      <c r="J123" s="5">
        <f t="shared" si="13"/>
        <v>16.100000000000001</v>
      </c>
      <c r="K123" s="8" t="b">
        <f t="shared" ref="K123:K128" si="16">E123=F122</f>
        <v>1</v>
      </c>
    </row>
    <row r="124" spans="1:11">
      <c r="A124" s="5" t="s">
        <v>273</v>
      </c>
      <c r="B124" s="6">
        <v>45410</v>
      </c>
      <c r="C124" s="7">
        <v>0.9</v>
      </c>
      <c r="D124" s="5">
        <v>7.47</v>
      </c>
      <c r="E124" s="5">
        <v>60.1</v>
      </c>
      <c r="F124" s="5">
        <v>92</v>
      </c>
      <c r="G124" s="6">
        <v>45410</v>
      </c>
      <c r="H124" s="5"/>
      <c r="I124" s="5"/>
      <c r="J124" s="5">
        <f t="shared" si="13"/>
        <v>31.9</v>
      </c>
      <c r="K124" s="8" t="b">
        <f t="shared" si="16"/>
        <v>1</v>
      </c>
    </row>
    <row r="125" spans="1:11">
      <c r="A125" s="5" t="s">
        <v>273</v>
      </c>
      <c r="B125" s="6">
        <v>45419</v>
      </c>
      <c r="C125" s="7">
        <v>0.9</v>
      </c>
      <c r="D125" s="5">
        <v>7.47</v>
      </c>
      <c r="E125" s="5">
        <v>92</v>
      </c>
      <c r="F125" s="5">
        <v>107.9</v>
      </c>
      <c r="G125" s="6">
        <v>45419</v>
      </c>
      <c r="H125" s="5"/>
      <c r="I125" s="5"/>
      <c r="J125" s="5">
        <f t="shared" ref="J125:J127" si="17">F125-E125</f>
        <v>15.900000000000006</v>
      </c>
      <c r="K125" s="8" t="b">
        <f t="shared" si="16"/>
        <v>1</v>
      </c>
    </row>
    <row r="126" spans="1:11">
      <c r="A126" s="5" t="s">
        <v>273</v>
      </c>
      <c r="B126" s="6">
        <v>45427</v>
      </c>
      <c r="C126" s="7">
        <v>1</v>
      </c>
      <c r="D126" s="5">
        <v>6.72</v>
      </c>
      <c r="E126" s="5">
        <v>107.9</v>
      </c>
      <c r="F126" s="5">
        <v>122.3</v>
      </c>
      <c r="G126" s="6">
        <v>45427</v>
      </c>
      <c r="H126" s="5"/>
      <c r="I126" s="5"/>
      <c r="J126" s="5">
        <f t="shared" si="17"/>
        <v>14.399999999999991</v>
      </c>
      <c r="K126" s="8" t="b">
        <f t="shared" si="16"/>
        <v>1</v>
      </c>
    </row>
    <row r="127" spans="1:11">
      <c r="A127" s="5" t="s">
        <v>273</v>
      </c>
      <c r="B127" s="6">
        <v>45430</v>
      </c>
      <c r="C127" s="7">
        <v>0.5</v>
      </c>
      <c r="D127" s="5">
        <v>13.44</v>
      </c>
      <c r="E127" s="5">
        <v>122.3</v>
      </c>
      <c r="F127" s="5">
        <v>151</v>
      </c>
      <c r="G127" s="6">
        <v>45430</v>
      </c>
      <c r="H127" s="5"/>
      <c r="I127" s="5"/>
      <c r="J127" s="5">
        <f t="shared" si="17"/>
        <v>28.700000000000003</v>
      </c>
      <c r="K127" s="8" t="b">
        <f t="shared" si="16"/>
        <v>1</v>
      </c>
    </row>
    <row r="128" spans="1:11">
      <c r="A128" s="5"/>
      <c r="B128" s="6"/>
      <c r="C128" s="7"/>
      <c r="D128" s="5"/>
      <c r="E128" s="5"/>
      <c r="F128" s="5"/>
      <c r="G128" s="6"/>
      <c r="H128" s="5"/>
      <c r="I128" s="5"/>
      <c r="J128" s="5">
        <f t="shared" ref="J128" si="18">F128-E128</f>
        <v>0</v>
      </c>
      <c r="K128" s="8" t="b">
        <f t="shared" si="16"/>
        <v>0</v>
      </c>
    </row>
    <row r="130" spans="1:11" ht="26.25">
      <c r="A130" s="135" t="s">
        <v>271</v>
      </c>
      <c r="B130" s="136"/>
      <c r="C130" s="136"/>
      <c r="D130" s="136"/>
      <c r="E130" s="136"/>
      <c r="F130" s="136"/>
      <c r="G130" s="136"/>
      <c r="H130" s="136"/>
      <c r="I130" s="136"/>
      <c r="J130" s="136"/>
      <c r="K130" s="137"/>
    </row>
    <row r="131" spans="1:11" ht="26.25">
      <c r="A131" s="138" t="s">
        <v>255</v>
      </c>
      <c r="B131" s="139"/>
      <c r="C131" s="139"/>
      <c r="D131" s="139"/>
      <c r="E131" s="139"/>
      <c r="F131" s="139"/>
      <c r="G131" s="139"/>
      <c r="H131" s="139"/>
      <c r="I131" s="139"/>
      <c r="J131" s="139"/>
      <c r="K131" s="140"/>
    </row>
    <row r="132" spans="1:11" ht="15.75" thickBot="1"/>
    <row r="133" spans="1:11" ht="15.75" thickBot="1">
      <c r="A133" s="132" t="s">
        <v>2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4"/>
    </row>
    <row r="135" spans="1:11" ht="19.5" thickBot="1">
      <c r="A135" s="1" t="s">
        <v>3</v>
      </c>
      <c r="B135" s="1"/>
      <c r="C135" s="1"/>
      <c r="D135" s="1"/>
      <c r="E135" s="1"/>
      <c r="F135" s="1"/>
      <c r="G135" s="1"/>
      <c r="H135" s="1"/>
      <c r="I135" s="1"/>
    </row>
    <row r="136" spans="1:11" ht="30.75" thickBot="1">
      <c r="A136" s="2" t="s">
        <v>4</v>
      </c>
      <c r="B136" s="3" t="s">
        <v>5</v>
      </c>
      <c r="C136" s="3" t="s">
        <v>6</v>
      </c>
      <c r="D136" s="3" t="s">
        <v>7</v>
      </c>
      <c r="E136" s="3" t="s">
        <v>8</v>
      </c>
      <c r="F136" s="3" t="s">
        <v>9</v>
      </c>
      <c r="G136" s="3" t="s">
        <v>10</v>
      </c>
      <c r="H136" s="3" t="s">
        <v>21</v>
      </c>
      <c r="I136" s="4" t="s">
        <v>22</v>
      </c>
      <c r="J136" s="4" t="s">
        <v>11</v>
      </c>
      <c r="K136" s="4" t="s">
        <v>12</v>
      </c>
    </row>
    <row r="137" spans="1:11">
      <c r="A137" s="5" t="s">
        <v>273</v>
      </c>
      <c r="B137" s="6">
        <v>45437</v>
      </c>
      <c r="C137" s="7">
        <v>1</v>
      </c>
      <c r="D137" s="5">
        <v>6.72</v>
      </c>
      <c r="E137" s="5">
        <v>151</v>
      </c>
      <c r="F137" s="5">
        <v>158.19999999999999</v>
      </c>
      <c r="G137" s="6">
        <v>45437</v>
      </c>
      <c r="H137" s="5"/>
      <c r="I137" s="5"/>
      <c r="J137" s="5">
        <f t="shared" ref="J137:J143" si="19">F137-E137</f>
        <v>7.1999999999999886</v>
      </c>
      <c r="K137" s="8" t="b">
        <f>E137=F127</f>
        <v>1</v>
      </c>
    </row>
    <row r="138" spans="1:11">
      <c r="A138" s="5" t="s">
        <v>273</v>
      </c>
      <c r="B138" s="6">
        <v>45438</v>
      </c>
      <c r="C138" s="7">
        <v>1</v>
      </c>
      <c r="D138" s="5">
        <v>6.72</v>
      </c>
      <c r="E138" s="5">
        <v>158.19999999999999</v>
      </c>
      <c r="F138" s="5">
        <v>187.8</v>
      </c>
      <c r="G138" s="6">
        <v>45438</v>
      </c>
      <c r="H138" s="5"/>
      <c r="I138" s="5"/>
      <c r="J138" s="5">
        <f t="shared" si="19"/>
        <v>29.600000000000023</v>
      </c>
      <c r="K138" s="8" t="b">
        <f>E138=F137</f>
        <v>1</v>
      </c>
    </row>
    <row r="139" spans="1:11">
      <c r="A139" s="5" t="s">
        <v>273</v>
      </c>
      <c r="B139" s="6">
        <v>45439</v>
      </c>
      <c r="C139" s="7">
        <v>1</v>
      </c>
      <c r="D139" s="5">
        <v>6.72</v>
      </c>
      <c r="E139" s="5">
        <v>187.8</v>
      </c>
      <c r="F139" s="5">
        <v>202.2</v>
      </c>
      <c r="G139" s="6">
        <v>45439</v>
      </c>
      <c r="H139" s="5"/>
      <c r="I139" s="5"/>
      <c r="J139" s="5">
        <f t="shared" si="19"/>
        <v>14.399999999999977</v>
      </c>
      <c r="K139" s="8" t="b">
        <f t="shared" ref="K139:K194" si="20">E139=F138</f>
        <v>1</v>
      </c>
    </row>
    <row r="140" spans="1:11">
      <c r="A140" s="5" t="s">
        <v>273</v>
      </c>
      <c r="B140" s="6">
        <v>45440</v>
      </c>
      <c r="C140" s="7">
        <v>1</v>
      </c>
      <c r="D140" s="5">
        <v>6.72</v>
      </c>
      <c r="E140" s="5">
        <v>202.2</v>
      </c>
      <c r="F140" s="5">
        <v>217.2</v>
      </c>
      <c r="G140" s="6">
        <v>45440</v>
      </c>
      <c r="H140" s="5"/>
      <c r="I140" s="5"/>
      <c r="J140" s="5">
        <f t="shared" si="19"/>
        <v>15</v>
      </c>
      <c r="K140" s="8" t="b">
        <f t="shared" si="20"/>
        <v>1</v>
      </c>
    </row>
    <row r="141" spans="1:11">
      <c r="A141" s="5" t="s">
        <v>273</v>
      </c>
      <c r="B141" s="6">
        <v>45441</v>
      </c>
      <c r="C141" s="7">
        <v>1</v>
      </c>
      <c r="D141" s="5">
        <v>6.72</v>
      </c>
      <c r="E141" s="5">
        <v>217.2</v>
      </c>
      <c r="F141" s="5">
        <v>231.7</v>
      </c>
      <c r="G141" s="6">
        <v>45441</v>
      </c>
      <c r="H141" s="5"/>
      <c r="I141" s="5"/>
      <c r="J141" s="5">
        <f t="shared" si="19"/>
        <v>14.5</v>
      </c>
      <c r="K141" s="8" t="b">
        <f t="shared" si="20"/>
        <v>1</v>
      </c>
    </row>
    <row r="142" spans="1:11">
      <c r="A142" s="5" t="s">
        <v>273</v>
      </c>
      <c r="B142" s="6">
        <v>45442</v>
      </c>
      <c r="C142" s="7">
        <v>1</v>
      </c>
      <c r="D142" s="5">
        <v>6.72</v>
      </c>
      <c r="E142" s="5">
        <v>231.7</v>
      </c>
      <c r="F142" s="5">
        <v>246.1</v>
      </c>
      <c r="G142" s="6">
        <v>45442</v>
      </c>
      <c r="H142" s="5"/>
      <c r="I142" s="5"/>
      <c r="J142" s="5">
        <f t="shared" si="19"/>
        <v>14.400000000000006</v>
      </c>
      <c r="K142" s="8" t="b">
        <f t="shared" si="20"/>
        <v>1</v>
      </c>
    </row>
    <row r="143" spans="1:11">
      <c r="A143" s="5" t="s">
        <v>273</v>
      </c>
      <c r="B143" s="6">
        <v>45443</v>
      </c>
      <c r="C143" s="7">
        <v>1</v>
      </c>
      <c r="D143" s="5">
        <v>6.72</v>
      </c>
      <c r="E143" s="5">
        <v>246.9</v>
      </c>
      <c r="F143" s="5">
        <v>260.89999999999998</v>
      </c>
      <c r="G143" s="6">
        <v>45443</v>
      </c>
      <c r="H143" s="5"/>
      <c r="I143" s="5"/>
      <c r="J143" s="5">
        <f t="shared" si="19"/>
        <v>13.999999999999972</v>
      </c>
      <c r="K143" s="8" t="b">
        <f t="shared" si="20"/>
        <v>0</v>
      </c>
    </row>
    <row r="144" spans="1:11">
      <c r="A144" s="5" t="s">
        <v>273</v>
      </c>
      <c r="B144" s="6">
        <v>45444</v>
      </c>
      <c r="C144" s="7">
        <v>1</v>
      </c>
      <c r="D144" s="5">
        <v>6.72</v>
      </c>
      <c r="E144" s="5">
        <v>260.89999999999998</v>
      </c>
      <c r="F144" s="5">
        <v>274.89999999999998</v>
      </c>
      <c r="G144" s="6">
        <v>45444</v>
      </c>
      <c r="H144" s="5"/>
      <c r="I144" s="5"/>
      <c r="J144" s="5">
        <f t="shared" ref="J144:J176" si="21">F144-E144</f>
        <v>14</v>
      </c>
      <c r="K144" s="8" t="b">
        <f t="shared" si="20"/>
        <v>1</v>
      </c>
    </row>
    <row r="145" spans="1:11">
      <c r="A145" s="5" t="s">
        <v>273</v>
      </c>
      <c r="B145" s="6">
        <v>45445</v>
      </c>
      <c r="C145" s="7">
        <v>1</v>
      </c>
      <c r="D145" s="5">
        <v>6.72</v>
      </c>
      <c r="E145" s="5">
        <v>274.89999999999998</v>
      </c>
      <c r="F145" s="5">
        <v>289.3</v>
      </c>
      <c r="G145" s="6">
        <v>45445</v>
      </c>
      <c r="H145" s="5"/>
      <c r="I145" s="5"/>
      <c r="J145" s="5">
        <f t="shared" si="21"/>
        <v>14.400000000000034</v>
      </c>
      <c r="K145" s="8" t="b">
        <f t="shared" si="20"/>
        <v>1</v>
      </c>
    </row>
    <row r="146" spans="1:11">
      <c r="A146" s="5" t="s">
        <v>273</v>
      </c>
      <c r="B146" s="6">
        <v>45446</v>
      </c>
      <c r="C146" s="7">
        <v>1</v>
      </c>
      <c r="D146" s="5">
        <v>6.72</v>
      </c>
      <c r="E146" s="5">
        <v>289.3</v>
      </c>
      <c r="F146" s="5">
        <v>303.7</v>
      </c>
      <c r="G146" s="6">
        <v>45446</v>
      </c>
      <c r="H146" s="5"/>
      <c r="I146" s="5"/>
      <c r="J146" s="5">
        <f t="shared" si="21"/>
        <v>14.399999999999977</v>
      </c>
      <c r="K146" s="8" t="b">
        <f t="shared" si="20"/>
        <v>1</v>
      </c>
    </row>
    <row r="147" spans="1:11">
      <c r="A147" s="5" t="s">
        <v>273</v>
      </c>
      <c r="B147" s="6">
        <v>45447</v>
      </c>
      <c r="C147" s="7">
        <v>1</v>
      </c>
      <c r="D147" s="5">
        <v>6.72</v>
      </c>
      <c r="E147" s="5">
        <v>303.7</v>
      </c>
      <c r="F147" s="5">
        <v>318.5</v>
      </c>
      <c r="G147" s="6">
        <v>45447</v>
      </c>
      <c r="H147" s="5"/>
      <c r="I147" s="5"/>
      <c r="J147" s="5">
        <f t="shared" si="21"/>
        <v>14.800000000000011</v>
      </c>
      <c r="K147" s="8" t="b">
        <f t="shared" si="20"/>
        <v>1</v>
      </c>
    </row>
    <row r="148" spans="1:11">
      <c r="A148" s="5" t="s">
        <v>273</v>
      </c>
      <c r="B148" s="6">
        <v>45448</v>
      </c>
      <c r="C148" s="7">
        <v>1</v>
      </c>
      <c r="D148" s="5">
        <v>6.72</v>
      </c>
      <c r="E148" s="5">
        <v>318.5</v>
      </c>
      <c r="F148" s="5">
        <v>333.8</v>
      </c>
      <c r="G148" s="6">
        <v>45448</v>
      </c>
      <c r="H148" s="5"/>
      <c r="I148" s="5"/>
      <c r="J148" s="5">
        <f t="shared" si="21"/>
        <v>15.300000000000011</v>
      </c>
      <c r="K148" s="8" t="b">
        <f t="shared" si="20"/>
        <v>1</v>
      </c>
    </row>
    <row r="149" spans="1:11">
      <c r="A149" s="5" t="s">
        <v>273</v>
      </c>
      <c r="B149" s="6">
        <v>45453</v>
      </c>
      <c r="C149" s="7">
        <v>0.8</v>
      </c>
      <c r="D149" s="5">
        <v>8.4</v>
      </c>
      <c r="E149" s="5">
        <v>333.8</v>
      </c>
      <c r="F149" s="5">
        <v>350.8</v>
      </c>
      <c r="G149" s="6">
        <v>45453</v>
      </c>
      <c r="H149" s="5"/>
      <c r="I149" s="5"/>
      <c r="J149" s="5">
        <f t="shared" si="21"/>
        <v>17</v>
      </c>
      <c r="K149" s="8" t="b">
        <f t="shared" si="20"/>
        <v>1</v>
      </c>
    </row>
    <row r="150" spans="1:11">
      <c r="A150" s="5" t="s">
        <v>273</v>
      </c>
      <c r="B150" s="6">
        <v>45455</v>
      </c>
      <c r="C150" s="7">
        <v>1</v>
      </c>
      <c r="D150" s="5">
        <v>6.72</v>
      </c>
      <c r="E150" s="5">
        <v>350.8</v>
      </c>
      <c r="F150" s="5">
        <v>365.1</v>
      </c>
      <c r="G150" s="6">
        <v>45455</v>
      </c>
      <c r="H150" s="5"/>
      <c r="I150" s="5"/>
      <c r="J150" s="5">
        <f t="shared" si="21"/>
        <v>14.300000000000011</v>
      </c>
      <c r="K150" s="8" t="b">
        <f t="shared" si="20"/>
        <v>1</v>
      </c>
    </row>
    <row r="151" spans="1:11">
      <c r="A151" s="5" t="s">
        <v>273</v>
      </c>
      <c r="B151" s="6">
        <v>45458</v>
      </c>
      <c r="C151" s="7">
        <v>0.8</v>
      </c>
      <c r="D151" s="5">
        <v>8.4</v>
      </c>
      <c r="E151" s="5">
        <v>365.1</v>
      </c>
      <c r="F151" s="5">
        <v>383.1</v>
      </c>
      <c r="G151" s="6">
        <v>45458</v>
      </c>
      <c r="H151" s="5"/>
      <c r="I151" s="5"/>
      <c r="J151" s="5">
        <f t="shared" si="21"/>
        <v>18</v>
      </c>
      <c r="K151" s="8" t="b">
        <f t="shared" si="20"/>
        <v>1</v>
      </c>
    </row>
    <row r="152" spans="1:11">
      <c r="A152" s="5" t="s">
        <v>273</v>
      </c>
      <c r="B152" s="6">
        <v>45460</v>
      </c>
      <c r="C152" s="7">
        <v>0.8</v>
      </c>
      <c r="D152" s="5">
        <v>8.4</v>
      </c>
      <c r="E152" s="5">
        <v>383.1</v>
      </c>
      <c r="F152" s="5">
        <v>401</v>
      </c>
      <c r="G152" s="6">
        <v>45460</v>
      </c>
      <c r="H152" s="5"/>
      <c r="I152" s="5"/>
      <c r="J152" s="5">
        <f t="shared" si="21"/>
        <v>17.899999999999977</v>
      </c>
      <c r="K152" s="8" t="b">
        <f t="shared" si="20"/>
        <v>1</v>
      </c>
    </row>
    <row r="153" spans="1:11">
      <c r="A153" s="5" t="s">
        <v>273</v>
      </c>
      <c r="B153" s="6">
        <v>45462</v>
      </c>
      <c r="C153" s="7">
        <v>0.8</v>
      </c>
      <c r="D153" s="5">
        <v>8.4</v>
      </c>
      <c r="E153" s="5">
        <v>401</v>
      </c>
      <c r="F153" s="5">
        <v>419.1</v>
      </c>
      <c r="G153" s="6">
        <v>45462</v>
      </c>
      <c r="H153" s="5"/>
      <c r="I153" s="5"/>
      <c r="J153" s="5">
        <f t="shared" si="21"/>
        <v>18.100000000000023</v>
      </c>
      <c r="K153" s="8" t="b">
        <f t="shared" si="20"/>
        <v>1</v>
      </c>
    </row>
    <row r="154" spans="1:11">
      <c r="A154" s="5" t="s">
        <v>273</v>
      </c>
      <c r="B154" s="6">
        <v>45463</v>
      </c>
      <c r="C154" s="7">
        <v>1</v>
      </c>
      <c r="D154" s="5">
        <v>6.72</v>
      </c>
      <c r="E154" s="5">
        <v>419.1</v>
      </c>
      <c r="F154" s="5">
        <v>433.8</v>
      </c>
      <c r="G154" s="6">
        <v>45463</v>
      </c>
      <c r="H154" s="5"/>
      <c r="I154" s="5"/>
      <c r="J154" s="5">
        <f t="shared" si="21"/>
        <v>14.699999999999989</v>
      </c>
      <c r="K154" s="8" t="b">
        <f t="shared" si="20"/>
        <v>1</v>
      </c>
    </row>
    <row r="155" spans="1:11">
      <c r="A155" s="5" t="s">
        <v>273</v>
      </c>
      <c r="B155" s="6">
        <v>45465</v>
      </c>
      <c r="C155" s="7">
        <v>0.7</v>
      </c>
      <c r="D155" s="5">
        <v>9.6</v>
      </c>
      <c r="E155" s="5">
        <v>433.8</v>
      </c>
      <c r="F155" s="5">
        <v>454.5</v>
      </c>
      <c r="G155" s="6">
        <v>45465</v>
      </c>
      <c r="H155" s="5"/>
      <c r="I155" s="5"/>
      <c r="J155" s="5">
        <f t="shared" si="21"/>
        <v>20.699999999999989</v>
      </c>
      <c r="K155" s="8" t="b">
        <f t="shared" si="20"/>
        <v>1</v>
      </c>
    </row>
    <row r="156" spans="1:11">
      <c r="A156" s="5" t="s">
        <v>273</v>
      </c>
      <c r="B156" s="6">
        <v>45467</v>
      </c>
      <c r="C156" s="7">
        <v>0.8</v>
      </c>
      <c r="D156" s="5">
        <v>8.4</v>
      </c>
      <c r="E156" s="5">
        <v>454.5</v>
      </c>
      <c r="F156" s="5">
        <v>472.3</v>
      </c>
      <c r="G156" s="6">
        <v>45467</v>
      </c>
      <c r="H156" s="5"/>
      <c r="I156" s="5"/>
      <c r="J156" s="5">
        <f t="shared" si="21"/>
        <v>17.800000000000011</v>
      </c>
      <c r="K156" s="8" t="b">
        <f t="shared" si="20"/>
        <v>1</v>
      </c>
    </row>
    <row r="157" spans="1:11">
      <c r="A157" s="5" t="s">
        <v>273</v>
      </c>
      <c r="B157" s="6">
        <v>45469</v>
      </c>
      <c r="C157" s="7">
        <v>0.75</v>
      </c>
      <c r="D157" s="5">
        <v>8.9600000000000009</v>
      </c>
      <c r="E157" s="5">
        <v>472.3</v>
      </c>
      <c r="F157" s="5">
        <v>491.3</v>
      </c>
      <c r="G157" s="6">
        <v>45469</v>
      </c>
      <c r="H157" s="5"/>
      <c r="I157" s="5"/>
      <c r="J157" s="5">
        <f t="shared" si="21"/>
        <v>19</v>
      </c>
      <c r="K157" s="8" t="b">
        <f t="shared" si="20"/>
        <v>1</v>
      </c>
    </row>
    <row r="158" spans="1:11">
      <c r="A158" s="5" t="s">
        <v>273</v>
      </c>
      <c r="B158" s="6">
        <v>45470</v>
      </c>
      <c r="C158" s="7">
        <v>1</v>
      </c>
      <c r="D158" s="5">
        <v>6.72</v>
      </c>
      <c r="E158" s="5">
        <v>491.3</v>
      </c>
      <c r="F158" s="5">
        <v>506.2</v>
      </c>
      <c r="G158" s="6">
        <v>45470</v>
      </c>
      <c r="H158" s="5"/>
      <c r="I158" s="5"/>
      <c r="J158" s="5">
        <f t="shared" si="21"/>
        <v>14.899999999999977</v>
      </c>
      <c r="K158" s="8" t="b">
        <f t="shared" si="20"/>
        <v>1</v>
      </c>
    </row>
    <row r="159" spans="1:11">
      <c r="A159" s="5" t="s">
        <v>273</v>
      </c>
      <c r="B159" s="6">
        <v>45472</v>
      </c>
      <c r="C159" s="7">
        <v>0.65</v>
      </c>
      <c r="D159" s="5">
        <v>10.34</v>
      </c>
      <c r="E159" s="5">
        <v>506.2</v>
      </c>
      <c r="F159" s="5">
        <v>528.29999999999995</v>
      </c>
      <c r="G159" s="6">
        <v>45472</v>
      </c>
      <c r="H159" s="5"/>
      <c r="I159" s="5"/>
      <c r="J159" s="5">
        <f t="shared" si="21"/>
        <v>22.099999999999966</v>
      </c>
      <c r="K159" s="8" t="b">
        <f t="shared" si="20"/>
        <v>1</v>
      </c>
    </row>
    <row r="160" spans="1:11">
      <c r="A160" s="5" t="s">
        <v>273</v>
      </c>
      <c r="B160" s="6">
        <v>45474</v>
      </c>
      <c r="C160" s="7">
        <v>0.7</v>
      </c>
      <c r="D160" s="5">
        <v>10.4</v>
      </c>
      <c r="E160" s="5">
        <v>528.29999999999995</v>
      </c>
      <c r="F160" s="5">
        <v>548.79999999999995</v>
      </c>
      <c r="G160" s="6">
        <v>45474</v>
      </c>
      <c r="H160" s="5"/>
      <c r="I160" s="5"/>
      <c r="J160" s="5">
        <f t="shared" si="21"/>
        <v>20.5</v>
      </c>
      <c r="K160" s="8" t="b">
        <f t="shared" si="20"/>
        <v>1</v>
      </c>
    </row>
    <row r="161" spans="1:11">
      <c r="A161" s="5" t="s">
        <v>273</v>
      </c>
      <c r="B161" s="6">
        <v>45476</v>
      </c>
      <c r="C161" s="7">
        <v>0.65</v>
      </c>
      <c r="D161" s="5">
        <v>11.2</v>
      </c>
      <c r="E161" s="5">
        <v>548.79999999999995</v>
      </c>
      <c r="F161" s="5">
        <v>567.79999999999995</v>
      </c>
      <c r="G161" s="6">
        <v>45476</v>
      </c>
      <c r="H161" s="5"/>
      <c r="I161" s="5"/>
      <c r="J161" s="5">
        <f t="shared" si="21"/>
        <v>19</v>
      </c>
      <c r="K161" s="8" t="b">
        <f t="shared" si="20"/>
        <v>1</v>
      </c>
    </row>
    <row r="162" spans="1:11">
      <c r="A162" s="5" t="s">
        <v>273</v>
      </c>
      <c r="B162" s="6">
        <v>45478</v>
      </c>
      <c r="C162" s="7">
        <v>0.65</v>
      </c>
      <c r="D162" s="5">
        <v>11.2</v>
      </c>
      <c r="E162" s="5">
        <v>567.79999999999995</v>
      </c>
      <c r="F162" s="5">
        <v>589.9</v>
      </c>
      <c r="G162" s="6">
        <v>45478</v>
      </c>
      <c r="H162" s="5"/>
      <c r="I162" s="5"/>
      <c r="J162" s="5">
        <f t="shared" si="21"/>
        <v>22.100000000000023</v>
      </c>
      <c r="K162" s="8" t="b">
        <f t="shared" si="20"/>
        <v>1</v>
      </c>
    </row>
    <row r="163" spans="1:11">
      <c r="A163" s="5" t="s">
        <v>273</v>
      </c>
      <c r="B163" s="6">
        <v>45480</v>
      </c>
      <c r="C163" s="7">
        <v>0.75</v>
      </c>
      <c r="D163" s="5">
        <v>9.6999999999999993</v>
      </c>
      <c r="E163" s="5">
        <v>589.9</v>
      </c>
      <c r="F163" s="5">
        <v>608.9</v>
      </c>
      <c r="G163" s="6">
        <v>45480</v>
      </c>
      <c r="H163" s="5"/>
      <c r="I163" s="5"/>
      <c r="J163" s="5">
        <f t="shared" si="21"/>
        <v>19</v>
      </c>
      <c r="K163" s="8" t="b">
        <f t="shared" si="20"/>
        <v>1</v>
      </c>
    </row>
    <row r="164" spans="1:11">
      <c r="A164" s="5" t="s">
        <v>273</v>
      </c>
      <c r="B164" s="6">
        <v>45482</v>
      </c>
      <c r="C164" s="7">
        <v>0.75</v>
      </c>
      <c r="D164" s="5">
        <v>9.6999999999999993</v>
      </c>
      <c r="E164" s="5">
        <v>608.9</v>
      </c>
      <c r="F164" s="5">
        <v>628.70000000000005</v>
      </c>
      <c r="G164" s="6">
        <v>45482</v>
      </c>
      <c r="H164" s="5"/>
      <c r="I164" s="5"/>
      <c r="J164" s="5">
        <f t="shared" si="21"/>
        <v>19.800000000000068</v>
      </c>
      <c r="K164" s="8" t="b">
        <f t="shared" si="20"/>
        <v>1</v>
      </c>
    </row>
    <row r="165" spans="1:11">
      <c r="A165" s="5" t="s">
        <v>273</v>
      </c>
      <c r="B165" s="6">
        <v>45484</v>
      </c>
      <c r="C165" s="7">
        <v>0.7</v>
      </c>
      <c r="D165" s="5">
        <v>10.4</v>
      </c>
      <c r="E165" s="5">
        <v>628.70000000000005</v>
      </c>
      <c r="F165" s="5">
        <v>649.6</v>
      </c>
      <c r="G165" s="6">
        <v>45484</v>
      </c>
      <c r="H165" s="5"/>
      <c r="I165" s="5"/>
      <c r="J165" s="5">
        <f t="shared" si="21"/>
        <v>20.899999999999977</v>
      </c>
      <c r="K165" s="8" t="b">
        <f t="shared" si="20"/>
        <v>1</v>
      </c>
    </row>
    <row r="166" spans="1:11">
      <c r="A166" s="5" t="s">
        <v>273</v>
      </c>
      <c r="B166" s="6">
        <v>45486</v>
      </c>
      <c r="C166" s="7">
        <v>0.6</v>
      </c>
      <c r="D166" s="5">
        <v>11.2</v>
      </c>
      <c r="E166" s="5">
        <v>649.6</v>
      </c>
      <c r="F166" s="5">
        <v>672.8</v>
      </c>
      <c r="G166" s="6">
        <v>45486</v>
      </c>
      <c r="H166" s="5"/>
      <c r="I166" s="5"/>
      <c r="J166" s="5">
        <f t="shared" si="21"/>
        <v>23.199999999999932</v>
      </c>
      <c r="K166" s="8" t="b">
        <f t="shared" si="20"/>
        <v>1</v>
      </c>
    </row>
    <row r="167" spans="1:11">
      <c r="A167" s="5" t="s">
        <v>273</v>
      </c>
      <c r="B167" s="6">
        <v>45489</v>
      </c>
      <c r="C167" s="7">
        <v>1</v>
      </c>
      <c r="D167" s="5">
        <v>7.28</v>
      </c>
      <c r="E167" s="5">
        <v>672.8</v>
      </c>
      <c r="F167" s="5">
        <v>687.9</v>
      </c>
      <c r="G167" s="6">
        <v>45489</v>
      </c>
      <c r="H167" s="5"/>
      <c r="I167" s="5"/>
      <c r="J167" s="5">
        <f t="shared" si="21"/>
        <v>15.100000000000023</v>
      </c>
      <c r="K167" s="8" t="b">
        <f t="shared" si="20"/>
        <v>1</v>
      </c>
    </row>
    <row r="168" spans="1:11">
      <c r="A168" s="5" t="s">
        <v>273</v>
      </c>
      <c r="B168" s="6">
        <v>45491</v>
      </c>
      <c r="C168" s="7">
        <v>0.7</v>
      </c>
      <c r="D168" s="5">
        <v>10.4</v>
      </c>
      <c r="E168" s="5">
        <v>687.9</v>
      </c>
      <c r="F168" s="5">
        <v>708.9</v>
      </c>
      <c r="G168" s="6">
        <v>45491</v>
      </c>
      <c r="H168" s="5"/>
      <c r="I168" s="5"/>
      <c r="J168" s="5">
        <f t="shared" si="21"/>
        <v>21</v>
      </c>
      <c r="K168" s="8" t="b">
        <f t="shared" si="20"/>
        <v>1</v>
      </c>
    </row>
    <row r="169" spans="1:11">
      <c r="A169" s="5" t="s">
        <v>273</v>
      </c>
      <c r="B169" s="6">
        <v>45493</v>
      </c>
      <c r="C169" s="7">
        <v>0.7</v>
      </c>
      <c r="D169" s="5">
        <v>10.4</v>
      </c>
      <c r="E169" s="5">
        <v>708.9</v>
      </c>
      <c r="F169" s="5">
        <v>729.5</v>
      </c>
      <c r="G169" s="6">
        <v>45493</v>
      </c>
      <c r="H169" s="5"/>
      <c r="I169" s="5"/>
      <c r="J169" s="5">
        <f t="shared" si="21"/>
        <v>20.600000000000023</v>
      </c>
      <c r="K169" s="8" t="b">
        <f t="shared" si="20"/>
        <v>1</v>
      </c>
    </row>
    <row r="170" spans="1:11">
      <c r="A170" s="5" t="s">
        <v>273</v>
      </c>
      <c r="B170" s="6">
        <v>45495</v>
      </c>
      <c r="C170" s="7">
        <v>1</v>
      </c>
      <c r="D170" s="5">
        <v>7.28</v>
      </c>
      <c r="E170" s="5">
        <v>729.5</v>
      </c>
      <c r="F170" s="5">
        <v>744.9</v>
      </c>
      <c r="G170" s="6">
        <v>45495</v>
      </c>
      <c r="H170" s="5"/>
      <c r="I170" s="5"/>
      <c r="J170" s="5">
        <f t="shared" si="21"/>
        <v>15.399999999999977</v>
      </c>
      <c r="K170" s="8" t="b">
        <f t="shared" si="20"/>
        <v>1</v>
      </c>
    </row>
    <row r="171" spans="1:11">
      <c r="A171" s="5" t="s">
        <v>273</v>
      </c>
      <c r="B171" s="6">
        <v>45496</v>
      </c>
      <c r="C171" s="7">
        <v>1</v>
      </c>
      <c r="D171" s="5">
        <v>7.28</v>
      </c>
      <c r="E171" s="5">
        <v>744.9</v>
      </c>
      <c r="F171" s="5">
        <v>758</v>
      </c>
      <c r="G171" s="6">
        <v>45496</v>
      </c>
      <c r="H171" s="5"/>
      <c r="I171" s="5"/>
      <c r="J171" s="5">
        <f t="shared" si="21"/>
        <v>13.100000000000023</v>
      </c>
      <c r="K171" s="8" t="b">
        <f t="shared" si="20"/>
        <v>1</v>
      </c>
    </row>
    <row r="172" spans="1:11">
      <c r="A172" s="5" t="s">
        <v>273</v>
      </c>
      <c r="B172" s="6">
        <v>45499</v>
      </c>
      <c r="C172" s="7">
        <v>1</v>
      </c>
      <c r="D172" s="5">
        <v>7.28</v>
      </c>
      <c r="E172" s="5">
        <v>758</v>
      </c>
      <c r="F172" s="5">
        <v>772.5</v>
      </c>
      <c r="G172" s="6">
        <v>45499</v>
      </c>
      <c r="H172" s="5"/>
      <c r="I172" s="5"/>
      <c r="J172" s="5">
        <f t="shared" si="21"/>
        <v>14.5</v>
      </c>
      <c r="K172" s="8" t="b">
        <f t="shared" si="20"/>
        <v>1</v>
      </c>
    </row>
    <row r="173" spans="1:11">
      <c r="A173" s="5" t="s">
        <v>273</v>
      </c>
      <c r="B173" s="6">
        <v>45501</v>
      </c>
      <c r="C173" s="7">
        <v>0.65</v>
      </c>
      <c r="D173" s="5">
        <v>11.2</v>
      </c>
      <c r="E173" s="5">
        <v>772.5</v>
      </c>
      <c r="F173" s="5">
        <v>794.4</v>
      </c>
      <c r="G173" s="6">
        <v>45501</v>
      </c>
      <c r="H173" s="5"/>
      <c r="I173" s="5"/>
      <c r="J173" s="5">
        <f t="shared" si="21"/>
        <v>21.899999999999977</v>
      </c>
      <c r="K173" s="8" t="b">
        <f t="shared" si="20"/>
        <v>1</v>
      </c>
    </row>
    <row r="174" spans="1:11">
      <c r="A174" s="5" t="s">
        <v>273</v>
      </c>
      <c r="B174" s="6">
        <v>45503</v>
      </c>
      <c r="C174" s="7">
        <v>0.65</v>
      </c>
      <c r="D174" s="5">
        <v>11.2</v>
      </c>
      <c r="E174" s="5">
        <v>794.4</v>
      </c>
      <c r="F174" s="5">
        <v>816.6</v>
      </c>
      <c r="G174" s="6">
        <v>45503</v>
      </c>
      <c r="H174" s="5"/>
      <c r="I174" s="5"/>
      <c r="J174" s="5">
        <f t="shared" si="21"/>
        <v>22.200000000000045</v>
      </c>
      <c r="K174" s="8" t="b">
        <f t="shared" si="20"/>
        <v>1</v>
      </c>
    </row>
    <row r="175" spans="1:11">
      <c r="A175" s="5" t="s">
        <v>273</v>
      </c>
      <c r="B175" s="6">
        <v>45505</v>
      </c>
      <c r="C175" s="7">
        <v>1</v>
      </c>
      <c r="D175" s="5">
        <v>6.72</v>
      </c>
      <c r="E175" s="5">
        <v>816.6</v>
      </c>
      <c r="F175" s="5">
        <v>834</v>
      </c>
      <c r="G175" s="6">
        <v>45505</v>
      </c>
      <c r="H175" s="5"/>
      <c r="I175" s="5"/>
      <c r="J175" s="5">
        <f t="shared" si="21"/>
        <v>17.399999999999977</v>
      </c>
      <c r="K175" s="8" t="b">
        <f t="shared" si="20"/>
        <v>1</v>
      </c>
    </row>
    <row r="176" spans="1:11">
      <c r="A176" s="5" t="s">
        <v>273</v>
      </c>
      <c r="B176" s="6">
        <v>45506</v>
      </c>
      <c r="C176" s="7">
        <v>1</v>
      </c>
      <c r="D176" s="5">
        <v>6.72</v>
      </c>
      <c r="E176" s="5">
        <v>834</v>
      </c>
      <c r="F176" s="5">
        <v>848.4</v>
      </c>
      <c r="G176" s="6">
        <v>45506</v>
      </c>
      <c r="H176" s="5"/>
      <c r="I176" s="5"/>
      <c r="J176" s="5">
        <f t="shared" si="21"/>
        <v>14.399999999999977</v>
      </c>
      <c r="K176" s="8" t="b">
        <f t="shared" si="20"/>
        <v>1</v>
      </c>
    </row>
    <row r="177" spans="1:11">
      <c r="A177" s="5" t="s">
        <v>273</v>
      </c>
      <c r="B177" s="6">
        <v>45507</v>
      </c>
      <c r="C177" s="7">
        <v>1</v>
      </c>
      <c r="D177" s="5">
        <v>6.72</v>
      </c>
      <c r="E177" s="5">
        <v>848.4</v>
      </c>
      <c r="F177" s="5">
        <v>862.9</v>
      </c>
      <c r="G177" s="6">
        <v>45507</v>
      </c>
      <c r="H177" s="5"/>
      <c r="I177" s="5"/>
      <c r="J177" s="5">
        <f t="shared" ref="J177:J240" si="22">F177-E177</f>
        <v>14.5</v>
      </c>
      <c r="K177" s="8" t="b">
        <f t="shared" si="20"/>
        <v>1</v>
      </c>
    </row>
    <row r="178" spans="1:11">
      <c r="A178" s="5" t="s">
        <v>273</v>
      </c>
      <c r="B178" s="6">
        <v>45508</v>
      </c>
      <c r="C178" s="7">
        <v>1</v>
      </c>
      <c r="D178" s="5">
        <v>6.72</v>
      </c>
      <c r="E178" s="5">
        <v>862.9</v>
      </c>
      <c r="F178" s="5">
        <v>877.2</v>
      </c>
      <c r="G178" s="6">
        <v>45508</v>
      </c>
      <c r="H178" s="5"/>
      <c r="I178" s="5"/>
      <c r="J178" s="5">
        <f t="shared" si="22"/>
        <v>14.300000000000068</v>
      </c>
      <c r="K178" s="8" t="b">
        <f t="shared" si="20"/>
        <v>1</v>
      </c>
    </row>
    <row r="179" spans="1:11">
      <c r="A179" s="5" t="s">
        <v>273</v>
      </c>
      <c r="B179" s="6">
        <v>45509</v>
      </c>
      <c r="C179" s="7">
        <v>1</v>
      </c>
      <c r="D179" s="5">
        <v>6.72</v>
      </c>
      <c r="E179" s="5">
        <v>877.2</v>
      </c>
      <c r="F179" s="5">
        <v>889</v>
      </c>
      <c r="G179" s="6">
        <v>45509</v>
      </c>
      <c r="H179" s="5"/>
      <c r="I179" s="5"/>
      <c r="J179" s="5">
        <f t="shared" si="22"/>
        <v>11.799999999999955</v>
      </c>
      <c r="K179" s="8" t="b">
        <f t="shared" si="20"/>
        <v>1</v>
      </c>
    </row>
    <row r="180" spans="1:11">
      <c r="A180" s="5" t="s">
        <v>273</v>
      </c>
      <c r="B180" s="6">
        <v>45510</v>
      </c>
      <c r="C180" s="7">
        <v>1</v>
      </c>
      <c r="D180" s="5">
        <v>6.72</v>
      </c>
      <c r="E180" s="5">
        <v>889</v>
      </c>
      <c r="F180" s="5">
        <v>903.3</v>
      </c>
      <c r="G180" s="6">
        <v>45510</v>
      </c>
      <c r="H180" s="5"/>
      <c r="I180" s="5"/>
      <c r="J180" s="5">
        <f t="shared" si="22"/>
        <v>14.299999999999955</v>
      </c>
      <c r="K180" s="8" t="b">
        <f t="shared" si="20"/>
        <v>1</v>
      </c>
    </row>
    <row r="181" spans="1:11">
      <c r="A181" s="5" t="s">
        <v>273</v>
      </c>
      <c r="B181" s="6">
        <v>45512</v>
      </c>
      <c r="C181" s="7">
        <v>1</v>
      </c>
      <c r="D181" s="5">
        <v>6.72</v>
      </c>
      <c r="E181" s="5">
        <v>903.3</v>
      </c>
      <c r="F181" s="5">
        <v>917.7</v>
      </c>
      <c r="G181" s="6">
        <v>45512</v>
      </c>
      <c r="H181" s="5"/>
      <c r="I181" s="5"/>
      <c r="J181" s="5">
        <f t="shared" si="22"/>
        <v>14.400000000000091</v>
      </c>
      <c r="K181" s="8" t="b">
        <f t="shared" si="20"/>
        <v>1</v>
      </c>
    </row>
    <row r="182" spans="1:11">
      <c r="A182" s="5" t="s">
        <v>273</v>
      </c>
      <c r="B182" s="6">
        <v>45513</v>
      </c>
      <c r="C182" s="7">
        <v>0.85</v>
      </c>
      <c r="D182" s="5">
        <v>7.41</v>
      </c>
      <c r="E182" s="5">
        <v>917.7</v>
      </c>
      <c r="F182" s="5">
        <v>934.6</v>
      </c>
      <c r="G182" s="6">
        <v>45513</v>
      </c>
      <c r="H182" s="5"/>
      <c r="I182" s="5"/>
      <c r="J182" s="5">
        <f t="shared" si="22"/>
        <v>16.899999999999977</v>
      </c>
      <c r="K182" s="8" t="b">
        <f t="shared" si="20"/>
        <v>1</v>
      </c>
    </row>
    <row r="183" spans="1:11">
      <c r="A183" s="5" t="s">
        <v>273</v>
      </c>
      <c r="B183" s="6">
        <v>45515</v>
      </c>
      <c r="C183" s="7">
        <v>0.8</v>
      </c>
      <c r="D183" s="5">
        <v>8.4</v>
      </c>
      <c r="E183" s="5">
        <v>934.6</v>
      </c>
      <c r="F183" s="5">
        <v>952.7</v>
      </c>
      <c r="G183" s="6">
        <v>45515</v>
      </c>
      <c r="H183" s="5"/>
      <c r="I183" s="5"/>
      <c r="J183" s="5">
        <f t="shared" si="22"/>
        <v>18.100000000000023</v>
      </c>
      <c r="K183" s="8" t="b">
        <f t="shared" si="20"/>
        <v>1</v>
      </c>
    </row>
    <row r="184" spans="1:11">
      <c r="A184" s="5" t="s">
        <v>273</v>
      </c>
      <c r="B184" s="6">
        <v>45517</v>
      </c>
      <c r="C184" s="7">
        <v>0.9</v>
      </c>
      <c r="D184" s="5">
        <v>7</v>
      </c>
      <c r="E184" s="5">
        <v>952.7</v>
      </c>
      <c r="F184" s="5">
        <v>968.5</v>
      </c>
      <c r="G184" s="6">
        <v>45517</v>
      </c>
      <c r="H184" s="5"/>
      <c r="I184" s="5"/>
      <c r="J184" s="5">
        <f t="shared" si="22"/>
        <v>15.799999999999955</v>
      </c>
      <c r="K184" s="8" t="b">
        <f t="shared" si="20"/>
        <v>1</v>
      </c>
    </row>
    <row r="185" spans="1:11">
      <c r="A185" s="5" t="s">
        <v>273</v>
      </c>
      <c r="B185" s="6">
        <v>45518</v>
      </c>
      <c r="C185" s="7">
        <v>1</v>
      </c>
      <c r="D185" s="5">
        <v>6.72</v>
      </c>
      <c r="E185" s="5">
        <v>968.5</v>
      </c>
      <c r="F185" s="5">
        <v>983.6</v>
      </c>
      <c r="G185" s="6">
        <v>45518</v>
      </c>
      <c r="H185" s="5"/>
      <c r="I185" s="5"/>
      <c r="J185" s="5">
        <f t="shared" si="22"/>
        <v>15.100000000000023</v>
      </c>
      <c r="K185" s="8" t="b">
        <f t="shared" si="20"/>
        <v>1</v>
      </c>
    </row>
    <row r="186" spans="1:11">
      <c r="A186" s="5" t="s">
        <v>273</v>
      </c>
      <c r="B186" s="6">
        <v>45520</v>
      </c>
      <c r="C186" s="7">
        <v>0.8</v>
      </c>
      <c r="D186" s="5">
        <v>8.4</v>
      </c>
      <c r="E186" s="5">
        <v>983.6</v>
      </c>
      <c r="F186" s="5">
        <v>1001.5</v>
      </c>
      <c r="G186" s="6">
        <v>45520</v>
      </c>
      <c r="H186" s="5"/>
      <c r="I186" s="5"/>
      <c r="J186" s="5">
        <f t="shared" si="22"/>
        <v>17.899999999999977</v>
      </c>
      <c r="K186" s="8" t="b">
        <f t="shared" si="20"/>
        <v>1</v>
      </c>
    </row>
    <row r="187" spans="1:11">
      <c r="A187" s="5" t="s">
        <v>273</v>
      </c>
      <c r="B187" s="6">
        <v>45522</v>
      </c>
      <c r="C187" s="7">
        <v>0.8</v>
      </c>
      <c r="D187" s="5">
        <v>8.4</v>
      </c>
      <c r="E187" s="5">
        <v>1001.5</v>
      </c>
      <c r="F187" s="5">
        <v>1020</v>
      </c>
      <c r="G187" s="6">
        <v>45522</v>
      </c>
      <c r="H187" s="5"/>
      <c r="I187" s="5"/>
      <c r="J187" s="5">
        <f t="shared" si="22"/>
        <v>18.5</v>
      </c>
      <c r="K187" s="8" t="b">
        <f t="shared" si="20"/>
        <v>1</v>
      </c>
    </row>
    <row r="188" spans="1:11">
      <c r="A188" s="5" t="s">
        <v>273</v>
      </c>
      <c r="B188" s="6">
        <v>45523</v>
      </c>
      <c r="C188" s="7">
        <v>1</v>
      </c>
      <c r="D188" s="5">
        <v>6.72</v>
      </c>
      <c r="E188" s="5">
        <v>1020</v>
      </c>
      <c r="F188" s="5">
        <v>1034</v>
      </c>
      <c r="G188" s="6">
        <v>45523</v>
      </c>
      <c r="H188" s="5"/>
      <c r="I188" s="5"/>
      <c r="J188" s="5">
        <f t="shared" si="22"/>
        <v>14</v>
      </c>
      <c r="K188" s="8" t="b">
        <f t="shared" si="20"/>
        <v>1</v>
      </c>
    </row>
    <row r="189" spans="1:11">
      <c r="A189" s="5" t="s">
        <v>273</v>
      </c>
      <c r="B189" s="6">
        <v>45525</v>
      </c>
      <c r="C189" s="7">
        <v>1</v>
      </c>
      <c r="D189" s="5">
        <v>6.72</v>
      </c>
      <c r="E189" s="5">
        <v>1034</v>
      </c>
      <c r="F189" s="5">
        <v>1048.4000000000001</v>
      </c>
      <c r="G189" s="6">
        <v>45525</v>
      </c>
      <c r="H189" s="5"/>
      <c r="I189" s="5"/>
      <c r="J189" s="5">
        <f t="shared" si="22"/>
        <v>14.400000000000091</v>
      </c>
      <c r="K189" s="8" t="b">
        <f t="shared" si="20"/>
        <v>1</v>
      </c>
    </row>
    <row r="190" spans="1:11">
      <c r="A190" s="5" t="s">
        <v>273</v>
      </c>
      <c r="B190" s="6">
        <v>45526</v>
      </c>
      <c r="C190" s="7">
        <v>1</v>
      </c>
      <c r="D190" s="5">
        <v>6.72</v>
      </c>
      <c r="E190" s="5">
        <v>1048.4000000000001</v>
      </c>
      <c r="F190" s="5">
        <v>1062.8</v>
      </c>
      <c r="G190" s="6">
        <v>45526</v>
      </c>
      <c r="H190" s="5"/>
      <c r="I190" s="5"/>
      <c r="J190" s="5">
        <f t="shared" si="22"/>
        <v>14.399999999999864</v>
      </c>
      <c r="K190" s="8" t="b">
        <f t="shared" si="20"/>
        <v>1</v>
      </c>
    </row>
    <row r="191" spans="1:11">
      <c r="A191" s="5" t="s">
        <v>273</v>
      </c>
      <c r="B191" s="6">
        <v>45529</v>
      </c>
      <c r="C191" s="7">
        <v>1</v>
      </c>
      <c r="D191" s="5">
        <v>6.72</v>
      </c>
      <c r="E191" s="5">
        <v>1062.8</v>
      </c>
      <c r="F191" s="5">
        <v>1070.3</v>
      </c>
      <c r="G191" s="6">
        <v>45529</v>
      </c>
      <c r="H191" s="5"/>
      <c r="I191" s="5"/>
      <c r="J191" s="5">
        <f t="shared" si="22"/>
        <v>7.5</v>
      </c>
      <c r="K191" s="8" t="b">
        <f t="shared" si="20"/>
        <v>1</v>
      </c>
    </row>
    <row r="192" spans="1:11">
      <c r="A192" s="5" t="s">
        <v>273</v>
      </c>
      <c r="B192" s="118">
        <v>45534</v>
      </c>
      <c r="C192" s="119">
        <v>1</v>
      </c>
      <c r="D192" s="120">
        <v>6.72</v>
      </c>
      <c r="E192" s="120">
        <v>1070.3</v>
      </c>
      <c r="F192" s="120">
        <v>1072.3</v>
      </c>
      <c r="G192" s="118">
        <v>45534</v>
      </c>
      <c r="H192" s="5"/>
      <c r="I192" s="5"/>
      <c r="J192" s="112">
        <f t="shared" si="22"/>
        <v>2</v>
      </c>
      <c r="K192" s="8" t="b">
        <f t="shared" si="20"/>
        <v>1</v>
      </c>
    </row>
    <row r="193" spans="1:11">
      <c r="A193" s="5" t="s">
        <v>273</v>
      </c>
      <c r="B193" s="118">
        <v>45535</v>
      </c>
      <c r="C193" s="119">
        <v>1</v>
      </c>
      <c r="D193" s="120">
        <v>6.72</v>
      </c>
      <c r="E193" s="120">
        <v>1072.3</v>
      </c>
      <c r="F193" s="120">
        <v>1076.5</v>
      </c>
      <c r="G193" s="118">
        <v>45535</v>
      </c>
      <c r="H193" s="5"/>
      <c r="I193" s="5"/>
      <c r="J193" s="112">
        <f t="shared" si="22"/>
        <v>4.2000000000000455</v>
      </c>
      <c r="K193" s="8" t="b">
        <f t="shared" si="20"/>
        <v>1</v>
      </c>
    </row>
    <row r="194" spans="1:11">
      <c r="A194" s="5" t="s">
        <v>273</v>
      </c>
      <c r="B194" s="118">
        <v>45536</v>
      </c>
      <c r="C194" s="119">
        <v>1</v>
      </c>
      <c r="D194" s="120">
        <v>6.72</v>
      </c>
      <c r="E194" s="120">
        <v>1076.5</v>
      </c>
      <c r="F194" s="120">
        <v>1080.7</v>
      </c>
      <c r="G194" s="118">
        <v>45536</v>
      </c>
      <c r="H194" s="5"/>
      <c r="I194" s="5"/>
      <c r="J194" s="112">
        <f t="shared" si="22"/>
        <v>4.2000000000000455</v>
      </c>
      <c r="K194" s="8" t="b">
        <f t="shared" si="20"/>
        <v>1</v>
      </c>
    </row>
    <row r="195" spans="1:11" hidden="1"/>
    <row r="196" spans="1:11" hidden="1"/>
    <row r="197" spans="1:11" hidden="1"/>
    <row r="198" spans="1:11" hidden="1"/>
    <row r="199" spans="1:11" hidden="1"/>
    <row r="200" spans="1:11" hidden="1"/>
    <row r="201" spans="1:11" hidden="1"/>
    <row r="202" spans="1:11" hidden="1"/>
    <row r="203" spans="1:11" ht="26.25">
      <c r="A203" s="135" t="s">
        <v>271</v>
      </c>
      <c r="B203" s="136"/>
      <c r="C203" s="136"/>
      <c r="D203" s="136"/>
      <c r="E203" s="136"/>
      <c r="F203" s="136"/>
      <c r="G203" s="136"/>
      <c r="H203" s="136"/>
      <c r="I203" s="136"/>
      <c r="J203" s="136"/>
      <c r="K203" s="137"/>
    </row>
    <row r="204" spans="1:11" ht="26.25">
      <c r="A204" s="138" t="s">
        <v>48</v>
      </c>
      <c r="B204" s="139"/>
      <c r="C204" s="139"/>
      <c r="D204" s="139"/>
      <c r="E204" s="139"/>
      <c r="F204" s="139"/>
      <c r="G204" s="139"/>
      <c r="H204" s="139"/>
      <c r="I204" s="139"/>
      <c r="J204" s="139"/>
      <c r="K204" s="140"/>
    </row>
    <row r="205" spans="1:11" ht="15.75" thickBot="1"/>
    <row r="206" spans="1:11" ht="15.75" thickBot="1">
      <c r="A206" s="132" t="s">
        <v>2</v>
      </c>
      <c r="B206" s="133"/>
      <c r="C206" s="133"/>
      <c r="D206" s="133"/>
      <c r="E206" s="133"/>
      <c r="F206" s="133"/>
      <c r="G206" s="133"/>
      <c r="H206" s="133"/>
      <c r="I206" s="133"/>
      <c r="J206" s="133"/>
      <c r="K206" s="134"/>
    </row>
    <row r="208" spans="1:11" ht="19.5" thickBot="1">
      <c r="A208" s="1" t="s">
        <v>3</v>
      </c>
      <c r="B208" s="1"/>
      <c r="C208" s="1"/>
      <c r="D208" s="1"/>
      <c r="E208" s="1"/>
      <c r="F208" s="1"/>
      <c r="G208" s="1"/>
      <c r="H208" s="1"/>
      <c r="I208" s="1"/>
    </row>
    <row r="209" spans="1:11" ht="30.75" thickBot="1">
      <c r="A209" s="2" t="s">
        <v>4</v>
      </c>
      <c r="B209" s="3" t="s">
        <v>5</v>
      </c>
      <c r="C209" s="3" t="s">
        <v>6</v>
      </c>
      <c r="D209" s="3" t="s">
        <v>7</v>
      </c>
      <c r="E209" s="3" t="s">
        <v>8</v>
      </c>
      <c r="F209" s="3" t="s">
        <v>9</v>
      </c>
      <c r="G209" s="3" t="s">
        <v>10</v>
      </c>
      <c r="H209" s="3" t="s">
        <v>21</v>
      </c>
      <c r="I209" s="4" t="s">
        <v>22</v>
      </c>
      <c r="J209" s="4" t="s">
        <v>11</v>
      </c>
      <c r="K209" s="4" t="s">
        <v>12</v>
      </c>
    </row>
    <row r="210" spans="1:11">
      <c r="A210" s="5" t="s">
        <v>273</v>
      </c>
      <c r="B210" s="6">
        <v>45557</v>
      </c>
      <c r="C210" s="7">
        <v>0.5</v>
      </c>
      <c r="D210" s="5">
        <v>12.6</v>
      </c>
      <c r="E210" s="5">
        <v>0</v>
      </c>
      <c r="F210" s="5">
        <v>31</v>
      </c>
      <c r="G210" s="6">
        <v>45557</v>
      </c>
      <c r="H210" s="5"/>
      <c r="I210" s="5"/>
      <c r="J210" s="5">
        <f t="shared" ref="J210" si="23">F210-E210</f>
        <v>31</v>
      </c>
      <c r="K210" s="8" t="b">
        <f t="shared" ref="K210" si="24">E210=F209</f>
        <v>0</v>
      </c>
    </row>
    <row r="211" spans="1:11">
      <c r="A211" s="5" t="s">
        <v>273</v>
      </c>
      <c r="B211" s="6">
        <v>45558</v>
      </c>
      <c r="C211" s="7">
        <v>1</v>
      </c>
      <c r="D211" s="5">
        <v>6.3</v>
      </c>
      <c r="E211" s="5">
        <v>31</v>
      </c>
      <c r="F211" s="5">
        <v>45.5</v>
      </c>
      <c r="G211" s="6">
        <v>45558</v>
      </c>
      <c r="H211" s="5"/>
      <c r="I211" s="5"/>
      <c r="J211" s="5">
        <f t="shared" si="22"/>
        <v>14.5</v>
      </c>
      <c r="K211" s="8" t="b">
        <f t="shared" ref="K211:K241" si="25">E211=F210</f>
        <v>1</v>
      </c>
    </row>
    <row r="212" spans="1:11">
      <c r="A212" s="5" t="s">
        <v>273</v>
      </c>
      <c r="B212" s="6">
        <v>45560</v>
      </c>
      <c r="C212" s="7">
        <v>0.8</v>
      </c>
      <c r="D212" s="5">
        <v>8.4</v>
      </c>
      <c r="E212" s="5">
        <v>45.5</v>
      </c>
      <c r="F212" s="5">
        <v>63.2</v>
      </c>
      <c r="G212" s="6">
        <v>45560</v>
      </c>
      <c r="H212" s="5"/>
      <c r="I212" s="5"/>
      <c r="J212" s="5">
        <f t="shared" si="22"/>
        <v>17.700000000000003</v>
      </c>
      <c r="K212" s="8" t="b">
        <f t="shared" si="25"/>
        <v>1</v>
      </c>
    </row>
    <row r="213" spans="1:11">
      <c r="A213" s="5" t="s">
        <v>273</v>
      </c>
      <c r="B213" s="6">
        <v>45561</v>
      </c>
      <c r="C213" s="7">
        <v>1</v>
      </c>
      <c r="D213" s="5">
        <v>6.3</v>
      </c>
      <c r="E213" s="5">
        <v>63.2</v>
      </c>
      <c r="F213" s="5">
        <v>78.2</v>
      </c>
      <c r="G213" s="6">
        <v>45561</v>
      </c>
      <c r="H213" s="5"/>
      <c r="I213" s="5"/>
      <c r="J213" s="5">
        <f t="shared" si="22"/>
        <v>15</v>
      </c>
      <c r="K213" s="8" t="b">
        <f t="shared" si="25"/>
        <v>1</v>
      </c>
    </row>
    <row r="214" spans="1:11">
      <c r="A214" s="5" t="s">
        <v>273</v>
      </c>
      <c r="B214" s="6">
        <v>45562</v>
      </c>
      <c r="C214" s="7">
        <v>1</v>
      </c>
      <c r="D214" s="5">
        <v>6.3</v>
      </c>
      <c r="E214" s="5">
        <v>78.2</v>
      </c>
      <c r="F214" s="5">
        <v>92.5</v>
      </c>
      <c r="G214" s="6">
        <v>45562</v>
      </c>
      <c r="H214" s="5"/>
      <c r="I214" s="5"/>
      <c r="J214" s="5">
        <f t="shared" si="22"/>
        <v>14.299999999999997</v>
      </c>
      <c r="K214" s="8" t="b">
        <f t="shared" si="25"/>
        <v>1</v>
      </c>
    </row>
    <row r="215" spans="1:11">
      <c r="A215" s="5" t="s">
        <v>273</v>
      </c>
      <c r="B215" s="6">
        <v>45563</v>
      </c>
      <c r="C215" s="7">
        <v>1</v>
      </c>
      <c r="D215" s="5">
        <v>6.3</v>
      </c>
      <c r="E215" s="5">
        <v>92.5</v>
      </c>
      <c r="F215" s="5">
        <v>106.4</v>
      </c>
      <c r="G215" s="6">
        <v>45563</v>
      </c>
      <c r="H215" s="5"/>
      <c r="I215" s="5"/>
      <c r="J215" s="5">
        <f t="shared" si="22"/>
        <v>13.900000000000006</v>
      </c>
      <c r="K215" s="8" t="b">
        <f t="shared" si="25"/>
        <v>1</v>
      </c>
    </row>
    <row r="216" spans="1:11">
      <c r="A216" s="5" t="s">
        <v>273</v>
      </c>
      <c r="B216" s="6">
        <v>45564</v>
      </c>
      <c r="C216" s="7">
        <v>1</v>
      </c>
      <c r="D216" s="5">
        <v>6.3</v>
      </c>
      <c r="E216" s="5">
        <v>106.4</v>
      </c>
      <c r="F216" s="5">
        <v>120.9</v>
      </c>
      <c r="G216" s="6">
        <v>45564</v>
      </c>
      <c r="H216" s="5"/>
      <c r="I216" s="5"/>
      <c r="J216" s="5">
        <f t="shared" si="22"/>
        <v>14.5</v>
      </c>
      <c r="K216" s="8" t="b">
        <f t="shared" si="25"/>
        <v>1</v>
      </c>
    </row>
    <row r="217" spans="1:11">
      <c r="A217" s="5" t="s">
        <v>273</v>
      </c>
      <c r="B217" s="6">
        <v>45565</v>
      </c>
      <c r="C217" s="7">
        <v>1</v>
      </c>
      <c r="D217" s="5">
        <v>6.3</v>
      </c>
      <c r="E217" s="5">
        <v>120.9</v>
      </c>
      <c r="F217" s="5">
        <v>149.9</v>
      </c>
      <c r="G217" s="6">
        <v>45565</v>
      </c>
      <c r="H217" s="5"/>
      <c r="I217" s="5"/>
      <c r="J217" s="5">
        <f t="shared" si="22"/>
        <v>29</v>
      </c>
      <c r="K217" s="8" t="b">
        <f t="shared" si="25"/>
        <v>1</v>
      </c>
    </row>
    <row r="218" spans="1:11">
      <c r="A218" s="5" t="s">
        <v>273</v>
      </c>
      <c r="B218" s="6">
        <v>45566</v>
      </c>
      <c r="C218" s="7">
        <v>1</v>
      </c>
      <c r="D218" s="5">
        <v>6.3</v>
      </c>
      <c r="E218" s="5">
        <v>149.9</v>
      </c>
      <c r="F218" s="5">
        <v>164.4</v>
      </c>
      <c r="G218" s="6">
        <v>45566</v>
      </c>
      <c r="H218" s="5"/>
      <c r="I218" s="5"/>
      <c r="J218" s="5">
        <f t="shared" si="22"/>
        <v>14.5</v>
      </c>
      <c r="K218" s="8" t="b">
        <f t="shared" si="25"/>
        <v>1</v>
      </c>
    </row>
    <row r="219" spans="1:11">
      <c r="A219" s="5" t="s">
        <v>273</v>
      </c>
      <c r="B219" s="6">
        <v>45567</v>
      </c>
      <c r="C219" s="7">
        <v>1</v>
      </c>
      <c r="D219" s="5">
        <v>6.3</v>
      </c>
      <c r="E219" s="5">
        <v>164.4</v>
      </c>
      <c r="F219" s="5">
        <v>194.2</v>
      </c>
      <c r="G219" s="6">
        <v>45567</v>
      </c>
      <c r="H219" s="5"/>
      <c r="I219" s="5"/>
      <c r="J219" s="5">
        <f t="shared" si="22"/>
        <v>29.799999999999983</v>
      </c>
      <c r="K219" s="8" t="b">
        <f t="shared" si="25"/>
        <v>1</v>
      </c>
    </row>
    <row r="220" spans="1:11">
      <c r="A220" s="5" t="s">
        <v>273</v>
      </c>
      <c r="B220" s="6">
        <v>45568</v>
      </c>
      <c r="C220" s="7">
        <v>1</v>
      </c>
      <c r="D220" s="5">
        <v>6.3</v>
      </c>
      <c r="E220" s="5">
        <v>194.2</v>
      </c>
      <c r="F220" s="5">
        <v>208.6</v>
      </c>
      <c r="G220" s="6">
        <v>45568</v>
      </c>
      <c r="H220" s="5"/>
      <c r="I220" s="5"/>
      <c r="J220" s="5">
        <f t="shared" si="22"/>
        <v>14.400000000000006</v>
      </c>
      <c r="K220" s="8" t="b">
        <f t="shared" si="25"/>
        <v>1</v>
      </c>
    </row>
    <row r="221" spans="1:11">
      <c r="A221" s="5" t="s">
        <v>273</v>
      </c>
      <c r="B221" s="6">
        <v>45569</v>
      </c>
      <c r="C221" s="7">
        <v>1</v>
      </c>
      <c r="D221" s="5">
        <v>6.3</v>
      </c>
      <c r="E221" s="5">
        <v>208.6</v>
      </c>
      <c r="F221" s="5">
        <v>223.2</v>
      </c>
      <c r="G221" s="6">
        <v>45569</v>
      </c>
      <c r="H221" s="5"/>
      <c r="I221" s="5"/>
      <c r="J221" s="5">
        <f t="shared" si="22"/>
        <v>14.599999999999994</v>
      </c>
      <c r="K221" s="8" t="b">
        <f t="shared" si="25"/>
        <v>1</v>
      </c>
    </row>
    <row r="222" spans="1:11">
      <c r="A222" s="5" t="s">
        <v>273</v>
      </c>
      <c r="B222" s="6">
        <v>45570</v>
      </c>
      <c r="C222" s="7">
        <v>1</v>
      </c>
      <c r="D222" s="5">
        <v>6.3</v>
      </c>
      <c r="E222" s="5">
        <v>223.2</v>
      </c>
      <c r="F222" s="5">
        <v>252</v>
      </c>
      <c r="G222" s="6">
        <v>45570</v>
      </c>
      <c r="H222" s="5"/>
      <c r="I222" s="5"/>
      <c r="J222" s="5">
        <f t="shared" si="22"/>
        <v>28.800000000000011</v>
      </c>
      <c r="K222" s="8" t="b">
        <f t="shared" si="25"/>
        <v>1</v>
      </c>
    </row>
    <row r="223" spans="1:11">
      <c r="A223" s="5" t="s">
        <v>273</v>
      </c>
      <c r="B223" s="6">
        <v>45571</v>
      </c>
      <c r="C223" s="7">
        <v>1</v>
      </c>
      <c r="D223" s="5">
        <v>6.3</v>
      </c>
      <c r="E223" s="5">
        <v>252</v>
      </c>
      <c r="F223" s="5">
        <v>266.7</v>
      </c>
      <c r="G223" s="6">
        <v>45571</v>
      </c>
      <c r="H223" s="5"/>
      <c r="I223" s="5"/>
      <c r="J223" s="5">
        <f t="shared" si="22"/>
        <v>14.699999999999989</v>
      </c>
      <c r="K223" s="8" t="b">
        <f t="shared" si="25"/>
        <v>1</v>
      </c>
    </row>
    <row r="224" spans="1:11">
      <c r="A224" s="5" t="s">
        <v>273</v>
      </c>
      <c r="B224" s="6">
        <v>45572</v>
      </c>
      <c r="C224" s="7">
        <v>1</v>
      </c>
      <c r="D224" s="5">
        <v>6.3</v>
      </c>
      <c r="E224" s="5">
        <v>266.7</v>
      </c>
      <c r="F224" s="5">
        <v>281.2</v>
      </c>
      <c r="G224" s="6">
        <v>45572</v>
      </c>
      <c r="H224" s="5"/>
      <c r="I224" s="5"/>
      <c r="J224" s="5">
        <f t="shared" si="22"/>
        <v>14.5</v>
      </c>
      <c r="K224" s="8" t="b">
        <f t="shared" si="25"/>
        <v>1</v>
      </c>
    </row>
    <row r="225" spans="1:11">
      <c r="A225" s="5" t="s">
        <v>273</v>
      </c>
      <c r="B225" s="6">
        <v>45575</v>
      </c>
      <c r="C225" s="7">
        <v>1</v>
      </c>
      <c r="D225" s="5">
        <v>6.3</v>
      </c>
      <c r="E225" s="5">
        <v>281.2</v>
      </c>
      <c r="F225" s="5">
        <v>297.10000000000002</v>
      </c>
      <c r="G225" s="6">
        <v>45575</v>
      </c>
      <c r="H225" s="5"/>
      <c r="I225" s="5"/>
      <c r="J225" s="5">
        <f t="shared" si="22"/>
        <v>15.900000000000034</v>
      </c>
      <c r="K225" s="8" t="b">
        <f t="shared" si="25"/>
        <v>1</v>
      </c>
    </row>
    <row r="226" spans="1:11">
      <c r="A226" s="5" t="s">
        <v>273</v>
      </c>
      <c r="B226" s="6">
        <v>45580</v>
      </c>
      <c r="C226" s="7">
        <v>0.7</v>
      </c>
      <c r="D226" s="5">
        <v>9</v>
      </c>
      <c r="E226" s="5">
        <v>297.10000000000002</v>
      </c>
      <c r="F226" s="5">
        <v>316.39999999999998</v>
      </c>
      <c r="G226" s="6">
        <v>45580</v>
      </c>
      <c r="H226" s="5"/>
      <c r="I226" s="5"/>
      <c r="J226" s="5">
        <f t="shared" si="22"/>
        <v>19.299999999999955</v>
      </c>
      <c r="K226" s="8" t="b">
        <f t="shared" si="25"/>
        <v>1</v>
      </c>
    </row>
    <row r="227" spans="1:11">
      <c r="A227" s="5" t="s">
        <v>273</v>
      </c>
      <c r="B227" s="6"/>
      <c r="C227" s="7"/>
      <c r="D227" s="5"/>
      <c r="E227" s="5"/>
      <c r="F227" s="5"/>
      <c r="G227" s="6"/>
      <c r="H227" s="5"/>
      <c r="I227" s="5"/>
      <c r="J227" s="5">
        <f t="shared" si="22"/>
        <v>0</v>
      </c>
      <c r="K227" s="8" t="b">
        <f t="shared" si="25"/>
        <v>0</v>
      </c>
    </row>
    <row r="228" spans="1:11">
      <c r="A228" s="5" t="s">
        <v>273</v>
      </c>
      <c r="B228" s="6"/>
      <c r="C228" s="7"/>
      <c r="D228" s="5"/>
      <c r="E228" s="5"/>
      <c r="F228" s="5"/>
      <c r="G228" s="6"/>
      <c r="H228" s="5"/>
      <c r="I228" s="5"/>
      <c r="J228" s="5">
        <f t="shared" si="22"/>
        <v>0</v>
      </c>
      <c r="K228" s="8" t="b">
        <f t="shared" si="25"/>
        <v>1</v>
      </c>
    </row>
    <row r="229" spans="1:11">
      <c r="A229" s="5" t="s">
        <v>273</v>
      </c>
      <c r="B229" s="6"/>
      <c r="C229" s="7"/>
      <c r="D229" s="5"/>
      <c r="E229" s="5"/>
      <c r="F229" s="5"/>
      <c r="G229" s="6"/>
      <c r="H229" s="5"/>
      <c r="I229" s="5"/>
      <c r="J229" s="5">
        <f t="shared" si="22"/>
        <v>0</v>
      </c>
      <c r="K229" s="8" t="b">
        <f t="shared" si="25"/>
        <v>1</v>
      </c>
    </row>
    <row r="230" spans="1:11">
      <c r="A230" s="5" t="s">
        <v>273</v>
      </c>
      <c r="B230" s="6"/>
      <c r="C230" s="7"/>
      <c r="D230" s="5"/>
      <c r="E230" s="5"/>
      <c r="F230" s="5"/>
      <c r="G230" s="6"/>
      <c r="H230" s="5"/>
      <c r="I230" s="5"/>
      <c r="J230" s="5">
        <f t="shared" si="22"/>
        <v>0</v>
      </c>
      <c r="K230" s="8" t="b">
        <f t="shared" si="25"/>
        <v>1</v>
      </c>
    </row>
    <row r="231" spans="1:11">
      <c r="A231" s="5" t="s">
        <v>273</v>
      </c>
      <c r="B231" s="6"/>
      <c r="C231" s="7"/>
      <c r="D231" s="5"/>
      <c r="E231" s="5"/>
      <c r="F231" s="5"/>
      <c r="G231" s="6"/>
      <c r="H231" s="5"/>
      <c r="I231" s="5"/>
      <c r="J231" s="5">
        <f t="shared" si="22"/>
        <v>0</v>
      </c>
      <c r="K231" s="8" t="b">
        <f t="shared" si="25"/>
        <v>1</v>
      </c>
    </row>
    <row r="232" spans="1:11">
      <c r="A232" s="5" t="s">
        <v>273</v>
      </c>
      <c r="B232" s="6"/>
      <c r="C232" s="7"/>
      <c r="D232" s="5"/>
      <c r="E232" s="5"/>
      <c r="F232" s="5"/>
      <c r="G232" s="6"/>
      <c r="H232" s="5"/>
      <c r="I232" s="5"/>
      <c r="J232" s="5">
        <f t="shared" si="22"/>
        <v>0</v>
      </c>
      <c r="K232" s="8" t="b">
        <f t="shared" si="25"/>
        <v>1</v>
      </c>
    </row>
    <row r="233" spans="1:11">
      <c r="A233" s="5" t="s">
        <v>273</v>
      </c>
      <c r="B233" s="6"/>
      <c r="C233" s="7"/>
      <c r="D233" s="5"/>
      <c r="E233" s="5"/>
      <c r="F233" s="5"/>
      <c r="G233" s="6"/>
      <c r="H233" s="5"/>
      <c r="I233" s="5"/>
      <c r="J233" s="5">
        <f t="shared" si="22"/>
        <v>0</v>
      </c>
      <c r="K233" s="8" t="b">
        <f t="shared" si="25"/>
        <v>1</v>
      </c>
    </row>
    <row r="234" spans="1:11">
      <c r="A234" s="5" t="s">
        <v>273</v>
      </c>
      <c r="B234" s="6"/>
      <c r="C234" s="7"/>
      <c r="D234" s="5"/>
      <c r="E234" s="5"/>
      <c r="F234" s="5"/>
      <c r="G234" s="6"/>
      <c r="H234" s="5"/>
      <c r="I234" s="5"/>
      <c r="J234" s="5">
        <f t="shared" si="22"/>
        <v>0</v>
      </c>
      <c r="K234" s="8" t="b">
        <f t="shared" si="25"/>
        <v>1</v>
      </c>
    </row>
    <row r="235" spans="1:11">
      <c r="A235" s="5" t="s">
        <v>273</v>
      </c>
      <c r="B235" s="6"/>
      <c r="C235" s="7"/>
      <c r="D235" s="5"/>
      <c r="E235" s="5"/>
      <c r="F235" s="5"/>
      <c r="G235" s="6"/>
      <c r="H235" s="5"/>
      <c r="I235" s="5"/>
      <c r="J235" s="5">
        <f t="shared" si="22"/>
        <v>0</v>
      </c>
      <c r="K235" s="8" t="b">
        <f t="shared" si="25"/>
        <v>1</v>
      </c>
    </row>
    <row r="236" spans="1:11">
      <c r="A236" s="5" t="s">
        <v>273</v>
      </c>
      <c r="B236" s="6"/>
      <c r="C236" s="7"/>
      <c r="D236" s="5"/>
      <c r="E236" s="5"/>
      <c r="F236" s="5"/>
      <c r="G236" s="6"/>
      <c r="H236" s="5"/>
      <c r="I236" s="5"/>
      <c r="J236" s="5">
        <f t="shared" si="22"/>
        <v>0</v>
      </c>
      <c r="K236" s="8" t="b">
        <f t="shared" si="25"/>
        <v>1</v>
      </c>
    </row>
    <row r="237" spans="1:11">
      <c r="A237" s="5" t="s">
        <v>273</v>
      </c>
      <c r="B237" s="6"/>
      <c r="C237" s="7"/>
      <c r="D237" s="5"/>
      <c r="E237" s="5"/>
      <c r="F237" s="5"/>
      <c r="G237" s="6"/>
      <c r="H237" s="5"/>
      <c r="I237" s="5"/>
      <c r="J237" s="5">
        <f t="shared" si="22"/>
        <v>0</v>
      </c>
      <c r="K237" s="8" t="b">
        <f t="shared" si="25"/>
        <v>1</v>
      </c>
    </row>
    <row r="238" spans="1:11">
      <c r="A238" s="5" t="s">
        <v>273</v>
      </c>
      <c r="B238" s="6"/>
      <c r="C238" s="7"/>
      <c r="D238" s="5"/>
      <c r="E238" s="5"/>
      <c r="F238" s="5"/>
      <c r="G238" s="6"/>
      <c r="H238" s="5"/>
      <c r="I238" s="5"/>
      <c r="J238" s="5">
        <f t="shared" si="22"/>
        <v>0</v>
      </c>
      <c r="K238" s="8" t="b">
        <f t="shared" si="25"/>
        <v>1</v>
      </c>
    </row>
    <row r="239" spans="1:11">
      <c r="A239" s="5" t="s">
        <v>273</v>
      </c>
      <c r="B239" s="6"/>
      <c r="C239" s="7"/>
      <c r="D239" s="5"/>
      <c r="E239" s="5"/>
      <c r="F239" s="5"/>
      <c r="G239" s="6"/>
      <c r="H239" s="5"/>
      <c r="I239" s="5"/>
      <c r="J239" s="5">
        <f t="shared" si="22"/>
        <v>0</v>
      </c>
      <c r="K239" s="8" t="b">
        <f t="shared" si="25"/>
        <v>1</v>
      </c>
    </row>
    <row r="240" spans="1:11">
      <c r="A240" s="5" t="s">
        <v>273</v>
      </c>
      <c r="B240" s="6"/>
      <c r="C240" s="7"/>
      <c r="D240" s="5"/>
      <c r="E240" s="5"/>
      <c r="F240" s="5"/>
      <c r="G240" s="6"/>
      <c r="H240" s="5"/>
      <c r="I240" s="5"/>
      <c r="J240" s="5">
        <f t="shared" si="22"/>
        <v>0</v>
      </c>
      <c r="K240" s="8" t="b">
        <f t="shared" si="25"/>
        <v>1</v>
      </c>
    </row>
    <row r="241" spans="1:11">
      <c r="A241" s="5" t="s">
        <v>273</v>
      </c>
      <c r="B241" s="6"/>
      <c r="C241" s="7"/>
      <c r="D241" s="5"/>
      <c r="E241" s="5"/>
      <c r="F241" s="5"/>
      <c r="G241" s="6"/>
      <c r="H241" s="5"/>
      <c r="I241" s="5"/>
      <c r="J241" s="5">
        <f t="shared" ref="J241" si="26">F241-E241</f>
        <v>0</v>
      </c>
      <c r="K241" s="8" t="b">
        <f t="shared" si="25"/>
        <v>1</v>
      </c>
    </row>
  </sheetData>
  <autoFilter ref="A136:K241" xr:uid="{E18B7A91-05BD-45CA-8A76-99A02246C353}"/>
  <mergeCells count="18">
    <mergeCell ref="A42:K42"/>
    <mergeCell ref="A1:K1"/>
    <mergeCell ref="A2:K2"/>
    <mergeCell ref="A4:K4"/>
    <mergeCell ref="A39:K39"/>
    <mergeCell ref="A40:K40"/>
    <mergeCell ref="A113:K113"/>
    <mergeCell ref="A114:K114"/>
    <mergeCell ref="A116:K116"/>
    <mergeCell ref="A73:K73"/>
    <mergeCell ref="A74:K74"/>
    <mergeCell ref="A76:K76"/>
    <mergeCell ref="A206:K206"/>
    <mergeCell ref="A203:K203"/>
    <mergeCell ref="A204:K204"/>
    <mergeCell ref="A130:K130"/>
    <mergeCell ref="A131:K131"/>
    <mergeCell ref="A133:K133"/>
  </mergeCells>
  <conditionalFormatting sqref="K1:K2 K4 K7:K37 K39:K40 K42 K45:K71 K73:K74 K76 K79:K111 K113:K114 K116 K119:K128 K130:K131 K133 K136:K194 K203:K204 K206 K209:K241">
    <cfRule type="cellIs" dxfId="47" priority="1" operator="equal">
      <formula>TRUE</formula>
    </cfRule>
    <cfRule type="cellIs" dxfId="46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4B81-C98C-4CF0-BAAE-059648B391BA}">
  <sheetPr codeName="Planilha26"/>
  <dimension ref="A1:K246"/>
  <sheetViews>
    <sheetView topLeftCell="A193" zoomScaleNormal="100" workbookViewId="0">
      <selection activeCell="B205" sqref="B205"/>
    </sheetView>
  </sheetViews>
  <sheetFormatPr defaultRowHeight="15"/>
  <cols>
    <col min="1" max="1" width="14.4257812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8.7109375" bestFit="1" customWidth="1"/>
    <col min="11" max="11" width="12.42578125" bestFit="1" customWidth="1"/>
  </cols>
  <sheetData>
    <row r="1" spans="1:11" ht="26.25">
      <c r="A1" s="193" t="s">
        <v>275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273</v>
      </c>
      <c r="B8" s="6">
        <v>811.1</v>
      </c>
      <c r="C8" s="7">
        <v>0.7</v>
      </c>
      <c r="D8" s="5"/>
      <c r="E8" s="5">
        <v>811.1</v>
      </c>
      <c r="F8" s="5">
        <v>831.3</v>
      </c>
      <c r="G8" s="6"/>
      <c r="H8" s="5"/>
      <c r="I8" s="5"/>
      <c r="J8" s="5">
        <f>F8-E8</f>
        <v>20.199999999999932</v>
      </c>
      <c r="K8" s="8" t="b">
        <f>E8=F8</f>
        <v>0</v>
      </c>
    </row>
    <row r="9" spans="1:11">
      <c r="A9" s="5" t="s">
        <v>273</v>
      </c>
      <c r="B9" s="6"/>
      <c r="C9" s="7"/>
      <c r="D9" s="5"/>
      <c r="E9" s="5"/>
      <c r="F9" s="5"/>
      <c r="G9" s="6"/>
      <c r="H9" s="5"/>
      <c r="I9" s="5"/>
      <c r="J9" s="5">
        <f>F9-E9</f>
        <v>0</v>
      </c>
      <c r="K9" s="8" t="b">
        <f>E9=F9</f>
        <v>1</v>
      </c>
    </row>
    <row r="11" spans="1:11" ht="26.25">
      <c r="A11" s="135" t="s">
        <v>275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1" ht="26.25">
      <c r="A12" s="138" t="s">
        <v>69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40"/>
    </row>
    <row r="13" spans="1:11" ht="15.75" thickBot="1"/>
    <row r="14" spans="1:11" ht="15.75" thickBot="1">
      <c r="A14" s="132" t="s">
        <v>2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4"/>
    </row>
    <row r="16" spans="1:11" ht="19.5" thickBot="1">
      <c r="A16" s="1" t="s">
        <v>3</v>
      </c>
      <c r="B16" s="1"/>
      <c r="C16" s="1"/>
      <c r="D16" s="1"/>
      <c r="E16" s="1"/>
      <c r="F16" s="1"/>
      <c r="G16" s="1"/>
      <c r="H16" s="1"/>
      <c r="I16" s="1"/>
    </row>
    <row r="17" spans="1:11" ht="30.75" thickBot="1">
      <c r="A17" s="2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21</v>
      </c>
      <c r="I17" s="4" t="s">
        <v>22</v>
      </c>
      <c r="J17" s="4" t="s">
        <v>11</v>
      </c>
      <c r="K17" s="4" t="s">
        <v>12</v>
      </c>
    </row>
    <row r="18" spans="1:11">
      <c r="A18" s="5" t="s">
        <v>276</v>
      </c>
      <c r="B18" s="6">
        <v>44812</v>
      </c>
      <c r="C18" s="7">
        <v>0.6</v>
      </c>
      <c r="D18" s="5">
        <v>12.12</v>
      </c>
      <c r="E18" s="5">
        <v>1298.9000000000001</v>
      </c>
      <c r="F18" s="5">
        <v>1323.9</v>
      </c>
      <c r="G18" s="6">
        <v>44812</v>
      </c>
      <c r="H18" s="5"/>
      <c r="I18" s="5"/>
      <c r="J18" s="5">
        <f>F18-E18</f>
        <v>25</v>
      </c>
      <c r="K18" s="8" t="b">
        <f>E18=F18</f>
        <v>0</v>
      </c>
    </row>
    <row r="19" spans="1:11">
      <c r="A19" s="5" t="s">
        <v>276</v>
      </c>
      <c r="B19" s="6">
        <v>44813</v>
      </c>
      <c r="C19" s="7">
        <v>0.6</v>
      </c>
      <c r="D19" s="5">
        <v>12.12</v>
      </c>
      <c r="E19" s="5">
        <v>1323.9</v>
      </c>
      <c r="F19" s="5">
        <v>1348.7</v>
      </c>
      <c r="G19" s="6">
        <v>44813</v>
      </c>
      <c r="H19" s="5"/>
      <c r="I19" s="5"/>
      <c r="J19" s="5">
        <f>F19-E19</f>
        <v>24.799999999999955</v>
      </c>
      <c r="K19" s="8" t="b">
        <f>E19=F18</f>
        <v>1</v>
      </c>
    </row>
    <row r="20" spans="1:11">
      <c r="A20" s="5" t="s">
        <v>276</v>
      </c>
      <c r="B20" s="6">
        <v>44831</v>
      </c>
      <c r="C20" s="7">
        <v>1</v>
      </c>
      <c r="D20" s="5">
        <v>7.27</v>
      </c>
      <c r="E20" s="5">
        <v>1348.7</v>
      </c>
      <c r="F20" s="5">
        <v>1368.8</v>
      </c>
      <c r="G20" s="6">
        <v>44831</v>
      </c>
      <c r="H20" s="5"/>
      <c r="I20" s="5"/>
      <c r="J20" s="5">
        <f>F20-E20</f>
        <v>20.099999999999909</v>
      </c>
      <c r="K20" s="8" t="b">
        <f t="shared" ref="K20:K45" si="0">E20=F19</f>
        <v>1</v>
      </c>
    </row>
    <row r="21" spans="1:11">
      <c r="A21" s="5" t="s">
        <v>276</v>
      </c>
      <c r="B21" s="6">
        <v>44834</v>
      </c>
      <c r="C21" s="7">
        <v>0.5</v>
      </c>
      <c r="D21" s="5">
        <v>14.54</v>
      </c>
      <c r="E21" s="5">
        <v>1368.8</v>
      </c>
      <c r="F21" s="5">
        <v>1394.4</v>
      </c>
      <c r="G21" s="6">
        <v>44834</v>
      </c>
      <c r="H21" s="5"/>
      <c r="I21" s="5"/>
      <c r="J21" s="5">
        <f>F21-E21</f>
        <v>25.600000000000136</v>
      </c>
      <c r="K21" s="8" t="b">
        <f t="shared" si="0"/>
        <v>1</v>
      </c>
    </row>
    <row r="22" spans="1:11">
      <c r="A22" s="5" t="s">
        <v>276</v>
      </c>
      <c r="B22" s="6">
        <v>44835</v>
      </c>
      <c r="C22" s="7">
        <v>0.5</v>
      </c>
      <c r="D22" s="5">
        <v>14.54</v>
      </c>
      <c r="E22" s="5">
        <v>1394.4</v>
      </c>
      <c r="F22" s="5">
        <v>1429.3</v>
      </c>
      <c r="G22" s="6">
        <v>44835</v>
      </c>
      <c r="H22" s="5"/>
      <c r="I22" s="5"/>
      <c r="J22" s="5">
        <f t="shared" ref="J22:J34" si="1">F22-E22</f>
        <v>34.899999999999864</v>
      </c>
      <c r="K22" s="8" t="b">
        <f t="shared" si="0"/>
        <v>1</v>
      </c>
    </row>
    <row r="23" spans="1:11">
      <c r="A23" s="5" t="s">
        <v>276</v>
      </c>
      <c r="B23" s="6">
        <v>44836</v>
      </c>
      <c r="C23" s="7">
        <v>0.5</v>
      </c>
      <c r="D23" s="5">
        <v>14.54</v>
      </c>
      <c r="E23" s="5">
        <v>1429.3</v>
      </c>
      <c r="F23" s="5">
        <v>1450.9</v>
      </c>
      <c r="G23" s="6">
        <v>44836</v>
      </c>
      <c r="H23" s="5"/>
      <c r="I23" s="5"/>
      <c r="J23" s="5">
        <f t="shared" si="1"/>
        <v>21.600000000000136</v>
      </c>
      <c r="K23" s="8" t="b">
        <f t="shared" si="0"/>
        <v>1</v>
      </c>
    </row>
    <row r="24" spans="1:11">
      <c r="A24" s="5" t="s">
        <v>276</v>
      </c>
      <c r="B24" s="6">
        <v>44838</v>
      </c>
      <c r="C24" s="7">
        <v>1</v>
      </c>
      <c r="D24" s="5">
        <v>7.27</v>
      </c>
      <c r="E24" s="5">
        <v>1450.9</v>
      </c>
      <c r="F24" s="5">
        <v>1462.7</v>
      </c>
      <c r="G24" s="6">
        <v>44838</v>
      </c>
      <c r="H24" s="5"/>
      <c r="I24" s="5"/>
      <c r="J24" s="5">
        <f t="shared" si="1"/>
        <v>11.799999999999955</v>
      </c>
      <c r="K24" s="8" t="b">
        <f t="shared" si="0"/>
        <v>1</v>
      </c>
    </row>
    <row r="25" spans="1:11">
      <c r="A25" s="5" t="s">
        <v>276</v>
      </c>
      <c r="B25" s="6">
        <v>44839</v>
      </c>
      <c r="C25" s="7">
        <v>1</v>
      </c>
      <c r="D25" s="5">
        <v>7.27</v>
      </c>
      <c r="E25" s="5">
        <v>1462.7</v>
      </c>
      <c r="F25" s="5">
        <v>1475.5</v>
      </c>
      <c r="G25" s="6">
        <v>44839</v>
      </c>
      <c r="H25" s="5"/>
      <c r="I25" s="5"/>
      <c r="J25" s="5">
        <f t="shared" si="1"/>
        <v>12.799999999999955</v>
      </c>
      <c r="K25" s="8" t="b">
        <f t="shared" si="0"/>
        <v>1</v>
      </c>
    </row>
    <row r="26" spans="1:11">
      <c r="A26" s="5" t="s">
        <v>276</v>
      </c>
      <c r="B26" s="6">
        <v>44840</v>
      </c>
      <c r="C26" s="7">
        <v>1</v>
      </c>
      <c r="D26" s="5">
        <v>7.27</v>
      </c>
      <c r="E26" s="5">
        <v>1475.5</v>
      </c>
      <c r="F26" s="5">
        <v>1490.8</v>
      </c>
      <c r="G26" s="6">
        <v>44840</v>
      </c>
      <c r="H26" s="5"/>
      <c r="I26" s="5"/>
      <c r="J26" s="5">
        <f t="shared" si="1"/>
        <v>15.299999999999955</v>
      </c>
      <c r="K26" s="8" t="b">
        <f t="shared" si="0"/>
        <v>1</v>
      </c>
    </row>
    <row r="27" spans="1:11">
      <c r="A27" s="5" t="s">
        <v>276</v>
      </c>
      <c r="B27" s="6">
        <v>44843</v>
      </c>
      <c r="C27" s="7">
        <v>0.8</v>
      </c>
      <c r="D27" s="5">
        <v>9.09</v>
      </c>
      <c r="E27" s="5">
        <v>1490.8</v>
      </c>
      <c r="F27" s="5">
        <v>1508.9</v>
      </c>
      <c r="G27" s="6">
        <v>44843</v>
      </c>
      <c r="H27" s="5"/>
      <c r="I27" s="5"/>
      <c r="J27" s="5">
        <f t="shared" si="1"/>
        <v>18.100000000000136</v>
      </c>
      <c r="K27" s="8" t="b">
        <f t="shared" si="0"/>
        <v>1</v>
      </c>
    </row>
    <row r="28" spans="1:11">
      <c r="A28" s="5" t="s">
        <v>276</v>
      </c>
      <c r="B28" s="6">
        <v>44846</v>
      </c>
      <c r="C28" s="7">
        <v>0.8</v>
      </c>
      <c r="D28" s="5">
        <v>9.09</v>
      </c>
      <c r="E28" s="5">
        <v>1508.2</v>
      </c>
      <c r="F28" s="5">
        <v>1524.7</v>
      </c>
      <c r="G28" s="6">
        <v>44846</v>
      </c>
      <c r="H28" s="5"/>
      <c r="I28" s="5"/>
      <c r="J28" s="5">
        <f t="shared" si="1"/>
        <v>16.5</v>
      </c>
      <c r="K28" s="8" t="b">
        <f t="shared" si="0"/>
        <v>0</v>
      </c>
    </row>
    <row r="29" spans="1:11">
      <c r="A29" s="5" t="s">
        <v>276</v>
      </c>
      <c r="B29" s="6">
        <v>44849</v>
      </c>
      <c r="C29" s="7">
        <v>0.8</v>
      </c>
      <c r="D29" s="5">
        <v>9.09</v>
      </c>
      <c r="E29" s="5">
        <v>1524.7</v>
      </c>
      <c r="F29" s="5">
        <v>1543</v>
      </c>
      <c r="G29" s="6">
        <v>44849</v>
      </c>
      <c r="H29" s="5"/>
      <c r="I29" s="5"/>
      <c r="J29" s="5">
        <f t="shared" si="1"/>
        <v>18.299999999999955</v>
      </c>
      <c r="K29" s="8" t="b">
        <f t="shared" si="0"/>
        <v>1</v>
      </c>
    </row>
    <row r="30" spans="1:11">
      <c r="A30" s="5" t="s">
        <v>276</v>
      </c>
      <c r="B30" s="6">
        <v>44852</v>
      </c>
      <c r="C30" s="7">
        <v>0.8</v>
      </c>
      <c r="D30" s="5">
        <v>9.09</v>
      </c>
      <c r="E30" s="5">
        <v>1543</v>
      </c>
      <c r="F30" s="5">
        <v>1562.9</v>
      </c>
      <c r="G30" s="6">
        <v>44852</v>
      </c>
      <c r="H30" s="5"/>
      <c r="I30" s="5"/>
      <c r="J30" s="5">
        <f t="shared" si="1"/>
        <v>19.900000000000091</v>
      </c>
      <c r="K30" s="8" t="b">
        <f t="shared" si="0"/>
        <v>1</v>
      </c>
    </row>
    <row r="31" spans="1:11">
      <c r="A31" s="5" t="s">
        <v>276</v>
      </c>
      <c r="B31" s="6">
        <v>44853</v>
      </c>
      <c r="C31" s="7">
        <v>1</v>
      </c>
      <c r="D31" s="5">
        <v>7.27</v>
      </c>
      <c r="E31" s="5">
        <v>1562.9</v>
      </c>
      <c r="F31" s="5">
        <v>1577.9</v>
      </c>
      <c r="G31" s="6">
        <v>44853</v>
      </c>
      <c r="H31" s="5"/>
      <c r="I31" s="5"/>
      <c r="J31" s="5">
        <f t="shared" si="1"/>
        <v>15</v>
      </c>
      <c r="K31" s="8" t="b">
        <f t="shared" si="0"/>
        <v>1</v>
      </c>
    </row>
    <row r="32" spans="1:11">
      <c r="A32" s="5" t="s">
        <v>276</v>
      </c>
      <c r="B32" s="6">
        <v>44855</v>
      </c>
      <c r="C32" s="7">
        <v>0.7</v>
      </c>
      <c r="D32" s="5">
        <v>10.39</v>
      </c>
      <c r="E32" s="5">
        <v>1577.9</v>
      </c>
      <c r="F32" s="5">
        <v>1600.8</v>
      </c>
      <c r="G32" s="6">
        <v>44855</v>
      </c>
      <c r="H32" s="5"/>
      <c r="I32" s="5"/>
      <c r="J32" s="5">
        <f t="shared" si="1"/>
        <v>22.899999999999864</v>
      </c>
      <c r="K32" s="8" t="b">
        <f t="shared" si="0"/>
        <v>1</v>
      </c>
    </row>
    <row r="33" spans="1:11">
      <c r="A33" s="5" t="s">
        <v>276</v>
      </c>
      <c r="B33" s="6">
        <v>44857</v>
      </c>
      <c r="C33" s="7">
        <v>0.7</v>
      </c>
      <c r="D33" s="5">
        <v>10.39</v>
      </c>
      <c r="E33" s="5">
        <v>1600.8</v>
      </c>
      <c r="F33" s="5">
        <v>1622.4</v>
      </c>
      <c r="G33" s="6">
        <v>44857</v>
      </c>
      <c r="H33" s="5"/>
      <c r="I33" s="5"/>
      <c r="J33" s="5">
        <f t="shared" si="1"/>
        <v>21.600000000000136</v>
      </c>
      <c r="K33" s="8" t="b">
        <f t="shared" si="0"/>
        <v>1</v>
      </c>
    </row>
    <row r="34" spans="1:11">
      <c r="A34" s="5" t="s">
        <v>276</v>
      </c>
      <c r="B34" s="6">
        <v>44859</v>
      </c>
      <c r="C34" s="7">
        <v>0.7</v>
      </c>
      <c r="D34" s="5">
        <v>10.39</v>
      </c>
      <c r="E34" s="5">
        <v>1622.4</v>
      </c>
      <c r="F34" s="5">
        <v>1644.1</v>
      </c>
      <c r="G34" s="6">
        <v>44859</v>
      </c>
      <c r="H34" s="5"/>
      <c r="I34" s="5"/>
      <c r="J34" s="5">
        <f t="shared" si="1"/>
        <v>21.699999999999818</v>
      </c>
      <c r="K34" s="8" t="b">
        <f t="shared" si="0"/>
        <v>1</v>
      </c>
    </row>
    <row r="35" spans="1:11">
      <c r="A35" s="5" t="s">
        <v>276</v>
      </c>
      <c r="B35" s="6">
        <v>44860</v>
      </c>
      <c r="C35" s="7">
        <v>1</v>
      </c>
      <c r="D35" s="5">
        <v>7.27</v>
      </c>
      <c r="E35" s="5">
        <v>1644.1</v>
      </c>
      <c r="F35" s="5">
        <v>1658.4</v>
      </c>
      <c r="G35" s="6">
        <v>44861</v>
      </c>
      <c r="H35" s="5"/>
      <c r="I35" s="5"/>
      <c r="J35" s="5">
        <f t="shared" ref="J35:J43" si="2">F35-E35</f>
        <v>14.300000000000182</v>
      </c>
      <c r="K35" s="8" t="b">
        <f t="shared" si="0"/>
        <v>1</v>
      </c>
    </row>
    <row r="36" spans="1:11">
      <c r="A36" s="5" t="s">
        <v>276</v>
      </c>
      <c r="B36" s="6">
        <v>44862</v>
      </c>
      <c r="C36" s="7">
        <v>0.7</v>
      </c>
      <c r="D36" s="5">
        <v>10.39</v>
      </c>
      <c r="E36" s="5">
        <v>1658.4</v>
      </c>
      <c r="F36" s="5">
        <v>1681.4</v>
      </c>
      <c r="G36" s="6">
        <v>44862</v>
      </c>
      <c r="H36" s="5"/>
      <c r="I36" s="5"/>
      <c r="J36" s="5">
        <f t="shared" si="2"/>
        <v>23</v>
      </c>
      <c r="K36" s="8" t="b">
        <f t="shared" si="0"/>
        <v>1</v>
      </c>
    </row>
    <row r="37" spans="1:11">
      <c r="A37" s="5" t="s">
        <v>276</v>
      </c>
      <c r="B37" s="6">
        <v>44864</v>
      </c>
      <c r="C37" s="7">
        <v>0.7</v>
      </c>
      <c r="D37" s="5">
        <v>10.39</v>
      </c>
      <c r="E37" s="5">
        <v>1681.4</v>
      </c>
      <c r="F37" s="5">
        <v>1701.7</v>
      </c>
      <c r="G37" s="6">
        <v>44864</v>
      </c>
      <c r="H37" s="5"/>
      <c r="I37" s="5"/>
      <c r="J37" s="5">
        <f t="shared" si="2"/>
        <v>20.299999999999955</v>
      </c>
      <c r="K37" s="8" t="b">
        <f t="shared" si="0"/>
        <v>1</v>
      </c>
    </row>
    <row r="38" spans="1:11">
      <c r="A38" s="5" t="s">
        <v>276</v>
      </c>
      <c r="B38" s="6">
        <v>44872</v>
      </c>
      <c r="C38" s="7">
        <v>0.8</v>
      </c>
      <c r="D38" s="5">
        <v>9.09</v>
      </c>
      <c r="E38" s="5">
        <v>1701.7</v>
      </c>
      <c r="F38" s="5">
        <v>1724.9</v>
      </c>
      <c r="G38" s="6">
        <v>44872</v>
      </c>
      <c r="H38" s="5"/>
      <c r="I38" s="5"/>
      <c r="J38" s="5">
        <f t="shared" si="2"/>
        <v>23.200000000000045</v>
      </c>
      <c r="K38" s="8" t="b">
        <f t="shared" si="0"/>
        <v>1</v>
      </c>
    </row>
    <row r="39" spans="1:11">
      <c r="A39" s="5" t="s">
        <v>276</v>
      </c>
      <c r="B39" s="6">
        <v>44874</v>
      </c>
      <c r="C39" s="7">
        <v>0.7</v>
      </c>
      <c r="D39" s="5">
        <v>10.39</v>
      </c>
      <c r="E39" s="5">
        <v>1724.9</v>
      </c>
      <c r="F39" s="5">
        <v>1746</v>
      </c>
      <c r="G39" s="6">
        <v>44874</v>
      </c>
      <c r="H39" s="5"/>
      <c r="I39" s="5"/>
      <c r="J39" s="5">
        <f t="shared" si="2"/>
        <v>21.099999999999909</v>
      </c>
      <c r="K39" s="8" t="b">
        <f t="shared" si="0"/>
        <v>1</v>
      </c>
    </row>
    <row r="40" spans="1:11">
      <c r="A40" s="5" t="s">
        <v>276</v>
      </c>
      <c r="B40" s="6">
        <v>44876</v>
      </c>
      <c r="C40" s="7">
        <v>1</v>
      </c>
      <c r="D40" s="5">
        <v>7.27</v>
      </c>
      <c r="E40" s="5">
        <v>1746.9</v>
      </c>
      <c r="F40" s="5">
        <v>1760.2</v>
      </c>
      <c r="G40" s="6">
        <v>44876</v>
      </c>
      <c r="H40" s="5"/>
      <c r="I40" s="5"/>
      <c r="J40" s="5">
        <f t="shared" si="2"/>
        <v>13.299999999999955</v>
      </c>
      <c r="K40" s="8" t="b">
        <f t="shared" si="0"/>
        <v>0</v>
      </c>
    </row>
    <row r="41" spans="1:11">
      <c r="A41" s="5" t="s">
        <v>276</v>
      </c>
      <c r="B41" s="6">
        <v>44877</v>
      </c>
      <c r="C41" s="7">
        <v>0.7</v>
      </c>
      <c r="D41" s="5">
        <v>10.39</v>
      </c>
      <c r="E41" s="5">
        <v>1760.2</v>
      </c>
      <c r="F41" s="5">
        <v>1771.6</v>
      </c>
      <c r="G41" s="6">
        <v>44877</v>
      </c>
      <c r="H41" s="5"/>
      <c r="I41" s="5"/>
      <c r="J41" s="5">
        <f t="shared" si="2"/>
        <v>11.399999999999864</v>
      </c>
      <c r="K41" s="8" t="b">
        <f t="shared" si="0"/>
        <v>1</v>
      </c>
    </row>
    <row r="42" spans="1:11">
      <c r="A42" s="5" t="s">
        <v>276</v>
      </c>
      <c r="B42" s="6">
        <v>44880</v>
      </c>
      <c r="C42" s="7">
        <v>0.7</v>
      </c>
      <c r="D42" s="5">
        <v>10.39</v>
      </c>
      <c r="E42" s="5">
        <v>1771.6</v>
      </c>
      <c r="F42" s="5">
        <v>1795.8</v>
      </c>
      <c r="G42" s="6">
        <v>44880</v>
      </c>
      <c r="H42" s="5"/>
      <c r="I42" s="5"/>
      <c r="J42" s="5">
        <f t="shared" si="2"/>
        <v>24.200000000000045</v>
      </c>
      <c r="K42" s="8" t="b">
        <f t="shared" si="0"/>
        <v>1</v>
      </c>
    </row>
    <row r="43" spans="1:11">
      <c r="A43" s="5" t="s">
        <v>276</v>
      </c>
      <c r="B43" s="6">
        <v>44906</v>
      </c>
      <c r="C43" s="7">
        <v>0.7</v>
      </c>
      <c r="D43" s="5">
        <v>10.39</v>
      </c>
      <c r="E43" s="5">
        <v>1795.8</v>
      </c>
      <c r="F43" s="5">
        <v>1812.9</v>
      </c>
      <c r="G43" s="6">
        <v>44906</v>
      </c>
      <c r="H43" s="5"/>
      <c r="I43" s="5"/>
      <c r="J43" s="5">
        <f t="shared" si="2"/>
        <v>17.100000000000136</v>
      </c>
      <c r="K43" s="8" t="b">
        <f t="shared" si="0"/>
        <v>1</v>
      </c>
    </row>
    <row r="44" spans="1:11">
      <c r="A44" s="5" t="s">
        <v>276</v>
      </c>
      <c r="B44" s="6">
        <v>44563</v>
      </c>
      <c r="C44" s="7">
        <v>0.7</v>
      </c>
      <c r="D44" s="5">
        <v>10.39</v>
      </c>
      <c r="E44" s="5">
        <v>1812.9</v>
      </c>
      <c r="F44" s="5">
        <v>1834</v>
      </c>
      <c r="G44" s="6">
        <v>44564</v>
      </c>
      <c r="H44" s="5"/>
      <c r="I44" s="5"/>
      <c r="J44" s="5">
        <f t="shared" ref="J44:J45" si="3">F44-E44</f>
        <v>21.099999999999909</v>
      </c>
      <c r="K44" s="8" t="b">
        <f t="shared" si="0"/>
        <v>1</v>
      </c>
    </row>
    <row r="45" spans="1:11">
      <c r="A45" s="5" t="s">
        <v>276</v>
      </c>
      <c r="B45" s="6"/>
      <c r="C45" s="7"/>
      <c r="D45" s="5"/>
      <c r="E45" s="5"/>
      <c r="F45" s="5"/>
      <c r="G45" s="6"/>
      <c r="H45" s="5"/>
      <c r="I45" s="5"/>
      <c r="J45" s="5">
        <f t="shared" si="3"/>
        <v>0</v>
      </c>
      <c r="K45" s="8" t="b">
        <f t="shared" si="0"/>
        <v>0</v>
      </c>
    </row>
    <row r="47" spans="1:11" ht="26.25">
      <c r="A47" s="222" t="s">
        <v>275</v>
      </c>
      <c r="B47" s="223"/>
      <c r="C47" s="223"/>
      <c r="D47" s="223"/>
      <c r="E47" s="223"/>
      <c r="F47" s="223"/>
      <c r="G47" s="223"/>
      <c r="H47" s="223"/>
      <c r="I47" s="223"/>
      <c r="J47" s="223"/>
      <c r="K47" s="224"/>
    </row>
    <row r="48" spans="1:11" ht="26.25">
      <c r="A48" s="225" t="s">
        <v>277</v>
      </c>
      <c r="B48" s="226"/>
      <c r="C48" s="226"/>
      <c r="D48" s="226"/>
      <c r="E48" s="226"/>
      <c r="F48" s="226"/>
      <c r="G48" s="226"/>
      <c r="H48" s="226"/>
      <c r="I48" s="226"/>
      <c r="J48" s="226"/>
      <c r="K48" s="227"/>
    </row>
    <row r="49" spans="1:11" ht="15.75" thickBot="1"/>
    <row r="50" spans="1:11" ht="15.75" thickBot="1">
      <c r="A50" s="132" t="s">
        <v>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4"/>
    </row>
    <row r="52" spans="1:11" ht="19.5" thickBot="1">
      <c r="A52" s="1" t="s">
        <v>3</v>
      </c>
      <c r="B52" s="1"/>
      <c r="C52" s="1"/>
      <c r="D52" s="1"/>
      <c r="E52" s="1"/>
      <c r="F52" s="1"/>
      <c r="G52" s="1"/>
      <c r="H52" s="1"/>
      <c r="I52" s="1"/>
    </row>
    <row r="53" spans="1:11" ht="30.75" thickBot="1">
      <c r="A53" s="2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9</v>
      </c>
      <c r="G53" s="3" t="s">
        <v>10</v>
      </c>
      <c r="H53" s="3" t="s">
        <v>21</v>
      </c>
      <c r="I53" s="4" t="s">
        <v>22</v>
      </c>
      <c r="J53" s="4" t="s">
        <v>11</v>
      </c>
      <c r="K53" s="4" t="s">
        <v>12</v>
      </c>
    </row>
    <row r="54" spans="1:11">
      <c r="A54" s="5" t="s">
        <v>278</v>
      </c>
      <c r="B54" s="6">
        <v>44956</v>
      </c>
      <c r="C54" s="7">
        <v>0.8</v>
      </c>
      <c r="D54" s="5">
        <v>9.09</v>
      </c>
      <c r="E54" s="5">
        <v>1834</v>
      </c>
      <c r="F54" s="5">
        <v>1850.3</v>
      </c>
      <c r="G54" s="6">
        <v>44956</v>
      </c>
      <c r="H54" s="5"/>
      <c r="I54" s="5"/>
      <c r="J54" s="5">
        <f>F54-E54</f>
        <v>16.299999999999955</v>
      </c>
      <c r="K54" s="8" t="b">
        <f>E54=F54</f>
        <v>0</v>
      </c>
    </row>
    <row r="55" spans="1:11">
      <c r="A55" s="5" t="s">
        <v>278</v>
      </c>
      <c r="B55" s="6">
        <v>44962</v>
      </c>
      <c r="C55" s="7">
        <v>0.6</v>
      </c>
      <c r="D55" s="5">
        <v>12.12</v>
      </c>
      <c r="E55" s="5">
        <v>0</v>
      </c>
      <c r="F55" s="5">
        <v>28.4</v>
      </c>
      <c r="G55" s="6">
        <v>44962</v>
      </c>
      <c r="H55" s="5"/>
      <c r="I55" s="5"/>
      <c r="J55" s="5">
        <f>F55-E55</f>
        <v>28.4</v>
      </c>
      <c r="K55" s="8" t="b">
        <f>E55=F54</f>
        <v>0</v>
      </c>
    </row>
    <row r="56" spans="1:11">
      <c r="A56" s="5" t="s">
        <v>278</v>
      </c>
      <c r="B56" s="6"/>
      <c r="C56" s="7"/>
      <c r="D56" s="5"/>
      <c r="E56" s="5"/>
      <c r="F56" s="5"/>
      <c r="G56" s="6"/>
      <c r="H56" s="5"/>
      <c r="I56" s="5"/>
      <c r="J56" s="5">
        <f>F56-E56</f>
        <v>0</v>
      </c>
      <c r="K56" s="8" t="b">
        <f t="shared" ref="K56:K58" si="4">E56=F55</f>
        <v>0</v>
      </c>
    </row>
    <row r="57" spans="1:11">
      <c r="A57" s="5" t="s">
        <v>278</v>
      </c>
      <c r="B57" s="6"/>
      <c r="C57" s="7"/>
      <c r="D57" s="5"/>
      <c r="E57" s="5"/>
      <c r="F57" s="5"/>
      <c r="G57" s="6"/>
      <c r="H57" s="5"/>
      <c r="I57" s="5"/>
      <c r="J57" s="5">
        <f>F57-E57</f>
        <v>0</v>
      </c>
      <c r="K57" s="8" t="b">
        <f t="shared" si="4"/>
        <v>1</v>
      </c>
    </row>
    <row r="58" spans="1:11">
      <c r="A58" s="5" t="s">
        <v>278</v>
      </c>
      <c r="B58" s="6"/>
      <c r="C58" s="7"/>
      <c r="D58" s="5"/>
      <c r="E58" s="5"/>
      <c r="F58" s="5"/>
      <c r="G58" s="6"/>
      <c r="H58" s="5"/>
      <c r="I58" s="5"/>
      <c r="J58" s="5">
        <f t="shared" ref="J58" si="5">F58-E58</f>
        <v>0</v>
      </c>
      <c r="K58" s="8" t="b">
        <f t="shared" si="4"/>
        <v>1</v>
      </c>
    </row>
    <row r="60" spans="1:11" ht="26.25">
      <c r="A60" s="217" t="s">
        <v>275</v>
      </c>
      <c r="B60" s="218"/>
      <c r="C60" s="218"/>
      <c r="D60" s="218"/>
      <c r="E60" s="218"/>
      <c r="F60" s="218"/>
      <c r="G60" s="218"/>
      <c r="H60" s="218"/>
      <c r="I60" s="218"/>
      <c r="J60" s="218"/>
      <c r="K60" s="219"/>
    </row>
    <row r="61" spans="1:11" ht="26.25">
      <c r="A61" s="161" t="s">
        <v>279</v>
      </c>
      <c r="B61" s="220"/>
      <c r="C61" s="220"/>
      <c r="D61" s="220"/>
      <c r="E61" s="220"/>
      <c r="F61" s="220"/>
      <c r="G61" s="220"/>
      <c r="H61" s="220"/>
      <c r="I61" s="220"/>
      <c r="J61" s="220"/>
      <c r="K61" s="221"/>
    </row>
    <row r="62" spans="1:11" ht="15.75" thickBot="1"/>
    <row r="63" spans="1:11" ht="15.75" thickBot="1">
      <c r="A63" s="132" t="s">
        <v>2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4"/>
    </row>
    <row r="65" spans="1:11" ht="19.5" thickBot="1">
      <c r="A65" s="1" t="s">
        <v>3</v>
      </c>
      <c r="B65" s="1"/>
      <c r="C65" s="1"/>
      <c r="D65" s="1"/>
      <c r="E65" s="1"/>
      <c r="F65" s="1"/>
      <c r="G65" s="1"/>
      <c r="H65" s="1"/>
      <c r="I65" s="1"/>
    </row>
    <row r="66" spans="1:11" ht="30.75" thickBot="1">
      <c r="A66" s="2" t="s">
        <v>4</v>
      </c>
      <c r="B66" s="3" t="s">
        <v>5</v>
      </c>
      <c r="C66" s="3" t="s">
        <v>6</v>
      </c>
      <c r="D66" s="3" t="s">
        <v>7</v>
      </c>
      <c r="E66" s="3" t="s">
        <v>8</v>
      </c>
      <c r="F66" s="3" t="s">
        <v>9</v>
      </c>
      <c r="G66" s="3" t="s">
        <v>10</v>
      </c>
      <c r="H66" s="3" t="s">
        <v>21</v>
      </c>
      <c r="I66" s="4" t="s">
        <v>22</v>
      </c>
      <c r="J66" s="4" t="s">
        <v>11</v>
      </c>
      <c r="K66" s="4" t="s">
        <v>12</v>
      </c>
    </row>
    <row r="67" spans="1:11">
      <c r="A67" s="5" t="s">
        <v>278</v>
      </c>
      <c r="B67" s="6">
        <v>44982</v>
      </c>
      <c r="C67" s="7">
        <v>0.5</v>
      </c>
      <c r="D67" s="5">
        <v>14.54</v>
      </c>
      <c r="E67" s="5">
        <v>0</v>
      </c>
      <c r="F67" s="5">
        <v>29.1</v>
      </c>
      <c r="G67" s="6">
        <v>44982</v>
      </c>
      <c r="H67" s="5"/>
      <c r="I67" s="5"/>
      <c r="J67" s="5">
        <f>F67-E67</f>
        <v>29.1</v>
      </c>
      <c r="K67" s="8" t="b">
        <f>E67=F67</f>
        <v>0</v>
      </c>
    </row>
    <row r="68" spans="1:11">
      <c r="A68" s="5" t="s">
        <v>278</v>
      </c>
      <c r="B68" s="6">
        <v>44984</v>
      </c>
      <c r="C68" s="7">
        <v>1</v>
      </c>
      <c r="D68" s="5">
        <v>7.27</v>
      </c>
      <c r="E68" s="5">
        <v>29.1</v>
      </c>
      <c r="F68" s="5">
        <v>45.2</v>
      </c>
      <c r="G68" s="6">
        <v>44984</v>
      </c>
      <c r="H68" s="5"/>
      <c r="I68" s="5"/>
      <c r="J68" s="5">
        <f>F68-E68</f>
        <v>16.100000000000001</v>
      </c>
      <c r="K68" s="8" t="b">
        <f>E68=F67</f>
        <v>1</v>
      </c>
    </row>
    <row r="69" spans="1:11">
      <c r="A69" s="5" t="s">
        <v>278</v>
      </c>
      <c r="B69" s="6">
        <v>44986</v>
      </c>
      <c r="C69" s="7">
        <v>0.8</v>
      </c>
      <c r="D69" s="5">
        <v>9.09</v>
      </c>
      <c r="E69" s="5">
        <v>45.2</v>
      </c>
      <c r="F69" s="5">
        <v>66.2</v>
      </c>
      <c r="G69" s="6">
        <v>44986</v>
      </c>
      <c r="H69" s="5"/>
      <c r="I69" s="5"/>
      <c r="J69" s="5">
        <f>F69-E69</f>
        <v>21</v>
      </c>
      <c r="K69" s="8" t="b">
        <f t="shared" ref="K69:K70" si="6">E69=F68</f>
        <v>1</v>
      </c>
    </row>
    <row r="70" spans="1:11">
      <c r="A70" s="5" t="s">
        <v>280</v>
      </c>
      <c r="B70" s="6">
        <v>44987</v>
      </c>
      <c r="C70" s="7">
        <v>1</v>
      </c>
      <c r="D70" s="5">
        <v>7.27</v>
      </c>
      <c r="E70" s="5">
        <v>66.2</v>
      </c>
      <c r="F70" s="5">
        <v>74.099999999999994</v>
      </c>
      <c r="G70" s="6">
        <v>44987</v>
      </c>
      <c r="H70" s="5"/>
      <c r="I70" s="5"/>
      <c r="J70" s="5">
        <f>F70-E70</f>
        <v>7.8999999999999915</v>
      </c>
      <c r="K70" s="8" t="b">
        <f t="shared" si="6"/>
        <v>1</v>
      </c>
    </row>
    <row r="71" spans="1:11">
      <c r="A71" s="5" t="s">
        <v>280</v>
      </c>
      <c r="B71" s="6">
        <v>44988</v>
      </c>
      <c r="C71" s="7">
        <v>0.8</v>
      </c>
      <c r="D71" s="5">
        <v>9.09</v>
      </c>
      <c r="E71" s="5">
        <v>74.099999999999994</v>
      </c>
      <c r="F71" s="5">
        <v>86.1</v>
      </c>
      <c r="G71" s="6">
        <v>44988</v>
      </c>
      <c r="H71" s="5"/>
      <c r="I71" s="5"/>
      <c r="J71" s="5">
        <f t="shared" ref="J71:J85" si="7">F71-E71</f>
        <v>12</v>
      </c>
      <c r="K71" s="8" t="b">
        <f t="shared" ref="K71" si="8">E71=F71</f>
        <v>0</v>
      </c>
    </row>
    <row r="72" spans="1:11">
      <c r="A72" s="5" t="s">
        <v>278</v>
      </c>
      <c r="B72" s="6">
        <v>44989</v>
      </c>
      <c r="C72" s="7">
        <v>1</v>
      </c>
      <c r="D72" s="5">
        <v>7.27</v>
      </c>
      <c r="E72" s="5">
        <v>86.1</v>
      </c>
      <c r="F72" s="5">
        <v>106.7</v>
      </c>
      <c r="G72" s="6">
        <v>44989</v>
      </c>
      <c r="H72" s="5"/>
      <c r="I72" s="5"/>
      <c r="J72" s="5">
        <f t="shared" si="7"/>
        <v>20.600000000000009</v>
      </c>
      <c r="K72" s="8" t="b">
        <f t="shared" ref="K72:K74" si="9">E72=F71</f>
        <v>1</v>
      </c>
    </row>
    <row r="73" spans="1:11">
      <c r="A73" s="5" t="s">
        <v>278</v>
      </c>
      <c r="B73" s="6">
        <v>44990</v>
      </c>
      <c r="C73" s="7">
        <v>0.8</v>
      </c>
      <c r="D73" s="5">
        <v>9.09</v>
      </c>
      <c r="E73" s="5">
        <v>106.7</v>
      </c>
      <c r="F73" s="5">
        <v>125</v>
      </c>
      <c r="G73" s="6">
        <v>44990</v>
      </c>
      <c r="H73" s="5"/>
      <c r="I73" s="5"/>
      <c r="J73" s="5">
        <f t="shared" si="7"/>
        <v>18.299999999999997</v>
      </c>
      <c r="K73" s="8" t="b">
        <f t="shared" si="9"/>
        <v>1</v>
      </c>
    </row>
    <row r="74" spans="1:11">
      <c r="A74" s="5" t="s">
        <v>278</v>
      </c>
      <c r="B74" s="6">
        <v>44991</v>
      </c>
      <c r="C74" s="7">
        <v>1</v>
      </c>
      <c r="D74" s="5">
        <v>7.27</v>
      </c>
      <c r="E74" s="5">
        <v>125</v>
      </c>
      <c r="F74" s="5">
        <v>140.6</v>
      </c>
      <c r="G74" s="6">
        <v>44991</v>
      </c>
      <c r="H74" s="5"/>
      <c r="I74" s="5"/>
      <c r="J74" s="5">
        <f t="shared" si="7"/>
        <v>15.599999999999994</v>
      </c>
      <c r="K74" s="8" t="b">
        <f t="shared" si="9"/>
        <v>1</v>
      </c>
    </row>
    <row r="75" spans="1:11">
      <c r="A75" s="5" t="s">
        <v>278</v>
      </c>
      <c r="B75" s="6">
        <v>44992</v>
      </c>
      <c r="C75" s="7">
        <v>0.8</v>
      </c>
      <c r="D75" s="5">
        <v>9.09</v>
      </c>
      <c r="E75" s="5">
        <v>140.6</v>
      </c>
      <c r="F75" s="5">
        <v>159.69999999999999</v>
      </c>
      <c r="G75" s="6">
        <v>44992</v>
      </c>
      <c r="H75" s="5"/>
      <c r="I75" s="5"/>
      <c r="J75" s="5">
        <f t="shared" si="7"/>
        <v>19.099999999999994</v>
      </c>
      <c r="K75" s="8" t="b">
        <f t="shared" ref="K75" si="10">E75=F75</f>
        <v>0</v>
      </c>
    </row>
    <row r="76" spans="1:11">
      <c r="A76" s="5" t="s">
        <v>278</v>
      </c>
      <c r="B76" s="6">
        <v>44993</v>
      </c>
      <c r="C76" s="7">
        <v>0.8</v>
      </c>
      <c r="D76" s="5">
        <v>9.09</v>
      </c>
      <c r="E76" s="5">
        <v>159.69999999999999</v>
      </c>
      <c r="F76" s="5">
        <v>178.7</v>
      </c>
      <c r="G76" s="6">
        <v>44993</v>
      </c>
      <c r="H76" s="5"/>
      <c r="I76" s="5"/>
      <c r="J76" s="5">
        <f t="shared" si="7"/>
        <v>19</v>
      </c>
      <c r="K76" s="8" t="b">
        <f t="shared" ref="K76:K78" si="11">E76=F75</f>
        <v>1</v>
      </c>
    </row>
    <row r="77" spans="1:11">
      <c r="A77" s="5" t="s">
        <v>278</v>
      </c>
      <c r="B77" s="6">
        <v>44994</v>
      </c>
      <c r="C77" s="7">
        <v>0.8</v>
      </c>
      <c r="D77" s="5">
        <v>9.09</v>
      </c>
      <c r="E77" s="5">
        <v>178.7</v>
      </c>
      <c r="F77" s="5">
        <v>198.2</v>
      </c>
      <c r="G77" s="6">
        <v>44994</v>
      </c>
      <c r="H77" s="5"/>
      <c r="I77" s="5"/>
      <c r="J77" s="5">
        <f t="shared" si="7"/>
        <v>19.5</v>
      </c>
      <c r="K77" s="8" t="b">
        <f t="shared" si="11"/>
        <v>1</v>
      </c>
    </row>
    <row r="78" spans="1:11">
      <c r="A78" s="5" t="s">
        <v>281</v>
      </c>
      <c r="B78" s="6">
        <v>44995</v>
      </c>
      <c r="C78" s="7">
        <v>1</v>
      </c>
      <c r="D78" s="5">
        <v>7.27</v>
      </c>
      <c r="E78" s="5">
        <v>198.2</v>
      </c>
      <c r="F78" s="5">
        <v>205.1</v>
      </c>
      <c r="G78" s="6">
        <v>44995</v>
      </c>
      <c r="H78" s="5"/>
      <c r="I78" s="5"/>
      <c r="J78" s="5">
        <f t="shared" si="7"/>
        <v>6.9000000000000057</v>
      </c>
      <c r="K78" s="8" t="b">
        <f t="shared" si="11"/>
        <v>1</v>
      </c>
    </row>
    <row r="79" spans="1:11">
      <c r="A79" s="5" t="s">
        <v>278</v>
      </c>
      <c r="B79" s="6">
        <v>44996</v>
      </c>
      <c r="C79" s="7">
        <v>1</v>
      </c>
      <c r="D79" s="5">
        <v>7.27</v>
      </c>
      <c r="E79" s="5">
        <v>205.1</v>
      </c>
      <c r="F79" s="5">
        <v>219.6</v>
      </c>
      <c r="G79" s="6">
        <v>44996</v>
      </c>
      <c r="H79" s="5"/>
      <c r="I79" s="5"/>
      <c r="J79" s="5">
        <f t="shared" si="7"/>
        <v>14.5</v>
      </c>
      <c r="K79" s="8" t="b">
        <f t="shared" ref="K79" si="12">E79=F79</f>
        <v>0</v>
      </c>
    </row>
    <row r="80" spans="1:11">
      <c r="A80" s="5" t="s">
        <v>278</v>
      </c>
      <c r="B80" s="6">
        <v>44997</v>
      </c>
      <c r="C80" s="7">
        <v>1</v>
      </c>
      <c r="D80" s="5">
        <v>7.27</v>
      </c>
      <c r="E80" s="5">
        <v>219.6</v>
      </c>
      <c r="F80" s="5">
        <v>234.2</v>
      </c>
      <c r="G80" s="6">
        <v>44997</v>
      </c>
      <c r="H80" s="5"/>
      <c r="I80" s="5"/>
      <c r="J80" s="5">
        <f t="shared" si="7"/>
        <v>14.599999999999994</v>
      </c>
      <c r="K80" s="8" t="b">
        <f t="shared" ref="K80:K82" si="13">E80=F79</f>
        <v>1</v>
      </c>
    </row>
    <row r="81" spans="1:11">
      <c r="A81" s="5" t="s">
        <v>278</v>
      </c>
      <c r="B81" s="6">
        <v>44998</v>
      </c>
      <c r="C81" s="7">
        <v>1</v>
      </c>
      <c r="D81" s="5">
        <v>7.27</v>
      </c>
      <c r="E81" s="5">
        <v>234.2</v>
      </c>
      <c r="F81" s="5">
        <v>247</v>
      </c>
      <c r="G81" s="6">
        <v>44998</v>
      </c>
      <c r="H81" s="5"/>
      <c r="I81" s="5"/>
      <c r="J81" s="5">
        <f t="shared" si="7"/>
        <v>12.800000000000011</v>
      </c>
      <c r="K81" s="8" t="b">
        <f t="shared" si="13"/>
        <v>1</v>
      </c>
    </row>
    <row r="82" spans="1:11">
      <c r="A82" s="5" t="s">
        <v>278</v>
      </c>
      <c r="B82" s="6">
        <v>44999</v>
      </c>
      <c r="C82" s="7">
        <v>1</v>
      </c>
      <c r="D82" s="5">
        <v>7.27</v>
      </c>
      <c r="E82" s="5">
        <v>247</v>
      </c>
      <c r="F82" s="5">
        <v>261</v>
      </c>
      <c r="G82" s="6">
        <v>44999</v>
      </c>
      <c r="H82" s="5"/>
      <c r="I82" s="5"/>
      <c r="J82" s="5">
        <f t="shared" si="7"/>
        <v>14</v>
      </c>
      <c r="K82" s="8" t="b">
        <f t="shared" si="13"/>
        <v>1</v>
      </c>
    </row>
    <row r="83" spans="1:11">
      <c r="A83" s="5" t="s">
        <v>278</v>
      </c>
      <c r="B83" s="6">
        <v>45000</v>
      </c>
      <c r="C83" s="7">
        <v>1</v>
      </c>
      <c r="D83" s="5">
        <v>7.27</v>
      </c>
      <c r="E83" s="5">
        <v>261</v>
      </c>
      <c r="F83" s="5">
        <v>276</v>
      </c>
      <c r="G83" s="6">
        <v>45000</v>
      </c>
      <c r="H83" s="5"/>
      <c r="I83" s="5"/>
      <c r="J83" s="5">
        <f t="shared" si="7"/>
        <v>15</v>
      </c>
      <c r="K83" s="8" t="b">
        <f t="shared" ref="K83" si="14">E83=F83</f>
        <v>0</v>
      </c>
    </row>
    <row r="84" spans="1:11">
      <c r="A84" s="5" t="s">
        <v>278</v>
      </c>
      <c r="B84" s="6">
        <v>45001</v>
      </c>
      <c r="C84" s="7">
        <v>1</v>
      </c>
      <c r="D84" s="5">
        <v>7.27</v>
      </c>
      <c r="E84" s="5">
        <v>276</v>
      </c>
      <c r="F84" s="5">
        <v>291</v>
      </c>
      <c r="G84" s="6">
        <v>45001</v>
      </c>
      <c r="H84" s="5"/>
      <c r="I84" s="5"/>
      <c r="J84" s="5">
        <f t="shared" si="7"/>
        <v>15</v>
      </c>
      <c r="K84" s="8" t="b">
        <f t="shared" ref="K84:K85" si="15">E84=F83</f>
        <v>1</v>
      </c>
    </row>
    <row r="85" spans="1:11">
      <c r="A85" s="5" t="s">
        <v>278</v>
      </c>
      <c r="B85" s="6">
        <v>45002</v>
      </c>
      <c r="C85" s="7">
        <v>1</v>
      </c>
      <c r="D85" s="5">
        <v>7.27</v>
      </c>
      <c r="E85" s="5">
        <v>291</v>
      </c>
      <c r="F85" s="5">
        <v>306</v>
      </c>
      <c r="G85" s="6">
        <v>45002</v>
      </c>
      <c r="H85" s="5"/>
      <c r="I85" s="5"/>
      <c r="J85" s="5">
        <f t="shared" si="7"/>
        <v>15</v>
      </c>
      <c r="K85" s="8" t="b">
        <f t="shared" si="15"/>
        <v>1</v>
      </c>
    </row>
    <row r="86" spans="1:11">
      <c r="A86" s="5" t="s">
        <v>278</v>
      </c>
      <c r="B86" s="6">
        <v>45003</v>
      </c>
      <c r="C86" s="7">
        <v>1</v>
      </c>
      <c r="D86" s="5">
        <v>7.27</v>
      </c>
      <c r="E86" s="5">
        <v>306</v>
      </c>
      <c r="F86" s="5">
        <v>321</v>
      </c>
      <c r="G86" s="6">
        <v>45003</v>
      </c>
      <c r="H86" s="5"/>
      <c r="I86" s="5"/>
      <c r="J86" s="5">
        <f t="shared" ref="J86:J92" si="16">F86-E86</f>
        <v>15</v>
      </c>
      <c r="K86" s="8" t="b">
        <f t="shared" ref="K86" si="17">E86=F86</f>
        <v>0</v>
      </c>
    </row>
    <row r="87" spans="1:11">
      <c r="A87" s="25" t="s">
        <v>278</v>
      </c>
      <c r="B87" s="26">
        <v>45006</v>
      </c>
      <c r="C87" s="27">
        <v>1</v>
      </c>
      <c r="D87" s="25">
        <v>7.27</v>
      </c>
      <c r="E87" s="25">
        <v>321</v>
      </c>
      <c r="F87" s="25">
        <v>336</v>
      </c>
      <c r="G87" s="26">
        <v>45006</v>
      </c>
      <c r="H87" s="25"/>
      <c r="I87" s="25"/>
      <c r="J87" s="25">
        <f t="shared" si="16"/>
        <v>15</v>
      </c>
      <c r="K87" s="8" t="b">
        <f t="shared" ref="K87:K88" si="18">E87=F86</f>
        <v>1</v>
      </c>
    </row>
    <row r="88" spans="1:11">
      <c r="A88" s="5" t="s">
        <v>278</v>
      </c>
      <c r="B88" s="6">
        <v>45007</v>
      </c>
      <c r="C88" s="7">
        <v>1</v>
      </c>
      <c r="D88" s="5">
        <v>7.27</v>
      </c>
      <c r="E88" s="5">
        <v>336</v>
      </c>
      <c r="F88" s="5">
        <v>351</v>
      </c>
      <c r="G88" s="6">
        <v>45007</v>
      </c>
      <c r="H88" s="5"/>
      <c r="I88" s="5"/>
      <c r="J88" s="5">
        <f t="shared" si="16"/>
        <v>15</v>
      </c>
      <c r="K88" s="8" t="b">
        <f t="shared" si="18"/>
        <v>1</v>
      </c>
    </row>
    <row r="89" spans="1:11">
      <c r="A89" s="25" t="s">
        <v>278</v>
      </c>
      <c r="B89" s="26">
        <v>45008</v>
      </c>
      <c r="C89" s="27">
        <v>1</v>
      </c>
      <c r="D89" s="25">
        <v>7.27</v>
      </c>
      <c r="E89" s="25">
        <v>351</v>
      </c>
      <c r="F89" s="25">
        <v>366</v>
      </c>
      <c r="G89" s="26">
        <v>45008</v>
      </c>
      <c r="H89" s="25"/>
      <c r="I89" s="25"/>
      <c r="J89" s="25">
        <f t="shared" si="16"/>
        <v>15</v>
      </c>
      <c r="K89" s="8" t="b">
        <f t="shared" ref="K89" si="19">E89=F89</f>
        <v>0</v>
      </c>
    </row>
    <row r="90" spans="1:11">
      <c r="A90" s="5" t="s">
        <v>278</v>
      </c>
      <c r="B90" s="6">
        <v>45010</v>
      </c>
      <c r="C90" s="7">
        <v>0.8</v>
      </c>
      <c r="D90" s="5">
        <v>9.09</v>
      </c>
      <c r="E90" s="5">
        <v>366</v>
      </c>
      <c r="F90" s="5">
        <v>387</v>
      </c>
      <c r="G90" s="6">
        <v>45010</v>
      </c>
      <c r="H90" s="5"/>
      <c r="I90" s="5"/>
      <c r="J90" s="5">
        <f t="shared" si="16"/>
        <v>21</v>
      </c>
      <c r="K90" s="8" t="b">
        <f t="shared" ref="K90:K91" si="20">E90=F89</f>
        <v>1</v>
      </c>
    </row>
    <row r="91" spans="1:11">
      <c r="A91" s="5" t="s">
        <v>278</v>
      </c>
      <c r="B91" s="6">
        <v>45013</v>
      </c>
      <c r="C91" s="7">
        <v>0.8</v>
      </c>
      <c r="D91" s="5">
        <v>9.09</v>
      </c>
      <c r="E91" s="5">
        <v>387</v>
      </c>
      <c r="F91" s="5">
        <v>407</v>
      </c>
      <c r="G91" s="6">
        <v>45013</v>
      </c>
      <c r="H91" s="5"/>
      <c r="I91" s="5"/>
      <c r="J91" s="5">
        <f t="shared" si="16"/>
        <v>20</v>
      </c>
      <c r="K91" s="8" t="b">
        <f t="shared" si="20"/>
        <v>1</v>
      </c>
    </row>
    <row r="92" spans="1:11">
      <c r="A92" s="25" t="s">
        <v>278</v>
      </c>
      <c r="B92" s="26">
        <v>45015</v>
      </c>
      <c r="C92" s="27">
        <v>1</v>
      </c>
      <c r="D92" s="25">
        <v>7.27</v>
      </c>
      <c r="E92" s="25">
        <v>407</v>
      </c>
      <c r="F92" s="25">
        <v>421.7</v>
      </c>
      <c r="G92" s="26">
        <v>45015</v>
      </c>
      <c r="H92" s="25"/>
      <c r="I92" s="25"/>
      <c r="J92" s="25">
        <f t="shared" si="16"/>
        <v>14.699999999999989</v>
      </c>
      <c r="K92" s="8" t="b">
        <f t="shared" ref="K92" si="21">E92=F92</f>
        <v>0</v>
      </c>
    </row>
    <row r="93" spans="1:11">
      <c r="A93" s="5" t="s">
        <v>278</v>
      </c>
      <c r="B93" s="6">
        <v>45017</v>
      </c>
      <c r="C93" s="7">
        <v>0.8</v>
      </c>
      <c r="D93" s="5">
        <v>9.09</v>
      </c>
      <c r="E93" s="5">
        <v>421.7</v>
      </c>
      <c r="F93" s="5">
        <v>435</v>
      </c>
      <c r="G93" s="6">
        <v>45017</v>
      </c>
      <c r="H93" s="5"/>
      <c r="I93" s="5"/>
      <c r="J93" s="5">
        <f t="shared" ref="J93:J101" si="22">F93-E93</f>
        <v>13.300000000000011</v>
      </c>
      <c r="K93" s="8" t="b">
        <f t="shared" ref="K93:K101" si="23">E93=F93</f>
        <v>0</v>
      </c>
    </row>
    <row r="94" spans="1:11">
      <c r="A94" s="5" t="s">
        <v>278</v>
      </c>
      <c r="B94" s="6">
        <v>45019</v>
      </c>
      <c r="C94" s="7">
        <v>0.8</v>
      </c>
      <c r="D94" s="5">
        <v>9.09</v>
      </c>
      <c r="E94" s="5">
        <v>435</v>
      </c>
      <c r="F94" s="5">
        <v>457</v>
      </c>
      <c r="G94" s="6">
        <v>45019</v>
      </c>
      <c r="H94" s="5"/>
      <c r="I94" s="5"/>
      <c r="J94" s="5">
        <f t="shared" si="22"/>
        <v>22</v>
      </c>
      <c r="K94" s="8" t="b">
        <f t="shared" si="23"/>
        <v>0</v>
      </c>
    </row>
    <row r="95" spans="1:11">
      <c r="A95" s="5" t="s">
        <v>278</v>
      </c>
      <c r="B95" s="6">
        <v>45024</v>
      </c>
      <c r="C95" s="7">
        <v>0.8</v>
      </c>
      <c r="D95" s="5">
        <v>9.09</v>
      </c>
      <c r="E95" s="5">
        <v>457</v>
      </c>
      <c r="F95" s="5">
        <v>475</v>
      </c>
      <c r="G95" s="6">
        <v>45024</v>
      </c>
      <c r="H95" s="5"/>
      <c r="I95" s="5"/>
      <c r="J95" s="5">
        <f t="shared" si="22"/>
        <v>18</v>
      </c>
      <c r="K95" s="8" t="b">
        <f t="shared" si="23"/>
        <v>0</v>
      </c>
    </row>
    <row r="96" spans="1:11">
      <c r="A96" s="5" t="s">
        <v>278</v>
      </c>
      <c r="B96" s="6">
        <v>45027</v>
      </c>
      <c r="C96" s="7">
        <v>0.8</v>
      </c>
      <c r="D96" s="5">
        <v>9.09</v>
      </c>
      <c r="E96" s="5">
        <v>475</v>
      </c>
      <c r="F96" s="5">
        <v>493.1</v>
      </c>
      <c r="G96" s="6">
        <v>45027</v>
      </c>
      <c r="H96" s="5"/>
      <c r="I96" s="5"/>
      <c r="J96" s="5">
        <f t="shared" si="22"/>
        <v>18.100000000000023</v>
      </c>
      <c r="K96" s="8" t="b">
        <f t="shared" si="23"/>
        <v>0</v>
      </c>
    </row>
    <row r="97" spans="1:11">
      <c r="A97" s="25" t="s">
        <v>278</v>
      </c>
      <c r="B97" s="26">
        <v>45030</v>
      </c>
      <c r="C97" s="27">
        <v>1</v>
      </c>
      <c r="D97" s="25">
        <v>7.27</v>
      </c>
      <c r="E97" s="25">
        <v>493.1</v>
      </c>
      <c r="F97" s="25">
        <v>510.9</v>
      </c>
      <c r="G97" s="26">
        <v>45030</v>
      </c>
      <c r="H97" s="25"/>
      <c r="I97" s="25"/>
      <c r="J97" s="25">
        <f t="shared" si="22"/>
        <v>17.799999999999955</v>
      </c>
      <c r="K97" s="8" t="b">
        <f t="shared" si="23"/>
        <v>0</v>
      </c>
    </row>
    <row r="98" spans="1:11">
      <c r="A98" s="25" t="s">
        <v>278</v>
      </c>
      <c r="B98" s="26">
        <v>45033</v>
      </c>
      <c r="C98" s="27">
        <v>1</v>
      </c>
      <c r="D98" s="25">
        <v>7.27</v>
      </c>
      <c r="E98" s="25">
        <v>510.9</v>
      </c>
      <c r="F98" s="25">
        <v>526</v>
      </c>
      <c r="G98" s="26">
        <v>45033</v>
      </c>
      <c r="H98" s="25"/>
      <c r="I98" s="25"/>
      <c r="J98" s="25">
        <f t="shared" si="22"/>
        <v>15.100000000000023</v>
      </c>
      <c r="K98" s="8" t="b">
        <f t="shared" si="23"/>
        <v>0</v>
      </c>
    </row>
    <row r="99" spans="1:11">
      <c r="A99" s="5" t="s">
        <v>278</v>
      </c>
      <c r="B99" s="6">
        <v>45036</v>
      </c>
      <c r="C99" s="7">
        <v>0.8</v>
      </c>
      <c r="D99" s="5">
        <v>9.09</v>
      </c>
      <c r="E99" s="5">
        <v>526</v>
      </c>
      <c r="F99" s="5">
        <v>544.1</v>
      </c>
      <c r="G99" s="6">
        <v>45036</v>
      </c>
      <c r="H99" s="5"/>
      <c r="I99" s="5"/>
      <c r="J99" s="5">
        <f t="shared" si="22"/>
        <v>18.100000000000023</v>
      </c>
      <c r="K99" s="8" t="b">
        <f t="shared" si="23"/>
        <v>0</v>
      </c>
    </row>
    <row r="100" spans="1:11">
      <c r="A100" s="5" t="s">
        <v>278</v>
      </c>
      <c r="B100" s="6">
        <v>45042</v>
      </c>
      <c r="C100" s="7">
        <v>1</v>
      </c>
      <c r="D100" s="5">
        <v>7.27</v>
      </c>
      <c r="E100" s="5">
        <v>544.1</v>
      </c>
      <c r="F100" s="5">
        <v>558.5</v>
      </c>
      <c r="G100" s="6">
        <v>45042</v>
      </c>
      <c r="H100" s="5"/>
      <c r="I100" s="5"/>
      <c r="J100" s="5">
        <f t="shared" si="22"/>
        <v>14.399999999999977</v>
      </c>
      <c r="K100" s="8" t="b">
        <f t="shared" si="23"/>
        <v>0</v>
      </c>
    </row>
    <row r="101" spans="1:11">
      <c r="A101" s="5" t="s">
        <v>278</v>
      </c>
      <c r="B101" s="6">
        <v>45045</v>
      </c>
      <c r="C101" s="7">
        <v>0.8</v>
      </c>
      <c r="D101" s="5">
        <v>9.09</v>
      </c>
      <c r="E101" s="5">
        <v>558.5</v>
      </c>
      <c r="F101" s="5">
        <v>576.6</v>
      </c>
      <c r="G101" s="6">
        <v>45045</v>
      </c>
      <c r="H101" s="5"/>
      <c r="I101" s="5"/>
      <c r="J101" s="5">
        <f t="shared" si="22"/>
        <v>18.100000000000023</v>
      </c>
      <c r="K101" s="8" t="b">
        <f t="shared" si="23"/>
        <v>0</v>
      </c>
    </row>
    <row r="102" spans="1:11">
      <c r="A102" s="5" t="s">
        <v>278</v>
      </c>
      <c r="B102" s="6">
        <v>45048</v>
      </c>
      <c r="C102" s="7">
        <v>0.8</v>
      </c>
      <c r="D102" s="5">
        <v>9.09</v>
      </c>
      <c r="E102" s="5">
        <v>576.6</v>
      </c>
      <c r="F102" s="5">
        <v>594.6</v>
      </c>
      <c r="G102" s="6">
        <v>45048</v>
      </c>
      <c r="H102" s="5"/>
      <c r="I102" s="5"/>
      <c r="J102" s="5">
        <f t="shared" ref="J102:J110" si="24">F102-E102</f>
        <v>18</v>
      </c>
      <c r="K102" s="8" t="b">
        <f t="shared" ref="K102:K110" si="25">E102=F102</f>
        <v>0</v>
      </c>
    </row>
    <row r="103" spans="1:11">
      <c r="A103" s="25" t="s">
        <v>278</v>
      </c>
      <c r="B103" s="26">
        <v>45051</v>
      </c>
      <c r="C103" s="27">
        <v>1</v>
      </c>
      <c r="D103" s="25">
        <v>7.27</v>
      </c>
      <c r="E103" s="25">
        <v>594.6</v>
      </c>
      <c r="F103" s="25">
        <v>609</v>
      </c>
      <c r="G103" s="26">
        <v>45051</v>
      </c>
      <c r="H103" s="25"/>
      <c r="I103" s="25"/>
      <c r="J103" s="25">
        <f t="shared" si="24"/>
        <v>14.399999999999977</v>
      </c>
      <c r="K103" s="8" t="b">
        <f t="shared" si="25"/>
        <v>0</v>
      </c>
    </row>
    <row r="104" spans="1:11">
      <c r="A104" s="5" t="s">
        <v>278</v>
      </c>
      <c r="B104" s="6">
        <v>45054</v>
      </c>
      <c r="C104" s="7">
        <v>0.8</v>
      </c>
      <c r="D104" s="5">
        <v>9.09</v>
      </c>
      <c r="E104" s="5">
        <v>609</v>
      </c>
      <c r="F104" s="5">
        <v>627</v>
      </c>
      <c r="G104" s="6">
        <v>45054</v>
      </c>
      <c r="H104" s="5"/>
      <c r="I104" s="5"/>
      <c r="J104" s="5">
        <f t="shared" si="24"/>
        <v>18</v>
      </c>
      <c r="K104" s="8" t="b">
        <f t="shared" si="25"/>
        <v>0</v>
      </c>
    </row>
    <row r="105" spans="1:11">
      <c r="A105" s="5" t="s">
        <v>278</v>
      </c>
      <c r="B105" s="6">
        <v>45056</v>
      </c>
      <c r="C105" s="7">
        <v>0.8</v>
      </c>
      <c r="D105" s="5">
        <v>9.09</v>
      </c>
      <c r="E105" s="5">
        <v>627</v>
      </c>
      <c r="F105" s="5">
        <v>645.1</v>
      </c>
      <c r="G105" s="6">
        <v>45056</v>
      </c>
      <c r="H105" s="5"/>
      <c r="I105" s="5"/>
      <c r="J105" s="5">
        <f t="shared" si="24"/>
        <v>18.100000000000023</v>
      </c>
      <c r="K105" s="8" t="b">
        <f t="shared" si="25"/>
        <v>0</v>
      </c>
    </row>
    <row r="106" spans="1:11">
      <c r="A106" s="5" t="s">
        <v>278</v>
      </c>
      <c r="B106" s="6">
        <v>45058</v>
      </c>
      <c r="C106" s="7">
        <v>0.8</v>
      </c>
      <c r="D106" s="5">
        <v>9.09</v>
      </c>
      <c r="E106" s="5">
        <v>645.1</v>
      </c>
      <c r="F106" s="5">
        <v>663</v>
      </c>
      <c r="G106" s="6">
        <v>45058</v>
      </c>
      <c r="H106" s="5"/>
      <c r="I106" s="5"/>
      <c r="J106" s="5">
        <f t="shared" si="24"/>
        <v>17.899999999999977</v>
      </c>
      <c r="K106" s="8" t="b">
        <f t="shared" si="25"/>
        <v>0</v>
      </c>
    </row>
    <row r="107" spans="1:11">
      <c r="A107" s="5" t="s">
        <v>281</v>
      </c>
      <c r="B107" s="6">
        <v>45060</v>
      </c>
      <c r="C107" s="7">
        <v>0.65</v>
      </c>
      <c r="D107" s="5">
        <v>11.18</v>
      </c>
      <c r="E107" s="5">
        <v>663</v>
      </c>
      <c r="F107" s="5">
        <v>674.5</v>
      </c>
      <c r="G107" s="6">
        <v>45060</v>
      </c>
      <c r="H107" s="5"/>
      <c r="I107" s="5"/>
      <c r="J107" s="5">
        <f t="shared" si="24"/>
        <v>11.5</v>
      </c>
      <c r="K107" s="8" t="b">
        <f t="shared" si="25"/>
        <v>0</v>
      </c>
    </row>
    <row r="108" spans="1:11">
      <c r="A108" s="5" t="s">
        <v>280</v>
      </c>
      <c r="B108" s="6">
        <v>45061</v>
      </c>
      <c r="C108" s="7">
        <v>0.65</v>
      </c>
      <c r="D108" s="5">
        <v>11.18</v>
      </c>
      <c r="E108" s="5">
        <v>674.5</v>
      </c>
      <c r="F108" s="5">
        <v>685.3</v>
      </c>
      <c r="G108" s="6">
        <v>45061</v>
      </c>
      <c r="H108" s="5"/>
      <c r="I108" s="5"/>
      <c r="J108" s="5">
        <f t="shared" si="24"/>
        <v>10.799999999999955</v>
      </c>
      <c r="K108" s="8" t="b">
        <f t="shared" si="25"/>
        <v>0</v>
      </c>
    </row>
    <row r="109" spans="1:11">
      <c r="A109" s="5" t="s">
        <v>281</v>
      </c>
      <c r="B109" s="6">
        <v>45063</v>
      </c>
      <c r="C109" s="7">
        <v>0.65</v>
      </c>
      <c r="D109" s="5">
        <v>11.18</v>
      </c>
      <c r="E109" s="5">
        <v>685.3</v>
      </c>
      <c r="F109" s="5">
        <v>696.3</v>
      </c>
      <c r="G109" s="6">
        <v>45063</v>
      </c>
      <c r="H109" s="5"/>
      <c r="I109" s="5"/>
      <c r="J109" s="5">
        <f t="shared" si="24"/>
        <v>11</v>
      </c>
      <c r="K109" s="8" t="b">
        <f t="shared" si="25"/>
        <v>0</v>
      </c>
    </row>
    <row r="110" spans="1:11">
      <c r="A110" s="5" t="s">
        <v>282</v>
      </c>
      <c r="B110" s="6">
        <v>45064</v>
      </c>
      <c r="C110" s="7">
        <v>0.65</v>
      </c>
      <c r="D110" s="5">
        <v>11.18</v>
      </c>
      <c r="E110" s="5">
        <v>696.3</v>
      </c>
      <c r="F110" s="5">
        <v>699.6</v>
      </c>
      <c r="G110" s="6">
        <v>45064</v>
      </c>
      <c r="H110" s="5"/>
      <c r="I110" s="5"/>
      <c r="J110" s="5">
        <f t="shared" si="24"/>
        <v>3.3000000000000682</v>
      </c>
      <c r="K110" s="8" t="b">
        <f t="shared" si="25"/>
        <v>0</v>
      </c>
    </row>
    <row r="111" spans="1:11">
      <c r="A111" s="25" t="s">
        <v>278</v>
      </c>
      <c r="B111" s="26">
        <v>45069</v>
      </c>
      <c r="C111" s="27">
        <v>1</v>
      </c>
      <c r="D111" s="25">
        <v>7.27</v>
      </c>
      <c r="E111" s="25">
        <v>699.6</v>
      </c>
      <c r="F111" s="25">
        <v>714.1</v>
      </c>
      <c r="G111" s="26">
        <v>45069</v>
      </c>
      <c r="H111" s="25"/>
      <c r="I111" s="25"/>
      <c r="J111" s="25">
        <f t="shared" ref="J111:J118" si="26">F111-E111</f>
        <v>14.5</v>
      </c>
      <c r="K111" s="8" t="b">
        <f t="shared" ref="K111:K118" si="27">E111=F111</f>
        <v>0</v>
      </c>
    </row>
    <row r="112" spans="1:11">
      <c r="A112" s="5" t="s">
        <v>278</v>
      </c>
      <c r="B112" s="6">
        <v>45074</v>
      </c>
      <c r="C112" s="7">
        <v>0.8</v>
      </c>
      <c r="D112" s="5">
        <v>9.09</v>
      </c>
      <c r="E112" s="5">
        <v>714.1</v>
      </c>
      <c r="F112" s="5">
        <v>732.1</v>
      </c>
      <c r="G112" s="6" t="s">
        <v>138</v>
      </c>
      <c r="H112" s="5"/>
      <c r="I112" s="5"/>
      <c r="J112" s="5">
        <f t="shared" si="26"/>
        <v>18</v>
      </c>
      <c r="K112" s="8" t="b">
        <f t="shared" si="27"/>
        <v>0</v>
      </c>
    </row>
    <row r="113" spans="1:11">
      <c r="A113" s="5" t="s">
        <v>278</v>
      </c>
      <c r="B113" s="6">
        <v>45079</v>
      </c>
      <c r="C113" s="7">
        <v>0.7</v>
      </c>
      <c r="D113" s="5">
        <v>10.39</v>
      </c>
      <c r="E113" s="5">
        <v>732.1</v>
      </c>
      <c r="F113" s="5">
        <v>752.6</v>
      </c>
      <c r="G113" s="6">
        <v>45079</v>
      </c>
      <c r="H113" s="5"/>
      <c r="I113" s="5"/>
      <c r="J113" s="5">
        <f t="shared" si="26"/>
        <v>20.5</v>
      </c>
      <c r="K113" s="8" t="b">
        <f t="shared" si="27"/>
        <v>0</v>
      </c>
    </row>
    <row r="114" spans="1:11">
      <c r="A114" s="5" t="s">
        <v>278</v>
      </c>
      <c r="B114" s="6">
        <v>45086</v>
      </c>
      <c r="C114" s="7">
        <v>0.65</v>
      </c>
      <c r="D114" s="5">
        <v>11.18</v>
      </c>
      <c r="E114" s="5">
        <v>752.6</v>
      </c>
      <c r="F114" s="5">
        <v>774.7</v>
      </c>
      <c r="G114" s="6">
        <v>45086</v>
      </c>
      <c r="H114" s="5"/>
      <c r="I114" s="5"/>
      <c r="J114" s="5">
        <f t="shared" si="26"/>
        <v>22.100000000000023</v>
      </c>
      <c r="K114" s="8" t="b">
        <f t="shared" si="27"/>
        <v>0</v>
      </c>
    </row>
    <row r="115" spans="1:11">
      <c r="A115" s="5" t="s">
        <v>278</v>
      </c>
      <c r="B115" s="6">
        <v>45089</v>
      </c>
      <c r="C115" s="7">
        <v>0.7</v>
      </c>
      <c r="D115" s="5">
        <v>10.39</v>
      </c>
      <c r="E115" s="5">
        <v>774.7</v>
      </c>
      <c r="F115" s="5">
        <v>795.2</v>
      </c>
      <c r="G115" s="6">
        <v>45089</v>
      </c>
      <c r="H115" s="5"/>
      <c r="I115" s="5"/>
      <c r="J115" s="5">
        <f t="shared" si="26"/>
        <v>20.5</v>
      </c>
      <c r="K115" s="8" t="b">
        <f t="shared" si="27"/>
        <v>0</v>
      </c>
    </row>
    <row r="116" spans="1:11">
      <c r="A116" s="5" t="s">
        <v>278</v>
      </c>
      <c r="B116" s="6">
        <v>45095</v>
      </c>
      <c r="C116" s="7">
        <v>0.8</v>
      </c>
      <c r="D116" s="5">
        <v>9.09</v>
      </c>
      <c r="E116" s="5">
        <v>795.2</v>
      </c>
      <c r="F116" s="5">
        <v>813.6</v>
      </c>
      <c r="G116" s="6">
        <v>45095</v>
      </c>
      <c r="H116" s="5"/>
      <c r="I116" s="5"/>
      <c r="J116" s="5">
        <f t="shared" si="26"/>
        <v>18.399999999999977</v>
      </c>
      <c r="K116" s="8" t="b">
        <f t="shared" si="27"/>
        <v>0</v>
      </c>
    </row>
    <row r="117" spans="1:11">
      <c r="A117" s="5" t="s">
        <v>278</v>
      </c>
      <c r="B117" s="6">
        <v>45097</v>
      </c>
      <c r="C117" s="7">
        <v>1</v>
      </c>
      <c r="D117" s="5">
        <v>7.27</v>
      </c>
      <c r="E117" s="5">
        <v>813.6</v>
      </c>
      <c r="F117" s="5">
        <v>828</v>
      </c>
      <c r="G117" s="6">
        <v>45097</v>
      </c>
      <c r="H117" s="5"/>
      <c r="I117" s="5"/>
      <c r="J117" s="5">
        <f t="shared" si="26"/>
        <v>14.399999999999977</v>
      </c>
      <c r="K117" s="8" t="b">
        <f t="shared" si="27"/>
        <v>0</v>
      </c>
    </row>
    <row r="118" spans="1:11">
      <c r="A118" s="5" t="s">
        <v>278</v>
      </c>
      <c r="B118" s="6">
        <v>45101</v>
      </c>
      <c r="C118" s="7">
        <v>0.6</v>
      </c>
      <c r="D118" s="5">
        <v>12.12</v>
      </c>
      <c r="E118" s="5">
        <v>828</v>
      </c>
      <c r="F118" s="5">
        <v>852.8</v>
      </c>
      <c r="G118" s="6">
        <v>45101</v>
      </c>
      <c r="H118" s="5"/>
      <c r="I118" s="5"/>
      <c r="J118" s="5">
        <f t="shared" si="26"/>
        <v>24.799999999999955</v>
      </c>
      <c r="K118" s="8" t="b">
        <f t="shared" si="27"/>
        <v>0</v>
      </c>
    </row>
    <row r="119" spans="1:11">
      <c r="A119" s="5" t="s">
        <v>278</v>
      </c>
      <c r="B119" s="6">
        <v>45108</v>
      </c>
      <c r="C119" s="7">
        <v>0.6</v>
      </c>
      <c r="D119" s="5">
        <v>12.12</v>
      </c>
      <c r="E119" s="5">
        <v>852.8</v>
      </c>
      <c r="F119" s="5">
        <v>876.5</v>
      </c>
      <c r="G119" s="6">
        <v>45108</v>
      </c>
      <c r="H119" s="5"/>
      <c r="I119" s="5"/>
      <c r="J119" s="5">
        <f t="shared" ref="J119:J123" si="28">F119-E119</f>
        <v>23.700000000000045</v>
      </c>
      <c r="K119" s="8" t="b">
        <f t="shared" ref="K119:K123" si="29">E119=F119</f>
        <v>0</v>
      </c>
    </row>
    <row r="120" spans="1:11">
      <c r="A120" s="5" t="s">
        <v>278</v>
      </c>
      <c r="B120" s="6">
        <v>45112</v>
      </c>
      <c r="C120" s="7">
        <v>0.8</v>
      </c>
      <c r="D120" s="5">
        <v>9.09</v>
      </c>
      <c r="E120" s="5">
        <v>876.5</v>
      </c>
      <c r="F120" s="5">
        <v>894.4</v>
      </c>
      <c r="G120" s="6">
        <v>45112</v>
      </c>
      <c r="H120" s="5"/>
      <c r="I120" s="5"/>
      <c r="J120" s="5">
        <f t="shared" si="28"/>
        <v>17.899999999999977</v>
      </c>
      <c r="K120" s="8" t="b">
        <f t="shared" si="29"/>
        <v>0</v>
      </c>
    </row>
    <row r="121" spans="1:11">
      <c r="A121" s="5" t="s">
        <v>278</v>
      </c>
      <c r="B121" s="6">
        <v>45116</v>
      </c>
      <c r="C121" s="7">
        <v>0.8</v>
      </c>
      <c r="D121" s="5">
        <v>9.09</v>
      </c>
      <c r="E121" s="5">
        <v>894.4</v>
      </c>
      <c r="F121" s="5">
        <v>908.8</v>
      </c>
      <c r="G121" s="6">
        <v>45116</v>
      </c>
      <c r="H121" s="5"/>
      <c r="I121" s="5"/>
      <c r="J121" s="5">
        <f t="shared" si="28"/>
        <v>14.399999999999977</v>
      </c>
      <c r="K121" s="8" t="b">
        <f t="shared" si="29"/>
        <v>0</v>
      </c>
    </row>
    <row r="122" spans="1:11">
      <c r="A122" s="5" t="s">
        <v>283</v>
      </c>
      <c r="B122" s="6">
        <v>45119</v>
      </c>
      <c r="C122" s="7">
        <v>1</v>
      </c>
      <c r="D122" s="5">
        <v>7.27</v>
      </c>
      <c r="E122" s="5">
        <v>908.8</v>
      </c>
      <c r="F122" s="5">
        <v>912.7</v>
      </c>
      <c r="G122" s="6">
        <v>45119</v>
      </c>
      <c r="H122" s="5"/>
      <c r="I122" s="5"/>
      <c r="J122" s="5">
        <f t="shared" si="28"/>
        <v>3.9000000000000909</v>
      </c>
      <c r="K122" s="8" t="b">
        <f t="shared" si="29"/>
        <v>0</v>
      </c>
    </row>
    <row r="123" spans="1:11">
      <c r="A123" s="5" t="s">
        <v>278</v>
      </c>
      <c r="B123" s="6"/>
      <c r="C123" s="7"/>
      <c r="D123" s="5"/>
      <c r="E123" s="5"/>
      <c r="F123" s="5"/>
      <c r="G123" s="6"/>
      <c r="H123" s="5"/>
      <c r="I123" s="5"/>
      <c r="J123" s="5">
        <f t="shared" si="28"/>
        <v>0</v>
      </c>
      <c r="K123" s="8" t="b">
        <f t="shared" si="29"/>
        <v>1</v>
      </c>
    </row>
    <row r="124" spans="1:11" ht="14.25" customHeight="1">
      <c r="A124" s="96"/>
      <c r="B124" s="97"/>
      <c r="C124" s="98"/>
      <c r="D124" s="99"/>
      <c r="E124" s="99"/>
      <c r="F124" s="99"/>
      <c r="G124" s="97"/>
      <c r="H124" s="99"/>
      <c r="I124" s="99"/>
      <c r="J124" s="99"/>
      <c r="K124" s="100"/>
    </row>
    <row r="125" spans="1:11" ht="26.25">
      <c r="A125" s="217" t="s">
        <v>275</v>
      </c>
      <c r="B125" s="218"/>
      <c r="C125" s="218"/>
      <c r="D125" s="218"/>
      <c r="E125" s="218"/>
      <c r="F125" s="218"/>
      <c r="G125" s="218"/>
      <c r="H125" s="218"/>
      <c r="I125" s="218"/>
      <c r="J125" s="218"/>
      <c r="K125" s="219"/>
    </row>
    <row r="126" spans="1:11" ht="26.25">
      <c r="A126" s="161" t="s">
        <v>18</v>
      </c>
      <c r="B126" s="220"/>
      <c r="C126" s="220"/>
      <c r="D126" s="220"/>
      <c r="E126" s="220"/>
      <c r="F126" s="220"/>
      <c r="G126" s="220"/>
      <c r="H126" s="220"/>
      <c r="I126" s="220"/>
      <c r="J126" s="220"/>
      <c r="K126" s="221"/>
    </row>
    <row r="127" spans="1:11" ht="15.75" thickBot="1"/>
    <row r="128" spans="1:11" ht="15.75" thickBot="1">
      <c r="A128" s="132" t="s">
        <v>2</v>
      </c>
      <c r="B128" s="133"/>
      <c r="C128" s="133"/>
      <c r="D128" s="133"/>
      <c r="E128" s="133"/>
      <c r="F128" s="133"/>
      <c r="G128" s="133"/>
      <c r="H128" s="133"/>
      <c r="I128" s="133"/>
      <c r="J128" s="133"/>
      <c r="K128" s="134"/>
    </row>
    <row r="130" spans="1:11" ht="19.5" thickBot="1">
      <c r="A130" s="1" t="s">
        <v>3</v>
      </c>
      <c r="B130" s="1"/>
      <c r="C130" s="1"/>
      <c r="D130" s="1"/>
      <c r="E130" s="1"/>
      <c r="F130" s="1"/>
      <c r="G130" s="1"/>
      <c r="H130" s="1"/>
      <c r="I130" s="1"/>
    </row>
    <row r="131" spans="1:11" ht="30.75" thickBot="1">
      <c r="A131" s="2" t="s">
        <v>4</v>
      </c>
      <c r="B131" s="3" t="s">
        <v>5</v>
      </c>
      <c r="C131" s="3" t="s">
        <v>6</v>
      </c>
      <c r="D131" s="3" t="s">
        <v>7</v>
      </c>
      <c r="E131" s="3" t="s">
        <v>8</v>
      </c>
      <c r="F131" s="3" t="s">
        <v>9</v>
      </c>
      <c r="G131" s="3" t="s">
        <v>10</v>
      </c>
      <c r="H131" s="3" t="s">
        <v>21</v>
      </c>
      <c r="I131" s="4" t="s">
        <v>22</v>
      </c>
      <c r="J131" s="4" t="s">
        <v>11</v>
      </c>
      <c r="K131" s="4" t="s">
        <v>12</v>
      </c>
    </row>
    <row r="132" spans="1:11">
      <c r="A132" s="5" t="s">
        <v>284</v>
      </c>
      <c r="B132" s="6">
        <v>45136</v>
      </c>
      <c r="C132" s="7">
        <v>0.45</v>
      </c>
      <c r="D132" s="5">
        <v>14.56</v>
      </c>
      <c r="E132" s="5">
        <v>912.7</v>
      </c>
      <c r="F132" s="5">
        <v>928.9</v>
      </c>
      <c r="G132" s="6">
        <v>45136</v>
      </c>
      <c r="H132" s="5"/>
      <c r="I132" s="5"/>
      <c r="J132" s="5">
        <f>F132-E132</f>
        <v>16.199999999999932</v>
      </c>
      <c r="K132" s="8" t="b">
        <f>E132=F132</f>
        <v>0</v>
      </c>
    </row>
    <row r="133" spans="1:11">
      <c r="A133" s="5" t="s">
        <v>281</v>
      </c>
      <c r="B133" s="6">
        <v>45137</v>
      </c>
      <c r="C133" s="7">
        <v>0.45</v>
      </c>
      <c r="D133" s="5">
        <v>14.56</v>
      </c>
      <c r="E133" s="5">
        <v>928.9</v>
      </c>
      <c r="F133" s="5">
        <v>944.8</v>
      </c>
      <c r="G133" s="6">
        <v>45137</v>
      </c>
      <c r="H133" s="5"/>
      <c r="I133" s="5"/>
      <c r="J133" s="5">
        <f>F133-E133</f>
        <v>15.899999999999977</v>
      </c>
      <c r="K133" s="8" t="b">
        <f>E133=F132</f>
        <v>1</v>
      </c>
    </row>
    <row r="134" spans="1:11">
      <c r="A134" s="5" t="s">
        <v>281</v>
      </c>
      <c r="B134" s="6">
        <v>45140</v>
      </c>
      <c r="C134" s="7">
        <v>0.45</v>
      </c>
      <c r="D134" s="5">
        <v>14.56</v>
      </c>
      <c r="E134" s="5">
        <v>944.8</v>
      </c>
      <c r="F134" s="5">
        <v>961.3</v>
      </c>
      <c r="G134" s="6">
        <v>45140</v>
      </c>
      <c r="H134" s="5"/>
      <c r="I134" s="5"/>
      <c r="J134" s="5">
        <f>F134-E134</f>
        <v>16.5</v>
      </c>
      <c r="K134" s="8" t="b">
        <f t="shared" ref="K134" si="30">E134=F133</f>
        <v>1</v>
      </c>
    </row>
    <row r="135" spans="1:11">
      <c r="A135" s="5" t="s">
        <v>281</v>
      </c>
      <c r="B135" s="6">
        <v>45141</v>
      </c>
      <c r="C135" s="7">
        <v>0.45</v>
      </c>
      <c r="D135" s="5">
        <v>14.56</v>
      </c>
      <c r="E135" s="5">
        <v>961.3</v>
      </c>
      <c r="F135" s="5">
        <v>976.8</v>
      </c>
      <c r="G135" s="6">
        <v>45141</v>
      </c>
      <c r="H135" s="5"/>
      <c r="I135" s="5"/>
      <c r="J135" s="5">
        <f t="shared" ref="J135:J149" si="31">F135-E135</f>
        <v>15.5</v>
      </c>
      <c r="K135" s="8" t="b">
        <f t="shared" ref="K135:K149" si="32">E135=F134</f>
        <v>1</v>
      </c>
    </row>
    <row r="136" spans="1:11">
      <c r="A136" s="5" t="s">
        <v>281</v>
      </c>
      <c r="B136" s="6">
        <v>45151</v>
      </c>
      <c r="C136" s="7">
        <v>0.4</v>
      </c>
      <c r="D136" s="5">
        <v>16.38</v>
      </c>
      <c r="E136" s="5">
        <v>976.8</v>
      </c>
      <c r="F136" s="5">
        <v>999.8</v>
      </c>
      <c r="G136" s="6">
        <v>45151</v>
      </c>
      <c r="H136" s="5"/>
      <c r="I136" s="5"/>
      <c r="J136" s="5">
        <f t="shared" si="31"/>
        <v>23</v>
      </c>
      <c r="K136" s="8" t="b">
        <f t="shared" si="32"/>
        <v>1</v>
      </c>
    </row>
    <row r="137" spans="1:11">
      <c r="A137" s="5" t="s">
        <v>281</v>
      </c>
      <c r="B137" s="6">
        <v>45152</v>
      </c>
      <c r="C137" s="7">
        <v>0.4</v>
      </c>
      <c r="D137" s="5">
        <v>16.38</v>
      </c>
      <c r="E137" s="5">
        <v>999.8</v>
      </c>
      <c r="F137" s="5">
        <v>1012.9</v>
      </c>
      <c r="G137" s="6">
        <v>45152</v>
      </c>
      <c r="H137" s="5"/>
      <c r="I137" s="5"/>
      <c r="J137" s="5">
        <f t="shared" si="31"/>
        <v>13.100000000000023</v>
      </c>
      <c r="K137" s="8" t="b">
        <f t="shared" si="32"/>
        <v>1</v>
      </c>
    </row>
    <row r="138" spans="1:11">
      <c r="A138" s="5" t="s">
        <v>278</v>
      </c>
      <c r="B138" s="6">
        <v>45357</v>
      </c>
      <c r="C138" s="7">
        <v>1</v>
      </c>
      <c r="D138" s="55">
        <v>6.79</v>
      </c>
      <c r="E138" s="5">
        <v>0</v>
      </c>
      <c r="F138" s="5">
        <v>15.2</v>
      </c>
      <c r="G138" s="6">
        <v>45357</v>
      </c>
      <c r="H138" s="5"/>
      <c r="I138" s="5"/>
      <c r="J138" s="5">
        <f t="shared" si="31"/>
        <v>15.2</v>
      </c>
      <c r="K138" s="8" t="b">
        <f t="shared" si="32"/>
        <v>0</v>
      </c>
    </row>
    <row r="139" spans="1:11">
      <c r="A139" s="5" t="s">
        <v>278</v>
      </c>
      <c r="B139" s="6">
        <v>45358</v>
      </c>
      <c r="C139" s="7">
        <v>1</v>
      </c>
      <c r="D139" s="5">
        <v>6.79</v>
      </c>
      <c r="E139" s="5">
        <v>15.2</v>
      </c>
      <c r="F139" s="5">
        <v>30</v>
      </c>
      <c r="G139" s="6">
        <v>45358</v>
      </c>
      <c r="H139" s="5"/>
      <c r="I139" s="5"/>
      <c r="J139" s="5">
        <f t="shared" si="31"/>
        <v>14.8</v>
      </c>
      <c r="K139" s="8" t="b">
        <f>E139=F137</f>
        <v>0</v>
      </c>
    </row>
    <row r="140" spans="1:11">
      <c r="A140" s="5" t="s">
        <v>278</v>
      </c>
      <c r="B140" s="6">
        <v>45359</v>
      </c>
      <c r="C140" s="7">
        <v>1</v>
      </c>
      <c r="D140" s="5">
        <v>6.79</v>
      </c>
      <c r="E140" s="5">
        <v>30</v>
      </c>
      <c r="F140" s="5">
        <v>45.8</v>
      </c>
      <c r="G140" s="6">
        <v>45359</v>
      </c>
      <c r="H140" s="5"/>
      <c r="I140" s="5"/>
      <c r="J140" s="5">
        <f t="shared" si="31"/>
        <v>15.799999999999997</v>
      </c>
      <c r="K140" s="8" t="b">
        <f t="shared" si="32"/>
        <v>1</v>
      </c>
    </row>
    <row r="141" spans="1:11">
      <c r="A141" s="5" t="s">
        <v>278</v>
      </c>
      <c r="B141" s="6">
        <v>45360</v>
      </c>
      <c r="C141" s="7">
        <v>1</v>
      </c>
      <c r="D141" s="5">
        <v>6.79</v>
      </c>
      <c r="E141" s="5">
        <v>45.8</v>
      </c>
      <c r="F141" s="5">
        <v>78.2</v>
      </c>
      <c r="G141" s="6">
        <v>45360</v>
      </c>
      <c r="H141" s="5"/>
      <c r="I141" s="5"/>
      <c r="J141" s="5">
        <f t="shared" si="31"/>
        <v>32.400000000000006</v>
      </c>
      <c r="K141" s="8" t="b">
        <f t="shared" si="32"/>
        <v>1</v>
      </c>
    </row>
    <row r="142" spans="1:11">
      <c r="A142" s="5" t="s">
        <v>285</v>
      </c>
      <c r="B142" s="6">
        <v>45361</v>
      </c>
      <c r="C142" s="7">
        <v>1</v>
      </c>
      <c r="D142" s="5">
        <v>6.79</v>
      </c>
      <c r="E142" s="5">
        <v>78.2</v>
      </c>
      <c r="F142" s="5">
        <v>89.2</v>
      </c>
      <c r="G142" s="6">
        <v>45361</v>
      </c>
      <c r="H142" s="5"/>
      <c r="I142" s="5"/>
      <c r="J142" s="5">
        <f t="shared" si="31"/>
        <v>11</v>
      </c>
      <c r="K142" s="8" t="b">
        <f t="shared" si="32"/>
        <v>1</v>
      </c>
    </row>
    <row r="143" spans="1:11">
      <c r="A143" s="5" t="s">
        <v>278</v>
      </c>
      <c r="B143" s="6">
        <v>45363</v>
      </c>
      <c r="C143" s="7">
        <v>1</v>
      </c>
      <c r="D143" s="5">
        <v>6.79</v>
      </c>
      <c r="E143" s="5">
        <v>89.2</v>
      </c>
      <c r="F143" s="5">
        <v>104.2</v>
      </c>
      <c r="G143" s="6">
        <v>45363</v>
      </c>
      <c r="H143" s="5"/>
      <c r="I143" s="5"/>
      <c r="J143" s="5">
        <f t="shared" si="31"/>
        <v>15</v>
      </c>
      <c r="K143" s="8" t="b">
        <f t="shared" si="32"/>
        <v>1</v>
      </c>
    </row>
    <row r="144" spans="1:11">
      <c r="A144" s="5" t="s">
        <v>278</v>
      </c>
      <c r="B144" s="6">
        <v>45364</v>
      </c>
      <c r="C144" s="7">
        <v>1</v>
      </c>
      <c r="D144" s="5">
        <v>6.79</v>
      </c>
      <c r="E144" s="5">
        <v>104.2</v>
      </c>
      <c r="F144" s="5">
        <v>118.2</v>
      </c>
      <c r="G144" s="6">
        <v>45364</v>
      </c>
      <c r="H144" s="5"/>
      <c r="I144" s="5"/>
      <c r="J144" s="5">
        <f t="shared" si="31"/>
        <v>14</v>
      </c>
      <c r="K144" s="8" t="b">
        <f t="shared" si="32"/>
        <v>1</v>
      </c>
    </row>
    <row r="145" spans="1:11">
      <c r="A145" s="5" t="s">
        <v>278</v>
      </c>
      <c r="B145" s="6">
        <v>45365</v>
      </c>
      <c r="C145" s="7">
        <v>1</v>
      </c>
      <c r="D145" s="5">
        <v>6.79</v>
      </c>
      <c r="E145" s="5">
        <v>118.2</v>
      </c>
      <c r="F145" s="5">
        <v>133</v>
      </c>
      <c r="G145" s="6">
        <v>45365</v>
      </c>
      <c r="H145" s="5"/>
      <c r="I145" s="5"/>
      <c r="J145" s="5">
        <f t="shared" si="31"/>
        <v>14.799999999999997</v>
      </c>
      <c r="K145" s="8" t="b">
        <f t="shared" si="32"/>
        <v>1</v>
      </c>
    </row>
    <row r="146" spans="1:11">
      <c r="A146" s="5" t="s">
        <v>278</v>
      </c>
      <c r="B146" s="6">
        <v>45366</v>
      </c>
      <c r="C146" s="7">
        <v>1</v>
      </c>
      <c r="D146" s="5">
        <v>6.79</v>
      </c>
      <c r="E146" s="5">
        <v>133</v>
      </c>
      <c r="F146" s="5">
        <v>147.69999999999999</v>
      </c>
      <c r="G146" s="6">
        <v>45366</v>
      </c>
      <c r="H146" s="5"/>
      <c r="I146" s="5"/>
      <c r="J146" s="5">
        <f t="shared" si="31"/>
        <v>14.699999999999989</v>
      </c>
      <c r="K146" s="8" t="b">
        <f t="shared" si="32"/>
        <v>1</v>
      </c>
    </row>
    <row r="147" spans="1:11">
      <c r="A147" s="5" t="s">
        <v>278</v>
      </c>
      <c r="B147" s="6">
        <v>45367</v>
      </c>
      <c r="C147" s="7">
        <v>1</v>
      </c>
      <c r="D147" s="5">
        <v>6.79</v>
      </c>
      <c r="E147" s="5">
        <v>147.69999999999999</v>
      </c>
      <c r="F147" s="5">
        <v>162.5</v>
      </c>
      <c r="G147" s="6">
        <v>45367</v>
      </c>
      <c r="H147" s="5"/>
      <c r="I147" s="5"/>
      <c r="J147" s="5">
        <f t="shared" si="31"/>
        <v>14.800000000000011</v>
      </c>
      <c r="K147" s="8" t="b">
        <f t="shared" si="32"/>
        <v>1</v>
      </c>
    </row>
    <row r="148" spans="1:11">
      <c r="A148" s="5" t="s">
        <v>278</v>
      </c>
      <c r="B148" s="6">
        <v>45368</v>
      </c>
      <c r="C148" s="7">
        <v>1</v>
      </c>
      <c r="D148" s="5">
        <v>6.79</v>
      </c>
      <c r="E148" s="5">
        <v>162.5</v>
      </c>
      <c r="F148" s="5">
        <v>177.9</v>
      </c>
      <c r="G148" s="6">
        <v>45368</v>
      </c>
      <c r="H148" s="5"/>
      <c r="I148" s="5"/>
      <c r="J148" s="5">
        <f t="shared" si="31"/>
        <v>15.400000000000006</v>
      </c>
      <c r="K148" s="8" t="b">
        <f t="shared" si="32"/>
        <v>1</v>
      </c>
    </row>
    <row r="149" spans="1:11">
      <c r="A149" s="5" t="s">
        <v>278</v>
      </c>
      <c r="B149" s="6">
        <v>45369</v>
      </c>
      <c r="C149" s="7">
        <v>1</v>
      </c>
      <c r="D149" s="5">
        <v>6.79</v>
      </c>
      <c r="E149" s="5">
        <v>177.9</v>
      </c>
      <c r="F149" s="5">
        <v>192.3</v>
      </c>
      <c r="G149" s="6">
        <v>45369</v>
      </c>
      <c r="H149" s="5"/>
      <c r="I149" s="5"/>
      <c r="J149" s="5">
        <f t="shared" si="31"/>
        <v>14.400000000000006</v>
      </c>
      <c r="K149" s="8" t="b">
        <f t="shared" si="32"/>
        <v>1</v>
      </c>
    </row>
    <row r="150" spans="1:11">
      <c r="A150" s="5" t="s">
        <v>281</v>
      </c>
      <c r="B150" s="6">
        <v>45370</v>
      </c>
      <c r="C150" s="7">
        <v>1</v>
      </c>
      <c r="D150" s="5">
        <v>6.79</v>
      </c>
      <c r="E150" s="5">
        <v>192.3</v>
      </c>
      <c r="F150" s="5">
        <v>200.4</v>
      </c>
      <c r="G150" s="6">
        <v>45370</v>
      </c>
      <c r="H150" s="5"/>
      <c r="I150" s="5"/>
      <c r="J150" s="5">
        <f t="shared" ref="J150:J173" si="33">F150-E150</f>
        <v>8.0999999999999943</v>
      </c>
      <c r="K150" s="8" t="b">
        <f t="shared" ref="K150:K173" si="34">E150=F149</f>
        <v>1</v>
      </c>
    </row>
    <row r="151" spans="1:11">
      <c r="A151" s="5" t="s">
        <v>278</v>
      </c>
      <c r="B151" s="6">
        <v>45371</v>
      </c>
      <c r="C151" s="7">
        <v>1</v>
      </c>
      <c r="D151" s="5">
        <v>6.79</v>
      </c>
      <c r="E151" s="5">
        <v>200.4</v>
      </c>
      <c r="F151" s="5">
        <v>215.3</v>
      </c>
      <c r="G151" s="6">
        <v>45371</v>
      </c>
      <c r="H151" s="5"/>
      <c r="I151" s="5"/>
      <c r="J151" s="5">
        <f t="shared" si="33"/>
        <v>14.900000000000006</v>
      </c>
      <c r="K151" s="8" t="b">
        <f t="shared" si="34"/>
        <v>1</v>
      </c>
    </row>
    <row r="152" spans="1:11">
      <c r="A152" s="5" t="s">
        <v>280</v>
      </c>
      <c r="B152" s="6">
        <v>45373</v>
      </c>
      <c r="C152" s="7">
        <v>1</v>
      </c>
      <c r="D152" s="5">
        <v>6.79</v>
      </c>
      <c r="E152" s="5">
        <v>215.3</v>
      </c>
      <c r="F152" s="5">
        <v>222.8</v>
      </c>
      <c r="G152" s="6">
        <v>45373</v>
      </c>
      <c r="H152" s="5"/>
      <c r="I152" s="5"/>
      <c r="J152" s="5">
        <f t="shared" si="33"/>
        <v>7.5</v>
      </c>
      <c r="K152" s="8" t="b">
        <f t="shared" si="34"/>
        <v>1</v>
      </c>
    </row>
    <row r="153" spans="1:11">
      <c r="A153" s="5" t="s">
        <v>284</v>
      </c>
      <c r="B153" s="6">
        <v>45374</v>
      </c>
      <c r="C153" s="7">
        <v>1</v>
      </c>
      <c r="D153" s="5">
        <v>6.79</v>
      </c>
      <c r="E153" s="5">
        <v>222.8</v>
      </c>
      <c r="F153" s="5">
        <v>225</v>
      </c>
      <c r="G153" s="6">
        <v>45374</v>
      </c>
      <c r="H153" s="5"/>
      <c r="I153" s="5"/>
      <c r="J153" s="5">
        <f>F153-E153</f>
        <v>2.1999999999999886</v>
      </c>
      <c r="K153" s="8" t="b">
        <f>E153=F152</f>
        <v>1</v>
      </c>
    </row>
    <row r="154" spans="1:11">
      <c r="A154" s="5" t="s">
        <v>280</v>
      </c>
      <c r="B154" s="60">
        <v>45375</v>
      </c>
      <c r="C154" s="94">
        <v>1</v>
      </c>
      <c r="D154" s="5">
        <v>6.79</v>
      </c>
      <c r="E154" s="55">
        <v>225</v>
      </c>
      <c r="F154" s="55">
        <v>232</v>
      </c>
      <c r="G154" s="6">
        <v>45375</v>
      </c>
      <c r="H154" s="5"/>
      <c r="I154" s="5"/>
      <c r="J154" s="55">
        <f>F154-E154</f>
        <v>7</v>
      </c>
      <c r="K154" s="8" t="b">
        <f>E154=F153</f>
        <v>1</v>
      </c>
    </row>
    <row r="155" spans="1:11">
      <c r="A155" s="5" t="s">
        <v>278</v>
      </c>
      <c r="B155" s="6">
        <v>45376</v>
      </c>
      <c r="C155" s="7">
        <v>1</v>
      </c>
      <c r="D155" s="5">
        <v>6.79</v>
      </c>
      <c r="E155" s="5">
        <v>232</v>
      </c>
      <c r="F155" s="5">
        <v>246.6</v>
      </c>
      <c r="G155" s="6">
        <v>45376</v>
      </c>
      <c r="H155" s="5"/>
      <c r="I155" s="5"/>
      <c r="J155" s="5">
        <f t="shared" si="33"/>
        <v>14.599999999999994</v>
      </c>
      <c r="K155" s="8" t="b">
        <f>E154=F153</f>
        <v>1</v>
      </c>
    </row>
    <row r="156" spans="1:11">
      <c r="A156" s="5" t="s">
        <v>278</v>
      </c>
      <c r="B156" s="6">
        <v>45378</v>
      </c>
      <c r="C156" s="7">
        <v>1</v>
      </c>
      <c r="D156" s="5">
        <v>6.79</v>
      </c>
      <c r="E156" s="5">
        <v>246.6</v>
      </c>
      <c r="F156" s="5">
        <v>264.89999999999998</v>
      </c>
      <c r="G156" s="6">
        <v>45378</v>
      </c>
      <c r="H156" s="5"/>
      <c r="I156" s="5"/>
      <c r="J156" s="5">
        <f t="shared" si="33"/>
        <v>18.299999999999983</v>
      </c>
      <c r="K156" s="8" t="b">
        <f t="shared" si="34"/>
        <v>1</v>
      </c>
    </row>
    <row r="157" spans="1:11">
      <c r="A157" s="5" t="s">
        <v>278</v>
      </c>
      <c r="B157" s="6">
        <v>45379</v>
      </c>
      <c r="C157" s="7">
        <v>1</v>
      </c>
      <c r="D157" s="5">
        <v>6.79</v>
      </c>
      <c r="E157" s="5">
        <v>264.89999999999998</v>
      </c>
      <c r="F157" s="5">
        <v>279.3</v>
      </c>
      <c r="G157" s="6">
        <v>45379</v>
      </c>
      <c r="H157" s="5"/>
      <c r="I157" s="5"/>
      <c r="J157" s="5">
        <f t="shared" si="33"/>
        <v>14.400000000000034</v>
      </c>
      <c r="K157" s="8" t="b">
        <f>E157=F156</f>
        <v>1</v>
      </c>
    </row>
    <row r="158" spans="1:11">
      <c r="A158" s="5" t="s">
        <v>278</v>
      </c>
      <c r="B158" s="6">
        <v>45380</v>
      </c>
      <c r="C158" s="7">
        <v>1</v>
      </c>
      <c r="D158" s="5">
        <v>6.79</v>
      </c>
      <c r="E158" s="5">
        <v>279.3</v>
      </c>
      <c r="F158" s="5">
        <v>294.3</v>
      </c>
      <c r="G158" s="6">
        <v>45380</v>
      </c>
      <c r="H158" s="5"/>
      <c r="I158" s="5"/>
      <c r="J158" s="5">
        <f t="shared" si="33"/>
        <v>15</v>
      </c>
      <c r="K158" s="8" t="b">
        <f t="shared" ref="K158:K159" si="35">E158=F157</f>
        <v>1</v>
      </c>
    </row>
    <row r="159" spans="1:11">
      <c r="A159" s="5" t="s">
        <v>278</v>
      </c>
      <c r="B159" s="6">
        <v>45382</v>
      </c>
      <c r="C159" s="7">
        <v>1</v>
      </c>
      <c r="D159" s="5">
        <v>6.79</v>
      </c>
      <c r="E159" s="5">
        <v>294.3</v>
      </c>
      <c r="F159" s="5">
        <v>308.8</v>
      </c>
      <c r="G159" s="6">
        <v>45381</v>
      </c>
      <c r="H159" s="5"/>
      <c r="I159" s="5"/>
      <c r="J159" s="5">
        <f t="shared" si="33"/>
        <v>14.5</v>
      </c>
      <c r="K159" s="8" t="b">
        <f t="shared" si="35"/>
        <v>1</v>
      </c>
    </row>
    <row r="160" spans="1:11">
      <c r="A160" s="5" t="s">
        <v>286</v>
      </c>
      <c r="B160" s="6">
        <v>45386</v>
      </c>
      <c r="C160" s="7">
        <v>1</v>
      </c>
      <c r="D160" s="5">
        <v>6.79</v>
      </c>
      <c r="E160" s="5">
        <v>308.8</v>
      </c>
      <c r="F160" s="5">
        <v>316.39999999999998</v>
      </c>
      <c r="G160" s="6">
        <v>45386</v>
      </c>
      <c r="H160" s="5"/>
      <c r="I160" s="5"/>
      <c r="J160" s="5">
        <f t="shared" si="33"/>
        <v>7.5999999999999659</v>
      </c>
      <c r="K160" s="8" t="b">
        <f t="shared" si="34"/>
        <v>1</v>
      </c>
    </row>
    <row r="161" spans="1:11">
      <c r="A161" s="5" t="s">
        <v>281</v>
      </c>
      <c r="B161" s="6">
        <v>45388</v>
      </c>
      <c r="C161" s="7">
        <v>1</v>
      </c>
      <c r="D161" s="5">
        <v>6.79</v>
      </c>
      <c r="E161" s="5">
        <v>316.39999999999998</v>
      </c>
      <c r="F161" s="5">
        <v>319.89999999999998</v>
      </c>
      <c r="G161" s="6">
        <v>45388</v>
      </c>
      <c r="H161" s="5"/>
      <c r="I161" s="5"/>
      <c r="J161" s="5">
        <f t="shared" si="33"/>
        <v>3.5</v>
      </c>
      <c r="K161" s="8" t="b">
        <f t="shared" si="34"/>
        <v>1</v>
      </c>
    </row>
    <row r="162" spans="1:11">
      <c r="A162" s="5" t="s">
        <v>287</v>
      </c>
      <c r="B162" s="6">
        <v>45389</v>
      </c>
      <c r="C162" s="7">
        <v>1</v>
      </c>
      <c r="D162" s="5">
        <v>6.79</v>
      </c>
      <c r="E162" s="5">
        <v>319.89999999999998</v>
      </c>
      <c r="F162" s="5">
        <v>331.4</v>
      </c>
      <c r="G162" s="6">
        <v>45389</v>
      </c>
      <c r="H162" s="5"/>
      <c r="I162" s="5"/>
      <c r="J162" s="5">
        <f t="shared" si="33"/>
        <v>11.5</v>
      </c>
      <c r="K162" s="8" t="b">
        <f t="shared" si="34"/>
        <v>1</v>
      </c>
    </row>
    <row r="163" spans="1:11">
      <c r="A163" s="5" t="s">
        <v>278</v>
      </c>
      <c r="B163" s="6">
        <v>45391</v>
      </c>
      <c r="C163" s="7">
        <v>1</v>
      </c>
      <c r="D163" s="5">
        <v>6.79</v>
      </c>
      <c r="E163" s="5">
        <v>331.4</v>
      </c>
      <c r="F163" s="5">
        <v>346.2</v>
      </c>
      <c r="G163" s="6">
        <v>45391</v>
      </c>
      <c r="H163" s="5"/>
      <c r="I163" s="5"/>
      <c r="J163" s="5">
        <f t="shared" si="33"/>
        <v>14.800000000000011</v>
      </c>
      <c r="K163" s="8" t="b">
        <f t="shared" si="34"/>
        <v>1</v>
      </c>
    </row>
    <row r="164" spans="1:11">
      <c r="A164" s="5" t="s">
        <v>281</v>
      </c>
      <c r="B164" s="6">
        <v>45393</v>
      </c>
      <c r="C164" s="7">
        <v>1</v>
      </c>
      <c r="D164" s="5">
        <v>6.79</v>
      </c>
      <c r="E164" s="5">
        <v>346.2</v>
      </c>
      <c r="F164" s="5">
        <v>349.9</v>
      </c>
      <c r="G164" s="6">
        <v>45393</v>
      </c>
      <c r="H164" s="5"/>
      <c r="I164" s="5"/>
      <c r="J164" s="5">
        <f t="shared" si="33"/>
        <v>3.6999999999999886</v>
      </c>
      <c r="K164" s="8" t="b">
        <f t="shared" si="34"/>
        <v>1</v>
      </c>
    </row>
    <row r="165" spans="1:11">
      <c r="A165" s="5" t="s">
        <v>281</v>
      </c>
      <c r="B165" s="6">
        <v>45395</v>
      </c>
      <c r="C165" s="7">
        <v>1</v>
      </c>
      <c r="D165" s="5">
        <v>6.79</v>
      </c>
      <c r="E165" s="5">
        <v>349.9</v>
      </c>
      <c r="F165" s="5">
        <v>364.3</v>
      </c>
      <c r="G165" s="6">
        <v>45395</v>
      </c>
      <c r="H165" s="5"/>
      <c r="I165" s="5"/>
      <c r="J165" s="5">
        <f t="shared" si="33"/>
        <v>14.400000000000034</v>
      </c>
      <c r="K165" s="8" t="b">
        <f t="shared" si="34"/>
        <v>1</v>
      </c>
    </row>
    <row r="166" spans="1:11">
      <c r="A166" s="5" t="s">
        <v>281</v>
      </c>
      <c r="B166" s="6">
        <v>45396</v>
      </c>
      <c r="C166" s="7">
        <v>1</v>
      </c>
      <c r="D166" s="5">
        <v>6.79</v>
      </c>
      <c r="E166" s="5">
        <v>364.3</v>
      </c>
      <c r="F166" s="5">
        <v>379.3</v>
      </c>
      <c r="G166" s="6">
        <v>45396</v>
      </c>
      <c r="H166" s="5"/>
      <c r="I166" s="5"/>
      <c r="J166" s="5">
        <f t="shared" si="33"/>
        <v>15</v>
      </c>
      <c r="K166" s="8" t="b">
        <f t="shared" si="34"/>
        <v>1</v>
      </c>
    </row>
    <row r="167" spans="1:11">
      <c r="A167" s="5" t="s">
        <v>281</v>
      </c>
      <c r="B167" s="6">
        <v>45399</v>
      </c>
      <c r="C167" s="7">
        <v>1</v>
      </c>
      <c r="D167" s="5">
        <v>6.79</v>
      </c>
      <c r="E167" s="5">
        <v>379.3</v>
      </c>
      <c r="F167" s="5">
        <v>394.3</v>
      </c>
      <c r="G167" s="6">
        <v>45399</v>
      </c>
      <c r="H167" s="5"/>
      <c r="I167" s="5"/>
      <c r="J167" s="5">
        <f t="shared" si="33"/>
        <v>15</v>
      </c>
      <c r="K167" s="8" t="b">
        <f t="shared" si="34"/>
        <v>1</v>
      </c>
    </row>
    <row r="168" spans="1:11">
      <c r="A168" s="5" t="s">
        <v>281</v>
      </c>
      <c r="B168" s="6">
        <v>45402</v>
      </c>
      <c r="C168" s="7">
        <v>0.85</v>
      </c>
      <c r="D168" s="5">
        <v>7.99</v>
      </c>
      <c r="E168" s="5">
        <v>394.3</v>
      </c>
      <c r="F168" s="5">
        <v>411.1</v>
      </c>
      <c r="G168" s="6">
        <v>45402</v>
      </c>
      <c r="H168" s="5"/>
      <c r="I168" s="5"/>
      <c r="J168" s="5">
        <f t="shared" si="33"/>
        <v>16.800000000000011</v>
      </c>
      <c r="K168" s="8" t="b">
        <f t="shared" si="34"/>
        <v>1</v>
      </c>
    </row>
    <row r="169" spans="1:11">
      <c r="A169" s="5" t="s">
        <v>281</v>
      </c>
      <c r="B169" s="6">
        <v>45404</v>
      </c>
      <c r="C169" s="7">
        <v>0.85</v>
      </c>
      <c r="D169" s="5">
        <v>7.99</v>
      </c>
      <c r="E169" s="5">
        <v>411.1</v>
      </c>
      <c r="F169" s="5">
        <v>427.8</v>
      </c>
      <c r="G169" s="6">
        <v>45495</v>
      </c>
      <c r="H169" s="5"/>
      <c r="I169" s="5"/>
      <c r="J169" s="5">
        <f t="shared" si="33"/>
        <v>16.699999999999989</v>
      </c>
      <c r="K169" s="8" t="b">
        <f t="shared" si="34"/>
        <v>1</v>
      </c>
    </row>
    <row r="170" spans="1:11">
      <c r="A170" s="5" t="s">
        <v>281</v>
      </c>
      <c r="B170" s="6">
        <v>45406</v>
      </c>
      <c r="C170" s="7">
        <v>1</v>
      </c>
      <c r="D170" s="5">
        <v>6.79</v>
      </c>
      <c r="E170" s="5">
        <v>444.1</v>
      </c>
      <c r="F170" s="5">
        <v>458</v>
      </c>
      <c r="G170" s="6">
        <v>45406</v>
      </c>
      <c r="H170" s="5"/>
      <c r="I170" s="5"/>
      <c r="J170" s="5">
        <f t="shared" si="33"/>
        <v>13.899999999999977</v>
      </c>
      <c r="K170" s="8" t="b">
        <f t="shared" si="34"/>
        <v>0</v>
      </c>
    </row>
    <row r="171" spans="1:11">
      <c r="A171" s="5" t="s">
        <v>278</v>
      </c>
      <c r="B171" s="6">
        <v>45408</v>
      </c>
      <c r="C171" s="7">
        <v>1</v>
      </c>
      <c r="D171" s="5">
        <v>6.79</v>
      </c>
      <c r="E171" s="5">
        <v>458</v>
      </c>
      <c r="F171" s="5">
        <v>473.2</v>
      </c>
      <c r="G171" s="6">
        <v>45408</v>
      </c>
      <c r="H171" s="5"/>
      <c r="I171" s="5"/>
      <c r="J171" s="5">
        <f t="shared" si="33"/>
        <v>15.199999999999989</v>
      </c>
      <c r="K171" s="8" t="b">
        <f t="shared" si="34"/>
        <v>1</v>
      </c>
    </row>
    <row r="172" spans="1:11">
      <c r="A172" s="5" t="s">
        <v>278</v>
      </c>
      <c r="B172" s="6">
        <v>45412</v>
      </c>
      <c r="C172" s="7">
        <v>1</v>
      </c>
      <c r="D172" s="5">
        <v>6.79</v>
      </c>
      <c r="E172" s="5">
        <v>492.9</v>
      </c>
      <c r="F172" s="5">
        <v>508.5</v>
      </c>
      <c r="G172" s="6">
        <v>45412</v>
      </c>
      <c r="H172" s="5"/>
      <c r="I172" s="5"/>
      <c r="J172" s="5">
        <f t="shared" si="33"/>
        <v>15.600000000000023</v>
      </c>
      <c r="K172" s="8" t="b">
        <f t="shared" si="34"/>
        <v>0</v>
      </c>
    </row>
    <row r="173" spans="1:11">
      <c r="A173" s="5" t="s">
        <v>278</v>
      </c>
      <c r="B173" s="6">
        <v>45414</v>
      </c>
      <c r="C173" s="7">
        <v>0.8</v>
      </c>
      <c r="D173" s="5">
        <v>9.09</v>
      </c>
      <c r="E173" s="5">
        <v>508.5</v>
      </c>
      <c r="F173" s="5">
        <v>526.4</v>
      </c>
      <c r="G173" s="6">
        <v>45414</v>
      </c>
      <c r="H173" s="5"/>
      <c r="I173" s="5"/>
      <c r="J173" s="5">
        <f t="shared" si="33"/>
        <v>17.899999999999977</v>
      </c>
      <c r="K173" s="8" t="b">
        <f t="shared" si="34"/>
        <v>1</v>
      </c>
    </row>
    <row r="174" spans="1:11">
      <c r="A174" s="5" t="s">
        <v>278</v>
      </c>
      <c r="B174" s="6">
        <v>45416</v>
      </c>
      <c r="C174" s="7">
        <v>0.8</v>
      </c>
      <c r="D174" s="5">
        <v>9.09</v>
      </c>
      <c r="E174" s="5">
        <v>526.4</v>
      </c>
      <c r="F174" s="5">
        <v>544.70000000000005</v>
      </c>
      <c r="G174" s="6">
        <v>45416</v>
      </c>
      <c r="H174" s="5"/>
      <c r="I174" s="5"/>
      <c r="J174" s="5">
        <f t="shared" ref="J174:J237" si="36">F174-E174</f>
        <v>18.300000000000068</v>
      </c>
      <c r="K174" s="8" t="b">
        <f t="shared" ref="K174:K237" si="37">E174=F173</f>
        <v>1</v>
      </c>
    </row>
    <row r="175" spans="1:11">
      <c r="A175" s="5" t="s">
        <v>278</v>
      </c>
      <c r="B175" s="6">
        <v>45418</v>
      </c>
      <c r="C175" s="7">
        <v>0.8</v>
      </c>
      <c r="D175" s="5">
        <v>9.09</v>
      </c>
      <c r="E175" s="5">
        <v>544.70000000000005</v>
      </c>
      <c r="F175" s="5">
        <v>563.6</v>
      </c>
      <c r="G175" s="6">
        <v>45418</v>
      </c>
      <c r="H175" s="5"/>
      <c r="I175" s="5"/>
      <c r="J175" s="5">
        <f t="shared" si="36"/>
        <v>18.899999999999977</v>
      </c>
      <c r="K175" s="8" t="b">
        <f t="shared" si="37"/>
        <v>1</v>
      </c>
    </row>
    <row r="176" spans="1:11">
      <c r="A176" s="5" t="s">
        <v>278</v>
      </c>
      <c r="B176" s="6">
        <v>45420</v>
      </c>
      <c r="C176" s="7">
        <v>1</v>
      </c>
      <c r="D176" s="5">
        <v>6.79</v>
      </c>
      <c r="E176" s="5">
        <v>563.6</v>
      </c>
      <c r="F176" s="5">
        <v>578.79999999999995</v>
      </c>
      <c r="G176" s="6">
        <v>45420</v>
      </c>
      <c r="H176" s="5"/>
      <c r="I176" s="5"/>
      <c r="J176" s="5">
        <f t="shared" si="36"/>
        <v>15.199999999999932</v>
      </c>
      <c r="K176" s="8" t="b">
        <f t="shared" si="37"/>
        <v>1</v>
      </c>
    </row>
    <row r="177" spans="1:11">
      <c r="A177" s="5" t="s">
        <v>278</v>
      </c>
      <c r="B177" s="6">
        <v>45421</v>
      </c>
      <c r="C177" s="7">
        <v>1</v>
      </c>
      <c r="D177" s="5">
        <v>6.79</v>
      </c>
      <c r="E177" s="5">
        <v>578.79999999999995</v>
      </c>
      <c r="F177" s="5">
        <v>592.79999999999995</v>
      </c>
      <c r="G177" s="6">
        <v>45421</v>
      </c>
      <c r="H177" s="5"/>
      <c r="I177" s="5"/>
      <c r="J177" s="5">
        <f t="shared" si="36"/>
        <v>14</v>
      </c>
      <c r="K177" s="8" t="b">
        <f t="shared" si="37"/>
        <v>1</v>
      </c>
    </row>
    <row r="178" spans="1:11">
      <c r="A178" s="5" t="s">
        <v>278</v>
      </c>
      <c r="B178" s="6">
        <v>45423</v>
      </c>
      <c r="C178" s="7">
        <v>0.8</v>
      </c>
      <c r="D178" s="5">
        <v>9.09</v>
      </c>
      <c r="E178" s="5">
        <v>592.79999999999995</v>
      </c>
      <c r="F178" s="5">
        <v>611.20000000000005</v>
      </c>
      <c r="G178" s="6">
        <v>45423</v>
      </c>
      <c r="H178" s="5"/>
      <c r="I178" s="5"/>
      <c r="J178" s="5">
        <f t="shared" si="36"/>
        <v>18.400000000000091</v>
      </c>
      <c r="K178" s="8" t="b">
        <f t="shared" si="37"/>
        <v>1</v>
      </c>
    </row>
    <row r="179" spans="1:11">
      <c r="A179" s="5" t="s">
        <v>278</v>
      </c>
      <c r="B179" s="6">
        <v>45425</v>
      </c>
      <c r="C179" s="7">
        <v>1</v>
      </c>
      <c r="D179" s="5">
        <v>6.79</v>
      </c>
      <c r="E179" s="5">
        <v>611.20000000000005</v>
      </c>
      <c r="F179" s="5">
        <v>626.29999999999995</v>
      </c>
      <c r="G179" s="6">
        <v>45425</v>
      </c>
      <c r="H179" s="5"/>
      <c r="I179" s="5"/>
      <c r="J179" s="5">
        <f t="shared" si="36"/>
        <v>15.099999999999909</v>
      </c>
      <c r="K179" s="8" t="b">
        <f t="shared" si="37"/>
        <v>1</v>
      </c>
    </row>
    <row r="180" spans="1:11">
      <c r="A180" s="5" t="s">
        <v>278</v>
      </c>
      <c r="B180" s="6">
        <v>45430</v>
      </c>
      <c r="C180" s="7">
        <v>1</v>
      </c>
      <c r="D180" s="5">
        <v>6.79</v>
      </c>
      <c r="E180" s="5">
        <v>626.29999999999995</v>
      </c>
      <c r="F180" s="5">
        <v>641.9</v>
      </c>
      <c r="G180" s="6">
        <v>45430</v>
      </c>
      <c r="H180" s="5"/>
      <c r="I180" s="5"/>
      <c r="J180" s="5">
        <f t="shared" si="36"/>
        <v>15.600000000000023</v>
      </c>
      <c r="K180" s="8" t="b">
        <f t="shared" si="37"/>
        <v>1</v>
      </c>
    </row>
    <row r="181" spans="1:11">
      <c r="A181" s="5" t="s">
        <v>278</v>
      </c>
      <c r="B181" s="6">
        <v>45433</v>
      </c>
      <c r="C181" s="7">
        <v>1</v>
      </c>
      <c r="D181" s="5">
        <v>6.79</v>
      </c>
      <c r="E181" s="5">
        <v>641.9</v>
      </c>
      <c r="F181" s="5">
        <v>656.3</v>
      </c>
      <c r="G181" s="6">
        <v>45433</v>
      </c>
      <c r="H181" s="5"/>
      <c r="I181" s="5"/>
      <c r="J181" s="5">
        <f t="shared" si="36"/>
        <v>14.399999999999977</v>
      </c>
      <c r="K181" s="8" t="b">
        <f t="shared" si="37"/>
        <v>1</v>
      </c>
    </row>
    <row r="182" spans="1:11">
      <c r="A182" s="5" t="s">
        <v>278</v>
      </c>
      <c r="B182" s="6">
        <v>45436</v>
      </c>
      <c r="C182" s="7">
        <v>1</v>
      </c>
      <c r="D182" s="5">
        <v>6.79</v>
      </c>
      <c r="E182" s="5">
        <v>656.3</v>
      </c>
      <c r="F182" s="5">
        <v>670.2</v>
      </c>
      <c r="G182" s="6">
        <v>45436</v>
      </c>
      <c r="H182" s="5"/>
      <c r="I182" s="5"/>
      <c r="J182" s="5">
        <f t="shared" si="36"/>
        <v>13.900000000000091</v>
      </c>
      <c r="K182" s="8" t="b">
        <f t="shared" si="37"/>
        <v>1</v>
      </c>
    </row>
    <row r="183" spans="1:11">
      <c r="A183" s="5" t="s">
        <v>278</v>
      </c>
      <c r="B183" s="6">
        <v>45440</v>
      </c>
      <c r="C183" s="7">
        <v>0.9</v>
      </c>
      <c r="D183" s="5">
        <v>7.54</v>
      </c>
      <c r="E183" s="5">
        <v>670.2</v>
      </c>
      <c r="F183" s="5">
        <v>685.8</v>
      </c>
      <c r="G183" s="6">
        <v>45440</v>
      </c>
      <c r="H183" s="5"/>
      <c r="I183" s="5"/>
      <c r="J183" s="5">
        <f t="shared" si="36"/>
        <v>15.599999999999909</v>
      </c>
      <c r="K183" s="8" t="b">
        <f t="shared" si="37"/>
        <v>1</v>
      </c>
    </row>
    <row r="184" spans="1:11">
      <c r="A184" s="5" t="s">
        <v>278</v>
      </c>
      <c r="B184" s="6">
        <v>45445</v>
      </c>
      <c r="C184" s="7">
        <v>1</v>
      </c>
      <c r="D184" s="5">
        <v>7.28</v>
      </c>
      <c r="E184" s="5">
        <v>685.8</v>
      </c>
      <c r="F184" s="5">
        <v>700.3</v>
      </c>
      <c r="G184" s="6">
        <v>45414</v>
      </c>
      <c r="H184" s="5"/>
      <c r="I184" s="5"/>
      <c r="J184" s="5">
        <f t="shared" si="36"/>
        <v>14.5</v>
      </c>
      <c r="K184" s="8" t="b">
        <f t="shared" si="37"/>
        <v>1</v>
      </c>
    </row>
    <row r="185" spans="1:11">
      <c r="A185" s="5" t="s">
        <v>278</v>
      </c>
      <c r="B185" s="6">
        <v>45449</v>
      </c>
      <c r="C185" s="7">
        <v>1</v>
      </c>
      <c r="D185" s="5">
        <v>7.28</v>
      </c>
      <c r="E185" s="5">
        <v>700.3</v>
      </c>
      <c r="F185" s="5">
        <v>715.8</v>
      </c>
      <c r="G185" s="6">
        <v>45449</v>
      </c>
      <c r="H185" s="5"/>
      <c r="I185" s="5"/>
      <c r="J185" s="5">
        <f t="shared" si="36"/>
        <v>15.5</v>
      </c>
      <c r="K185" s="8" t="b">
        <f t="shared" si="37"/>
        <v>1</v>
      </c>
    </row>
    <row r="186" spans="1:11">
      <c r="A186" s="5" t="s">
        <v>278</v>
      </c>
      <c r="B186" s="6">
        <v>45453</v>
      </c>
      <c r="C186" s="7">
        <v>1</v>
      </c>
      <c r="D186" s="5">
        <v>7.28</v>
      </c>
      <c r="E186" s="5">
        <v>715.8</v>
      </c>
      <c r="F186" s="5">
        <v>730.5</v>
      </c>
      <c r="G186" s="6">
        <v>45453</v>
      </c>
      <c r="H186" s="5"/>
      <c r="I186" s="5"/>
      <c r="J186" s="5">
        <f t="shared" si="36"/>
        <v>14.700000000000045</v>
      </c>
      <c r="K186" s="8" t="b">
        <f t="shared" si="37"/>
        <v>1</v>
      </c>
    </row>
    <row r="187" spans="1:11">
      <c r="A187" s="5" t="s">
        <v>285</v>
      </c>
      <c r="B187" s="6">
        <v>45457</v>
      </c>
      <c r="C187" s="7">
        <v>1</v>
      </c>
      <c r="D187" s="5">
        <v>7.28</v>
      </c>
      <c r="E187" s="5">
        <v>730.5</v>
      </c>
      <c r="F187" s="5">
        <v>741.5</v>
      </c>
      <c r="G187" s="6">
        <v>45457</v>
      </c>
      <c r="H187" s="5"/>
      <c r="I187" s="5"/>
      <c r="J187" s="5">
        <f t="shared" si="36"/>
        <v>11</v>
      </c>
      <c r="K187" s="8" t="b">
        <f t="shared" si="37"/>
        <v>1</v>
      </c>
    </row>
    <row r="188" spans="1:11">
      <c r="A188" s="5" t="s">
        <v>288</v>
      </c>
      <c r="B188" s="6">
        <v>45459</v>
      </c>
      <c r="C188" s="7">
        <v>1</v>
      </c>
      <c r="D188" s="5">
        <v>7.28</v>
      </c>
      <c r="E188" s="5">
        <v>741.5</v>
      </c>
      <c r="F188" s="5">
        <v>745.1</v>
      </c>
      <c r="G188" s="6">
        <v>45459</v>
      </c>
      <c r="H188" s="5"/>
      <c r="I188" s="5"/>
      <c r="J188" s="5">
        <f t="shared" si="36"/>
        <v>3.6000000000000227</v>
      </c>
      <c r="K188" s="8" t="b">
        <f t="shared" si="37"/>
        <v>1</v>
      </c>
    </row>
    <row r="189" spans="1:11">
      <c r="A189" s="5" t="s">
        <v>278</v>
      </c>
      <c r="B189" s="6">
        <v>45462</v>
      </c>
      <c r="C189" s="7">
        <v>1</v>
      </c>
      <c r="D189" s="5">
        <v>7.28</v>
      </c>
      <c r="E189" s="5">
        <v>745.1</v>
      </c>
      <c r="F189" s="5">
        <v>759.6</v>
      </c>
      <c r="G189" s="6">
        <v>45462</v>
      </c>
      <c r="H189" s="5"/>
      <c r="I189" s="5"/>
      <c r="J189" s="5">
        <f t="shared" si="36"/>
        <v>14.5</v>
      </c>
      <c r="K189" s="8" t="b">
        <f t="shared" si="37"/>
        <v>1</v>
      </c>
    </row>
    <row r="190" spans="1:11">
      <c r="A190" s="5" t="s">
        <v>278</v>
      </c>
      <c r="B190" s="6">
        <v>45467</v>
      </c>
      <c r="C190" s="7">
        <v>1</v>
      </c>
      <c r="D190" s="5">
        <v>7.28</v>
      </c>
      <c r="E190" s="5">
        <v>759.6</v>
      </c>
      <c r="F190" s="5">
        <v>774</v>
      </c>
      <c r="G190" s="6">
        <v>45467</v>
      </c>
      <c r="H190" s="5"/>
      <c r="I190" s="5"/>
      <c r="J190" s="5">
        <f t="shared" si="36"/>
        <v>14.399999999999977</v>
      </c>
      <c r="K190" s="8" t="b">
        <f t="shared" si="37"/>
        <v>1</v>
      </c>
    </row>
    <row r="191" spans="1:11">
      <c r="A191" s="5" t="s">
        <v>289</v>
      </c>
      <c r="B191" s="6">
        <v>45471</v>
      </c>
      <c r="C191" s="7">
        <v>1</v>
      </c>
      <c r="D191" s="5">
        <v>7.28</v>
      </c>
      <c r="E191" s="5">
        <v>774</v>
      </c>
      <c r="F191" s="5">
        <v>781.4</v>
      </c>
      <c r="G191" s="6">
        <v>45471</v>
      </c>
      <c r="H191" s="5"/>
      <c r="I191" s="5"/>
      <c r="J191" s="5">
        <f t="shared" si="36"/>
        <v>7.3999999999999773</v>
      </c>
      <c r="K191" s="8" t="b">
        <f t="shared" si="37"/>
        <v>1</v>
      </c>
    </row>
    <row r="192" spans="1:11">
      <c r="A192" s="5" t="s">
        <v>288</v>
      </c>
      <c r="B192" s="6">
        <v>45475</v>
      </c>
      <c r="C192" s="7">
        <v>1</v>
      </c>
      <c r="D192" s="5">
        <v>7.28</v>
      </c>
      <c r="E192" s="5">
        <v>781.4</v>
      </c>
      <c r="F192" s="5">
        <v>785.2</v>
      </c>
      <c r="G192" s="6">
        <v>45475</v>
      </c>
      <c r="H192" s="5"/>
      <c r="I192" s="5"/>
      <c r="J192" s="5">
        <f t="shared" si="36"/>
        <v>3.8000000000000682</v>
      </c>
      <c r="K192" s="8" t="b">
        <f t="shared" si="37"/>
        <v>1</v>
      </c>
    </row>
    <row r="193" spans="1:11">
      <c r="A193" s="5" t="s">
        <v>278</v>
      </c>
      <c r="B193" s="6"/>
      <c r="C193" s="7"/>
      <c r="D193" s="5"/>
      <c r="E193" s="5"/>
      <c r="F193" s="5"/>
      <c r="G193" s="6"/>
      <c r="H193" s="5"/>
      <c r="I193" s="5"/>
      <c r="J193" s="5">
        <f t="shared" si="36"/>
        <v>0</v>
      </c>
      <c r="K193" s="8" t="b">
        <f t="shared" si="37"/>
        <v>0</v>
      </c>
    </row>
    <row r="194" spans="1:11" ht="26.25">
      <c r="A194" s="217" t="s">
        <v>275</v>
      </c>
      <c r="B194" s="218"/>
      <c r="C194" s="218"/>
      <c r="D194" s="218"/>
      <c r="E194" s="218"/>
      <c r="F194" s="218"/>
      <c r="G194" s="218"/>
      <c r="H194" s="218"/>
      <c r="I194" s="218"/>
      <c r="J194" s="218"/>
      <c r="K194" s="219"/>
    </row>
    <row r="195" spans="1:11" ht="26.25">
      <c r="A195" s="161" t="s">
        <v>269</v>
      </c>
      <c r="B195" s="220"/>
      <c r="C195" s="220"/>
      <c r="D195" s="220"/>
      <c r="E195" s="220"/>
      <c r="F195" s="220"/>
      <c r="G195" s="220"/>
      <c r="H195" s="220"/>
      <c r="I195" s="220"/>
      <c r="J195" s="220"/>
      <c r="K195" s="221"/>
    </row>
    <row r="196" spans="1:11" ht="15.75" thickBot="1"/>
    <row r="197" spans="1:11" ht="15.75" thickBot="1">
      <c r="A197" s="132" t="s">
        <v>2</v>
      </c>
      <c r="B197" s="133"/>
      <c r="C197" s="133"/>
      <c r="D197" s="133"/>
      <c r="E197" s="133"/>
      <c r="F197" s="133"/>
      <c r="G197" s="133"/>
      <c r="H197" s="133"/>
      <c r="I197" s="133"/>
      <c r="J197" s="133"/>
      <c r="K197" s="134"/>
    </row>
    <row r="199" spans="1:11" ht="19.5" thickBot="1">
      <c r="A199" s="1" t="s">
        <v>3</v>
      </c>
      <c r="B199" s="1"/>
      <c r="C199" s="1"/>
      <c r="D199" s="1"/>
      <c r="E199" s="1"/>
      <c r="F199" s="1"/>
      <c r="G199" s="1"/>
      <c r="H199" s="1"/>
      <c r="I199" s="1"/>
    </row>
    <row r="200" spans="1:11" ht="30.75" thickBot="1">
      <c r="A200" s="2" t="s">
        <v>4</v>
      </c>
      <c r="B200" s="3" t="s">
        <v>5</v>
      </c>
      <c r="C200" s="3" t="s">
        <v>6</v>
      </c>
      <c r="D200" s="3" t="s">
        <v>7</v>
      </c>
      <c r="E200" s="3" t="s">
        <v>8</v>
      </c>
      <c r="F200" s="3" t="s">
        <v>9</v>
      </c>
      <c r="G200" s="3" t="s">
        <v>10</v>
      </c>
      <c r="H200" s="3" t="s">
        <v>21</v>
      </c>
      <c r="I200" s="4" t="s">
        <v>22</v>
      </c>
      <c r="J200" s="4" t="s">
        <v>11</v>
      </c>
      <c r="K200" s="4" t="s">
        <v>12</v>
      </c>
    </row>
    <row r="201" spans="1:11">
      <c r="A201" s="5" t="s">
        <v>276</v>
      </c>
      <c r="B201" s="6">
        <v>45496</v>
      </c>
      <c r="C201" s="7">
        <v>0.6</v>
      </c>
      <c r="D201" s="5">
        <v>11.32</v>
      </c>
      <c r="E201" s="5">
        <v>785.2</v>
      </c>
      <c r="F201" s="5">
        <v>798.4</v>
      </c>
      <c r="G201" s="6">
        <v>45496</v>
      </c>
      <c r="H201" s="5"/>
      <c r="I201" s="5"/>
      <c r="J201" s="5">
        <f>F201-E201</f>
        <v>13.199999999999932</v>
      </c>
      <c r="K201" s="8" t="b">
        <f>E201=F201</f>
        <v>0</v>
      </c>
    </row>
    <row r="202" spans="1:11">
      <c r="A202" s="5" t="s">
        <v>276</v>
      </c>
      <c r="B202" s="6">
        <v>45497</v>
      </c>
      <c r="C202" s="7">
        <v>0.6</v>
      </c>
      <c r="D202" s="5">
        <v>11.32</v>
      </c>
      <c r="E202" s="5">
        <v>798.4</v>
      </c>
      <c r="F202" s="5">
        <v>818.5</v>
      </c>
      <c r="G202" s="6">
        <v>45497</v>
      </c>
      <c r="H202" s="5"/>
      <c r="I202" s="5"/>
      <c r="J202" s="5">
        <f>F202-E202</f>
        <v>20.100000000000023</v>
      </c>
      <c r="K202" s="8" t="b">
        <f>E202=F201</f>
        <v>1</v>
      </c>
    </row>
    <row r="203" spans="1:11">
      <c r="A203" s="5" t="s">
        <v>276</v>
      </c>
      <c r="B203" s="6">
        <v>45504</v>
      </c>
      <c r="C203" s="7">
        <v>0.5</v>
      </c>
      <c r="D203" s="5">
        <v>13.58</v>
      </c>
      <c r="E203" s="5">
        <v>818.5</v>
      </c>
      <c r="F203" s="5">
        <v>833.3</v>
      </c>
      <c r="G203" s="6">
        <v>45504</v>
      </c>
      <c r="H203" s="5"/>
      <c r="I203" s="5"/>
      <c r="J203" s="5">
        <f>F203-E203</f>
        <v>14.799999999999955</v>
      </c>
      <c r="K203" s="8" t="b">
        <f t="shared" ref="K203:K207" si="38">E203=F202</f>
        <v>1</v>
      </c>
    </row>
    <row r="204" spans="1:11">
      <c r="A204" s="5" t="s">
        <v>276</v>
      </c>
      <c r="B204" s="6">
        <v>45508</v>
      </c>
      <c r="C204" s="7">
        <v>0.65</v>
      </c>
      <c r="D204" s="5">
        <v>10.45</v>
      </c>
      <c r="E204" s="5">
        <v>833.3</v>
      </c>
      <c r="F204" s="5">
        <v>844.3</v>
      </c>
      <c r="G204" s="6">
        <v>45508</v>
      </c>
      <c r="H204" s="5"/>
      <c r="I204" s="5"/>
      <c r="J204" s="5">
        <f t="shared" ref="J204:J207" si="39">F204-E204</f>
        <v>11</v>
      </c>
      <c r="K204" s="8" t="b">
        <f t="shared" si="38"/>
        <v>1</v>
      </c>
    </row>
    <row r="205" spans="1:11">
      <c r="A205" s="5" t="s">
        <v>276</v>
      </c>
      <c r="B205" s="6"/>
      <c r="C205" s="7"/>
      <c r="D205" s="5"/>
      <c r="E205" s="5"/>
      <c r="F205" s="5"/>
      <c r="G205" s="6"/>
      <c r="H205" s="5"/>
      <c r="I205" s="5"/>
      <c r="J205" s="5">
        <f t="shared" si="39"/>
        <v>0</v>
      </c>
      <c r="K205" s="8" t="b">
        <f t="shared" si="38"/>
        <v>0</v>
      </c>
    </row>
    <row r="206" spans="1:11">
      <c r="A206" s="5" t="s">
        <v>276</v>
      </c>
      <c r="B206" s="6"/>
      <c r="C206" s="7"/>
      <c r="D206" s="5"/>
      <c r="E206" s="5"/>
      <c r="F206" s="5"/>
      <c r="G206" s="6"/>
      <c r="H206" s="5"/>
      <c r="I206" s="5"/>
      <c r="J206" s="5">
        <f t="shared" si="39"/>
        <v>0</v>
      </c>
      <c r="K206" s="8" t="b">
        <f t="shared" si="38"/>
        <v>1</v>
      </c>
    </row>
    <row r="207" spans="1:11">
      <c r="A207" s="5" t="s">
        <v>276</v>
      </c>
      <c r="B207" s="6"/>
      <c r="C207" s="7"/>
      <c r="D207" s="5"/>
      <c r="E207" s="5"/>
      <c r="F207" s="5"/>
      <c r="G207" s="6"/>
      <c r="H207" s="5"/>
      <c r="I207" s="5"/>
      <c r="J207" s="5">
        <f t="shared" si="39"/>
        <v>0</v>
      </c>
      <c r="K207" s="8" t="b">
        <f t="shared" si="38"/>
        <v>1</v>
      </c>
    </row>
    <row r="208" spans="1:11">
      <c r="A208" s="5" t="s">
        <v>276</v>
      </c>
      <c r="B208" s="6"/>
      <c r="C208" s="7"/>
      <c r="D208" s="5"/>
      <c r="E208" s="5"/>
      <c r="F208" s="5"/>
      <c r="G208" s="6"/>
      <c r="H208" s="5"/>
      <c r="I208" s="5"/>
      <c r="J208" s="5">
        <f t="shared" si="36"/>
        <v>0</v>
      </c>
      <c r="K208" s="8" t="b">
        <f t="shared" si="37"/>
        <v>1</v>
      </c>
    </row>
    <row r="209" spans="1:11">
      <c r="A209" s="5" t="s">
        <v>276</v>
      </c>
      <c r="B209" s="6"/>
      <c r="C209" s="7"/>
      <c r="D209" s="5"/>
      <c r="E209" s="5"/>
      <c r="F209" s="5"/>
      <c r="G209" s="6"/>
      <c r="H209" s="5"/>
      <c r="I209" s="5"/>
      <c r="J209" s="5">
        <f t="shared" si="36"/>
        <v>0</v>
      </c>
      <c r="K209" s="8" t="b">
        <f t="shared" si="37"/>
        <v>1</v>
      </c>
    </row>
    <row r="210" spans="1:11">
      <c r="A210" s="5" t="s">
        <v>276</v>
      </c>
      <c r="B210" s="6"/>
      <c r="C210" s="7"/>
      <c r="D210" s="5"/>
      <c r="E210" s="5"/>
      <c r="F210" s="5"/>
      <c r="G210" s="6"/>
      <c r="H210" s="5"/>
      <c r="I210" s="5"/>
      <c r="J210" s="5">
        <f t="shared" si="36"/>
        <v>0</v>
      </c>
      <c r="K210" s="8" t="b">
        <f t="shared" si="37"/>
        <v>1</v>
      </c>
    </row>
    <row r="211" spans="1:11">
      <c r="A211" s="5" t="s">
        <v>276</v>
      </c>
      <c r="B211" s="6"/>
      <c r="C211" s="7"/>
      <c r="D211" s="5"/>
      <c r="E211" s="5"/>
      <c r="F211" s="5"/>
      <c r="G211" s="6"/>
      <c r="H211" s="5"/>
      <c r="I211" s="5"/>
      <c r="J211" s="5">
        <f t="shared" si="36"/>
        <v>0</v>
      </c>
      <c r="K211" s="8" t="b">
        <f t="shared" si="37"/>
        <v>1</v>
      </c>
    </row>
    <row r="212" spans="1:11">
      <c r="A212" s="5" t="s">
        <v>276</v>
      </c>
      <c r="B212" s="6"/>
      <c r="C212" s="7"/>
      <c r="D212" s="5"/>
      <c r="E212" s="5"/>
      <c r="F212" s="5"/>
      <c r="G212" s="6"/>
      <c r="H212" s="5"/>
      <c r="I212" s="5"/>
      <c r="J212" s="5">
        <f t="shared" si="36"/>
        <v>0</v>
      </c>
      <c r="K212" s="8" t="b">
        <f t="shared" si="37"/>
        <v>1</v>
      </c>
    </row>
    <row r="213" spans="1:11">
      <c r="A213" s="5" t="s">
        <v>276</v>
      </c>
      <c r="B213" s="6"/>
      <c r="C213" s="7"/>
      <c r="D213" s="5"/>
      <c r="E213" s="5"/>
      <c r="F213" s="5"/>
      <c r="G213" s="6"/>
      <c r="H213" s="5"/>
      <c r="I213" s="5"/>
      <c r="J213" s="5">
        <f t="shared" si="36"/>
        <v>0</v>
      </c>
      <c r="K213" s="8" t="b">
        <f t="shared" si="37"/>
        <v>1</v>
      </c>
    </row>
    <row r="214" spans="1:11">
      <c r="A214" s="5" t="s">
        <v>276</v>
      </c>
      <c r="B214" s="6"/>
      <c r="C214" s="7"/>
      <c r="D214" s="5"/>
      <c r="E214" s="5"/>
      <c r="F214" s="5"/>
      <c r="G214" s="6"/>
      <c r="H214" s="5"/>
      <c r="I214" s="5"/>
      <c r="J214" s="5">
        <f t="shared" si="36"/>
        <v>0</v>
      </c>
      <c r="K214" s="8" t="b">
        <f t="shared" si="37"/>
        <v>1</v>
      </c>
    </row>
    <row r="215" spans="1:11">
      <c r="A215" s="5" t="s">
        <v>276</v>
      </c>
      <c r="B215" s="6"/>
      <c r="C215" s="7"/>
      <c r="D215" s="5"/>
      <c r="E215" s="5"/>
      <c r="F215" s="5"/>
      <c r="G215" s="6"/>
      <c r="H215" s="5"/>
      <c r="I215" s="5"/>
      <c r="J215" s="5">
        <f t="shared" si="36"/>
        <v>0</v>
      </c>
      <c r="K215" s="8" t="b">
        <f t="shared" si="37"/>
        <v>1</v>
      </c>
    </row>
    <row r="216" spans="1:11">
      <c r="A216" s="5" t="s">
        <v>276</v>
      </c>
      <c r="B216" s="6"/>
      <c r="C216" s="7"/>
      <c r="D216" s="5"/>
      <c r="E216" s="5"/>
      <c r="F216" s="5"/>
      <c r="G216" s="6"/>
      <c r="H216" s="5"/>
      <c r="I216" s="5"/>
      <c r="J216" s="5">
        <f t="shared" si="36"/>
        <v>0</v>
      </c>
      <c r="K216" s="8" t="b">
        <f t="shared" si="37"/>
        <v>1</v>
      </c>
    </row>
    <row r="217" spans="1:11">
      <c r="A217" s="5" t="s">
        <v>276</v>
      </c>
      <c r="B217" s="6"/>
      <c r="C217" s="7"/>
      <c r="D217" s="5"/>
      <c r="E217" s="5"/>
      <c r="F217" s="5"/>
      <c r="G217" s="6"/>
      <c r="H217" s="5"/>
      <c r="I217" s="5"/>
      <c r="J217" s="5">
        <f t="shared" si="36"/>
        <v>0</v>
      </c>
      <c r="K217" s="8" t="b">
        <f t="shared" si="37"/>
        <v>1</v>
      </c>
    </row>
    <row r="218" spans="1:11">
      <c r="A218" s="5" t="s">
        <v>276</v>
      </c>
      <c r="B218" s="6"/>
      <c r="C218" s="7"/>
      <c r="D218" s="5"/>
      <c r="E218" s="5"/>
      <c r="F218" s="5"/>
      <c r="G218" s="6"/>
      <c r="H218" s="5"/>
      <c r="I218" s="5"/>
      <c r="J218" s="5">
        <f t="shared" si="36"/>
        <v>0</v>
      </c>
      <c r="K218" s="8" t="b">
        <f t="shared" si="37"/>
        <v>1</v>
      </c>
    </row>
    <row r="219" spans="1:11">
      <c r="A219" s="5" t="s">
        <v>276</v>
      </c>
      <c r="B219" s="6"/>
      <c r="C219" s="7"/>
      <c r="D219" s="5"/>
      <c r="E219" s="5"/>
      <c r="F219" s="5"/>
      <c r="G219" s="6"/>
      <c r="H219" s="5"/>
      <c r="I219" s="5"/>
      <c r="J219" s="5">
        <f t="shared" si="36"/>
        <v>0</v>
      </c>
      <c r="K219" s="8" t="b">
        <f t="shared" si="37"/>
        <v>1</v>
      </c>
    </row>
    <row r="220" spans="1:11">
      <c r="A220" s="5" t="s">
        <v>276</v>
      </c>
      <c r="B220" s="6"/>
      <c r="C220" s="7"/>
      <c r="D220" s="5"/>
      <c r="E220" s="5"/>
      <c r="F220" s="5"/>
      <c r="G220" s="6"/>
      <c r="H220" s="5"/>
      <c r="I220" s="5"/>
      <c r="J220" s="5">
        <f t="shared" si="36"/>
        <v>0</v>
      </c>
      <c r="K220" s="8" t="b">
        <f t="shared" si="37"/>
        <v>1</v>
      </c>
    </row>
    <row r="221" spans="1:11">
      <c r="A221" s="5" t="s">
        <v>276</v>
      </c>
      <c r="B221" s="6"/>
      <c r="C221" s="7"/>
      <c r="D221" s="5"/>
      <c r="E221" s="5"/>
      <c r="F221" s="5"/>
      <c r="G221" s="6"/>
      <c r="H221" s="5"/>
      <c r="I221" s="5"/>
      <c r="J221" s="5">
        <f t="shared" si="36"/>
        <v>0</v>
      </c>
      <c r="K221" s="8" t="b">
        <f t="shared" si="37"/>
        <v>1</v>
      </c>
    </row>
    <row r="222" spans="1:11">
      <c r="A222" s="5" t="s">
        <v>276</v>
      </c>
      <c r="B222" s="6"/>
      <c r="C222" s="7"/>
      <c r="D222" s="5"/>
      <c r="E222" s="5"/>
      <c r="F222" s="5"/>
      <c r="G222" s="6"/>
      <c r="H222" s="5"/>
      <c r="I222" s="5"/>
      <c r="J222" s="5">
        <f t="shared" si="36"/>
        <v>0</v>
      </c>
      <c r="K222" s="8" t="b">
        <f t="shared" si="37"/>
        <v>1</v>
      </c>
    </row>
    <row r="223" spans="1:11">
      <c r="A223" s="5" t="s">
        <v>276</v>
      </c>
      <c r="B223" s="6"/>
      <c r="C223" s="7"/>
      <c r="D223" s="5"/>
      <c r="E223" s="5"/>
      <c r="F223" s="5"/>
      <c r="G223" s="6"/>
      <c r="H223" s="5"/>
      <c r="I223" s="5"/>
      <c r="J223" s="5">
        <f t="shared" si="36"/>
        <v>0</v>
      </c>
      <c r="K223" s="8" t="b">
        <f t="shared" si="37"/>
        <v>1</v>
      </c>
    </row>
    <row r="224" spans="1:11">
      <c r="A224" s="5" t="s">
        <v>276</v>
      </c>
      <c r="B224" s="6"/>
      <c r="C224" s="7"/>
      <c r="D224" s="5"/>
      <c r="E224" s="5"/>
      <c r="F224" s="5"/>
      <c r="G224" s="6"/>
      <c r="H224" s="5"/>
      <c r="I224" s="5"/>
      <c r="J224" s="5">
        <f t="shared" si="36"/>
        <v>0</v>
      </c>
      <c r="K224" s="8" t="b">
        <f t="shared" si="37"/>
        <v>1</v>
      </c>
    </row>
    <row r="225" spans="1:11">
      <c r="A225" s="5" t="s">
        <v>276</v>
      </c>
      <c r="B225" s="6"/>
      <c r="C225" s="7"/>
      <c r="D225" s="5"/>
      <c r="E225" s="5"/>
      <c r="F225" s="5"/>
      <c r="G225" s="6"/>
      <c r="H225" s="5"/>
      <c r="I225" s="5"/>
      <c r="J225" s="5">
        <f t="shared" si="36"/>
        <v>0</v>
      </c>
      <c r="K225" s="8" t="b">
        <f t="shared" si="37"/>
        <v>1</v>
      </c>
    </row>
    <row r="226" spans="1:11">
      <c r="A226" s="5" t="s">
        <v>276</v>
      </c>
      <c r="B226" s="6"/>
      <c r="C226" s="7"/>
      <c r="D226" s="5"/>
      <c r="E226" s="5"/>
      <c r="F226" s="5"/>
      <c r="G226" s="6"/>
      <c r="H226" s="5"/>
      <c r="I226" s="5"/>
      <c r="J226" s="5">
        <f t="shared" si="36"/>
        <v>0</v>
      </c>
      <c r="K226" s="8" t="b">
        <f t="shared" si="37"/>
        <v>1</v>
      </c>
    </row>
    <row r="227" spans="1:11">
      <c r="A227" s="5" t="s">
        <v>276</v>
      </c>
      <c r="B227" s="6"/>
      <c r="C227" s="7"/>
      <c r="D227" s="5"/>
      <c r="E227" s="5"/>
      <c r="F227" s="5"/>
      <c r="G227" s="6"/>
      <c r="H227" s="5"/>
      <c r="I227" s="5"/>
      <c r="J227" s="5">
        <f t="shared" si="36"/>
        <v>0</v>
      </c>
      <c r="K227" s="8" t="b">
        <f t="shared" si="37"/>
        <v>1</v>
      </c>
    </row>
    <row r="228" spans="1:11">
      <c r="A228" s="5" t="s">
        <v>276</v>
      </c>
      <c r="B228" s="6"/>
      <c r="C228" s="7"/>
      <c r="D228" s="5"/>
      <c r="E228" s="5"/>
      <c r="F228" s="5"/>
      <c r="G228" s="6"/>
      <c r="H228" s="5"/>
      <c r="I228" s="5"/>
      <c r="J228" s="5">
        <f t="shared" si="36"/>
        <v>0</v>
      </c>
      <c r="K228" s="8" t="b">
        <f t="shared" si="37"/>
        <v>1</v>
      </c>
    </row>
    <row r="229" spans="1:11">
      <c r="A229" s="5" t="s">
        <v>276</v>
      </c>
      <c r="B229" s="6"/>
      <c r="C229" s="7"/>
      <c r="D229" s="5"/>
      <c r="E229" s="5"/>
      <c r="F229" s="5"/>
      <c r="G229" s="6"/>
      <c r="H229" s="5"/>
      <c r="I229" s="5"/>
      <c r="J229" s="5">
        <f t="shared" si="36"/>
        <v>0</v>
      </c>
      <c r="K229" s="8" t="b">
        <f t="shared" si="37"/>
        <v>1</v>
      </c>
    </row>
    <row r="230" spans="1:11">
      <c r="A230" s="5" t="s">
        <v>276</v>
      </c>
      <c r="B230" s="6"/>
      <c r="C230" s="7"/>
      <c r="D230" s="5"/>
      <c r="E230" s="5"/>
      <c r="F230" s="5"/>
      <c r="G230" s="6"/>
      <c r="H230" s="5"/>
      <c r="I230" s="5"/>
      <c r="J230" s="5">
        <f t="shared" si="36"/>
        <v>0</v>
      </c>
      <c r="K230" s="8" t="b">
        <f t="shared" si="37"/>
        <v>1</v>
      </c>
    </row>
    <row r="231" spans="1:11">
      <c r="A231" s="5" t="s">
        <v>276</v>
      </c>
      <c r="B231" s="6"/>
      <c r="C231" s="7"/>
      <c r="D231" s="5"/>
      <c r="E231" s="5"/>
      <c r="F231" s="5"/>
      <c r="G231" s="6"/>
      <c r="H231" s="5"/>
      <c r="I231" s="5"/>
      <c r="J231" s="5">
        <f t="shared" si="36"/>
        <v>0</v>
      </c>
      <c r="K231" s="8" t="b">
        <f t="shared" si="37"/>
        <v>1</v>
      </c>
    </row>
    <row r="232" spans="1:11">
      <c r="A232" s="5" t="s">
        <v>276</v>
      </c>
      <c r="B232" s="6"/>
      <c r="C232" s="7"/>
      <c r="D232" s="5"/>
      <c r="E232" s="5"/>
      <c r="F232" s="5"/>
      <c r="G232" s="6"/>
      <c r="H232" s="5"/>
      <c r="I232" s="5"/>
      <c r="J232" s="5">
        <f t="shared" si="36"/>
        <v>0</v>
      </c>
      <c r="K232" s="8" t="b">
        <f t="shared" si="37"/>
        <v>1</v>
      </c>
    </row>
    <row r="233" spans="1:11">
      <c r="A233" s="5" t="s">
        <v>276</v>
      </c>
      <c r="B233" s="6"/>
      <c r="C233" s="7"/>
      <c r="D233" s="5"/>
      <c r="E233" s="5"/>
      <c r="F233" s="5"/>
      <c r="G233" s="6"/>
      <c r="H233" s="5"/>
      <c r="I233" s="5"/>
      <c r="J233" s="5">
        <f t="shared" si="36"/>
        <v>0</v>
      </c>
      <c r="K233" s="8" t="b">
        <f t="shared" si="37"/>
        <v>1</v>
      </c>
    </row>
    <row r="234" spans="1:11">
      <c r="A234" s="5" t="s">
        <v>276</v>
      </c>
      <c r="B234" s="6"/>
      <c r="C234" s="7"/>
      <c r="D234" s="5"/>
      <c r="E234" s="5"/>
      <c r="F234" s="5"/>
      <c r="G234" s="6"/>
      <c r="H234" s="5"/>
      <c r="I234" s="5"/>
      <c r="J234" s="5">
        <f t="shared" si="36"/>
        <v>0</v>
      </c>
      <c r="K234" s="8" t="b">
        <f t="shared" si="37"/>
        <v>1</v>
      </c>
    </row>
    <row r="235" spans="1:11">
      <c r="A235" s="5" t="s">
        <v>276</v>
      </c>
      <c r="B235" s="6"/>
      <c r="C235" s="7"/>
      <c r="D235" s="5"/>
      <c r="E235" s="5"/>
      <c r="F235" s="5"/>
      <c r="G235" s="6"/>
      <c r="H235" s="5"/>
      <c r="I235" s="5"/>
      <c r="J235" s="5">
        <f t="shared" si="36"/>
        <v>0</v>
      </c>
      <c r="K235" s="8" t="b">
        <f t="shared" si="37"/>
        <v>1</v>
      </c>
    </row>
    <row r="236" spans="1:11">
      <c r="A236" s="5" t="s">
        <v>276</v>
      </c>
      <c r="B236" s="6"/>
      <c r="C236" s="7"/>
      <c r="D236" s="5"/>
      <c r="E236" s="5"/>
      <c r="F236" s="5"/>
      <c r="G236" s="6"/>
      <c r="H236" s="5"/>
      <c r="I236" s="5"/>
      <c r="J236" s="5">
        <f t="shared" si="36"/>
        <v>0</v>
      </c>
      <c r="K236" s="8" t="b">
        <f t="shared" si="37"/>
        <v>1</v>
      </c>
    </row>
    <row r="237" spans="1:11">
      <c r="A237" s="5" t="s">
        <v>276</v>
      </c>
      <c r="B237" s="6"/>
      <c r="C237" s="7"/>
      <c r="D237" s="5"/>
      <c r="E237" s="5"/>
      <c r="F237" s="5"/>
      <c r="G237" s="6"/>
      <c r="H237" s="5"/>
      <c r="I237" s="5"/>
      <c r="J237" s="5">
        <f t="shared" si="36"/>
        <v>0</v>
      </c>
      <c r="K237" s="8" t="b">
        <f t="shared" si="37"/>
        <v>1</v>
      </c>
    </row>
    <row r="238" spans="1:11">
      <c r="A238" s="5" t="s">
        <v>276</v>
      </c>
      <c r="B238" s="6"/>
      <c r="C238" s="7"/>
      <c r="D238" s="5"/>
      <c r="E238" s="5"/>
      <c r="F238" s="5"/>
      <c r="G238" s="6"/>
      <c r="H238" s="5"/>
      <c r="I238" s="5"/>
      <c r="J238" s="5">
        <f t="shared" ref="J238:J246" si="40">F238-E238</f>
        <v>0</v>
      </c>
      <c r="K238" s="8" t="b">
        <f t="shared" ref="K238:K246" si="41">E238=F237</f>
        <v>1</v>
      </c>
    </row>
    <row r="239" spans="1:11">
      <c r="A239" s="5" t="s">
        <v>276</v>
      </c>
      <c r="B239" s="6"/>
      <c r="C239" s="7"/>
      <c r="D239" s="5"/>
      <c r="E239" s="5"/>
      <c r="F239" s="5"/>
      <c r="G239" s="6"/>
      <c r="H239" s="5"/>
      <c r="I239" s="5"/>
      <c r="J239" s="5">
        <f t="shared" si="40"/>
        <v>0</v>
      </c>
      <c r="K239" s="8" t="b">
        <f t="shared" si="41"/>
        <v>1</v>
      </c>
    </row>
    <row r="240" spans="1:11">
      <c r="A240" s="5" t="s">
        <v>276</v>
      </c>
      <c r="B240" s="6"/>
      <c r="C240" s="7"/>
      <c r="D240" s="5"/>
      <c r="E240" s="5"/>
      <c r="F240" s="5"/>
      <c r="G240" s="6"/>
      <c r="H240" s="5"/>
      <c r="I240" s="5"/>
      <c r="J240" s="5">
        <f t="shared" si="40"/>
        <v>0</v>
      </c>
      <c r="K240" s="8" t="b">
        <f t="shared" si="41"/>
        <v>1</v>
      </c>
    </row>
    <row r="241" spans="1:11">
      <c r="A241" s="5" t="s">
        <v>276</v>
      </c>
      <c r="B241" s="6"/>
      <c r="C241" s="7"/>
      <c r="D241" s="5"/>
      <c r="E241" s="5"/>
      <c r="F241" s="5"/>
      <c r="G241" s="6"/>
      <c r="H241" s="5"/>
      <c r="I241" s="5"/>
      <c r="J241" s="5">
        <f t="shared" si="40"/>
        <v>0</v>
      </c>
      <c r="K241" s="8" t="b">
        <f t="shared" si="41"/>
        <v>1</v>
      </c>
    </row>
    <row r="242" spans="1:11">
      <c r="A242" s="5" t="s">
        <v>276</v>
      </c>
      <c r="B242" s="6"/>
      <c r="C242" s="7"/>
      <c r="D242" s="5"/>
      <c r="E242" s="5"/>
      <c r="F242" s="5"/>
      <c r="G242" s="6"/>
      <c r="H242" s="5"/>
      <c r="I242" s="5"/>
      <c r="J242" s="5">
        <f t="shared" si="40"/>
        <v>0</v>
      </c>
      <c r="K242" s="8" t="b">
        <f t="shared" si="41"/>
        <v>1</v>
      </c>
    </row>
    <row r="243" spans="1:11">
      <c r="A243" s="5" t="s">
        <v>276</v>
      </c>
      <c r="B243" s="6"/>
      <c r="C243" s="7"/>
      <c r="D243" s="5"/>
      <c r="E243" s="5"/>
      <c r="F243" s="5"/>
      <c r="G243" s="6"/>
      <c r="H243" s="5"/>
      <c r="I243" s="5"/>
      <c r="J243" s="5">
        <f t="shared" si="40"/>
        <v>0</v>
      </c>
      <c r="K243" s="8" t="b">
        <f t="shared" si="41"/>
        <v>1</v>
      </c>
    </row>
    <row r="244" spans="1:11">
      <c r="A244" s="5" t="s">
        <v>276</v>
      </c>
      <c r="B244" s="6"/>
      <c r="C244" s="7"/>
      <c r="D244" s="5"/>
      <c r="E244" s="5"/>
      <c r="F244" s="5"/>
      <c r="G244" s="6"/>
      <c r="H244" s="5"/>
      <c r="I244" s="5"/>
      <c r="J244" s="5">
        <f t="shared" si="40"/>
        <v>0</v>
      </c>
      <c r="K244" s="8" t="b">
        <f t="shared" si="41"/>
        <v>1</v>
      </c>
    </row>
    <row r="245" spans="1:11">
      <c r="A245" s="5" t="s">
        <v>276</v>
      </c>
      <c r="B245" s="6"/>
      <c r="C245" s="7"/>
      <c r="D245" s="5"/>
      <c r="E245" s="5"/>
      <c r="F245" s="5"/>
      <c r="G245" s="6"/>
      <c r="H245" s="5"/>
      <c r="I245" s="5"/>
      <c r="J245" s="5">
        <f t="shared" si="40"/>
        <v>0</v>
      </c>
      <c r="K245" s="8" t="b">
        <f t="shared" si="41"/>
        <v>1</v>
      </c>
    </row>
    <row r="246" spans="1:11">
      <c r="A246" s="5" t="s">
        <v>276</v>
      </c>
      <c r="B246" s="6"/>
      <c r="C246" s="7"/>
      <c r="D246" s="5"/>
      <c r="E246" s="5"/>
      <c r="F246" s="5"/>
      <c r="G246" s="6"/>
      <c r="H246" s="5"/>
      <c r="I246" s="5"/>
      <c r="J246" s="5">
        <f t="shared" si="40"/>
        <v>0</v>
      </c>
      <c r="K246" s="8" t="b">
        <f t="shared" si="41"/>
        <v>1</v>
      </c>
    </row>
  </sheetData>
  <autoFilter ref="A131:K195" xr:uid="{008A4B81-C98C-4CF0-BAAE-059648B391BA}"/>
  <mergeCells count="18">
    <mergeCell ref="A14:K14"/>
    <mergeCell ref="A1:K1"/>
    <mergeCell ref="A2:K2"/>
    <mergeCell ref="A4:K4"/>
    <mergeCell ref="A11:K11"/>
    <mergeCell ref="A12:K12"/>
    <mergeCell ref="A60:K60"/>
    <mergeCell ref="A61:K61"/>
    <mergeCell ref="A63:K63"/>
    <mergeCell ref="A47:K47"/>
    <mergeCell ref="A48:K48"/>
    <mergeCell ref="A50:K50"/>
    <mergeCell ref="A194:K194"/>
    <mergeCell ref="A195:K195"/>
    <mergeCell ref="A197:K197"/>
    <mergeCell ref="A125:K125"/>
    <mergeCell ref="A126:K126"/>
    <mergeCell ref="A128:K128"/>
  </mergeCells>
  <conditionalFormatting sqref="K1:K1048576">
    <cfRule type="containsText" dxfId="45" priority="1" operator="containsText" text="FALSO">
      <formula>NOT(ISERROR(SEARCH("FALSO",K1)))</formula>
    </cfRule>
    <cfRule type="containsText" dxfId="44" priority="2" operator="containsText" text="VERDADEIR">
      <formula>NOT(ISERROR(SEARCH("VERDADEIR",K1)))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E30-5CD0-47F5-BE19-0C10D0DC28EA}">
  <sheetPr codeName="Planilha27"/>
  <dimension ref="A1:K315"/>
  <sheetViews>
    <sheetView topLeftCell="A274" zoomScale="112" zoomScaleNormal="112" workbookViewId="0">
      <selection activeCell="G298" sqref="G298"/>
    </sheetView>
  </sheetViews>
  <sheetFormatPr defaultRowHeight="15"/>
  <cols>
    <col min="1" max="1" width="14.42578125" style="1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0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99" t="s">
        <v>290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 ht="26.25">
      <c r="A2" s="202" t="s">
        <v>160</v>
      </c>
      <c r="B2" s="203"/>
      <c r="C2" s="203"/>
      <c r="D2" s="203"/>
      <c r="E2" s="203"/>
      <c r="F2" s="203"/>
      <c r="G2" s="203"/>
      <c r="H2" s="203"/>
      <c r="I2" s="203"/>
      <c r="J2" s="203"/>
      <c r="K2" s="33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54" t="s">
        <v>3</v>
      </c>
      <c r="B6" s="1"/>
      <c r="C6" s="1"/>
      <c r="D6" s="1"/>
      <c r="E6" s="1"/>
      <c r="F6" s="1"/>
      <c r="G6" s="1"/>
      <c r="H6" s="1"/>
      <c r="I6" s="1"/>
    </row>
    <row r="7" spans="1:11" ht="135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291</v>
      </c>
      <c r="B8" s="6">
        <v>44697</v>
      </c>
      <c r="C8" s="7">
        <v>0.7</v>
      </c>
      <c r="D8" s="5">
        <v>10.17</v>
      </c>
      <c r="E8" s="5">
        <v>595.29999999999995</v>
      </c>
      <c r="F8" s="5">
        <v>618.1</v>
      </c>
      <c r="G8" s="6">
        <v>44697</v>
      </c>
      <c r="H8" s="5"/>
      <c r="I8" s="5"/>
      <c r="J8" s="5">
        <f>F8-E8</f>
        <v>22.800000000000068</v>
      </c>
      <c r="K8" s="8" t="b">
        <f>E8=F8</f>
        <v>0</v>
      </c>
    </row>
    <row r="9" spans="1:11">
      <c r="A9" s="5" t="s">
        <v>291</v>
      </c>
      <c r="B9" s="6">
        <v>44698</v>
      </c>
      <c r="C9" s="7">
        <v>0.7</v>
      </c>
      <c r="D9" s="5">
        <v>10.17</v>
      </c>
      <c r="E9" s="5">
        <v>613.1</v>
      </c>
      <c r="F9" s="5">
        <v>639</v>
      </c>
      <c r="G9" s="6">
        <v>44698</v>
      </c>
      <c r="H9" s="5"/>
      <c r="I9" s="5"/>
      <c r="J9" s="5">
        <f>F9-E9</f>
        <v>25.899999999999977</v>
      </c>
      <c r="K9" s="8" t="b">
        <f>E9=F8</f>
        <v>0</v>
      </c>
    </row>
    <row r="10" spans="1:11">
      <c r="A10" s="5" t="s">
        <v>291</v>
      </c>
      <c r="B10" s="6">
        <v>44703</v>
      </c>
      <c r="C10" s="7">
        <v>0.7</v>
      </c>
      <c r="D10" s="5">
        <v>10.17</v>
      </c>
      <c r="E10" s="5">
        <v>639</v>
      </c>
      <c r="F10" s="5">
        <v>660.1</v>
      </c>
      <c r="G10" s="6">
        <v>44703</v>
      </c>
      <c r="H10" s="5"/>
      <c r="I10" s="5"/>
      <c r="J10" s="5">
        <f>F10-E10</f>
        <v>21.100000000000023</v>
      </c>
      <c r="K10" s="8" t="b">
        <f>E10=F9</f>
        <v>1</v>
      </c>
    </row>
    <row r="11" spans="1:11">
      <c r="A11" s="5" t="s">
        <v>291</v>
      </c>
      <c r="B11" s="6">
        <v>44704</v>
      </c>
      <c r="C11" s="7">
        <v>1</v>
      </c>
      <c r="D11" s="5">
        <v>7.12</v>
      </c>
      <c r="E11" s="5">
        <v>660.1</v>
      </c>
      <c r="F11" s="5">
        <v>674</v>
      </c>
      <c r="G11" s="6">
        <v>44704</v>
      </c>
      <c r="H11" s="5"/>
      <c r="I11" s="5"/>
      <c r="J11" s="5">
        <f>F11-E11</f>
        <v>13.899999999999977</v>
      </c>
      <c r="K11" s="8" t="b">
        <f>E11=F10</f>
        <v>1</v>
      </c>
    </row>
    <row r="12" spans="1:11">
      <c r="A12" s="5" t="s">
        <v>292</v>
      </c>
      <c r="B12" s="6">
        <v>44710</v>
      </c>
      <c r="C12" s="7">
        <v>0.8</v>
      </c>
      <c r="D12" s="5">
        <v>8.9</v>
      </c>
      <c r="E12" s="5">
        <v>674</v>
      </c>
      <c r="F12" s="5">
        <v>682.9</v>
      </c>
      <c r="G12" s="6">
        <v>44710</v>
      </c>
      <c r="H12" s="5"/>
      <c r="I12" s="5"/>
      <c r="J12" s="5">
        <f t="shared" ref="J12:J25" si="0">F12-E12</f>
        <v>8.8999999999999773</v>
      </c>
      <c r="K12" s="8" t="b">
        <f t="shared" ref="K12:K34" si="1">E12=F11</f>
        <v>1</v>
      </c>
    </row>
    <row r="13" spans="1:11">
      <c r="A13" s="5" t="s">
        <v>293</v>
      </c>
      <c r="B13" s="6">
        <v>44713</v>
      </c>
      <c r="C13" s="7">
        <v>0.6</v>
      </c>
      <c r="D13" s="5">
        <v>11.87</v>
      </c>
      <c r="E13" s="5">
        <v>0</v>
      </c>
      <c r="F13" s="5">
        <v>12.2</v>
      </c>
      <c r="G13" s="6">
        <v>44713</v>
      </c>
      <c r="H13" s="5"/>
      <c r="I13" s="5"/>
      <c r="J13" s="5">
        <f t="shared" si="0"/>
        <v>12.2</v>
      </c>
      <c r="K13" s="8" t="b">
        <f t="shared" si="1"/>
        <v>0</v>
      </c>
    </row>
    <row r="14" spans="1:11">
      <c r="A14" s="5" t="s">
        <v>292</v>
      </c>
      <c r="B14" s="6">
        <v>44716</v>
      </c>
      <c r="C14" s="7">
        <v>0.6</v>
      </c>
      <c r="D14" s="5">
        <v>11.87</v>
      </c>
      <c r="E14" s="5">
        <v>12.2</v>
      </c>
      <c r="F14" s="5">
        <v>24.3</v>
      </c>
      <c r="G14" s="6">
        <v>44716</v>
      </c>
      <c r="H14" s="5"/>
      <c r="I14" s="5"/>
      <c r="J14" s="5">
        <f>F14-E14</f>
        <v>12.100000000000001</v>
      </c>
      <c r="K14" s="8" t="b">
        <f t="shared" si="1"/>
        <v>1</v>
      </c>
    </row>
    <row r="15" spans="1:11">
      <c r="A15" s="5" t="s">
        <v>291</v>
      </c>
      <c r="B15" s="6">
        <v>44717</v>
      </c>
      <c r="C15" s="7">
        <v>0.6</v>
      </c>
      <c r="D15" s="5">
        <v>11.87</v>
      </c>
      <c r="E15" s="5">
        <v>24.3</v>
      </c>
      <c r="F15" s="5">
        <v>48.6</v>
      </c>
      <c r="G15" s="6">
        <v>44717</v>
      </c>
      <c r="H15" s="5"/>
      <c r="I15" s="5"/>
      <c r="J15" s="5">
        <f>F15-E15</f>
        <v>24.3</v>
      </c>
      <c r="K15" s="8" t="b">
        <f t="shared" si="1"/>
        <v>1</v>
      </c>
    </row>
    <row r="16" spans="1:11">
      <c r="A16" s="5" t="s">
        <v>291</v>
      </c>
      <c r="B16" s="6">
        <v>44718</v>
      </c>
      <c r="C16" s="7">
        <v>0.8</v>
      </c>
      <c r="D16" s="5">
        <v>8.9</v>
      </c>
      <c r="E16" s="5">
        <v>48.6</v>
      </c>
      <c r="F16" s="5">
        <v>67.8</v>
      </c>
      <c r="G16" s="6">
        <v>44718</v>
      </c>
      <c r="H16" s="5"/>
      <c r="I16" s="5"/>
      <c r="J16" s="5">
        <f t="shared" si="0"/>
        <v>19.199999999999996</v>
      </c>
      <c r="K16" s="8" t="b">
        <f t="shared" si="1"/>
        <v>1</v>
      </c>
    </row>
    <row r="17" spans="1:11">
      <c r="A17" s="5" t="s">
        <v>291</v>
      </c>
      <c r="B17" s="6">
        <v>44719</v>
      </c>
      <c r="C17" s="7">
        <v>0.8</v>
      </c>
      <c r="D17" s="5">
        <v>8.9</v>
      </c>
      <c r="E17" s="5">
        <v>67.8</v>
      </c>
      <c r="F17" s="5">
        <v>86.3</v>
      </c>
      <c r="G17" s="6">
        <v>44719</v>
      </c>
      <c r="H17" s="5"/>
      <c r="I17" s="5"/>
      <c r="J17" s="5">
        <f t="shared" si="0"/>
        <v>18.5</v>
      </c>
      <c r="K17" s="8" t="b">
        <f t="shared" si="1"/>
        <v>1</v>
      </c>
    </row>
    <row r="18" spans="1:11">
      <c r="A18" s="5" t="s">
        <v>291</v>
      </c>
      <c r="B18" s="6">
        <v>44720</v>
      </c>
      <c r="C18" s="7">
        <v>0.8</v>
      </c>
      <c r="D18" s="5">
        <v>8.9</v>
      </c>
      <c r="E18" s="5">
        <v>86.3</v>
      </c>
      <c r="F18" s="5">
        <v>103</v>
      </c>
      <c r="G18" s="6">
        <v>44720</v>
      </c>
      <c r="H18" s="5"/>
      <c r="I18" s="5"/>
      <c r="J18" s="5">
        <f t="shared" si="0"/>
        <v>16.700000000000003</v>
      </c>
      <c r="K18" s="8" t="b">
        <f t="shared" si="1"/>
        <v>1</v>
      </c>
    </row>
    <row r="19" spans="1:11">
      <c r="A19" s="5" t="s">
        <v>291</v>
      </c>
      <c r="B19" s="6">
        <v>44721</v>
      </c>
      <c r="C19" s="7">
        <v>0.8</v>
      </c>
      <c r="D19" s="5">
        <v>8.9</v>
      </c>
      <c r="E19" s="5">
        <v>103</v>
      </c>
      <c r="F19" s="5">
        <v>121.1</v>
      </c>
      <c r="G19" s="6">
        <v>44721</v>
      </c>
      <c r="H19" s="5"/>
      <c r="I19" s="5"/>
      <c r="J19" s="5">
        <f t="shared" si="0"/>
        <v>18.099999999999994</v>
      </c>
      <c r="K19" s="8" t="b">
        <f t="shared" si="1"/>
        <v>1</v>
      </c>
    </row>
    <row r="20" spans="1:11">
      <c r="A20" s="5" t="s">
        <v>291</v>
      </c>
      <c r="B20" s="6">
        <v>44722</v>
      </c>
      <c r="C20" s="7">
        <v>1</v>
      </c>
      <c r="D20" s="5">
        <v>7.12</v>
      </c>
      <c r="E20" s="5">
        <v>121.1</v>
      </c>
      <c r="F20" s="5">
        <v>136.1</v>
      </c>
      <c r="G20" s="6">
        <v>44722</v>
      </c>
      <c r="H20" s="5"/>
      <c r="I20" s="5"/>
      <c r="J20" s="5">
        <f t="shared" si="0"/>
        <v>15</v>
      </c>
      <c r="K20" s="8" t="b">
        <f t="shared" si="1"/>
        <v>1</v>
      </c>
    </row>
    <row r="21" spans="1:11">
      <c r="A21" s="5" t="s">
        <v>291</v>
      </c>
      <c r="B21" s="6">
        <v>44723</v>
      </c>
      <c r="C21" s="7">
        <v>1</v>
      </c>
      <c r="D21" s="5">
        <v>7.12</v>
      </c>
      <c r="E21" s="5">
        <v>136.1</v>
      </c>
      <c r="F21" s="5">
        <v>153.30000000000001</v>
      </c>
      <c r="G21" s="6">
        <v>44723</v>
      </c>
      <c r="H21" s="5"/>
      <c r="I21" s="5"/>
      <c r="J21" s="5">
        <f t="shared" si="0"/>
        <v>17.200000000000017</v>
      </c>
      <c r="K21" s="8" t="b">
        <f t="shared" si="1"/>
        <v>1</v>
      </c>
    </row>
    <row r="22" spans="1:11">
      <c r="A22" s="5" t="s">
        <v>291</v>
      </c>
      <c r="B22" s="6">
        <v>44725</v>
      </c>
      <c r="C22" s="7">
        <v>1</v>
      </c>
      <c r="D22" s="5">
        <v>7.12</v>
      </c>
      <c r="E22" s="5">
        <v>155.30000000000001</v>
      </c>
      <c r="F22" s="5">
        <v>168.4</v>
      </c>
      <c r="G22" s="6">
        <v>44725</v>
      </c>
      <c r="H22" s="5"/>
      <c r="I22" s="5"/>
      <c r="J22" s="5">
        <f t="shared" si="0"/>
        <v>13.099999999999994</v>
      </c>
      <c r="K22" s="8" t="b">
        <f t="shared" si="1"/>
        <v>0</v>
      </c>
    </row>
    <row r="23" spans="1:11">
      <c r="A23" s="5" t="s">
        <v>292</v>
      </c>
      <c r="B23" s="6">
        <v>44726</v>
      </c>
      <c r="C23" s="7">
        <v>1</v>
      </c>
      <c r="D23" s="5">
        <v>7.12</v>
      </c>
      <c r="E23" s="5">
        <v>168.4</v>
      </c>
      <c r="F23" s="5">
        <v>174.8</v>
      </c>
      <c r="G23" s="6">
        <v>44726</v>
      </c>
      <c r="H23" s="5"/>
      <c r="I23" s="5"/>
      <c r="J23" s="5">
        <f t="shared" si="0"/>
        <v>6.4000000000000057</v>
      </c>
      <c r="K23" s="8" t="b">
        <f t="shared" si="1"/>
        <v>1</v>
      </c>
    </row>
    <row r="24" spans="1:11">
      <c r="A24" s="5" t="s">
        <v>291</v>
      </c>
      <c r="B24" s="6">
        <v>44727</v>
      </c>
      <c r="C24" s="7">
        <v>1</v>
      </c>
      <c r="D24" s="5">
        <v>7.12</v>
      </c>
      <c r="E24" s="5">
        <v>174.8</v>
      </c>
      <c r="F24" s="5">
        <v>193.6</v>
      </c>
      <c r="G24" s="6">
        <v>44727</v>
      </c>
      <c r="H24" s="5"/>
      <c r="I24" s="5"/>
      <c r="J24" s="5">
        <f t="shared" si="0"/>
        <v>18.799999999999983</v>
      </c>
      <c r="K24" s="8" t="b">
        <f t="shared" si="1"/>
        <v>1</v>
      </c>
    </row>
    <row r="25" spans="1:11">
      <c r="A25" s="5" t="s">
        <v>294</v>
      </c>
      <c r="B25" s="6">
        <v>44728</v>
      </c>
      <c r="C25" s="7">
        <v>1</v>
      </c>
      <c r="D25" s="5">
        <v>7.12</v>
      </c>
      <c r="E25" s="5">
        <v>193.6</v>
      </c>
      <c r="F25" s="5">
        <v>204.1</v>
      </c>
      <c r="G25" s="6">
        <v>44728</v>
      </c>
      <c r="H25" s="5"/>
      <c r="I25" s="5"/>
      <c r="J25" s="5">
        <f t="shared" si="0"/>
        <v>10.5</v>
      </c>
      <c r="K25" s="8" t="b">
        <f t="shared" si="1"/>
        <v>1</v>
      </c>
    </row>
    <row r="26" spans="1:11">
      <c r="A26" s="9" t="s">
        <v>291</v>
      </c>
      <c r="B26" s="6">
        <v>44729</v>
      </c>
      <c r="C26" s="7">
        <v>1</v>
      </c>
      <c r="D26" s="9">
        <v>7.12</v>
      </c>
      <c r="E26" s="5">
        <v>204.1</v>
      </c>
      <c r="F26" s="5">
        <v>218.6</v>
      </c>
      <c r="G26" s="6">
        <v>44729</v>
      </c>
      <c r="H26" s="5"/>
      <c r="I26" s="5"/>
      <c r="J26" s="5">
        <f>F26-E26</f>
        <v>14.5</v>
      </c>
      <c r="K26" s="8" t="b">
        <f t="shared" si="1"/>
        <v>1</v>
      </c>
    </row>
    <row r="27" spans="1:11">
      <c r="A27" s="9" t="s">
        <v>291</v>
      </c>
      <c r="B27" s="6">
        <v>44730</v>
      </c>
      <c r="C27" s="7">
        <v>1</v>
      </c>
      <c r="D27" s="5">
        <v>7.12</v>
      </c>
      <c r="E27" s="5">
        <v>218.6</v>
      </c>
      <c r="F27" s="5">
        <v>233.3</v>
      </c>
      <c r="G27" s="6">
        <v>44730</v>
      </c>
      <c r="H27" s="5"/>
      <c r="I27" s="5"/>
      <c r="J27" s="5">
        <f>F27-E27</f>
        <v>14.700000000000017</v>
      </c>
      <c r="K27" s="8" t="b">
        <f t="shared" si="1"/>
        <v>1</v>
      </c>
    </row>
    <row r="28" spans="1:11">
      <c r="A28" s="9" t="s">
        <v>291</v>
      </c>
      <c r="B28" s="6">
        <v>44731</v>
      </c>
      <c r="C28" s="7">
        <v>1</v>
      </c>
      <c r="D28" s="5">
        <v>7.12</v>
      </c>
      <c r="E28" s="5">
        <v>233.3</v>
      </c>
      <c r="F28" s="5">
        <v>248.4</v>
      </c>
      <c r="G28" s="6">
        <v>44731</v>
      </c>
      <c r="H28" s="5"/>
      <c r="I28" s="5"/>
      <c r="J28" s="5">
        <f>F28-E28</f>
        <v>15.099999999999994</v>
      </c>
      <c r="K28" s="8" t="b">
        <f t="shared" si="1"/>
        <v>1</v>
      </c>
    </row>
    <row r="29" spans="1:11">
      <c r="A29" s="9" t="s">
        <v>291</v>
      </c>
      <c r="B29" s="6">
        <v>44732</v>
      </c>
      <c r="C29" s="7">
        <v>1</v>
      </c>
      <c r="D29" s="5">
        <v>7.12</v>
      </c>
      <c r="E29" s="5">
        <v>248.4</v>
      </c>
      <c r="F29" s="5">
        <v>262.39999999999998</v>
      </c>
      <c r="G29" s="6">
        <v>44732</v>
      </c>
      <c r="H29" s="5"/>
      <c r="I29" s="5"/>
      <c r="J29" s="5">
        <f t="shared" ref="J29:J54" si="2">F29-E29</f>
        <v>13.999999999999972</v>
      </c>
      <c r="K29" s="8" t="b">
        <f t="shared" si="1"/>
        <v>1</v>
      </c>
    </row>
    <row r="30" spans="1:11">
      <c r="A30" s="9" t="s">
        <v>291</v>
      </c>
      <c r="B30" s="6">
        <v>44733</v>
      </c>
      <c r="C30" s="7">
        <v>1</v>
      </c>
      <c r="D30" s="5">
        <v>7.12</v>
      </c>
      <c r="E30" s="5">
        <v>262.39999999999998</v>
      </c>
      <c r="F30" s="5">
        <v>277.5</v>
      </c>
      <c r="G30" s="6">
        <v>44733</v>
      </c>
      <c r="H30" s="5"/>
      <c r="I30" s="5"/>
      <c r="J30" s="5">
        <f t="shared" si="2"/>
        <v>15.100000000000023</v>
      </c>
      <c r="K30" s="8" t="b">
        <f t="shared" si="1"/>
        <v>1</v>
      </c>
    </row>
    <row r="31" spans="1:11">
      <c r="A31" s="9" t="s">
        <v>291</v>
      </c>
      <c r="B31" s="6">
        <v>44736</v>
      </c>
      <c r="C31" s="7">
        <v>1</v>
      </c>
      <c r="D31" s="5">
        <v>7.12</v>
      </c>
      <c r="E31" s="5">
        <v>277.5</v>
      </c>
      <c r="F31" s="5">
        <v>291.8</v>
      </c>
      <c r="G31" s="6">
        <v>44736</v>
      </c>
      <c r="H31" s="5"/>
      <c r="I31" s="5"/>
      <c r="J31" s="5">
        <f t="shared" si="2"/>
        <v>14.300000000000011</v>
      </c>
      <c r="K31" s="8" t="b">
        <f t="shared" si="1"/>
        <v>1</v>
      </c>
    </row>
    <row r="32" spans="1:11">
      <c r="A32" s="9" t="s">
        <v>291</v>
      </c>
      <c r="B32" s="6">
        <v>44738</v>
      </c>
      <c r="C32" s="7">
        <v>1</v>
      </c>
      <c r="D32" s="5">
        <v>7.12</v>
      </c>
      <c r="E32" s="5">
        <v>291.8</v>
      </c>
      <c r="F32" s="5">
        <v>306.8</v>
      </c>
      <c r="G32" s="6">
        <v>44738</v>
      </c>
      <c r="H32" s="5"/>
      <c r="I32" s="5"/>
      <c r="J32" s="5">
        <f t="shared" si="2"/>
        <v>15</v>
      </c>
      <c r="K32" s="8" t="b">
        <f t="shared" si="1"/>
        <v>1</v>
      </c>
    </row>
    <row r="33" spans="1:11">
      <c r="A33" s="9" t="s">
        <v>291</v>
      </c>
      <c r="B33" s="6">
        <v>44740</v>
      </c>
      <c r="C33" s="7">
        <v>1</v>
      </c>
      <c r="D33" s="5">
        <v>7.12</v>
      </c>
      <c r="E33" s="5">
        <v>306.8</v>
      </c>
      <c r="F33" s="5">
        <v>320.7</v>
      </c>
      <c r="G33" s="6">
        <v>44740</v>
      </c>
      <c r="H33" s="5"/>
      <c r="I33" s="5"/>
      <c r="J33" s="5">
        <f t="shared" si="2"/>
        <v>13.899999999999977</v>
      </c>
      <c r="K33" s="8" t="b">
        <f t="shared" si="1"/>
        <v>1</v>
      </c>
    </row>
    <row r="34" spans="1:11">
      <c r="A34" s="9" t="s">
        <v>291</v>
      </c>
      <c r="B34" s="6">
        <v>44742</v>
      </c>
      <c r="C34" s="7">
        <v>1</v>
      </c>
      <c r="D34" s="5">
        <v>7.12</v>
      </c>
      <c r="E34" s="5">
        <v>320.7</v>
      </c>
      <c r="F34" s="5">
        <v>335.7</v>
      </c>
      <c r="G34" s="6">
        <v>44742</v>
      </c>
      <c r="H34" s="5"/>
      <c r="I34" s="5"/>
      <c r="J34" s="5">
        <f t="shared" si="2"/>
        <v>15</v>
      </c>
      <c r="K34" s="8" t="b">
        <f t="shared" si="1"/>
        <v>1</v>
      </c>
    </row>
    <row r="35" spans="1:11">
      <c r="A35" s="34" t="s">
        <v>291</v>
      </c>
      <c r="B35" s="26">
        <v>44743</v>
      </c>
      <c r="C35" s="27">
        <v>1</v>
      </c>
      <c r="D35" s="25">
        <v>7.12</v>
      </c>
      <c r="E35" s="25">
        <v>335.7</v>
      </c>
      <c r="F35" s="25">
        <v>350</v>
      </c>
      <c r="G35" s="26">
        <v>44743</v>
      </c>
      <c r="H35" s="25"/>
      <c r="I35" s="25"/>
      <c r="J35" s="25">
        <f t="shared" si="2"/>
        <v>14.300000000000011</v>
      </c>
      <c r="K35" s="8" t="b">
        <f>E35=F34</f>
        <v>1</v>
      </c>
    </row>
    <row r="36" spans="1:11">
      <c r="A36" s="9" t="s">
        <v>291</v>
      </c>
      <c r="B36" s="6">
        <v>44745</v>
      </c>
      <c r="C36" s="7">
        <v>1</v>
      </c>
      <c r="D36" s="5">
        <v>7.12</v>
      </c>
      <c r="E36" s="5">
        <v>350</v>
      </c>
      <c r="F36" s="5">
        <v>364.2</v>
      </c>
      <c r="G36" s="6">
        <v>44745</v>
      </c>
      <c r="H36" s="5"/>
      <c r="I36" s="5"/>
      <c r="J36" s="5">
        <f t="shared" si="2"/>
        <v>14.199999999999989</v>
      </c>
      <c r="K36" s="8" t="b">
        <f t="shared" ref="K36:K89" si="3">E36=F35</f>
        <v>1</v>
      </c>
    </row>
    <row r="37" spans="1:11">
      <c r="A37" s="9" t="s">
        <v>291</v>
      </c>
      <c r="B37" s="6">
        <v>44747</v>
      </c>
      <c r="C37" s="7">
        <v>1</v>
      </c>
      <c r="D37" s="5">
        <v>7.12</v>
      </c>
      <c r="E37" s="5">
        <v>364.2</v>
      </c>
      <c r="F37" s="5">
        <v>379.4</v>
      </c>
      <c r="G37" s="6">
        <v>44747</v>
      </c>
      <c r="H37" s="5"/>
      <c r="I37" s="5"/>
      <c r="J37" s="5">
        <f t="shared" si="2"/>
        <v>15.199999999999989</v>
      </c>
      <c r="K37" s="8" t="b">
        <f t="shared" si="3"/>
        <v>1</v>
      </c>
    </row>
    <row r="38" spans="1:11">
      <c r="A38" s="9" t="s">
        <v>291</v>
      </c>
      <c r="B38" s="6">
        <v>44749</v>
      </c>
      <c r="C38" s="7">
        <v>1</v>
      </c>
      <c r="D38" s="5">
        <v>7.12</v>
      </c>
      <c r="E38" s="5">
        <v>379.4</v>
      </c>
      <c r="F38" s="5">
        <v>393.3</v>
      </c>
      <c r="G38" s="6">
        <v>44749</v>
      </c>
      <c r="H38" s="5"/>
      <c r="I38" s="5"/>
      <c r="J38" s="5">
        <f t="shared" si="2"/>
        <v>13.900000000000034</v>
      </c>
      <c r="K38" s="8" t="b">
        <f t="shared" si="3"/>
        <v>1</v>
      </c>
    </row>
    <row r="39" spans="1:11">
      <c r="A39" s="9" t="s">
        <v>291</v>
      </c>
      <c r="B39" s="6">
        <v>44751</v>
      </c>
      <c r="C39" s="7">
        <v>1</v>
      </c>
      <c r="D39" s="5">
        <v>7.12</v>
      </c>
      <c r="E39" s="5">
        <v>393.3</v>
      </c>
      <c r="F39" s="5">
        <v>408.7</v>
      </c>
      <c r="G39" s="6">
        <v>44751</v>
      </c>
      <c r="H39" s="5"/>
      <c r="I39" s="5"/>
      <c r="J39" s="5">
        <f t="shared" si="2"/>
        <v>15.399999999999977</v>
      </c>
      <c r="K39" s="8" t="b">
        <f t="shared" si="3"/>
        <v>1</v>
      </c>
    </row>
    <row r="40" spans="1:11">
      <c r="A40" s="9" t="s">
        <v>291</v>
      </c>
      <c r="B40" s="6">
        <v>44753</v>
      </c>
      <c r="C40" s="7">
        <v>1</v>
      </c>
      <c r="D40" s="5">
        <v>7.12</v>
      </c>
      <c r="E40" s="5">
        <v>408.7</v>
      </c>
      <c r="F40" s="5">
        <v>422.4</v>
      </c>
      <c r="G40" s="6">
        <v>44753</v>
      </c>
      <c r="H40" s="5"/>
      <c r="I40" s="5"/>
      <c r="J40" s="5">
        <f t="shared" si="2"/>
        <v>13.699999999999989</v>
      </c>
      <c r="K40" s="8" t="b">
        <f>E40=F39</f>
        <v>1</v>
      </c>
    </row>
    <row r="41" spans="1:11">
      <c r="A41" s="9" t="s">
        <v>291</v>
      </c>
      <c r="B41" s="6">
        <v>44755</v>
      </c>
      <c r="C41" s="7">
        <v>1</v>
      </c>
      <c r="D41" s="5">
        <v>7.12</v>
      </c>
      <c r="E41" s="5">
        <v>422.4</v>
      </c>
      <c r="F41" s="5">
        <v>438</v>
      </c>
      <c r="G41" s="6">
        <v>44755</v>
      </c>
      <c r="H41" s="5"/>
      <c r="I41" s="5"/>
      <c r="J41" s="5">
        <f t="shared" si="2"/>
        <v>15.600000000000023</v>
      </c>
      <c r="K41" s="8" t="b">
        <f t="shared" si="3"/>
        <v>1</v>
      </c>
    </row>
    <row r="42" spans="1:11">
      <c r="A42" s="9" t="s">
        <v>291</v>
      </c>
      <c r="B42" s="6">
        <v>44757</v>
      </c>
      <c r="C42" s="7">
        <v>1</v>
      </c>
      <c r="D42" s="5">
        <v>7.12</v>
      </c>
      <c r="E42" s="5">
        <v>438</v>
      </c>
      <c r="F42" s="5">
        <v>452.5</v>
      </c>
      <c r="G42" s="6">
        <v>44757</v>
      </c>
      <c r="H42" s="5"/>
      <c r="I42" s="5"/>
      <c r="J42" s="5">
        <f t="shared" si="2"/>
        <v>14.5</v>
      </c>
      <c r="K42" s="8" t="b">
        <f t="shared" si="3"/>
        <v>1</v>
      </c>
    </row>
    <row r="43" spans="1:11">
      <c r="A43" s="9" t="s">
        <v>291</v>
      </c>
      <c r="B43" s="6">
        <v>44760</v>
      </c>
      <c r="C43" s="7">
        <v>1</v>
      </c>
      <c r="D43" s="5">
        <v>7.12</v>
      </c>
      <c r="E43" s="5">
        <v>452.5</v>
      </c>
      <c r="F43" s="5">
        <v>466.8</v>
      </c>
      <c r="G43" s="6">
        <v>44760</v>
      </c>
      <c r="H43" s="5"/>
      <c r="I43" s="5"/>
      <c r="J43" s="5">
        <f t="shared" si="2"/>
        <v>14.300000000000011</v>
      </c>
      <c r="K43" s="8" t="b">
        <f t="shared" si="3"/>
        <v>1</v>
      </c>
    </row>
    <row r="44" spans="1:11">
      <c r="A44" s="9" t="s">
        <v>291</v>
      </c>
      <c r="B44" s="6">
        <v>44761</v>
      </c>
      <c r="C44" s="7">
        <v>1</v>
      </c>
      <c r="D44" s="5">
        <v>7.12</v>
      </c>
      <c r="E44" s="5">
        <v>466.8</v>
      </c>
      <c r="F44" s="5">
        <v>480.2</v>
      </c>
      <c r="G44" s="6">
        <v>44761</v>
      </c>
      <c r="H44" s="5"/>
      <c r="I44" s="5"/>
      <c r="J44" s="5">
        <f t="shared" si="2"/>
        <v>13.399999999999977</v>
      </c>
      <c r="K44" s="8" t="b">
        <f t="shared" si="3"/>
        <v>1</v>
      </c>
    </row>
    <row r="45" spans="1:11">
      <c r="A45" s="34" t="s">
        <v>291</v>
      </c>
      <c r="B45" s="26">
        <v>44763</v>
      </c>
      <c r="C45" s="27">
        <v>1</v>
      </c>
      <c r="D45" s="25">
        <v>7.12</v>
      </c>
      <c r="E45" s="25">
        <v>480.2</v>
      </c>
      <c r="F45" s="25">
        <v>497.5</v>
      </c>
      <c r="G45" s="26">
        <v>44763</v>
      </c>
      <c r="H45" s="25"/>
      <c r="I45" s="25"/>
      <c r="J45" s="25">
        <f t="shared" si="2"/>
        <v>17.300000000000011</v>
      </c>
      <c r="K45" s="8" t="b">
        <f t="shared" si="3"/>
        <v>1</v>
      </c>
    </row>
    <row r="46" spans="1:11">
      <c r="A46" s="9" t="s">
        <v>291</v>
      </c>
      <c r="B46" s="6">
        <v>44766</v>
      </c>
      <c r="C46" s="7">
        <v>1</v>
      </c>
      <c r="D46" s="5">
        <v>7.12</v>
      </c>
      <c r="E46" s="5">
        <v>497.5</v>
      </c>
      <c r="F46" s="5">
        <v>511.8</v>
      </c>
      <c r="G46" s="6">
        <v>44766</v>
      </c>
      <c r="H46" s="5"/>
      <c r="I46" s="5"/>
      <c r="J46" s="5">
        <f t="shared" si="2"/>
        <v>14.300000000000011</v>
      </c>
      <c r="K46" s="8" t="b">
        <f t="shared" si="3"/>
        <v>1</v>
      </c>
    </row>
    <row r="47" spans="1:11">
      <c r="A47" s="9" t="s">
        <v>291</v>
      </c>
      <c r="B47" s="6">
        <v>44768</v>
      </c>
      <c r="C47" s="7">
        <v>1</v>
      </c>
      <c r="D47" s="5">
        <v>7.12</v>
      </c>
      <c r="E47" s="5">
        <v>511.8</v>
      </c>
      <c r="F47" s="5">
        <v>526.6</v>
      </c>
      <c r="G47" s="6">
        <v>44768</v>
      </c>
      <c r="H47" s="5"/>
      <c r="I47" s="5"/>
      <c r="J47" s="5">
        <f t="shared" si="2"/>
        <v>14.800000000000011</v>
      </c>
      <c r="K47" s="8" t="b">
        <f t="shared" si="3"/>
        <v>1</v>
      </c>
    </row>
    <row r="48" spans="1:11">
      <c r="A48" s="9" t="s">
        <v>291</v>
      </c>
      <c r="B48" s="6">
        <v>44770</v>
      </c>
      <c r="C48" s="7">
        <v>1</v>
      </c>
      <c r="D48" s="5">
        <v>7.12</v>
      </c>
      <c r="E48" s="5">
        <v>526.6</v>
      </c>
      <c r="F48" s="5">
        <v>543.70000000000005</v>
      </c>
      <c r="G48" s="6">
        <v>44770</v>
      </c>
      <c r="H48" s="5"/>
      <c r="I48" s="5"/>
      <c r="J48" s="5">
        <f t="shared" si="2"/>
        <v>17.100000000000023</v>
      </c>
      <c r="K48" s="8" t="b">
        <f t="shared" si="3"/>
        <v>1</v>
      </c>
    </row>
    <row r="49" spans="1:11">
      <c r="A49" s="8" t="s">
        <v>291</v>
      </c>
      <c r="B49" s="6">
        <v>44772</v>
      </c>
      <c r="C49" s="7">
        <v>1</v>
      </c>
      <c r="D49" s="5">
        <v>7.12</v>
      </c>
      <c r="E49" s="5">
        <v>543.70000000000005</v>
      </c>
      <c r="F49" s="5">
        <v>557.1</v>
      </c>
      <c r="G49" s="6">
        <v>44772</v>
      </c>
      <c r="H49" s="5"/>
      <c r="I49" s="5"/>
      <c r="J49" s="5">
        <f t="shared" si="2"/>
        <v>13.399999999999977</v>
      </c>
      <c r="K49" s="8" t="b">
        <f t="shared" si="3"/>
        <v>1</v>
      </c>
    </row>
    <row r="50" spans="1:11">
      <c r="A50" s="8" t="s">
        <v>291</v>
      </c>
      <c r="B50" s="6">
        <v>44774</v>
      </c>
      <c r="C50" s="7">
        <v>1</v>
      </c>
      <c r="D50" s="5">
        <v>7.12</v>
      </c>
      <c r="E50" s="5">
        <v>557.1</v>
      </c>
      <c r="F50" s="5">
        <v>572.5</v>
      </c>
      <c r="G50" s="6">
        <v>44774</v>
      </c>
      <c r="H50" s="5"/>
      <c r="I50" s="5"/>
      <c r="J50" s="5">
        <f t="shared" si="2"/>
        <v>15.399999999999977</v>
      </c>
      <c r="K50" s="8" t="b">
        <f t="shared" si="3"/>
        <v>1</v>
      </c>
    </row>
    <row r="51" spans="1:11">
      <c r="A51" s="8" t="s">
        <v>291</v>
      </c>
      <c r="B51" s="6">
        <v>44777</v>
      </c>
      <c r="C51" s="7">
        <v>1</v>
      </c>
      <c r="D51" s="5">
        <v>7.12</v>
      </c>
      <c r="E51" s="5">
        <v>572.5</v>
      </c>
      <c r="F51" s="5">
        <v>588</v>
      </c>
      <c r="G51" s="6">
        <v>44777</v>
      </c>
      <c r="H51" s="5"/>
      <c r="I51" s="5"/>
      <c r="J51" s="5">
        <f t="shared" si="2"/>
        <v>15.5</v>
      </c>
      <c r="K51" s="8" t="b">
        <f t="shared" si="3"/>
        <v>1</v>
      </c>
    </row>
    <row r="52" spans="1:11">
      <c r="A52" s="8" t="s">
        <v>291</v>
      </c>
      <c r="B52" s="6">
        <v>44778</v>
      </c>
      <c r="C52" s="7">
        <v>0.7</v>
      </c>
      <c r="D52" s="5">
        <v>10.27</v>
      </c>
      <c r="E52" s="5">
        <v>588</v>
      </c>
      <c r="F52" s="5">
        <v>607.4</v>
      </c>
      <c r="G52" s="6">
        <v>4</v>
      </c>
      <c r="H52" s="5"/>
      <c r="I52" s="5"/>
      <c r="J52" s="5">
        <f t="shared" si="2"/>
        <v>19.399999999999977</v>
      </c>
      <c r="K52" s="8" t="b">
        <f t="shared" si="3"/>
        <v>1</v>
      </c>
    </row>
    <row r="53" spans="1:11">
      <c r="A53" s="8" t="s">
        <v>291</v>
      </c>
      <c r="B53" s="6">
        <v>44780</v>
      </c>
      <c r="C53" s="7">
        <v>0.7</v>
      </c>
      <c r="D53" s="5">
        <v>10.27</v>
      </c>
      <c r="E53" s="5">
        <v>607.4</v>
      </c>
      <c r="F53" s="5">
        <v>627.79999999999995</v>
      </c>
      <c r="G53" s="6">
        <v>44780</v>
      </c>
      <c r="H53" s="5"/>
      <c r="I53" s="5"/>
      <c r="J53" s="5">
        <f t="shared" si="2"/>
        <v>20.399999999999977</v>
      </c>
      <c r="K53" s="8" t="b">
        <f t="shared" si="3"/>
        <v>1</v>
      </c>
    </row>
    <row r="54" spans="1:11">
      <c r="A54" s="8" t="s">
        <v>291</v>
      </c>
      <c r="B54" s="6">
        <v>44783</v>
      </c>
      <c r="C54" s="7">
        <v>1</v>
      </c>
      <c r="D54" s="5">
        <v>7.12</v>
      </c>
      <c r="E54" s="5">
        <v>627.79999999999995</v>
      </c>
      <c r="F54" s="5">
        <v>642.1</v>
      </c>
      <c r="G54" s="6">
        <v>44783</v>
      </c>
      <c r="H54" s="5"/>
      <c r="I54" s="5"/>
      <c r="J54" s="5">
        <f t="shared" si="2"/>
        <v>14.300000000000068</v>
      </c>
      <c r="K54" s="8" t="b">
        <f t="shared" si="3"/>
        <v>1</v>
      </c>
    </row>
    <row r="55" spans="1:11">
      <c r="A55" s="8" t="s">
        <v>291</v>
      </c>
      <c r="B55" s="6">
        <v>44784</v>
      </c>
      <c r="C55" s="7">
        <v>1</v>
      </c>
      <c r="D55" s="5">
        <v>7.12</v>
      </c>
      <c r="E55" s="5">
        <v>642.1</v>
      </c>
      <c r="F55" s="5">
        <v>656.3</v>
      </c>
      <c r="G55" s="6">
        <v>44784</v>
      </c>
      <c r="H55" s="5"/>
      <c r="I55" s="5"/>
      <c r="J55" s="5">
        <f t="shared" ref="J55:J60" si="4">F55-E55</f>
        <v>14.199999999999932</v>
      </c>
      <c r="K55" s="8" t="b">
        <f t="shared" si="3"/>
        <v>1</v>
      </c>
    </row>
    <row r="56" spans="1:11">
      <c r="A56" s="8" t="s">
        <v>291</v>
      </c>
      <c r="B56" s="6">
        <v>44785</v>
      </c>
      <c r="C56" s="7">
        <v>0.7</v>
      </c>
      <c r="D56" s="5">
        <v>10.27</v>
      </c>
      <c r="E56" s="5">
        <v>656.3</v>
      </c>
      <c r="F56" s="5">
        <v>677.6</v>
      </c>
      <c r="G56" s="6">
        <v>44775</v>
      </c>
      <c r="H56" s="5"/>
      <c r="I56" s="5"/>
      <c r="J56" s="5">
        <f t="shared" si="4"/>
        <v>21.300000000000068</v>
      </c>
      <c r="K56" s="8" t="b">
        <f t="shared" si="3"/>
        <v>1</v>
      </c>
    </row>
    <row r="57" spans="1:11">
      <c r="A57" s="8" t="s">
        <v>291</v>
      </c>
      <c r="B57" s="6">
        <v>44787</v>
      </c>
      <c r="C57" s="7">
        <v>0.7</v>
      </c>
      <c r="D57" s="5">
        <v>10.27</v>
      </c>
      <c r="E57" s="5">
        <v>677.6</v>
      </c>
      <c r="F57" s="5">
        <v>692.7</v>
      </c>
      <c r="G57" s="6">
        <v>44787</v>
      </c>
      <c r="H57" s="5"/>
      <c r="I57" s="5"/>
      <c r="J57" s="5">
        <f t="shared" si="4"/>
        <v>15.100000000000023</v>
      </c>
      <c r="K57" s="8" t="b">
        <f t="shared" si="3"/>
        <v>1</v>
      </c>
    </row>
    <row r="58" spans="1:11">
      <c r="A58" s="8" t="s">
        <v>295</v>
      </c>
      <c r="B58" s="6">
        <v>44789</v>
      </c>
      <c r="C58" s="7">
        <v>0.7</v>
      </c>
      <c r="D58" s="5">
        <v>10.27</v>
      </c>
      <c r="E58" s="5">
        <v>692.7</v>
      </c>
      <c r="F58" s="5">
        <v>700</v>
      </c>
      <c r="G58" s="6">
        <v>44789</v>
      </c>
      <c r="H58" s="5"/>
      <c r="I58" s="5"/>
      <c r="J58" s="5">
        <f t="shared" si="4"/>
        <v>7.2999999999999545</v>
      </c>
      <c r="K58" s="8" t="b">
        <f t="shared" si="3"/>
        <v>1</v>
      </c>
    </row>
    <row r="59" spans="1:11">
      <c r="A59" s="8" t="s">
        <v>291</v>
      </c>
      <c r="B59" s="6">
        <v>44791</v>
      </c>
      <c r="C59" s="7">
        <v>0.7</v>
      </c>
      <c r="D59" s="5">
        <v>10.27</v>
      </c>
      <c r="E59" s="5">
        <v>700</v>
      </c>
      <c r="F59" s="5">
        <v>722.1</v>
      </c>
      <c r="G59" s="6">
        <v>44791</v>
      </c>
      <c r="H59" s="5"/>
      <c r="I59" s="5"/>
      <c r="J59" s="5">
        <f t="shared" si="4"/>
        <v>22.100000000000023</v>
      </c>
      <c r="K59" s="8" t="b">
        <f t="shared" si="3"/>
        <v>1</v>
      </c>
    </row>
    <row r="60" spans="1:11">
      <c r="A60" s="8" t="s">
        <v>291</v>
      </c>
      <c r="B60" s="6">
        <v>44792</v>
      </c>
      <c r="C60" s="7">
        <v>0.7</v>
      </c>
      <c r="D60" s="5">
        <v>10.27</v>
      </c>
      <c r="E60" s="5">
        <v>722.1</v>
      </c>
      <c r="F60" s="5">
        <v>743.2</v>
      </c>
      <c r="G60" s="6">
        <v>44792</v>
      </c>
      <c r="H60" s="5"/>
      <c r="I60" s="5"/>
      <c r="J60" s="5">
        <f t="shared" si="4"/>
        <v>21.100000000000023</v>
      </c>
      <c r="K60" s="8" t="b">
        <f t="shared" si="3"/>
        <v>1</v>
      </c>
    </row>
    <row r="61" spans="1:11">
      <c r="A61" s="8" t="s">
        <v>291</v>
      </c>
      <c r="B61" s="6">
        <v>44794</v>
      </c>
      <c r="C61" s="7">
        <v>0.7</v>
      </c>
      <c r="D61" s="5">
        <v>10.27</v>
      </c>
      <c r="E61" s="5">
        <v>743.2</v>
      </c>
      <c r="F61" s="5">
        <v>764.3</v>
      </c>
      <c r="G61" s="6">
        <v>44794</v>
      </c>
      <c r="H61" s="5"/>
      <c r="I61" s="5"/>
      <c r="J61" s="5">
        <f t="shared" ref="J61:J69" si="5">F61-E61</f>
        <v>21.099999999999909</v>
      </c>
      <c r="K61" s="8" t="b">
        <f t="shared" si="3"/>
        <v>1</v>
      </c>
    </row>
    <row r="62" spans="1:11">
      <c r="A62" s="8" t="s">
        <v>291</v>
      </c>
      <c r="B62" s="6">
        <v>44795</v>
      </c>
      <c r="C62" s="7">
        <v>0.75</v>
      </c>
      <c r="D62" s="5">
        <v>9.49</v>
      </c>
      <c r="E62" s="5">
        <v>764.3</v>
      </c>
      <c r="F62" s="5">
        <v>782.8</v>
      </c>
      <c r="G62" s="6">
        <v>44795</v>
      </c>
      <c r="H62" s="5"/>
      <c r="I62" s="5"/>
      <c r="J62" s="5">
        <f t="shared" si="5"/>
        <v>18.5</v>
      </c>
      <c r="K62" s="8" t="b">
        <f t="shared" si="3"/>
        <v>1</v>
      </c>
    </row>
    <row r="63" spans="1:11">
      <c r="A63" s="8" t="s">
        <v>296</v>
      </c>
      <c r="B63" s="6">
        <v>44797</v>
      </c>
      <c r="C63" s="7">
        <v>0.75</v>
      </c>
      <c r="D63" s="5">
        <v>9.49</v>
      </c>
      <c r="E63" s="5">
        <v>782.8</v>
      </c>
      <c r="F63" s="5">
        <v>797.1</v>
      </c>
      <c r="G63" s="6">
        <v>44797</v>
      </c>
      <c r="H63" s="5"/>
      <c r="I63" s="5"/>
      <c r="J63" s="5">
        <f t="shared" si="5"/>
        <v>14.300000000000068</v>
      </c>
      <c r="K63" s="8" t="b">
        <f t="shared" si="3"/>
        <v>1</v>
      </c>
    </row>
    <row r="64" spans="1:11">
      <c r="A64" s="8" t="s">
        <v>291</v>
      </c>
      <c r="B64" s="6">
        <v>44799</v>
      </c>
      <c r="C64" s="7">
        <v>0.75</v>
      </c>
      <c r="D64" s="5">
        <v>9.49</v>
      </c>
      <c r="E64" s="5">
        <v>797.1</v>
      </c>
      <c r="F64" s="5">
        <v>816.4</v>
      </c>
      <c r="G64" s="6">
        <v>44799</v>
      </c>
      <c r="H64" s="5"/>
      <c r="I64" s="5"/>
      <c r="J64" s="5">
        <f t="shared" si="5"/>
        <v>19.299999999999955</v>
      </c>
      <c r="K64" s="8" t="b">
        <f t="shared" si="3"/>
        <v>1</v>
      </c>
    </row>
    <row r="65" spans="1:11">
      <c r="A65" s="8" t="s">
        <v>291</v>
      </c>
      <c r="B65" s="6">
        <v>44801</v>
      </c>
      <c r="C65" s="7">
        <v>0.75</v>
      </c>
      <c r="D65" s="5">
        <v>9.49</v>
      </c>
      <c r="E65" s="5">
        <v>816.4</v>
      </c>
      <c r="F65" s="5">
        <v>835.7</v>
      </c>
      <c r="G65" s="6">
        <v>44801</v>
      </c>
      <c r="H65" s="5"/>
      <c r="I65" s="5"/>
      <c r="J65" s="5">
        <f t="shared" si="5"/>
        <v>19.300000000000068</v>
      </c>
      <c r="K65" s="8" t="b">
        <f t="shared" si="3"/>
        <v>1</v>
      </c>
    </row>
    <row r="66" spans="1:11">
      <c r="A66" s="8" t="s">
        <v>291</v>
      </c>
      <c r="B66" s="6">
        <v>44803</v>
      </c>
      <c r="C66" s="7">
        <v>0.8</v>
      </c>
      <c r="D66" s="5">
        <v>8.9</v>
      </c>
      <c r="E66" s="5">
        <v>835.7</v>
      </c>
      <c r="F66" s="5">
        <v>853.5</v>
      </c>
      <c r="G66" s="6">
        <v>44803</v>
      </c>
      <c r="H66" s="5"/>
      <c r="I66" s="5"/>
      <c r="J66" s="5">
        <f t="shared" si="5"/>
        <v>17.799999999999955</v>
      </c>
      <c r="K66" s="8" t="b">
        <f t="shared" si="3"/>
        <v>1</v>
      </c>
    </row>
    <row r="67" spans="1:11">
      <c r="A67" s="8" t="s">
        <v>291</v>
      </c>
      <c r="B67" s="6">
        <v>44805</v>
      </c>
      <c r="C67" s="7">
        <v>0.7</v>
      </c>
      <c r="D67" s="5">
        <v>10.27</v>
      </c>
      <c r="E67" s="5">
        <v>853.5</v>
      </c>
      <c r="F67" s="5">
        <v>873.8</v>
      </c>
      <c r="G67" s="6">
        <v>44805</v>
      </c>
      <c r="H67" s="5"/>
      <c r="I67" s="5"/>
      <c r="J67" s="5">
        <f t="shared" si="5"/>
        <v>20.299999999999955</v>
      </c>
      <c r="K67" s="8" t="b">
        <f t="shared" si="3"/>
        <v>1</v>
      </c>
    </row>
    <row r="68" spans="1:11">
      <c r="A68" s="8" t="s">
        <v>291</v>
      </c>
      <c r="B68" s="6">
        <v>44807</v>
      </c>
      <c r="C68" s="7">
        <v>0.75</v>
      </c>
      <c r="D68" s="5">
        <v>9.49</v>
      </c>
      <c r="E68" s="5">
        <v>873.8</v>
      </c>
      <c r="F68" s="5">
        <v>893</v>
      </c>
      <c r="G68" s="6">
        <v>44807</v>
      </c>
      <c r="H68" s="5"/>
      <c r="I68" s="5"/>
      <c r="J68" s="5">
        <f t="shared" si="5"/>
        <v>19.200000000000045</v>
      </c>
      <c r="K68" s="8" t="b">
        <f t="shared" si="3"/>
        <v>1</v>
      </c>
    </row>
    <row r="69" spans="1:11">
      <c r="A69" s="8" t="s">
        <v>294</v>
      </c>
      <c r="B69" s="6">
        <v>44812</v>
      </c>
      <c r="C69" s="7">
        <v>0.6</v>
      </c>
      <c r="D69" s="5">
        <v>11.87</v>
      </c>
      <c r="E69" s="5">
        <v>893</v>
      </c>
      <c r="F69" s="5">
        <v>904.9</v>
      </c>
      <c r="G69" s="6">
        <v>44812</v>
      </c>
      <c r="H69" s="5"/>
      <c r="I69" s="5"/>
      <c r="J69" s="5">
        <f t="shared" si="5"/>
        <v>11.899999999999977</v>
      </c>
      <c r="K69" s="8" t="b">
        <f t="shared" si="3"/>
        <v>1</v>
      </c>
    </row>
    <row r="70" spans="1:11">
      <c r="A70" s="8" t="s">
        <v>291</v>
      </c>
      <c r="B70" s="6">
        <v>44815</v>
      </c>
      <c r="C70" s="7">
        <v>0.8</v>
      </c>
      <c r="D70" s="5">
        <v>8.9</v>
      </c>
      <c r="E70" s="5">
        <v>904.9</v>
      </c>
      <c r="F70" s="5">
        <v>924.1</v>
      </c>
      <c r="G70" s="6">
        <v>44815</v>
      </c>
      <c r="H70" s="5"/>
      <c r="I70" s="5"/>
      <c r="J70" s="5">
        <f t="shared" ref="J70:J75" si="6">F70-E70</f>
        <v>19.200000000000045</v>
      </c>
      <c r="K70" s="8" t="b">
        <f t="shared" si="3"/>
        <v>1</v>
      </c>
    </row>
    <row r="71" spans="1:11">
      <c r="A71" s="8" t="s">
        <v>291</v>
      </c>
      <c r="B71" s="6">
        <v>44817</v>
      </c>
      <c r="C71" s="7">
        <v>0.8</v>
      </c>
      <c r="D71" s="5">
        <v>8.9</v>
      </c>
      <c r="E71" s="5">
        <v>924.1</v>
      </c>
      <c r="F71" s="5">
        <v>945.6</v>
      </c>
      <c r="G71" s="6">
        <v>44817</v>
      </c>
      <c r="H71" s="5"/>
      <c r="I71" s="5"/>
      <c r="J71" s="5">
        <f t="shared" si="6"/>
        <v>21.5</v>
      </c>
      <c r="K71" s="8" t="b">
        <f t="shared" si="3"/>
        <v>1</v>
      </c>
    </row>
    <row r="72" spans="1:11">
      <c r="A72" s="8" t="s">
        <v>291</v>
      </c>
      <c r="B72" s="6">
        <v>44818</v>
      </c>
      <c r="C72" s="7">
        <v>0.7</v>
      </c>
      <c r="D72" s="5">
        <v>10.27</v>
      </c>
      <c r="E72" s="5">
        <v>945.6</v>
      </c>
      <c r="F72" s="5">
        <v>968.8</v>
      </c>
      <c r="G72" s="6">
        <v>44818</v>
      </c>
      <c r="H72" s="5"/>
      <c r="I72" s="5"/>
      <c r="J72" s="5">
        <f t="shared" si="6"/>
        <v>23.199999999999932</v>
      </c>
      <c r="K72" s="8" t="b">
        <f t="shared" si="3"/>
        <v>1</v>
      </c>
    </row>
    <row r="73" spans="1:11">
      <c r="A73" s="8" t="s">
        <v>291</v>
      </c>
      <c r="B73" s="6">
        <v>44820</v>
      </c>
      <c r="C73" s="7">
        <v>0.8</v>
      </c>
      <c r="D73" s="5">
        <v>8.9</v>
      </c>
      <c r="E73" s="5">
        <v>968.8</v>
      </c>
      <c r="F73" s="5">
        <v>986.7</v>
      </c>
      <c r="G73" s="6">
        <v>44820</v>
      </c>
      <c r="H73" s="5"/>
      <c r="I73" s="5"/>
      <c r="J73" s="5">
        <f t="shared" si="6"/>
        <v>17.900000000000091</v>
      </c>
      <c r="K73" s="8" t="b">
        <f t="shared" si="3"/>
        <v>1</v>
      </c>
    </row>
    <row r="74" spans="1:11">
      <c r="A74" s="8" t="s">
        <v>293</v>
      </c>
      <c r="B74" s="6">
        <v>44822</v>
      </c>
      <c r="C74" s="7">
        <v>0.7</v>
      </c>
      <c r="D74" s="5">
        <v>10.27</v>
      </c>
      <c r="E74" s="5">
        <v>986.7</v>
      </c>
      <c r="F74" s="5">
        <v>999.1</v>
      </c>
      <c r="G74" s="6">
        <v>44822</v>
      </c>
      <c r="H74" s="5"/>
      <c r="I74" s="5"/>
      <c r="J74" s="5">
        <f t="shared" si="6"/>
        <v>12.399999999999977</v>
      </c>
      <c r="K74" s="8" t="b">
        <f t="shared" si="3"/>
        <v>1</v>
      </c>
    </row>
    <row r="75" spans="1:11">
      <c r="A75" s="8" t="s">
        <v>292</v>
      </c>
      <c r="B75" s="6">
        <v>44824</v>
      </c>
      <c r="C75" s="7">
        <v>0.7</v>
      </c>
      <c r="D75" s="5">
        <v>10.27</v>
      </c>
      <c r="E75" s="5">
        <v>999.1</v>
      </c>
      <c r="F75" s="5">
        <v>1011.5</v>
      </c>
      <c r="G75" s="6">
        <v>44824</v>
      </c>
      <c r="H75" s="5"/>
      <c r="I75" s="5"/>
      <c r="J75" s="5">
        <f t="shared" si="6"/>
        <v>12.399999999999977</v>
      </c>
      <c r="K75" s="8" t="b">
        <f t="shared" si="3"/>
        <v>1</v>
      </c>
    </row>
    <row r="76" spans="1:11">
      <c r="A76" s="8" t="s">
        <v>293</v>
      </c>
      <c r="B76" s="6">
        <v>44825</v>
      </c>
      <c r="C76" s="7">
        <v>0.7</v>
      </c>
      <c r="D76" s="5">
        <v>10.27</v>
      </c>
      <c r="E76" s="5">
        <v>1011.5</v>
      </c>
      <c r="F76" s="5">
        <v>1019.7</v>
      </c>
      <c r="G76" s="6">
        <v>44825</v>
      </c>
      <c r="H76" s="5"/>
      <c r="I76" s="5"/>
      <c r="J76" s="5">
        <f>F76-E76</f>
        <v>8.2000000000000455</v>
      </c>
      <c r="K76" s="8" t="b">
        <f t="shared" si="3"/>
        <v>1</v>
      </c>
    </row>
    <row r="77" spans="1:11">
      <c r="A77" s="8" t="s">
        <v>292</v>
      </c>
      <c r="B77" s="6">
        <v>44828</v>
      </c>
      <c r="C77" s="7">
        <v>0.7</v>
      </c>
      <c r="D77" s="5">
        <v>10.27</v>
      </c>
      <c r="E77" s="5">
        <v>1019.7</v>
      </c>
      <c r="F77" s="5">
        <v>1029.9000000000001</v>
      </c>
      <c r="G77" s="6">
        <v>44828</v>
      </c>
      <c r="H77" s="5"/>
      <c r="I77" s="5"/>
      <c r="J77" s="5">
        <f>F77-E77</f>
        <v>10.200000000000045</v>
      </c>
      <c r="K77" s="8" t="b">
        <f t="shared" si="3"/>
        <v>1</v>
      </c>
    </row>
    <row r="78" spans="1:11">
      <c r="A78" s="8" t="s">
        <v>291</v>
      </c>
      <c r="B78" s="6">
        <v>44830</v>
      </c>
      <c r="C78" s="7">
        <v>0.8</v>
      </c>
      <c r="D78" s="5">
        <v>8.9</v>
      </c>
      <c r="E78" s="5">
        <v>1029.9000000000001</v>
      </c>
      <c r="F78" s="5">
        <v>1047.7</v>
      </c>
      <c r="G78" s="6">
        <v>44830</v>
      </c>
      <c r="H78" s="5"/>
      <c r="I78" s="5"/>
      <c r="J78" s="5">
        <f>F78-E78</f>
        <v>17.799999999999955</v>
      </c>
      <c r="K78" s="8" t="b">
        <f t="shared" si="3"/>
        <v>1</v>
      </c>
    </row>
    <row r="79" spans="1:11">
      <c r="A79" s="8" t="s">
        <v>293</v>
      </c>
      <c r="B79" s="6">
        <v>44832</v>
      </c>
      <c r="C79" s="7">
        <v>0.7</v>
      </c>
      <c r="D79" s="5">
        <v>10.27</v>
      </c>
      <c r="E79" s="5">
        <v>1047.7</v>
      </c>
      <c r="F79" s="5">
        <v>1057.9000000000001</v>
      </c>
      <c r="G79" s="6">
        <v>44832</v>
      </c>
      <c r="H79" s="5"/>
      <c r="I79" s="5"/>
      <c r="J79" s="5">
        <f>F79-E79</f>
        <v>10.200000000000045</v>
      </c>
      <c r="K79" s="8" t="b">
        <f t="shared" si="3"/>
        <v>1</v>
      </c>
    </row>
    <row r="80" spans="1:11">
      <c r="A80" s="8" t="s">
        <v>292</v>
      </c>
      <c r="B80" s="6">
        <v>44834</v>
      </c>
      <c r="C80" s="7">
        <v>0.8</v>
      </c>
      <c r="D80" s="5">
        <v>8.9</v>
      </c>
      <c r="E80" s="5">
        <v>1057.9000000000001</v>
      </c>
      <c r="F80" s="5">
        <v>1068.2</v>
      </c>
      <c r="G80" s="6">
        <v>44834</v>
      </c>
      <c r="H80" s="5"/>
      <c r="I80" s="5"/>
      <c r="J80" s="5">
        <f t="shared" ref="J80:J86" si="7">F80-E80</f>
        <v>10.299999999999955</v>
      </c>
      <c r="K80" s="8" t="b">
        <f t="shared" si="3"/>
        <v>1</v>
      </c>
    </row>
    <row r="81" spans="1:11">
      <c r="A81" s="8" t="s">
        <v>293</v>
      </c>
      <c r="B81" s="6">
        <v>44835</v>
      </c>
      <c r="C81" s="7">
        <v>0.7</v>
      </c>
      <c r="D81" s="5">
        <v>10.27</v>
      </c>
      <c r="E81" s="5">
        <v>1068.2</v>
      </c>
      <c r="F81" s="5">
        <v>1078.4000000000001</v>
      </c>
      <c r="G81" s="6">
        <v>44835</v>
      </c>
      <c r="H81" s="5"/>
      <c r="I81" s="5"/>
      <c r="J81" s="5">
        <f t="shared" si="7"/>
        <v>10.200000000000045</v>
      </c>
      <c r="K81" s="8" t="b">
        <f t="shared" si="3"/>
        <v>1</v>
      </c>
    </row>
    <row r="82" spans="1:11">
      <c r="A82" s="8" t="s">
        <v>292</v>
      </c>
      <c r="B82" s="6">
        <v>44836</v>
      </c>
      <c r="C82" s="7">
        <v>0.7</v>
      </c>
      <c r="D82" s="5">
        <v>10.27</v>
      </c>
      <c r="E82" s="5">
        <v>1078.4000000000001</v>
      </c>
      <c r="F82" s="5">
        <v>1088.7</v>
      </c>
      <c r="G82" s="6">
        <v>44854</v>
      </c>
      <c r="H82" s="5"/>
      <c r="I82" s="5"/>
      <c r="J82" s="5">
        <f t="shared" si="7"/>
        <v>10.299999999999955</v>
      </c>
      <c r="K82" s="8" t="b">
        <f t="shared" si="3"/>
        <v>1</v>
      </c>
    </row>
    <row r="83" spans="1:11">
      <c r="A83" s="8" t="s">
        <v>292</v>
      </c>
      <c r="B83" s="6">
        <v>44838</v>
      </c>
      <c r="C83" s="7">
        <v>0.7</v>
      </c>
      <c r="D83" s="5">
        <v>10.27</v>
      </c>
      <c r="E83" s="5">
        <v>1088.7</v>
      </c>
      <c r="F83" s="5">
        <v>1097.4000000000001</v>
      </c>
      <c r="G83" s="6">
        <v>44838</v>
      </c>
      <c r="H83" s="5"/>
      <c r="I83" s="5"/>
      <c r="J83" s="5">
        <f t="shared" si="7"/>
        <v>8.7000000000000455</v>
      </c>
      <c r="K83" s="8" t="b">
        <f t="shared" si="3"/>
        <v>1</v>
      </c>
    </row>
    <row r="84" spans="1:11">
      <c r="A84" s="8" t="s">
        <v>297</v>
      </c>
      <c r="B84" s="6">
        <v>44840</v>
      </c>
      <c r="C84" s="7">
        <v>0.7</v>
      </c>
      <c r="D84" s="5">
        <v>10.27</v>
      </c>
      <c r="E84" s="5">
        <v>1097.4000000000001</v>
      </c>
      <c r="F84" s="5">
        <v>1117.9000000000001</v>
      </c>
      <c r="G84" s="6">
        <v>44840</v>
      </c>
      <c r="H84" s="5"/>
      <c r="I84" s="5"/>
      <c r="J84" s="5">
        <f t="shared" si="7"/>
        <v>20.5</v>
      </c>
      <c r="K84" s="8" t="b">
        <f t="shared" si="3"/>
        <v>1</v>
      </c>
    </row>
    <row r="85" spans="1:11">
      <c r="A85" s="8" t="s">
        <v>293</v>
      </c>
      <c r="B85" s="6">
        <v>44843</v>
      </c>
      <c r="C85" s="7">
        <v>0.7</v>
      </c>
      <c r="D85" s="5">
        <v>10.27</v>
      </c>
      <c r="E85" s="5">
        <v>1117.9000000000001</v>
      </c>
      <c r="F85" s="5">
        <v>1128</v>
      </c>
      <c r="G85" s="6">
        <v>44843</v>
      </c>
      <c r="H85" s="5"/>
      <c r="I85" s="5"/>
      <c r="J85" s="5">
        <f t="shared" si="7"/>
        <v>10.099999999999909</v>
      </c>
      <c r="K85" s="8" t="b">
        <f t="shared" si="3"/>
        <v>1</v>
      </c>
    </row>
    <row r="86" spans="1:11">
      <c r="A86" s="8" t="s">
        <v>298</v>
      </c>
      <c r="B86" s="6">
        <v>44844</v>
      </c>
      <c r="C86" s="7">
        <v>0.7</v>
      </c>
      <c r="D86" s="5">
        <v>10.27</v>
      </c>
      <c r="E86" s="5">
        <v>1128</v>
      </c>
      <c r="F86" s="5">
        <v>1133</v>
      </c>
      <c r="G86" s="6">
        <v>44844</v>
      </c>
      <c r="H86" s="5"/>
      <c r="I86" s="5"/>
      <c r="J86" s="5">
        <f t="shared" si="7"/>
        <v>5</v>
      </c>
      <c r="K86" s="8" t="b">
        <f t="shared" si="3"/>
        <v>1</v>
      </c>
    </row>
    <row r="87" spans="1:11">
      <c r="A87" s="8" t="s">
        <v>299</v>
      </c>
      <c r="B87" s="6">
        <v>44845</v>
      </c>
      <c r="C87" s="7">
        <v>0.8</v>
      </c>
      <c r="D87" s="5">
        <v>8.9</v>
      </c>
      <c r="E87" s="5">
        <v>1133</v>
      </c>
      <c r="F87" s="5">
        <v>1136.3</v>
      </c>
      <c r="G87" s="6">
        <v>44845</v>
      </c>
      <c r="H87" s="5"/>
      <c r="I87" s="5"/>
      <c r="J87" s="5">
        <f t="shared" ref="J87:J89" si="8">F87-E87</f>
        <v>3.2999999999999545</v>
      </c>
      <c r="K87" s="8" t="b">
        <f>E87=F86</f>
        <v>1</v>
      </c>
    </row>
    <row r="88" spans="1:11">
      <c r="A88" s="8" t="s">
        <v>291</v>
      </c>
      <c r="B88" s="6">
        <v>44861</v>
      </c>
      <c r="C88" s="7">
        <v>0.7</v>
      </c>
      <c r="D88" s="5">
        <v>10.37</v>
      </c>
      <c r="E88" s="5">
        <v>1136.3</v>
      </c>
      <c r="F88" s="5">
        <v>1155.9000000000001</v>
      </c>
      <c r="G88" s="6">
        <v>44861</v>
      </c>
      <c r="H88" s="5"/>
      <c r="I88" s="5"/>
      <c r="J88" s="5">
        <f t="shared" si="8"/>
        <v>19.600000000000136</v>
      </c>
      <c r="K88" s="8" t="b">
        <f t="shared" si="3"/>
        <v>1</v>
      </c>
    </row>
    <row r="89" spans="1:11">
      <c r="A89" s="8" t="s">
        <v>291</v>
      </c>
      <c r="B89" s="6"/>
      <c r="C89" s="7"/>
      <c r="D89" s="5"/>
      <c r="E89" s="5"/>
      <c r="F89" s="5"/>
      <c r="G89" s="6"/>
      <c r="H89" s="5"/>
      <c r="I89" s="5"/>
      <c r="J89" s="5">
        <f t="shared" si="8"/>
        <v>0</v>
      </c>
      <c r="K89" s="8" t="b">
        <f t="shared" si="3"/>
        <v>0</v>
      </c>
    </row>
    <row r="91" spans="1:11" ht="26.25">
      <c r="A91" s="190" t="s">
        <v>290</v>
      </c>
      <c r="B91" s="191"/>
      <c r="C91" s="191"/>
      <c r="D91" s="191"/>
      <c r="E91" s="191"/>
      <c r="F91" s="191"/>
      <c r="G91" s="191"/>
      <c r="H91" s="191"/>
      <c r="I91" s="191"/>
      <c r="J91" s="191"/>
      <c r="K91" s="192"/>
    </row>
    <row r="92" spans="1:11" ht="26.25">
      <c r="A92" s="181" t="s">
        <v>17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9"/>
    </row>
    <row r="93" spans="1:11" ht="15.75" thickBot="1"/>
    <row r="94" spans="1:11" ht="15.75" thickBot="1">
      <c r="A94" s="132" t="s">
        <v>2</v>
      </c>
      <c r="B94" s="133"/>
      <c r="C94" s="133"/>
      <c r="D94" s="133"/>
      <c r="E94" s="133"/>
      <c r="F94" s="133"/>
      <c r="G94" s="133"/>
      <c r="H94" s="133"/>
      <c r="I94" s="133"/>
      <c r="J94" s="133"/>
      <c r="K94" s="134"/>
    </row>
    <row r="96" spans="1:11" ht="19.5" thickBot="1">
      <c r="A96" s="54" t="s">
        <v>3</v>
      </c>
      <c r="B96" s="1"/>
      <c r="C96" s="1"/>
      <c r="D96" s="1"/>
      <c r="E96" s="1"/>
      <c r="F96" s="1"/>
      <c r="G96" s="1"/>
      <c r="H96" s="1"/>
      <c r="I96" s="1"/>
    </row>
    <row r="97" spans="1:11" ht="135.75" thickBot="1">
      <c r="A97" s="2" t="s">
        <v>4</v>
      </c>
      <c r="B97" s="3" t="s">
        <v>5</v>
      </c>
      <c r="C97" s="3" t="s">
        <v>6</v>
      </c>
      <c r="D97" s="3" t="s">
        <v>7</v>
      </c>
      <c r="E97" s="3" t="s">
        <v>8</v>
      </c>
      <c r="F97" s="3" t="s">
        <v>9</v>
      </c>
      <c r="G97" s="3" t="s">
        <v>10</v>
      </c>
      <c r="H97" s="3" t="s">
        <v>21</v>
      </c>
      <c r="I97" s="4" t="s">
        <v>22</v>
      </c>
      <c r="J97" s="4" t="s">
        <v>11</v>
      </c>
      <c r="K97" s="4" t="s">
        <v>12</v>
      </c>
    </row>
    <row r="98" spans="1:11">
      <c r="A98" s="5">
        <v>124</v>
      </c>
      <c r="B98" s="6">
        <v>44943</v>
      </c>
      <c r="C98" s="7">
        <v>0.8</v>
      </c>
      <c r="D98" s="5">
        <v>8.9</v>
      </c>
      <c r="E98" s="5">
        <v>0</v>
      </c>
      <c r="F98" s="5">
        <v>18.100000000000001</v>
      </c>
      <c r="G98" s="6">
        <v>44943</v>
      </c>
      <c r="H98" s="5"/>
      <c r="I98" s="5"/>
      <c r="J98" s="5">
        <f>F98-E98</f>
        <v>18.100000000000001</v>
      </c>
      <c r="K98" s="8" t="b">
        <f>E98=F88</f>
        <v>0</v>
      </c>
    </row>
    <row r="99" spans="1:11">
      <c r="A99" s="5">
        <v>124</v>
      </c>
      <c r="B99" s="6">
        <v>44944</v>
      </c>
      <c r="C99" s="7">
        <v>1</v>
      </c>
      <c r="D99" s="5">
        <v>7.12</v>
      </c>
      <c r="E99" s="5">
        <v>18.100000000000001</v>
      </c>
      <c r="F99" s="5">
        <v>33</v>
      </c>
      <c r="G99" s="6">
        <v>44944</v>
      </c>
      <c r="H99" s="5"/>
      <c r="I99" s="5"/>
      <c r="J99" s="5">
        <f>F99-E99</f>
        <v>14.899999999999999</v>
      </c>
      <c r="K99" s="8" t="b">
        <f>E99=F98</f>
        <v>1</v>
      </c>
    </row>
    <row r="100" spans="1:11">
      <c r="A100" s="5">
        <v>124</v>
      </c>
      <c r="B100" s="6">
        <v>44945</v>
      </c>
      <c r="C100" s="7">
        <v>1</v>
      </c>
      <c r="D100" s="5">
        <v>7.12</v>
      </c>
      <c r="E100" s="5">
        <v>33</v>
      </c>
      <c r="F100" s="5">
        <v>47.2</v>
      </c>
      <c r="G100" s="6">
        <v>44945</v>
      </c>
      <c r="H100" s="5"/>
      <c r="I100" s="5"/>
      <c r="J100" s="5">
        <f>F100-E100</f>
        <v>14.200000000000003</v>
      </c>
      <c r="K100" s="8" t="b">
        <f t="shared" ref="K100:K110" si="9">E100=F99</f>
        <v>1</v>
      </c>
    </row>
    <row r="101" spans="1:11">
      <c r="A101" s="5">
        <v>124</v>
      </c>
      <c r="B101" s="6">
        <v>44946</v>
      </c>
      <c r="C101" s="7">
        <v>1</v>
      </c>
      <c r="D101" s="5">
        <v>7.12</v>
      </c>
      <c r="E101" s="5">
        <v>47.2</v>
      </c>
      <c r="F101" s="5">
        <v>62.2</v>
      </c>
      <c r="G101" s="6">
        <v>44946</v>
      </c>
      <c r="H101" s="5"/>
      <c r="I101" s="5"/>
      <c r="J101" s="5">
        <f t="shared" ref="J101:J108" si="10">F101-E101</f>
        <v>15</v>
      </c>
      <c r="K101" s="8" t="b">
        <f t="shared" si="9"/>
        <v>1</v>
      </c>
    </row>
    <row r="102" spans="1:11">
      <c r="A102" s="5">
        <v>124</v>
      </c>
      <c r="B102" s="6">
        <v>44947</v>
      </c>
      <c r="C102" s="7">
        <v>1</v>
      </c>
      <c r="D102" s="5">
        <v>7.12</v>
      </c>
      <c r="E102" s="5">
        <v>62.2</v>
      </c>
      <c r="F102" s="5">
        <v>73.099999999999994</v>
      </c>
      <c r="G102" s="6">
        <v>44947</v>
      </c>
      <c r="H102" s="5"/>
      <c r="I102" s="5"/>
      <c r="J102" s="5">
        <f t="shared" si="10"/>
        <v>10.899999999999991</v>
      </c>
      <c r="K102" s="8" t="b">
        <f t="shared" si="9"/>
        <v>1</v>
      </c>
    </row>
    <row r="103" spans="1:11">
      <c r="A103" s="5">
        <v>124</v>
      </c>
      <c r="B103" s="6">
        <v>44965</v>
      </c>
      <c r="C103" s="7">
        <v>0.7</v>
      </c>
      <c r="D103" s="5">
        <v>10.37</v>
      </c>
      <c r="E103" s="5">
        <v>73.099999999999994</v>
      </c>
      <c r="F103" s="5">
        <v>95.1</v>
      </c>
      <c r="G103" s="6">
        <v>44965</v>
      </c>
      <c r="H103" s="5"/>
      <c r="I103" s="5"/>
      <c r="J103" s="5">
        <f t="shared" si="10"/>
        <v>22</v>
      </c>
      <c r="K103" s="8" t="b">
        <f t="shared" si="9"/>
        <v>1</v>
      </c>
    </row>
    <row r="104" spans="1:11">
      <c r="A104" s="5">
        <v>124</v>
      </c>
      <c r="B104" s="6">
        <v>44967</v>
      </c>
      <c r="C104" s="7">
        <v>0.7</v>
      </c>
      <c r="D104" s="5">
        <v>10.37</v>
      </c>
      <c r="E104" s="5">
        <v>95.1</v>
      </c>
      <c r="F104" s="5">
        <v>115.6</v>
      </c>
      <c r="G104" s="6">
        <v>44967</v>
      </c>
      <c r="H104" s="5"/>
      <c r="I104" s="5"/>
      <c r="J104" s="5">
        <f t="shared" si="10"/>
        <v>20.5</v>
      </c>
      <c r="K104" s="8" t="b">
        <f t="shared" si="9"/>
        <v>1</v>
      </c>
    </row>
    <row r="105" spans="1:11">
      <c r="A105" s="5">
        <v>124</v>
      </c>
      <c r="B105" s="6">
        <v>44969</v>
      </c>
      <c r="C105" s="7">
        <v>0.7</v>
      </c>
      <c r="D105" s="5">
        <v>10.37</v>
      </c>
      <c r="E105" s="5">
        <v>115.6</v>
      </c>
      <c r="F105" s="5">
        <v>136</v>
      </c>
      <c r="G105" s="6">
        <v>44969</v>
      </c>
      <c r="H105" s="5"/>
      <c r="I105" s="5"/>
      <c r="J105" s="5">
        <f t="shared" si="10"/>
        <v>20.400000000000006</v>
      </c>
      <c r="K105" s="8" t="b">
        <f t="shared" si="9"/>
        <v>1</v>
      </c>
    </row>
    <row r="106" spans="1:11">
      <c r="A106" s="5">
        <v>124</v>
      </c>
      <c r="B106" s="6">
        <v>44971</v>
      </c>
      <c r="C106" s="7">
        <v>0.7</v>
      </c>
      <c r="D106" s="5">
        <v>10.37</v>
      </c>
      <c r="E106" s="5">
        <v>136</v>
      </c>
      <c r="F106" s="5">
        <v>156.9</v>
      </c>
      <c r="G106" s="6">
        <v>44971</v>
      </c>
      <c r="H106" s="5"/>
      <c r="I106" s="5"/>
      <c r="J106" s="5">
        <f t="shared" si="10"/>
        <v>20.900000000000006</v>
      </c>
      <c r="K106" s="8" t="b">
        <f t="shared" si="9"/>
        <v>1</v>
      </c>
    </row>
    <row r="107" spans="1:11">
      <c r="A107" s="5">
        <v>124</v>
      </c>
      <c r="B107" s="6">
        <v>44975</v>
      </c>
      <c r="C107" s="7">
        <v>0.7</v>
      </c>
      <c r="D107" s="5">
        <v>10.37</v>
      </c>
      <c r="E107" s="5">
        <v>156.9</v>
      </c>
      <c r="F107" s="5">
        <v>176.5</v>
      </c>
      <c r="G107" s="6">
        <v>44976</v>
      </c>
      <c r="H107" s="5"/>
      <c r="I107" s="5"/>
      <c r="J107" s="5">
        <f t="shared" si="10"/>
        <v>19.599999999999994</v>
      </c>
      <c r="K107" s="8" t="b">
        <f t="shared" si="9"/>
        <v>1</v>
      </c>
    </row>
    <row r="108" spans="1:11">
      <c r="A108" s="5">
        <v>124</v>
      </c>
      <c r="B108" s="6">
        <v>45000</v>
      </c>
      <c r="C108" s="7">
        <v>0.6</v>
      </c>
      <c r="D108" s="5">
        <v>11.87</v>
      </c>
      <c r="E108" s="5">
        <v>176.5</v>
      </c>
      <c r="F108" s="5">
        <v>200.9</v>
      </c>
      <c r="G108" s="6">
        <v>45000</v>
      </c>
      <c r="H108" s="5"/>
      <c r="I108" s="5"/>
      <c r="J108" s="5">
        <f t="shared" si="10"/>
        <v>24.400000000000006</v>
      </c>
      <c r="K108" s="8" t="b">
        <f t="shared" si="9"/>
        <v>1</v>
      </c>
    </row>
    <row r="109" spans="1:11">
      <c r="A109" s="5"/>
      <c r="B109" s="6"/>
      <c r="C109" s="7"/>
      <c r="D109" s="5"/>
      <c r="E109" s="5"/>
      <c r="F109" s="5"/>
      <c r="G109" s="6"/>
      <c r="H109" s="5"/>
      <c r="I109" s="5"/>
      <c r="J109" s="5"/>
      <c r="K109" s="8" t="b">
        <f t="shared" si="9"/>
        <v>0</v>
      </c>
    </row>
    <row r="110" spans="1:11">
      <c r="A110" s="5"/>
      <c r="B110" s="6"/>
      <c r="C110" s="7"/>
      <c r="D110" s="5"/>
      <c r="E110" s="5"/>
      <c r="F110" s="5"/>
      <c r="G110" s="6"/>
      <c r="H110" s="5"/>
      <c r="I110" s="5"/>
      <c r="J110" s="5"/>
      <c r="K110" s="8" t="b">
        <f t="shared" si="9"/>
        <v>1</v>
      </c>
    </row>
    <row r="111" spans="1:11">
      <c r="A111" s="5"/>
      <c r="B111" s="6"/>
      <c r="C111" s="7"/>
      <c r="D111" s="5"/>
      <c r="E111" s="5"/>
      <c r="F111" s="5"/>
      <c r="G111" s="6"/>
      <c r="H111" s="5"/>
      <c r="I111" s="5"/>
      <c r="J111" s="5"/>
      <c r="K111" s="8" t="b">
        <f t="shared" ref="K111:K113" si="11">E111=F110</f>
        <v>1</v>
      </c>
    </row>
    <row r="112" spans="1:11">
      <c r="A112" s="5"/>
      <c r="B112" s="6"/>
      <c r="C112" s="7"/>
      <c r="D112" s="5"/>
      <c r="E112" s="5"/>
      <c r="F112" s="5"/>
      <c r="G112" s="6"/>
      <c r="H112" s="5"/>
      <c r="I112" s="5"/>
      <c r="J112" s="5"/>
      <c r="K112" s="8" t="b">
        <f t="shared" si="11"/>
        <v>1</v>
      </c>
    </row>
    <row r="113" spans="1:11">
      <c r="A113" s="5">
        <v>124</v>
      </c>
      <c r="B113" s="6"/>
      <c r="C113" s="7"/>
      <c r="D113" s="5"/>
      <c r="E113" s="5"/>
      <c r="F113" s="5"/>
      <c r="G113" s="6"/>
      <c r="H113" s="5"/>
      <c r="I113" s="5"/>
      <c r="J113" s="5">
        <f t="shared" ref="J113" si="12">F113-E113</f>
        <v>0</v>
      </c>
      <c r="K113" s="8" t="b">
        <f t="shared" si="11"/>
        <v>1</v>
      </c>
    </row>
    <row r="114" spans="1:11" ht="26.25">
      <c r="A114" s="205" t="s">
        <v>290</v>
      </c>
      <c r="B114" s="206"/>
      <c r="C114" s="206"/>
      <c r="D114" s="206"/>
      <c r="E114" s="206"/>
      <c r="F114" s="206"/>
      <c r="G114" s="206"/>
      <c r="H114" s="206"/>
      <c r="I114" s="206"/>
      <c r="J114" s="206"/>
      <c r="K114" s="207"/>
    </row>
    <row r="115" spans="1:11" ht="26.25">
      <c r="A115" s="208" t="s">
        <v>300</v>
      </c>
      <c r="B115" s="209"/>
      <c r="C115" s="209"/>
      <c r="D115" s="209"/>
      <c r="E115" s="209"/>
      <c r="F115" s="209"/>
      <c r="G115" s="209"/>
      <c r="H115" s="209"/>
      <c r="I115" s="209"/>
      <c r="J115" s="209"/>
      <c r="K115" s="210"/>
    </row>
    <row r="116" spans="1:11" ht="15.75" thickBot="1"/>
    <row r="117" spans="1:11" ht="15.75" thickBot="1">
      <c r="A117" s="132" t="s">
        <v>2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4"/>
    </row>
    <row r="119" spans="1:11" ht="19.5" thickBot="1">
      <c r="A119" s="54" t="s">
        <v>3</v>
      </c>
      <c r="B119" s="1"/>
      <c r="C119" s="1"/>
      <c r="D119" s="1"/>
      <c r="E119" s="1"/>
      <c r="F119" s="1"/>
      <c r="G119" s="1"/>
      <c r="H119" s="1"/>
      <c r="I119" s="1"/>
    </row>
    <row r="120" spans="1:11" ht="135.75" thickBot="1">
      <c r="A120" s="2" t="s">
        <v>4</v>
      </c>
      <c r="B120" s="3" t="s">
        <v>5</v>
      </c>
      <c r="C120" s="3" t="s">
        <v>6</v>
      </c>
      <c r="D120" s="3" t="s">
        <v>7</v>
      </c>
      <c r="E120" s="3" t="s">
        <v>8</v>
      </c>
      <c r="F120" s="3" t="s">
        <v>9</v>
      </c>
      <c r="G120" s="3" t="s">
        <v>10</v>
      </c>
      <c r="H120" s="3" t="s">
        <v>21</v>
      </c>
      <c r="I120" s="4" t="s">
        <v>22</v>
      </c>
      <c r="J120" s="4" t="s">
        <v>11</v>
      </c>
      <c r="K120" s="4" t="s">
        <v>12</v>
      </c>
    </row>
    <row r="121" spans="1:11">
      <c r="A121" s="5" t="s">
        <v>301</v>
      </c>
      <c r="B121" s="6">
        <v>45064</v>
      </c>
      <c r="C121" s="7">
        <v>1</v>
      </c>
      <c r="D121" s="5">
        <v>7.12</v>
      </c>
      <c r="E121" s="5">
        <v>200.9</v>
      </c>
      <c r="F121" s="5">
        <v>216.1</v>
      </c>
      <c r="G121" s="6">
        <v>45064</v>
      </c>
      <c r="H121" s="5"/>
      <c r="I121" s="5"/>
      <c r="J121" s="5">
        <f>F121-E121</f>
        <v>15.199999999999989</v>
      </c>
      <c r="K121" s="8" t="b">
        <f>E121=F125</f>
        <v>0</v>
      </c>
    </row>
    <row r="122" spans="1:11">
      <c r="A122" s="5" t="s">
        <v>301</v>
      </c>
      <c r="B122" s="6">
        <v>45066</v>
      </c>
      <c r="C122" s="7">
        <v>1</v>
      </c>
      <c r="D122" s="5">
        <v>7.12</v>
      </c>
      <c r="E122" s="5">
        <v>216.1</v>
      </c>
      <c r="F122" s="5">
        <v>230.4</v>
      </c>
      <c r="G122" s="6">
        <v>45066</v>
      </c>
      <c r="H122" s="5"/>
      <c r="I122" s="5"/>
      <c r="J122" s="5">
        <f>F122-E122</f>
        <v>14.300000000000011</v>
      </c>
      <c r="K122" s="8" t="b">
        <f>E122=F121</f>
        <v>1</v>
      </c>
    </row>
    <row r="123" spans="1:11">
      <c r="A123" s="5" t="s">
        <v>301</v>
      </c>
      <c r="B123" s="6">
        <v>45069</v>
      </c>
      <c r="C123" s="7">
        <v>1</v>
      </c>
      <c r="D123" s="5">
        <v>7.12</v>
      </c>
      <c r="E123" s="5">
        <v>230.4</v>
      </c>
      <c r="F123" s="5">
        <v>244.8</v>
      </c>
      <c r="G123" s="6">
        <v>45069</v>
      </c>
      <c r="H123" s="5"/>
      <c r="I123" s="5"/>
      <c r="J123" s="5">
        <f>F123-E123</f>
        <v>14.400000000000006</v>
      </c>
      <c r="K123" s="8" t="b">
        <f t="shared" ref="K123:K140" si="13">E123=F122</f>
        <v>1</v>
      </c>
    </row>
    <row r="124" spans="1:11">
      <c r="A124" s="5" t="s">
        <v>301</v>
      </c>
      <c r="B124" s="6" t="s">
        <v>98</v>
      </c>
      <c r="C124" s="7">
        <v>0.4</v>
      </c>
      <c r="D124" s="5">
        <v>17.8</v>
      </c>
      <c r="E124" s="5">
        <v>0</v>
      </c>
      <c r="F124" s="5">
        <v>14.2</v>
      </c>
      <c r="G124" s="6" t="s">
        <v>98</v>
      </c>
      <c r="H124" s="5"/>
      <c r="I124" s="5"/>
      <c r="J124" s="5">
        <f t="shared" ref="J124:J125" si="14">F124-E124</f>
        <v>14.2</v>
      </c>
      <c r="K124" s="8" t="b">
        <f t="shared" si="13"/>
        <v>0</v>
      </c>
    </row>
    <row r="125" spans="1:11">
      <c r="A125" s="5" t="s">
        <v>301</v>
      </c>
      <c r="B125" s="6" t="s">
        <v>302</v>
      </c>
      <c r="C125" s="7">
        <v>0.4</v>
      </c>
      <c r="D125" s="5">
        <v>17.8</v>
      </c>
      <c r="E125" s="5">
        <v>14.2</v>
      </c>
      <c r="F125" s="5">
        <v>28.6</v>
      </c>
      <c r="G125" s="6" t="s">
        <v>302</v>
      </c>
      <c r="H125" s="75"/>
      <c r="I125" s="5"/>
      <c r="J125" s="5">
        <f t="shared" si="14"/>
        <v>14.400000000000002</v>
      </c>
      <c r="K125" s="8" t="b">
        <f t="shared" si="13"/>
        <v>1</v>
      </c>
    </row>
    <row r="126" spans="1:11">
      <c r="A126" s="5" t="s">
        <v>301</v>
      </c>
      <c r="B126" s="6">
        <v>45078</v>
      </c>
      <c r="C126" s="7">
        <v>1</v>
      </c>
      <c r="D126" s="5">
        <v>7.12</v>
      </c>
      <c r="E126" s="5">
        <v>28.6</v>
      </c>
      <c r="F126" s="5">
        <v>44.1</v>
      </c>
      <c r="G126" s="6">
        <v>45078</v>
      </c>
      <c r="H126" s="5"/>
      <c r="I126" s="5"/>
      <c r="J126" s="5">
        <f t="shared" ref="J126:J130" si="15">F126-E126</f>
        <v>15.5</v>
      </c>
      <c r="K126" s="8" t="b">
        <f t="shared" si="13"/>
        <v>1</v>
      </c>
    </row>
    <row r="127" spans="1:11">
      <c r="A127" s="5" t="s">
        <v>301</v>
      </c>
      <c r="B127" s="6">
        <v>45079</v>
      </c>
      <c r="C127" s="7">
        <v>1</v>
      </c>
      <c r="D127" s="5">
        <v>7.12</v>
      </c>
      <c r="E127" s="5">
        <v>44.1</v>
      </c>
      <c r="F127" s="5">
        <v>59.4</v>
      </c>
      <c r="G127" s="6">
        <v>45079</v>
      </c>
      <c r="H127" s="5"/>
      <c r="I127" s="5"/>
      <c r="J127" s="5">
        <f t="shared" si="15"/>
        <v>15.299999999999997</v>
      </c>
      <c r="K127" s="8" t="b">
        <f t="shared" si="13"/>
        <v>1</v>
      </c>
    </row>
    <row r="128" spans="1:11">
      <c r="A128" s="5" t="s">
        <v>301</v>
      </c>
      <c r="B128" s="6">
        <v>45080</v>
      </c>
      <c r="C128" s="7">
        <v>1</v>
      </c>
      <c r="D128" s="5">
        <v>7.12</v>
      </c>
      <c r="E128" s="5">
        <v>59.4</v>
      </c>
      <c r="F128" s="5">
        <v>78.2</v>
      </c>
      <c r="G128" s="6">
        <v>45080</v>
      </c>
      <c r="H128" s="5"/>
      <c r="I128" s="5"/>
      <c r="J128" s="5">
        <f t="shared" si="15"/>
        <v>18.800000000000004</v>
      </c>
      <c r="K128" s="8" t="b">
        <f t="shared" si="13"/>
        <v>1</v>
      </c>
    </row>
    <row r="129" spans="1:11">
      <c r="A129" s="5" t="s">
        <v>301</v>
      </c>
      <c r="B129" s="6">
        <v>45081</v>
      </c>
      <c r="C129" s="7">
        <v>1</v>
      </c>
      <c r="D129" s="5">
        <v>7.12</v>
      </c>
      <c r="E129" s="5">
        <v>78.2</v>
      </c>
      <c r="F129" s="5">
        <v>92.3</v>
      </c>
      <c r="G129" s="6">
        <v>45081</v>
      </c>
      <c r="H129" s="5"/>
      <c r="I129" s="5"/>
      <c r="J129" s="5">
        <f t="shared" si="15"/>
        <v>14.099999999999994</v>
      </c>
      <c r="K129" s="8" t="b">
        <f t="shared" si="13"/>
        <v>1</v>
      </c>
    </row>
    <row r="130" spans="1:11">
      <c r="A130" s="5" t="s">
        <v>301</v>
      </c>
      <c r="B130" s="6">
        <v>45082</v>
      </c>
      <c r="C130" s="7">
        <v>1</v>
      </c>
      <c r="D130" s="5">
        <v>7.12</v>
      </c>
      <c r="E130" s="5">
        <v>92.3</v>
      </c>
      <c r="F130" s="5">
        <v>108.7</v>
      </c>
      <c r="G130" s="6">
        <v>45082</v>
      </c>
      <c r="H130" s="5"/>
      <c r="I130" s="5"/>
      <c r="J130" s="5">
        <f t="shared" si="15"/>
        <v>16.400000000000006</v>
      </c>
      <c r="K130" s="8" t="b">
        <f t="shared" si="13"/>
        <v>1</v>
      </c>
    </row>
    <row r="131" spans="1:11">
      <c r="A131" s="5" t="s">
        <v>301</v>
      </c>
      <c r="B131" s="6">
        <v>45083</v>
      </c>
      <c r="C131" s="7">
        <v>1</v>
      </c>
      <c r="D131" s="5">
        <v>7.12</v>
      </c>
      <c r="E131" s="5">
        <v>108.7</v>
      </c>
      <c r="F131" s="5">
        <v>123.2</v>
      </c>
      <c r="G131" s="6">
        <v>45083</v>
      </c>
      <c r="H131" s="5"/>
      <c r="I131" s="5"/>
      <c r="J131" s="5">
        <f t="shared" ref="J131:J140" si="16">F131-E131</f>
        <v>14.5</v>
      </c>
      <c r="K131" s="8" t="b">
        <f t="shared" si="13"/>
        <v>1</v>
      </c>
    </row>
    <row r="132" spans="1:11">
      <c r="A132" s="5" t="s">
        <v>301</v>
      </c>
      <c r="B132" s="6">
        <v>45084</v>
      </c>
      <c r="C132" s="7">
        <v>1</v>
      </c>
      <c r="D132" s="5">
        <v>7.12</v>
      </c>
      <c r="E132" s="5">
        <v>123.2</v>
      </c>
      <c r="F132" s="5">
        <v>137.5</v>
      </c>
      <c r="G132" s="6">
        <v>45084</v>
      </c>
      <c r="H132" s="5"/>
      <c r="I132" s="5"/>
      <c r="J132" s="5">
        <f t="shared" si="16"/>
        <v>14.299999999999997</v>
      </c>
      <c r="K132" s="8" t="b">
        <f t="shared" si="13"/>
        <v>1</v>
      </c>
    </row>
    <row r="133" spans="1:11">
      <c r="A133" s="5" t="s">
        <v>301</v>
      </c>
      <c r="B133" s="6">
        <v>45085</v>
      </c>
      <c r="C133" s="7">
        <v>1</v>
      </c>
      <c r="D133" s="5">
        <v>7.12</v>
      </c>
      <c r="E133" s="5">
        <v>137.5</v>
      </c>
      <c r="F133" s="5">
        <v>152.9</v>
      </c>
      <c r="G133" s="6">
        <v>45085</v>
      </c>
      <c r="H133" s="5"/>
      <c r="I133" s="5"/>
      <c r="J133" s="5">
        <f t="shared" si="16"/>
        <v>15.400000000000006</v>
      </c>
      <c r="K133" s="8" t="b">
        <f t="shared" si="13"/>
        <v>1</v>
      </c>
    </row>
    <row r="134" spans="1:11">
      <c r="A134" s="5" t="s">
        <v>301</v>
      </c>
      <c r="B134" s="6">
        <v>45086</v>
      </c>
      <c r="C134" s="7">
        <v>1</v>
      </c>
      <c r="D134" s="5">
        <v>7.12</v>
      </c>
      <c r="E134" s="5">
        <v>152.9</v>
      </c>
      <c r="F134" s="5">
        <v>167.9</v>
      </c>
      <c r="G134" s="6">
        <v>45086</v>
      </c>
      <c r="H134" s="5"/>
      <c r="I134" s="5"/>
      <c r="J134" s="5">
        <f t="shared" si="16"/>
        <v>15</v>
      </c>
      <c r="K134" s="8" t="b">
        <f t="shared" si="13"/>
        <v>1</v>
      </c>
    </row>
    <row r="135" spans="1:11">
      <c r="A135" s="5" t="s">
        <v>301</v>
      </c>
      <c r="B135" s="6">
        <v>45087</v>
      </c>
      <c r="C135" s="7">
        <v>1</v>
      </c>
      <c r="D135" s="5">
        <v>7.12</v>
      </c>
      <c r="E135" s="5">
        <v>167.9</v>
      </c>
      <c r="F135" s="5">
        <v>181.6</v>
      </c>
      <c r="G135" s="6">
        <v>45087</v>
      </c>
      <c r="H135" s="5"/>
      <c r="I135" s="5"/>
      <c r="J135" s="5">
        <f t="shared" si="16"/>
        <v>13.699999999999989</v>
      </c>
      <c r="K135" s="8" t="b">
        <f t="shared" si="13"/>
        <v>1</v>
      </c>
    </row>
    <row r="136" spans="1:11">
      <c r="A136" s="5" t="s">
        <v>301</v>
      </c>
      <c r="B136" s="6">
        <v>45088</v>
      </c>
      <c r="C136" s="7">
        <v>1</v>
      </c>
      <c r="D136" s="5">
        <v>7.12</v>
      </c>
      <c r="E136" s="5">
        <v>181.6</v>
      </c>
      <c r="F136" s="5">
        <v>195.9</v>
      </c>
      <c r="G136" s="6">
        <v>45088</v>
      </c>
      <c r="H136" s="5"/>
      <c r="I136" s="5"/>
      <c r="J136" s="5">
        <f t="shared" si="16"/>
        <v>14.300000000000011</v>
      </c>
      <c r="K136" s="8" t="b">
        <f t="shared" si="13"/>
        <v>1</v>
      </c>
    </row>
    <row r="137" spans="1:11">
      <c r="A137" s="5" t="s">
        <v>301</v>
      </c>
      <c r="B137" s="6">
        <v>45089</v>
      </c>
      <c r="C137" s="7">
        <v>1</v>
      </c>
      <c r="D137" s="5">
        <v>7.12</v>
      </c>
      <c r="E137" s="5">
        <v>195.9</v>
      </c>
      <c r="F137" s="5">
        <v>210.3</v>
      </c>
      <c r="G137" s="6">
        <v>45089</v>
      </c>
      <c r="H137" s="5"/>
      <c r="I137" s="5"/>
      <c r="J137" s="5">
        <f t="shared" si="16"/>
        <v>14.400000000000006</v>
      </c>
      <c r="K137" s="8" t="b">
        <f t="shared" si="13"/>
        <v>1</v>
      </c>
    </row>
    <row r="138" spans="1:11">
      <c r="A138" s="5" t="s">
        <v>301</v>
      </c>
      <c r="B138" s="6">
        <v>45090</v>
      </c>
      <c r="C138" s="7">
        <v>1</v>
      </c>
      <c r="D138" s="5">
        <v>7.12</v>
      </c>
      <c r="E138" s="5">
        <v>210.3</v>
      </c>
      <c r="F138" s="5">
        <v>224.7</v>
      </c>
      <c r="G138" s="6">
        <v>45090</v>
      </c>
      <c r="H138" s="5"/>
      <c r="I138" s="5"/>
      <c r="J138" s="5">
        <f t="shared" si="16"/>
        <v>14.399999999999977</v>
      </c>
      <c r="K138" s="8" t="b">
        <f t="shared" si="13"/>
        <v>1</v>
      </c>
    </row>
    <row r="139" spans="1:11">
      <c r="A139" s="5" t="s">
        <v>301</v>
      </c>
      <c r="B139" s="6">
        <v>45092</v>
      </c>
      <c r="C139" s="7">
        <v>1</v>
      </c>
      <c r="D139" s="5">
        <v>7.12</v>
      </c>
      <c r="E139" s="5">
        <v>224.7</v>
      </c>
      <c r="F139" s="5">
        <v>238.9</v>
      </c>
      <c r="G139" s="6">
        <v>45092</v>
      </c>
      <c r="H139" s="5"/>
      <c r="I139" s="5"/>
      <c r="J139" s="5">
        <f t="shared" si="16"/>
        <v>14.200000000000017</v>
      </c>
      <c r="K139" s="8" t="b">
        <f t="shared" si="13"/>
        <v>1</v>
      </c>
    </row>
    <row r="140" spans="1:11">
      <c r="A140" s="5" t="s">
        <v>301</v>
      </c>
      <c r="B140" s="6">
        <v>45094</v>
      </c>
      <c r="C140" s="7">
        <v>1</v>
      </c>
      <c r="D140" s="5">
        <v>7.12</v>
      </c>
      <c r="E140" s="5">
        <v>238.9</v>
      </c>
      <c r="F140" s="5">
        <v>253.3</v>
      </c>
      <c r="G140" s="6">
        <v>45094</v>
      </c>
      <c r="H140" s="5"/>
      <c r="I140" s="5"/>
      <c r="J140" s="5">
        <f t="shared" si="16"/>
        <v>14.400000000000006</v>
      </c>
      <c r="K140" s="8" t="b">
        <f t="shared" si="13"/>
        <v>1</v>
      </c>
    </row>
    <row r="141" spans="1:11">
      <c r="A141" s="5" t="s">
        <v>301</v>
      </c>
      <c r="B141" s="6">
        <v>45096</v>
      </c>
      <c r="C141" s="7">
        <v>1</v>
      </c>
      <c r="D141" s="5">
        <v>7.12</v>
      </c>
      <c r="E141" s="5">
        <v>253.3</v>
      </c>
      <c r="F141" s="5">
        <v>268.10000000000002</v>
      </c>
      <c r="G141" s="6">
        <v>45096</v>
      </c>
      <c r="H141" s="5"/>
      <c r="I141" s="5"/>
      <c r="J141" s="5">
        <f t="shared" ref="J141:J156" si="17">F141-E141</f>
        <v>14.800000000000011</v>
      </c>
      <c r="K141" s="8" t="b">
        <f t="shared" ref="K141:K156" si="18">E141=F140</f>
        <v>1</v>
      </c>
    </row>
    <row r="142" spans="1:11">
      <c r="A142" s="5" t="s">
        <v>301</v>
      </c>
      <c r="B142" s="6">
        <v>45098</v>
      </c>
      <c r="C142" s="7">
        <v>1</v>
      </c>
      <c r="D142" s="5">
        <v>7.12</v>
      </c>
      <c r="E142" s="5">
        <v>268.10000000000002</v>
      </c>
      <c r="F142" s="5">
        <v>288.5</v>
      </c>
      <c r="G142" s="6">
        <v>45098</v>
      </c>
      <c r="H142" s="5"/>
      <c r="I142" s="5"/>
      <c r="J142" s="5">
        <f t="shared" si="17"/>
        <v>20.399999999999977</v>
      </c>
      <c r="K142" s="8" t="b">
        <f t="shared" si="18"/>
        <v>1</v>
      </c>
    </row>
    <row r="143" spans="1:11">
      <c r="A143" s="5" t="s">
        <v>301</v>
      </c>
      <c r="B143" s="6">
        <v>45101</v>
      </c>
      <c r="C143" s="7">
        <v>1</v>
      </c>
      <c r="D143" s="5">
        <v>7.12</v>
      </c>
      <c r="E143" s="5">
        <v>288.5</v>
      </c>
      <c r="F143" s="5">
        <v>298.7</v>
      </c>
      <c r="G143" s="6">
        <v>45101</v>
      </c>
      <c r="H143" s="5"/>
      <c r="I143" s="5"/>
      <c r="J143" s="5">
        <f t="shared" si="17"/>
        <v>10.199999999999989</v>
      </c>
      <c r="K143" s="8" t="b">
        <f t="shared" si="18"/>
        <v>1</v>
      </c>
    </row>
    <row r="144" spans="1:11">
      <c r="A144" s="5" t="s">
        <v>301</v>
      </c>
      <c r="B144" s="6">
        <v>45102</v>
      </c>
      <c r="C144" s="7">
        <v>0.9</v>
      </c>
      <c r="D144" s="5">
        <v>7.91</v>
      </c>
      <c r="E144" s="5">
        <v>298.7</v>
      </c>
      <c r="F144" s="5">
        <v>314.60000000000002</v>
      </c>
      <c r="G144" s="6">
        <v>45102</v>
      </c>
      <c r="H144" s="5"/>
      <c r="I144" s="5"/>
      <c r="J144" s="5">
        <f t="shared" si="17"/>
        <v>15.900000000000034</v>
      </c>
      <c r="K144" s="8" t="b">
        <f t="shared" si="18"/>
        <v>1</v>
      </c>
    </row>
    <row r="145" spans="1:11">
      <c r="A145" s="5" t="s">
        <v>301</v>
      </c>
      <c r="B145" s="6">
        <v>45104</v>
      </c>
      <c r="C145" s="7">
        <v>0.9</v>
      </c>
      <c r="D145" s="5">
        <v>7.91</v>
      </c>
      <c r="E145" s="5">
        <v>314.60000000000002</v>
      </c>
      <c r="F145" s="5">
        <v>330.9</v>
      </c>
      <c r="G145" s="6">
        <v>45104</v>
      </c>
      <c r="H145" s="5"/>
      <c r="I145" s="5"/>
      <c r="J145" s="5">
        <f t="shared" si="17"/>
        <v>16.299999999999955</v>
      </c>
      <c r="K145" s="8" t="b">
        <f t="shared" si="18"/>
        <v>1</v>
      </c>
    </row>
    <row r="146" spans="1:11">
      <c r="A146" s="39" t="s">
        <v>301</v>
      </c>
      <c r="B146" s="40">
        <v>45105</v>
      </c>
      <c r="C146" s="41">
        <v>0.9</v>
      </c>
      <c r="D146" s="39">
        <v>7.91</v>
      </c>
      <c r="E146" s="39">
        <v>330.9</v>
      </c>
      <c r="F146" s="39">
        <v>345.2</v>
      </c>
      <c r="G146" s="40">
        <v>45105</v>
      </c>
      <c r="H146" s="39"/>
      <c r="I146" s="39"/>
      <c r="J146" s="39">
        <f t="shared" si="17"/>
        <v>14.300000000000011</v>
      </c>
      <c r="K146" s="8" t="b">
        <f t="shared" si="18"/>
        <v>1</v>
      </c>
    </row>
    <row r="147" spans="1:11">
      <c r="A147" s="39" t="s">
        <v>301</v>
      </c>
      <c r="B147" s="40">
        <v>45107</v>
      </c>
      <c r="C147" s="41">
        <v>1</v>
      </c>
      <c r="D147" s="39">
        <v>7.12</v>
      </c>
      <c r="E147" s="39">
        <v>345.2</v>
      </c>
      <c r="F147" s="39">
        <v>360.1</v>
      </c>
      <c r="G147" s="40">
        <v>45107</v>
      </c>
      <c r="H147" s="39"/>
      <c r="I147" s="39"/>
      <c r="J147" s="39">
        <f t="shared" si="17"/>
        <v>14.900000000000034</v>
      </c>
      <c r="K147" s="8" t="b">
        <f t="shared" si="18"/>
        <v>1</v>
      </c>
    </row>
    <row r="148" spans="1:11">
      <c r="A148" s="5" t="s">
        <v>301</v>
      </c>
      <c r="B148" s="6">
        <v>45109</v>
      </c>
      <c r="C148" s="7">
        <v>0.9</v>
      </c>
      <c r="D148" s="5">
        <v>7.91</v>
      </c>
      <c r="E148" s="5">
        <v>360.1</v>
      </c>
      <c r="F148" s="5">
        <v>376.2</v>
      </c>
      <c r="G148" s="6">
        <v>45108</v>
      </c>
      <c r="H148" s="5"/>
      <c r="I148" s="5"/>
      <c r="J148" s="5">
        <f t="shared" si="17"/>
        <v>16.099999999999966</v>
      </c>
      <c r="K148" s="8" t="b">
        <f t="shared" si="18"/>
        <v>1</v>
      </c>
    </row>
    <row r="149" spans="1:11">
      <c r="A149" s="39" t="s">
        <v>301</v>
      </c>
      <c r="B149" s="40">
        <v>45111</v>
      </c>
      <c r="C149" s="41">
        <v>1</v>
      </c>
      <c r="D149" s="39">
        <v>7.91</v>
      </c>
      <c r="E149" s="39">
        <v>376.2</v>
      </c>
      <c r="F149" s="39">
        <v>391.1</v>
      </c>
      <c r="G149" s="40">
        <v>45111</v>
      </c>
      <c r="H149" s="39"/>
      <c r="I149" s="39"/>
      <c r="J149" s="39">
        <f t="shared" si="17"/>
        <v>14.900000000000034</v>
      </c>
      <c r="K149" s="8" t="b">
        <f t="shared" si="18"/>
        <v>1</v>
      </c>
    </row>
    <row r="150" spans="1:11">
      <c r="A150" s="5" t="s">
        <v>301</v>
      </c>
      <c r="B150" s="6">
        <v>45112</v>
      </c>
      <c r="C150" s="7">
        <v>0.85</v>
      </c>
      <c r="D150" s="5">
        <v>8.3800000000000008</v>
      </c>
      <c r="E150" s="5">
        <v>391.1</v>
      </c>
      <c r="F150" s="5">
        <v>407.9</v>
      </c>
      <c r="G150" s="6">
        <v>45112</v>
      </c>
      <c r="H150" s="5"/>
      <c r="I150" s="5"/>
      <c r="J150" s="5">
        <f t="shared" si="17"/>
        <v>16.799999999999955</v>
      </c>
      <c r="K150" s="8" t="b">
        <f t="shared" si="18"/>
        <v>1</v>
      </c>
    </row>
    <row r="151" spans="1:11">
      <c r="A151" s="39" t="s">
        <v>301</v>
      </c>
      <c r="B151" s="40">
        <v>45113</v>
      </c>
      <c r="C151" s="41">
        <v>1</v>
      </c>
      <c r="D151" s="39">
        <v>7.91</v>
      </c>
      <c r="E151" s="39">
        <v>407.9</v>
      </c>
      <c r="F151" s="39">
        <v>422.3</v>
      </c>
      <c r="G151" s="40">
        <v>45113</v>
      </c>
      <c r="H151" s="39"/>
      <c r="I151" s="39"/>
      <c r="J151" s="39">
        <f t="shared" si="17"/>
        <v>14.400000000000034</v>
      </c>
      <c r="K151" s="8" t="b">
        <f t="shared" si="18"/>
        <v>1</v>
      </c>
    </row>
    <row r="152" spans="1:11">
      <c r="A152" s="5" t="s">
        <v>301</v>
      </c>
      <c r="B152" s="6">
        <v>45114</v>
      </c>
      <c r="C152" s="7">
        <v>0.8</v>
      </c>
      <c r="D152" s="5">
        <v>8.9</v>
      </c>
      <c r="E152" s="5">
        <v>422.3</v>
      </c>
      <c r="F152" s="5">
        <v>440.2</v>
      </c>
      <c r="G152" s="6">
        <v>45114</v>
      </c>
      <c r="H152" s="5"/>
      <c r="I152" s="5"/>
      <c r="J152" s="5">
        <f t="shared" si="17"/>
        <v>17.899999999999977</v>
      </c>
      <c r="K152" s="8" t="b">
        <f t="shared" si="18"/>
        <v>1</v>
      </c>
    </row>
    <row r="153" spans="1:11">
      <c r="A153" s="5" t="s">
        <v>301</v>
      </c>
      <c r="B153" s="6">
        <v>45115</v>
      </c>
      <c r="C153" s="7">
        <v>0.8</v>
      </c>
      <c r="D153" s="5">
        <v>8.9</v>
      </c>
      <c r="E153" s="5">
        <v>440.2</v>
      </c>
      <c r="F153" s="5">
        <v>458.1</v>
      </c>
      <c r="G153" s="6">
        <v>45115</v>
      </c>
      <c r="H153" s="5"/>
      <c r="I153" s="5"/>
      <c r="J153" s="5">
        <f t="shared" si="17"/>
        <v>17.900000000000034</v>
      </c>
      <c r="K153" s="8" t="b">
        <f t="shared" si="18"/>
        <v>1</v>
      </c>
    </row>
    <row r="154" spans="1:11">
      <c r="A154" s="5" t="s">
        <v>301</v>
      </c>
      <c r="B154" s="6">
        <v>45117</v>
      </c>
      <c r="C154" s="7">
        <v>0.8</v>
      </c>
      <c r="D154" s="5">
        <v>8.9</v>
      </c>
      <c r="E154" s="5">
        <v>458.1</v>
      </c>
      <c r="F154" s="5">
        <v>475.6</v>
      </c>
      <c r="G154" s="6">
        <v>45117</v>
      </c>
      <c r="H154" s="5"/>
      <c r="I154" s="5"/>
      <c r="J154" s="5">
        <f t="shared" si="17"/>
        <v>17.5</v>
      </c>
      <c r="K154" s="8" t="b">
        <f t="shared" si="18"/>
        <v>1</v>
      </c>
    </row>
    <row r="155" spans="1:11">
      <c r="A155" s="5" t="s">
        <v>301</v>
      </c>
      <c r="B155" s="6">
        <v>45118</v>
      </c>
      <c r="C155" s="7">
        <v>0.85</v>
      </c>
      <c r="D155" s="5">
        <v>8.3800000000000008</v>
      </c>
      <c r="E155" s="5">
        <v>475.6</v>
      </c>
      <c r="F155" s="5">
        <v>496.1</v>
      </c>
      <c r="G155" s="6">
        <v>45118</v>
      </c>
      <c r="H155" s="5"/>
      <c r="I155" s="5"/>
      <c r="J155" s="5">
        <f t="shared" si="17"/>
        <v>20.5</v>
      </c>
      <c r="K155" s="8" t="b">
        <f t="shared" si="18"/>
        <v>1</v>
      </c>
    </row>
    <row r="156" spans="1:11">
      <c r="A156" s="5" t="s">
        <v>301</v>
      </c>
      <c r="B156" s="6">
        <v>45119</v>
      </c>
      <c r="C156" s="7">
        <v>0.85</v>
      </c>
      <c r="D156" s="5">
        <v>8.3800000000000008</v>
      </c>
      <c r="E156" s="5">
        <v>496.1</v>
      </c>
      <c r="F156" s="5">
        <v>509.6</v>
      </c>
      <c r="G156" s="6">
        <v>45119</v>
      </c>
      <c r="H156" s="5"/>
      <c r="I156" s="5"/>
      <c r="J156" s="5">
        <f t="shared" si="17"/>
        <v>13.5</v>
      </c>
      <c r="K156" s="8" t="b">
        <f t="shared" si="18"/>
        <v>1</v>
      </c>
    </row>
    <row r="157" spans="1:11">
      <c r="A157" s="5" t="s">
        <v>301</v>
      </c>
      <c r="B157" s="6">
        <v>45121</v>
      </c>
      <c r="C157" s="7">
        <v>1</v>
      </c>
      <c r="D157" s="5">
        <v>7.12</v>
      </c>
      <c r="E157" s="5">
        <v>509.6</v>
      </c>
      <c r="F157" s="5">
        <v>523.9</v>
      </c>
      <c r="G157" s="6">
        <v>45121</v>
      </c>
      <c r="H157" s="5"/>
      <c r="I157" s="5"/>
      <c r="J157" s="5">
        <f t="shared" ref="J157:J165" si="19">F157-E157</f>
        <v>14.299999999999955</v>
      </c>
      <c r="K157" s="8" t="b">
        <f t="shared" ref="K157:K165" si="20">E157=F156</f>
        <v>1</v>
      </c>
    </row>
    <row r="158" spans="1:11">
      <c r="A158" s="5" t="s">
        <v>301</v>
      </c>
      <c r="B158" s="6">
        <v>45122</v>
      </c>
      <c r="C158" s="7">
        <v>1</v>
      </c>
      <c r="D158" s="5">
        <v>7.12</v>
      </c>
      <c r="E158" s="5">
        <v>523.9</v>
      </c>
      <c r="F158" s="5">
        <v>538.20000000000005</v>
      </c>
      <c r="G158" s="6">
        <v>45122</v>
      </c>
      <c r="H158" s="5"/>
      <c r="I158" s="5"/>
      <c r="J158" s="5">
        <f t="shared" si="19"/>
        <v>14.300000000000068</v>
      </c>
      <c r="K158" s="8" t="b">
        <f t="shared" si="20"/>
        <v>1</v>
      </c>
    </row>
    <row r="159" spans="1:11">
      <c r="A159" s="5" t="s">
        <v>301</v>
      </c>
      <c r="B159" s="6">
        <v>45123</v>
      </c>
      <c r="C159" s="7">
        <v>1</v>
      </c>
      <c r="D159" s="5">
        <v>7.12</v>
      </c>
      <c r="E159" s="5">
        <v>538.20000000000005</v>
      </c>
      <c r="F159" s="5">
        <v>552.6</v>
      </c>
      <c r="G159" s="6">
        <v>45123</v>
      </c>
      <c r="H159" s="5"/>
      <c r="I159" s="5"/>
      <c r="J159" s="5">
        <f t="shared" si="19"/>
        <v>14.399999999999977</v>
      </c>
      <c r="K159" s="8" t="b">
        <f t="shared" si="20"/>
        <v>1</v>
      </c>
    </row>
    <row r="160" spans="1:11">
      <c r="A160" s="5" t="s">
        <v>301</v>
      </c>
      <c r="B160" s="6">
        <v>45125</v>
      </c>
      <c r="C160" s="7">
        <v>0.9</v>
      </c>
      <c r="D160" s="5">
        <v>7.91</v>
      </c>
      <c r="E160" s="5">
        <v>552.6</v>
      </c>
      <c r="F160" s="5">
        <v>568.6</v>
      </c>
      <c r="G160" s="6">
        <v>45125</v>
      </c>
      <c r="H160" s="5"/>
      <c r="I160" s="5"/>
      <c r="J160" s="5">
        <f t="shared" si="19"/>
        <v>16</v>
      </c>
      <c r="K160" s="8" t="b">
        <f t="shared" si="20"/>
        <v>1</v>
      </c>
    </row>
    <row r="161" spans="1:11">
      <c r="A161" s="5" t="s">
        <v>301</v>
      </c>
      <c r="B161" s="6">
        <v>45126</v>
      </c>
      <c r="C161" s="7">
        <v>0.9</v>
      </c>
      <c r="D161" s="5">
        <v>7.91</v>
      </c>
      <c r="E161" s="5">
        <v>568.6</v>
      </c>
      <c r="F161" s="5">
        <v>584.5</v>
      </c>
      <c r="G161" s="6">
        <v>45065</v>
      </c>
      <c r="H161" s="5"/>
      <c r="I161" s="5"/>
      <c r="J161" s="5">
        <f t="shared" si="19"/>
        <v>15.899999999999977</v>
      </c>
      <c r="K161" s="8" t="b">
        <f t="shared" si="20"/>
        <v>1</v>
      </c>
    </row>
    <row r="162" spans="1:11">
      <c r="A162" s="25" t="s">
        <v>301</v>
      </c>
      <c r="B162" s="26">
        <v>45127</v>
      </c>
      <c r="C162" s="27">
        <v>1</v>
      </c>
      <c r="D162" s="25">
        <v>7.12</v>
      </c>
      <c r="E162" s="25">
        <v>584.5</v>
      </c>
      <c r="F162" s="25">
        <v>599</v>
      </c>
      <c r="G162" s="26">
        <v>45127</v>
      </c>
      <c r="H162" s="25"/>
      <c r="I162" s="25"/>
      <c r="J162" s="25">
        <f t="shared" si="19"/>
        <v>14.5</v>
      </c>
      <c r="K162" s="8" t="b">
        <f t="shared" si="20"/>
        <v>1</v>
      </c>
    </row>
    <row r="163" spans="1:11">
      <c r="A163" s="5" t="s">
        <v>301</v>
      </c>
      <c r="B163" s="6">
        <v>45129</v>
      </c>
      <c r="C163" s="7">
        <v>0.9</v>
      </c>
      <c r="D163" s="5">
        <v>7.91</v>
      </c>
      <c r="E163" s="5">
        <v>599</v>
      </c>
      <c r="F163" s="5">
        <v>615.1</v>
      </c>
      <c r="G163" s="6">
        <v>45129</v>
      </c>
      <c r="H163" s="5"/>
      <c r="I163" s="5"/>
      <c r="J163" s="5">
        <f t="shared" si="19"/>
        <v>16.100000000000023</v>
      </c>
      <c r="K163" s="8" t="b">
        <f t="shared" si="20"/>
        <v>1</v>
      </c>
    </row>
    <row r="164" spans="1:11">
      <c r="A164" s="5" t="s">
        <v>301</v>
      </c>
      <c r="B164" s="6">
        <v>45130</v>
      </c>
      <c r="C164" s="7">
        <v>0.9</v>
      </c>
      <c r="D164" s="5">
        <v>7.91</v>
      </c>
      <c r="E164" s="5">
        <v>615.1</v>
      </c>
      <c r="F164" s="5">
        <v>631</v>
      </c>
      <c r="G164" s="6">
        <v>45130</v>
      </c>
      <c r="H164" s="5"/>
      <c r="I164" s="5"/>
      <c r="J164" s="5">
        <f t="shared" si="19"/>
        <v>15.899999999999977</v>
      </c>
      <c r="K164" s="8" t="b">
        <f t="shared" si="20"/>
        <v>1</v>
      </c>
    </row>
    <row r="165" spans="1:11">
      <c r="A165" s="5" t="s">
        <v>301</v>
      </c>
      <c r="B165" s="6">
        <v>45131</v>
      </c>
      <c r="C165" s="7">
        <v>0.9</v>
      </c>
      <c r="D165" s="5">
        <v>7.91</v>
      </c>
      <c r="E165" s="5">
        <v>631</v>
      </c>
      <c r="F165" s="5">
        <v>647</v>
      </c>
      <c r="G165" s="6">
        <v>45131</v>
      </c>
      <c r="H165" s="5"/>
      <c r="I165" s="5"/>
      <c r="J165" s="5">
        <f t="shared" si="19"/>
        <v>16</v>
      </c>
      <c r="K165" s="8" t="b">
        <f t="shared" si="20"/>
        <v>1</v>
      </c>
    </row>
    <row r="166" spans="1:11">
      <c r="A166" s="5" t="s">
        <v>301</v>
      </c>
      <c r="B166" s="6">
        <v>45133</v>
      </c>
      <c r="C166" s="7">
        <v>1</v>
      </c>
      <c r="D166" s="5">
        <v>7.12</v>
      </c>
      <c r="E166" s="5">
        <v>647</v>
      </c>
      <c r="F166" s="5">
        <v>661.3</v>
      </c>
      <c r="G166" s="6">
        <v>45133</v>
      </c>
      <c r="H166" s="5"/>
      <c r="I166" s="5"/>
      <c r="J166" s="5">
        <f t="shared" ref="J166:J182" si="21">F166-E166</f>
        <v>14.299999999999955</v>
      </c>
      <c r="K166" s="8" t="b">
        <f t="shared" ref="K166:K172" si="22">E166=F165</f>
        <v>1</v>
      </c>
    </row>
    <row r="167" spans="1:11">
      <c r="A167" s="5" t="s">
        <v>301</v>
      </c>
      <c r="B167" s="6">
        <v>45135</v>
      </c>
      <c r="C167" s="7">
        <v>1</v>
      </c>
      <c r="D167" s="5">
        <v>7.12</v>
      </c>
      <c r="E167" s="5">
        <v>661.3</v>
      </c>
      <c r="F167" s="5">
        <v>675.6</v>
      </c>
      <c r="G167" s="6">
        <v>45135</v>
      </c>
      <c r="H167" s="5"/>
      <c r="I167" s="5"/>
      <c r="J167" s="5">
        <f t="shared" si="21"/>
        <v>14.300000000000068</v>
      </c>
      <c r="K167" s="8" t="b">
        <f t="shared" si="22"/>
        <v>1</v>
      </c>
    </row>
    <row r="168" spans="1:11">
      <c r="A168" s="5" t="s">
        <v>301</v>
      </c>
      <c r="B168" s="6">
        <v>45136</v>
      </c>
      <c r="C168" s="7">
        <v>1</v>
      </c>
      <c r="D168" s="5">
        <v>7.12</v>
      </c>
      <c r="E168" s="5">
        <v>675.6</v>
      </c>
      <c r="F168" s="5">
        <v>689.9</v>
      </c>
      <c r="G168" s="6">
        <v>45136</v>
      </c>
      <c r="H168" s="5"/>
      <c r="I168" s="5"/>
      <c r="J168" s="5">
        <f t="shared" si="21"/>
        <v>14.299999999999955</v>
      </c>
      <c r="K168" s="8" t="b">
        <f t="shared" si="22"/>
        <v>1</v>
      </c>
    </row>
    <row r="169" spans="1:11">
      <c r="A169" s="5" t="s">
        <v>301</v>
      </c>
      <c r="B169" s="6">
        <v>45138</v>
      </c>
      <c r="C169" s="7">
        <v>1</v>
      </c>
      <c r="D169" s="5">
        <v>7.12</v>
      </c>
      <c r="E169" s="5">
        <v>689.9</v>
      </c>
      <c r="F169" s="5">
        <v>704.3</v>
      </c>
      <c r="G169" s="6">
        <v>45138</v>
      </c>
      <c r="H169" s="5"/>
      <c r="I169" s="5"/>
      <c r="J169" s="5">
        <f t="shared" si="21"/>
        <v>14.399999999999977</v>
      </c>
      <c r="K169" s="8" t="b">
        <f t="shared" si="22"/>
        <v>1</v>
      </c>
    </row>
    <row r="170" spans="1:11">
      <c r="A170" s="5" t="s">
        <v>301</v>
      </c>
      <c r="B170" s="6">
        <v>45139</v>
      </c>
      <c r="C170" s="7">
        <v>1</v>
      </c>
      <c r="D170" s="5">
        <v>7.12</v>
      </c>
      <c r="E170" s="5">
        <v>704.3</v>
      </c>
      <c r="F170" s="5">
        <v>718.6</v>
      </c>
      <c r="G170" s="6">
        <v>45139</v>
      </c>
      <c r="H170" s="5"/>
      <c r="I170" s="5"/>
      <c r="J170" s="5">
        <f t="shared" si="21"/>
        <v>14.300000000000068</v>
      </c>
      <c r="K170" s="8" t="b">
        <f t="shared" si="22"/>
        <v>1</v>
      </c>
    </row>
    <row r="171" spans="1:11">
      <c r="A171" s="5" t="s">
        <v>301</v>
      </c>
      <c r="B171" s="6">
        <v>45141</v>
      </c>
      <c r="C171" s="7">
        <v>1</v>
      </c>
      <c r="D171" s="5">
        <v>7.12</v>
      </c>
      <c r="E171" s="5">
        <v>718.6</v>
      </c>
      <c r="F171" s="5">
        <v>733.1</v>
      </c>
      <c r="G171" s="6">
        <v>45141</v>
      </c>
      <c r="H171" s="5"/>
      <c r="I171" s="5"/>
      <c r="J171" s="5">
        <f t="shared" si="21"/>
        <v>14.5</v>
      </c>
      <c r="K171" s="8" t="b">
        <f t="shared" si="22"/>
        <v>1</v>
      </c>
    </row>
    <row r="172" spans="1:11">
      <c r="A172" s="5" t="s">
        <v>301</v>
      </c>
      <c r="B172" s="6">
        <v>45142</v>
      </c>
      <c r="C172" s="7">
        <v>0.85</v>
      </c>
      <c r="D172" s="5">
        <v>8.3800000000000008</v>
      </c>
      <c r="E172" s="5">
        <v>733.1</v>
      </c>
      <c r="F172" s="5">
        <v>750.1</v>
      </c>
      <c r="G172" s="6">
        <v>45142</v>
      </c>
      <c r="H172" s="5"/>
      <c r="I172" s="5"/>
      <c r="J172" s="5">
        <f t="shared" si="21"/>
        <v>17</v>
      </c>
      <c r="K172" s="8" t="b">
        <f t="shared" si="22"/>
        <v>1</v>
      </c>
    </row>
    <row r="173" spans="1:11">
      <c r="A173" s="5" t="s">
        <v>301</v>
      </c>
      <c r="B173" s="6">
        <v>45143</v>
      </c>
      <c r="C173" s="7">
        <v>0.85</v>
      </c>
      <c r="D173" s="5">
        <v>8.3800000000000008</v>
      </c>
      <c r="E173" s="5">
        <v>750.1</v>
      </c>
      <c r="F173" s="5">
        <v>766.9</v>
      </c>
      <c r="G173" s="6">
        <v>45143</v>
      </c>
      <c r="H173" s="5"/>
      <c r="I173" s="5"/>
      <c r="J173" s="5">
        <f t="shared" si="21"/>
        <v>16.799999999999955</v>
      </c>
      <c r="K173" s="8" t="b">
        <f>E173=F172</f>
        <v>1</v>
      </c>
    </row>
    <row r="174" spans="1:11">
      <c r="A174" s="5" t="s">
        <v>301</v>
      </c>
      <c r="B174" s="6">
        <v>45145</v>
      </c>
      <c r="C174" s="7">
        <v>0.85</v>
      </c>
      <c r="D174" s="5">
        <v>8.3800000000000008</v>
      </c>
      <c r="E174" s="5">
        <v>766.9</v>
      </c>
      <c r="F174" s="5">
        <v>783.8</v>
      </c>
      <c r="G174" s="6">
        <v>45145</v>
      </c>
      <c r="H174" s="5"/>
      <c r="I174" s="5"/>
      <c r="J174" s="5">
        <f t="shared" si="21"/>
        <v>16.899999999999977</v>
      </c>
      <c r="K174" s="8" t="b">
        <f t="shared" ref="K174:K182" si="23">E174=F173</f>
        <v>1</v>
      </c>
    </row>
    <row r="175" spans="1:11">
      <c r="A175" s="80" t="s">
        <v>301</v>
      </c>
      <c r="B175" s="81">
        <v>45146</v>
      </c>
      <c r="C175" s="82">
        <v>1</v>
      </c>
      <c r="D175" s="80">
        <v>7.12</v>
      </c>
      <c r="E175" s="80">
        <v>783.8</v>
      </c>
      <c r="F175" s="80">
        <v>797.5</v>
      </c>
      <c r="G175" s="81">
        <v>45146</v>
      </c>
      <c r="H175" s="80"/>
      <c r="I175" s="80"/>
      <c r="J175" s="80">
        <f t="shared" si="21"/>
        <v>13.700000000000045</v>
      </c>
      <c r="K175" s="8" t="b">
        <f>E175=F174</f>
        <v>1</v>
      </c>
    </row>
    <row r="176" spans="1:11">
      <c r="A176" s="5" t="s">
        <v>301</v>
      </c>
      <c r="B176" s="22">
        <v>45147</v>
      </c>
      <c r="C176" s="23">
        <v>1</v>
      </c>
      <c r="D176" s="21">
        <v>7.12</v>
      </c>
      <c r="E176" s="21">
        <v>797.5</v>
      </c>
      <c r="F176" s="21">
        <v>811.2</v>
      </c>
      <c r="G176" s="22">
        <v>45147</v>
      </c>
      <c r="H176" s="21"/>
      <c r="I176" s="21"/>
      <c r="J176" s="5">
        <f t="shared" si="21"/>
        <v>13.700000000000045</v>
      </c>
      <c r="K176" s="8" t="b">
        <f t="shared" ref="K176:K178" si="24">E176=F175</f>
        <v>1</v>
      </c>
    </row>
    <row r="177" spans="1:11">
      <c r="A177" s="5" t="s">
        <v>301</v>
      </c>
      <c r="B177" s="6">
        <v>45148</v>
      </c>
      <c r="C177" s="7">
        <v>1</v>
      </c>
      <c r="D177" s="5">
        <v>7.12</v>
      </c>
      <c r="E177" s="5">
        <v>811.2</v>
      </c>
      <c r="F177" s="5">
        <v>826.9</v>
      </c>
      <c r="G177" s="6">
        <v>45148</v>
      </c>
      <c r="H177" s="5"/>
      <c r="I177" s="5"/>
      <c r="J177" s="5">
        <f t="shared" si="21"/>
        <v>15.699999999999932</v>
      </c>
      <c r="K177" s="8" t="b">
        <f t="shared" si="24"/>
        <v>1</v>
      </c>
    </row>
    <row r="178" spans="1:11">
      <c r="A178" s="5" t="s">
        <v>301</v>
      </c>
      <c r="B178" s="6">
        <v>45150</v>
      </c>
      <c r="C178" s="7">
        <v>0.85</v>
      </c>
      <c r="D178" s="5">
        <v>8.3800000000000008</v>
      </c>
      <c r="E178" s="5">
        <v>826.9</v>
      </c>
      <c r="F178" s="5">
        <v>846.6</v>
      </c>
      <c r="G178" s="6">
        <v>45150</v>
      </c>
      <c r="H178" s="5"/>
      <c r="I178" s="5"/>
      <c r="J178" s="5">
        <f t="shared" si="21"/>
        <v>19.700000000000045</v>
      </c>
      <c r="K178" s="8" t="b">
        <f t="shared" si="24"/>
        <v>1</v>
      </c>
    </row>
    <row r="179" spans="1:11">
      <c r="A179" s="5" t="s">
        <v>301</v>
      </c>
      <c r="B179" s="6">
        <v>45151</v>
      </c>
      <c r="C179" s="7">
        <v>1</v>
      </c>
      <c r="D179" s="5">
        <v>7.12</v>
      </c>
      <c r="E179" s="5">
        <v>846.6</v>
      </c>
      <c r="F179" s="5">
        <v>860.8</v>
      </c>
      <c r="G179" s="6">
        <v>45151</v>
      </c>
      <c r="H179" s="5"/>
      <c r="I179" s="5"/>
      <c r="J179" s="5">
        <f t="shared" si="21"/>
        <v>14.199999999999932</v>
      </c>
      <c r="K179" s="8" t="b">
        <f t="shared" si="23"/>
        <v>1</v>
      </c>
    </row>
    <row r="180" spans="1:11">
      <c r="A180" s="5" t="s">
        <v>301</v>
      </c>
      <c r="B180" s="6">
        <v>45152</v>
      </c>
      <c r="C180" s="7">
        <v>1</v>
      </c>
      <c r="D180" s="5">
        <v>7.12</v>
      </c>
      <c r="E180" s="5">
        <v>860.8</v>
      </c>
      <c r="F180" s="5">
        <v>875.2</v>
      </c>
      <c r="G180" s="6">
        <v>45152</v>
      </c>
      <c r="H180" s="5"/>
      <c r="I180" s="5"/>
      <c r="J180" s="5">
        <f t="shared" si="21"/>
        <v>14.400000000000091</v>
      </c>
      <c r="K180" s="8" t="b">
        <f t="shared" si="23"/>
        <v>1</v>
      </c>
    </row>
    <row r="181" spans="1:11">
      <c r="A181" s="5" t="s">
        <v>301</v>
      </c>
      <c r="B181" s="6">
        <v>45154</v>
      </c>
      <c r="C181" s="7">
        <v>0.85</v>
      </c>
      <c r="D181" s="5">
        <v>8.3800000000000008</v>
      </c>
      <c r="E181" s="5">
        <v>875.2</v>
      </c>
      <c r="F181" s="5">
        <v>892.2</v>
      </c>
      <c r="G181" s="6">
        <v>45154</v>
      </c>
      <c r="H181" s="5"/>
      <c r="I181" s="5"/>
      <c r="J181" s="5">
        <f t="shared" si="21"/>
        <v>17</v>
      </c>
      <c r="K181" s="8" t="b">
        <f t="shared" si="23"/>
        <v>1</v>
      </c>
    </row>
    <row r="182" spans="1:11">
      <c r="A182" s="5" t="s">
        <v>301</v>
      </c>
      <c r="B182" s="6">
        <v>45155</v>
      </c>
      <c r="C182" s="7">
        <v>1</v>
      </c>
      <c r="D182" s="5">
        <v>7.12</v>
      </c>
      <c r="E182" s="5">
        <v>892.2</v>
      </c>
      <c r="F182" s="5">
        <v>906.5</v>
      </c>
      <c r="G182" s="6">
        <v>45155</v>
      </c>
      <c r="H182" s="5"/>
      <c r="I182" s="5"/>
      <c r="J182" s="5">
        <f t="shared" si="21"/>
        <v>14.299999999999955</v>
      </c>
      <c r="K182" s="8" t="b">
        <f t="shared" si="23"/>
        <v>1</v>
      </c>
    </row>
    <row r="183" spans="1:11">
      <c r="A183" s="5" t="s">
        <v>301</v>
      </c>
      <c r="B183" s="6">
        <v>45157</v>
      </c>
      <c r="C183" s="7">
        <v>1</v>
      </c>
      <c r="D183" s="5">
        <v>7.12</v>
      </c>
      <c r="E183" s="5">
        <v>906.5</v>
      </c>
      <c r="F183" s="5">
        <v>920.8</v>
      </c>
      <c r="G183" s="6">
        <v>45157</v>
      </c>
      <c r="H183" s="5"/>
      <c r="I183" s="5"/>
      <c r="J183" s="5">
        <f t="shared" ref="J183:J185" si="25">F183-E183</f>
        <v>14.299999999999955</v>
      </c>
      <c r="K183" s="8" t="b">
        <f t="shared" ref="K183:K184" si="26">E183=F182</f>
        <v>1</v>
      </c>
    </row>
    <row r="184" spans="1:11">
      <c r="A184" s="5" t="s">
        <v>301</v>
      </c>
      <c r="B184" s="6">
        <v>45158</v>
      </c>
      <c r="C184" s="7">
        <v>1</v>
      </c>
      <c r="D184" s="5">
        <v>7.12</v>
      </c>
      <c r="E184" s="5">
        <v>920.8</v>
      </c>
      <c r="F184" s="5">
        <v>935.1</v>
      </c>
      <c r="G184" s="6">
        <v>45158</v>
      </c>
      <c r="H184" s="5"/>
      <c r="I184" s="5"/>
      <c r="J184" s="5">
        <f t="shared" si="25"/>
        <v>14.300000000000068</v>
      </c>
      <c r="K184" s="8" t="b">
        <f t="shared" si="26"/>
        <v>1</v>
      </c>
    </row>
    <row r="185" spans="1:11">
      <c r="A185" s="5" t="s">
        <v>301</v>
      </c>
      <c r="B185" s="6">
        <v>45160</v>
      </c>
      <c r="C185" s="7">
        <v>1</v>
      </c>
      <c r="D185" s="5">
        <v>7.12</v>
      </c>
      <c r="E185" s="5">
        <v>935.1</v>
      </c>
      <c r="F185" s="5">
        <v>950</v>
      </c>
      <c r="G185" s="6">
        <v>45160</v>
      </c>
      <c r="H185" s="5"/>
      <c r="I185" s="5"/>
      <c r="J185" s="5">
        <f t="shared" si="25"/>
        <v>14.899999999999977</v>
      </c>
      <c r="K185" s="8" t="b">
        <f>E185=F184</f>
        <v>1</v>
      </c>
    </row>
    <row r="186" spans="1:11">
      <c r="A186" s="5" t="s">
        <v>301</v>
      </c>
      <c r="B186" s="6">
        <v>45162</v>
      </c>
      <c r="C186" s="7">
        <v>0.85</v>
      </c>
      <c r="D186" s="5">
        <v>8.3800000000000008</v>
      </c>
      <c r="E186" s="5">
        <v>950</v>
      </c>
      <c r="F186" s="5">
        <v>967.1</v>
      </c>
      <c r="G186" s="6">
        <v>45162</v>
      </c>
      <c r="H186" s="5"/>
      <c r="I186" s="5"/>
      <c r="J186" s="5">
        <f>F186-E186</f>
        <v>17.100000000000023</v>
      </c>
      <c r="K186" s="8" t="b">
        <f>E186=F185</f>
        <v>1</v>
      </c>
    </row>
    <row r="187" spans="1:11">
      <c r="A187" s="96"/>
      <c r="B187" s="97"/>
      <c r="C187" s="98"/>
      <c r="D187" s="99"/>
      <c r="E187" s="99"/>
      <c r="F187" s="99"/>
      <c r="G187" s="97"/>
      <c r="H187" s="99"/>
    </row>
    <row r="188" spans="1:11" ht="26.25">
      <c r="A188" s="135" t="s">
        <v>290</v>
      </c>
      <c r="B188" s="136"/>
      <c r="C188" s="136"/>
      <c r="D188" s="136"/>
      <c r="E188" s="136"/>
      <c r="F188" s="136"/>
      <c r="G188" s="136"/>
      <c r="H188" s="136"/>
      <c r="I188" s="136"/>
      <c r="J188" s="136"/>
      <c r="K188" s="137"/>
    </row>
    <row r="189" spans="1:11" ht="26.25">
      <c r="A189" s="138" t="s">
        <v>48</v>
      </c>
      <c r="B189" s="139"/>
      <c r="C189" s="139"/>
      <c r="D189" s="139"/>
      <c r="E189" s="139"/>
      <c r="F189" s="139"/>
      <c r="G189" s="139"/>
      <c r="H189" s="139"/>
      <c r="I189" s="139"/>
      <c r="J189" s="139"/>
      <c r="K189" s="140"/>
    </row>
    <row r="190" spans="1:11" ht="15.75" thickBot="1"/>
    <row r="191" spans="1:11" ht="15.75" thickBot="1">
      <c r="A191" s="132" t="s">
        <v>2</v>
      </c>
      <c r="B191" s="133"/>
      <c r="C191" s="133"/>
      <c r="D191" s="133"/>
      <c r="E191" s="133"/>
      <c r="F191" s="133"/>
      <c r="G191" s="133"/>
      <c r="H191" s="133"/>
      <c r="I191" s="133"/>
      <c r="J191" s="133"/>
      <c r="K191" s="134"/>
    </row>
    <row r="193" spans="1:11" ht="19.5" thickBot="1">
      <c r="A193" s="54" t="s">
        <v>3</v>
      </c>
      <c r="B193" s="1"/>
      <c r="C193" s="1"/>
      <c r="D193" s="1"/>
      <c r="E193" s="1"/>
      <c r="F193" s="1"/>
      <c r="G193" s="1"/>
      <c r="H193" s="1"/>
      <c r="I193" s="1"/>
    </row>
    <row r="194" spans="1:11" ht="135.75" thickBot="1">
      <c r="A194" s="2" t="s">
        <v>4</v>
      </c>
      <c r="B194" s="3" t="s">
        <v>5</v>
      </c>
      <c r="C194" s="3" t="s">
        <v>6</v>
      </c>
      <c r="D194" s="3" t="s">
        <v>7</v>
      </c>
      <c r="E194" s="3" t="s">
        <v>8</v>
      </c>
      <c r="F194" s="3" t="s">
        <v>9</v>
      </c>
      <c r="G194" s="3" t="s">
        <v>10</v>
      </c>
      <c r="H194" s="3" t="s">
        <v>21</v>
      </c>
      <c r="I194" s="4" t="s">
        <v>22</v>
      </c>
      <c r="J194" s="4" t="s">
        <v>11</v>
      </c>
      <c r="K194" s="4" t="s">
        <v>12</v>
      </c>
    </row>
    <row r="195" spans="1:11">
      <c r="A195" s="5">
        <v>124</v>
      </c>
      <c r="B195" s="6">
        <v>45200</v>
      </c>
      <c r="C195" s="7">
        <v>0.5</v>
      </c>
      <c r="D195" s="5">
        <v>14.24</v>
      </c>
      <c r="E195" s="5">
        <v>967.1</v>
      </c>
      <c r="F195" s="5">
        <v>981.6</v>
      </c>
      <c r="G195" s="6">
        <v>45200</v>
      </c>
      <c r="H195" s="5"/>
      <c r="I195" s="5"/>
      <c r="J195" s="5">
        <f>F195-E195</f>
        <v>14.5</v>
      </c>
      <c r="K195" s="8" t="b">
        <f>F186=E195</f>
        <v>1</v>
      </c>
    </row>
    <row r="196" spans="1:11">
      <c r="A196" s="5">
        <v>124</v>
      </c>
      <c r="B196" s="6">
        <v>45201</v>
      </c>
      <c r="C196" s="7">
        <v>0.5</v>
      </c>
      <c r="D196" s="5">
        <v>14.24</v>
      </c>
      <c r="E196" s="5">
        <v>981.6</v>
      </c>
      <c r="F196" s="5">
        <v>995.9</v>
      </c>
      <c r="G196" s="6">
        <v>45201</v>
      </c>
      <c r="H196" s="5"/>
      <c r="I196" s="5"/>
      <c r="J196" s="5">
        <f t="shared" ref="J196:J199" si="27">F196-E196</f>
        <v>14.299999999999955</v>
      </c>
      <c r="K196" s="8" t="b">
        <f>E196=F195</f>
        <v>1</v>
      </c>
    </row>
    <row r="197" spans="1:11">
      <c r="A197" s="5">
        <v>124</v>
      </c>
      <c r="B197" s="6">
        <v>45202</v>
      </c>
      <c r="C197" s="7">
        <v>0.6</v>
      </c>
      <c r="D197" s="5">
        <v>11.87</v>
      </c>
      <c r="E197" s="5">
        <v>995.9</v>
      </c>
      <c r="F197" s="5">
        <v>1008</v>
      </c>
      <c r="G197" s="6">
        <v>45202</v>
      </c>
      <c r="H197" s="5"/>
      <c r="I197" s="5"/>
      <c r="J197" s="5">
        <f t="shared" si="27"/>
        <v>12.100000000000023</v>
      </c>
      <c r="K197" s="8" t="b">
        <f t="shared" ref="K197:K199" si="28">E197=F196</f>
        <v>1</v>
      </c>
    </row>
    <row r="198" spans="1:11">
      <c r="A198" s="5">
        <v>124</v>
      </c>
      <c r="B198" s="6">
        <v>45203</v>
      </c>
      <c r="C198" s="7">
        <v>0.6</v>
      </c>
      <c r="D198" s="5">
        <v>11.87</v>
      </c>
      <c r="E198" s="5">
        <v>1008</v>
      </c>
      <c r="F198" s="5">
        <v>1020.1</v>
      </c>
      <c r="G198" s="6">
        <v>45203</v>
      </c>
      <c r="H198" s="5"/>
      <c r="I198" s="5"/>
      <c r="J198" s="5">
        <f t="shared" si="27"/>
        <v>12.100000000000023</v>
      </c>
      <c r="K198" s="8" t="b">
        <f t="shared" si="28"/>
        <v>1</v>
      </c>
    </row>
    <row r="199" spans="1:11">
      <c r="A199" s="5">
        <v>124</v>
      </c>
      <c r="B199" s="6">
        <v>45210</v>
      </c>
      <c r="C199" s="7">
        <v>0.6</v>
      </c>
      <c r="D199" s="5">
        <v>11.87</v>
      </c>
      <c r="E199" s="5">
        <v>1020.1</v>
      </c>
      <c r="F199" s="5">
        <v>1032.5</v>
      </c>
      <c r="G199" s="6">
        <v>45210</v>
      </c>
      <c r="H199" s="5"/>
      <c r="I199" s="5"/>
      <c r="J199" s="5">
        <f t="shared" si="27"/>
        <v>12.399999999999977</v>
      </c>
      <c r="K199" s="8" t="b">
        <f t="shared" si="28"/>
        <v>1</v>
      </c>
    </row>
    <row r="200" spans="1:11">
      <c r="A200" s="5">
        <v>124</v>
      </c>
      <c r="B200" s="6">
        <v>45211</v>
      </c>
      <c r="C200" s="7">
        <v>0.6</v>
      </c>
      <c r="D200" s="5">
        <v>11.87</v>
      </c>
      <c r="E200" s="5">
        <v>1032.5</v>
      </c>
      <c r="F200" s="5">
        <v>1044.2</v>
      </c>
      <c r="G200" s="6">
        <v>45211</v>
      </c>
      <c r="H200" s="5"/>
      <c r="I200" s="5"/>
      <c r="J200" s="5">
        <f t="shared" ref="J200:J205" si="29">F200-E200</f>
        <v>11.700000000000045</v>
      </c>
      <c r="K200" s="8" t="b">
        <f t="shared" ref="K200:K205" si="30">E200=F199</f>
        <v>1</v>
      </c>
    </row>
    <row r="201" spans="1:11">
      <c r="A201" s="5">
        <v>124</v>
      </c>
      <c r="B201" s="6">
        <v>45215</v>
      </c>
      <c r="C201" s="7">
        <v>0.65</v>
      </c>
      <c r="D201" s="5">
        <v>10.95</v>
      </c>
      <c r="E201" s="5">
        <v>1044.2</v>
      </c>
      <c r="F201" s="5">
        <v>1055.4000000000001</v>
      </c>
      <c r="G201" s="6">
        <v>45215</v>
      </c>
      <c r="H201" s="5"/>
      <c r="I201" s="5"/>
      <c r="J201" s="5">
        <f t="shared" si="29"/>
        <v>11.200000000000045</v>
      </c>
      <c r="K201" s="8" t="b">
        <f t="shared" si="30"/>
        <v>1</v>
      </c>
    </row>
    <row r="202" spans="1:11">
      <c r="A202" s="5">
        <v>124</v>
      </c>
      <c r="B202" s="6">
        <v>45216</v>
      </c>
      <c r="C202" s="7">
        <v>0.65</v>
      </c>
      <c r="D202" s="5">
        <v>10.95</v>
      </c>
      <c r="E202" s="5">
        <v>1055.4000000000001</v>
      </c>
      <c r="F202" s="5">
        <v>1066.4000000000001</v>
      </c>
      <c r="G202" s="6">
        <v>45216</v>
      </c>
      <c r="H202" s="5"/>
      <c r="I202" s="5"/>
      <c r="J202" s="5">
        <f t="shared" si="29"/>
        <v>11</v>
      </c>
      <c r="K202" s="8" t="b">
        <f t="shared" si="30"/>
        <v>1</v>
      </c>
    </row>
    <row r="203" spans="1:11">
      <c r="A203" s="5">
        <v>124</v>
      </c>
      <c r="B203" s="6"/>
      <c r="C203" s="7"/>
      <c r="D203" s="5"/>
      <c r="E203" s="5"/>
      <c r="F203" s="5"/>
      <c r="G203" s="6"/>
      <c r="H203" s="5"/>
      <c r="I203" s="5"/>
      <c r="J203" s="5">
        <f t="shared" si="29"/>
        <v>0</v>
      </c>
      <c r="K203" s="8" t="b">
        <f t="shared" si="30"/>
        <v>0</v>
      </c>
    </row>
    <row r="204" spans="1:11">
      <c r="A204" s="5">
        <v>124</v>
      </c>
      <c r="B204" s="6"/>
      <c r="C204" s="7"/>
      <c r="D204" s="5"/>
      <c r="E204" s="5"/>
      <c r="F204" s="5"/>
      <c r="G204" s="6"/>
      <c r="H204" s="5"/>
      <c r="I204" s="5"/>
      <c r="J204" s="5">
        <f t="shared" si="29"/>
        <v>0</v>
      </c>
      <c r="K204" s="8" t="b">
        <f t="shared" si="30"/>
        <v>1</v>
      </c>
    </row>
    <row r="205" spans="1:11">
      <c r="A205" s="5">
        <v>124</v>
      </c>
      <c r="B205" s="6"/>
      <c r="C205" s="7"/>
      <c r="D205" s="5"/>
      <c r="E205" s="5"/>
      <c r="F205" s="5"/>
      <c r="G205" s="6"/>
      <c r="H205" s="5"/>
      <c r="I205" s="5"/>
      <c r="J205" s="5">
        <f t="shared" si="29"/>
        <v>0</v>
      </c>
      <c r="K205" s="8" t="b">
        <f t="shared" si="30"/>
        <v>1</v>
      </c>
    </row>
    <row r="206" spans="1:11" ht="26.25">
      <c r="A206" s="199" t="s">
        <v>290</v>
      </c>
      <c r="B206" s="200"/>
      <c r="C206" s="200"/>
      <c r="D206" s="200"/>
      <c r="E206" s="200"/>
      <c r="F206" s="200"/>
      <c r="G206" s="200"/>
      <c r="H206" s="200"/>
      <c r="I206" s="200"/>
      <c r="J206" s="200"/>
      <c r="K206" s="201"/>
    </row>
    <row r="207" spans="1:11" ht="26.25">
      <c r="A207" s="202" t="s">
        <v>160</v>
      </c>
      <c r="B207" s="203"/>
      <c r="C207" s="203"/>
      <c r="D207" s="203"/>
      <c r="E207" s="203"/>
      <c r="F207" s="203"/>
      <c r="G207" s="203"/>
      <c r="H207" s="203"/>
      <c r="I207" s="203"/>
      <c r="J207" s="203"/>
      <c r="K207" s="33"/>
    </row>
    <row r="208" spans="1:11" ht="15.75" thickBot="1"/>
    <row r="209" spans="1:11" ht="15.75" thickBot="1">
      <c r="A209" s="132" t="s">
        <v>2</v>
      </c>
      <c r="B209" s="133"/>
      <c r="C209" s="133"/>
      <c r="D209" s="133"/>
      <c r="E209" s="133"/>
      <c r="F209" s="133"/>
      <c r="G209" s="133"/>
      <c r="H209" s="133"/>
      <c r="I209" s="133"/>
      <c r="J209" s="133"/>
      <c r="K209" s="134"/>
    </row>
    <row r="211" spans="1:11" ht="19.5" thickBot="1">
      <c r="A211" s="54" t="s">
        <v>3</v>
      </c>
      <c r="B211" s="1"/>
      <c r="C211" s="1"/>
      <c r="D211" s="1"/>
      <c r="E211" s="1"/>
      <c r="F211" s="1"/>
      <c r="G211" s="1"/>
      <c r="H211" s="1"/>
      <c r="I211" s="1"/>
    </row>
    <row r="212" spans="1:11" ht="135.75" thickBot="1">
      <c r="A212" s="2" t="s">
        <v>4</v>
      </c>
      <c r="B212" s="3" t="s">
        <v>5</v>
      </c>
      <c r="C212" s="3" t="s">
        <v>6</v>
      </c>
      <c r="D212" s="3" t="s">
        <v>7</v>
      </c>
      <c r="E212" s="3" t="s">
        <v>8</v>
      </c>
      <c r="F212" s="3" t="s">
        <v>9</v>
      </c>
      <c r="G212" s="3" t="s">
        <v>10</v>
      </c>
      <c r="H212" s="3" t="s">
        <v>21</v>
      </c>
      <c r="I212" s="4" t="s">
        <v>22</v>
      </c>
      <c r="J212" s="4" t="s">
        <v>11</v>
      </c>
      <c r="K212" s="4" t="s">
        <v>12</v>
      </c>
    </row>
    <row r="213" spans="1:11">
      <c r="A213" s="5" t="s">
        <v>293</v>
      </c>
      <c r="B213" s="6">
        <v>45349</v>
      </c>
      <c r="C213" s="7">
        <v>0.7</v>
      </c>
      <c r="D213" s="5">
        <v>10.37</v>
      </c>
      <c r="E213" s="5">
        <v>0</v>
      </c>
      <c r="F213" s="5">
        <v>11.5</v>
      </c>
      <c r="G213" s="6">
        <v>45349</v>
      </c>
      <c r="H213" s="5"/>
      <c r="I213" s="5"/>
      <c r="J213" s="5">
        <f>F213-E213</f>
        <v>11.5</v>
      </c>
      <c r="K213" s="8" t="b">
        <f t="shared" ref="K213" si="31">E213=F212</f>
        <v>0</v>
      </c>
    </row>
    <row r="214" spans="1:11">
      <c r="A214" s="5" t="s">
        <v>293</v>
      </c>
      <c r="B214" s="6">
        <v>45350</v>
      </c>
      <c r="C214" s="7">
        <v>1</v>
      </c>
      <c r="D214" s="5">
        <v>14.24</v>
      </c>
      <c r="E214" s="5">
        <v>11.5</v>
      </c>
      <c r="F214" s="5">
        <v>26.8</v>
      </c>
      <c r="G214" s="6">
        <v>45350</v>
      </c>
      <c r="H214" s="5"/>
      <c r="I214" s="5"/>
      <c r="J214" s="5">
        <f>F214-E214</f>
        <v>15.3</v>
      </c>
      <c r="K214" s="8" t="b">
        <f>E214=F213</f>
        <v>1</v>
      </c>
    </row>
    <row r="215" spans="1:11">
      <c r="A215" s="5" t="s">
        <v>303</v>
      </c>
      <c r="B215" s="6">
        <v>45351</v>
      </c>
      <c r="C215" s="7">
        <v>1</v>
      </c>
      <c r="D215" s="5">
        <v>7.12</v>
      </c>
      <c r="E215" s="5">
        <v>26.8</v>
      </c>
      <c r="F215" s="5">
        <v>31</v>
      </c>
      <c r="G215" s="6">
        <v>45351</v>
      </c>
      <c r="H215" s="5"/>
      <c r="I215" s="5"/>
      <c r="J215" s="5">
        <f t="shared" ref="J215:J230" si="32">F215-E215</f>
        <v>4.1999999999999993</v>
      </c>
      <c r="K215" s="8" t="b">
        <f t="shared" ref="K215:K230" si="33">E215=F214</f>
        <v>1</v>
      </c>
    </row>
    <row r="216" spans="1:11">
      <c r="A216" s="5" t="s">
        <v>304</v>
      </c>
      <c r="B216" s="6">
        <v>45352</v>
      </c>
      <c r="C216" s="7">
        <v>1</v>
      </c>
      <c r="D216" s="5">
        <v>7.12</v>
      </c>
      <c r="E216" s="5">
        <v>37</v>
      </c>
      <c r="F216" s="5">
        <v>44.5</v>
      </c>
      <c r="G216" s="6">
        <v>45352</v>
      </c>
      <c r="H216" s="5"/>
      <c r="I216" s="5"/>
      <c r="J216" s="5">
        <f t="shared" si="32"/>
        <v>7.5</v>
      </c>
      <c r="K216" s="8" t="b">
        <f t="shared" si="33"/>
        <v>0</v>
      </c>
    </row>
    <row r="217" spans="1:11">
      <c r="A217" s="5" t="s">
        <v>304</v>
      </c>
      <c r="B217" s="6">
        <v>45353</v>
      </c>
      <c r="C217" s="7">
        <v>1</v>
      </c>
      <c r="D217" s="5">
        <v>7.12</v>
      </c>
      <c r="E217" s="5">
        <v>44.5</v>
      </c>
      <c r="F217" s="5">
        <v>68.2</v>
      </c>
      <c r="G217" s="6">
        <v>45353</v>
      </c>
      <c r="H217" s="5"/>
      <c r="I217" s="5"/>
      <c r="J217" s="5">
        <f t="shared" si="32"/>
        <v>23.700000000000003</v>
      </c>
      <c r="K217" s="8" t="b">
        <f t="shared" si="33"/>
        <v>1</v>
      </c>
    </row>
    <row r="218" spans="1:11">
      <c r="A218" s="5" t="s">
        <v>304</v>
      </c>
      <c r="B218" s="6">
        <v>45354</v>
      </c>
      <c r="C218" s="7">
        <v>1</v>
      </c>
      <c r="D218" s="5">
        <v>7.12</v>
      </c>
      <c r="E218" s="5">
        <v>68.2</v>
      </c>
      <c r="F218" s="5">
        <v>83.9</v>
      </c>
      <c r="G218" s="6">
        <v>45354</v>
      </c>
      <c r="H218" s="5"/>
      <c r="I218" s="5"/>
      <c r="J218" s="5">
        <f t="shared" si="32"/>
        <v>15.700000000000003</v>
      </c>
      <c r="K218" s="8" t="b">
        <f t="shared" si="33"/>
        <v>1</v>
      </c>
    </row>
    <row r="219" spans="1:11">
      <c r="A219" s="112" t="s">
        <v>301</v>
      </c>
      <c r="B219" s="113">
        <v>45356</v>
      </c>
      <c r="C219" s="114">
        <v>1</v>
      </c>
      <c r="D219" s="112">
        <v>7.12</v>
      </c>
      <c r="E219" s="112">
        <v>83.9</v>
      </c>
      <c r="F219" s="112">
        <v>86.4</v>
      </c>
      <c r="G219" s="113">
        <v>45356</v>
      </c>
      <c r="H219" s="112"/>
      <c r="I219" s="112"/>
      <c r="J219" s="112">
        <f t="shared" si="32"/>
        <v>2.5</v>
      </c>
      <c r="K219" s="8" t="b">
        <f t="shared" si="33"/>
        <v>1</v>
      </c>
    </row>
    <row r="220" spans="1:11">
      <c r="A220" s="5" t="s">
        <v>304</v>
      </c>
      <c r="B220" s="6">
        <v>45357</v>
      </c>
      <c r="C220" s="7">
        <v>1</v>
      </c>
      <c r="D220" s="5">
        <v>7.12</v>
      </c>
      <c r="E220" s="5">
        <v>86.4</v>
      </c>
      <c r="F220" s="5">
        <v>100.9</v>
      </c>
      <c r="G220" s="6">
        <v>45357</v>
      </c>
      <c r="H220" s="5"/>
      <c r="I220" s="5"/>
      <c r="J220" s="5">
        <f t="shared" si="32"/>
        <v>14.5</v>
      </c>
      <c r="K220" s="8" t="b">
        <f t="shared" si="33"/>
        <v>1</v>
      </c>
    </row>
    <row r="221" spans="1:11">
      <c r="A221" s="5" t="s">
        <v>304</v>
      </c>
      <c r="B221" s="6">
        <v>45358</v>
      </c>
      <c r="C221" s="7">
        <v>1</v>
      </c>
      <c r="D221" s="5">
        <v>7.12</v>
      </c>
      <c r="E221" s="5">
        <v>100.9</v>
      </c>
      <c r="F221" s="5">
        <v>115.6</v>
      </c>
      <c r="G221" s="6">
        <v>45358</v>
      </c>
      <c r="H221" s="5"/>
      <c r="I221" s="5"/>
      <c r="J221" s="5">
        <f t="shared" si="32"/>
        <v>14.699999999999989</v>
      </c>
      <c r="K221" s="8" t="b">
        <f t="shared" si="33"/>
        <v>1</v>
      </c>
    </row>
    <row r="222" spans="1:11">
      <c r="A222" s="5" t="s">
        <v>304</v>
      </c>
      <c r="B222" s="6">
        <v>45359</v>
      </c>
      <c r="C222" s="7">
        <v>1</v>
      </c>
      <c r="D222" s="5">
        <v>7.27</v>
      </c>
      <c r="E222" s="5">
        <v>115.6</v>
      </c>
      <c r="F222" s="5">
        <v>130.1</v>
      </c>
      <c r="G222" s="6">
        <v>45359</v>
      </c>
      <c r="H222" s="5"/>
      <c r="I222" s="5"/>
      <c r="J222" s="5">
        <f t="shared" si="32"/>
        <v>14.5</v>
      </c>
      <c r="K222" s="8" t="b">
        <f t="shared" si="33"/>
        <v>1</v>
      </c>
    </row>
    <row r="223" spans="1:11">
      <c r="A223" s="5" t="s">
        <v>304</v>
      </c>
      <c r="B223" s="6">
        <v>45360</v>
      </c>
      <c r="C223" s="7">
        <v>1</v>
      </c>
      <c r="D223" s="5">
        <v>7.27</v>
      </c>
      <c r="E223" s="5">
        <v>130.1</v>
      </c>
      <c r="F223" s="5">
        <v>144.6</v>
      </c>
      <c r="G223" s="6">
        <v>45360</v>
      </c>
      <c r="H223" s="5"/>
      <c r="I223" s="5"/>
      <c r="J223" s="5">
        <f t="shared" si="32"/>
        <v>14.5</v>
      </c>
      <c r="K223" s="8" t="b">
        <f t="shared" si="33"/>
        <v>1</v>
      </c>
    </row>
    <row r="224" spans="1:11">
      <c r="A224" s="5" t="s">
        <v>304</v>
      </c>
      <c r="B224" s="6">
        <v>45361</v>
      </c>
      <c r="C224" s="7">
        <v>1</v>
      </c>
      <c r="D224" s="5">
        <v>7.27</v>
      </c>
      <c r="E224" s="5">
        <v>144.6</v>
      </c>
      <c r="F224" s="5">
        <v>159.1</v>
      </c>
      <c r="G224" s="6">
        <v>45361</v>
      </c>
      <c r="H224" s="5"/>
      <c r="I224" s="5"/>
      <c r="J224" s="5">
        <f t="shared" si="32"/>
        <v>14.5</v>
      </c>
      <c r="K224" s="8" t="b">
        <f t="shared" si="33"/>
        <v>1</v>
      </c>
    </row>
    <row r="225" spans="1:11">
      <c r="A225" s="5" t="s">
        <v>304</v>
      </c>
      <c r="B225" s="6">
        <v>45363</v>
      </c>
      <c r="C225" s="7">
        <v>1</v>
      </c>
      <c r="D225" s="5">
        <v>7.27</v>
      </c>
      <c r="E225" s="5">
        <v>159.1</v>
      </c>
      <c r="F225" s="5">
        <v>173.5</v>
      </c>
      <c r="G225" s="6">
        <v>45363</v>
      </c>
      <c r="H225" s="5"/>
      <c r="I225" s="5"/>
      <c r="J225" s="5">
        <f t="shared" si="32"/>
        <v>14.400000000000006</v>
      </c>
      <c r="K225" s="8" t="b">
        <f t="shared" si="33"/>
        <v>1</v>
      </c>
    </row>
    <row r="226" spans="1:11">
      <c r="A226" s="5" t="s">
        <v>304</v>
      </c>
      <c r="B226" s="6">
        <v>45365</v>
      </c>
      <c r="C226" s="7">
        <v>1</v>
      </c>
      <c r="D226" s="5">
        <v>7.27</v>
      </c>
      <c r="E226" s="5">
        <v>173.5</v>
      </c>
      <c r="F226" s="5">
        <v>188</v>
      </c>
      <c r="G226" s="6">
        <v>45365</v>
      </c>
      <c r="H226" s="5"/>
      <c r="I226" s="5"/>
      <c r="J226" s="5">
        <f t="shared" si="32"/>
        <v>14.5</v>
      </c>
      <c r="K226" s="8" t="b">
        <f t="shared" si="33"/>
        <v>1</v>
      </c>
    </row>
    <row r="227" spans="1:11">
      <c r="A227" s="5" t="s">
        <v>304</v>
      </c>
      <c r="B227" s="6">
        <v>45367</v>
      </c>
      <c r="C227" s="7">
        <v>1</v>
      </c>
      <c r="D227" s="5">
        <v>7.27</v>
      </c>
      <c r="E227" s="5">
        <v>188</v>
      </c>
      <c r="F227" s="5">
        <v>202.5</v>
      </c>
      <c r="G227" s="6">
        <v>45367</v>
      </c>
      <c r="H227" s="5" t="s">
        <v>31</v>
      </c>
      <c r="I227" s="5"/>
      <c r="J227" s="5">
        <f t="shared" si="32"/>
        <v>14.5</v>
      </c>
      <c r="K227" s="8" t="b">
        <f t="shared" si="33"/>
        <v>1</v>
      </c>
    </row>
    <row r="228" spans="1:11">
      <c r="A228" s="5" t="s">
        <v>304</v>
      </c>
      <c r="B228" s="6">
        <v>45369</v>
      </c>
      <c r="C228" s="7">
        <v>1</v>
      </c>
      <c r="D228" s="5">
        <v>7.27</v>
      </c>
      <c r="E228" s="5">
        <v>202.5</v>
      </c>
      <c r="F228" s="5">
        <v>217</v>
      </c>
      <c r="G228" s="6">
        <v>45369</v>
      </c>
      <c r="H228" s="5"/>
      <c r="I228" s="5"/>
      <c r="J228" s="5">
        <f t="shared" si="32"/>
        <v>14.5</v>
      </c>
      <c r="K228" s="8" t="b">
        <f t="shared" si="33"/>
        <v>1</v>
      </c>
    </row>
    <row r="229" spans="1:11">
      <c r="A229" s="5" t="s">
        <v>304</v>
      </c>
      <c r="B229" s="6">
        <v>45373</v>
      </c>
      <c r="C229" s="7">
        <v>1</v>
      </c>
      <c r="D229" s="5">
        <v>7.27</v>
      </c>
      <c r="E229" s="5">
        <v>217</v>
      </c>
      <c r="F229" s="5">
        <v>231.6</v>
      </c>
      <c r="G229" s="6">
        <v>45373</v>
      </c>
      <c r="H229" s="5"/>
      <c r="I229" s="5"/>
      <c r="J229" s="5">
        <f t="shared" si="32"/>
        <v>14.599999999999994</v>
      </c>
      <c r="K229" s="8" t="b">
        <f t="shared" si="33"/>
        <v>1</v>
      </c>
    </row>
    <row r="230" spans="1:11">
      <c r="A230" s="5" t="s">
        <v>304</v>
      </c>
      <c r="B230" s="6">
        <v>45377</v>
      </c>
      <c r="C230" s="7">
        <v>1</v>
      </c>
      <c r="D230" s="5">
        <v>7.27</v>
      </c>
      <c r="E230" s="5">
        <v>231.6</v>
      </c>
      <c r="F230" s="5">
        <v>246.1</v>
      </c>
      <c r="G230" s="6">
        <v>45377</v>
      </c>
      <c r="H230" s="5"/>
      <c r="I230" s="5"/>
      <c r="J230" s="5">
        <f t="shared" si="32"/>
        <v>14.5</v>
      </c>
      <c r="K230" s="8" t="b">
        <f t="shared" si="33"/>
        <v>1</v>
      </c>
    </row>
    <row r="231" spans="1:11">
      <c r="A231" s="5" t="s">
        <v>305</v>
      </c>
      <c r="B231" s="6">
        <v>45379</v>
      </c>
      <c r="C231" s="7">
        <v>0.8</v>
      </c>
      <c r="D231" s="5">
        <v>8.9</v>
      </c>
      <c r="E231" s="5">
        <v>246.1</v>
      </c>
      <c r="F231" s="5">
        <v>255.1</v>
      </c>
      <c r="G231" s="6">
        <v>45379</v>
      </c>
      <c r="H231" s="5"/>
      <c r="I231" s="5"/>
      <c r="J231" s="5">
        <f t="shared" ref="J231:J252" si="34">F231-E231</f>
        <v>9</v>
      </c>
      <c r="K231" s="8" t="b">
        <f t="shared" ref="K231:K252" si="35">E231=F230</f>
        <v>1</v>
      </c>
    </row>
    <row r="232" spans="1:11">
      <c r="A232" s="5" t="s">
        <v>306</v>
      </c>
      <c r="B232" s="6">
        <v>45379</v>
      </c>
      <c r="C232" s="7">
        <v>1</v>
      </c>
      <c r="D232" s="5">
        <v>7.27</v>
      </c>
      <c r="E232" s="5">
        <v>255.1</v>
      </c>
      <c r="F232" s="5">
        <v>263.2</v>
      </c>
      <c r="G232" s="6">
        <v>45379</v>
      </c>
      <c r="H232" s="5"/>
      <c r="I232" s="5"/>
      <c r="J232" s="5">
        <f t="shared" si="34"/>
        <v>8.0999999999999943</v>
      </c>
      <c r="K232" s="8" t="b">
        <f t="shared" si="35"/>
        <v>1</v>
      </c>
    </row>
    <row r="233" spans="1:11">
      <c r="A233" s="5" t="s">
        <v>304</v>
      </c>
      <c r="B233" s="6">
        <v>45381</v>
      </c>
      <c r="C233" s="7">
        <v>1</v>
      </c>
      <c r="D233" s="5">
        <v>7.27</v>
      </c>
      <c r="E233" s="5">
        <v>263.2</v>
      </c>
      <c r="F233" s="5">
        <v>278.5</v>
      </c>
      <c r="G233" s="6">
        <v>45381</v>
      </c>
      <c r="H233" s="5"/>
      <c r="I233" s="5"/>
      <c r="J233" s="5">
        <f t="shared" si="34"/>
        <v>15.300000000000011</v>
      </c>
      <c r="K233" s="8" t="b">
        <f t="shared" si="35"/>
        <v>1</v>
      </c>
    </row>
    <row r="234" spans="1:11">
      <c r="A234" s="5" t="s">
        <v>307</v>
      </c>
      <c r="B234" s="6">
        <v>45383</v>
      </c>
      <c r="C234" s="7">
        <v>1</v>
      </c>
      <c r="D234" s="5">
        <v>7.27</v>
      </c>
      <c r="E234" s="5">
        <v>278.5</v>
      </c>
      <c r="F234" s="5">
        <v>293.89999999999998</v>
      </c>
      <c r="G234" s="6">
        <v>45383</v>
      </c>
      <c r="H234" s="5"/>
      <c r="I234" s="5"/>
      <c r="J234" s="5">
        <f t="shared" si="34"/>
        <v>15.399999999999977</v>
      </c>
      <c r="K234" s="8" t="b">
        <f t="shared" si="35"/>
        <v>1</v>
      </c>
    </row>
    <row r="235" spans="1:11">
      <c r="A235" s="5" t="s">
        <v>307</v>
      </c>
      <c r="B235" s="6">
        <v>45386</v>
      </c>
      <c r="C235" s="7">
        <v>1</v>
      </c>
      <c r="D235" s="5">
        <v>7.27</v>
      </c>
      <c r="E235" s="5">
        <v>293.89999999999998</v>
      </c>
      <c r="F235" s="5">
        <v>302.5</v>
      </c>
      <c r="G235" s="6">
        <v>45386</v>
      </c>
      <c r="H235" s="5"/>
      <c r="I235" s="5"/>
      <c r="J235" s="5">
        <f t="shared" si="34"/>
        <v>8.6000000000000227</v>
      </c>
      <c r="K235" s="8" t="b">
        <f t="shared" si="35"/>
        <v>1</v>
      </c>
    </row>
    <row r="236" spans="1:11">
      <c r="A236" s="5" t="s">
        <v>304</v>
      </c>
      <c r="B236" s="6">
        <v>45388</v>
      </c>
      <c r="C236" s="7">
        <v>1</v>
      </c>
      <c r="D236" s="5">
        <v>7.27</v>
      </c>
      <c r="E236" s="5">
        <v>302.5</v>
      </c>
      <c r="F236" s="5">
        <v>306.39999999999998</v>
      </c>
      <c r="G236" s="6">
        <v>45388</v>
      </c>
      <c r="H236" s="5"/>
      <c r="I236" s="5"/>
      <c r="J236" s="5">
        <f t="shared" si="34"/>
        <v>3.8999999999999773</v>
      </c>
      <c r="K236" s="8" t="b">
        <f t="shared" si="35"/>
        <v>1</v>
      </c>
    </row>
    <row r="237" spans="1:11">
      <c r="A237" s="5" t="s">
        <v>304</v>
      </c>
      <c r="B237" s="6">
        <v>45390</v>
      </c>
      <c r="C237" s="7">
        <v>0.8</v>
      </c>
      <c r="D237" s="5">
        <v>8.9</v>
      </c>
      <c r="E237" s="5">
        <v>306.39999999999998</v>
      </c>
      <c r="F237" s="5">
        <v>324.39999999999998</v>
      </c>
      <c r="G237" s="6">
        <v>45390</v>
      </c>
      <c r="H237" s="5"/>
      <c r="I237" s="5"/>
      <c r="J237" s="5">
        <f t="shared" si="34"/>
        <v>18</v>
      </c>
      <c r="K237" s="8" t="b">
        <f t="shared" si="35"/>
        <v>1</v>
      </c>
    </row>
    <row r="238" spans="1:11">
      <c r="A238" s="5" t="s">
        <v>304</v>
      </c>
      <c r="B238" s="6">
        <v>45392</v>
      </c>
      <c r="C238" s="7">
        <v>0.8</v>
      </c>
      <c r="D238" s="5">
        <v>8.9</v>
      </c>
      <c r="E238" s="5">
        <v>324.39999999999998</v>
      </c>
      <c r="F238" s="5">
        <v>342.4</v>
      </c>
      <c r="G238" s="6">
        <v>45392</v>
      </c>
      <c r="H238" s="5"/>
      <c r="I238" s="5"/>
      <c r="J238" s="5">
        <f t="shared" si="34"/>
        <v>18</v>
      </c>
      <c r="K238" s="8" t="b">
        <f t="shared" si="35"/>
        <v>1</v>
      </c>
    </row>
    <row r="239" spans="1:11">
      <c r="A239" s="5" t="s">
        <v>304</v>
      </c>
      <c r="B239" s="6">
        <v>45394</v>
      </c>
      <c r="C239" s="7">
        <v>1</v>
      </c>
      <c r="D239" s="5">
        <v>7.27</v>
      </c>
      <c r="E239" s="5">
        <v>342.4</v>
      </c>
      <c r="F239" s="5">
        <v>356.9</v>
      </c>
      <c r="G239" s="6">
        <v>45394</v>
      </c>
      <c r="H239" s="5"/>
      <c r="I239" s="5"/>
      <c r="J239" s="5">
        <f t="shared" si="34"/>
        <v>14.5</v>
      </c>
      <c r="K239" s="8" t="b">
        <f t="shared" si="35"/>
        <v>1</v>
      </c>
    </row>
    <row r="240" spans="1:11">
      <c r="A240" s="5" t="s">
        <v>304</v>
      </c>
      <c r="B240" s="6">
        <v>45398</v>
      </c>
      <c r="C240" s="7">
        <v>1</v>
      </c>
      <c r="D240" s="5">
        <v>7.27</v>
      </c>
      <c r="E240" s="5">
        <v>371.5</v>
      </c>
      <c r="F240" s="5">
        <v>385.9</v>
      </c>
      <c r="G240" s="6">
        <v>45398</v>
      </c>
      <c r="H240" s="5"/>
      <c r="I240" s="5"/>
      <c r="J240" s="5">
        <f t="shared" si="34"/>
        <v>14.399999999999977</v>
      </c>
      <c r="K240" s="8" t="b">
        <f t="shared" si="35"/>
        <v>0</v>
      </c>
    </row>
    <row r="241" spans="1:11">
      <c r="A241" s="5" t="s">
        <v>304</v>
      </c>
      <c r="B241" s="6">
        <v>45402</v>
      </c>
      <c r="C241" s="7">
        <v>0.75</v>
      </c>
      <c r="D241" s="5">
        <v>7.84</v>
      </c>
      <c r="E241" s="5">
        <v>385.9</v>
      </c>
      <c r="F241" s="5">
        <v>405</v>
      </c>
      <c r="G241" s="6">
        <v>45402</v>
      </c>
      <c r="H241" s="5"/>
      <c r="I241" s="5"/>
      <c r="J241" s="5">
        <f t="shared" si="34"/>
        <v>19.100000000000023</v>
      </c>
      <c r="K241" s="8" t="b">
        <f t="shared" si="35"/>
        <v>1</v>
      </c>
    </row>
    <row r="242" spans="1:11">
      <c r="A242" s="5" t="s">
        <v>304</v>
      </c>
      <c r="B242" s="6">
        <v>45404</v>
      </c>
      <c r="C242" s="7">
        <v>1</v>
      </c>
      <c r="D242" s="5">
        <v>7.27</v>
      </c>
      <c r="E242" s="5">
        <v>405</v>
      </c>
      <c r="F242" s="5">
        <v>420.6</v>
      </c>
      <c r="G242" s="6">
        <v>45404</v>
      </c>
      <c r="H242" s="5"/>
      <c r="I242" s="5"/>
      <c r="J242" s="5">
        <f t="shared" si="34"/>
        <v>15.600000000000023</v>
      </c>
      <c r="K242" s="8" t="b">
        <f t="shared" si="35"/>
        <v>1</v>
      </c>
    </row>
    <row r="243" spans="1:11">
      <c r="A243" s="5" t="s">
        <v>304</v>
      </c>
      <c r="B243" s="6">
        <v>45407</v>
      </c>
      <c r="C243" s="7">
        <v>1</v>
      </c>
      <c r="D243" s="5">
        <v>7.27</v>
      </c>
      <c r="E243" s="5">
        <v>435.6</v>
      </c>
      <c r="F243" s="5">
        <v>448.5</v>
      </c>
      <c r="G243" s="6">
        <v>45407</v>
      </c>
      <c r="H243" s="5"/>
      <c r="I243" s="5"/>
      <c r="J243" s="5">
        <f t="shared" si="34"/>
        <v>12.899999999999977</v>
      </c>
      <c r="K243" s="8" t="b">
        <f t="shared" si="35"/>
        <v>0</v>
      </c>
    </row>
    <row r="244" spans="1:11">
      <c r="A244" s="5" t="s">
        <v>304</v>
      </c>
      <c r="B244" s="6">
        <v>45408</v>
      </c>
      <c r="C244" s="7">
        <v>1</v>
      </c>
      <c r="D244" s="5">
        <v>7.27</v>
      </c>
      <c r="E244" s="5">
        <v>448.5</v>
      </c>
      <c r="F244" s="5">
        <v>463.2</v>
      </c>
      <c r="G244" s="6">
        <v>45408</v>
      </c>
      <c r="H244" s="5"/>
      <c r="I244" s="5"/>
      <c r="J244" s="5">
        <f t="shared" si="34"/>
        <v>14.699999999999989</v>
      </c>
      <c r="K244" s="8" t="b">
        <f t="shared" si="35"/>
        <v>1</v>
      </c>
    </row>
    <row r="245" spans="1:11">
      <c r="A245" s="5" t="s">
        <v>304</v>
      </c>
      <c r="B245" s="6">
        <v>45410</v>
      </c>
      <c r="C245" s="7">
        <v>1</v>
      </c>
      <c r="D245" s="5">
        <v>7.27</v>
      </c>
      <c r="E245" s="5">
        <v>463.2</v>
      </c>
      <c r="F245" s="5">
        <v>477.7</v>
      </c>
      <c r="G245" s="6">
        <v>45410</v>
      </c>
      <c r="H245" s="5"/>
      <c r="I245" s="5"/>
      <c r="J245" s="5">
        <f t="shared" si="34"/>
        <v>14.5</v>
      </c>
      <c r="K245" s="8" t="b">
        <f t="shared" si="35"/>
        <v>1</v>
      </c>
    </row>
    <row r="246" spans="1:11">
      <c r="A246" s="5" t="s">
        <v>304</v>
      </c>
      <c r="B246" s="6">
        <v>45412</v>
      </c>
      <c r="C246" s="7">
        <v>0.75</v>
      </c>
      <c r="D246" s="5">
        <v>7.84</v>
      </c>
      <c r="E246" s="5">
        <v>477.7</v>
      </c>
      <c r="F246" s="5">
        <v>496.9</v>
      </c>
      <c r="G246" s="6">
        <v>45412</v>
      </c>
      <c r="H246" s="5"/>
      <c r="I246" s="5"/>
      <c r="J246" s="5">
        <f t="shared" si="34"/>
        <v>19.199999999999989</v>
      </c>
      <c r="K246" s="8" t="b">
        <f t="shared" si="35"/>
        <v>1</v>
      </c>
    </row>
    <row r="247" spans="1:11">
      <c r="A247" s="5" t="s">
        <v>304</v>
      </c>
      <c r="B247" s="6">
        <v>45415</v>
      </c>
      <c r="C247" s="7">
        <v>1</v>
      </c>
      <c r="D247" s="5">
        <v>7.27</v>
      </c>
      <c r="E247" s="5">
        <v>496.9</v>
      </c>
      <c r="F247" s="5">
        <v>511.4</v>
      </c>
      <c r="G247" s="6">
        <v>45415</v>
      </c>
      <c r="H247" s="5"/>
      <c r="I247" s="5"/>
      <c r="J247" s="5">
        <f t="shared" si="34"/>
        <v>14.5</v>
      </c>
      <c r="K247" s="8" t="b">
        <f t="shared" si="35"/>
        <v>1</v>
      </c>
    </row>
    <row r="248" spans="1:11">
      <c r="A248" s="5" t="s">
        <v>304</v>
      </c>
      <c r="B248" s="6">
        <v>45417</v>
      </c>
      <c r="C248" s="7">
        <v>0.8</v>
      </c>
      <c r="D248" s="5">
        <v>8.9</v>
      </c>
      <c r="E248" s="5">
        <v>511.4</v>
      </c>
      <c r="F248" s="5">
        <v>529.4</v>
      </c>
      <c r="G248" s="6">
        <v>45417</v>
      </c>
      <c r="H248" s="5"/>
      <c r="I248" s="5"/>
      <c r="J248" s="5">
        <f t="shared" si="34"/>
        <v>18</v>
      </c>
      <c r="K248" s="8" t="b">
        <f t="shared" si="35"/>
        <v>1</v>
      </c>
    </row>
    <row r="249" spans="1:11">
      <c r="A249" s="5" t="s">
        <v>304</v>
      </c>
      <c r="B249" s="6">
        <v>45420</v>
      </c>
      <c r="C249" s="7">
        <v>1</v>
      </c>
      <c r="D249" s="5">
        <v>7.27</v>
      </c>
      <c r="E249" s="5">
        <v>529.4</v>
      </c>
      <c r="F249" s="5">
        <v>544.20000000000005</v>
      </c>
      <c r="G249" s="6">
        <v>45420</v>
      </c>
      <c r="H249" s="5"/>
      <c r="I249" s="5"/>
      <c r="J249" s="5">
        <f t="shared" si="34"/>
        <v>14.800000000000068</v>
      </c>
      <c r="K249" s="8" t="b">
        <f t="shared" si="35"/>
        <v>1</v>
      </c>
    </row>
    <row r="250" spans="1:11">
      <c r="A250" s="5" t="s">
        <v>304</v>
      </c>
      <c r="B250" s="6">
        <v>45422</v>
      </c>
      <c r="C250" s="7">
        <v>1</v>
      </c>
      <c r="D250" s="5">
        <v>7.27</v>
      </c>
      <c r="E250" s="5">
        <v>544.20000000000005</v>
      </c>
      <c r="F250" s="5">
        <v>558.70000000000005</v>
      </c>
      <c r="G250" s="6">
        <v>45422</v>
      </c>
      <c r="H250" s="5"/>
      <c r="I250" s="5"/>
      <c r="J250" s="5">
        <f t="shared" si="34"/>
        <v>14.5</v>
      </c>
      <c r="K250" s="8" t="b">
        <f t="shared" si="35"/>
        <v>1</v>
      </c>
    </row>
    <row r="251" spans="1:11">
      <c r="A251" s="5" t="s">
        <v>304</v>
      </c>
      <c r="B251" s="6">
        <v>45424</v>
      </c>
      <c r="C251" s="7">
        <v>1</v>
      </c>
      <c r="D251" s="5">
        <v>7.27</v>
      </c>
      <c r="E251" s="5">
        <v>558.70000000000005</v>
      </c>
      <c r="F251" s="5">
        <v>573.20000000000005</v>
      </c>
      <c r="G251" s="6">
        <v>45424</v>
      </c>
      <c r="H251" s="5"/>
      <c r="I251" s="5"/>
      <c r="J251" s="5">
        <f t="shared" si="34"/>
        <v>14.5</v>
      </c>
      <c r="K251" s="8" t="b">
        <f t="shared" si="35"/>
        <v>1</v>
      </c>
    </row>
    <row r="252" spans="1:11">
      <c r="A252" s="5" t="s">
        <v>304</v>
      </c>
      <c r="B252" s="6">
        <v>45426</v>
      </c>
      <c r="C252" s="7">
        <v>0.7</v>
      </c>
      <c r="D252" s="5">
        <v>10.37</v>
      </c>
      <c r="E252" s="5">
        <v>573.20000000000005</v>
      </c>
      <c r="F252" s="5">
        <v>593.6</v>
      </c>
      <c r="G252" s="6">
        <v>45426</v>
      </c>
      <c r="H252" s="5"/>
      <c r="I252" s="5"/>
      <c r="J252" s="5">
        <f t="shared" si="34"/>
        <v>20.399999999999977</v>
      </c>
      <c r="K252" s="8" t="b">
        <f t="shared" si="35"/>
        <v>1</v>
      </c>
    </row>
    <row r="253" spans="1:11">
      <c r="A253" s="5" t="s">
        <v>304</v>
      </c>
      <c r="B253" s="6">
        <v>45429</v>
      </c>
      <c r="C253" s="7">
        <v>1</v>
      </c>
      <c r="D253" s="5">
        <v>7.27</v>
      </c>
      <c r="E253" s="5">
        <v>593.6</v>
      </c>
      <c r="F253" s="5">
        <v>608.20000000000005</v>
      </c>
      <c r="G253" s="6">
        <v>45429</v>
      </c>
      <c r="H253" s="5"/>
      <c r="I253" s="5"/>
      <c r="J253" s="5">
        <f t="shared" ref="J253:J281" si="36">F253-E253</f>
        <v>14.600000000000023</v>
      </c>
      <c r="K253" s="8" t="b">
        <f t="shared" ref="K253:K269" si="37">E253=F252</f>
        <v>1</v>
      </c>
    </row>
    <row r="254" spans="1:11">
      <c r="A254" s="5" t="s">
        <v>304</v>
      </c>
      <c r="B254" s="6">
        <v>45432</v>
      </c>
      <c r="C254" s="7">
        <v>1</v>
      </c>
      <c r="D254" s="5">
        <v>7.27</v>
      </c>
      <c r="E254" s="5">
        <v>608.20000000000005</v>
      </c>
      <c r="F254" s="5">
        <v>622.70000000000005</v>
      </c>
      <c r="G254" s="6">
        <v>45432</v>
      </c>
      <c r="H254" s="5"/>
      <c r="I254" s="5"/>
      <c r="J254" s="5">
        <f t="shared" si="36"/>
        <v>14.5</v>
      </c>
      <c r="K254" s="8" t="b">
        <f t="shared" si="37"/>
        <v>1</v>
      </c>
    </row>
    <row r="255" spans="1:11">
      <c r="A255" s="5" t="s">
        <v>304</v>
      </c>
      <c r="B255" s="6">
        <v>45435</v>
      </c>
      <c r="C255" s="7">
        <v>1</v>
      </c>
      <c r="D255" s="5">
        <v>7.27</v>
      </c>
      <c r="E255" s="5">
        <v>622.70000000000005</v>
      </c>
      <c r="F255" s="5">
        <v>637.1</v>
      </c>
      <c r="G255" s="6">
        <v>45435</v>
      </c>
      <c r="H255" s="5"/>
      <c r="I255" s="5"/>
      <c r="J255" s="5">
        <f t="shared" si="36"/>
        <v>14.399999999999977</v>
      </c>
      <c r="K255" s="8" t="b">
        <f t="shared" si="37"/>
        <v>1</v>
      </c>
    </row>
    <row r="256" spans="1:11">
      <c r="A256" s="5" t="s">
        <v>304</v>
      </c>
      <c r="B256" s="6">
        <v>45439</v>
      </c>
      <c r="C256" s="7">
        <v>0.9</v>
      </c>
      <c r="D256" s="5">
        <v>7.91</v>
      </c>
      <c r="E256" s="5">
        <v>637.1</v>
      </c>
      <c r="F256" s="5">
        <v>651.9</v>
      </c>
      <c r="G256" s="6">
        <v>45439</v>
      </c>
      <c r="H256" s="5"/>
      <c r="I256" s="5"/>
      <c r="J256" s="5">
        <f t="shared" si="36"/>
        <v>14.799999999999955</v>
      </c>
      <c r="K256" s="8" t="b">
        <f t="shared" si="37"/>
        <v>1</v>
      </c>
    </row>
    <row r="257" spans="1:11">
      <c r="A257" s="5" t="s">
        <v>308</v>
      </c>
      <c r="B257" s="6">
        <v>45443</v>
      </c>
      <c r="C257" s="7">
        <v>1</v>
      </c>
      <c r="D257" s="5">
        <v>7.27</v>
      </c>
      <c r="E257" s="5">
        <v>651.9</v>
      </c>
      <c r="F257" s="5">
        <v>663.3</v>
      </c>
      <c r="G257" s="6">
        <v>45443</v>
      </c>
      <c r="H257" s="5"/>
      <c r="I257" s="5"/>
      <c r="J257" s="5">
        <f t="shared" si="36"/>
        <v>11.399999999999977</v>
      </c>
      <c r="K257" s="8" t="b">
        <f t="shared" si="37"/>
        <v>1</v>
      </c>
    </row>
    <row r="258" spans="1:11">
      <c r="A258" s="5" t="s">
        <v>309</v>
      </c>
      <c r="B258" s="6">
        <v>45444</v>
      </c>
      <c r="C258" s="7">
        <v>1</v>
      </c>
      <c r="D258" s="5">
        <v>7.13</v>
      </c>
      <c r="E258" s="5">
        <v>663.3</v>
      </c>
      <c r="F258" s="5">
        <v>667.4</v>
      </c>
      <c r="G258" s="6">
        <v>45444</v>
      </c>
      <c r="H258" s="5"/>
      <c r="I258" s="5"/>
      <c r="J258" s="5">
        <f t="shared" si="36"/>
        <v>4.1000000000000227</v>
      </c>
      <c r="K258" s="8" t="b">
        <f t="shared" si="37"/>
        <v>1</v>
      </c>
    </row>
    <row r="259" spans="1:11">
      <c r="A259" s="5" t="s">
        <v>304</v>
      </c>
      <c r="B259" s="6">
        <v>45446</v>
      </c>
      <c r="C259" s="7">
        <v>1</v>
      </c>
      <c r="D259" s="5">
        <v>7.13</v>
      </c>
      <c r="E259" s="5">
        <v>667.4</v>
      </c>
      <c r="F259" s="5">
        <v>681.9</v>
      </c>
      <c r="G259" s="6">
        <v>45446</v>
      </c>
      <c r="H259" s="5"/>
      <c r="I259" s="5"/>
      <c r="J259" s="5">
        <f t="shared" si="36"/>
        <v>14.5</v>
      </c>
      <c r="K259" s="8" t="b">
        <f t="shared" si="37"/>
        <v>1</v>
      </c>
    </row>
    <row r="260" spans="1:11">
      <c r="A260" s="5" t="s">
        <v>310</v>
      </c>
      <c r="B260" s="6">
        <v>45450</v>
      </c>
      <c r="C260" s="7">
        <v>1</v>
      </c>
      <c r="D260" s="5">
        <v>7.13</v>
      </c>
      <c r="E260" s="5">
        <v>681.9</v>
      </c>
      <c r="F260" s="5">
        <v>690.5</v>
      </c>
      <c r="G260" s="6">
        <v>45450</v>
      </c>
      <c r="H260" s="5"/>
      <c r="I260" s="5"/>
      <c r="J260" s="5">
        <f t="shared" si="36"/>
        <v>8.6000000000000227</v>
      </c>
      <c r="K260" s="8" t="b">
        <f t="shared" si="37"/>
        <v>1</v>
      </c>
    </row>
    <row r="261" spans="1:11">
      <c r="A261" s="5" t="s">
        <v>311</v>
      </c>
      <c r="B261" s="6">
        <v>45451</v>
      </c>
      <c r="C261" s="7">
        <v>1</v>
      </c>
      <c r="D261" s="5">
        <v>7.13</v>
      </c>
      <c r="E261" s="5">
        <v>690.5</v>
      </c>
      <c r="F261" s="5">
        <v>694.1</v>
      </c>
      <c r="G261" s="6">
        <v>45451</v>
      </c>
      <c r="H261" s="5"/>
      <c r="I261" s="5"/>
      <c r="J261" s="5">
        <f t="shared" si="36"/>
        <v>3.6000000000000227</v>
      </c>
      <c r="K261" s="8" t="b">
        <f t="shared" si="37"/>
        <v>1</v>
      </c>
    </row>
    <row r="262" spans="1:11">
      <c r="A262" s="5" t="s">
        <v>304</v>
      </c>
      <c r="B262" s="6">
        <v>45454</v>
      </c>
      <c r="C262" s="7">
        <v>1</v>
      </c>
      <c r="D262" s="5">
        <v>7.13</v>
      </c>
      <c r="E262" s="5">
        <v>694.1</v>
      </c>
      <c r="F262" s="5">
        <v>708.5</v>
      </c>
      <c r="G262" s="6">
        <v>45454</v>
      </c>
      <c r="H262" s="5"/>
      <c r="I262" s="5"/>
      <c r="J262" s="5">
        <f t="shared" si="36"/>
        <v>14.399999999999977</v>
      </c>
      <c r="K262" s="8" t="b">
        <f t="shared" si="37"/>
        <v>1</v>
      </c>
    </row>
    <row r="263" spans="1:11">
      <c r="A263" s="5" t="s">
        <v>301</v>
      </c>
      <c r="B263" s="6">
        <v>45456</v>
      </c>
      <c r="C263" s="7">
        <v>1</v>
      </c>
      <c r="D263" s="5">
        <v>7.27</v>
      </c>
      <c r="E263" s="5">
        <v>708.5</v>
      </c>
      <c r="F263" s="5">
        <v>712.3</v>
      </c>
      <c r="G263" s="6">
        <v>45456</v>
      </c>
      <c r="H263" s="5"/>
      <c r="I263" s="5"/>
      <c r="J263" s="5">
        <f t="shared" si="36"/>
        <v>3.7999999999999545</v>
      </c>
      <c r="K263" s="8" t="b">
        <f t="shared" si="37"/>
        <v>1</v>
      </c>
    </row>
    <row r="264" spans="1:11">
      <c r="A264" s="5" t="s">
        <v>312</v>
      </c>
      <c r="B264" s="6">
        <v>45458</v>
      </c>
      <c r="C264" s="7">
        <v>1</v>
      </c>
      <c r="D264" s="5">
        <v>7.13</v>
      </c>
      <c r="E264" s="5">
        <v>712.3</v>
      </c>
      <c r="F264" s="5">
        <v>723</v>
      </c>
      <c r="G264" s="6">
        <v>45458</v>
      </c>
      <c r="H264" s="5"/>
      <c r="I264" s="5"/>
      <c r="J264" s="5">
        <f t="shared" si="36"/>
        <v>10.700000000000045</v>
      </c>
      <c r="K264" s="8" t="b">
        <f t="shared" si="37"/>
        <v>1</v>
      </c>
    </row>
    <row r="265" spans="1:11">
      <c r="A265" s="5" t="s">
        <v>306</v>
      </c>
      <c r="B265" s="6">
        <v>45462</v>
      </c>
      <c r="C265" s="7">
        <v>1</v>
      </c>
      <c r="D265" s="5">
        <v>7.13</v>
      </c>
      <c r="E265" s="5">
        <v>723</v>
      </c>
      <c r="F265" s="5">
        <v>727.9</v>
      </c>
      <c r="G265" s="6">
        <v>45462</v>
      </c>
      <c r="H265" s="5"/>
      <c r="I265" s="5"/>
      <c r="J265" s="5">
        <f t="shared" si="36"/>
        <v>4.8999999999999773</v>
      </c>
      <c r="K265" s="8" t="b">
        <f t="shared" si="37"/>
        <v>1</v>
      </c>
    </row>
    <row r="266" spans="1:11">
      <c r="A266" s="5" t="s">
        <v>311</v>
      </c>
      <c r="B266" s="6">
        <v>45463</v>
      </c>
      <c r="C266" s="7">
        <v>1</v>
      </c>
      <c r="D266" s="5">
        <v>7.13</v>
      </c>
      <c r="E266" s="5">
        <v>727.9</v>
      </c>
      <c r="F266" s="5">
        <v>731.4</v>
      </c>
      <c r="G266" s="6">
        <v>45463</v>
      </c>
      <c r="H266" s="5"/>
      <c r="I266" s="5"/>
      <c r="J266" s="5">
        <f t="shared" si="36"/>
        <v>3.5</v>
      </c>
      <c r="K266" s="8" t="b">
        <f t="shared" si="37"/>
        <v>1</v>
      </c>
    </row>
    <row r="267" spans="1:11">
      <c r="A267" s="5" t="s">
        <v>313</v>
      </c>
      <c r="B267" s="6">
        <v>45466</v>
      </c>
      <c r="C267" s="7">
        <v>1</v>
      </c>
      <c r="D267" s="5">
        <v>7.13</v>
      </c>
      <c r="E267" s="5">
        <v>731.4</v>
      </c>
      <c r="F267" s="5">
        <v>735.4</v>
      </c>
      <c r="G267" s="6">
        <v>45466</v>
      </c>
      <c r="H267" s="5"/>
      <c r="I267" s="5"/>
      <c r="J267" s="5">
        <f t="shared" si="36"/>
        <v>4</v>
      </c>
      <c r="K267" s="8" t="b">
        <f t="shared" si="37"/>
        <v>1</v>
      </c>
    </row>
    <row r="268" spans="1:11">
      <c r="A268" s="5" t="s">
        <v>304</v>
      </c>
      <c r="B268" s="6">
        <v>45474</v>
      </c>
      <c r="C268" s="7">
        <v>0.8</v>
      </c>
      <c r="D268" s="5">
        <v>8.9</v>
      </c>
      <c r="E268" s="5">
        <v>735.4</v>
      </c>
      <c r="F268" s="5">
        <v>753.4</v>
      </c>
      <c r="G268" s="6">
        <v>45474</v>
      </c>
      <c r="H268" s="5"/>
      <c r="I268" s="5"/>
      <c r="J268" s="5">
        <f t="shared" si="36"/>
        <v>18</v>
      </c>
      <c r="K268" s="8" t="b">
        <f t="shared" si="37"/>
        <v>1</v>
      </c>
    </row>
    <row r="269" spans="1:11">
      <c r="A269" s="5" t="s">
        <v>304</v>
      </c>
      <c r="B269" s="6"/>
      <c r="C269" s="7"/>
      <c r="D269" s="5"/>
      <c r="E269" s="5"/>
      <c r="F269" s="5"/>
      <c r="G269" s="6"/>
      <c r="H269" s="5"/>
      <c r="I269" s="5"/>
      <c r="J269" s="5">
        <f t="shared" si="36"/>
        <v>0</v>
      </c>
      <c r="K269" s="8" t="b">
        <f t="shared" si="37"/>
        <v>0</v>
      </c>
    </row>
    <row r="270" spans="1:11">
      <c r="A270"/>
    </row>
    <row r="271" spans="1:11" ht="26.25">
      <c r="A271" s="199" t="s">
        <v>290</v>
      </c>
      <c r="B271" s="200"/>
      <c r="C271" s="200"/>
      <c r="D271" s="200"/>
      <c r="E271" s="200"/>
      <c r="F271" s="200"/>
      <c r="G271" s="200"/>
      <c r="H271" s="200"/>
      <c r="I271" s="200"/>
      <c r="J271" s="200"/>
      <c r="K271" s="201"/>
    </row>
    <row r="272" spans="1:11" ht="26.25">
      <c r="A272" s="202" t="s">
        <v>48</v>
      </c>
      <c r="B272" s="203"/>
      <c r="C272" s="203"/>
      <c r="D272" s="203"/>
      <c r="E272" s="203"/>
      <c r="F272" s="203"/>
      <c r="G272" s="203"/>
      <c r="H272" s="203"/>
      <c r="I272" s="203"/>
      <c r="J272" s="203"/>
      <c r="K272" s="204"/>
    </row>
    <row r="273" spans="1:11" ht="15.75" thickBot="1"/>
    <row r="274" spans="1:11" ht="15.75" thickBot="1">
      <c r="A274" s="132" t="s">
        <v>2</v>
      </c>
      <c r="B274" s="133"/>
      <c r="C274" s="133"/>
      <c r="D274" s="133"/>
      <c r="E274" s="133"/>
      <c r="F274" s="133"/>
      <c r="G274" s="133"/>
      <c r="H274" s="133"/>
      <c r="I274" s="133"/>
      <c r="J274" s="133"/>
      <c r="K274" s="134"/>
    </row>
    <row r="276" spans="1:11" ht="19.5" thickBot="1">
      <c r="A276" s="54" t="s">
        <v>3</v>
      </c>
      <c r="B276" s="1"/>
      <c r="C276" s="1"/>
      <c r="D276" s="1"/>
      <c r="E276" s="1"/>
      <c r="F276" s="1"/>
      <c r="G276" s="1"/>
      <c r="H276" s="1"/>
      <c r="I276" s="1"/>
    </row>
    <row r="277" spans="1:11" ht="33.75" customHeight="1" thickBot="1">
      <c r="A277" s="2" t="s">
        <v>4</v>
      </c>
      <c r="B277" s="3" t="s">
        <v>5</v>
      </c>
      <c r="C277" s="3" t="s">
        <v>6</v>
      </c>
      <c r="D277" s="3" t="s">
        <v>7</v>
      </c>
      <c r="E277" s="3" t="s">
        <v>8</v>
      </c>
      <c r="F277" s="3" t="s">
        <v>9</v>
      </c>
      <c r="G277" s="3" t="s">
        <v>10</v>
      </c>
      <c r="H277" s="3" t="s">
        <v>21</v>
      </c>
      <c r="I277" s="4" t="s">
        <v>22</v>
      </c>
      <c r="J277" s="4" t="s">
        <v>11</v>
      </c>
      <c r="K277" s="4" t="s">
        <v>12</v>
      </c>
    </row>
    <row r="278" spans="1:11">
      <c r="A278" s="5" t="s">
        <v>314</v>
      </c>
      <c r="B278" s="6">
        <v>45494</v>
      </c>
      <c r="C278" s="7">
        <v>1</v>
      </c>
      <c r="D278" s="5">
        <v>6.37</v>
      </c>
      <c r="E278" s="5">
        <v>753.4</v>
      </c>
      <c r="F278" s="5">
        <v>768.4</v>
      </c>
      <c r="G278" s="6">
        <v>45494</v>
      </c>
      <c r="H278" s="5"/>
      <c r="I278" s="5"/>
      <c r="J278" s="5">
        <f>F278-E278</f>
        <v>15</v>
      </c>
      <c r="K278" s="8" t="b">
        <f t="shared" ref="K278:K281" si="38">E278=F277</f>
        <v>0</v>
      </c>
    </row>
    <row r="279" spans="1:11">
      <c r="A279" s="5" t="s">
        <v>314</v>
      </c>
      <c r="B279" s="6">
        <v>45495</v>
      </c>
      <c r="C279" s="7">
        <v>0.6</v>
      </c>
      <c r="D279" s="5">
        <v>9.8000000000000007</v>
      </c>
      <c r="E279" s="5">
        <v>768.4</v>
      </c>
      <c r="F279" s="5">
        <v>791.9</v>
      </c>
      <c r="G279" s="6">
        <v>45495</v>
      </c>
      <c r="H279" s="5"/>
      <c r="I279" s="5"/>
      <c r="J279" s="5">
        <f t="shared" si="36"/>
        <v>23.5</v>
      </c>
      <c r="K279" s="8" t="b">
        <f t="shared" si="38"/>
        <v>1</v>
      </c>
    </row>
    <row r="280" spans="1:11">
      <c r="A280" s="5" t="s">
        <v>314</v>
      </c>
      <c r="B280" s="6">
        <v>45546</v>
      </c>
      <c r="C280" s="7">
        <v>0.55000000000000004</v>
      </c>
      <c r="D280" s="5">
        <v>10.69</v>
      </c>
      <c r="E280" s="5">
        <v>791.9</v>
      </c>
      <c r="F280" s="5">
        <v>818.2</v>
      </c>
      <c r="G280" s="6">
        <v>45546</v>
      </c>
      <c r="H280" s="5"/>
      <c r="I280" s="5"/>
      <c r="J280" s="5">
        <f t="shared" si="36"/>
        <v>26.300000000000068</v>
      </c>
      <c r="K280" s="8" t="b">
        <f t="shared" si="38"/>
        <v>1</v>
      </c>
    </row>
    <row r="281" spans="1:11">
      <c r="A281" s="5" t="s">
        <v>314</v>
      </c>
      <c r="B281" s="6">
        <v>45547</v>
      </c>
      <c r="C281" s="7">
        <v>0.6</v>
      </c>
      <c r="D281" s="5">
        <v>9.8000000000000007</v>
      </c>
      <c r="E281" s="5">
        <v>818.2</v>
      </c>
      <c r="F281" s="5">
        <v>841.8</v>
      </c>
      <c r="G281" s="6">
        <v>45547</v>
      </c>
      <c r="H281" s="5"/>
      <c r="I281" s="5"/>
      <c r="J281" s="5">
        <f t="shared" si="36"/>
        <v>23.599999999999909</v>
      </c>
      <c r="K281" s="8" t="b">
        <f t="shared" si="38"/>
        <v>1</v>
      </c>
    </row>
    <row r="282" spans="1:11">
      <c r="A282" s="5" t="s">
        <v>314</v>
      </c>
      <c r="B282" s="6">
        <v>45548</v>
      </c>
      <c r="C282" s="7">
        <v>0.6</v>
      </c>
      <c r="D282" s="5">
        <v>9.8000000000000007</v>
      </c>
      <c r="E282" s="5">
        <v>841.8</v>
      </c>
      <c r="F282" s="5">
        <v>865.1</v>
      </c>
      <c r="G282" s="6">
        <v>45548</v>
      </c>
      <c r="H282" s="5"/>
      <c r="I282" s="5"/>
      <c r="J282" s="5">
        <f t="shared" ref="J282:J315" si="39">F282-E282</f>
        <v>23.300000000000068</v>
      </c>
      <c r="K282" s="8" t="b">
        <f t="shared" ref="K282:K315" si="40">E282=F281</f>
        <v>1</v>
      </c>
    </row>
    <row r="283" spans="1:11">
      <c r="A283" s="5" t="s">
        <v>314</v>
      </c>
      <c r="B283" s="6">
        <v>45562</v>
      </c>
      <c r="C283" s="7">
        <v>1</v>
      </c>
      <c r="D283" s="5">
        <v>6.37</v>
      </c>
      <c r="E283" s="5">
        <v>870.2</v>
      </c>
      <c r="F283" s="5">
        <v>877.4</v>
      </c>
      <c r="G283" s="6">
        <v>45562</v>
      </c>
      <c r="H283" s="5"/>
      <c r="I283" s="5"/>
      <c r="J283" s="5">
        <f t="shared" si="39"/>
        <v>7.1999999999999318</v>
      </c>
      <c r="K283" s="8" t="b">
        <f t="shared" si="40"/>
        <v>0</v>
      </c>
    </row>
    <row r="284" spans="1:11">
      <c r="A284" s="5" t="s">
        <v>314</v>
      </c>
      <c r="B284" s="6">
        <v>45563</v>
      </c>
      <c r="C284" s="7">
        <v>1</v>
      </c>
      <c r="D284" s="5">
        <v>6.37</v>
      </c>
      <c r="E284" s="5">
        <v>877.4</v>
      </c>
      <c r="F284" s="5">
        <v>891.4</v>
      </c>
      <c r="G284" s="6">
        <v>45563</v>
      </c>
      <c r="H284" s="5"/>
      <c r="I284" s="5"/>
      <c r="J284" s="5">
        <f t="shared" si="39"/>
        <v>14</v>
      </c>
      <c r="K284" s="8" t="b">
        <f t="shared" si="40"/>
        <v>1</v>
      </c>
    </row>
    <row r="285" spans="1:11">
      <c r="A285" s="5" t="s">
        <v>314</v>
      </c>
      <c r="B285" s="6">
        <v>45564</v>
      </c>
      <c r="C285" s="7">
        <v>1</v>
      </c>
      <c r="D285" s="5">
        <v>6.37</v>
      </c>
      <c r="E285" s="5">
        <v>891.4</v>
      </c>
      <c r="F285" s="5">
        <v>920.7</v>
      </c>
      <c r="G285" s="6">
        <v>45564</v>
      </c>
      <c r="H285" s="5"/>
      <c r="I285" s="5"/>
      <c r="J285" s="5">
        <f t="shared" si="39"/>
        <v>29.300000000000068</v>
      </c>
      <c r="K285" s="8" t="b">
        <f t="shared" si="40"/>
        <v>1</v>
      </c>
    </row>
    <row r="286" spans="1:11">
      <c r="A286" s="5" t="s">
        <v>314</v>
      </c>
      <c r="B286" s="6">
        <v>45565</v>
      </c>
      <c r="C286" s="7">
        <v>1</v>
      </c>
      <c r="D286" s="5">
        <v>6.37</v>
      </c>
      <c r="E286" s="5">
        <v>920.7</v>
      </c>
      <c r="F286" s="5">
        <v>935.2</v>
      </c>
      <c r="G286" s="6">
        <v>45565</v>
      </c>
      <c r="H286" s="5"/>
      <c r="I286" s="5"/>
      <c r="J286" s="5">
        <f t="shared" si="39"/>
        <v>14.5</v>
      </c>
      <c r="K286" s="8" t="b">
        <f t="shared" si="40"/>
        <v>1</v>
      </c>
    </row>
    <row r="287" spans="1:11">
      <c r="A287" s="5" t="s">
        <v>314</v>
      </c>
      <c r="B287" s="6">
        <v>45566</v>
      </c>
      <c r="C287" s="7">
        <v>1</v>
      </c>
      <c r="D287" s="5">
        <v>6.37</v>
      </c>
      <c r="E287" s="5">
        <v>935.2</v>
      </c>
      <c r="F287" s="5">
        <v>949</v>
      </c>
      <c r="G287" s="6">
        <v>45566</v>
      </c>
      <c r="H287" s="5"/>
      <c r="I287" s="5"/>
      <c r="J287" s="5">
        <f t="shared" si="39"/>
        <v>13.799999999999955</v>
      </c>
      <c r="K287" s="8" t="b">
        <f t="shared" si="40"/>
        <v>1</v>
      </c>
    </row>
    <row r="288" spans="1:11">
      <c r="A288" s="5" t="s">
        <v>314</v>
      </c>
      <c r="B288" s="6">
        <v>45567</v>
      </c>
      <c r="C288" s="7">
        <v>1</v>
      </c>
      <c r="D288" s="5">
        <v>6.37</v>
      </c>
      <c r="E288" s="5">
        <v>949</v>
      </c>
      <c r="F288" s="5">
        <v>977.6</v>
      </c>
      <c r="G288" s="6">
        <v>45567</v>
      </c>
      <c r="H288" s="5"/>
      <c r="I288" s="5"/>
      <c r="J288" s="5">
        <f t="shared" si="39"/>
        <v>28.600000000000023</v>
      </c>
      <c r="K288" s="8" t="b">
        <f t="shared" si="40"/>
        <v>1</v>
      </c>
    </row>
    <row r="289" spans="1:11">
      <c r="A289" s="5" t="s">
        <v>314</v>
      </c>
      <c r="B289" s="6">
        <v>45568</v>
      </c>
      <c r="C289" s="7">
        <v>1</v>
      </c>
      <c r="D289" s="5">
        <v>6.37</v>
      </c>
      <c r="E289" s="5">
        <v>977.6</v>
      </c>
      <c r="F289" s="5">
        <v>991.7</v>
      </c>
      <c r="G289" s="6">
        <v>45568</v>
      </c>
      <c r="H289" s="5"/>
      <c r="I289" s="5"/>
      <c r="J289" s="5">
        <f t="shared" si="39"/>
        <v>14.100000000000023</v>
      </c>
      <c r="K289" s="8" t="b">
        <f t="shared" si="40"/>
        <v>1</v>
      </c>
    </row>
    <row r="290" spans="1:11">
      <c r="A290" s="5" t="s">
        <v>314</v>
      </c>
      <c r="B290" s="6">
        <v>45569</v>
      </c>
      <c r="C290" s="7">
        <v>1</v>
      </c>
      <c r="D290" s="5">
        <v>6.37</v>
      </c>
      <c r="E290" s="5">
        <v>991.7</v>
      </c>
      <c r="F290" s="5">
        <v>1020.3</v>
      </c>
      <c r="G290" s="6">
        <v>45569</v>
      </c>
      <c r="H290" s="5"/>
      <c r="I290" s="5"/>
      <c r="J290" s="5">
        <f t="shared" si="39"/>
        <v>28.599999999999909</v>
      </c>
      <c r="K290" s="8" t="b">
        <f t="shared" si="40"/>
        <v>1</v>
      </c>
    </row>
    <row r="291" spans="1:11">
      <c r="A291" s="5" t="s">
        <v>314</v>
      </c>
      <c r="B291" s="6">
        <v>45570</v>
      </c>
      <c r="C291" s="7">
        <v>1</v>
      </c>
      <c r="D291" s="5">
        <v>6.37</v>
      </c>
      <c r="E291" s="5">
        <v>1020.3</v>
      </c>
      <c r="F291" s="5">
        <v>1034.9000000000001</v>
      </c>
      <c r="G291" s="6">
        <v>45570</v>
      </c>
      <c r="H291" s="5"/>
      <c r="I291" s="5"/>
      <c r="J291" s="5">
        <f t="shared" si="39"/>
        <v>14.600000000000136</v>
      </c>
      <c r="K291" s="8" t="b">
        <f t="shared" si="40"/>
        <v>1</v>
      </c>
    </row>
    <row r="292" spans="1:11">
      <c r="A292" s="5" t="s">
        <v>314</v>
      </c>
      <c r="B292" s="6">
        <v>45571</v>
      </c>
      <c r="C292" s="7">
        <v>1</v>
      </c>
      <c r="D292" s="5">
        <v>6.37</v>
      </c>
      <c r="E292" s="5">
        <v>1034.9000000000001</v>
      </c>
      <c r="F292" s="5">
        <v>1063.9000000000001</v>
      </c>
      <c r="G292" s="6">
        <v>45571</v>
      </c>
      <c r="H292" s="5"/>
      <c r="I292" s="5"/>
      <c r="J292" s="5">
        <f t="shared" si="39"/>
        <v>29</v>
      </c>
      <c r="K292" s="8" t="b">
        <f t="shared" si="40"/>
        <v>1</v>
      </c>
    </row>
    <row r="293" spans="1:11">
      <c r="A293" s="5" t="s">
        <v>314</v>
      </c>
      <c r="B293" s="6">
        <v>45572</v>
      </c>
      <c r="C293" s="7">
        <v>1</v>
      </c>
      <c r="D293" s="5">
        <v>6.37</v>
      </c>
      <c r="E293" s="5">
        <v>1063.9000000000001</v>
      </c>
      <c r="F293" s="5">
        <v>1078.2</v>
      </c>
      <c r="G293" s="6">
        <v>45572</v>
      </c>
      <c r="H293" s="5"/>
      <c r="I293" s="5"/>
      <c r="J293" s="5">
        <f t="shared" si="39"/>
        <v>14.299999999999955</v>
      </c>
      <c r="K293" s="8" t="b">
        <f t="shared" si="40"/>
        <v>1</v>
      </c>
    </row>
    <row r="294" spans="1:11">
      <c r="A294" s="5" t="s">
        <v>314</v>
      </c>
      <c r="B294" s="6">
        <v>45573</v>
      </c>
      <c r="C294" s="7">
        <v>1</v>
      </c>
      <c r="D294" s="5">
        <v>6.37</v>
      </c>
      <c r="E294" s="5">
        <v>1078.2</v>
      </c>
      <c r="F294" s="5">
        <v>1092.5</v>
      </c>
      <c r="G294" s="6">
        <v>45573</v>
      </c>
      <c r="H294" s="5"/>
      <c r="I294" s="5"/>
      <c r="J294" s="5">
        <f t="shared" si="39"/>
        <v>14.299999999999955</v>
      </c>
      <c r="K294" s="8" t="b">
        <f t="shared" si="40"/>
        <v>1</v>
      </c>
    </row>
    <row r="295" spans="1:11">
      <c r="A295" s="5" t="s">
        <v>314</v>
      </c>
      <c r="B295" s="6">
        <v>45574</v>
      </c>
      <c r="C295" s="7">
        <v>1</v>
      </c>
      <c r="D295" s="5">
        <v>6.37</v>
      </c>
      <c r="E295" s="5">
        <v>1092.5</v>
      </c>
      <c r="F295" s="5">
        <v>1107</v>
      </c>
      <c r="G295" s="6">
        <v>45574</v>
      </c>
      <c r="H295" s="5"/>
      <c r="I295" s="5"/>
      <c r="J295" s="5">
        <f t="shared" si="39"/>
        <v>14.5</v>
      </c>
      <c r="K295" s="8" t="b">
        <f t="shared" si="40"/>
        <v>1</v>
      </c>
    </row>
    <row r="296" spans="1:11">
      <c r="A296" s="5" t="s">
        <v>314</v>
      </c>
      <c r="B296" s="6">
        <v>45575</v>
      </c>
      <c r="C296" s="7">
        <v>1</v>
      </c>
      <c r="D296" s="5">
        <v>6.37</v>
      </c>
      <c r="E296" s="5">
        <v>1107</v>
      </c>
      <c r="F296" s="5">
        <v>1121.3</v>
      </c>
      <c r="G296" s="6">
        <v>45575</v>
      </c>
      <c r="H296" s="5"/>
      <c r="I296" s="5"/>
      <c r="J296" s="5">
        <f t="shared" si="39"/>
        <v>14.299999999999955</v>
      </c>
      <c r="K296" s="8" t="b">
        <f t="shared" si="40"/>
        <v>1</v>
      </c>
    </row>
    <row r="297" spans="1:11">
      <c r="A297" s="5" t="s">
        <v>314</v>
      </c>
      <c r="B297" s="6">
        <v>45579</v>
      </c>
      <c r="C297" s="7">
        <v>1</v>
      </c>
      <c r="D297" s="5">
        <v>6.37</v>
      </c>
      <c r="E297" s="5">
        <v>1121.3</v>
      </c>
      <c r="F297" s="5">
        <v>1135.5999999999999</v>
      </c>
      <c r="G297" s="6">
        <v>45579</v>
      </c>
      <c r="H297" s="5"/>
      <c r="I297" s="5"/>
      <c r="J297" s="5">
        <f t="shared" si="39"/>
        <v>14.299999999999955</v>
      </c>
      <c r="K297" s="8" t="b">
        <f t="shared" si="40"/>
        <v>1</v>
      </c>
    </row>
    <row r="298" spans="1:11">
      <c r="A298" s="5" t="s">
        <v>314</v>
      </c>
      <c r="B298" s="6"/>
      <c r="C298" s="7"/>
      <c r="D298" s="5"/>
      <c r="E298" s="5"/>
      <c r="F298" s="5"/>
      <c r="G298" s="6"/>
      <c r="H298" s="5"/>
      <c r="I298" s="5"/>
      <c r="J298" s="5">
        <f t="shared" si="39"/>
        <v>0</v>
      </c>
      <c r="K298" s="8" t="b">
        <f t="shared" si="40"/>
        <v>0</v>
      </c>
    </row>
    <row r="299" spans="1:11">
      <c r="A299" s="5" t="s">
        <v>314</v>
      </c>
      <c r="B299" s="6"/>
      <c r="C299" s="7"/>
      <c r="D299" s="5"/>
      <c r="E299" s="5"/>
      <c r="F299" s="5"/>
      <c r="G299" s="6"/>
      <c r="H299" s="5"/>
      <c r="I299" s="5"/>
      <c r="J299" s="5">
        <f t="shared" si="39"/>
        <v>0</v>
      </c>
      <c r="K299" s="8" t="b">
        <f t="shared" si="40"/>
        <v>1</v>
      </c>
    </row>
    <row r="300" spans="1:11">
      <c r="A300" s="5" t="s">
        <v>314</v>
      </c>
      <c r="B300" s="6"/>
      <c r="C300" s="7"/>
      <c r="D300" s="5"/>
      <c r="E300" s="5"/>
      <c r="F300" s="5"/>
      <c r="G300" s="6"/>
      <c r="H300" s="5"/>
      <c r="I300" s="5"/>
      <c r="J300" s="5">
        <f t="shared" si="39"/>
        <v>0</v>
      </c>
      <c r="K300" s="8" t="b">
        <f t="shared" si="40"/>
        <v>1</v>
      </c>
    </row>
    <row r="301" spans="1:11">
      <c r="A301" s="5" t="s">
        <v>314</v>
      </c>
      <c r="B301" s="6"/>
      <c r="C301" s="7"/>
      <c r="D301" s="5"/>
      <c r="E301" s="5"/>
      <c r="F301" s="5"/>
      <c r="G301" s="6"/>
      <c r="H301" s="5"/>
      <c r="I301" s="5"/>
      <c r="J301" s="5">
        <f t="shared" si="39"/>
        <v>0</v>
      </c>
      <c r="K301" s="8" t="b">
        <f t="shared" si="40"/>
        <v>1</v>
      </c>
    </row>
    <row r="302" spans="1:11">
      <c r="A302" s="5" t="s">
        <v>314</v>
      </c>
      <c r="B302" s="6"/>
      <c r="C302" s="7"/>
      <c r="D302" s="5"/>
      <c r="E302" s="5"/>
      <c r="F302" s="5"/>
      <c r="G302" s="6"/>
      <c r="H302" s="5"/>
      <c r="I302" s="5"/>
      <c r="J302" s="5">
        <f t="shared" si="39"/>
        <v>0</v>
      </c>
      <c r="K302" s="8" t="b">
        <f t="shared" si="40"/>
        <v>1</v>
      </c>
    </row>
    <row r="303" spans="1:11">
      <c r="A303" s="5" t="s">
        <v>314</v>
      </c>
      <c r="B303" s="6"/>
      <c r="C303" s="7"/>
      <c r="D303" s="5"/>
      <c r="E303" s="5"/>
      <c r="F303" s="5"/>
      <c r="G303" s="6"/>
      <c r="H303" s="5"/>
      <c r="I303" s="5"/>
      <c r="J303" s="5">
        <f t="shared" si="39"/>
        <v>0</v>
      </c>
      <c r="K303" s="8" t="b">
        <f t="shared" si="40"/>
        <v>1</v>
      </c>
    </row>
    <row r="304" spans="1:11">
      <c r="A304" s="5" t="s">
        <v>314</v>
      </c>
      <c r="B304" s="6"/>
      <c r="C304" s="7"/>
      <c r="D304" s="5"/>
      <c r="E304" s="5"/>
      <c r="F304" s="5"/>
      <c r="G304" s="6"/>
      <c r="H304" s="5"/>
      <c r="I304" s="5"/>
      <c r="J304" s="5">
        <f t="shared" si="39"/>
        <v>0</v>
      </c>
      <c r="K304" s="8" t="b">
        <f t="shared" si="40"/>
        <v>1</v>
      </c>
    </row>
    <row r="305" spans="1:11">
      <c r="A305" s="5" t="s">
        <v>314</v>
      </c>
      <c r="B305" s="6"/>
      <c r="C305" s="7"/>
      <c r="D305" s="5"/>
      <c r="E305" s="5"/>
      <c r="F305" s="5"/>
      <c r="G305" s="6"/>
      <c r="H305" s="5"/>
      <c r="I305" s="5"/>
      <c r="J305" s="5">
        <f t="shared" si="39"/>
        <v>0</v>
      </c>
      <c r="K305" s="8" t="b">
        <f t="shared" si="40"/>
        <v>1</v>
      </c>
    </row>
    <row r="306" spans="1:11">
      <c r="A306" s="5" t="s">
        <v>314</v>
      </c>
      <c r="B306" s="6"/>
      <c r="C306" s="7"/>
      <c r="D306" s="5"/>
      <c r="E306" s="5"/>
      <c r="F306" s="5"/>
      <c r="G306" s="6"/>
      <c r="H306" s="5"/>
      <c r="I306" s="5"/>
      <c r="J306" s="5">
        <f t="shared" si="39"/>
        <v>0</v>
      </c>
      <c r="K306" s="8" t="b">
        <f t="shared" si="40"/>
        <v>1</v>
      </c>
    </row>
    <row r="307" spans="1:11">
      <c r="A307" s="5" t="s">
        <v>314</v>
      </c>
      <c r="B307" s="6"/>
      <c r="C307" s="7"/>
      <c r="D307" s="5"/>
      <c r="E307" s="5"/>
      <c r="F307" s="5"/>
      <c r="G307" s="6"/>
      <c r="H307" s="5"/>
      <c r="I307" s="5"/>
      <c r="J307" s="5">
        <f t="shared" si="39"/>
        <v>0</v>
      </c>
      <c r="K307" s="8" t="b">
        <f t="shared" si="40"/>
        <v>1</v>
      </c>
    </row>
    <row r="308" spans="1:11">
      <c r="A308" s="5" t="s">
        <v>314</v>
      </c>
      <c r="B308" s="6"/>
      <c r="C308" s="7"/>
      <c r="D308" s="5"/>
      <c r="E308" s="5"/>
      <c r="F308" s="5"/>
      <c r="G308" s="6"/>
      <c r="H308" s="5"/>
      <c r="I308" s="5"/>
      <c r="J308" s="5">
        <f t="shared" si="39"/>
        <v>0</v>
      </c>
      <c r="K308" s="8" t="b">
        <f t="shared" si="40"/>
        <v>1</v>
      </c>
    </row>
    <row r="309" spans="1:11">
      <c r="A309" s="5" t="s">
        <v>314</v>
      </c>
      <c r="B309" s="6"/>
      <c r="C309" s="7"/>
      <c r="D309" s="5"/>
      <c r="E309" s="5"/>
      <c r="F309" s="5"/>
      <c r="G309" s="6"/>
      <c r="H309" s="5"/>
      <c r="I309" s="5"/>
      <c r="J309" s="5">
        <f t="shared" si="39"/>
        <v>0</v>
      </c>
      <c r="K309" s="8" t="b">
        <f t="shared" si="40"/>
        <v>1</v>
      </c>
    </row>
    <row r="310" spans="1:11">
      <c r="A310" s="5" t="s">
        <v>314</v>
      </c>
      <c r="B310" s="6"/>
      <c r="C310" s="7"/>
      <c r="D310" s="5"/>
      <c r="E310" s="5"/>
      <c r="F310" s="5"/>
      <c r="G310" s="6"/>
      <c r="H310" s="5"/>
      <c r="I310" s="5"/>
      <c r="J310" s="5">
        <f t="shared" si="39"/>
        <v>0</v>
      </c>
      <c r="K310" s="8" t="b">
        <f t="shared" si="40"/>
        <v>1</v>
      </c>
    </row>
    <row r="311" spans="1:11">
      <c r="A311" s="5" t="s">
        <v>314</v>
      </c>
      <c r="B311" s="6"/>
      <c r="C311" s="7"/>
      <c r="D311" s="5"/>
      <c r="E311" s="5"/>
      <c r="F311" s="5"/>
      <c r="G311" s="6"/>
      <c r="H311" s="5"/>
      <c r="I311" s="5"/>
      <c r="J311" s="5">
        <f t="shared" si="39"/>
        <v>0</v>
      </c>
      <c r="K311" s="8" t="b">
        <f t="shared" si="40"/>
        <v>1</v>
      </c>
    </row>
    <row r="312" spans="1:11">
      <c r="A312" s="5" t="s">
        <v>314</v>
      </c>
      <c r="B312" s="6"/>
      <c r="C312" s="7"/>
      <c r="D312" s="5"/>
      <c r="E312" s="5"/>
      <c r="F312" s="5"/>
      <c r="G312" s="6"/>
      <c r="H312" s="5"/>
      <c r="I312" s="5"/>
      <c r="J312" s="5">
        <f t="shared" si="39"/>
        <v>0</v>
      </c>
      <c r="K312" s="8" t="b">
        <f t="shared" si="40"/>
        <v>1</v>
      </c>
    </row>
    <row r="313" spans="1:11">
      <c r="A313" s="5" t="s">
        <v>314</v>
      </c>
      <c r="B313" s="6"/>
      <c r="C313" s="7"/>
      <c r="D313" s="5"/>
      <c r="E313" s="5"/>
      <c r="F313" s="5"/>
      <c r="G313" s="6"/>
      <c r="H313" s="5"/>
      <c r="I313" s="5"/>
      <c r="J313" s="5">
        <f t="shared" si="39"/>
        <v>0</v>
      </c>
      <c r="K313" s="8" t="b">
        <f t="shared" si="40"/>
        <v>1</v>
      </c>
    </row>
    <row r="314" spans="1:11">
      <c r="A314" s="5" t="s">
        <v>314</v>
      </c>
      <c r="B314" s="6"/>
      <c r="C314" s="7"/>
      <c r="D314" s="5"/>
      <c r="E314" s="5"/>
      <c r="F314" s="5"/>
      <c r="G314" s="6"/>
      <c r="H314" s="5"/>
      <c r="I314" s="5"/>
      <c r="J314" s="5">
        <f t="shared" si="39"/>
        <v>0</v>
      </c>
      <c r="K314" s="8" t="b">
        <f t="shared" si="40"/>
        <v>1</v>
      </c>
    </row>
    <row r="315" spans="1:11">
      <c r="A315" s="5" t="s">
        <v>314</v>
      </c>
      <c r="B315" s="6"/>
      <c r="C315" s="7"/>
      <c r="D315" s="5"/>
      <c r="E315" s="5"/>
      <c r="F315" s="5"/>
      <c r="G315" s="6"/>
      <c r="H315" s="5"/>
      <c r="I315" s="5"/>
      <c r="J315" s="5">
        <f t="shared" si="39"/>
        <v>0</v>
      </c>
      <c r="K315" s="8" t="b">
        <f t="shared" si="40"/>
        <v>1</v>
      </c>
    </row>
  </sheetData>
  <mergeCells count="18">
    <mergeCell ref="A117:K117"/>
    <mergeCell ref="A114:K114"/>
    <mergeCell ref="A94:K94"/>
    <mergeCell ref="A92:K92"/>
    <mergeCell ref="A206:K206"/>
    <mergeCell ref="A188:K188"/>
    <mergeCell ref="A189:K189"/>
    <mergeCell ref="A191:K191"/>
    <mergeCell ref="A1:K1"/>
    <mergeCell ref="A4:K4"/>
    <mergeCell ref="A2:J2"/>
    <mergeCell ref="A91:K91"/>
    <mergeCell ref="A115:K115"/>
    <mergeCell ref="A271:K271"/>
    <mergeCell ref="A274:K274"/>
    <mergeCell ref="A207:J207"/>
    <mergeCell ref="A209:K209"/>
    <mergeCell ref="A272:K272"/>
  </mergeCells>
  <phoneticPr fontId="6" type="noConversion"/>
  <conditionalFormatting sqref="K8:K89 K213:K269 K278:K315">
    <cfRule type="cellIs" dxfId="43" priority="15" operator="equal">
      <formula>TRUE</formula>
    </cfRule>
    <cfRule type="cellIs" dxfId="42" priority="16" operator="equal">
      <formula>FALSE</formula>
    </cfRule>
  </conditionalFormatting>
  <conditionalFormatting sqref="K98:K113">
    <cfRule type="cellIs" dxfId="41" priority="13" operator="equal">
      <formula>TRUE</formula>
    </cfRule>
    <cfRule type="cellIs" dxfId="40" priority="14" operator="equal">
      <formula>FALSE</formula>
    </cfRule>
  </conditionalFormatting>
  <conditionalFormatting sqref="K121:K186">
    <cfRule type="cellIs" dxfId="39" priority="11" operator="equal">
      <formula>TRUE</formula>
    </cfRule>
    <cfRule type="cellIs" dxfId="38" priority="12" operator="equal">
      <formula>FALSE</formula>
    </cfRule>
  </conditionalFormatting>
  <conditionalFormatting sqref="K195:K205">
    <cfRule type="cellIs" dxfId="37" priority="7" operator="equal">
      <formula>TRUE</formula>
    </cfRule>
    <cfRule type="cellIs" dxfId="36" priority="8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BA69-8F6B-4AE4-99D4-E4AA79E65DD6}">
  <sheetPr codeName="Planilha28"/>
  <dimension ref="A1:K143"/>
  <sheetViews>
    <sheetView topLeftCell="A109" workbookViewId="0">
      <selection activeCell="H136" sqref="H136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315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125</v>
      </c>
      <c r="B8" s="6">
        <v>44773</v>
      </c>
      <c r="C8" s="7">
        <v>0.6</v>
      </c>
      <c r="D8" s="5">
        <v>9.7799999999999994</v>
      </c>
      <c r="E8" s="5">
        <v>32.200000000000003</v>
      </c>
      <c r="F8" s="5">
        <v>54.3</v>
      </c>
      <c r="G8" s="6">
        <v>44773</v>
      </c>
      <c r="H8" s="5"/>
      <c r="I8" s="5"/>
      <c r="J8" s="5">
        <f>F8-E8</f>
        <v>22.099999999999994</v>
      </c>
      <c r="K8" s="8" t="b">
        <f>E8=F8</f>
        <v>0</v>
      </c>
    </row>
    <row r="9" spans="1:11">
      <c r="A9" s="5">
        <v>125</v>
      </c>
      <c r="B9" s="6"/>
      <c r="C9" s="7"/>
      <c r="D9" s="5"/>
      <c r="E9" s="5"/>
      <c r="F9" s="5"/>
      <c r="G9" s="6"/>
      <c r="H9" s="5"/>
      <c r="I9" s="5"/>
      <c r="J9" s="5">
        <f>F9-E9</f>
        <v>0</v>
      </c>
      <c r="K9" s="8" t="b">
        <f>E9=F9</f>
        <v>1</v>
      </c>
    </row>
    <row r="11" spans="1:11" ht="26.25">
      <c r="A11" s="126" t="s">
        <v>315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26.25">
      <c r="A12" s="129" t="s">
        <v>17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1"/>
    </row>
    <row r="13" spans="1:11" ht="15.75" thickBot="1"/>
    <row r="14" spans="1:11" ht="15.75" thickBot="1">
      <c r="A14" s="132" t="s">
        <v>2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4"/>
    </row>
    <row r="16" spans="1:11" ht="19.5" thickBot="1">
      <c r="A16" s="1" t="s">
        <v>3</v>
      </c>
      <c r="B16" s="1"/>
      <c r="C16" s="1"/>
      <c r="D16" s="1"/>
      <c r="E16" s="1"/>
      <c r="F16" s="1"/>
      <c r="G16" s="1"/>
      <c r="H16" s="1"/>
      <c r="I16" s="1"/>
    </row>
    <row r="17" spans="1:11" ht="30.75" thickBot="1">
      <c r="A17" s="2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21</v>
      </c>
      <c r="I17" s="4" t="s">
        <v>22</v>
      </c>
      <c r="J17" s="4" t="s">
        <v>11</v>
      </c>
      <c r="K17" s="4" t="s">
        <v>12</v>
      </c>
    </row>
    <row r="18" spans="1:11">
      <c r="A18" s="5">
        <v>125</v>
      </c>
      <c r="B18" s="6">
        <v>44906</v>
      </c>
      <c r="C18" s="7">
        <v>0.6</v>
      </c>
      <c r="D18" s="5">
        <v>9.7799999999999994</v>
      </c>
      <c r="E18" s="5">
        <v>37.1</v>
      </c>
      <c r="F18" s="5">
        <v>54.4</v>
      </c>
      <c r="G18" s="6">
        <v>44906</v>
      </c>
      <c r="H18" s="5"/>
      <c r="I18" s="5"/>
      <c r="J18" s="5">
        <f>F18-E18</f>
        <v>17.299999999999997</v>
      </c>
      <c r="K18" s="8" t="b">
        <f>E18=F18</f>
        <v>0</v>
      </c>
    </row>
    <row r="19" spans="1:11">
      <c r="A19" s="21">
        <v>125</v>
      </c>
      <c r="B19" s="22">
        <v>44928</v>
      </c>
      <c r="C19" s="23">
        <v>0.8</v>
      </c>
      <c r="D19" s="21">
        <v>7.34</v>
      </c>
      <c r="E19" s="21">
        <v>54.4</v>
      </c>
      <c r="F19" s="21">
        <v>68.7</v>
      </c>
      <c r="G19" s="22">
        <v>44928</v>
      </c>
      <c r="H19" s="5"/>
      <c r="I19" s="5"/>
      <c r="J19" s="5">
        <f>F19-E19</f>
        <v>14.300000000000004</v>
      </c>
      <c r="K19" s="8" t="b">
        <f>E19=F19</f>
        <v>0</v>
      </c>
    </row>
    <row r="20" spans="1:11">
      <c r="A20" s="25">
        <v>125</v>
      </c>
      <c r="B20" s="26">
        <v>44929</v>
      </c>
      <c r="C20" s="27">
        <v>1</v>
      </c>
      <c r="D20" s="25">
        <v>5.87</v>
      </c>
      <c r="E20" s="25">
        <v>68.7</v>
      </c>
      <c r="F20" s="25">
        <v>80.599999999999994</v>
      </c>
      <c r="G20" s="26">
        <v>44929</v>
      </c>
      <c r="H20" s="25"/>
      <c r="I20" s="25"/>
      <c r="J20" s="25">
        <f>F20-E20</f>
        <v>11.899999999999991</v>
      </c>
      <c r="K20" s="8" t="b">
        <f>E20=F20</f>
        <v>0</v>
      </c>
    </row>
    <row r="21" spans="1:11">
      <c r="A21" s="5">
        <v>125</v>
      </c>
      <c r="B21" s="6">
        <v>44957</v>
      </c>
      <c r="C21" s="7">
        <v>0.7</v>
      </c>
      <c r="D21" s="5">
        <v>8.39</v>
      </c>
      <c r="E21" s="5">
        <v>80.599999999999994</v>
      </c>
      <c r="F21" s="5">
        <v>96.6</v>
      </c>
      <c r="G21" s="6">
        <v>44957</v>
      </c>
      <c r="H21" s="5"/>
      <c r="I21" s="5"/>
      <c r="J21" s="5">
        <f>F21-E21</f>
        <v>16</v>
      </c>
      <c r="K21" s="8" t="b">
        <f>E21=F21</f>
        <v>0</v>
      </c>
    </row>
    <row r="22" spans="1:11">
      <c r="A22" s="5">
        <v>126</v>
      </c>
      <c r="B22" s="6"/>
      <c r="C22" s="7"/>
      <c r="D22" s="5"/>
      <c r="E22" s="5"/>
      <c r="F22" s="5"/>
      <c r="G22" s="6"/>
      <c r="H22" s="5"/>
      <c r="I22" s="5"/>
      <c r="J22" s="5">
        <f t="shared" ref="J22:J25" si="0">F22-E22</f>
        <v>0</v>
      </c>
      <c r="K22" s="8" t="b">
        <f t="shared" ref="K22:K25" si="1">E22=F22</f>
        <v>1</v>
      </c>
    </row>
    <row r="23" spans="1:11">
      <c r="A23" s="5">
        <v>127</v>
      </c>
      <c r="B23" s="6"/>
      <c r="C23" s="7"/>
      <c r="D23" s="5"/>
      <c r="E23" s="5"/>
      <c r="F23" s="5"/>
      <c r="G23" s="6"/>
      <c r="H23" s="5"/>
      <c r="I23" s="5"/>
      <c r="J23" s="5">
        <f t="shared" si="0"/>
        <v>0</v>
      </c>
      <c r="K23" s="8" t="b">
        <f t="shared" si="1"/>
        <v>1</v>
      </c>
    </row>
    <row r="24" spans="1:11">
      <c r="A24" s="5">
        <v>128</v>
      </c>
      <c r="B24" s="6"/>
      <c r="C24" s="7"/>
      <c r="D24" s="5"/>
      <c r="E24" s="5"/>
      <c r="F24" s="5"/>
      <c r="G24" s="6"/>
      <c r="H24" s="5"/>
      <c r="I24" s="5"/>
      <c r="J24" s="5">
        <f t="shared" si="0"/>
        <v>0</v>
      </c>
      <c r="K24" s="8" t="b">
        <f t="shared" si="1"/>
        <v>1</v>
      </c>
    </row>
    <row r="25" spans="1:11">
      <c r="A25" s="5">
        <v>129</v>
      </c>
      <c r="B25" s="6"/>
      <c r="C25" s="7"/>
      <c r="D25" s="5"/>
      <c r="E25" s="5"/>
      <c r="F25" s="5"/>
      <c r="G25" s="6"/>
      <c r="H25" s="5"/>
      <c r="I25" s="5"/>
      <c r="J25" s="5">
        <f t="shared" si="0"/>
        <v>0</v>
      </c>
      <c r="K25" s="8" t="b">
        <f t="shared" si="1"/>
        <v>1</v>
      </c>
    </row>
    <row r="26" spans="1:11" ht="26.25">
      <c r="A26" s="126" t="s">
        <v>315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8"/>
    </row>
    <row r="27" spans="1:11" ht="26.25">
      <c r="A27" s="129" t="s">
        <v>45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1"/>
    </row>
    <row r="28" spans="1:11" ht="15.75" thickBot="1"/>
    <row r="29" spans="1:11" ht="15.75" thickBot="1">
      <c r="A29" s="132" t="s">
        <v>2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4"/>
    </row>
    <row r="31" spans="1:11" ht="19.5" thickBot="1">
      <c r="A31" s="1" t="s">
        <v>3</v>
      </c>
      <c r="B31" s="1"/>
      <c r="C31" s="1"/>
      <c r="D31" s="1"/>
      <c r="E31" s="1"/>
      <c r="F31" s="1"/>
      <c r="G31" s="1"/>
      <c r="H31" s="1"/>
      <c r="I31" s="1"/>
    </row>
    <row r="32" spans="1:11" ht="30.75" thickBot="1">
      <c r="A32" s="2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21</v>
      </c>
      <c r="I32" s="4" t="s">
        <v>22</v>
      </c>
      <c r="J32" s="4" t="s">
        <v>11</v>
      </c>
      <c r="K32" s="4" t="s">
        <v>12</v>
      </c>
    </row>
    <row r="33" spans="1:11">
      <c r="A33" s="5">
        <v>125</v>
      </c>
      <c r="B33" s="6">
        <v>45036</v>
      </c>
      <c r="C33" s="7">
        <v>1</v>
      </c>
      <c r="D33" s="5">
        <v>5.87</v>
      </c>
      <c r="E33" s="5">
        <v>0</v>
      </c>
      <c r="F33" s="5">
        <v>18.5</v>
      </c>
      <c r="G33" s="6">
        <v>45036</v>
      </c>
      <c r="H33" s="5"/>
      <c r="I33" s="5"/>
      <c r="J33" s="5">
        <f>F33-E33</f>
        <v>18.5</v>
      </c>
      <c r="K33" s="8" t="b">
        <f>E33=F33</f>
        <v>0</v>
      </c>
    </row>
    <row r="34" spans="1:11">
      <c r="A34" s="5">
        <v>125</v>
      </c>
      <c r="B34" s="6">
        <v>45039</v>
      </c>
      <c r="C34" s="7">
        <v>1</v>
      </c>
      <c r="D34" s="5">
        <v>5.87</v>
      </c>
      <c r="E34" s="5">
        <v>18.5</v>
      </c>
      <c r="F34" s="5">
        <v>37.1</v>
      </c>
      <c r="G34" s="6">
        <v>45039</v>
      </c>
      <c r="H34" s="5"/>
      <c r="I34" s="5"/>
      <c r="J34" s="5">
        <f t="shared" ref="J34:J46" si="2">F34-E34</f>
        <v>18.600000000000001</v>
      </c>
      <c r="K34" s="8" t="b">
        <f t="shared" ref="K34:K46" si="3">E34=F34</f>
        <v>0</v>
      </c>
    </row>
    <row r="35" spans="1:11">
      <c r="A35" s="5">
        <v>125</v>
      </c>
      <c r="B35" s="6">
        <v>45040</v>
      </c>
      <c r="C35" s="7">
        <v>1</v>
      </c>
      <c r="D35" s="5">
        <v>5.87</v>
      </c>
      <c r="E35" s="5">
        <v>37.1</v>
      </c>
      <c r="F35" s="5">
        <v>48.6</v>
      </c>
      <c r="G35" s="6">
        <v>45040</v>
      </c>
      <c r="H35" s="5"/>
      <c r="I35" s="5"/>
      <c r="J35" s="5">
        <f t="shared" si="2"/>
        <v>11.5</v>
      </c>
      <c r="K35" s="8" t="b">
        <f t="shared" si="3"/>
        <v>0</v>
      </c>
    </row>
    <row r="36" spans="1:11">
      <c r="A36" s="5">
        <v>125</v>
      </c>
      <c r="B36" s="6">
        <v>45040</v>
      </c>
      <c r="C36" s="7">
        <v>1</v>
      </c>
      <c r="D36" s="5">
        <v>5.87</v>
      </c>
      <c r="E36" s="5">
        <v>48.6</v>
      </c>
      <c r="F36" s="5">
        <v>60.1</v>
      </c>
      <c r="G36" s="6">
        <v>45041</v>
      </c>
      <c r="H36" s="5"/>
      <c r="I36" s="5"/>
      <c r="J36" s="5">
        <f t="shared" si="2"/>
        <v>11.5</v>
      </c>
      <c r="K36" s="8" t="b">
        <f t="shared" si="3"/>
        <v>0</v>
      </c>
    </row>
    <row r="37" spans="1:11">
      <c r="A37" s="5">
        <v>125</v>
      </c>
      <c r="B37" s="6">
        <v>45042</v>
      </c>
      <c r="C37" s="7">
        <v>1</v>
      </c>
      <c r="D37" s="5">
        <v>5.87</v>
      </c>
      <c r="E37" s="5">
        <v>60.1</v>
      </c>
      <c r="F37" s="5">
        <v>72.2</v>
      </c>
      <c r="G37" s="6">
        <v>45042</v>
      </c>
      <c r="H37" s="5"/>
      <c r="I37" s="5"/>
      <c r="J37" s="5">
        <f t="shared" si="2"/>
        <v>12.100000000000001</v>
      </c>
      <c r="K37" s="8" t="b">
        <f t="shared" si="3"/>
        <v>0</v>
      </c>
    </row>
    <row r="38" spans="1:11">
      <c r="A38" s="5">
        <v>125</v>
      </c>
      <c r="B38" s="6">
        <v>45043</v>
      </c>
      <c r="C38" s="7">
        <v>1</v>
      </c>
      <c r="D38" s="5">
        <v>5.87</v>
      </c>
      <c r="E38" s="5">
        <v>72.2</v>
      </c>
      <c r="F38" s="5">
        <v>84.4</v>
      </c>
      <c r="G38" s="6">
        <v>45043</v>
      </c>
      <c r="H38" s="5"/>
      <c r="I38" s="5"/>
      <c r="J38" s="5">
        <f t="shared" si="2"/>
        <v>12.200000000000003</v>
      </c>
      <c r="K38" s="8" t="b">
        <f t="shared" si="3"/>
        <v>0</v>
      </c>
    </row>
    <row r="39" spans="1:11">
      <c r="A39" s="5">
        <v>125</v>
      </c>
      <c r="B39" s="6">
        <v>45044</v>
      </c>
      <c r="C39" s="7">
        <v>1</v>
      </c>
      <c r="D39" s="5">
        <v>5.87</v>
      </c>
      <c r="E39" s="5">
        <v>84.4</v>
      </c>
      <c r="F39" s="5">
        <v>96.1</v>
      </c>
      <c r="G39" s="6">
        <v>45044</v>
      </c>
      <c r="H39" s="5"/>
      <c r="I39" s="5"/>
      <c r="J39" s="5">
        <f t="shared" si="2"/>
        <v>11.699999999999989</v>
      </c>
      <c r="K39" s="8" t="b">
        <f t="shared" si="3"/>
        <v>0</v>
      </c>
    </row>
    <row r="40" spans="1:11">
      <c r="A40" s="5">
        <v>125</v>
      </c>
      <c r="B40" s="6">
        <v>45045</v>
      </c>
      <c r="C40" s="7">
        <v>1</v>
      </c>
      <c r="D40" s="5">
        <v>5.87</v>
      </c>
      <c r="E40" s="5">
        <v>96.1</v>
      </c>
      <c r="F40" s="5">
        <v>107.9</v>
      </c>
      <c r="G40" s="6">
        <v>45045</v>
      </c>
      <c r="H40" s="5"/>
      <c r="I40" s="5"/>
      <c r="J40" s="5">
        <f t="shared" si="2"/>
        <v>11.800000000000011</v>
      </c>
      <c r="K40" s="8" t="b">
        <f t="shared" si="3"/>
        <v>0</v>
      </c>
    </row>
    <row r="41" spans="1:11">
      <c r="A41" s="5">
        <v>125</v>
      </c>
      <c r="B41" s="6">
        <v>45046</v>
      </c>
      <c r="C41" s="7">
        <v>1</v>
      </c>
      <c r="D41" s="5">
        <v>5.87</v>
      </c>
      <c r="E41" s="5">
        <v>107.9</v>
      </c>
      <c r="F41" s="5">
        <v>119</v>
      </c>
      <c r="G41" s="6">
        <v>45046</v>
      </c>
      <c r="H41" s="5"/>
      <c r="I41" s="5"/>
      <c r="J41" s="5">
        <f t="shared" si="2"/>
        <v>11.099999999999994</v>
      </c>
      <c r="K41" s="8" t="b">
        <f t="shared" si="3"/>
        <v>0</v>
      </c>
    </row>
    <row r="42" spans="1:11">
      <c r="A42" s="5">
        <v>125</v>
      </c>
      <c r="B42" s="6">
        <v>45047</v>
      </c>
      <c r="C42" s="7">
        <v>1</v>
      </c>
      <c r="D42" s="5">
        <v>5.87</v>
      </c>
      <c r="E42" s="5">
        <v>119</v>
      </c>
      <c r="F42" s="5">
        <v>130.6</v>
      </c>
      <c r="G42" s="6">
        <v>45047</v>
      </c>
      <c r="H42" s="5"/>
      <c r="I42" s="5"/>
      <c r="J42" s="5">
        <f t="shared" si="2"/>
        <v>11.599999999999994</v>
      </c>
      <c r="K42" s="8" t="b">
        <f t="shared" si="3"/>
        <v>0</v>
      </c>
    </row>
    <row r="43" spans="1:11">
      <c r="A43" s="5">
        <v>125</v>
      </c>
      <c r="B43" s="6">
        <v>45051</v>
      </c>
      <c r="C43" s="7">
        <v>1</v>
      </c>
      <c r="D43" s="5">
        <v>5.87</v>
      </c>
      <c r="E43" s="5">
        <v>130.6</v>
      </c>
      <c r="F43" s="5">
        <v>142.1</v>
      </c>
      <c r="G43" s="6">
        <v>45051</v>
      </c>
      <c r="H43" s="5"/>
      <c r="I43" s="5"/>
      <c r="J43" s="5">
        <f t="shared" si="2"/>
        <v>11.5</v>
      </c>
      <c r="K43" s="8" t="b">
        <f t="shared" si="3"/>
        <v>0</v>
      </c>
    </row>
    <row r="44" spans="1:11">
      <c r="A44" s="5">
        <v>125</v>
      </c>
      <c r="B44" s="6">
        <v>45056</v>
      </c>
      <c r="C44" s="7">
        <v>1</v>
      </c>
      <c r="D44" s="5">
        <v>5.87</v>
      </c>
      <c r="E44" s="5">
        <v>142.1</v>
      </c>
      <c r="F44" s="5">
        <v>154.19999999999999</v>
      </c>
      <c r="G44" s="6">
        <v>45056</v>
      </c>
      <c r="H44" s="5"/>
      <c r="I44" s="5"/>
      <c r="J44" s="5">
        <f t="shared" si="2"/>
        <v>12.099999999999994</v>
      </c>
      <c r="K44" s="8" t="b">
        <f t="shared" si="3"/>
        <v>0</v>
      </c>
    </row>
    <row r="45" spans="1:11">
      <c r="A45" s="5">
        <v>125</v>
      </c>
      <c r="B45" s="6">
        <v>45060</v>
      </c>
      <c r="C45" s="7">
        <v>0.6</v>
      </c>
      <c r="D45" s="5">
        <v>9.7799999999999994</v>
      </c>
      <c r="E45" s="5">
        <v>154.19999999999999</v>
      </c>
      <c r="F45" s="5">
        <v>173.3</v>
      </c>
      <c r="G45" s="6">
        <v>45060</v>
      </c>
      <c r="H45" s="5"/>
      <c r="I45" s="5"/>
      <c r="J45" s="5">
        <f t="shared" si="2"/>
        <v>19.100000000000023</v>
      </c>
      <c r="K45" s="8" t="b">
        <f t="shared" si="3"/>
        <v>0</v>
      </c>
    </row>
    <row r="46" spans="1:11">
      <c r="A46" s="5">
        <v>125</v>
      </c>
      <c r="B46" s="6">
        <v>45065</v>
      </c>
      <c r="C46" s="7">
        <v>0.6</v>
      </c>
      <c r="D46" s="5">
        <v>9.7799999999999994</v>
      </c>
      <c r="E46" s="5">
        <v>173.3</v>
      </c>
      <c r="F46" s="5">
        <v>192.4</v>
      </c>
      <c r="G46" s="6">
        <v>45065</v>
      </c>
      <c r="H46" s="5"/>
      <c r="I46" s="5"/>
      <c r="J46" s="5">
        <f t="shared" si="2"/>
        <v>19.099999999999994</v>
      </c>
      <c r="K46" s="8" t="b">
        <f t="shared" si="3"/>
        <v>0</v>
      </c>
    </row>
    <row r="47" spans="1:11">
      <c r="A47" s="5">
        <v>125</v>
      </c>
      <c r="B47" s="6"/>
      <c r="C47" s="7"/>
      <c r="D47" s="5"/>
      <c r="E47" s="5"/>
      <c r="F47" s="5"/>
      <c r="G47" s="6"/>
      <c r="H47" s="5"/>
      <c r="I47" s="5"/>
      <c r="J47" s="5">
        <f t="shared" ref="J47:J63" si="4">F47-E47</f>
        <v>0</v>
      </c>
      <c r="K47" s="8" t="b">
        <f>E47=F47</f>
        <v>1</v>
      </c>
    </row>
    <row r="48" spans="1:11">
      <c r="A48" s="96"/>
      <c r="B48" s="97"/>
      <c r="C48" s="98"/>
      <c r="D48" s="99"/>
      <c r="E48" s="99"/>
      <c r="F48" s="99"/>
      <c r="G48" s="97"/>
      <c r="H48" s="99"/>
      <c r="I48" s="99"/>
      <c r="J48" s="99"/>
      <c r="K48" s="100"/>
    </row>
    <row r="49" spans="1:11" ht="26.25">
      <c r="A49" s="126" t="s">
        <v>315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8"/>
    </row>
    <row r="50" spans="1:11" ht="26.25">
      <c r="A50" s="129" t="s">
        <v>48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1"/>
    </row>
    <row r="51" spans="1:11" ht="15.75" thickBot="1"/>
    <row r="52" spans="1:11" ht="15.75" thickBot="1">
      <c r="A52" s="132" t="s">
        <v>2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4"/>
    </row>
    <row r="54" spans="1:11" ht="19.5" thickBot="1">
      <c r="A54" s="1" t="s">
        <v>3</v>
      </c>
      <c r="B54" s="1"/>
      <c r="C54" s="1"/>
      <c r="D54" s="1"/>
      <c r="E54" s="1"/>
      <c r="F54" s="1"/>
      <c r="G54" s="1"/>
      <c r="H54" s="1"/>
      <c r="I54" s="1"/>
    </row>
    <row r="55" spans="1:11" ht="30.75" thickBot="1">
      <c r="A55" s="2" t="s">
        <v>4</v>
      </c>
      <c r="B55" s="3" t="s">
        <v>5</v>
      </c>
      <c r="C55" s="3" t="s">
        <v>6</v>
      </c>
      <c r="D55" s="3" t="s">
        <v>7</v>
      </c>
      <c r="E55" s="3" t="s">
        <v>8</v>
      </c>
      <c r="F55" s="3" t="s">
        <v>9</v>
      </c>
      <c r="G55" s="3" t="s">
        <v>10</v>
      </c>
      <c r="H55" s="3" t="s">
        <v>21</v>
      </c>
      <c r="I55" s="4" t="s">
        <v>22</v>
      </c>
      <c r="J55" s="4" t="s">
        <v>11</v>
      </c>
      <c r="K55" s="4" t="s">
        <v>12</v>
      </c>
    </row>
    <row r="56" spans="1:11">
      <c r="A56" s="5">
        <v>125</v>
      </c>
      <c r="B56" s="6">
        <v>45176</v>
      </c>
      <c r="C56" s="7">
        <v>0.45</v>
      </c>
      <c r="D56" s="5">
        <v>13.04</v>
      </c>
      <c r="E56" s="5">
        <v>192.4</v>
      </c>
      <c r="F56" s="5">
        <v>205.6</v>
      </c>
      <c r="G56" s="6">
        <v>45176</v>
      </c>
      <c r="H56" s="5"/>
      <c r="I56" s="5"/>
      <c r="J56" s="5">
        <f t="shared" si="4"/>
        <v>13.199999999999989</v>
      </c>
      <c r="K56" s="8" t="b">
        <f>E56=F56</f>
        <v>0</v>
      </c>
    </row>
    <row r="57" spans="1:11">
      <c r="A57" s="5">
        <v>125</v>
      </c>
      <c r="B57" s="6">
        <v>45177</v>
      </c>
      <c r="C57" s="7">
        <v>0.45</v>
      </c>
      <c r="D57" s="5">
        <v>13.04</v>
      </c>
      <c r="E57" s="5">
        <v>205.6</v>
      </c>
      <c r="F57" s="5">
        <v>218.4</v>
      </c>
      <c r="G57" s="6">
        <v>45177</v>
      </c>
      <c r="H57" s="5"/>
      <c r="I57" s="5"/>
      <c r="J57" s="5">
        <f t="shared" si="4"/>
        <v>12.800000000000011</v>
      </c>
      <c r="K57" s="8" t="b">
        <f>E57=F56</f>
        <v>1</v>
      </c>
    </row>
    <row r="58" spans="1:11">
      <c r="A58" s="5">
        <v>125</v>
      </c>
      <c r="B58" s="6">
        <v>45212</v>
      </c>
      <c r="C58" s="7">
        <v>0.5</v>
      </c>
      <c r="D58" s="5">
        <v>9.7799999999999994</v>
      </c>
      <c r="E58" s="5">
        <v>218.4</v>
      </c>
      <c r="F58" s="5">
        <v>241.7</v>
      </c>
      <c r="G58" s="6">
        <v>45212</v>
      </c>
      <c r="H58" s="5"/>
      <c r="I58" s="5"/>
      <c r="J58" s="5">
        <f t="shared" si="4"/>
        <v>23.299999999999983</v>
      </c>
      <c r="K58" s="8" t="b">
        <f t="shared" ref="K58:K70" si="5">E58=F57</f>
        <v>1</v>
      </c>
    </row>
    <row r="59" spans="1:11">
      <c r="A59" s="5">
        <v>125</v>
      </c>
      <c r="B59" s="6">
        <v>45213</v>
      </c>
      <c r="C59" s="7">
        <v>1</v>
      </c>
      <c r="D59" s="5">
        <v>5.87</v>
      </c>
      <c r="E59" s="5">
        <v>241.7</v>
      </c>
      <c r="F59" s="5">
        <v>253.2</v>
      </c>
      <c r="G59" s="6">
        <v>45213</v>
      </c>
      <c r="H59" s="5"/>
      <c r="I59" s="5"/>
      <c r="J59" s="5">
        <f t="shared" si="4"/>
        <v>11.5</v>
      </c>
      <c r="K59" s="8" t="b">
        <f t="shared" si="5"/>
        <v>1</v>
      </c>
    </row>
    <row r="60" spans="1:11">
      <c r="A60" s="5">
        <v>125</v>
      </c>
      <c r="B60" s="6">
        <v>45214</v>
      </c>
      <c r="C60" s="7">
        <v>1</v>
      </c>
      <c r="D60" s="5">
        <v>5.87</v>
      </c>
      <c r="E60" s="5">
        <v>253.2</v>
      </c>
      <c r="F60" s="5">
        <v>264.60000000000002</v>
      </c>
      <c r="G60" s="6">
        <v>45214</v>
      </c>
      <c r="H60" s="5"/>
      <c r="I60" s="5"/>
      <c r="J60" s="5">
        <f t="shared" si="4"/>
        <v>11.400000000000034</v>
      </c>
      <c r="K60" s="8" t="b">
        <f t="shared" si="5"/>
        <v>1</v>
      </c>
    </row>
    <row r="61" spans="1:11">
      <c r="A61" s="5">
        <v>125</v>
      </c>
      <c r="B61" s="6">
        <v>45215</v>
      </c>
      <c r="C61" s="7">
        <v>1</v>
      </c>
      <c r="D61" s="5">
        <v>5.87</v>
      </c>
      <c r="E61" s="5">
        <v>264.60000000000002</v>
      </c>
      <c r="F61" s="5">
        <v>276.2</v>
      </c>
      <c r="G61" s="6">
        <v>45215</v>
      </c>
      <c r="H61" s="5"/>
      <c r="I61" s="5"/>
      <c r="J61" s="5">
        <f t="shared" si="4"/>
        <v>11.599999999999966</v>
      </c>
      <c r="K61" s="8" t="b">
        <f>E61=F60</f>
        <v>1</v>
      </c>
    </row>
    <row r="62" spans="1:11">
      <c r="A62" s="5">
        <v>125</v>
      </c>
      <c r="B62" s="6">
        <v>45216</v>
      </c>
      <c r="C62" s="7">
        <v>1</v>
      </c>
      <c r="D62" s="5">
        <v>5.87</v>
      </c>
      <c r="E62" s="5">
        <v>276.2</v>
      </c>
      <c r="F62" s="5">
        <v>287.8</v>
      </c>
      <c r="G62" s="6">
        <v>45216</v>
      </c>
      <c r="H62" s="5"/>
      <c r="I62" s="5"/>
      <c r="J62" s="5">
        <f t="shared" si="4"/>
        <v>11.600000000000023</v>
      </c>
      <c r="K62" s="8" t="b">
        <f t="shared" si="5"/>
        <v>1</v>
      </c>
    </row>
    <row r="63" spans="1:11">
      <c r="A63" s="5">
        <v>125</v>
      </c>
      <c r="B63" s="6">
        <v>45216</v>
      </c>
      <c r="C63" s="7">
        <v>1</v>
      </c>
      <c r="D63" s="5">
        <v>5.87</v>
      </c>
      <c r="E63" s="5">
        <v>287.8</v>
      </c>
      <c r="F63" s="5">
        <v>300.10000000000002</v>
      </c>
      <c r="G63" s="6">
        <v>45216</v>
      </c>
      <c r="H63" s="5"/>
      <c r="I63" s="5"/>
      <c r="J63" s="5">
        <f t="shared" si="4"/>
        <v>12.300000000000011</v>
      </c>
      <c r="K63" s="8" t="b">
        <f t="shared" si="5"/>
        <v>1</v>
      </c>
    </row>
    <row r="64" spans="1:11">
      <c r="A64" s="5">
        <v>125</v>
      </c>
      <c r="B64" s="6">
        <v>45217</v>
      </c>
      <c r="C64" s="7">
        <v>1</v>
      </c>
      <c r="D64" s="5">
        <v>5.87</v>
      </c>
      <c r="E64" s="5">
        <v>300.10000000000002</v>
      </c>
      <c r="F64" s="5">
        <v>314.8</v>
      </c>
      <c r="G64" s="6">
        <v>45217</v>
      </c>
      <c r="H64" s="5"/>
      <c r="I64" s="5"/>
      <c r="J64" s="5">
        <f t="shared" ref="J64:J70" si="6">F64-E64</f>
        <v>14.699999999999989</v>
      </c>
      <c r="K64" s="8" t="b">
        <f t="shared" si="5"/>
        <v>1</v>
      </c>
    </row>
    <row r="65" spans="1:11">
      <c r="A65" s="5">
        <v>125</v>
      </c>
      <c r="B65" s="6">
        <v>45218</v>
      </c>
      <c r="C65" s="7">
        <v>1</v>
      </c>
      <c r="D65" s="5">
        <v>5.87</v>
      </c>
      <c r="E65" s="5">
        <v>314.8</v>
      </c>
      <c r="F65" s="5">
        <v>326.2</v>
      </c>
      <c r="G65" s="6">
        <v>45218</v>
      </c>
      <c r="H65" s="5"/>
      <c r="I65" s="5"/>
      <c r="J65" s="5">
        <f t="shared" si="6"/>
        <v>11.399999999999977</v>
      </c>
      <c r="K65" s="8" t="b">
        <f t="shared" si="5"/>
        <v>1</v>
      </c>
    </row>
    <row r="66" spans="1:11">
      <c r="A66" s="5">
        <v>125</v>
      </c>
      <c r="B66" s="6">
        <v>45219</v>
      </c>
      <c r="C66" s="7">
        <v>1</v>
      </c>
      <c r="D66" s="5">
        <v>5.87</v>
      </c>
      <c r="E66" s="5">
        <v>326.2</v>
      </c>
      <c r="F66" s="5">
        <v>337.7</v>
      </c>
      <c r="G66" s="6">
        <v>45219</v>
      </c>
      <c r="H66" s="5"/>
      <c r="I66" s="5"/>
      <c r="J66" s="5">
        <f t="shared" si="6"/>
        <v>11.5</v>
      </c>
      <c r="K66" s="8" t="b">
        <f>E66=F65</f>
        <v>1</v>
      </c>
    </row>
    <row r="67" spans="1:11">
      <c r="A67" s="5">
        <v>125</v>
      </c>
      <c r="B67" s="6">
        <v>45220</v>
      </c>
      <c r="C67" s="7">
        <v>1</v>
      </c>
      <c r="D67" s="5">
        <v>5.87</v>
      </c>
      <c r="E67" s="5">
        <v>337.7</v>
      </c>
      <c r="F67" s="5">
        <v>349.3</v>
      </c>
      <c r="G67" s="6">
        <v>45220</v>
      </c>
      <c r="H67" s="5"/>
      <c r="I67" s="5"/>
      <c r="J67" s="5">
        <f t="shared" si="6"/>
        <v>11.600000000000023</v>
      </c>
      <c r="K67" s="8" t="b">
        <f t="shared" si="5"/>
        <v>1</v>
      </c>
    </row>
    <row r="68" spans="1:11">
      <c r="A68" s="5">
        <v>125</v>
      </c>
      <c r="B68" s="6">
        <v>45221</v>
      </c>
      <c r="C68" s="7">
        <v>1</v>
      </c>
      <c r="D68" s="5">
        <v>5.87</v>
      </c>
      <c r="E68" s="5">
        <v>349.3</v>
      </c>
      <c r="F68" s="5">
        <v>360.9</v>
      </c>
      <c r="G68" s="6">
        <v>45221</v>
      </c>
      <c r="H68" s="5"/>
      <c r="I68" s="5"/>
      <c r="J68" s="5">
        <f t="shared" si="6"/>
        <v>11.599999999999966</v>
      </c>
      <c r="K68" s="8" t="b">
        <f t="shared" si="5"/>
        <v>1</v>
      </c>
    </row>
    <row r="69" spans="1:11">
      <c r="A69" s="5">
        <v>125</v>
      </c>
      <c r="B69" s="6">
        <v>45222</v>
      </c>
      <c r="C69" s="7">
        <v>1</v>
      </c>
      <c r="D69" s="5">
        <v>5.87</v>
      </c>
      <c r="E69" s="5">
        <v>360.9</v>
      </c>
      <c r="F69" s="5">
        <v>372.6</v>
      </c>
      <c r="G69" s="6">
        <v>45222</v>
      </c>
      <c r="H69" s="5"/>
      <c r="I69" s="5"/>
      <c r="J69" s="5">
        <f t="shared" si="6"/>
        <v>11.700000000000045</v>
      </c>
      <c r="K69" s="8" t="b">
        <f t="shared" si="5"/>
        <v>1</v>
      </c>
    </row>
    <row r="70" spans="1:11">
      <c r="A70" s="5">
        <v>125</v>
      </c>
      <c r="B70" s="6">
        <v>45224</v>
      </c>
      <c r="C70" s="7">
        <v>0.8</v>
      </c>
      <c r="D70" s="5">
        <v>7.34</v>
      </c>
      <c r="E70" s="5">
        <v>372.6</v>
      </c>
      <c r="F70" s="5">
        <v>386.8</v>
      </c>
      <c r="G70" s="6">
        <v>45224</v>
      </c>
      <c r="H70" s="5"/>
      <c r="I70" s="5"/>
      <c r="J70" s="5">
        <f t="shared" si="6"/>
        <v>14.199999999999989</v>
      </c>
      <c r="K70" s="8" t="b">
        <f t="shared" si="5"/>
        <v>1</v>
      </c>
    </row>
    <row r="71" spans="1:11">
      <c r="A71" s="5">
        <v>125</v>
      </c>
      <c r="B71" s="6">
        <v>45228</v>
      </c>
      <c r="C71" s="7">
        <v>0.8</v>
      </c>
      <c r="D71" s="5">
        <v>7.34</v>
      </c>
      <c r="E71" s="5">
        <v>386.8</v>
      </c>
      <c r="F71" s="5">
        <v>401.6</v>
      </c>
      <c r="G71" s="6">
        <v>45228</v>
      </c>
      <c r="H71" s="5"/>
      <c r="I71" s="5"/>
      <c r="J71" s="5">
        <f t="shared" ref="J71:J80" si="7">F71-E71</f>
        <v>14.800000000000011</v>
      </c>
      <c r="K71" s="8" t="b">
        <f t="shared" ref="K71:K80" si="8">E71=F70</f>
        <v>1</v>
      </c>
    </row>
    <row r="72" spans="1:11">
      <c r="A72" s="101">
        <v>125</v>
      </c>
      <c r="B72" s="102">
        <v>45230</v>
      </c>
      <c r="C72" s="103">
        <v>0.8</v>
      </c>
      <c r="D72" s="101">
        <v>7.34</v>
      </c>
      <c r="E72" s="101">
        <v>401.6</v>
      </c>
      <c r="F72" s="101">
        <v>406.8</v>
      </c>
      <c r="G72" s="102">
        <v>45230</v>
      </c>
      <c r="H72" s="101"/>
      <c r="I72" s="101"/>
      <c r="J72" s="101">
        <f t="shared" si="7"/>
        <v>5.1999999999999886</v>
      </c>
      <c r="K72" s="8" t="b">
        <f t="shared" si="8"/>
        <v>1</v>
      </c>
    </row>
    <row r="73" spans="1:11">
      <c r="A73" s="5">
        <v>125</v>
      </c>
      <c r="B73" s="6">
        <v>45231</v>
      </c>
      <c r="C73" s="7">
        <v>0.55000000000000004</v>
      </c>
      <c r="D73" s="5">
        <v>10.67</v>
      </c>
      <c r="E73" s="5">
        <v>406.8</v>
      </c>
      <c r="F73" s="5">
        <v>409.2</v>
      </c>
      <c r="G73" s="6">
        <v>45231</v>
      </c>
      <c r="H73" s="5"/>
      <c r="I73" s="5"/>
      <c r="J73" s="5">
        <f t="shared" si="7"/>
        <v>2.3999999999999773</v>
      </c>
      <c r="K73" s="8" t="b">
        <f t="shared" si="8"/>
        <v>1</v>
      </c>
    </row>
    <row r="74" spans="1:11">
      <c r="A74" s="80">
        <v>125</v>
      </c>
      <c r="B74" s="81">
        <v>45232</v>
      </c>
      <c r="C74" s="82">
        <v>1</v>
      </c>
      <c r="D74" s="80">
        <v>5.87</v>
      </c>
      <c r="E74" s="80">
        <v>409.2</v>
      </c>
      <c r="F74" s="80">
        <v>421</v>
      </c>
      <c r="G74" s="81">
        <v>45232</v>
      </c>
      <c r="H74" s="80"/>
      <c r="I74" s="80"/>
      <c r="J74" s="80">
        <f t="shared" si="7"/>
        <v>11.800000000000011</v>
      </c>
      <c r="K74" s="8" t="b">
        <f t="shared" si="8"/>
        <v>1</v>
      </c>
    </row>
    <row r="75" spans="1:11">
      <c r="A75" s="5">
        <v>125</v>
      </c>
      <c r="B75" s="6">
        <v>45235</v>
      </c>
      <c r="C75" s="7">
        <v>0.8</v>
      </c>
      <c r="D75" s="5">
        <v>7.34</v>
      </c>
      <c r="E75" s="5">
        <v>421</v>
      </c>
      <c r="F75" s="5">
        <v>435.3</v>
      </c>
      <c r="G75" s="6">
        <v>45235</v>
      </c>
      <c r="H75" s="5"/>
      <c r="I75" s="5"/>
      <c r="J75" s="5">
        <f t="shared" si="7"/>
        <v>14.300000000000011</v>
      </c>
      <c r="K75" s="8" t="b">
        <f t="shared" si="8"/>
        <v>1</v>
      </c>
    </row>
    <row r="76" spans="1:11">
      <c r="A76" s="5">
        <v>125</v>
      </c>
      <c r="B76" s="6">
        <v>45237</v>
      </c>
      <c r="C76" s="7">
        <v>0.8</v>
      </c>
      <c r="D76" s="5">
        <v>7.34</v>
      </c>
      <c r="E76" s="5">
        <v>435.3</v>
      </c>
      <c r="F76" s="5">
        <v>450</v>
      </c>
      <c r="G76" s="6">
        <v>45237</v>
      </c>
      <c r="H76" s="5"/>
      <c r="I76" s="5"/>
      <c r="J76" s="5">
        <f t="shared" si="7"/>
        <v>14.699999999999989</v>
      </c>
      <c r="K76" s="8" t="b">
        <f t="shared" si="8"/>
        <v>1</v>
      </c>
    </row>
    <row r="77" spans="1:11">
      <c r="A77" s="5">
        <v>125</v>
      </c>
      <c r="B77" s="6">
        <v>45239</v>
      </c>
      <c r="C77" s="7">
        <v>1</v>
      </c>
      <c r="D77" s="5">
        <v>5.87</v>
      </c>
      <c r="E77" s="5">
        <v>450</v>
      </c>
      <c r="F77" s="5">
        <v>461.5</v>
      </c>
      <c r="G77" s="6">
        <v>45239</v>
      </c>
      <c r="H77" s="5"/>
      <c r="I77" s="5"/>
      <c r="J77" s="5">
        <f t="shared" si="7"/>
        <v>11.5</v>
      </c>
      <c r="K77" s="8" t="b">
        <f t="shared" si="8"/>
        <v>1</v>
      </c>
    </row>
    <row r="78" spans="1:11">
      <c r="A78" s="5">
        <v>125</v>
      </c>
      <c r="B78" s="6">
        <v>45241</v>
      </c>
      <c r="C78" s="7">
        <v>0.7</v>
      </c>
      <c r="D78" s="5">
        <v>8.39</v>
      </c>
      <c r="E78" s="5">
        <v>461.5</v>
      </c>
      <c r="F78" s="5">
        <v>477.8</v>
      </c>
      <c r="G78" s="6">
        <v>45241</v>
      </c>
      <c r="H78" s="5"/>
      <c r="I78" s="5"/>
      <c r="J78" s="5">
        <f t="shared" si="7"/>
        <v>16.300000000000011</v>
      </c>
      <c r="K78" s="8" t="b">
        <f t="shared" si="8"/>
        <v>1</v>
      </c>
    </row>
    <row r="79" spans="1:11">
      <c r="A79" s="5">
        <v>125</v>
      </c>
      <c r="B79" s="6">
        <v>45243</v>
      </c>
      <c r="C79" s="7">
        <v>0.7</v>
      </c>
      <c r="D79" s="5">
        <v>8.39</v>
      </c>
      <c r="E79" s="5">
        <v>477.8</v>
      </c>
      <c r="F79" s="5">
        <v>494.2</v>
      </c>
      <c r="G79" s="6">
        <v>45243</v>
      </c>
      <c r="H79" s="5"/>
      <c r="I79" s="5"/>
      <c r="J79" s="5">
        <f t="shared" si="7"/>
        <v>16.399999999999977</v>
      </c>
      <c r="K79" s="8" t="b">
        <f t="shared" si="8"/>
        <v>1</v>
      </c>
    </row>
    <row r="80" spans="1:11">
      <c r="A80" s="5">
        <v>125</v>
      </c>
      <c r="B80" s="6">
        <v>45245</v>
      </c>
      <c r="C80" s="7">
        <v>0.65</v>
      </c>
      <c r="D80" s="5">
        <v>9.0299999999999994</v>
      </c>
      <c r="E80" s="5">
        <v>494.2</v>
      </c>
      <c r="F80" s="5">
        <v>511.8</v>
      </c>
      <c r="G80" s="6">
        <v>45245</v>
      </c>
      <c r="H80" s="5"/>
      <c r="I80" s="5"/>
      <c r="J80" s="5">
        <f t="shared" si="7"/>
        <v>17.600000000000023</v>
      </c>
      <c r="K80" s="8" t="b">
        <f t="shared" si="8"/>
        <v>1</v>
      </c>
    </row>
    <row r="81" spans="1:11">
      <c r="A81" s="5">
        <v>125</v>
      </c>
      <c r="B81" s="6">
        <v>45247</v>
      </c>
      <c r="C81" s="7">
        <v>0.55000000000000004</v>
      </c>
      <c r="D81" s="5">
        <v>10.67</v>
      </c>
      <c r="E81" s="5">
        <v>511.8</v>
      </c>
      <c r="F81" s="5">
        <v>532.79999999999995</v>
      </c>
      <c r="G81" s="6">
        <v>45247</v>
      </c>
      <c r="H81" s="5"/>
      <c r="I81" s="5"/>
      <c r="J81" s="5">
        <f t="shared" ref="J81:J95" si="9">F81-E81</f>
        <v>20.999999999999943</v>
      </c>
      <c r="K81" s="8" t="b">
        <f t="shared" ref="K81:K95" si="10">E81=F80</f>
        <v>1</v>
      </c>
    </row>
    <row r="82" spans="1:11">
      <c r="A82" s="5">
        <v>125</v>
      </c>
      <c r="B82" s="6">
        <v>45249</v>
      </c>
      <c r="C82" s="7">
        <v>0.4</v>
      </c>
      <c r="D82" s="5">
        <v>14.68</v>
      </c>
      <c r="E82" s="5">
        <v>532.79999999999995</v>
      </c>
      <c r="F82" s="5">
        <v>561.20000000000005</v>
      </c>
      <c r="G82" s="6">
        <v>45249</v>
      </c>
      <c r="H82" s="5"/>
      <c r="I82" s="5"/>
      <c r="J82" s="5">
        <f t="shared" si="9"/>
        <v>28.400000000000091</v>
      </c>
      <c r="K82" s="8" t="b">
        <f t="shared" si="10"/>
        <v>1</v>
      </c>
    </row>
    <row r="83" spans="1:11">
      <c r="A83" s="5">
        <v>125</v>
      </c>
      <c r="B83" s="6">
        <v>45251</v>
      </c>
      <c r="C83" s="7">
        <v>0.6</v>
      </c>
      <c r="D83" s="5">
        <v>9.7799999999999994</v>
      </c>
      <c r="E83" s="5">
        <v>561.20000000000005</v>
      </c>
      <c r="F83" s="5">
        <v>580.29999999999995</v>
      </c>
      <c r="G83" s="6">
        <v>45251</v>
      </c>
      <c r="H83" s="5"/>
      <c r="I83" s="5"/>
      <c r="J83" s="5">
        <f t="shared" si="9"/>
        <v>19.099999999999909</v>
      </c>
      <c r="K83" s="8" t="b">
        <f t="shared" si="10"/>
        <v>1</v>
      </c>
    </row>
    <row r="84" spans="1:11">
      <c r="A84" s="5">
        <v>125</v>
      </c>
      <c r="B84" s="6">
        <v>45253</v>
      </c>
      <c r="C84" s="7">
        <v>0.6</v>
      </c>
      <c r="D84" s="5">
        <v>9.7799999999999994</v>
      </c>
      <c r="E84" s="5">
        <v>580.29999999999995</v>
      </c>
      <c r="F84" s="5">
        <v>599.5</v>
      </c>
      <c r="G84" s="6">
        <v>45253</v>
      </c>
      <c r="H84" s="5"/>
      <c r="I84" s="5"/>
      <c r="J84" s="5">
        <f t="shared" si="9"/>
        <v>19.200000000000045</v>
      </c>
      <c r="K84" s="8" t="b">
        <f t="shared" si="10"/>
        <v>1</v>
      </c>
    </row>
    <row r="85" spans="1:11">
      <c r="A85" s="5">
        <v>125</v>
      </c>
      <c r="B85" s="6">
        <v>45255</v>
      </c>
      <c r="C85" s="7">
        <v>0.6</v>
      </c>
      <c r="D85" s="5">
        <v>9.7799999999999994</v>
      </c>
      <c r="E85" s="5">
        <v>599.5</v>
      </c>
      <c r="F85" s="5">
        <v>618.5</v>
      </c>
      <c r="G85" s="6">
        <v>45255</v>
      </c>
      <c r="H85" s="5"/>
      <c r="I85" s="5"/>
      <c r="J85" s="5">
        <f t="shared" si="9"/>
        <v>19</v>
      </c>
      <c r="K85" s="8" t="b">
        <f t="shared" si="10"/>
        <v>1</v>
      </c>
    </row>
    <row r="86" spans="1:11">
      <c r="A86" s="5">
        <v>125</v>
      </c>
      <c r="B86" s="6">
        <v>45257</v>
      </c>
      <c r="C86" s="7">
        <v>0.6</v>
      </c>
      <c r="D86" s="5">
        <v>9.7799999999999994</v>
      </c>
      <c r="E86" s="5">
        <v>618.5</v>
      </c>
      <c r="F86" s="5">
        <v>637.70000000000005</v>
      </c>
      <c r="G86" s="6">
        <v>45257</v>
      </c>
      <c r="H86" s="5"/>
      <c r="I86" s="5"/>
      <c r="J86" s="5">
        <f t="shared" si="9"/>
        <v>19.200000000000045</v>
      </c>
      <c r="K86" s="8" t="b">
        <f t="shared" si="10"/>
        <v>1</v>
      </c>
    </row>
    <row r="87" spans="1:11">
      <c r="A87" s="5">
        <v>125</v>
      </c>
      <c r="B87" s="6">
        <v>45259</v>
      </c>
      <c r="C87" s="7">
        <v>0.6</v>
      </c>
      <c r="D87" s="5">
        <v>9.7799999999999994</v>
      </c>
      <c r="E87" s="5">
        <v>637.70000000000005</v>
      </c>
      <c r="F87" s="5">
        <v>656.7</v>
      </c>
      <c r="G87" s="6">
        <v>45259</v>
      </c>
      <c r="H87" s="5"/>
      <c r="I87" s="5"/>
      <c r="J87" s="5">
        <f t="shared" si="9"/>
        <v>19</v>
      </c>
      <c r="K87" s="8" t="b">
        <f t="shared" si="10"/>
        <v>1</v>
      </c>
    </row>
    <row r="88" spans="1:11">
      <c r="A88" s="5">
        <v>125</v>
      </c>
      <c r="B88" s="6">
        <v>45261</v>
      </c>
      <c r="C88" s="7">
        <v>0.6</v>
      </c>
      <c r="D88" s="5">
        <v>9.7799999999999994</v>
      </c>
      <c r="E88" s="5">
        <v>656.7</v>
      </c>
      <c r="F88" s="5">
        <v>676.1</v>
      </c>
      <c r="G88" s="6">
        <v>45261</v>
      </c>
      <c r="H88" s="5"/>
      <c r="I88" s="5"/>
      <c r="J88" s="5">
        <f t="shared" si="9"/>
        <v>19.399999999999977</v>
      </c>
      <c r="K88" s="8" t="b">
        <f t="shared" si="10"/>
        <v>1</v>
      </c>
    </row>
    <row r="89" spans="1:11">
      <c r="A89" s="5">
        <v>125</v>
      </c>
      <c r="B89" s="6">
        <v>45265</v>
      </c>
      <c r="C89" s="7">
        <v>0.6</v>
      </c>
      <c r="D89" s="5">
        <v>9.7799999999999994</v>
      </c>
      <c r="E89" s="5">
        <v>676.1</v>
      </c>
      <c r="F89" s="5">
        <v>695.9</v>
      </c>
      <c r="G89" s="6">
        <v>45265</v>
      </c>
      <c r="H89" s="5"/>
      <c r="I89" s="5"/>
      <c r="J89" s="5">
        <f t="shared" si="9"/>
        <v>19.799999999999955</v>
      </c>
      <c r="K89" s="8" t="b">
        <f t="shared" si="10"/>
        <v>1</v>
      </c>
    </row>
    <row r="90" spans="1:11">
      <c r="A90" s="5">
        <v>125</v>
      </c>
      <c r="B90" s="6">
        <v>45267</v>
      </c>
      <c r="C90" s="7">
        <v>0.6</v>
      </c>
      <c r="D90" s="5">
        <v>9.7799999999999994</v>
      </c>
      <c r="E90" s="5">
        <v>695.9</v>
      </c>
      <c r="F90" s="5">
        <v>716.4</v>
      </c>
      <c r="G90" s="6">
        <v>45267</v>
      </c>
      <c r="H90" s="5"/>
      <c r="I90" s="5"/>
      <c r="J90" s="5">
        <f t="shared" si="9"/>
        <v>20.5</v>
      </c>
      <c r="K90" s="8" t="b">
        <f t="shared" si="10"/>
        <v>1</v>
      </c>
    </row>
    <row r="91" spans="1:11">
      <c r="A91" s="5">
        <v>125</v>
      </c>
      <c r="B91" s="6">
        <v>45269</v>
      </c>
      <c r="C91" s="7">
        <v>0.5</v>
      </c>
      <c r="D91" s="5">
        <v>11.74</v>
      </c>
      <c r="E91" s="5">
        <v>716.4</v>
      </c>
      <c r="F91" s="5">
        <v>740.6</v>
      </c>
      <c r="G91" s="6">
        <v>45269</v>
      </c>
      <c r="H91" s="5"/>
      <c r="I91" s="5"/>
      <c r="J91" s="5">
        <f t="shared" si="9"/>
        <v>24.200000000000045</v>
      </c>
      <c r="K91" s="8" t="b">
        <f t="shared" si="10"/>
        <v>1</v>
      </c>
    </row>
    <row r="92" spans="1:11">
      <c r="A92" s="5">
        <v>125</v>
      </c>
      <c r="B92" s="6">
        <v>45271</v>
      </c>
      <c r="C92" s="7">
        <v>0.6</v>
      </c>
      <c r="D92" s="5">
        <v>9.7799999999999994</v>
      </c>
      <c r="E92" s="5">
        <v>740.6</v>
      </c>
      <c r="F92" s="5">
        <v>761.3</v>
      </c>
      <c r="G92" s="6">
        <v>45271</v>
      </c>
      <c r="H92" s="5"/>
      <c r="I92" s="5"/>
      <c r="J92" s="5">
        <f t="shared" si="9"/>
        <v>20.699999999999932</v>
      </c>
      <c r="K92" s="8" t="b">
        <f t="shared" si="10"/>
        <v>1</v>
      </c>
    </row>
    <row r="93" spans="1:11">
      <c r="A93" s="5">
        <v>125</v>
      </c>
      <c r="B93" s="6">
        <v>45274</v>
      </c>
      <c r="C93" s="7">
        <v>0.8</v>
      </c>
      <c r="D93" s="5">
        <v>7.34</v>
      </c>
      <c r="E93" s="5">
        <v>761.3</v>
      </c>
      <c r="F93" s="5">
        <v>775.7</v>
      </c>
      <c r="G93" s="6">
        <v>45274</v>
      </c>
      <c r="H93" s="5"/>
      <c r="I93" s="5"/>
      <c r="J93" s="5">
        <f t="shared" si="9"/>
        <v>14.400000000000091</v>
      </c>
      <c r="K93" s="8" t="b">
        <f t="shared" si="10"/>
        <v>1</v>
      </c>
    </row>
    <row r="94" spans="1:11">
      <c r="A94" s="5">
        <v>125</v>
      </c>
      <c r="B94" s="6">
        <v>45276</v>
      </c>
      <c r="C94" s="7">
        <v>0.5</v>
      </c>
      <c r="D94" s="5">
        <v>11.74</v>
      </c>
      <c r="E94" s="5">
        <v>775.7</v>
      </c>
      <c r="F94" s="5">
        <v>798.5</v>
      </c>
      <c r="G94" s="6">
        <v>45276</v>
      </c>
      <c r="H94" s="5"/>
      <c r="I94" s="5"/>
      <c r="J94" s="5">
        <f t="shared" si="9"/>
        <v>22.799999999999955</v>
      </c>
      <c r="K94" s="8" t="b">
        <f t="shared" si="10"/>
        <v>1</v>
      </c>
    </row>
    <row r="95" spans="1:11">
      <c r="A95" s="5">
        <v>125</v>
      </c>
      <c r="B95" s="6">
        <v>45280</v>
      </c>
      <c r="C95" s="7">
        <v>0.6</v>
      </c>
      <c r="D95" s="5">
        <v>9.7799999999999994</v>
      </c>
      <c r="E95" s="5">
        <v>798.5</v>
      </c>
      <c r="F95" s="5">
        <v>819.4</v>
      </c>
      <c r="G95" s="6">
        <v>45280</v>
      </c>
      <c r="H95" s="5"/>
      <c r="I95" s="5"/>
      <c r="J95" s="5">
        <f t="shared" si="9"/>
        <v>20.899999999999977</v>
      </c>
      <c r="K95" s="8" t="b">
        <f t="shared" si="10"/>
        <v>1</v>
      </c>
    </row>
    <row r="96" spans="1:11">
      <c r="A96" s="101">
        <v>125</v>
      </c>
      <c r="B96" s="102">
        <v>45282</v>
      </c>
      <c r="C96" s="103">
        <v>1</v>
      </c>
      <c r="D96" s="101">
        <v>5.87</v>
      </c>
      <c r="E96" s="101">
        <v>819.4</v>
      </c>
      <c r="F96" s="101">
        <v>829.7</v>
      </c>
      <c r="G96" s="102">
        <v>45282</v>
      </c>
      <c r="H96" s="101"/>
      <c r="I96" s="101"/>
      <c r="J96" s="101">
        <f t="shared" ref="J96:J106" si="11">F96-E96</f>
        <v>10.300000000000068</v>
      </c>
      <c r="K96" s="8" t="b">
        <f t="shared" ref="K96:K106" si="12">E96=F95</f>
        <v>1</v>
      </c>
    </row>
    <row r="97" spans="1:11">
      <c r="A97" s="5">
        <v>125</v>
      </c>
      <c r="B97" s="6">
        <v>45286</v>
      </c>
      <c r="C97" s="7">
        <v>0.8</v>
      </c>
      <c r="D97" s="5">
        <v>7.34</v>
      </c>
      <c r="E97" s="5">
        <v>829.7</v>
      </c>
      <c r="F97" s="5">
        <v>844</v>
      </c>
      <c r="G97" s="6">
        <v>45286</v>
      </c>
      <c r="H97" s="5"/>
      <c r="I97" s="5"/>
      <c r="J97" s="5">
        <f t="shared" si="11"/>
        <v>14.299999999999955</v>
      </c>
      <c r="K97" s="8" t="b">
        <f t="shared" si="12"/>
        <v>1</v>
      </c>
    </row>
    <row r="98" spans="1:11">
      <c r="A98" s="5">
        <v>125</v>
      </c>
      <c r="B98" s="6">
        <v>45288</v>
      </c>
      <c r="C98" s="7">
        <v>0.6</v>
      </c>
      <c r="D98" s="5">
        <v>9.7799999999999994</v>
      </c>
      <c r="E98" s="5">
        <v>844</v>
      </c>
      <c r="F98" s="5">
        <v>863</v>
      </c>
      <c r="G98" s="6">
        <v>45288</v>
      </c>
      <c r="H98" s="5"/>
      <c r="I98" s="5"/>
      <c r="J98" s="5">
        <f t="shared" si="11"/>
        <v>19</v>
      </c>
      <c r="K98" s="8" t="b">
        <f t="shared" si="12"/>
        <v>1</v>
      </c>
    </row>
    <row r="99" spans="1:11">
      <c r="A99" s="5">
        <v>125</v>
      </c>
      <c r="B99" s="6">
        <v>45290</v>
      </c>
      <c r="C99" s="7">
        <v>1</v>
      </c>
      <c r="D99" s="5">
        <v>6.6</v>
      </c>
      <c r="E99" s="5">
        <v>863</v>
      </c>
      <c r="F99" s="5">
        <v>877.5</v>
      </c>
      <c r="G99" s="6">
        <v>45290</v>
      </c>
      <c r="H99" s="5"/>
      <c r="I99" s="5"/>
      <c r="J99" s="5">
        <f t="shared" si="11"/>
        <v>14.5</v>
      </c>
      <c r="K99" s="8" t="b">
        <f t="shared" si="12"/>
        <v>1</v>
      </c>
    </row>
    <row r="100" spans="1:11">
      <c r="A100" s="80">
        <v>125</v>
      </c>
      <c r="B100" s="81">
        <v>45296</v>
      </c>
      <c r="C100" s="82">
        <v>1</v>
      </c>
      <c r="D100" s="80">
        <v>6.6</v>
      </c>
      <c r="E100" s="80">
        <v>877.5</v>
      </c>
      <c r="F100" s="80">
        <v>889.1</v>
      </c>
      <c r="G100" s="81">
        <v>45296</v>
      </c>
      <c r="H100" s="80"/>
      <c r="I100" s="80"/>
      <c r="J100" s="80">
        <f t="shared" si="11"/>
        <v>11.600000000000023</v>
      </c>
      <c r="K100" s="8" t="b">
        <f t="shared" si="12"/>
        <v>1</v>
      </c>
    </row>
    <row r="101" spans="1:11">
      <c r="A101" s="5">
        <v>125</v>
      </c>
      <c r="B101" s="6">
        <v>45303</v>
      </c>
      <c r="C101" s="7">
        <v>1</v>
      </c>
      <c r="D101" s="5">
        <v>6.6</v>
      </c>
      <c r="E101" s="5">
        <v>889.1</v>
      </c>
      <c r="F101" s="5">
        <v>900.6</v>
      </c>
      <c r="G101" s="6">
        <v>45303</v>
      </c>
      <c r="H101" s="5"/>
      <c r="I101" s="5"/>
      <c r="J101" s="5">
        <f t="shared" si="11"/>
        <v>11.5</v>
      </c>
      <c r="K101" s="8" t="b">
        <f t="shared" si="12"/>
        <v>1</v>
      </c>
    </row>
    <row r="102" spans="1:11">
      <c r="A102" s="5">
        <v>125</v>
      </c>
      <c r="B102" s="6">
        <v>45304</v>
      </c>
      <c r="C102" s="7">
        <v>1</v>
      </c>
      <c r="D102" s="5">
        <v>6.6</v>
      </c>
      <c r="E102" s="5">
        <v>900.6</v>
      </c>
      <c r="F102" s="5">
        <v>912.1</v>
      </c>
      <c r="G102" s="6">
        <v>45304</v>
      </c>
      <c r="H102" s="5"/>
      <c r="I102" s="5"/>
      <c r="J102" s="5">
        <f t="shared" si="11"/>
        <v>11.5</v>
      </c>
      <c r="K102" s="8" t="b">
        <f t="shared" si="12"/>
        <v>1</v>
      </c>
    </row>
    <row r="103" spans="1:11">
      <c r="A103" s="5">
        <v>125</v>
      </c>
      <c r="B103" s="6">
        <v>45309</v>
      </c>
      <c r="C103" s="7">
        <v>0.7</v>
      </c>
      <c r="D103" s="5">
        <v>8.39</v>
      </c>
      <c r="E103" s="5">
        <v>912.1</v>
      </c>
      <c r="F103" s="5">
        <v>929</v>
      </c>
      <c r="G103" s="6">
        <v>45309</v>
      </c>
      <c r="H103" s="5"/>
      <c r="I103" s="5"/>
      <c r="J103" s="5">
        <f t="shared" si="11"/>
        <v>16.899999999999977</v>
      </c>
      <c r="K103" s="8" t="b">
        <f t="shared" si="12"/>
        <v>1</v>
      </c>
    </row>
    <row r="104" spans="1:11">
      <c r="A104" s="5">
        <v>125</v>
      </c>
      <c r="B104" s="6">
        <v>45311</v>
      </c>
      <c r="C104" s="7">
        <v>0.6</v>
      </c>
      <c r="D104" s="5">
        <v>9.7799999999999994</v>
      </c>
      <c r="E104" s="5">
        <v>929</v>
      </c>
      <c r="F104" s="5">
        <v>948</v>
      </c>
      <c r="G104" s="6">
        <v>45311</v>
      </c>
      <c r="H104" s="5"/>
      <c r="I104" s="5"/>
      <c r="J104" s="5">
        <f t="shared" si="11"/>
        <v>19</v>
      </c>
      <c r="K104" s="8" t="b">
        <f t="shared" si="12"/>
        <v>1</v>
      </c>
    </row>
    <row r="105" spans="1:11">
      <c r="A105" s="5">
        <v>125</v>
      </c>
      <c r="B105" s="6">
        <v>45327</v>
      </c>
      <c r="C105" s="7">
        <v>0.7</v>
      </c>
      <c r="D105" s="5">
        <v>8.39</v>
      </c>
      <c r="E105" s="5">
        <v>948</v>
      </c>
      <c r="F105" s="5">
        <v>964.3</v>
      </c>
      <c r="G105" s="6">
        <v>45327</v>
      </c>
      <c r="H105" s="5"/>
      <c r="I105" s="5"/>
      <c r="J105" s="5">
        <f t="shared" si="11"/>
        <v>16.299999999999955</v>
      </c>
      <c r="K105" s="8" t="b">
        <f t="shared" si="12"/>
        <v>1</v>
      </c>
    </row>
    <row r="106" spans="1:11">
      <c r="A106" s="5">
        <v>125</v>
      </c>
      <c r="B106" s="6">
        <v>45328</v>
      </c>
      <c r="C106" s="7">
        <v>0.7</v>
      </c>
      <c r="D106" s="5">
        <v>8.39</v>
      </c>
      <c r="E106" s="5">
        <v>964.3</v>
      </c>
      <c r="F106" s="5">
        <v>980.7</v>
      </c>
      <c r="G106" s="6">
        <v>45328</v>
      </c>
      <c r="H106" s="5"/>
      <c r="I106" s="5"/>
      <c r="J106" s="5">
        <f t="shared" si="11"/>
        <v>16.400000000000091</v>
      </c>
      <c r="K106" s="8" t="b">
        <f t="shared" si="12"/>
        <v>1</v>
      </c>
    </row>
    <row r="107" spans="1:11">
      <c r="A107" s="5">
        <v>125</v>
      </c>
      <c r="B107" s="6">
        <v>45329</v>
      </c>
      <c r="C107" s="7">
        <v>1</v>
      </c>
      <c r="D107" s="5">
        <v>6.6</v>
      </c>
      <c r="E107" s="5">
        <v>980.7</v>
      </c>
      <c r="F107" s="5">
        <v>992.3</v>
      </c>
      <c r="G107" s="6">
        <v>45329</v>
      </c>
      <c r="H107" s="5"/>
      <c r="I107" s="5"/>
      <c r="J107" s="5">
        <f t="shared" ref="J107:J108" si="13">F107-E107</f>
        <v>11.599999999999909</v>
      </c>
      <c r="K107" s="8" t="b">
        <f t="shared" ref="K107:K108" si="14">E107=F106</f>
        <v>1</v>
      </c>
    </row>
    <row r="108" spans="1:11">
      <c r="A108" s="5">
        <v>125</v>
      </c>
      <c r="B108" s="6">
        <v>45384</v>
      </c>
      <c r="C108" s="7">
        <v>0.8</v>
      </c>
      <c r="D108" s="5">
        <v>7.34</v>
      </c>
      <c r="E108" s="5">
        <v>992.3</v>
      </c>
      <c r="F108" s="5">
        <v>1006.8</v>
      </c>
      <c r="G108" s="6">
        <v>45384</v>
      </c>
      <c r="H108" s="5"/>
      <c r="I108" s="5"/>
      <c r="J108" s="5">
        <f t="shared" si="13"/>
        <v>14.5</v>
      </c>
      <c r="K108" s="8" t="b">
        <f t="shared" si="14"/>
        <v>1</v>
      </c>
    </row>
    <row r="109" spans="1:11">
      <c r="A109" s="5">
        <v>125</v>
      </c>
      <c r="B109" s="6">
        <v>45386</v>
      </c>
      <c r="C109" s="7">
        <v>1</v>
      </c>
      <c r="D109" s="5">
        <v>6.6</v>
      </c>
      <c r="E109" s="5">
        <v>1006.8</v>
      </c>
      <c r="F109" s="5">
        <v>1018.4</v>
      </c>
      <c r="G109" s="6">
        <v>45386</v>
      </c>
      <c r="H109" s="5"/>
      <c r="I109" s="5"/>
      <c r="J109" s="5">
        <f t="shared" ref="J109:J136" si="15">F109-E109</f>
        <v>11.600000000000023</v>
      </c>
      <c r="K109" s="8" t="b">
        <f t="shared" ref="K109:K136" si="16">E109=F108</f>
        <v>1</v>
      </c>
    </row>
    <row r="110" spans="1:11">
      <c r="A110" s="5">
        <v>125</v>
      </c>
      <c r="B110" s="6">
        <v>45390</v>
      </c>
      <c r="C110" s="7">
        <v>1</v>
      </c>
      <c r="D110" s="5">
        <v>6.6</v>
      </c>
      <c r="E110" s="5">
        <v>1018.4</v>
      </c>
      <c r="F110" s="5">
        <v>1030</v>
      </c>
      <c r="G110" s="6">
        <v>45390</v>
      </c>
      <c r="H110" s="5"/>
      <c r="I110" s="5"/>
      <c r="J110" s="5">
        <f t="shared" si="15"/>
        <v>11.600000000000023</v>
      </c>
      <c r="K110" s="8" t="b">
        <f t="shared" si="16"/>
        <v>1</v>
      </c>
    </row>
    <row r="111" spans="1:11" ht="26.25">
      <c r="A111" s="126" t="s">
        <v>315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8"/>
    </row>
    <row r="112" spans="1:11" ht="26.25">
      <c r="A112" s="129" t="s">
        <v>254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1"/>
    </row>
    <row r="113" spans="1:11" ht="15.75" thickBot="1"/>
    <row r="114" spans="1:11" ht="15.75" thickBot="1">
      <c r="A114" s="132" t="s">
        <v>2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4"/>
    </row>
    <row r="116" spans="1:11" ht="19.5" thickBot="1">
      <c r="A116" s="1" t="s">
        <v>3</v>
      </c>
      <c r="B116" s="1"/>
      <c r="C116" s="1"/>
      <c r="D116" s="1"/>
      <c r="E116" s="1"/>
      <c r="F116" s="1"/>
      <c r="G116" s="1"/>
      <c r="H116" s="1"/>
      <c r="I116" s="1"/>
    </row>
    <row r="117" spans="1:11" ht="30.75" thickBot="1">
      <c r="A117" s="2" t="s">
        <v>4</v>
      </c>
      <c r="B117" s="3" t="s">
        <v>5</v>
      </c>
      <c r="C117" s="3" t="s">
        <v>6</v>
      </c>
      <c r="D117" s="3" t="s">
        <v>7</v>
      </c>
      <c r="E117" s="3" t="s">
        <v>8</v>
      </c>
      <c r="F117" s="3" t="s">
        <v>9</v>
      </c>
      <c r="G117" s="3" t="s">
        <v>10</v>
      </c>
      <c r="H117" s="3" t="s">
        <v>21</v>
      </c>
      <c r="I117" s="4" t="s">
        <v>22</v>
      </c>
      <c r="J117" s="4" t="s">
        <v>11</v>
      </c>
      <c r="K117" s="4" t="s">
        <v>12</v>
      </c>
    </row>
    <row r="118" spans="1:11">
      <c r="A118" s="5">
        <v>125</v>
      </c>
      <c r="B118" s="6">
        <v>45399</v>
      </c>
      <c r="C118" s="7">
        <v>1</v>
      </c>
      <c r="D118" s="5">
        <v>5.87</v>
      </c>
      <c r="E118" s="5">
        <v>1030</v>
      </c>
      <c r="F118" s="5">
        <v>1041.5999999999999</v>
      </c>
      <c r="G118" s="6">
        <v>45399</v>
      </c>
      <c r="H118" s="5"/>
      <c r="I118" s="5"/>
      <c r="J118" s="5">
        <f>F118-E118</f>
        <v>11.599999999999909</v>
      </c>
      <c r="K118" s="8" t="b">
        <f>E118=F118</f>
        <v>0</v>
      </c>
    </row>
    <row r="119" spans="1:11">
      <c r="A119" s="5">
        <v>125</v>
      </c>
      <c r="B119" s="6">
        <v>45404</v>
      </c>
      <c r="C119" s="7">
        <v>0.9</v>
      </c>
      <c r="D119" s="5">
        <v>6.52</v>
      </c>
      <c r="E119" s="5">
        <v>1041.5999999999999</v>
      </c>
      <c r="F119" s="5">
        <v>1054.5</v>
      </c>
      <c r="G119" s="6">
        <v>45404</v>
      </c>
      <c r="H119" s="5"/>
      <c r="I119" s="5"/>
      <c r="J119" s="5">
        <f t="shared" ref="J119" si="17">F119-E119</f>
        <v>12.900000000000091</v>
      </c>
      <c r="K119" s="8" t="b">
        <f t="shared" ref="K119" si="18">E119=F119</f>
        <v>0</v>
      </c>
    </row>
    <row r="120" spans="1:11">
      <c r="A120" s="5">
        <v>125</v>
      </c>
      <c r="B120" s="6">
        <v>45408</v>
      </c>
      <c r="C120" s="7">
        <v>0.9</v>
      </c>
      <c r="D120" s="5">
        <v>6.52</v>
      </c>
      <c r="E120" s="5">
        <v>1054.5</v>
      </c>
      <c r="F120" s="5">
        <v>1067.5999999999999</v>
      </c>
      <c r="G120" s="6">
        <v>45408</v>
      </c>
      <c r="H120" s="5"/>
      <c r="I120" s="5"/>
      <c r="J120" s="5">
        <f t="shared" si="15"/>
        <v>13.099999999999909</v>
      </c>
      <c r="K120" s="8" t="b">
        <f t="shared" si="16"/>
        <v>1</v>
      </c>
    </row>
    <row r="121" spans="1:11">
      <c r="A121" s="5">
        <v>125</v>
      </c>
      <c r="B121" s="6">
        <v>45411</v>
      </c>
      <c r="C121" s="7">
        <v>0.9</v>
      </c>
      <c r="D121" s="5">
        <v>6.52</v>
      </c>
      <c r="E121" s="5">
        <v>1067.5999999999999</v>
      </c>
      <c r="F121" s="5">
        <v>1080.4000000000001</v>
      </c>
      <c r="G121" s="6">
        <v>45411</v>
      </c>
      <c r="H121" s="5"/>
      <c r="I121" s="5"/>
      <c r="J121" s="5">
        <f t="shared" si="15"/>
        <v>12.800000000000182</v>
      </c>
      <c r="K121" s="8" t="b">
        <f t="shared" si="16"/>
        <v>1</v>
      </c>
    </row>
    <row r="122" spans="1:11">
      <c r="A122" s="5">
        <v>125</v>
      </c>
      <c r="B122" s="6">
        <v>45416</v>
      </c>
      <c r="C122" s="7">
        <v>1</v>
      </c>
      <c r="D122" s="5">
        <v>5.87</v>
      </c>
      <c r="E122" s="5">
        <v>1080.4000000000001</v>
      </c>
      <c r="F122" s="5">
        <v>1092.4000000000001</v>
      </c>
      <c r="G122" s="6">
        <v>45416</v>
      </c>
      <c r="H122" s="5"/>
      <c r="I122" s="5"/>
      <c r="J122" s="5">
        <f t="shared" si="15"/>
        <v>12</v>
      </c>
      <c r="K122" s="8" t="b">
        <f t="shared" si="16"/>
        <v>1</v>
      </c>
    </row>
    <row r="123" spans="1:11">
      <c r="A123" s="5">
        <v>125</v>
      </c>
      <c r="B123" s="6">
        <v>45419</v>
      </c>
      <c r="C123" s="7">
        <v>1</v>
      </c>
      <c r="D123" s="5">
        <v>5.87</v>
      </c>
      <c r="E123" s="5">
        <v>1092.4000000000001</v>
      </c>
      <c r="F123" s="5">
        <v>1104.3</v>
      </c>
      <c r="G123" s="6">
        <v>45419</v>
      </c>
      <c r="H123" s="5"/>
      <c r="I123" s="5"/>
      <c r="J123" s="5">
        <f t="shared" si="15"/>
        <v>11.899999999999864</v>
      </c>
      <c r="K123" s="8" t="b">
        <f t="shared" si="16"/>
        <v>1</v>
      </c>
    </row>
    <row r="124" spans="1:11">
      <c r="A124" s="5">
        <v>125</v>
      </c>
      <c r="B124" s="6">
        <v>45422</v>
      </c>
      <c r="C124" s="7">
        <v>1</v>
      </c>
      <c r="D124" s="5">
        <v>5.87</v>
      </c>
      <c r="E124" s="5">
        <v>1104.3</v>
      </c>
      <c r="F124" s="5">
        <v>1115.9000000000001</v>
      </c>
      <c r="G124" s="6">
        <v>45422</v>
      </c>
      <c r="H124" s="5"/>
      <c r="I124" s="5"/>
      <c r="J124" s="5">
        <f t="shared" si="15"/>
        <v>11.600000000000136</v>
      </c>
      <c r="K124" s="8" t="b">
        <f t="shared" si="16"/>
        <v>1</v>
      </c>
    </row>
    <row r="125" spans="1:11">
      <c r="A125" s="5">
        <v>125</v>
      </c>
      <c r="B125" s="6">
        <v>45425</v>
      </c>
      <c r="C125" s="7">
        <v>0.8</v>
      </c>
      <c r="D125" s="5">
        <v>7.34</v>
      </c>
      <c r="E125" s="5">
        <v>1115.9000000000001</v>
      </c>
      <c r="F125" s="5">
        <v>1130.4000000000001</v>
      </c>
      <c r="G125" s="6">
        <v>45425</v>
      </c>
      <c r="H125" s="5"/>
      <c r="I125" s="5"/>
      <c r="J125" s="5">
        <f t="shared" si="15"/>
        <v>14.5</v>
      </c>
      <c r="K125" s="8" t="b">
        <f t="shared" si="16"/>
        <v>1</v>
      </c>
    </row>
    <row r="126" spans="1:11">
      <c r="A126" s="5">
        <v>125</v>
      </c>
      <c r="B126" s="6">
        <v>45428</v>
      </c>
      <c r="C126" s="7">
        <v>0.8</v>
      </c>
      <c r="D126" s="5">
        <v>7.34</v>
      </c>
      <c r="E126" s="5">
        <v>1130.4000000000001</v>
      </c>
      <c r="F126" s="5">
        <v>1145.0999999999999</v>
      </c>
      <c r="G126" s="6">
        <v>45428</v>
      </c>
      <c r="H126" s="5"/>
      <c r="I126" s="5"/>
      <c r="J126" s="5">
        <f t="shared" si="15"/>
        <v>14.699999999999818</v>
      </c>
      <c r="K126" s="8" t="b">
        <f t="shared" si="16"/>
        <v>1</v>
      </c>
    </row>
    <row r="127" spans="1:11">
      <c r="A127" s="5">
        <v>125</v>
      </c>
      <c r="B127" s="6">
        <v>45431</v>
      </c>
      <c r="C127" s="7">
        <v>1</v>
      </c>
      <c r="D127" s="5">
        <v>5.87</v>
      </c>
      <c r="E127" s="5">
        <v>1145.0999999999999</v>
      </c>
      <c r="F127" s="5">
        <v>1156.8</v>
      </c>
      <c r="G127" s="6">
        <v>45431</v>
      </c>
      <c r="H127" s="5"/>
      <c r="I127" s="5"/>
      <c r="J127" s="5">
        <f t="shared" si="15"/>
        <v>11.700000000000045</v>
      </c>
      <c r="K127" s="8" t="b">
        <f t="shared" si="16"/>
        <v>1</v>
      </c>
    </row>
    <row r="128" spans="1:11">
      <c r="A128" s="5">
        <v>125</v>
      </c>
      <c r="B128" s="6">
        <v>45434</v>
      </c>
      <c r="C128" s="7">
        <v>1</v>
      </c>
      <c r="D128" s="5">
        <v>5.87</v>
      </c>
      <c r="E128" s="5">
        <v>1156.8</v>
      </c>
      <c r="F128" s="5">
        <v>1168.4000000000001</v>
      </c>
      <c r="G128" s="6">
        <v>45434</v>
      </c>
      <c r="H128" s="5"/>
      <c r="I128" s="5"/>
      <c r="J128" s="5">
        <f t="shared" si="15"/>
        <v>11.600000000000136</v>
      </c>
      <c r="K128" s="8" t="b">
        <f t="shared" si="16"/>
        <v>1</v>
      </c>
    </row>
    <row r="129" spans="1:11">
      <c r="A129" s="5">
        <v>125</v>
      </c>
      <c r="B129" s="6">
        <v>45437</v>
      </c>
      <c r="C129" s="7">
        <v>0.9</v>
      </c>
      <c r="D129" s="5">
        <v>6.52</v>
      </c>
      <c r="E129" s="5">
        <v>1168.4000000000001</v>
      </c>
      <c r="F129" s="5">
        <v>1181.2</v>
      </c>
      <c r="G129" s="6">
        <v>45437</v>
      </c>
      <c r="H129" s="5"/>
      <c r="I129" s="5"/>
      <c r="J129" s="5">
        <f t="shared" si="15"/>
        <v>12.799999999999955</v>
      </c>
      <c r="K129" s="8" t="b">
        <f t="shared" si="16"/>
        <v>1</v>
      </c>
    </row>
    <row r="130" spans="1:11">
      <c r="A130" s="5">
        <v>125</v>
      </c>
      <c r="B130" s="6">
        <v>45440</v>
      </c>
      <c r="C130" s="7">
        <v>0.9</v>
      </c>
      <c r="D130" s="5">
        <v>6.52</v>
      </c>
      <c r="E130" s="5">
        <v>1181.2</v>
      </c>
      <c r="F130" s="5">
        <v>1194.0999999999999</v>
      </c>
      <c r="G130" s="6">
        <v>45440</v>
      </c>
      <c r="H130" s="5"/>
      <c r="I130" s="5"/>
      <c r="J130" s="5">
        <f t="shared" si="15"/>
        <v>12.899999999999864</v>
      </c>
      <c r="K130" s="8" t="b">
        <f t="shared" si="16"/>
        <v>1</v>
      </c>
    </row>
    <row r="131" spans="1:11">
      <c r="A131" s="5">
        <v>125</v>
      </c>
      <c r="B131" s="6">
        <v>45444</v>
      </c>
      <c r="C131" s="7">
        <v>0.9</v>
      </c>
      <c r="D131" s="5">
        <v>6.52</v>
      </c>
      <c r="E131" s="5">
        <v>1194.0999999999999</v>
      </c>
      <c r="F131" s="5">
        <v>1207.0999999999999</v>
      </c>
      <c r="G131" s="6">
        <v>45444</v>
      </c>
      <c r="H131" s="5"/>
      <c r="I131" s="5"/>
      <c r="J131" s="5">
        <f t="shared" si="15"/>
        <v>13</v>
      </c>
      <c r="K131" s="8" t="b">
        <f t="shared" si="16"/>
        <v>1</v>
      </c>
    </row>
    <row r="132" spans="1:11">
      <c r="A132" s="5">
        <v>125</v>
      </c>
      <c r="B132" s="6">
        <v>45448</v>
      </c>
      <c r="C132" s="7">
        <v>0.9</v>
      </c>
      <c r="D132" s="5">
        <v>6.52</v>
      </c>
      <c r="E132" s="5">
        <v>1207.0999999999999</v>
      </c>
      <c r="F132" s="5">
        <v>1219.5</v>
      </c>
      <c r="G132" s="6">
        <v>45448</v>
      </c>
      <c r="H132" s="5"/>
      <c r="I132" s="5"/>
      <c r="J132" s="5">
        <f t="shared" si="15"/>
        <v>12.400000000000091</v>
      </c>
      <c r="K132" s="8" t="b">
        <f t="shared" si="16"/>
        <v>1</v>
      </c>
    </row>
    <row r="133" spans="1:11">
      <c r="A133" s="5">
        <v>125</v>
      </c>
      <c r="B133" s="6">
        <v>45451</v>
      </c>
      <c r="C133" s="7">
        <v>0.8</v>
      </c>
      <c r="D133" s="5">
        <v>7.34</v>
      </c>
      <c r="E133" s="5">
        <v>1219.5</v>
      </c>
      <c r="F133" s="5">
        <v>1236.2</v>
      </c>
      <c r="G133" s="6">
        <v>45451</v>
      </c>
      <c r="H133" s="5"/>
      <c r="I133" s="5"/>
      <c r="J133" s="5">
        <f t="shared" si="15"/>
        <v>16.700000000000045</v>
      </c>
      <c r="K133" s="8" t="b">
        <f t="shared" si="16"/>
        <v>1</v>
      </c>
    </row>
    <row r="134" spans="1:11">
      <c r="A134" s="5">
        <v>125</v>
      </c>
      <c r="B134" s="6">
        <v>45455</v>
      </c>
      <c r="C134" s="7">
        <v>0.7</v>
      </c>
      <c r="D134" s="5">
        <v>8.39</v>
      </c>
      <c r="E134" s="5">
        <v>1236.2</v>
      </c>
      <c r="F134" s="5">
        <v>1252.7</v>
      </c>
      <c r="G134" s="6">
        <v>45455</v>
      </c>
      <c r="H134" s="5"/>
      <c r="I134" s="5"/>
      <c r="J134" s="5">
        <f t="shared" si="15"/>
        <v>16.5</v>
      </c>
      <c r="K134" s="8" t="b">
        <f t="shared" si="16"/>
        <v>1</v>
      </c>
    </row>
    <row r="135" spans="1:11">
      <c r="A135" s="5">
        <v>125</v>
      </c>
      <c r="B135" s="6">
        <v>45460</v>
      </c>
      <c r="C135" s="7">
        <v>0.7</v>
      </c>
      <c r="D135" s="5">
        <v>8.39</v>
      </c>
      <c r="E135" s="5">
        <v>1252.7</v>
      </c>
      <c r="F135" s="5">
        <v>1272.7</v>
      </c>
      <c r="G135" s="6">
        <v>45460</v>
      </c>
      <c r="H135" s="5"/>
      <c r="I135" s="5"/>
      <c r="J135" s="5">
        <f t="shared" si="15"/>
        <v>20</v>
      </c>
      <c r="K135" s="8" t="b">
        <f t="shared" si="16"/>
        <v>1</v>
      </c>
    </row>
    <row r="136" spans="1:11">
      <c r="A136" s="5">
        <v>125</v>
      </c>
      <c r="B136" s="6">
        <v>45463</v>
      </c>
      <c r="C136" s="7">
        <v>0.7</v>
      </c>
      <c r="D136" s="5">
        <v>8.39</v>
      </c>
      <c r="E136" s="5">
        <v>1272.7</v>
      </c>
      <c r="F136" s="5">
        <v>1289.3</v>
      </c>
      <c r="G136" s="6">
        <v>45463</v>
      </c>
      <c r="H136" s="5"/>
      <c r="I136" s="5"/>
      <c r="J136" s="5">
        <f t="shared" si="15"/>
        <v>16.599999999999909</v>
      </c>
      <c r="K136" s="8" t="b">
        <f t="shared" si="16"/>
        <v>1</v>
      </c>
    </row>
    <row r="137" spans="1:11">
      <c r="A137" s="5">
        <v>126</v>
      </c>
      <c r="B137" s="6"/>
      <c r="C137" s="7"/>
      <c r="D137" s="5"/>
      <c r="E137" s="5"/>
      <c r="F137" s="5"/>
      <c r="G137" s="6"/>
      <c r="H137" s="5"/>
      <c r="I137" s="5"/>
      <c r="J137" s="5">
        <f t="shared" ref="J137:J143" si="19">F137-E137</f>
        <v>0</v>
      </c>
      <c r="K137" s="8" t="b">
        <f t="shared" ref="K137:K143" si="20">E137=F136</f>
        <v>0</v>
      </c>
    </row>
    <row r="138" spans="1:11">
      <c r="A138" s="5">
        <v>127</v>
      </c>
      <c r="B138" s="6"/>
      <c r="C138" s="7"/>
      <c r="D138" s="5"/>
      <c r="E138" s="5"/>
      <c r="F138" s="5"/>
      <c r="G138" s="6"/>
      <c r="H138" s="5"/>
      <c r="I138" s="5"/>
      <c r="J138" s="5">
        <f t="shared" si="19"/>
        <v>0</v>
      </c>
      <c r="K138" s="8" t="b">
        <f t="shared" si="20"/>
        <v>1</v>
      </c>
    </row>
    <row r="139" spans="1:11">
      <c r="A139" s="5">
        <v>128</v>
      </c>
      <c r="B139" s="6"/>
      <c r="C139" s="7"/>
      <c r="D139" s="5"/>
      <c r="E139" s="5"/>
      <c r="F139" s="5"/>
      <c r="G139" s="6"/>
      <c r="H139" s="5"/>
      <c r="I139" s="5"/>
      <c r="J139" s="5">
        <f t="shared" si="19"/>
        <v>0</v>
      </c>
      <c r="K139" s="8" t="b">
        <f t="shared" si="20"/>
        <v>1</v>
      </c>
    </row>
    <row r="140" spans="1:11">
      <c r="A140" s="5">
        <v>129</v>
      </c>
      <c r="B140" s="6"/>
      <c r="C140" s="7"/>
      <c r="D140" s="5"/>
      <c r="E140" s="5"/>
      <c r="F140" s="5"/>
      <c r="G140" s="6"/>
      <c r="H140" s="5"/>
      <c r="I140" s="5"/>
      <c r="J140" s="5">
        <f t="shared" si="19"/>
        <v>0</v>
      </c>
      <c r="K140" s="8" t="b">
        <f t="shared" si="20"/>
        <v>1</v>
      </c>
    </row>
    <row r="141" spans="1:11">
      <c r="A141" s="5">
        <v>130</v>
      </c>
      <c r="B141" s="6"/>
      <c r="C141" s="7"/>
      <c r="D141" s="5"/>
      <c r="E141" s="5"/>
      <c r="F141" s="5"/>
      <c r="G141" s="6"/>
      <c r="H141" s="5"/>
      <c r="I141" s="5"/>
      <c r="J141" s="5">
        <f t="shared" si="19"/>
        <v>0</v>
      </c>
      <c r="K141" s="8" t="b">
        <f t="shared" si="20"/>
        <v>1</v>
      </c>
    </row>
    <row r="142" spans="1:11">
      <c r="A142" s="5">
        <v>131</v>
      </c>
      <c r="B142" s="6"/>
      <c r="C142" s="7"/>
      <c r="D142" s="5"/>
      <c r="E142" s="5"/>
      <c r="F142" s="5"/>
      <c r="G142" s="6"/>
      <c r="H142" s="5"/>
      <c r="I142" s="5"/>
      <c r="J142" s="5">
        <f t="shared" si="19"/>
        <v>0</v>
      </c>
      <c r="K142" s="8" t="b">
        <f t="shared" si="20"/>
        <v>1</v>
      </c>
    </row>
    <row r="143" spans="1:11">
      <c r="A143" s="5">
        <v>132</v>
      </c>
      <c r="B143" s="6"/>
      <c r="C143" s="7"/>
      <c r="D143" s="5"/>
      <c r="E143" s="5"/>
      <c r="F143" s="5"/>
      <c r="G143" s="6"/>
      <c r="H143" s="5"/>
      <c r="I143" s="5"/>
      <c r="J143" s="5">
        <f t="shared" si="19"/>
        <v>0</v>
      </c>
      <c r="K143" s="8" t="b">
        <f t="shared" si="20"/>
        <v>1</v>
      </c>
    </row>
  </sheetData>
  <mergeCells count="15">
    <mergeCell ref="A111:K111"/>
    <mergeCell ref="A112:K112"/>
    <mergeCell ref="A114:K114"/>
    <mergeCell ref="A14:K14"/>
    <mergeCell ref="A1:K1"/>
    <mergeCell ref="A2:K2"/>
    <mergeCell ref="A4:K4"/>
    <mergeCell ref="A11:K11"/>
    <mergeCell ref="A12:K12"/>
    <mergeCell ref="A49:K49"/>
    <mergeCell ref="A50:K50"/>
    <mergeCell ref="A52:K52"/>
    <mergeCell ref="A26:K26"/>
    <mergeCell ref="A27:K27"/>
    <mergeCell ref="A29:K29"/>
  </mergeCells>
  <conditionalFormatting sqref="K1:K1048576">
    <cfRule type="containsText" dxfId="35" priority="1" operator="containsText" text="VERDADEIRO">
      <formula>NOT(ISERROR(SEARCH("VERDADEIRO",K1)))</formula>
    </cfRule>
    <cfRule type="containsText" dxfId="34" priority="2" operator="containsText" text="FALSO">
      <formula>NOT(ISERROR(SEARCH("FALSO",K1)))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3685-CEC1-4798-BD7E-15869FA05169}">
  <sheetPr codeName="Planilha29"/>
  <dimension ref="A1:K234"/>
  <sheetViews>
    <sheetView topLeftCell="A198" workbookViewId="0">
      <selection activeCell="G226" sqref="G226"/>
    </sheetView>
  </sheetViews>
  <sheetFormatPr defaultRowHeight="15"/>
  <cols>
    <col min="1" max="1" width="13.42578125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35" t="s">
        <v>316</v>
      </c>
      <c r="B1" s="136"/>
      <c r="C1" s="136"/>
      <c r="D1" s="136"/>
      <c r="E1" s="136"/>
      <c r="F1" s="136"/>
      <c r="G1" s="136"/>
      <c r="H1" s="136"/>
      <c r="I1" s="136"/>
      <c r="J1" s="136"/>
      <c r="K1" s="137"/>
    </row>
    <row r="2" spans="1:11" ht="26.25">
      <c r="A2" s="138" t="s">
        <v>69</v>
      </c>
      <c r="B2" s="139"/>
      <c r="C2" s="139"/>
      <c r="D2" s="139"/>
      <c r="E2" s="139"/>
      <c r="F2" s="139"/>
      <c r="G2" s="139"/>
      <c r="H2" s="139"/>
      <c r="I2" s="139"/>
      <c r="J2" s="139"/>
      <c r="K2" s="140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317</v>
      </c>
      <c r="B8" s="6">
        <v>44813</v>
      </c>
      <c r="C8" s="7">
        <v>0.5</v>
      </c>
      <c r="D8" s="5">
        <v>13.04</v>
      </c>
      <c r="E8" s="5">
        <v>101.2</v>
      </c>
      <c r="F8" s="5">
        <v>128.80000000000001</v>
      </c>
      <c r="G8" s="6">
        <v>44813</v>
      </c>
      <c r="H8" s="5"/>
      <c r="I8" s="5"/>
      <c r="J8" s="5">
        <f>F8-E8</f>
        <v>27.600000000000009</v>
      </c>
      <c r="K8" s="8" t="b">
        <f>E8=F8</f>
        <v>0</v>
      </c>
    </row>
    <row r="9" spans="1:11">
      <c r="A9" s="5" t="s">
        <v>317</v>
      </c>
      <c r="B9" s="6">
        <v>44814</v>
      </c>
      <c r="C9" s="7">
        <v>0.5</v>
      </c>
      <c r="D9" s="5">
        <v>13.04</v>
      </c>
      <c r="E9" s="5">
        <v>128.80000000000001</v>
      </c>
      <c r="F9" s="5">
        <v>141.4</v>
      </c>
      <c r="G9" s="6">
        <v>44814</v>
      </c>
      <c r="H9" s="5"/>
      <c r="I9" s="5"/>
      <c r="J9" s="5">
        <f>F9-E9</f>
        <v>12.599999999999994</v>
      </c>
      <c r="K9" s="8" t="b">
        <f>E9=F8</f>
        <v>1</v>
      </c>
    </row>
    <row r="10" spans="1:11">
      <c r="A10" s="5" t="s">
        <v>317</v>
      </c>
      <c r="B10" s="6">
        <v>44833</v>
      </c>
      <c r="C10" s="7">
        <v>0.8</v>
      </c>
      <c r="D10" s="5">
        <v>8.7100000000000009</v>
      </c>
      <c r="E10" s="5">
        <v>141.4</v>
      </c>
      <c r="F10" s="5">
        <v>159.6</v>
      </c>
      <c r="G10" s="6">
        <v>44833</v>
      </c>
      <c r="H10" s="5"/>
      <c r="I10" s="5"/>
      <c r="J10" s="5">
        <f>F10-E10</f>
        <v>18.199999999999989</v>
      </c>
      <c r="K10" s="8" t="b">
        <f t="shared" ref="K10:K36" si="0">E10=F9</f>
        <v>1</v>
      </c>
    </row>
    <row r="11" spans="1:11">
      <c r="A11" s="5" t="s">
        <v>317</v>
      </c>
      <c r="B11" s="6">
        <v>44835</v>
      </c>
      <c r="C11" s="7">
        <v>0.7</v>
      </c>
      <c r="D11" s="5">
        <v>12.67</v>
      </c>
      <c r="E11" s="5">
        <v>159.6</v>
      </c>
      <c r="F11" s="5">
        <v>178.9</v>
      </c>
      <c r="G11" s="6">
        <v>44835</v>
      </c>
      <c r="H11" s="5"/>
      <c r="I11" s="5"/>
      <c r="J11" s="5">
        <f>F11-E11</f>
        <v>19.300000000000011</v>
      </c>
      <c r="K11" s="8" t="b">
        <f t="shared" si="0"/>
        <v>1</v>
      </c>
    </row>
    <row r="12" spans="1:11">
      <c r="A12" s="5" t="s">
        <v>317</v>
      </c>
      <c r="B12" s="6">
        <v>44836</v>
      </c>
      <c r="C12" s="7">
        <v>1</v>
      </c>
      <c r="D12" s="5">
        <v>6.97</v>
      </c>
      <c r="E12" s="5">
        <v>178.9</v>
      </c>
      <c r="F12" s="5">
        <v>192.2</v>
      </c>
      <c r="G12" s="6">
        <v>44836</v>
      </c>
      <c r="H12" s="5"/>
      <c r="I12" s="5"/>
      <c r="J12" s="5">
        <f t="shared" ref="J12:J23" si="1">F12-E12</f>
        <v>13.299999999999983</v>
      </c>
      <c r="K12" s="8" t="b">
        <f t="shared" si="0"/>
        <v>1</v>
      </c>
    </row>
    <row r="13" spans="1:11">
      <c r="A13" s="5" t="s">
        <v>317</v>
      </c>
      <c r="B13" s="6">
        <v>44837</v>
      </c>
      <c r="C13" s="7">
        <v>1</v>
      </c>
      <c r="D13" s="5">
        <v>6.97</v>
      </c>
      <c r="E13" s="5">
        <v>192.2</v>
      </c>
      <c r="F13" s="5">
        <v>206.1</v>
      </c>
      <c r="G13" s="6">
        <v>44837</v>
      </c>
      <c r="H13" s="5"/>
      <c r="I13" s="5"/>
      <c r="J13" s="5">
        <f t="shared" si="1"/>
        <v>13.900000000000006</v>
      </c>
      <c r="K13" s="8" t="b">
        <f t="shared" si="0"/>
        <v>1</v>
      </c>
    </row>
    <row r="14" spans="1:11">
      <c r="A14" s="5" t="s">
        <v>317</v>
      </c>
      <c r="B14" s="6">
        <v>44838</v>
      </c>
      <c r="C14" s="7">
        <v>1</v>
      </c>
      <c r="D14" s="5">
        <v>6.97</v>
      </c>
      <c r="E14" s="5">
        <v>206.1</v>
      </c>
      <c r="F14" s="5">
        <v>219.8</v>
      </c>
      <c r="G14" s="6">
        <v>44838</v>
      </c>
      <c r="H14" s="5"/>
      <c r="I14" s="5"/>
      <c r="J14" s="5">
        <f t="shared" si="1"/>
        <v>13.700000000000017</v>
      </c>
      <c r="K14" s="8" t="b">
        <f t="shared" si="0"/>
        <v>1</v>
      </c>
    </row>
    <row r="15" spans="1:11">
      <c r="A15" s="5" t="s">
        <v>317</v>
      </c>
      <c r="B15" s="6">
        <v>44839</v>
      </c>
      <c r="C15" s="7">
        <v>1</v>
      </c>
      <c r="D15" s="5">
        <v>6.97</v>
      </c>
      <c r="E15" s="5">
        <v>219.8</v>
      </c>
      <c r="F15" s="5">
        <v>233.5</v>
      </c>
      <c r="G15" s="6">
        <v>44839</v>
      </c>
      <c r="H15" s="5"/>
      <c r="I15" s="5"/>
      <c r="J15" s="5">
        <f t="shared" si="1"/>
        <v>13.699999999999989</v>
      </c>
      <c r="K15" s="8" t="b">
        <f t="shared" si="0"/>
        <v>1</v>
      </c>
    </row>
    <row r="16" spans="1:11">
      <c r="A16" s="5" t="s">
        <v>317</v>
      </c>
      <c r="B16" s="6">
        <v>44840</v>
      </c>
      <c r="C16" s="7">
        <v>1</v>
      </c>
      <c r="D16" s="5">
        <v>6.97</v>
      </c>
      <c r="E16" s="5">
        <v>233.5</v>
      </c>
      <c r="F16" s="5">
        <v>247.2</v>
      </c>
      <c r="G16" s="6">
        <v>44840</v>
      </c>
      <c r="H16" s="5"/>
      <c r="I16" s="5"/>
      <c r="J16" s="5">
        <f t="shared" si="1"/>
        <v>13.699999999999989</v>
      </c>
      <c r="K16" s="8" t="b">
        <f t="shared" si="0"/>
        <v>1</v>
      </c>
    </row>
    <row r="17" spans="1:11">
      <c r="A17" s="5" t="s">
        <v>317</v>
      </c>
      <c r="B17" s="6">
        <v>44843</v>
      </c>
      <c r="C17" s="7">
        <v>1</v>
      </c>
      <c r="D17" s="5">
        <v>6.97</v>
      </c>
      <c r="E17" s="5">
        <v>247.2</v>
      </c>
      <c r="F17" s="5">
        <v>260.89999999999998</v>
      </c>
      <c r="G17" s="6">
        <v>44843</v>
      </c>
      <c r="H17" s="5"/>
      <c r="I17" s="5"/>
      <c r="J17" s="5">
        <f t="shared" si="1"/>
        <v>13.699999999999989</v>
      </c>
      <c r="K17" s="8" t="b">
        <f t="shared" si="0"/>
        <v>1</v>
      </c>
    </row>
    <row r="18" spans="1:11">
      <c r="A18" s="5" t="s">
        <v>317</v>
      </c>
      <c r="B18" s="6">
        <v>44844</v>
      </c>
      <c r="C18" s="7">
        <v>0.8</v>
      </c>
      <c r="D18" s="5">
        <v>8.7100000000000009</v>
      </c>
      <c r="E18" s="5">
        <v>260.89999999999998</v>
      </c>
      <c r="F18" s="5">
        <v>278</v>
      </c>
      <c r="G18" s="6">
        <v>44844</v>
      </c>
      <c r="H18" s="5"/>
      <c r="I18" s="5"/>
      <c r="J18" s="5">
        <f t="shared" si="1"/>
        <v>17.100000000000023</v>
      </c>
      <c r="K18" s="8" t="b">
        <f t="shared" si="0"/>
        <v>1</v>
      </c>
    </row>
    <row r="19" spans="1:11">
      <c r="A19" s="5" t="s">
        <v>317</v>
      </c>
      <c r="B19" s="6">
        <v>44847</v>
      </c>
      <c r="C19" s="7">
        <v>0.8</v>
      </c>
      <c r="D19" s="5">
        <v>8.7100000000000009</v>
      </c>
      <c r="E19" s="5">
        <v>278</v>
      </c>
      <c r="F19" s="5">
        <v>297.8</v>
      </c>
      <c r="G19" s="6">
        <v>44847</v>
      </c>
      <c r="H19" s="5"/>
      <c r="I19" s="5"/>
      <c r="J19" s="5">
        <f t="shared" si="1"/>
        <v>19.800000000000011</v>
      </c>
      <c r="K19" s="8" t="b">
        <f t="shared" si="0"/>
        <v>1</v>
      </c>
    </row>
    <row r="20" spans="1:11">
      <c r="A20" s="5" t="s">
        <v>317</v>
      </c>
      <c r="B20" s="6">
        <v>44851</v>
      </c>
      <c r="C20" s="7">
        <v>0.8</v>
      </c>
      <c r="D20" s="5">
        <v>8.7100000000000009</v>
      </c>
      <c r="E20" s="5">
        <v>297.8</v>
      </c>
      <c r="F20" s="5">
        <v>315.39999999999998</v>
      </c>
      <c r="G20" s="6">
        <v>44851</v>
      </c>
      <c r="H20" s="5"/>
      <c r="I20" s="5"/>
      <c r="J20" s="5">
        <f t="shared" si="1"/>
        <v>17.599999999999966</v>
      </c>
      <c r="K20" s="8" t="b">
        <f t="shared" si="0"/>
        <v>1</v>
      </c>
    </row>
    <row r="21" spans="1:11">
      <c r="A21" s="5" t="s">
        <v>317</v>
      </c>
      <c r="B21" s="6">
        <v>44854</v>
      </c>
      <c r="C21" s="7">
        <v>1</v>
      </c>
      <c r="D21" s="5">
        <v>6.97</v>
      </c>
      <c r="E21" s="5">
        <v>332.4</v>
      </c>
      <c r="F21" s="5">
        <v>346.1</v>
      </c>
      <c r="G21" s="6">
        <v>44854</v>
      </c>
      <c r="H21" s="5"/>
      <c r="I21" s="5"/>
      <c r="J21" s="5">
        <f t="shared" si="1"/>
        <v>13.700000000000045</v>
      </c>
      <c r="K21" s="8" t="b">
        <f t="shared" si="0"/>
        <v>0</v>
      </c>
    </row>
    <row r="22" spans="1:11">
      <c r="A22" s="5" t="s">
        <v>317</v>
      </c>
      <c r="B22" s="6">
        <v>44856</v>
      </c>
      <c r="C22" s="7">
        <v>0.7</v>
      </c>
      <c r="D22" s="5">
        <v>9.9600000000000009</v>
      </c>
      <c r="E22" s="5">
        <v>346.1</v>
      </c>
      <c r="F22" s="5">
        <v>365.5</v>
      </c>
      <c r="G22" s="6">
        <v>44856</v>
      </c>
      <c r="H22" s="5"/>
      <c r="I22" s="5"/>
      <c r="J22" s="5">
        <f t="shared" si="1"/>
        <v>19.399999999999977</v>
      </c>
      <c r="K22" s="8" t="b">
        <f t="shared" si="0"/>
        <v>1</v>
      </c>
    </row>
    <row r="23" spans="1:11">
      <c r="A23" s="5" t="s">
        <v>317</v>
      </c>
      <c r="B23" s="6">
        <v>44858</v>
      </c>
      <c r="C23" s="7">
        <v>0.7</v>
      </c>
      <c r="D23" s="5">
        <v>9.9600000000000009</v>
      </c>
      <c r="E23" s="5">
        <v>365.5</v>
      </c>
      <c r="F23" s="5">
        <v>384.9</v>
      </c>
      <c r="G23" s="6">
        <v>44858</v>
      </c>
      <c r="H23" s="5"/>
      <c r="I23" s="5"/>
      <c r="J23" s="5">
        <f t="shared" si="1"/>
        <v>19.399999999999977</v>
      </c>
      <c r="K23" s="8" t="b">
        <f t="shared" si="0"/>
        <v>1</v>
      </c>
    </row>
    <row r="24" spans="1:11">
      <c r="A24" s="5" t="s">
        <v>317</v>
      </c>
      <c r="B24" s="6">
        <v>44860</v>
      </c>
      <c r="C24" s="7">
        <v>0.7</v>
      </c>
      <c r="D24" s="5">
        <v>9.9600000000000009</v>
      </c>
      <c r="E24" s="5">
        <v>384.9</v>
      </c>
      <c r="F24" s="5">
        <v>404.3</v>
      </c>
      <c r="G24" s="6">
        <v>44860</v>
      </c>
      <c r="H24" s="5"/>
      <c r="I24" s="5"/>
      <c r="J24" s="5">
        <f t="shared" ref="J24:J34" si="2">F24-E24</f>
        <v>19.400000000000034</v>
      </c>
      <c r="K24" s="8" t="b">
        <f t="shared" si="0"/>
        <v>1</v>
      </c>
    </row>
    <row r="25" spans="1:11">
      <c r="A25" s="5" t="s">
        <v>317</v>
      </c>
      <c r="B25" s="6">
        <v>44862</v>
      </c>
      <c r="C25" s="7">
        <v>1</v>
      </c>
      <c r="D25" s="5">
        <v>6.97</v>
      </c>
      <c r="E25" s="5">
        <v>404.3</v>
      </c>
      <c r="F25" s="5">
        <v>420.4</v>
      </c>
      <c r="G25" s="6">
        <v>44862</v>
      </c>
      <c r="H25" s="5"/>
      <c r="I25" s="5"/>
      <c r="J25" s="5">
        <f t="shared" si="2"/>
        <v>16.099999999999966</v>
      </c>
      <c r="K25" s="8" t="b">
        <f t="shared" si="0"/>
        <v>1</v>
      </c>
    </row>
    <row r="26" spans="1:11">
      <c r="A26" s="5" t="s">
        <v>317</v>
      </c>
      <c r="B26" s="6">
        <v>44863</v>
      </c>
      <c r="C26" s="7">
        <v>0.7</v>
      </c>
      <c r="D26" s="5">
        <v>9.9600000000000009</v>
      </c>
      <c r="E26" s="5">
        <v>420.4</v>
      </c>
      <c r="F26" s="5">
        <v>441.7</v>
      </c>
      <c r="G26" s="6">
        <v>44863</v>
      </c>
      <c r="H26" s="5"/>
      <c r="I26" s="5"/>
      <c r="J26" s="5">
        <f t="shared" si="2"/>
        <v>21.300000000000011</v>
      </c>
      <c r="K26" s="8" t="b">
        <f t="shared" si="0"/>
        <v>1</v>
      </c>
    </row>
    <row r="27" spans="1:11">
      <c r="A27" s="5" t="s">
        <v>317</v>
      </c>
      <c r="B27" s="6">
        <v>44865</v>
      </c>
      <c r="C27" s="7">
        <v>0.7</v>
      </c>
      <c r="D27" s="5">
        <v>9.9600000000000009</v>
      </c>
      <c r="E27" s="5">
        <v>441.7</v>
      </c>
      <c r="F27" s="5">
        <v>463.3</v>
      </c>
      <c r="G27" s="6">
        <v>44865</v>
      </c>
      <c r="H27" s="5"/>
      <c r="I27" s="5"/>
      <c r="J27" s="5">
        <f t="shared" si="2"/>
        <v>21.600000000000023</v>
      </c>
      <c r="K27" s="8" t="b">
        <f t="shared" si="0"/>
        <v>1</v>
      </c>
    </row>
    <row r="28" spans="1:11">
      <c r="A28" s="5" t="s">
        <v>317</v>
      </c>
      <c r="B28" s="6">
        <v>44871</v>
      </c>
      <c r="C28" s="7">
        <v>0.8</v>
      </c>
      <c r="D28" s="5">
        <v>8.7100000000000009</v>
      </c>
      <c r="E28" s="5">
        <v>463.3</v>
      </c>
      <c r="F28" s="5">
        <v>480.5</v>
      </c>
      <c r="G28" s="6">
        <v>44871</v>
      </c>
      <c r="H28" s="5"/>
      <c r="I28" s="5"/>
      <c r="J28" s="5">
        <f t="shared" si="2"/>
        <v>17.199999999999989</v>
      </c>
      <c r="K28" s="8" t="b">
        <f t="shared" si="0"/>
        <v>1</v>
      </c>
    </row>
    <row r="29" spans="1:11">
      <c r="A29" s="5" t="s">
        <v>317</v>
      </c>
      <c r="B29" s="6">
        <v>44873</v>
      </c>
      <c r="C29" s="7">
        <v>0.8</v>
      </c>
      <c r="D29" s="5">
        <v>8.7100000000000009</v>
      </c>
      <c r="E29" s="5">
        <v>480.5</v>
      </c>
      <c r="F29" s="5">
        <v>497.5</v>
      </c>
      <c r="G29" s="6">
        <v>44873</v>
      </c>
      <c r="H29" s="5"/>
      <c r="I29" s="5"/>
      <c r="J29" s="5">
        <f t="shared" si="2"/>
        <v>17</v>
      </c>
      <c r="K29" s="8" t="b">
        <f t="shared" si="0"/>
        <v>1</v>
      </c>
    </row>
    <row r="30" spans="1:11">
      <c r="A30" s="5" t="s">
        <v>317</v>
      </c>
      <c r="B30" s="6">
        <v>44875</v>
      </c>
      <c r="C30" s="7">
        <v>0.7</v>
      </c>
      <c r="D30" s="5">
        <v>9.9600000000000009</v>
      </c>
      <c r="E30" s="5">
        <v>497.5</v>
      </c>
      <c r="F30" s="5">
        <v>517</v>
      </c>
      <c r="G30" s="6">
        <v>44875</v>
      </c>
      <c r="H30" s="5"/>
      <c r="I30" s="5"/>
      <c r="J30" s="5">
        <f t="shared" si="2"/>
        <v>19.5</v>
      </c>
      <c r="K30" s="8" t="b">
        <f t="shared" si="0"/>
        <v>1</v>
      </c>
    </row>
    <row r="31" spans="1:11">
      <c r="A31" s="5" t="s">
        <v>317</v>
      </c>
      <c r="B31" s="6">
        <v>44877</v>
      </c>
      <c r="C31" s="7">
        <v>1</v>
      </c>
      <c r="D31" s="5">
        <v>6.97</v>
      </c>
      <c r="E31" s="5">
        <v>517</v>
      </c>
      <c r="F31" s="5">
        <v>531.1</v>
      </c>
      <c r="G31" s="6">
        <v>44877</v>
      </c>
      <c r="H31" s="5"/>
      <c r="I31" s="5"/>
      <c r="J31" s="5">
        <f t="shared" si="2"/>
        <v>14.100000000000023</v>
      </c>
      <c r="K31" s="8" t="b">
        <f t="shared" si="0"/>
        <v>1</v>
      </c>
    </row>
    <row r="32" spans="1:11">
      <c r="A32" s="5" t="s">
        <v>317</v>
      </c>
      <c r="B32" s="6">
        <v>44879</v>
      </c>
      <c r="C32" s="7">
        <v>0.65</v>
      </c>
      <c r="D32" s="5">
        <v>12.67</v>
      </c>
      <c r="E32" s="5">
        <v>531.1</v>
      </c>
      <c r="F32" s="5">
        <v>554.1</v>
      </c>
      <c r="G32" s="6">
        <v>44879</v>
      </c>
      <c r="H32" s="5"/>
      <c r="I32" s="5"/>
      <c r="J32" s="5">
        <f t="shared" si="2"/>
        <v>23</v>
      </c>
      <c r="K32" s="8" t="b">
        <f t="shared" si="0"/>
        <v>1</v>
      </c>
    </row>
    <row r="33" spans="1:11">
      <c r="A33" s="25" t="s">
        <v>317</v>
      </c>
      <c r="B33" s="26">
        <v>44902</v>
      </c>
      <c r="C33" s="27">
        <v>1</v>
      </c>
      <c r="D33" s="25">
        <v>6.97</v>
      </c>
      <c r="E33" s="25">
        <v>554.1</v>
      </c>
      <c r="F33" s="25">
        <v>575.5</v>
      </c>
      <c r="G33" s="26">
        <v>44902</v>
      </c>
      <c r="H33" s="25"/>
      <c r="I33" s="25"/>
      <c r="J33" s="25">
        <f t="shared" si="2"/>
        <v>21.399999999999977</v>
      </c>
      <c r="K33" s="8" t="b">
        <f t="shared" si="0"/>
        <v>1</v>
      </c>
    </row>
    <row r="34" spans="1:11">
      <c r="A34" s="5" t="s">
        <v>317</v>
      </c>
      <c r="B34" s="6">
        <v>44906</v>
      </c>
      <c r="C34" s="7">
        <v>0.7</v>
      </c>
      <c r="D34" s="5">
        <v>9.9600000000000009</v>
      </c>
      <c r="E34" s="5">
        <v>575.5</v>
      </c>
      <c r="F34" s="5">
        <v>593.70000000000005</v>
      </c>
      <c r="G34" s="6">
        <v>44906</v>
      </c>
      <c r="H34" s="5"/>
      <c r="I34" s="5"/>
      <c r="J34" s="5">
        <f t="shared" si="2"/>
        <v>18.200000000000045</v>
      </c>
      <c r="K34" s="8" t="b">
        <f t="shared" si="0"/>
        <v>1</v>
      </c>
    </row>
    <row r="35" spans="1:11">
      <c r="A35" s="5" t="s">
        <v>317</v>
      </c>
      <c r="B35" s="6">
        <v>44929</v>
      </c>
      <c r="C35" s="7">
        <v>0.7</v>
      </c>
      <c r="D35" s="5">
        <v>9.9600000000000009</v>
      </c>
      <c r="E35" s="5">
        <v>613.1</v>
      </c>
      <c r="F35" s="5">
        <v>627.20000000000005</v>
      </c>
      <c r="G35" s="6">
        <v>44929</v>
      </c>
      <c r="H35" s="5"/>
      <c r="I35" s="5"/>
      <c r="J35" s="5">
        <f>F35-E35</f>
        <v>14.100000000000023</v>
      </c>
      <c r="K35" s="8" t="b">
        <f t="shared" si="0"/>
        <v>0</v>
      </c>
    </row>
    <row r="36" spans="1:11">
      <c r="A36" s="5" t="s">
        <v>317</v>
      </c>
      <c r="B36" s="6"/>
      <c r="C36" s="7"/>
      <c r="D36" s="5"/>
      <c r="E36" s="5"/>
      <c r="F36" s="5"/>
      <c r="G36" s="6"/>
      <c r="H36" s="5"/>
      <c r="I36" s="5"/>
      <c r="J36" s="5">
        <f>F36-E36</f>
        <v>0</v>
      </c>
      <c r="K36" s="8" t="b">
        <f t="shared" si="0"/>
        <v>0</v>
      </c>
    </row>
    <row r="38" spans="1:11" ht="26.25">
      <c r="A38" s="199" t="s">
        <v>316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1"/>
    </row>
    <row r="39" spans="1:11" ht="26.25">
      <c r="A39" s="202" t="s">
        <v>41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04"/>
    </row>
    <row r="40" spans="1:11" ht="15.75" thickBot="1"/>
    <row r="41" spans="1:11" ht="15.75" thickBot="1">
      <c r="A41" s="132" t="s">
        <v>2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4"/>
    </row>
    <row r="43" spans="1:11" ht="19.5" thickBot="1">
      <c r="A43" s="1" t="s">
        <v>3</v>
      </c>
      <c r="B43" s="1"/>
      <c r="C43" s="1"/>
      <c r="D43" s="1"/>
      <c r="E43" s="1"/>
      <c r="F43" s="1"/>
      <c r="G43" s="1"/>
      <c r="H43" s="1"/>
      <c r="I43" s="1"/>
    </row>
    <row r="44" spans="1:11" ht="30.75" thickBot="1">
      <c r="A44" s="2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  <c r="G44" s="3" t="s">
        <v>10</v>
      </c>
      <c r="H44" s="3" t="s">
        <v>21</v>
      </c>
      <c r="I44" s="4" t="s">
        <v>22</v>
      </c>
      <c r="J44" s="4" t="s">
        <v>11</v>
      </c>
      <c r="K44" s="4" t="s">
        <v>12</v>
      </c>
    </row>
    <row r="45" spans="1:11">
      <c r="A45" s="5" t="s">
        <v>318</v>
      </c>
      <c r="B45" s="6">
        <v>44960</v>
      </c>
      <c r="C45" s="7">
        <v>0.6</v>
      </c>
      <c r="D45" s="5">
        <v>11.62</v>
      </c>
      <c r="E45" s="5">
        <v>0</v>
      </c>
      <c r="F45" s="5">
        <v>27.5</v>
      </c>
      <c r="G45" s="6">
        <v>44960</v>
      </c>
      <c r="H45" s="5"/>
      <c r="I45" s="5"/>
      <c r="J45" s="5">
        <f>F45-E45</f>
        <v>27.5</v>
      </c>
      <c r="K45" s="8" t="b">
        <f>E45=F45</f>
        <v>0</v>
      </c>
    </row>
    <row r="46" spans="1:11">
      <c r="A46" s="5" t="s">
        <v>318</v>
      </c>
      <c r="B46" s="6">
        <v>44967</v>
      </c>
      <c r="C46" s="7">
        <v>0.8</v>
      </c>
      <c r="D46" s="5">
        <v>8.7100000000000009</v>
      </c>
      <c r="E46" s="5">
        <v>27.5</v>
      </c>
      <c r="F46" s="5">
        <v>45</v>
      </c>
      <c r="G46" s="6">
        <v>44967</v>
      </c>
      <c r="H46" s="5"/>
      <c r="I46" s="5"/>
      <c r="J46" s="5">
        <f>F46-E46</f>
        <v>17.5</v>
      </c>
      <c r="K46" s="8" t="b">
        <f>E46=F45</f>
        <v>1</v>
      </c>
    </row>
    <row r="47" spans="1:11">
      <c r="A47" s="5" t="s">
        <v>318</v>
      </c>
      <c r="B47" s="6">
        <v>44968</v>
      </c>
      <c r="C47" s="7">
        <v>0.8</v>
      </c>
      <c r="D47" s="5">
        <v>8.7100000000000009</v>
      </c>
      <c r="E47" s="5">
        <v>45</v>
      </c>
      <c r="F47" s="5">
        <v>62.1</v>
      </c>
      <c r="G47" s="6">
        <v>44968</v>
      </c>
      <c r="H47" s="5"/>
      <c r="I47" s="5"/>
      <c r="J47" s="5">
        <f>F47-E47</f>
        <v>17.100000000000001</v>
      </c>
      <c r="K47" s="8" t="b">
        <f t="shared" ref="K47:K50" si="3">E47=F46</f>
        <v>1</v>
      </c>
    </row>
    <row r="48" spans="1:11">
      <c r="A48" s="5" t="s">
        <v>318</v>
      </c>
      <c r="B48" s="6">
        <v>44969</v>
      </c>
      <c r="C48" s="7">
        <v>0.6</v>
      </c>
      <c r="D48" s="5">
        <v>11.62</v>
      </c>
      <c r="E48" s="5">
        <v>62.1</v>
      </c>
      <c r="F48" s="5">
        <v>86.1</v>
      </c>
      <c r="G48" s="6">
        <v>44969</v>
      </c>
      <c r="H48" s="5"/>
      <c r="I48" s="5"/>
      <c r="J48" s="5">
        <f>F48-E48</f>
        <v>23.999999999999993</v>
      </c>
      <c r="K48" s="8" t="b">
        <f t="shared" si="3"/>
        <v>1</v>
      </c>
    </row>
    <row r="49" spans="1:11">
      <c r="A49" s="5" t="s">
        <v>318</v>
      </c>
      <c r="B49" s="6">
        <v>44970</v>
      </c>
      <c r="C49" s="7">
        <v>0.8</v>
      </c>
      <c r="D49" s="5">
        <v>8.7100000000000009</v>
      </c>
      <c r="E49" s="5">
        <v>86.1</v>
      </c>
      <c r="F49" s="5">
        <v>103.1</v>
      </c>
      <c r="G49" s="6">
        <v>44970</v>
      </c>
      <c r="H49" s="5"/>
      <c r="I49" s="5"/>
      <c r="J49" s="5">
        <f t="shared" ref="J49:J50" si="4">F49-E49</f>
        <v>17</v>
      </c>
      <c r="K49" s="8" t="b">
        <f t="shared" si="3"/>
        <v>1</v>
      </c>
    </row>
    <row r="50" spans="1:11">
      <c r="A50" s="5" t="s">
        <v>318</v>
      </c>
      <c r="B50" s="6">
        <v>44971</v>
      </c>
      <c r="C50" s="7">
        <v>1</v>
      </c>
      <c r="D50" s="5">
        <v>6.97</v>
      </c>
      <c r="E50" s="5">
        <v>103.1</v>
      </c>
      <c r="F50" s="5">
        <v>118</v>
      </c>
      <c r="G50" s="6">
        <v>44971</v>
      </c>
      <c r="H50" s="5"/>
      <c r="I50" s="5"/>
      <c r="J50" s="5">
        <f t="shared" si="4"/>
        <v>14.900000000000006</v>
      </c>
      <c r="K50" s="8" t="b">
        <f t="shared" si="3"/>
        <v>1</v>
      </c>
    </row>
    <row r="51" spans="1:11">
      <c r="A51" s="5" t="s">
        <v>318</v>
      </c>
      <c r="B51" s="6">
        <v>44972</v>
      </c>
      <c r="C51" s="7">
        <v>1</v>
      </c>
      <c r="D51" s="5">
        <v>6.97</v>
      </c>
      <c r="E51" s="5">
        <v>118</v>
      </c>
      <c r="F51" s="5">
        <v>131.80000000000001</v>
      </c>
      <c r="G51" s="6">
        <v>44972</v>
      </c>
      <c r="H51" s="5"/>
      <c r="I51" s="5"/>
      <c r="J51" s="5">
        <f t="shared" ref="J51:J57" si="5">F51-E51</f>
        <v>13.800000000000011</v>
      </c>
      <c r="K51" s="8" t="b">
        <f t="shared" ref="K51:K57" si="6">E51=F50</f>
        <v>1</v>
      </c>
    </row>
    <row r="52" spans="1:11">
      <c r="A52" s="5" t="s">
        <v>319</v>
      </c>
      <c r="B52" s="6">
        <v>44973</v>
      </c>
      <c r="C52" s="7">
        <v>0.44</v>
      </c>
      <c r="D52" s="5">
        <v>15.68</v>
      </c>
      <c r="E52" s="5">
        <v>131.80000000000001</v>
      </c>
      <c r="F52" s="5">
        <v>156.30000000000001</v>
      </c>
      <c r="G52" s="6">
        <v>44973</v>
      </c>
      <c r="H52" s="5"/>
      <c r="I52" s="5"/>
      <c r="J52" s="5">
        <f t="shared" si="5"/>
        <v>24.5</v>
      </c>
      <c r="K52" s="8" t="b">
        <f t="shared" si="6"/>
        <v>1</v>
      </c>
    </row>
    <row r="53" spans="1:11">
      <c r="A53" s="5" t="s">
        <v>320</v>
      </c>
      <c r="B53" s="6">
        <v>44974</v>
      </c>
      <c r="C53" s="7">
        <v>0.8</v>
      </c>
      <c r="D53" s="5">
        <v>8.7100000000000009</v>
      </c>
      <c r="E53" s="5">
        <v>156.30000000000001</v>
      </c>
      <c r="F53" s="5">
        <v>171.4</v>
      </c>
      <c r="G53" s="6">
        <v>44974</v>
      </c>
      <c r="H53" s="5"/>
      <c r="I53" s="5"/>
      <c r="J53" s="5">
        <f t="shared" si="5"/>
        <v>15.099999999999994</v>
      </c>
      <c r="K53" s="8" t="b">
        <f t="shared" si="6"/>
        <v>1</v>
      </c>
    </row>
    <row r="54" spans="1:11">
      <c r="A54" s="5" t="s">
        <v>319</v>
      </c>
      <c r="B54" s="6">
        <v>44975</v>
      </c>
      <c r="C54" s="7">
        <v>1</v>
      </c>
      <c r="D54" s="5">
        <v>6.97</v>
      </c>
      <c r="E54" s="5">
        <v>171.4</v>
      </c>
      <c r="F54" s="5">
        <v>178.3</v>
      </c>
      <c r="G54" s="6">
        <v>44975</v>
      </c>
      <c r="H54" s="5"/>
      <c r="I54" s="5"/>
      <c r="J54" s="5">
        <f t="shared" si="5"/>
        <v>6.9000000000000057</v>
      </c>
      <c r="K54" s="8" t="b">
        <f t="shared" si="6"/>
        <v>1</v>
      </c>
    </row>
    <row r="55" spans="1:11">
      <c r="A55" s="5" t="s">
        <v>319</v>
      </c>
      <c r="B55" s="6">
        <v>44976</v>
      </c>
      <c r="C55" s="7">
        <v>1</v>
      </c>
      <c r="D55" s="5">
        <v>6.97</v>
      </c>
      <c r="E55" s="5">
        <v>178.3</v>
      </c>
      <c r="F55" s="5">
        <v>185.9</v>
      </c>
      <c r="G55" s="6">
        <v>44976</v>
      </c>
      <c r="H55" s="5"/>
      <c r="I55" s="5"/>
      <c r="J55" s="5">
        <f t="shared" si="5"/>
        <v>7.5999999999999943</v>
      </c>
      <c r="K55" s="8" t="b">
        <f t="shared" si="6"/>
        <v>1</v>
      </c>
    </row>
    <row r="56" spans="1:11">
      <c r="A56" s="5" t="s">
        <v>319</v>
      </c>
      <c r="B56" s="6">
        <v>44977</v>
      </c>
      <c r="C56" s="7">
        <v>1</v>
      </c>
      <c r="D56" s="5">
        <v>6.97</v>
      </c>
      <c r="E56" s="5">
        <v>185.9</v>
      </c>
      <c r="F56" s="5">
        <v>193.7</v>
      </c>
      <c r="G56" s="6">
        <v>44977</v>
      </c>
      <c r="H56" s="5"/>
      <c r="I56" s="5"/>
      <c r="J56" s="5">
        <f t="shared" si="5"/>
        <v>7.7999999999999829</v>
      </c>
      <c r="K56" s="8" t="b">
        <f t="shared" si="6"/>
        <v>1</v>
      </c>
    </row>
    <row r="57" spans="1:11">
      <c r="A57" s="5" t="s">
        <v>319</v>
      </c>
      <c r="B57" s="6">
        <v>44978</v>
      </c>
      <c r="C57" s="7">
        <v>1</v>
      </c>
      <c r="D57" s="5">
        <v>6.97</v>
      </c>
      <c r="E57" s="5">
        <v>193.7</v>
      </c>
      <c r="F57" s="5">
        <v>200.2</v>
      </c>
      <c r="G57" s="6">
        <v>44978</v>
      </c>
      <c r="H57" s="5"/>
      <c r="I57" s="5"/>
      <c r="J57" s="5">
        <f t="shared" si="5"/>
        <v>6.5</v>
      </c>
      <c r="K57" s="8" t="b">
        <f t="shared" si="6"/>
        <v>1</v>
      </c>
    </row>
    <row r="58" spans="1:11">
      <c r="A58" s="5" t="s">
        <v>319</v>
      </c>
      <c r="B58" s="6">
        <v>44979</v>
      </c>
      <c r="C58" s="7">
        <v>1</v>
      </c>
      <c r="D58" s="5">
        <v>6.97</v>
      </c>
      <c r="E58" s="5">
        <v>200.2</v>
      </c>
      <c r="F58" s="5">
        <v>207.2</v>
      </c>
      <c r="G58" s="6">
        <v>44979</v>
      </c>
      <c r="H58" s="5"/>
      <c r="I58" s="5"/>
      <c r="J58" s="5">
        <f t="shared" ref="J58:J76" si="7">F58-E58</f>
        <v>7</v>
      </c>
      <c r="K58" s="8" t="b">
        <f t="shared" ref="K58:K76" si="8">E58=F57</f>
        <v>1</v>
      </c>
    </row>
    <row r="59" spans="1:11">
      <c r="A59" s="49" t="s">
        <v>319</v>
      </c>
      <c r="B59" s="50">
        <v>44980</v>
      </c>
      <c r="C59" s="51">
        <v>0.5</v>
      </c>
      <c r="D59" s="49">
        <v>13.94</v>
      </c>
      <c r="E59" s="49">
        <v>207.2</v>
      </c>
      <c r="F59" s="49">
        <v>221.9</v>
      </c>
      <c r="G59" s="50">
        <v>44980</v>
      </c>
      <c r="H59" s="49"/>
      <c r="I59" s="49"/>
      <c r="J59" s="49">
        <f t="shared" si="7"/>
        <v>14.700000000000017</v>
      </c>
      <c r="K59" s="8" t="b">
        <f t="shared" si="8"/>
        <v>1</v>
      </c>
    </row>
    <row r="60" spans="1:11">
      <c r="A60" s="5" t="s">
        <v>319</v>
      </c>
      <c r="B60" s="6">
        <v>44981</v>
      </c>
      <c r="C60" s="7">
        <v>1</v>
      </c>
      <c r="D60" s="5">
        <v>6.97</v>
      </c>
      <c r="E60" s="5">
        <v>221.9</v>
      </c>
      <c r="F60" s="5">
        <v>229</v>
      </c>
      <c r="G60" s="6">
        <v>44981</v>
      </c>
      <c r="H60" s="5"/>
      <c r="I60" s="5"/>
      <c r="J60" s="5">
        <f t="shared" si="7"/>
        <v>7.0999999999999943</v>
      </c>
      <c r="K60" s="8" t="b">
        <f t="shared" si="8"/>
        <v>1</v>
      </c>
    </row>
    <row r="61" spans="1:11">
      <c r="A61" s="5" t="s">
        <v>321</v>
      </c>
      <c r="B61" s="6">
        <v>44982</v>
      </c>
      <c r="C61" s="7">
        <v>0.5</v>
      </c>
      <c r="D61" s="5">
        <v>13.94</v>
      </c>
      <c r="E61" s="5">
        <v>229</v>
      </c>
      <c r="F61" s="5">
        <v>244.5</v>
      </c>
      <c r="G61" s="6">
        <v>44982</v>
      </c>
      <c r="H61" s="5"/>
      <c r="I61" s="5"/>
      <c r="J61" s="5">
        <f t="shared" si="7"/>
        <v>15.5</v>
      </c>
      <c r="K61" s="8" t="b">
        <f t="shared" si="8"/>
        <v>1</v>
      </c>
    </row>
    <row r="62" spans="1:11">
      <c r="A62" s="5" t="s">
        <v>319</v>
      </c>
      <c r="B62" s="6">
        <v>44983</v>
      </c>
      <c r="C62" s="7">
        <v>1</v>
      </c>
      <c r="D62" s="5">
        <v>6.97</v>
      </c>
      <c r="E62" s="5">
        <v>244.5</v>
      </c>
      <c r="F62" s="5">
        <v>251</v>
      </c>
      <c r="G62" s="6">
        <v>44983</v>
      </c>
      <c r="H62" s="5"/>
      <c r="I62" s="5"/>
      <c r="J62" s="5">
        <f t="shared" si="7"/>
        <v>6.5</v>
      </c>
      <c r="K62" s="8" t="b">
        <f t="shared" si="8"/>
        <v>1</v>
      </c>
    </row>
    <row r="63" spans="1:11">
      <c r="A63" s="5" t="s">
        <v>321</v>
      </c>
      <c r="B63" s="6">
        <v>44983</v>
      </c>
      <c r="C63" s="7">
        <v>0.5</v>
      </c>
      <c r="D63" s="5">
        <v>13.94</v>
      </c>
      <c r="E63" s="5">
        <v>251</v>
      </c>
      <c r="F63" s="5">
        <v>265.5</v>
      </c>
      <c r="G63" s="6">
        <v>44983</v>
      </c>
      <c r="H63" s="5"/>
      <c r="I63" s="5"/>
      <c r="J63" s="5">
        <f t="shared" si="7"/>
        <v>14.5</v>
      </c>
      <c r="K63" s="8" t="b">
        <f t="shared" si="8"/>
        <v>1</v>
      </c>
    </row>
    <row r="64" spans="1:11">
      <c r="A64" s="5" t="s">
        <v>319</v>
      </c>
      <c r="B64" s="6">
        <v>44984</v>
      </c>
      <c r="C64" s="7">
        <v>1</v>
      </c>
      <c r="D64" s="5">
        <v>6.97</v>
      </c>
      <c r="E64" s="5">
        <v>265.5</v>
      </c>
      <c r="F64" s="5">
        <v>271.60000000000002</v>
      </c>
      <c r="G64" s="6">
        <v>44984</v>
      </c>
      <c r="H64" s="5"/>
      <c r="I64" s="5"/>
      <c r="J64" s="5">
        <f>F64-E64</f>
        <v>6.1000000000000227</v>
      </c>
      <c r="K64" s="8" t="b">
        <f t="shared" si="8"/>
        <v>1</v>
      </c>
    </row>
    <row r="65" spans="1:11">
      <c r="A65" s="5" t="s">
        <v>321</v>
      </c>
      <c r="B65" s="6">
        <v>44984</v>
      </c>
      <c r="C65" s="7">
        <v>0.8</v>
      </c>
      <c r="D65" s="5">
        <v>8.7100000000000009</v>
      </c>
      <c r="E65" s="5">
        <v>271.60000000000002</v>
      </c>
      <c r="F65" s="5">
        <v>280.10000000000002</v>
      </c>
      <c r="G65" s="6">
        <v>44984</v>
      </c>
      <c r="H65" s="5"/>
      <c r="I65" s="5"/>
      <c r="J65" s="5">
        <f>F65-E65</f>
        <v>8.5</v>
      </c>
      <c r="K65" s="8" t="b">
        <f t="shared" si="8"/>
        <v>1</v>
      </c>
    </row>
    <row r="66" spans="1:11">
      <c r="A66" s="5" t="s">
        <v>321</v>
      </c>
      <c r="B66" s="6">
        <v>44985</v>
      </c>
      <c r="C66" s="7">
        <v>0.8</v>
      </c>
      <c r="D66" s="5">
        <v>8.7100000000000009</v>
      </c>
      <c r="E66" s="5">
        <v>280.10000000000002</v>
      </c>
      <c r="F66" s="5">
        <v>289.5</v>
      </c>
      <c r="G66" s="6">
        <v>44985</v>
      </c>
      <c r="H66" s="5"/>
      <c r="I66" s="5"/>
      <c r="J66" s="5">
        <f t="shared" si="7"/>
        <v>9.3999999999999773</v>
      </c>
      <c r="K66" s="8" t="b">
        <f t="shared" si="8"/>
        <v>1</v>
      </c>
    </row>
    <row r="67" spans="1:11">
      <c r="A67" s="5" t="s">
        <v>319</v>
      </c>
      <c r="B67" s="6">
        <v>44986</v>
      </c>
      <c r="C67" s="7">
        <v>0.8</v>
      </c>
      <c r="D67" s="5">
        <v>8.7100000000000009</v>
      </c>
      <c r="E67" s="5">
        <v>289.5</v>
      </c>
      <c r="F67" s="5">
        <v>308.8</v>
      </c>
      <c r="G67" s="6">
        <v>44986</v>
      </c>
      <c r="H67" s="5"/>
      <c r="I67" s="5"/>
      <c r="J67" s="5">
        <f t="shared" si="7"/>
        <v>19.300000000000011</v>
      </c>
      <c r="K67" s="8" t="b">
        <f t="shared" si="8"/>
        <v>1</v>
      </c>
    </row>
    <row r="68" spans="1:11">
      <c r="A68" s="5" t="s">
        <v>321</v>
      </c>
      <c r="B68" s="6">
        <v>44987</v>
      </c>
      <c r="C68" s="7">
        <v>0.8</v>
      </c>
      <c r="D68" s="5">
        <v>8.7100000000000009</v>
      </c>
      <c r="E68" s="5">
        <v>308.8</v>
      </c>
      <c r="F68" s="5">
        <v>317.60000000000002</v>
      </c>
      <c r="G68" s="6">
        <v>44987</v>
      </c>
      <c r="H68" s="5"/>
      <c r="I68" s="5"/>
      <c r="J68" s="5">
        <f t="shared" si="7"/>
        <v>8.8000000000000114</v>
      </c>
      <c r="K68" s="8" t="b">
        <f t="shared" si="8"/>
        <v>1</v>
      </c>
    </row>
    <row r="69" spans="1:11">
      <c r="A69" s="5" t="s">
        <v>320</v>
      </c>
      <c r="B69" s="6">
        <v>44988</v>
      </c>
      <c r="C69" s="7">
        <v>1</v>
      </c>
      <c r="D69" s="5">
        <v>6.97</v>
      </c>
      <c r="E69" s="5">
        <v>317.60000000000002</v>
      </c>
      <c r="F69" s="5">
        <v>337.7</v>
      </c>
      <c r="G69" s="6">
        <v>44988</v>
      </c>
      <c r="H69" s="5"/>
      <c r="I69" s="5"/>
      <c r="J69" s="5">
        <f t="shared" si="7"/>
        <v>20.099999999999966</v>
      </c>
      <c r="K69" s="8" t="b">
        <f t="shared" si="8"/>
        <v>1</v>
      </c>
    </row>
    <row r="70" spans="1:11">
      <c r="A70" s="5" t="s">
        <v>320</v>
      </c>
      <c r="B70" s="6">
        <v>44989</v>
      </c>
      <c r="C70" s="7">
        <v>1</v>
      </c>
      <c r="D70" s="5">
        <v>6.97</v>
      </c>
      <c r="E70" s="5">
        <v>337.7</v>
      </c>
      <c r="F70" s="5">
        <v>345.7</v>
      </c>
      <c r="G70" s="6">
        <v>44989</v>
      </c>
      <c r="H70" s="5"/>
      <c r="I70" s="5"/>
      <c r="J70" s="5">
        <f t="shared" si="7"/>
        <v>8</v>
      </c>
      <c r="K70" s="8" t="b">
        <f t="shared" si="8"/>
        <v>1</v>
      </c>
    </row>
    <row r="71" spans="1:11">
      <c r="A71" s="5" t="s">
        <v>321</v>
      </c>
      <c r="B71" s="6">
        <v>44990</v>
      </c>
      <c r="C71" s="7">
        <v>1</v>
      </c>
      <c r="D71" s="5">
        <v>6.97</v>
      </c>
      <c r="E71" s="5">
        <v>345.7</v>
      </c>
      <c r="F71" s="5">
        <v>367.1</v>
      </c>
      <c r="G71" s="6">
        <v>44990</v>
      </c>
      <c r="H71" s="5"/>
      <c r="I71" s="5"/>
      <c r="J71" s="5">
        <f t="shared" si="7"/>
        <v>21.400000000000034</v>
      </c>
      <c r="K71" s="8" t="b">
        <f t="shared" si="8"/>
        <v>1</v>
      </c>
    </row>
    <row r="72" spans="1:11">
      <c r="A72" s="5" t="s">
        <v>321</v>
      </c>
      <c r="B72" s="6">
        <v>44991</v>
      </c>
      <c r="C72" s="7">
        <v>1</v>
      </c>
      <c r="D72" s="5">
        <v>6.97</v>
      </c>
      <c r="E72" s="5">
        <v>367.1</v>
      </c>
      <c r="F72" s="5">
        <v>374.2</v>
      </c>
      <c r="G72" s="6">
        <v>44991</v>
      </c>
      <c r="H72" s="5"/>
      <c r="I72" s="5"/>
      <c r="J72" s="5">
        <f t="shared" si="7"/>
        <v>7.0999999999999659</v>
      </c>
      <c r="K72" s="8" t="b">
        <f t="shared" si="8"/>
        <v>1</v>
      </c>
    </row>
    <row r="73" spans="1:11">
      <c r="A73" s="5" t="s">
        <v>321</v>
      </c>
      <c r="B73" s="6">
        <v>44992</v>
      </c>
      <c r="C73" s="7">
        <v>1</v>
      </c>
      <c r="D73" s="5">
        <v>6.97</v>
      </c>
      <c r="E73" s="5">
        <v>374.2</v>
      </c>
      <c r="F73" s="5">
        <v>382</v>
      </c>
      <c r="G73" s="6">
        <v>44992</v>
      </c>
      <c r="H73" s="5"/>
      <c r="I73" s="5"/>
      <c r="J73" s="5">
        <f t="shared" si="7"/>
        <v>7.8000000000000114</v>
      </c>
      <c r="K73" s="8" t="b">
        <f t="shared" si="8"/>
        <v>1</v>
      </c>
    </row>
    <row r="74" spans="1:11">
      <c r="A74" s="5" t="s">
        <v>321</v>
      </c>
      <c r="B74" s="6">
        <v>44994</v>
      </c>
      <c r="C74" s="7">
        <v>1</v>
      </c>
      <c r="D74" s="5">
        <v>6.97</v>
      </c>
      <c r="E74" s="5">
        <v>382</v>
      </c>
      <c r="F74" s="5">
        <v>389.6</v>
      </c>
      <c r="G74" s="6">
        <v>44994</v>
      </c>
      <c r="H74" s="5"/>
      <c r="I74" s="5"/>
      <c r="J74" s="5">
        <f t="shared" si="7"/>
        <v>7.6000000000000227</v>
      </c>
      <c r="K74" s="8" t="b">
        <f t="shared" si="8"/>
        <v>1</v>
      </c>
    </row>
    <row r="75" spans="1:11">
      <c r="A75" s="5" t="s">
        <v>320</v>
      </c>
      <c r="B75" s="6">
        <v>44995</v>
      </c>
      <c r="C75" s="7">
        <v>1</v>
      </c>
      <c r="D75" s="5">
        <v>6.97</v>
      </c>
      <c r="E75" s="5">
        <v>389.6</v>
      </c>
      <c r="F75" s="5">
        <v>404.1</v>
      </c>
      <c r="G75" s="6">
        <v>44995</v>
      </c>
      <c r="H75" s="5"/>
      <c r="I75" s="5"/>
      <c r="J75" s="5">
        <f t="shared" si="7"/>
        <v>14.5</v>
      </c>
      <c r="K75" s="8" t="b">
        <f t="shared" si="8"/>
        <v>1</v>
      </c>
    </row>
    <row r="76" spans="1:11">
      <c r="A76" s="5" t="s">
        <v>321</v>
      </c>
      <c r="B76" s="6">
        <v>44996</v>
      </c>
      <c r="C76" s="7">
        <v>1</v>
      </c>
      <c r="D76" s="5">
        <v>6.97</v>
      </c>
      <c r="E76" s="5">
        <v>404.1</v>
      </c>
      <c r="F76" s="5">
        <v>411.1</v>
      </c>
      <c r="G76" s="6">
        <v>44996</v>
      </c>
      <c r="H76" s="5"/>
      <c r="I76" s="5"/>
      <c r="J76" s="5">
        <f t="shared" si="7"/>
        <v>7</v>
      </c>
      <c r="K76" s="8" t="b">
        <f t="shared" si="8"/>
        <v>1</v>
      </c>
    </row>
    <row r="77" spans="1:11">
      <c r="A77" s="5" t="s">
        <v>320</v>
      </c>
      <c r="B77" s="6">
        <v>44997</v>
      </c>
      <c r="C77" s="7">
        <v>1</v>
      </c>
      <c r="D77" s="5">
        <v>6.97</v>
      </c>
      <c r="E77" s="5">
        <v>411.1</v>
      </c>
      <c r="F77" s="5">
        <v>425.1</v>
      </c>
      <c r="G77" s="6">
        <v>44997</v>
      </c>
      <c r="H77" s="5"/>
      <c r="I77" s="5"/>
      <c r="J77" s="5">
        <f t="shared" ref="J77:J89" si="9">F77-E77</f>
        <v>14</v>
      </c>
      <c r="K77" s="8" t="b">
        <f t="shared" ref="K77:K89" si="10">E77=F76</f>
        <v>1</v>
      </c>
    </row>
    <row r="78" spans="1:11">
      <c r="A78" s="5" t="s">
        <v>321</v>
      </c>
      <c r="B78" s="6">
        <v>44998</v>
      </c>
      <c r="C78" s="7">
        <v>1</v>
      </c>
      <c r="D78" s="5">
        <v>6.97</v>
      </c>
      <c r="E78" s="5">
        <v>425.1</v>
      </c>
      <c r="F78" s="5">
        <v>432.2</v>
      </c>
      <c r="G78" s="6">
        <v>44998</v>
      </c>
      <c r="H78" s="5"/>
      <c r="I78" s="5"/>
      <c r="J78" s="5">
        <f t="shared" si="9"/>
        <v>7.0999999999999659</v>
      </c>
      <c r="K78" s="8" t="b">
        <f t="shared" si="10"/>
        <v>1</v>
      </c>
    </row>
    <row r="79" spans="1:11">
      <c r="A79" s="5" t="s">
        <v>320</v>
      </c>
      <c r="B79" s="6">
        <v>44999</v>
      </c>
      <c r="C79" s="7">
        <v>1</v>
      </c>
      <c r="D79" s="5">
        <v>6.97</v>
      </c>
      <c r="E79" s="5">
        <v>432.2</v>
      </c>
      <c r="F79" s="5">
        <v>446.8</v>
      </c>
      <c r="G79" s="6">
        <v>44999</v>
      </c>
      <c r="H79" s="5"/>
      <c r="I79" s="5"/>
      <c r="J79" s="5">
        <f t="shared" si="9"/>
        <v>14.600000000000023</v>
      </c>
      <c r="K79" s="8" t="b">
        <f t="shared" si="10"/>
        <v>1</v>
      </c>
    </row>
    <row r="80" spans="1:11">
      <c r="A80" s="72" t="s">
        <v>320</v>
      </c>
      <c r="B80" s="73">
        <v>45000</v>
      </c>
      <c r="C80" s="74">
        <v>1</v>
      </c>
      <c r="D80" s="72">
        <v>6.97</v>
      </c>
      <c r="E80" s="72">
        <v>446.8</v>
      </c>
      <c r="F80" s="72">
        <v>462</v>
      </c>
      <c r="G80" s="73">
        <v>45001</v>
      </c>
      <c r="H80" s="72"/>
      <c r="I80" s="72"/>
      <c r="J80" s="72">
        <f t="shared" si="9"/>
        <v>15.199999999999989</v>
      </c>
      <c r="K80" s="8" t="b">
        <f t="shared" si="10"/>
        <v>1</v>
      </c>
    </row>
    <row r="81" spans="1:11">
      <c r="A81" s="5" t="s">
        <v>320</v>
      </c>
      <c r="B81" s="6">
        <v>45002</v>
      </c>
      <c r="C81" s="7">
        <v>1</v>
      </c>
      <c r="D81" s="5">
        <v>6.97</v>
      </c>
      <c r="E81" s="5">
        <v>462</v>
      </c>
      <c r="F81" s="5">
        <v>471.4</v>
      </c>
      <c r="G81" s="6">
        <v>45002</v>
      </c>
      <c r="H81" s="5"/>
      <c r="I81" s="5"/>
      <c r="J81" s="5">
        <f t="shared" si="9"/>
        <v>9.3999999999999773</v>
      </c>
      <c r="K81" s="8" t="b">
        <f t="shared" si="10"/>
        <v>1</v>
      </c>
    </row>
    <row r="82" spans="1:11">
      <c r="A82" s="5" t="s">
        <v>320</v>
      </c>
      <c r="B82" s="6">
        <v>45003</v>
      </c>
      <c r="C82" s="7">
        <v>0.7</v>
      </c>
      <c r="D82" s="5">
        <v>9.9600000000000009</v>
      </c>
      <c r="E82" s="5">
        <v>471.4</v>
      </c>
      <c r="F82" s="5">
        <v>491.2</v>
      </c>
      <c r="G82" s="6">
        <v>45003</v>
      </c>
      <c r="H82" s="5"/>
      <c r="I82" s="5"/>
      <c r="J82" s="5">
        <f t="shared" si="9"/>
        <v>19.800000000000011</v>
      </c>
      <c r="K82" s="8" t="b">
        <f t="shared" si="10"/>
        <v>1</v>
      </c>
    </row>
    <row r="83" spans="1:11">
      <c r="A83" s="5" t="s">
        <v>319</v>
      </c>
      <c r="B83" s="6">
        <v>45006</v>
      </c>
      <c r="C83" s="7">
        <v>0.7</v>
      </c>
      <c r="D83" s="5">
        <v>9.9600000000000009</v>
      </c>
      <c r="E83" s="5">
        <v>491.2</v>
      </c>
      <c r="F83" s="5">
        <v>501.1</v>
      </c>
      <c r="G83" s="6">
        <v>45006</v>
      </c>
      <c r="H83" s="5"/>
      <c r="I83" s="5"/>
      <c r="J83" s="5">
        <f t="shared" si="9"/>
        <v>9.9000000000000341</v>
      </c>
      <c r="K83" s="8" t="b">
        <f t="shared" si="10"/>
        <v>1</v>
      </c>
    </row>
    <row r="84" spans="1:11">
      <c r="A84" s="5" t="s">
        <v>321</v>
      </c>
      <c r="B84" s="6">
        <v>45007</v>
      </c>
      <c r="C84" s="7">
        <v>1</v>
      </c>
      <c r="D84" s="5">
        <v>6.97</v>
      </c>
      <c r="E84" s="5">
        <v>501.2</v>
      </c>
      <c r="F84" s="5">
        <v>508.1</v>
      </c>
      <c r="G84" s="6">
        <v>45007</v>
      </c>
      <c r="H84" s="5"/>
      <c r="I84" s="5"/>
      <c r="J84" s="5">
        <f t="shared" si="9"/>
        <v>6.9000000000000341</v>
      </c>
      <c r="K84" s="8" t="b">
        <f t="shared" si="10"/>
        <v>0</v>
      </c>
    </row>
    <row r="85" spans="1:11">
      <c r="A85" s="5" t="s">
        <v>322</v>
      </c>
      <c r="B85" s="6">
        <v>45009</v>
      </c>
      <c r="C85" s="7">
        <v>0.7</v>
      </c>
      <c r="D85" s="5">
        <v>9.9600000000000009</v>
      </c>
      <c r="E85" s="5">
        <v>508.1</v>
      </c>
      <c r="F85" s="5">
        <v>518</v>
      </c>
      <c r="G85" s="6">
        <v>45009</v>
      </c>
      <c r="H85" s="5"/>
      <c r="I85" s="5"/>
      <c r="J85" s="5">
        <f t="shared" si="9"/>
        <v>9.8999999999999773</v>
      </c>
      <c r="K85" s="8" t="b">
        <f t="shared" si="10"/>
        <v>1</v>
      </c>
    </row>
    <row r="86" spans="1:11">
      <c r="A86" s="72" t="s">
        <v>321</v>
      </c>
      <c r="B86" s="73">
        <v>45009</v>
      </c>
      <c r="C86" s="74">
        <v>1</v>
      </c>
      <c r="D86" s="72">
        <v>6.97</v>
      </c>
      <c r="E86" s="72">
        <v>518</v>
      </c>
      <c r="F86" s="72">
        <v>524.6</v>
      </c>
      <c r="G86" s="73">
        <v>45009</v>
      </c>
      <c r="H86" s="72"/>
      <c r="I86" s="72"/>
      <c r="J86" s="72">
        <f t="shared" si="9"/>
        <v>6.6000000000000227</v>
      </c>
      <c r="K86" s="8" t="b">
        <f t="shared" si="10"/>
        <v>1</v>
      </c>
    </row>
    <row r="87" spans="1:11">
      <c r="A87" s="5" t="s">
        <v>320</v>
      </c>
      <c r="B87" s="6">
        <v>45011</v>
      </c>
      <c r="C87" s="7">
        <v>0.7</v>
      </c>
      <c r="D87" s="5">
        <v>9.9600000000000009</v>
      </c>
      <c r="E87" s="5">
        <v>524.6</v>
      </c>
      <c r="F87" s="5">
        <v>544.4</v>
      </c>
      <c r="G87" s="6">
        <v>45011</v>
      </c>
      <c r="H87" s="5"/>
      <c r="I87" s="5"/>
      <c r="J87" s="5">
        <f t="shared" si="9"/>
        <v>19.799999999999955</v>
      </c>
      <c r="K87" s="8" t="b">
        <f t="shared" si="10"/>
        <v>1</v>
      </c>
    </row>
    <row r="88" spans="1:11">
      <c r="A88" s="25" t="s">
        <v>320</v>
      </c>
      <c r="B88" s="26">
        <v>45013</v>
      </c>
      <c r="C88" s="27">
        <v>1</v>
      </c>
      <c r="D88" s="25">
        <v>6.97</v>
      </c>
      <c r="E88" s="25">
        <v>544.4</v>
      </c>
      <c r="F88" s="25">
        <v>558.20000000000005</v>
      </c>
      <c r="G88" s="26">
        <v>45013</v>
      </c>
      <c r="H88" s="25"/>
      <c r="I88" s="25"/>
      <c r="J88" s="25">
        <f t="shared" si="9"/>
        <v>13.800000000000068</v>
      </c>
      <c r="K88" s="8" t="b">
        <f t="shared" si="10"/>
        <v>1</v>
      </c>
    </row>
    <row r="89" spans="1:11">
      <c r="A89" s="5" t="s">
        <v>320</v>
      </c>
      <c r="B89" s="6">
        <v>45013</v>
      </c>
      <c r="C89" s="7">
        <v>1</v>
      </c>
      <c r="D89" s="5">
        <v>6.97</v>
      </c>
      <c r="E89" s="5">
        <v>558.20000000000005</v>
      </c>
      <c r="F89" s="5">
        <v>572.5</v>
      </c>
      <c r="G89" s="6">
        <v>45013</v>
      </c>
      <c r="H89" s="5"/>
      <c r="I89" s="5"/>
      <c r="J89" s="5">
        <f t="shared" si="9"/>
        <v>14.299999999999955</v>
      </c>
      <c r="K89" s="8" t="b">
        <f t="shared" si="10"/>
        <v>1</v>
      </c>
    </row>
    <row r="90" spans="1:11">
      <c r="A90" s="25" t="s">
        <v>319</v>
      </c>
      <c r="B90" s="26">
        <v>45016</v>
      </c>
      <c r="C90" s="27">
        <v>1</v>
      </c>
      <c r="D90" s="25">
        <v>6.97</v>
      </c>
      <c r="E90" s="25">
        <v>572.5</v>
      </c>
      <c r="F90" s="25">
        <v>579.4</v>
      </c>
      <c r="G90" s="26">
        <v>45016</v>
      </c>
      <c r="H90" s="25"/>
      <c r="I90" s="25"/>
      <c r="J90" s="25">
        <f>F90-E90</f>
        <v>6.8999999999999773</v>
      </c>
      <c r="K90" s="8" t="b">
        <f>E91=F89</f>
        <v>0</v>
      </c>
    </row>
    <row r="91" spans="1:11">
      <c r="A91" s="5" t="s">
        <v>321</v>
      </c>
      <c r="B91" s="6">
        <v>45018</v>
      </c>
      <c r="C91" s="7">
        <v>1</v>
      </c>
      <c r="D91" s="5">
        <v>6.97</v>
      </c>
      <c r="E91" s="5">
        <v>579.4</v>
      </c>
      <c r="F91" s="5">
        <v>586.9</v>
      </c>
      <c r="G91" s="6">
        <v>45018</v>
      </c>
      <c r="H91" s="5"/>
      <c r="I91" s="5"/>
      <c r="J91" s="5">
        <f t="shared" ref="J91:J100" si="11">F91-E91</f>
        <v>7.5</v>
      </c>
      <c r="K91" s="8" t="b">
        <f>E90=F91</f>
        <v>0</v>
      </c>
    </row>
    <row r="92" spans="1:11">
      <c r="A92" s="25" t="s">
        <v>320</v>
      </c>
      <c r="B92" s="26">
        <v>45019</v>
      </c>
      <c r="C92" s="27">
        <v>1</v>
      </c>
      <c r="D92" s="25">
        <v>6.97</v>
      </c>
      <c r="E92" s="25">
        <v>586.9</v>
      </c>
      <c r="F92" s="25">
        <v>600.9</v>
      </c>
      <c r="G92" s="26">
        <v>45019</v>
      </c>
      <c r="H92" s="25"/>
      <c r="I92" s="25"/>
      <c r="J92" s="25">
        <f t="shared" si="11"/>
        <v>14</v>
      </c>
      <c r="K92" s="8" t="b">
        <f>E92=F90</f>
        <v>0</v>
      </c>
    </row>
    <row r="93" spans="1:11">
      <c r="A93" s="5" t="s">
        <v>320</v>
      </c>
      <c r="B93" s="6">
        <v>45024</v>
      </c>
      <c r="C93" s="7">
        <v>0.8</v>
      </c>
      <c r="D93" s="5">
        <v>8.7100000000000009</v>
      </c>
      <c r="E93" s="5">
        <v>600.9</v>
      </c>
      <c r="F93" s="5">
        <v>618.20000000000005</v>
      </c>
      <c r="G93" s="6">
        <v>45024</v>
      </c>
      <c r="H93" s="5"/>
      <c r="I93" s="5"/>
      <c r="J93" s="5">
        <f t="shared" si="11"/>
        <v>17.300000000000068</v>
      </c>
      <c r="K93" s="8" t="b">
        <f t="shared" ref="K93:K100" si="12">E93=F92</f>
        <v>1</v>
      </c>
    </row>
    <row r="94" spans="1:11">
      <c r="A94" s="25" t="s">
        <v>320</v>
      </c>
      <c r="B94" s="26">
        <v>45026</v>
      </c>
      <c r="C94" s="27">
        <v>1</v>
      </c>
      <c r="D94" s="25">
        <v>6.97</v>
      </c>
      <c r="E94" s="25">
        <v>618.20000000000005</v>
      </c>
      <c r="F94" s="25">
        <v>632.29999999999995</v>
      </c>
      <c r="G94" s="26">
        <v>45026</v>
      </c>
      <c r="H94" s="25"/>
      <c r="I94" s="25"/>
      <c r="J94" s="25">
        <f t="shared" si="11"/>
        <v>14.099999999999909</v>
      </c>
      <c r="K94" s="8" t="b">
        <f t="shared" si="12"/>
        <v>1</v>
      </c>
    </row>
    <row r="95" spans="1:11">
      <c r="A95" s="5" t="s">
        <v>320</v>
      </c>
      <c r="B95" s="6">
        <v>45030</v>
      </c>
      <c r="C95" s="7">
        <v>0.7</v>
      </c>
      <c r="D95" s="5">
        <v>9.9600000000000009</v>
      </c>
      <c r="E95" s="5">
        <v>632.29999999999995</v>
      </c>
      <c r="F95" s="5">
        <v>651.79999999999995</v>
      </c>
      <c r="G95" s="6">
        <v>45030</v>
      </c>
      <c r="H95" s="5"/>
      <c r="I95" s="5"/>
      <c r="J95" s="5">
        <f t="shared" si="11"/>
        <v>19.5</v>
      </c>
      <c r="K95" s="8" t="b">
        <f t="shared" si="12"/>
        <v>1</v>
      </c>
    </row>
    <row r="96" spans="1:11">
      <c r="A96" s="5" t="s">
        <v>320</v>
      </c>
      <c r="B96" s="6">
        <v>45033</v>
      </c>
      <c r="C96" s="7">
        <v>0.7</v>
      </c>
      <c r="D96" s="5">
        <v>9.9600000000000009</v>
      </c>
      <c r="E96" s="5">
        <v>651.79999999999995</v>
      </c>
      <c r="F96" s="5">
        <v>671.4</v>
      </c>
      <c r="G96" s="6">
        <v>45033</v>
      </c>
      <c r="H96" s="5"/>
      <c r="I96" s="5"/>
      <c r="J96" s="5">
        <f t="shared" si="11"/>
        <v>19.600000000000023</v>
      </c>
      <c r="K96" s="8" t="b">
        <f t="shared" si="12"/>
        <v>1</v>
      </c>
    </row>
    <row r="97" spans="1:11">
      <c r="A97" s="25" t="s">
        <v>321</v>
      </c>
      <c r="B97" s="26">
        <v>45035</v>
      </c>
      <c r="C97" s="27">
        <v>1</v>
      </c>
      <c r="D97" s="25">
        <v>6.97</v>
      </c>
      <c r="E97" s="25">
        <v>671.4</v>
      </c>
      <c r="F97" s="25">
        <v>678.4</v>
      </c>
      <c r="G97" s="26">
        <v>45035</v>
      </c>
      <c r="H97" s="25"/>
      <c r="I97" s="25"/>
      <c r="J97" s="25">
        <f t="shared" si="11"/>
        <v>7</v>
      </c>
      <c r="K97" s="8" t="b">
        <f t="shared" si="12"/>
        <v>1</v>
      </c>
    </row>
    <row r="98" spans="1:11">
      <c r="A98" s="5" t="s">
        <v>319</v>
      </c>
      <c r="B98" s="6">
        <v>45036</v>
      </c>
      <c r="C98" s="7">
        <v>1</v>
      </c>
      <c r="D98" s="5">
        <v>6.97</v>
      </c>
      <c r="E98" s="5">
        <v>678.4</v>
      </c>
      <c r="F98" s="5">
        <v>685.9</v>
      </c>
      <c r="G98" s="6">
        <v>45036</v>
      </c>
      <c r="H98" s="5"/>
      <c r="I98" s="5"/>
      <c r="J98" s="5">
        <f t="shared" si="11"/>
        <v>7.5</v>
      </c>
      <c r="K98" s="8" t="b">
        <f t="shared" si="12"/>
        <v>1</v>
      </c>
    </row>
    <row r="99" spans="1:11">
      <c r="A99" s="5" t="s">
        <v>320</v>
      </c>
      <c r="B99" s="6">
        <v>45044</v>
      </c>
      <c r="C99" s="7">
        <v>1</v>
      </c>
      <c r="D99" s="5">
        <v>6.97</v>
      </c>
      <c r="E99" s="5">
        <v>685.9</v>
      </c>
      <c r="F99" s="5">
        <v>699.2</v>
      </c>
      <c r="G99" s="6">
        <v>45044</v>
      </c>
      <c r="H99" s="5"/>
      <c r="I99" s="5"/>
      <c r="J99" s="5">
        <f t="shared" si="11"/>
        <v>13.300000000000068</v>
      </c>
      <c r="K99" s="8" t="b">
        <f t="shared" si="12"/>
        <v>1</v>
      </c>
    </row>
    <row r="100" spans="1:11">
      <c r="A100" s="5" t="s">
        <v>320</v>
      </c>
      <c r="B100" s="6">
        <v>45045</v>
      </c>
      <c r="C100" s="7">
        <v>1</v>
      </c>
      <c r="D100" s="5">
        <v>6.97</v>
      </c>
      <c r="E100" s="5">
        <v>699.2</v>
      </c>
      <c r="F100" s="5">
        <v>713.3</v>
      </c>
      <c r="G100" s="6">
        <v>45045</v>
      </c>
      <c r="H100" s="5"/>
      <c r="I100" s="5"/>
      <c r="J100" s="5">
        <f t="shared" si="11"/>
        <v>14.099999999999909</v>
      </c>
      <c r="K100" s="8" t="b">
        <f t="shared" si="12"/>
        <v>1</v>
      </c>
    </row>
    <row r="101" spans="1:11">
      <c r="A101" s="5" t="s">
        <v>320</v>
      </c>
      <c r="B101" s="6">
        <v>45047</v>
      </c>
      <c r="C101" s="7">
        <v>1</v>
      </c>
      <c r="D101" s="5">
        <v>6.97</v>
      </c>
      <c r="E101" s="5">
        <v>713.3</v>
      </c>
      <c r="F101" s="5">
        <v>727.5</v>
      </c>
      <c r="G101" s="6">
        <v>45047</v>
      </c>
      <c r="H101" s="5"/>
      <c r="I101" s="5"/>
      <c r="J101" s="5">
        <f t="shared" ref="J101:J113" si="13">F101-E101</f>
        <v>14.200000000000045</v>
      </c>
      <c r="K101" s="8" t="b">
        <f t="shared" ref="K101:K110" si="14">E101=F100</f>
        <v>1</v>
      </c>
    </row>
    <row r="102" spans="1:11">
      <c r="A102" s="5" t="s">
        <v>320</v>
      </c>
      <c r="B102" s="6">
        <v>45050</v>
      </c>
      <c r="C102" s="7">
        <v>0.7</v>
      </c>
      <c r="D102" s="5">
        <v>9.9600000000000009</v>
      </c>
      <c r="E102" s="5">
        <v>727.5</v>
      </c>
      <c r="F102" s="5">
        <v>747</v>
      </c>
      <c r="G102" s="6">
        <v>45050</v>
      </c>
      <c r="H102" s="5"/>
      <c r="I102" s="5"/>
      <c r="J102" s="5">
        <f t="shared" si="13"/>
        <v>19.5</v>
      </c>
      <c r="K102" s="8" t="b">
        <f t="shared" si="14"/>
        <v>1</v>
      </c>
    </row>
    <row r="103" spans="1:11">
      <c r="A103" s="5" t="s">
        <v>320</v>
      </c>
      <c r="B103" s="6">
        <v>45052</v>
      </c>
      <c r="C103" s="7">
        <v>0.8</v>
      </c>
      <c r="D103" s="5">
        <v>8.7100000000000009</v>
      </c>
      <c r="E103" s="5">
        <v>747</v>
      </c>
      <c r="F103" s="5">
        <v>764.2</v>
      </c>
      <c r="G103" s="6">
        <v>45052</v>
      </c>
      <c r="H103" s="5"/>
      <c r="I103" s="5"/>
      <c r="J103" s="5">
        <f t="shared" si="13"/>
        <v>17.200000000000045</v>
      </c>
      <c r="K103" s="8" t="b">
        <f t="shared" si="14"/>
        <v>1</v>
      </c>
    </row>
    <row r="104" spans="1:11">
      <c r="A104" s="5" t="s">
        <v>320</v>
      </c>
      <c r="B104" s="6">
        <v>45057</v>
      </c>
      <c r="C104" s="7">
        <v>0.9</v>
      </c>
      <c r="D104" s="5">
        <v>9.08</v>
      </c>
      <c r="E104" s="5">
        <v>764.2</v>
      </c>
      <c r="F104" s="5">
        <v>780.1</v>
      </c>
      <c r="G104" s="6">
        <v>45057</v>
      </c>
      <c r="H104" s="5"/>
      <c r="I104" s="5"/>
      <c r="J104" s="5">
        <f t="shared" si="13"/>
        <v>15.899999999999977</v>
      </c>
      <c r="K104" s="8" t="b">
        <f t="shared" si="14"/>
        <v>1</v>
      </c>
    </row>
    <row r="105" spans="1:11">
      <c r="A105" s="5" t="s">
        <v>320</v>
      </c>
      <c r="B105" s="6">
        <v>45059</v>
      </c>
      <c r="C105" s="7">
        <v>0.6</v>
      </c>
      <c r="D105" s="5">
        <v>11.62</v>
      </c>
      <c r="E105" s="5">
        <v>780.1</v>
      </c>
      <c r="F105" s="5">
        <v>802.9</v>
      </c>
      <c r="G105" s="6">
        <v>45059</v>
      </c>
      <c r="H105" s="5"/>
      <c r="I105" s="5"/>
      <c r="J105" s="5">
        <f t="shared" si="13"/>
        <v>22.799999999999955</v>
      </c>
      <c r="K105" s="8" t="b">
        <f t="shared" si="14"/>
        <v>1</v>
      </c>
    </row>
    <row r="106" spans="1:11">
      <c r="A106" s="5" t="s">
        <v>321</v>
      </c>
      <c r="B106" s="6">
        <v>45065</v>
      </c>
      <c r="C106" s="7">
        <v>0.8</v>
      </c>
      <c r="D106" s="5">
        <v>8.7100000000000009</v>
      </c>
      <c r="E106" s="5">
        <v>802.9</v>
      </c>
      <c r="F106" s="5">
        <v>812</v>
      </c>
      <c r="G106" s="6">
        <v>45065</v>
      </c>
      <c r="H106" s="5"/>
      <c r="I106" s="5"/>
      <c r="J106" s="5">
        <f t="shared" si="13"/>
        <v>9.1000000000000227</v>
      </c>
      <c r="K106" s="8" t="b">
        <f t="shared" si="14"/>
        <v>1</v>
      </c>
    </row>
    <row r="107" spans="1:11">
      <c r="A107" s="5" t="s">
        <v>319</v>
      </c>
      <c r="B107" s="6">
        <v>45065</v>
      </c>
      <c r="C107" s="7">
        <v>0.9</v>
      </c>
      <c r="D107" s="5">
        <v>9.08</v>
      </c>
      <c r="E107" s="5">
        <v>812</v>
      </c>
      <c r="F107" s="5">
        <v>819</v>
      </c>
      <c r="G107" s="6">
        <v>45065</v>
      </c>
      <c r="H107" s="5"/>
      <c r="I107" s="5"/>
      <c r="J107" s="5">
        <f t="shared" si="13"/>
        <v>7</v>
      </c>
      <c r="K107" s="8" t="b">
        <f t="shared" si="14"/>
        <v>1</v>
      </c>
    </row>
    <row r="108" spans="1:11">
      <c r="A108" s="5" t="s">
        <v>320</v>
      </c>
      <c r="B108" s="6">
        <v>45068</v>
      </c>
      <c r="C108" s="7">
        <v>0.8</v>
      </c>
      <c r="D108" s="5">
        <v>8.7100000000000009</v>
      </c>
      <c r="E108" s="5">
        <v>819</v>
      </c>
      <c r="F108" s="5">
        <v>836.5</v>
      </c>
      <c r="G108" s="6">
        <v>45068</v>
      </c>
      <c r="H108" s="5"/>
      <c r="I108" s="5"/>
      <c r="J108" s="5">
        <f t="shared" si="13"/>
        <v>17.5</v>
      </c>
      <c r="K108" s="8" t="b">
        <f t="shared" si="14"/>
        <v>1</v>
      </c>
    </row>
    <row r="109" spans="1:11">
      <c r="A109" s="36" t="s">
        <v>323</v>
      </c>
      <c r="B109" s="37">
        <v>45071</v>
      </c>
      <c r="C109" s="38">
        <v>1</v>
      </c>
      <c r="D109" s="36">
        <v>6.97</v>
      </c>
      <c r="E109" s="36">
        <v>836.5</v>
      </c>
      <c r="F109" s="36">
        <v>846.7</v>
      </c>
      <c r="G109" s="37" t="s">
        <v>70</v>
      </c>
      <c r="H109" s="36"/>
      <c r="I109" s="36"/>
      <c r="J109" s="36">
        <f t="shared" si="13"/>
        <v>10.200000000000045</v>
      </c>
      <c r="K109" s="8" t="b">
        <f t="shared" si="14"/>
        <v>1</v>
      </c>
    </row>
    <row r="110" spans="1:11">
      <c r="A110" s="5" t="s">
        <v>324</v>
      </c>
      <c r="B110" s="6">
        <v>45073</v>
      </c>
      <c r="C110" s="7">
        <v>0.8</v>
      </c>
      <c r="D110" s="5">
        <v>8.7100000000000009</v>
      </c>
      <c r="E110" s="5">
        <v>846.7</v>
      </c>
      <c r="F110" s="5">
        <v>860.9</v>
      </c>
      <c r="G110" s="6" t="s">
        <v>137</v>
      </c>
      <c r="H110" s="5"/>
      <c r="I110" s="5"/>
      <c r="J110" s="5">
        <f t="shared" si="13"/>
        <v>14.199999999999932</v>
      </c>
      <c r="K110" s="8" t="b">
        <f t="shared" si="14"/>
        <v>1</v>
      </c>
    </row>
    <row r="111" spans="1:11">
      <c r="A111" s="5" t="s">
        <v>320</v>
      </c>
      <c r="B111" s="6">
        <v>45079</v>
      </c>
      <c r="C111" s="7">
        <v>0.7</v>
      </c>
      <c r="D111" s="5">
        <v>9.9600000000000009</v>
      </c>
      <c r="E111" s="5">
        <v>860.9</v>
      </c>
      <c r="F111" s="5">
        <v>880.9</v>
      </c>
      <c r="G111" s="6">
        <v>45109</v>
      </c>
      <c r="H111" s="5"/>
      <c r="I111" s="5"/>
      <c r="J111" s="5">
        <f t="shared" si="13"/>
        <v>20</v>
      </c>
      <c r="K111" s="8" t="b">
        <f>E111=F110</f>
        <v>1</v>
      </c>
    </row>
    <row r="112" spans="1:11">
      <c r="A112" s="5" t="s">
        <v>319</v>
      </c>
      <c r="B112" s="6">
        <v>45084</v>
      </c>
      <c r="C112" s="7">
        <v>0.7</v>
      </c>
      <c r="D112" s="5">
        <v>9.9600000000000009</v>
      </c>
      <c r="E112" s="5">
        <v>880.9</v>
      </c>
      <c r="F112" s="5">
        <v>890.8</v>
      </c>
      <c r="G112" s="6">
        <v>45084</v>
      </c>
      <c r="H112" s="5"/>
      <c r="I112" s="5"/>
      <c r="J112" s="5">
        <f t="shared" si="13"/>
        <v>9.8999999999999773</v>
      </c>
      <c r="K112" s="8" t="b">
        <f t="shared" ref="K112:K120" si="15">E112=F111</f>
        <v>1</v>
      </c>
    </row>
    <row r="113" spans="1:11">
      <c r="A113" s="5" t="s">
        <v>325</v>
      </c>
      <c r="B113" s="6">
        <v>45085</v>
      </c>
      <c r="C113" s="7">
        <v>1</v>
      </c>
      <c r="D113" s="5">
        <v>6.97</v>
      </c>
      <c r="E113" s="5">
        <v>890.8</v>
      </c>
      <c r="F113" s="5">
        <v>894.6</v>
      </c>
      <c r="G113" s="6">
        <v>45085</v>
      </c>
      <c r="H113" s="5"/>
      <c r="I113" s="5"/>
      <c r="J113" s="5">
        <f t="shared" si="13"/>
        <v>3.8000000000000682</v>
      </c>
      <c r="K113" s="8" t="b">
        <f t="shared" si="15"/>
        <v>1</v>
      </c>
    </row>
    <row r="114" spans="1:11">
      <c r="A114" s="5" t="s">
        <v>326</v>
      </c>
      <c r="B114" s="6">
        <v>45085</v>
      </c>
      <c r="C114" s="7">
        <v>0.8</v>
      </c>
      <c r="D114" s="5">
        <v>8.7100000000000009</v>
      </c>
      <c r="E114" s="5">
        <v>894.6</v>
      </c>
      <c r="F114" s="5">
        <v>900.9</v>
      </c>
      <c r="G114" s="6">
        <v>45085</v>
      </c>
      <c r="H114" s="5"/>
      <c r="I114" s="5"/>
      <c r="J114" s="5">
        <f t="shared" ref="J114" si="16">F114-E114</f>
        <v>6.2999999999999545</v>
      </c>
      <c r="K114" s="8" t="b">
        <f t="shared" si="15"/>
        <v>1</v>
      </c>
    </row>
    <row r="115" spans="1:11">
      <c r="A115" s="5" t="s">
        <v>320</v>
      </c>
      <c r="B115" s="6">
        <v>45087</v>
      </c>
      <c r="C115" s="7">
        <v>0.7</v>
      </c>
      <c r="D115" s="5">
        <v>9.9600000000000009</v>
      </c>
      <c r="E115" s="5">
        <v>900.9</v>
      </c>
      <c r="F115" s="5">
        <v>921.9</v>
      </c>
      <c r="G115" s="6">
        <v>45087</v>
      </c>
      <c r="H115" s="5"/>
      <c r="I115" s="5"/>
      <c r="J115" s="5">
        <f t="shared" ref="J115:J118" si="17">F115-E115</f>
        <v>21</v>
      </c>
      <c r="K115" s="8" t="b">
        <f t="shared" si="15"/>
        <v>1</v>
      </c>
    </row>
    <row r="116" spans="1:11">
      <c r="A116" s="5" t="s">
        <v>320</v>
      </c>
      <c r="B116" s="6">
        <v>45090</v>
      </c>
      <c r="C116" s="7">
        <v>1</v>
      </c>
      <c r="D116" s="5">
        <v>6.97</v>
      </c>
      <c r="E116" s="5">
        <v>921.9</v>
      </c>
      <c r="F116" s="5">
        <v>935.8</v>
      </c>
      <c r="G116" s="6">
        <v>45090</v>
      </c>
      <c r="H116" s="5"/>
      <c r="I116" s="5"/>
      <c r="J116" s="5">
        <f t="shared" si="17"/>
        <v>13.899999999999977</v>
      </c>
      <c r="K116" s="8" t="b">
        <f t="shared" si="15"/>
        <v>1</v>
      </c>
    </row>
    <row r="117" spans="1:11">
      <c r="A117" s="5" t="s">
        <v>320</v>
      </c>
      <c r="B117" s="6">
        <v>45095</v>
      </c>
      <c r="C117" s="7">
        <v>0.8</v>
      </c>
      <c r="D117" s="5">
        <v>8.7100000000000009</v>
      </c>
      <c r="E117" s="5">
        <v>935.8</v>
      </c>
      <c r="F117" s="5">
        <v>953</v>
      </c>
      <c r="G117" s="6">
        <v>45095</v>
      </c>
      <c r="H117" s="5"/>
      <c r="I117" s="5"/>
      <c r="J117" s="5">
        <f t="shared" si="17"/>
        <v>17.200000000000045</v>
      </c>
      <c r="K117" s="8" t="b">
        <f t="shared" si="15"/>
        <v>1</v>
      </c>
    </row>
    <row r="118" spans="1:11">
      <c r="A118" s="5" t="s">
        <v>321</v>
      </c>
      <c r="B118" s="6">
        <v>45098</v>
      </c>
      <c r="C118" s="7">
        <v>0.8</v>
      </c>
      <c r="D118" s="5">
        <v>8.7100000000000009</v>
      </c>
      <c r="E118" s="5">
        <v>953</v>
      </c>
      <c r="F118" s="5">
        <v>962.9</v>
      </c>
      <c r="G118" s="6">
        <v>45098</v>
      </c>
      <c r="H118" s="5"/>
      <c r="I118" s="5"/>
      <c r="J118" s="5">
        <f t="shared" si="17"/>
        <v>9.8999999999999773</v>
      </c>
      <c r="K118" s="8" t="b">
        <f t="shared" si="15"/>
        <v>1</v>
      </c>
    </row>
    <row r="119" spans="1:11">
      <c r="A119" s="5" t="s">
        <v>321</v>
      </c>
      <c r="B119" s="6">
        <v>45101</v>
      </c>
      <c r="C119" s="7">
        <v>0.8</v>
      </c>
      <c r="D119" s="5">
        <v>8.7100000000000009</v>
      </c>
      <c r="E119" s="5">
        <v>962.9</v>
      </c>
      <c r="F119" s="5">
        <v>971.1</v>
      </c>
      <c r="G119" s="6">
        <v>45101</v>
      </c>
      <c r="H119" s="5"/>
      <c r="I119" s="5"/>
      <c r="J119" s="5">
        <f t="shared" ref="J119:J122" si="18">F119-E119</f>
        <v>8.2000000000000455</v>
      </c>
      <c r="K119" s="8" t="b">
        <f t="shared" si="15"/>
        <v>1</v>
      </c>
    </row>
    <row r="120" spans="1:11">
      <c r="A120" s="5" t="s">
        <v>321</v>
      </c>
      <c r="B120" s="6">
        <v>45105</v>
      </c>
      <c r="C120" s="7">
        <v>0.8</v>
      </c>
      <c r="D120" s="5">
        <v>8.7100000000000009</v>
      </c>
      <c r="E120" s="5">
        <v>971.1</v>
      </c>
      <c r="F120" s="5">
        <v>980.2</v>
      </c>
      <c r="G120" s="6">
        <v>45103</v>
      </c>
      <c r="H120" s="5"/>
      <c r="I120" s="5"/>
      <c r="J120" s="5">
        <f t="shared" si="18"/>
        <v>9.1000000000000227</v>
      </c>
      <c r="K120" s="8" t="b">
        <f t="shared" si="15"/>
        <v>1</v>
      </c>
    </row>
    <row r="121" spans="1:11">
      <c r="A121" s="5" t="s">
        <v>321</v>
      </c>
      <c r="B121" s="6">
        <v>45108</v>
      </c>
      <c r="C121" s="7">
        <v>0.8</v>
      </c>
      <c r="D121" s="5">
        <v>8.7100000000000009</v>
      </c>
      <c r="E121" s="5">
        <v>980.2</v>
      </c>
      <c r="F121" s="5">
        <v>989.2</v>
      </c>
      <c r="G121" s="6">
        <v>45108</v>
      </c>
      <c r="H121" s="5"/>
      <c r="I121" s="5"/>
      <c r="J121" s="5">
        <f t="shared" si="18"/>
        <v>9</v>
      </c>
      <c r="K121" s="8" t="b">
        <f t="shared" ref="K121:K122" si="19">E121=F120</f>
        <v>1</v>
      </c>
    </row>
    <row r="122" spans="1:11">
      <c r="A122" s="5" t="s">
        <v>326</v>
      </c>
      <c r="B122" s="6">
        <v>45111</v>
      </c>
      <c r="C122" s="7">
        <v>1</v>
      </c>
      <c r="D122" s="5">
        <v>6.97</v>
      </c>
      <c r="E122" s="5">
        <v>989.2</v>
      </c>
      <c r="F122" s="5">
        <v>993.2</v>
      </c>
      <c r="G122" s="6">
        <v>45111</v>
      </c>
      <c r="H122" s="5"/>
      <c r="I122" s="5"/>
      <c r="J122" s="5">
        <f t="shared" si="18"/>
        <v>4</v>
      </c>
      <c r="K122" s="8" t="b">
        <f t="shared" si="19"/>
        <v>1</v>
      </c>
    </row>
    <row r="123" spans="1:11" ht="26.25">
      <c r="A123" s="199" t="s">
        <v>316</v>
      </c>
      <c r="B123" s="200"/>
      <c r="C123" s="200"/>
      <c r="D123" s="200"/>
      <c r="E123" s="200"/>
      <c r="F123" s="200"/>
      <c r="G123" s="200"/>
      <c r="H123" s="200"/>
      <c r="I123" s="200"/>
      <c r="J123" s="200"/>
      <c r="K123" s="201"/>
    </row>
    <row r="124" spans="1:11" ht="26.25">
      <c r="A124" s="202" t="s">
        <v>209</v>
      </c>
      <c r="B124" s="203"/>
      <c r="C124" s="203"/>
      <c r="D124" s="203"/>
      <c r="E124" s="203"/>
      <c r="F124" s="203"/>
      <c r="G124" s="203"/>
      <c r="H124" s="203"/>
      <c r="I124" s="203"/>
      <c r="J124" s="203"/>
      <c r="K124" s="204"/>
    </row>
    <row r="125" spans="1:11" ht="15.75" thickBot="1"/>
    <row r="126" spans="1:11" ht="15.75" thickBot="1">
      <c r="A126" s="132" t="s">
        <v>2</v>
      </c>
      <c r="B126" s="133"/>
      <c r="C126" s="133"/>
      <c r="D126" s="133"/>
      <c r="E126" s="133"/>
      <c r="F126" s="133"/>
      <c r="G126" s="133"/>
      <c r="H126" s="133"/>
      <c r="I126" s="133"/>
      <c r="J126" s="133"/>
      <c r="K126" s="134"/>
    </row>
    <row r="128" spans="1:11" ht="19.5" thickBot="1">
      <c r="A128" s="1" t="s">
        <v>3</v>
      </c>
      <c r="B128" s="1"/>
      <c r="C128" s="1"/>
      <c r="D128" s="1"/>
      <c r="E128" s="1"/>
      <c r="F128" s="1"/>
      <c r="G128" s="1"/>
      <c r="H128" s="1"/>
      <c r="I128" s="1"/>
    </row>
    <row r="129" spans="1:11" ht="30.75" thickBot="1">
      <c r="A129" s="2" t="s">
        <v>4</v>
      </c>
      <c r="B129" s="3" t="s">
        <v>5</v>
      </c>
      <c r="C129" s="3" t="s">
        <v>6</v>
      </c>
      <c r="D129" s="3" t="s">
        <v>7</v>
      </c>
      <c r="E129" s="3" t="s">
        <v>8</v>
      </c>
      <c r="F129" s="3" t="s">
        <v>9</v>
      </c>
      <c r="G129" s="3" t="s">
        <v>10</v>
      </c>
      <c r="H129" s="3" t="s">
        <v>21</v>
      </c>
      <c r="I129" s="4" t="s">
        <v>22</v>
      </c>
      <c r="J129" s="4" t="s">
        <v>11</v>
      </c>
      <c r="K129" s="4" t="s">
        <v>12</v>
      </c>
    </row>
    <row r="130" spans="1:11">
      <c r="A130" s="5" t="s">
        <v>327</v>
      </c>
      <c r="B130" s="6">
        <v>45309</v>
      </c>
      <c r="C130" s="7">
        <v>0.7</v>
      </c>
      <c r="D130" s="5">
        <v>9.9600000000000009</v>
      </c>
      <c r="E130" s="5">
        <v>0</v>
      </c>
      <c r="F130" s="5">
        <v>10.6</v>
      </c>
      <c r="G130" s="6">
        <v>45309</v>
      </c>
      <c r="H130" s="5"/>
      <c r="I130" s="5"/>
      <c r="J130" s="5">
        <f t="shared" ref="J130:J144" si="20">F130-E130</f>
        <v>10.6</v>
      </c>
      <c r="K130" s="8" t="b">
        <f>E130=F122</f>
        <v>0</v>
      </c>
    </row>
    <row r="131" spans="1:11">
      <c r="A131" s="101" t="s">
        <v>320</v>
      </c>
      <c r="B131" s="102">
        <v>45313</v>
      </c>
      <c r="C131" s="103">
        <v>1</v>
      </c>
      <c r="D131" s="101">
        <v>6.97</v>
      </c>
      <c r="E131" s="101">
        <v>0</v>
      </c>
      <c r="F131" s="101">
        <v>12.8</v>
      </c>
      <c r="G131" s="102">
        <v>45313</v>
      </c>
      <c r="H131" s="101"/>
      <c r="I131" s="101"/>
      <c r="J131" s="101">
        <f t="shared" si="20"/>
        <v>12.8</v>
      </c>
      <c r="K131" s="8" t="b">
        <f>E131=F130</f>
        <v>0</v>
      </c>
    </row>
    <row r="132" spans="1:11">
      <c r="A132" s="5" t="s">
        <v>321</v>
      </c>
      <c r="B132" s="6">
        <v>45316</v>
      </c>
      <c r="C132" s="7">
        <v>1</v>
      </c>
      <c r="D132" s="5">
        <v>6.97</v>
      </c>
      <c r="E132" s="5">
        <v>12.8</v>
      </c>
      <c r="F132" s="5">
        <v>19.5</v>
      </c>
      <c r="G132" s="6">
        <v>45316</v>
      </c>
      <c r="H132" s="5"/>
      <c r="I132" s="5"/>
      <c r="J132" s="5">
        <f t="shared" si="20"/>
        <v>6.6999999999999993</v>
      </c>
      <c r="K132" s="8" t="b">
        <f t="shared" ref="K132:K144" si="21">E132=F131</f>
        <v>1</v>
      </c>
    </row>
    <row r="133" spans="1:11">
      <c r="A133" s="5" t="s">
        <v>325</v>
      </c>
      <c r="B133" s="6">
        <v>45319</v>
      </c>
      <c r="C133" s="7">
        <v>1</v>
      </c>
      <c r="D133" s="5">
        <v>6.97</v>
      </c>
      <c r="E133" s="5">
        <v>19.5</v>
      </c>
      <c r="F133" s="5">
        <v>27.3</v>
      </c>
      <c r="G133" s="6">
        <v>45319</v>
      </c>
      <c r="H133" s="5"/>
      <c r="I133" s="5"/>
      <c r="J133" s="5">
        <f t="shared" si="20"/>
        <v>7.8000000000000007</v>
      </c>
      <c r="K133" s="8" t="b">
        <f t="shared" si="21"/>
        <v>1</v>
      </c>
    </row>
    <row r="134" spans="1:11">
      <c r="A134" s="5" t="s">
        <v>325</v>
      </c>
      <c r="B134" s="6">
        <v>45320</v>
      </c>
      <c r="C134" s="7">
        <v>1</v>
      </c>
      <c r="D134" s="5">
        <v>6.97</v>
      </c>
      <c r="E134" s="5">
        <v>27.3</v>
      </c>
      <c r="F134" s="5">
        <v>31.1</v>
      </c>
      <c r="G134" s="6">
        <v>45320</v>
      </c>
      <c r="H134" s="5"/>
      <c r="I134" s="5"/>
      <c r="J134" s="5">
        <f t="shared" si="20"/>
        <v>3.8000000000000007</v>
      </c>
      <c r="K134" s="8" t="b">
        <f t="shared" si="21"/>
        <v>1</v>
      </c>
    </row>
    <row r="135" spans="1:11">
      <c r="A135" s="5" t="s">
        <v>321</v>
      </c>
      <c r="B135" s="6">
        <v>45325</v>
      </c>
      <c r="C135" s="7">
        <v>1</v>
      </c>
      <c r="D135" s="5">
        <v>6.97</v>
      </c>
      <c r="E135" s="5">
        <v>31.1</v>
      </c>
      <c r="F135" s="5">
        <v>41.9</v>
      </c>
      <c r="G135" s="6">
        <v>45325</v>
      </c>
      <c r="H135" s="5"/>
      <c r="I135" s="5"/>
      <c r="J135" s="5">
        <f t="shared" si="20"/>
        <v>10.799999999999997</v>
      </c>
      <c r="K135" s="8" t="b">
        <f t="shared" si="21"/>
        <v>1</v>
      </c>
    </row>
    <row r="136" spans="1:11">
      <c r="A136" s="5" t="s">
        <v>321</v>
      </c>
      <c r="B136" s="6">
        <v>45326</v>
      </c>
      <c r="C136" s="7">
        <v>1</v>
      </c>
      <c r="D136" s="5">
        <v>6.97</v>
      </c>
      <c r="E136" s="5">
        <v>41.9</v>
      </c>
      <c r="F136" s="5">
        <v>49</v>
      </c>
      <c r="G136" s="6">
        <v>45326</v>
      </c>
      <c r="H136" s="5"/>
      <c r="I136" s="5"/>
      <c r="J136" s="5">
        <f t="shared" si="20"/>
        <v>7.1000000000000014</v>
      </c>
      <c r="K136" s="8" t="b">
        <f t="shared" si="21"/>
        <v>1</v>
      </c>
    </row>
    <row r="137" spans="1:11">
      <c r="A137" s="5" t="s">
        <v>321</v>
      </c>
      <c r="B137" s="6">
        <v>45327</v>
      </c>
      <c r="C137" s="7">
        <v>1</v>
      </c>
      <c r="D137" s="5">
        <v>6.97</v>
      </c>
      <c r="E137" s="5">
        <v>49</v>
      </c>
      <c r="F137" s="5">
        <v>56.2</v>
      </c>
      <c r="G137" s="6">
        <v>45327</v>
      </c>
      <c r="H137" s="5"/>
      <c r="I137" s="5"/>
      <c r="J137" s="5">
        <f t="shared" si="20"/>
        <v>7.2000000000000028</v>
      </c>
      <c r="K137" s="8" t="b">
        <f t="shared" si="21"/>
        <v>1</v>
      </c>
    </row>
    <row r="138" spans="1:11">
      <c r="A138" s="5" t="s">
        <v>321</v>
      </c>
      <c r="B138" s="6">
        <v>45328</v>
      </c>
      <c r="C138" s="7">
        <v>1</v>
      </c>
      <c r="D138" s="5">
        <v>6.97</v>
      </c>
      <c r="E138" s="5">
        <v>56.2</v>
      </c>
      <c r="F138" s="5">
        <v>64.599999999999994</v>
      </c>
      <c r="G138" s="6">
        <v>45328</v>
      </c>
      <c r="H138" s="5"/>
      <c r="I138" s="5"/>
      <c r="J138" s="5">
        <f t="shared" si="20"/>
        <v>8.3999999999999915</v>
      </c>
      <c r="K138" s="8" t="b">
        <f t="shared" si="21"/>
        <v>1</v>
      </c>
    </row>
    <row r="139" spans="1:11">
      <c r="A139" s="5" t="s">
        <v>328</v>
      </c>
      <c r="B139" s="6">
        <v>45329</v>
      </c>
      <c r="C139" s="7">
        <v>1</v>
      </c>
      <c r="D139" s="5">
        <v>6.97</v>
      </c>
      <c r="E139" s="5">
        <v>64.599999999999994</v>
      </c>
      <c r="F139" s="5">
        <v>69.900000000000006</v>
      </c>
      <c r="G139" s="6">
        <v>45329</v>
      </c>
      <c r="H139" s="5"/>
      <c r="I139" s="5"/>
      <c r="J139" s="5">
        <f t="shared" si="20"/>
        <v>5.3000000000000114</v>
      </c>
      <c r="K139" s="8" t="b">
        <f t="shared" si="21"/>
        <v>1</v>
      </c>
    </row>
    <row r="140" spans="1:11">
      <c r="A140" s="5" t="s">
        <v>320</v>
      </c>
      <c r="B140" s="6">
        <v>45335</v>
      </c>
      <c r="C140" s="7">
        <v>1</v>
      </c>
      <c r="D140" s="5">
        <v>6.97</v>
      </c>
      <c r="E140" s="5">
        <v>69.900000000000006</v>
      </c>
      <c r="F140" s="5">
        <v>80.099999999999994</v>
      </c>
      <c r="G140" s="6">
        <v>45335</v>
      </c>
      <c r="H140" s="5"/>
      <c r="I140" s="5"/>
      <c r="J140" s="5">
        <f t="shared" si="20"/>
        <v>10.199999999999989</v>
      </c>
      <c r="K140" s="8" t="b">
        <f>E140=F139</f>
        <v>1</v>
      </c>
    </row>
    <row r="141" spans="1:11">
      <c r="A141" s="5" t="s">
        <v>319</v>
      </c>
      <c r="B141" s="6">
        <v>45336</v>
      </c>
      <c r="C141" s="7">
        <v>1</v>
      </c>
      <c r="D141" s="5">
        <v>6.97</v>
      </c>
      <c r="E141" s="5">
        <v>80.099999999999994</v>
      </c>
      <c r="F141" s="5">
        <v>89.1</v>
      </c>
      <c r="G141" s="6">
        <v>45336</v>
      </c>
      <c r="H141" s="5"/>
      <c r="I141" s="5"/>
      <c r="J141" s="5">
        <f t="shared" si="20"/>
        <v>9</v>
      </c>
      <c r="K141" s="8" t="b">
        <f t="shared" si="21"/>
        <v>1</v>
      </c>
    </row>
    <row r="142" spans="1:11">
      <c r="A142" s="5" t="s">
        <v>329</v>
      </c>
      <c r="B142" s="6">
        <v>45336</v>
      </c>
      <c r="C142" s="7">
        <v>1</v>
      </c>
      <c r="D142" s="5">
        <v>6.97</v>
      </c>
      <c r="E142" s="5">
        <v>89.1</v>
      </c>
      <c r="F142" s="5">
        <v>92.2</v>
      </c>
      <c r="G142" s="6">
        <v>45336</v>
      </c>
      <c r="H142" s="5"/>
      <c r="I142" s="5"/>
      <c r="J142" s="5">
        <f t="shared" ref="J142" si="22">F142-E142</f>
        <v>3.1000000000000085</v>
      </c>
      <c r="K142" s="8" t="b">
        <f t="shared" si="21"/>
        <v>1</v>
      </c>
    </row>
    <row r="143" spans="1:11">
      <c r="A143" s="5" t="s">
        <v>319</v>
      </c>
      <c r="B143" s="6">
        <v>45337</v>
      </c>
      <c r="C143" s="7">
        <v>1</v>
      </c>
      <c r="D143" s="5">
        <v>6.97</v>
      </c>
      <c r="E143" s="5">
        <v>92.2</v>
      </c>
      <c r="F143" s="5">
        <v>98.8</v>
      </c>
      <c r="G143" s="6">
        <v>45337</v>
      </c>
      <c r="H143" s="5"/>
      <c r="I143" s="5"/>
      <c r="J143" s="5">
        <f t="shared" si="20"/>
        <v>6.5999999999999943</v>
      </c>
      <c r="K143" s="8" t="b">
        <f>E143=F141</f>
        <v>0</v>
      </c>
    </row>
    <row r="144" spans="1:11">
      <c r="A144" s="5" t="s">
        <v>319</v>
      </c>
      <c r="B144" s="6">
        <v>45347</v>
      </c>
      <c r="C144" s="7">
        <v>1</v>
      </c>
      <c r="D144" s="5">
        <v>6.97</v>
      </c>
      <c r="E144" s="5">
        <v>98.8</v>
      </c>
      <c r="F144" s="5">
        <v>105.9</v>
      </c>
      <c r="G144" s="6">
        <v>45347</v>
      </c>
      <c r="H144" s="5"/>
      <c r="I144" s="5"/>
      <c r="J144" s="5">
        <f t="shared" si="20"/>
        <v>7.1000000000000085</v>
      </c>
      <c r="K144" s="8" t="b">
        <f t="shared" si="21"/>
        <v>1</v>
      </c>
    </row>
    <row r="145" spans="1:11">
      <c r="A145" s="5" t="s">
        <v>320</v>
      </c>
      <c r="B145" s="6">
        <v>45348</v>
      </c>
      <c r="C145" s="7">
        <v>1</v>
      </c>
      <c r="D145" s="5">
        <v>6.97</v>
      </c>
      <c r="E145" s="5">
        <v>105.9</v>
      </c>
      <c r="F145" s="5">
        <v>120.1</v>
      </c>
      <c r="G145" s="6">
        <v>45348</v>
      </c>
      <c r="H145" s="5"/>
      <c r="I145" s="5"/>
      <c r="J145" s="5">
        <f t="shared" ref="J145:J151" si="23">F145-E145</f>
        <v>14.199999999999989</v>
      </c>
      <c r="K145" s="8" t="b">
        <f t="shared" ref="K145:K151" si="24">E145=F144</f>
        <v>1</v>
      </c>
    </row>
    <row r="146" spans="1:11">
      <c r="A146" s="5" t="s">
        <v>320</v>
      </c>
      <c r="B146" s="6">
        <v>45350</v>
      </c>
      <c r="C146" s="7">
        <v>1</v>
      </c>
      <c r="D146" s="5">
        <v>6.97</v>
      </c>
      <c r="E146" s="5">
        <v>120.1</v>
      </c>
      <c r="F146" s="5">
        <v>137.19999999999999</v>
      </c>
      <c r="G146" s="6">
        <v>45350</v>
      </c>
      <c r="H146" s="5"/>
      <c r="I146" s="5"/>
      <c r="J146" s="5">
        <f t="shared" si="23"/>
        <v>17.099999999999994</v>
      </c>
      <c r="K146" s="8" t="b">
        <f t="shared" si="24"/>
        <v>1</v>
      </c>
    </row>
    <row r="147" spans="1:11">
      <c r="A147" s="25" t="s">
        <v>320</v>
      </c>
      <c r="B147" s="26">
        <v>45352</v>
      </c>
      <c r="C147" s="27">
        <v>1</v>
      </c>
      <c r="D147" s="25">
        <v>6.97</v>
      </c>
      <c r="E147" s="25">
        <v>137.19999999999999</v>
      </c>
      <c r="F147" s="25">
        <v>152</v>
      </c>
      <c r="G147" s="26">
        <v>45352</v>
      </c>
      <c r="H147" s="25"/>
      <c r="I147" s="25"/>
      <c r="J147" s="25">
        <f t="shared" si="23"/>
        <v>14.800000000000011</v>
      </c>
      <c r="K147" s="8" t="b">
        <f t="shared" si="24"/>
        <v>1</v>
      </c>
    </row>
    <row r="148" spans="1:11">
      <c r="A148" s="5" t="s">
        <v>320</v>
      </c>
      <c r="B148" s="6">
        <v>45353</v>
      </c>
      <c r="C148" s="7">
        <v>0.8</v>
      </c>
      <c r="D148" s="5">
        <v>8.7100000000000009</v>
      </c>
      <c r="E148" s="5">
        <v>152</v>
      </c>
      <c r="F148" s="5">
        <v>169.2</v>
      </c>
      <c r="G148" s="6">
        <v>45353</v>
      </c>
      <c r="H148" s="5"/>
      <c r="I148" s="5"/>
      <c r="J148" s="5">
        <f t="shared" si="23"/>
        <v>17.199999999999989</v>
      </c>
      <c r="K148" s="8" t="b">
        <f t="shared" si="24"/>
        <v>1</v>
      </c>
    </row>
    <row r="149" spans="1:11">
      <c r="A149" s="5" t="s">
        <v>320</v>
      </c>
      <c r="B149" s="6">
        <v>45359</v>
      </c>
      <c r="C149" s="7">
        <v>1</v>
      </c>
      <c r="D149" s="5">
        <v>6.97</v>
      </c>
      <c r="E149" s="5">
        <v>169.2</v>
      </c>
      <c r="F149" s="5">
        <v>184.3</v>
      </c>
      <c r="G149" s="6">
        <v>45359</v>
      </c>
      <c r="H149" s="5"/>
      <c r="I149" s="5"/>
      <c r="J149" s="5">
        <f t="shared" si="23"/>
        <v>15.100000000000023</v>
      </c>
      <c r="K149" s="8" t="b">
        <f t="shared" si="24"/>
        <v>1</v>
      </c>
    </row>
    <row r="150" spans="1:11">
      <c r="A150" s="5" t="s">
        <v>320</v>
      </c>
      <c r="B150" s="6">
        <v>45361</v>
      </c>
      <c r="C150" s="7">
        <v>0.8</v>
      </c>
      <c r="D150" s="5">
        <v>8.7100000000000009</v>
      </c>
      <c r="E150" s="5">
        <v>184.3</v>
      </c>
      <c r="F150" s="5">
        <v>201.8</v>
      </c>
      <c r="G150" s="6">
        <v>45361</v>
      </c>
      <c r="H150" s="5"/>
      <c r="I150" s="5"/>
      <c r="J150" s="5">
        <f t="shared" si="23"/>
        <v>17.5</v>
      </c>
      <c r="K150" s="8" t="b">
        <f t="shared" si="24"/>
        <v>1</v>
      </c>
    </row>
    <row r="151" spans="1:11">
      <c r="A151" s="5" t="s">
        <v>320</v>
      </c>
      <c r="B151" s="6">
        <v>45364</v>
      </c>
      <c r="C151" s="7">
        <v>0.75</v>
      </c>
      <c r="D151" s="5">
        <v>9.2899999999999991</v>
      </c>
      <c r="E151" s="5">
        <v>201.8</v>
      </c>
      <c r="F151" s="5">
        <v>220.5</v>
      </c>
      <c r="G151" s="6">
        <v>45364</v>
      </c>
      <c r="H151" s="5"/>
      <c r="I151" s="5"/>
      <c r="J151" s="5">
        <f t="shared" si="23"/>
        <v>18.699999999999989</v>
      </c>
      <c r="K151" s="8" t="b">
        <f t="shared" si="24"/>
        <v>1</v>
      </c>
    </row>
    <row r="152" spans="1:11">
      <c r="A152" s="25" t="s">
        <v>320</v>
      </c>
      <c r="B152" s="26">
        <v>45365</v>
      </c>
      <c r="C152" s="27">
        <v>1</v>
      </c>
      <c r="D152" s="25">
        <v>6.97</v>
      </c>
      <c r="E152" s="25">
        <v>220.5</v>
      </c>
      <c r="F152" s="25">
        <v>235.5</v>
      </c>
      <c r="G152" s="26">
        <v>45365</v>
      </c>
      <c r="H152" s="25"/>
      <c r="I152" s="25"/>
      <c r="J152" s="25">
        <f t="shared" ref="J152:J166" si="25">F152-E152</f>
        <v>15</v>
      </c>
      <c r="K152" s="8" t="b">
        <f t="shared" ref="K152:K166" si="26">E152=F151</f>
        <v>1</v>
      </c>
    </row>
    <row r="153" spans="1:11">
      <c r="A153" s="5" t="s">
        <v>320</v>
      </c>
      <c r="B153" s="6">
        <v>45367</v>
      </c>
      <c r="C153" s="7">
        <v>0.7</v>
      </c>
      <c r="D153" s="5">
        <v>9.9600000000000009</v>
      </c>
      <c r="E153" s="5">
        <v>235.5</v>
      </c>
      <c r="F153" s="5">
        <v>255.7</v>
      </c>
      <c r="G153" s="6">
        <v>45367</v>
      </c>
      <c r="H153" s="5"/>
      <c r="I153" s="5"/>
      <c r="J153" s="5">
        <f t="shared" si="25"/>
        <v>20.199999999999989</v>
      </c>
      <c r="K153" s="8" t="b">
        <f t="shared" si="26"/>
        <v>1</v>
      </c>
    </row>
    <row r="154" spans="1:11">
      <c r="A154" s="5" t="s">
        <v>320</v>
      </c>
      <c r="B154" s="6">
        <v>45369</v>
      </c>
      <c r="C154" s="7">
        <v>0.65</v>
      </c>
      <c r="D154" s="5">
        <v>12.57</v>
      </c>
      <c r="E154" s="5">
        <v>255.7</v>
      </c>
      <c r="F154" s="5">
        <v>277.60000000000002</v>
      </c>
      <c r="G154" s="6">
        <v>45369</v>
      </c>
      <c r="H154" s="5"/>
      <c r="I154" s="5"/>
      <c r="J154" s="5">
        <f t="shared" si="25"/>
        <v>21.900000000000034</v>
      </c>
      <c r="K154" s="8" t="b">
        <f t="shared" si="26"/>
        <v>1</v>
      </c>
    </row>
    <row r="155" spans="1:11">
      <c r="A155" s="25" t="s">
        <v>320</v>
      </c>
      <c r="B155" s="26">
        <v>45371</v>
      </c>
      <c r="C155" s="27">
        <v>1</v>
      </c>
      <c r="D155" s="25">
        <v>6.97</v>
      </c>
      <c r="E155" s="25">
        <v>277.60000000000002</v>
      </c>
      <c r="F155" s="25">
        <v>292.2</v>
      </c>
      <c r="G155" s="26">
        <v>45371</v>
      </c>
      <c r="H155" s="25"/>
      <c r="I155" s="25"/>
      <c r="J155" s="25">
        <f t="shared" si="25"/>
        <v>14.599999999999966</v>
      </c>
      <c r="K155" s="8" t="b">
        <f t="shared" si="26"/>
        <v>1</v>
      </c>
    </row>
    <row r="156" spans="1:11">
      <c r="A156" s="5" t="s">
        <v>320</v>
      </c>
      <c r="B156" s="6">
        <v>45373</v>
      </c>
      <c r="C156" s="7">
        <v>1</v>
      </c>
      <c r="D156" s="5">
        <v>6.97</v>
      </c>
      <c r="E156" s="5">
        <v>292.2</v>
      </c>
      <c r="F156" s="5">
        <v>306.39999999999998</v>
      </c>
      <c r="G156" s="6">
        <v>45373</v>
      </c>
      <c r="H156" s="5"/>
      <c r="I156" s="5"/>
      <c r="J156" s="5">
        <f t="shared" si="25"/>
        <v>14.199999999999989</v>
      </c>
      <c r="K156" s="8" t="b">
        <f t="shared" si="26"/>
        <v>1</v>
      </c>
    </row>
    <row r="157" spans="1:11">
      <c r="A157" s="5" t="s">
        <v>320</v>
      </c>
      <c r="B157" s="6">
        <v>45377</v>
      </c>
      <c r="C157" s="7">
        <v>0.7</v>
      </c>
      <c r="D157" s="5">
        <v>9.9600000000000009</v>
      </c>
      <c r="E157" s="5">
        <v>306.39999999999998</v>
      </c>
      <c r="F157" s="5">
        <v>327.2</v>
      </c>
      <c r="G157" s="6">
        <v>45377</v>
      </c>
      <c r="H157" s="5"/>
      <c r="I157" s="5"/>
      <c r="J157" s="5">
        <f t="shared" si="25"/>
        <v>20.800000000000011</v>
      </c>
      <c r="K157" s="8" t="b">
        <f t="shared" si="26"/>
        <v>1</v>
      </c>
    </row>
    <row r="158" spans="1:11">
      <c r="A158" s="5" t="s">
        <v>330</v>
      </c>
      <c r="B158" s="6">
        <v>45379</v>
      </c>
      <c r="C158" s="7">
        <v>0.7</v>
      </c>
      <c r="D158" s="5">
        <v>9.9600000000000009</v>
      </c>
      <c r="E158" s="5">
        <v>327.2</v>
      </c>
      <c r="F158" s="5">
        <v>338.5</v>
      </c>
      <c r="G158" s="6">
        <v>45379</v>
      </c>
      <c r="H158" s="5"/>
      <c r="I158" s="5"/>
      <c r="J158" s="5">
        <f t="shared" si="25"/>
        <v>11.300000000000011</v>
      </c>
      <c r="K158" s="8" t="b">
        <f t="shared" si="26"/>
        <v>1</v>
      </c>
    </row>
    <row r="159" spans="1:11">
      <c r="A159" s="5" t="s">
        <v>319</v>
      </c>
      <c r="B159" s="6">
        <v>45379</v>
      </c>
      <c r="C159" s="7">
        <v>1</v>
      </c>
      <c r="D159" s="5">
        <v>6.97</v>
      </c>
      <c r="E159" s="5">
        <v>338.5</v>
      </c>
      <c r="F159" s="5">
        <v>344.5</v>
      </c>
      <c r="G159" s="6">
        <v>45379</v>
      </c>
      <c r="H159" s="5"/>
      <c r="I159" s="5"/>
      <c r="J159" s="5">
        <f t="shared" si="25"/>
        <v>6</v>
      </c>
      <c r="K159" s="8" t="b">
        <f t="shared" si="26"/>
        <v>1</v>
      </c>
    </row>
    <row r="160" spans="1:11">
      <c r="A160" s="5" t="s">
        <v>320</v>
      </c>
      <c r="B160" s="6">
        <v>45381</v>
      </c>
      <c r="C160" s="7">
        <v>1</v>
      </c>
      <c r="D160" s="5">
        <v>6.97</v>
      </c>
      <c r="E160" s="5">
        <v>344.5</v>
      </c>
      <c r="F160" s="5">
        <v>358.3</v>
      </c>
      <c r="G160" s="6">
        <v>45381</v>
      </c>
      <c r="H160" s="5"/>
      <c r="I160" s="5"/>
      <c r="J160" s="5">
        <f t="shared" si="25"/>
        <v>13.800000000000011</v>
      </c>
      <c r="K160" s="8" t="b">
        <f t="shared" si="26"/>
        <v>1</v>
      </c>
    </row>
    <row r="161" spans="1:11">
      <c r="A161" s="5" t="s">
        <v>321</v>
      </c>
      <c r="B161" s="6">
        <v>45383</v>
      </c>
      <c r="C161" s="7">
        <v>1</v>
      </c>
      <c r="D161" s="5">
        <v>6.97</v>
      </c>
      <c r="E161" s="5">
        <v>358.3</v>
      </c>
      <c r="F161" s="5">
        <v>374.2</v>
      </c>
      <c r="G161" s="6">
        <v>45383</v>
      </c>
      <c r="H161" s="5"/>
      <c r="I161" s="5"/>
      <c r="J161" s="5">
        <f t="shared" si="25"/>
        <v>15.899999999999977</v>
      </c>
      <c r="K161" s="8" t="b">
        <f t="shared" si="26"/>
        <v>1</v>
      </c>
    </row>
    <row r="162" spans="1:11">
      <c r="A162" s="5" t="s">
        <v>319</v>
      </c>
      <c r="B162" s="6">
        <v>45385</v>
      </c>
      <c r="C162" s="7">
        <v>0.9</v>
      </c>
      <c r="D162" s="5">
        <v>9.08</v>
      </c>
      <c r="E162" s="5">
        <v>374.2</v>
      </c>
      <c r="F162" s="5">
        <v>382.4</v>
      </c>
      <c r="G162" s="6">
        <v>45385</v>
      </c>
      <c r="H162" s="5"/>
      <c r="I162" s="5"/>
      <c r="J162" s="5">
        <f t="shared" si="25"/>
        <v>8.1999999999999886</v>
      </c>
      <c r="K162" s="8" t="b">
        <f t="shared" si="26"/>
        <v>1</v>
      </c>
    </row>
    <row r="163" spans="1:11">
      <c r="A163" s="5" t="s">
        <v>320</v>
      </c>
      <c r="B163" s="6">
        <v>45391</v>
      </c>
      <c r="C163" s="7">
        <v>1</v>
      </c>
      <c r="D163" s="5">
        <v>6.97</v>
      </c>
      <c r="E163" s="5">
        <v>382.4</v>
      </c>
      <c r="F163" s="5">
        <v>396.7</v>
      </c>
      <c r="G163" s="6">
        <v>45391</v>
      </c>
      <c r="H163" s="5"/>
      <c r="I163" s="5"/>
      <c r="J163" s="5">
        <f t="shared" si="25"/>
        <v>14.300000000000011</v>
      </c>
      <c r="K163" s="8" t="b">
        <f t="shared" si="26"/>
        <v>1</v>
      </c>
    </row>
    <row r="164" spans="1:11">
      <c r="A164" s="5" t="s">
        <v>320</v>
      </c>
      <c r="B164" s="6">
        <v>45393</v>
      </c>
      <c r="C164" s="7">
        <v>1</v>
      </c>
      <c r="D164" s="5">
        <v>6.97</v>
      </c>
      <c r="E164" s="5">
        <v>396.7</v>
      </c>
      <c r="F164" s="5">
        <v>411</v>
      </c>
      <c r="G164" s="6">
        <v>45393</v>
      </c>
      <c r="H164" s="5"/>
      <c r="I164" s="5"/>
      <c r="J164" s="5">
        <f t="shared" si="25"/>
        <v>14.300000000000011</v>
      </c>
      <c r="K164" s="8" t="b">
        <f t="shared" si="26"/>
        <v>1</v>
      </c>
    </row>
    <row r="165" spans="1:11">
      <c r="A165" s="5" t="s">
        <v>320</v>
      </c>
      <c r="B165" s="6">
        <v>45403</v>
      </c>
      <c r="C165" s="7">
        <v>1</v>
      </c>
      <c r="D165" s="5">
        <v>6.97</v>
      </c>
      <c r="E165" s="5">
        <v>425.2</v>
      </c>
      <c r="F165" s="5">
        <v>439.2</v>
      </c>
      <c r="G165" s="6">
        <v>45403</v>
      </c>
      <c r="H165" s="5"/>
      <c r="I165" s="5"/>
      <c r="J165" s="5">
        <f t="shared" si="25"/>
        <v>14</v>
      </c>
      <c r="K165" s="8" t="b">
        <f t="shared" si="26"/>
        <v>0</v>
      </c>
    </row>
    <row r="166" spans="1:11">
      <c r="A166" s="5" t="s">
        <v>320</v>
      </c>
      <c r="B166" s="6">
        <v>45409</v>
      </c>
      <c r="C166" s="7">
        <v>1</v>
      </c>
      <c r="D166" s="5">
        <v>6.97</v>
      </c>
      <c r="E166" s="5">
        <v>439.2</v>
      </c>
      <c r="F166" s="5">
        <v>453.4</v>
      </c>
      <c r="G166" s="6">
        <v>45409</v>
      </c>
      <c r="H166" s="5"/>
      <c r="I166" s="5"/>
      <c r="J166" s="5">
        <f t="shared" si="25"/>
        <v>14.199999999999989</v>
      </c>
      <c r="K166" s="8" t="b">
        <f t="shared" si="26"/>
        <v>1</v>
      </c>
    </row>
    <row r="167" spans="1:11">
      <c r="A167" s="5" t="s">
        <v>320</v>
      </c>
      <c r="B167" s="6">
        <v>45413</v>
      </c>
      <c r="C167" s="7">
        <v>1</v>
      </c>
      <c r="D167" s="5">
        <v>6.97</v>
      </c>
      <c r="E167" s="5">
        <v>453.4</v>
      </c>
      <c r="F167" s="5">
        <v>467.4</v>
      </c>
      <c r="G167" s="6">
        <v>45413</v>
      </c>
      <c r="H167" s="5"/>
      <c r="I167" s="5"/>
      <c r="J167" s="5">
        <f t="shared" ref="J167:J201" si="27">F167-E167</f>
        <v>14</v>
      </c>
      <c r="K167" s="8" t="b">
        <f t="shared" ref="K167:K201" si="28">E167=F166</f>
        <v>1</v>
      </c>
    </row>
    <row r="168" spans="1:11">
      <c r="A168" s="5" t="s">
        <v>320</v>
      </c>
      <c r="B168" s="6">
        <v>45417</v>
      </c>
      <c r="C168" s="7">
        <v>1</v>
      </c>
      <c r="D168" s="5">
        <v>6.97</v>
      </c>
      <c r="E168" s="5">
        <v>467.4</v>
      </c>
      <c r="F168" s="5">
        <v>481.6</v>
      </c>
      <c r="G168" s="6">
        <v>45417</v>
      </c>
      <c r="H168" s="5"/>
      <c r="I168" s="5"/>
      <c r="J168" s="5">
        <f t="shared" si="27"/>
        <v>14.200000000000045</v>
      </c>
      <c r="K168" s="8" t="b">
        <f t="shared" si="28"/>
        <v>1</v>
      </c>
    </row>
    <row r="169" spans="1:11">
      <c r="A169" s="5" t="s">
        <v>320</v>
      </c>
      <c r="B169" s="6">
        <v>45421</v>
      </c>
      <c r="C169" s="7">
        <v>1</v>
      </c>
      <c r="D169" s="5">
        <v>6.97</v>
      </c>
      <c r="E169" s="5">
        <v>481.6</v>
      </c>
      <c r="F169" s="5">
        <v>495.8</v>
      </c>
      <c r="G169" s="6">
        <v>45421</v>
      </c>
      <c r="H169" s="5"/>
      <c r="I169" s="5"/>
      <c r="J169" s="5">
        <f t="shared" si="27"/>
        <v>14.199999999999989</v>
      </c>
      <c r="K169" s="8" t="b">
        <f t="shared" si="28"/>
        <v>1</v>
      </c>
    </row>
    <row r="170" spans="1:11">
      <c r="A170" s="5" t="s">
        <v>320</v>
      </c>
      <c r="B170" s="6">
        <v>45424</v>
      </c>
      <c r="C170" s="7">
        <v>1</v>
      </c>
      <c r="D170" s="5">
        <v>6.97</v>
      </c>
      <c r="E170" s="5">
        <v>495.8</v>
      </c>
      <c r="F170" s="5">
        <v>509.9</v>
      </c>
      <c r="G170" s="6">
        <v>45424</v>
      </c>
      <c r="H170" s="5"/>
      <c r="I170" s="5"/>
      <c r="J170" s="5">
        <f t="shared" si="27"/>
        <v>14.099999999999966</v>
      </c>
      <c r="K170" s="8" t="b">
        <f t="shared" si="28"/>
        <v>1</v>
      </c>
    </row>
    <row r="171" spans="1:11">
      <c r="A171" s="5" t="s">
        <v>320</v>
      </c>
      <c r="B171" s="6">
        <v>45429</v>
      </c>
      <c r="C171" s="7">
        <v>1</v>
      </c>
      <c r="D171" s="5">
        <v>6.97</v>
      </c>
      <c r="E171" s="5">
        <v>509.9</v>
      </c>
      <c r="F171" s="5">
        <v>524.20000000000005</v>
      </c>
      <c r="G171" s="6">
        <v>45429</v>
      </c>
      <c r="H171" s="5"/>
      <c r="I171" s="5"/>
      <c r="J171" s="5">
        <f t="shared" si="27"/>
        <v>14.300000000000068</v>
      </c>
      <c r="K171" s="8" t="b">
        <f t="shared" si="28"/>
        <v>1</v>
      </c>
    </row>
    <row r="172" spans="1:11">
      <c r="A172" s="5" t="s">
        <v>321</v>
      </c>
      <c r="B172" s="6">
        <v>45433</v>
      </c>
      <c r="C172" s="7">
        <v>1</v>
      </c>
      <c r="D172" s="5">
        <v>6.97</v>
      </c>
      <c r="E172" s="5">
        <v>524.20000000000005</v>
      </c>
      <c r="F172" s="5">
        <v>531.4</v>
      </c>
      <c r="G172" s="6">
        <v>45433</v>
      </c>
      <c r="H172" s="5"/>
      <c r="I172" s="5"/>
      <c r="J172" s="5">
        <f t="shared" si="27"/>
        <v>7.1999999999999318</v>
      </c>
      <c r="K172" s="8" t="b">
        <f t="shared" si="28"/>
        <v>1</v>
      </c>
    </row>
    <row r="173" spans="1:11">
      <c r="A173" s="5" t="s">
        <v>319</v>
      </c>
      <c r="B173" s="6">
        <v>45434</v>
      </c>
      <c r="C173" s="7">
        <v>1</v>
      </c>
      <c r="D173" s="5">
        <v>6.97</v>
      </c>
      <c r="E173" s="5">
        <v>531.4</v>
      </c>
      <c r="F173" s="5">
        <v>538.6</v>
      </c>
      <c r="G173" s="6">
        <v>45434</v>
      </c>
      <c r="H173" s="5"/>
      <c r="I173" s="5"/>
      <c r="J173" s="5">
        <f t="shared" si="27"/>
        <v>7.2000000000000455</v>
      </c>
      <c r="K173" s="8" t="b">
        <f>E173=F172</f>
        <v>1</v>
      </c>
    </row>
    <row r="174" spans="1:11">
      <c r="A174" s="5" t="s">
        <v>331</v>
      </c>
      <c r="B174" s="6">
        <v>45437</v>
      </c>
      <c r="C174" s="7">
        <v>1</v>
      </c>
      <c r="D174" s="5">
        <v>6.97</v>
      </c>
      <c r="E174" s="5">
        <v>538.6</v>
      </c>
      <c r="F174" s="5">
        <v>547.79999999999995</v>
      </c>
      <c r="G174" s="6">
        <v>45437</v>
      </c>
      <c r="H174" s="5"/>
      <c r="I174" s="5"/>
      <c r="J174" s="5">
        <f t="shared" si="27"/>
        <v>9.1999999999999318</v>
      </c>
      <c r="K174" s="8" t="b">
        <f t="shared" ref="K174:K178" si="29">E174=F173</f>
        <v>1</v>
      </c>
    </row>
    <row r="175" spans="1:11">
      <c r="A175" s="5" t="s">
        <v>325</v>
      </c>
      <c r="B175" s="6">
        <v>45441</v>
      </c>
      <c r="C175" s="7">
        <v>1</v>
      </c>
      <c r="D175" s="5">
        <v>6.97</v>
      </c>
      <c r="E175" s="5">
        <v>547.79999999999995</v>
      </c>
      <c r="F175" s="5">
        <v>551.6</v>
      </c>
      <c r="G175" s="6">
        <v>45441</v>
      </c>
      <c r="H175" s="5"/>
      <c r="I175" s="5"/>
      <c r="J175" s="5">
        <f t="shared" si="27"/>
        <v>3.8000000000000682</v>
      </c>
      <c r="K175" s="8" t="b">
        <f t="shared" si="29"/>
        <v>1</v>
      </c>
    </row>
    <row r="176" spans="1:11">
      <c r="A176" s="5" t="s">
        <v>326</v>
      </c>
      <c r="B176" s="6"/>
      <c r="C176" s="7"/>
      <c r="D176" s="5"/>
      <c r="E176" s="5"/>
      <c r="F176" s="5"/>
      <c r="G176" s="6"/>
      <c r="H176" s="5"/>
      <c r="I176" s="5"/>
      <c r="J176" s="5">
        <f t="shared" si="27"/>
        <v>0</v>
      </c>
      <c r="K176" s="8" t="b">
        <f>E176=F175</f>
        <v>0</v>
      </c>
    </row>
    <row r="177" spans="1:11">
      <c r="A177" s="5" t="s">
        <v>326</v>
      </c>
      <c r="B177" s="6"/>
      <c r="C177" s="7"/>
      <c r="D177" s="5"/>
      <c r="E177" s="5"/>
      <c r="F177" s="5"/>
      <c r="G177" s="6"/>
      <c r="H177" s="5"/>
      <c r="I177" s="5"/>
      <c r="J177" s="5">
        <f t="shared" si="27"/>
        <v>0</v>
      </c>
      <c r="K177" s="8" t="b">
        <f t="shared" si="29"/>
        <v>1</v>
      </c>
    </row>
    <row r="178" spans="1:11">
      <c r="A178" s="5" t="s">
        <v>326</v>
      </c>
      <c r="B178" s="6"/>
      <c r="C178" s="7"/>
      <c r="D178" s="5"/>
      <c r="E178" s="5"/>
      <c r="F178" s="5"/>
      <c r="G178" s="6"/>
      <c r="H178" s="5"/>
      <c r="I178" s="5"/>
      <c r="J178" s="5">
        <f t="shared" si="27"/>
        <v>0</v>
      </c>
      <c r="K178" s="8" t="b">
        <f t="shared" si="29"/>
        <v>1</v>
      </c>
    </row>
    <row r="179" spans="1:11" ht="26.25">
      <c r="A179" s="199" t="s">
        <v>316</v>
      </c>
      <c r="B179" s="200"/>
      <c r="C179" s="200"/>
      <c r="D179" s="200"/>
      <c r="E179" s="200"/>
      <c r="F179" s="200"/>
      <c r="G179" s="200"/>
      <c r="H179" s="200"/>
      <c r="I179" s="200"/>
      <c r="J179" s="200"/>
      <c r="K179" s="201"/>
    </row>
    <row r="180" spans="1:11" ht="26.25">
      <c r="A180" s="202" t="s">
        <v>332</v>
      </c>
      <c r="B180" s="203"/>
      <c r="C180" s="203"/>
      <c r="D180" s="203"/>
      <c r="E180" s="203"/>
      <c r="F180" s="203"/>
      <c r="G180" s="203"/>
      <c r="H180" s="203"/>
      <c r="I180" s="203"/>
      <c r="J180" s="203"/>
      <c r="K180" s="204"/>
    </row>
    <row r="181" spans="1:11" ht="15.75" thickBot="1"/>
    <row r="182" spans="1:11" ht="15.75" thickBot="1">
      <c r="A182" s="132" t="s">
        <v>2</v>
      </c>
      <c r="B182" s="133"/>
      <c r="C182" s="133"/>
      <c r="D182" s="133"/>
      <c r="E182" s="133"/>
      <c r="F182" s="133"/>
      <c r="G182" s="133"/>
      <c r="H182" s="133"/>
      <c r="I182" s="133"/>
      <c r="J182" s="133"/>
      <c r="K182" s="134"/>
    </row>
    <row r="184" spans="1:11" ht="19.5" thickBot="1">
      <c r="A184" s="1" t="s">
        <v>3</v>
      </c>
      <c r="B184" s="1"/>
      <c r="C184" s="1"/>
      <c r="D184" s="1"/>
      <c r="E184" s="1"/>
      <c r="F184" s="1"/>
      <c r="G184" s="1"/>
      <c r="H184" s="1"/>
      <c r="I184" s="1"/>
    </row>
    <row r="185" spans="1:11" ht="30.75" thickBot="1">
      <c r="A185" s="2" t="s">
        <v>4</v>
      </c>
      <c r="B185" s="3" t="s">
        <v>5</v>
      </c>
      <c r="C185" s="3" t="s">
        <v>6</v>
      </c>
      <c r="D185" s="3" t="s">
        <v>7</v>
      </c>
      <c r="E185" s="3" t="s">
        <v>8</v>
      </c>
      <c r="F185" s="3" t="s">
        <v>9</v>
      </c>
      <c r="G185" s="3" t="s">
        <v>10</v>
      </c>
      <c r="H185" s="3" t="s">
        <v>21</v>
      </c>
      <c r="I185" s="4" t="s">
        <v>22</v>
      </c>
      <c r="J185" s="4" t="s">
        <v>11</v>
      </c>
      <c r="K185" s="4" t="s">
        <v>12</v>
      </c>
    </row>
    <row r="186" spans="1:11">
      <c r="A186" s="5" t="s">
        <v>333</v>
      </c>
      <c r="B186" s="6">
        <v>45451</v>
      </c>
      <c r="C186" s="7">
        <v>0.5</v>
      </c>
      <c r="D186" s="5">
        <v>13.3</v>
      </c>
      <c r="E186" s="5">
        <v>551.6</v>
      </c>
      <c r="F186" s="5">
        <v>565.4</v>
      </c>
      <c r="G186" s="6">
        <v>45451</v>
      </c>
      <c r="H186" s="5"/>
      <c r="I186" s="5"/>
      <c r="J186" s="5">
        <f t="shared" ref="J186" si="30">F186-E186</f>
        <v>13.799999999999955</v>
      </c>
      <c r="K186" s="8" t="b">
        <f>E186=F178</f>
        <v>0</v>
      </c>
    </row>
    <row r="187" spans="1:11">
      <c r="A187" s="5" t="s">
        <v>333</v>
      </c>
      <c r="B187" s="6">
        <v>45452</v>
      </c>
      <c r="C187" s="7">
        <v>0.5</v>
      </c>
      <c r="D187" s="5">
        <v>13.3</v>
      </c>
      <c r="E187" s="5">
        <v>565.4</v>
      </c>
      <c r="F187" s="5">
        <v>579.70000000000005</v>
      </c>
      <c r="G187" s="6">
        <v>45452</v>
      </c>
      <c r="H187" s="5"/>
      <c r="I187" s="5"/>
      <c r="J187" s="5">
        <f t="shared" si="27"/>
        <v>14.300000000000068</v>
      </c>
      <c r="K187" s="8" t="b">
        <f t="shared" si="28"/>
        <v>1</v>
      </c>
    </row>
    <row r="188" spans="1:11">
      <c r="A188" s="5" t="s">
        <v>333</v>
      </c>
      <c r="B188" s="6">
        <v>45453</v>
      </c>
      <c r="C188" s="7">
        <v>0.5</v>
      </c>
      <c r="D188" s="5">
        <v>13.3</v>
      </c>
      <c r="E188" s="5">
        <v>579.70000000000005</v>
      </c>
      <c r="F188" s="5">
        <v>593.6</v>
      </c>
      <c r="G188" s="6">
        <v>45453</v>
      </c>
      <c r="H188" s="5"/>
      <c r="I188" s="5"/>
      <c r="J188" s="5">
        <f t="shared" si="27"/>
        <v>13.899999999999977</v>
      </c>
      <c r="K188" s="8" t="b">
        <f t="shared" si="28"/>
        <v>1</v>
      </c>
    </row>
    <row r="189" spans="1:11">
      <c r="A189" s="5" t="s">
        <v>333</v>
      </c>
      <c r="B189" s="6">
        <v>45464</v>
      </c>
      <c r="C189" s="7">
        <v>0.5</v>
      </c>
      <c r="D189" s="5">
        <v>13.3</v>
      </c>
      <c r="E189" s="5">
        <v>593.6</v>
      </c>
      <c r="F189" s="5">
        <v>608.1</v>
      </c>
      <c r="G189" s="6">
        <v>45464</v>
      </c>
      <c r="H189" s="5"/>
      <c r="I189" s="5"/>
      <c r="J189" s="5">
        <f t="shared" si="27"/>
        <v>14.5</v>
      </c>
      <c r="K189" s="8" t="b">
        <f t="shared" si="28"/>
        <v>1</v>
      </c>
    </row>
    <row r="190" spans="1:11">
      <c r="A190" s="5" t="s">
        <v>333</v>
      </c>
      <c r="B190" s="6">
        <v>45465</v>
      </c>
      <c r="C190" s="7">
        <v>1</v>
      </c>
      <c r="D190" s="5">
        <v>6.65</v>
      </c>
      <c r="E190" s="5">
        <v>608.1</v>
      </c>
      <c r="F190" s="5">
        <v>622.20000000000005</v>
      </c>
      <c r="G190" s="6">
        <v>45465</v>
      </c>
      <c r="H190" s="5"/>
      <c r="I190" s="5"/>
      <c r="J190" s="5">
        <f t="shared" si="27"/>
        <v>14.100000000000023</v>
      </c>
      <c r="K190" s="8" t="b">
        <f t="shared" si="28"/>
        <v>1</v>
      </c>
    </row>
    <row r="191" spans="1:11">
      <c r="A191" s="5" t="s">
        <v>333</v>
      </c>
      <c r="B191" s="6">
        <v>45467</v>
      </c>
      <c r="C191" s="7">
        <v>1</v>
      </c>
      <c r="D191" s="5">
        <v>6.65</v>
      </c>
      <c r="E191" s="5">
        <v>622.20000000000005</v>
      </c>
      <c r="F191" s="5">
        <v>636.5</v>
      </c>
      <c r="G191" s="6">
        <v>45467</v>
      </c>
      <c r="H191" s="5"/>
      <c r="I191" s="5"/>
      <c r="J191" s="5">
        <f t="shared" si="27"/>
        <v>14.299999999999955</v>
      </c>
      <c r="K191" s="8" t="b">
        <f t="shared" si="28"/>
        <v>1</v>
      </c>
    </row>
    <row r="192" spans="1:11">
      <c r="A192" s="5" t="s">
        <v>333</v>
      </c>
      <c r="B192" s="6">
        <v>45468</v>
      </c>
      <c r="C192" s="7">
        <v>1</v>
      </c>
      <c r="D192" s="5">
        <v>6.65</v>
      </c>
      <c r="E192" s="5">
        <v>636.5</v>
      </c>
      <c r="F192" s="5">
        <v>650.5</v>
      </c>
      <c r="G192" s="6">
        <v>45468</v>
      </c>
      <c r="H192" s="5"/>
      <c r="I192" s="5"/>
      <c r="J192" s="5">
        <f t="shared" si="27"/>
        <v>14</v>
      </c>
      <c r="K192" s="8" t="b">
        <f t="shared" si="28"/>
        <v>1</v>
      </c>
    </row>
    <row r="193" spans="1:11">
      <c r="A193" s="5" t="s">
        <v>333</v>
      </c>
      <c r="B193" s="6">
        <v>45474</v>
      </c>
      <c r="C193" s="7">
        <v>0.5</v>
      </c>
      <c r="D193" s="5">
        <v>13.3</v>
      </c>
      <c r="E193" s="5">
        <v>650.5</v>
      </c>
      <c r="F193" s="5">
        <v>664.8</v>
      </c>
      <c r="G193" s="6">
        <v>45474</v>
      </c>
      <c r="H193" s="5"/>
      <c r="I193" s="5"/>
      <c r="J193" s="5">
        <f t="shared" si="27"/>
        <v>14.299999999999955</v>
      </c>
      <c r="K193" s="8" t="b">
        <f t="shared" si="28"/>
        <v>1</v>
      </c>
    </row>
    <row r="194" spans="1:11">
      <c r="A194" s="5" t="s">
        <v>333</v>
      </c>
      <c r="B194" s="6">
        <v>45475</v>
      </c>
      <c r="C194" s="7">
        <v>0.5</v>
      </c>
      <c r="D194" s="5">
        <v>13.3</v>
      </c>
      <c r="E194" s="5">
        <v>664.8</v>
      </c>
      <c r="F194" s="5">
        <v>678.7</v>
      </c>
      <c r="G194" s="6">
        <v>45475</v>
      </c>
      <c r="H194" s="5"/>
      <c r="I194" s="5"/>
      <c r="J194" s="5">
        <f t="shared" si="27"/>
        <v>13.900000000000091</v>
      </c>
      <c r="K194" s="8" t="b">
        <f t="shared" si="28"/>
        <v>1</v>
      </c>
    </row>
    <row r="195" spans="1:11">
      <c r="A195" s="5" t="s">
        <v>333</v>
      </c>
      <c r="B195" s="6">
        <v>45491</v>
      </c>
      <c r="C195" s="7">
        <v>0.7</v>
      </c>
      <c r="D195" s="5">
        <v>9.5</v>
      </c>
      <c r="E195" s="5">
        <v>678.7</v>
      </c>
      <c r="F195" s="5">
        <v>698.9</v>
      </c>
      <c r="G195" s="6">
        <v>45491</v>
      </c>
      <c r="H195" s="5"/>
      <c r="I195" s="5"/>
      <c r="J195" s="5">
        <f t="shared" si="27"/>
        <v>20.199999999999932</v>
      </c>
      <c r="K195" s="8" t="b">
        <f t="shared" si="28"/>
        <v>1</v>
      </c>
    </row>
    <row r="196" spans="1:11">
      <c r="A196" s="5" t="s">
        <v>333</v>
      </c>
      <c r="B196" s="6">
        <v>45514</v>
      </c>
      <c r="C196" s="7">
        <v>0.6</v>
      </c>
      <c r="D196" s="5">
        <v>11.08</v>
      </c>
      <c r="E196" s="5">
        <v>698.9</v>
      </c>
      <c r="F196" s="5">
        <v>722.4</v>
      </c>
      <c r="G196" s="6">
        <v>45514</v>
      </c>
      <c r="H196" s="5"/>
      <c r="I196" s="5"/>
      <c r="J196" s="5">
        <f t="shared" si="27"/>
        <v>23.5</v>
      </c>
      <c r="K196" s="8" t="b">
        <f t="shared" si="28"/>
        <v>1</v>
      </c>
    </row>
    <row r="197" spans="1:11">
      <c r="A197" s="5" t="s">
        <v>333</v>
      </c>
      <c r="B197" s="6">
        <v>45521</v>
      </c>
      <c r="C197" s="7">
        <v>0.6</v>
      </c>
      <c r="D197" s="5">
        <v>11.08</v>
      </c>
      <c r="E197" s="5">
        <v>722.4</v>
      </c>
      <c r="F197" s="5">
        <v>746</v>
      </c>
      <c r="G197" s="6">
        <v>45521</v>
      </c>
      <c r="H197" s="5"/>
      <c r="I197" s="5"/>
      <c r="J197" s="5">
        <f t="shared" si="27"/>
        <v>23.600000000000023</v>
      </c>
      <c r="K197" s="8" t="b">
        <f t="shared" si="28"/>
        <v>1</v>
      </c>
    </row>
    <row r="198" spans="1:11">
      <c r="A198" s="5" t="s">
        <v>333</v>
      </c>
      <c r="B198" s="6">
        <v>45527</v>
      </c>
      <c r="C198" s="7">
        <v>0.7</v>
      </c>
      <c r="D198" s="5">
        <v>9.5</v>
      </c>
      <c r="E198" s="5">
        <v>746</v>
      </c>
      <c r="F198" s="5">
        <v>766.3</v>
      </c>
      <c r="G198" s="6">
        <v>45527</v>
      </c>
      <c r="H198" s="5"/>
      <c r="I198" s="5"/>
      <c r="J198" s="5">
        <f t="shared" si="27"/>
        <v>20.299999999999955</v>
      </c>
      <c r="K198" s="8" t="b">
        <f t="shared" si="28"/>
        <v>1</v>
      </c>
    </row>
    <row r="199" spans="1:11">
      <c r="A199" s="5" t="s">
        <v>333</v>
      </c>
      <c r="B199" s="6">
        <v>45535</v>
      </c>
      <c r="C199" s="7">
        <v>0.8</v>
      </c>
      <c r="D199" s="5"/>
      <c r="E199" s="5">
        <v>766.3</v>
      </c>
      <c r="F199" s="5">
        <v>784.1</v>
      </c>
      <c r="G199" s="6">
        <v>45535</v>
      </c>
      <c r="H199" s="5"/>
      <c r="I199" s="5"/>
      <c r="J199" s="5">
        <f t="shared" si="27"/>
        <v>17.800000000000068</v>
      </c>
      <c r="K199" s="8" t="b">
        <f t="shared" si="28"/>
        <v>1</v>
      </c>
    </row>
    <row r="200" spans="1:11">
      <c r="A200" s="5" t="s">
        <v>333</v>
      </c>
      <c r="B200" s="6">
        <v>45539</v>
      </c>
      <c r="C200" s="7">
        <v>1</v>
      </c>
      <c r="D200" s="5"/>
      <c r="E200" s="5">
        <v>784.1</v>
      </c>
      <c r="F200" s="5"/>
      <c r="G200" s="6">
        <v>45539</v>
      </c>
      <c r="H200" s="5"/>
      <c r="I200" s="5"/>
      <c r="J200" s="5">
        <f t="shared" si="27"/>
        <v>-784.1</v>
      </c>
      <c r="K200" s="8" t="b">
        <f t="shared" si="28"/>
        <v>1</v>
      </c>
    </row>
    <row r="201" spans="1:11">
      <c r="A201" s="5" t="s">
        <v>333</v>
      </c>
      <c r="B201" s="6"/>
      <c r="C201" s="7"/>
      <c r="D201" s="5"/>
      <c r="E201" s="5"/>
      <c r="F201" s="5"/>
      <c r="G201" s="6"/>
      <c r="H201" s="5"/>
      <c r="I201" s="5"/>
      <c r="J201" s="5">
        <f t="shared" si="27"/>
        <v>0</v>
      </c>
      <c r="K201" s="8" t="b">
        <f t="shared" si="28"/>
        <v>1</v>
      </c>
    </row>
    <row r="202" spans="1:11" ht="26.25">
      <c r="A202" s="199" t="s">
        <v>316</v>
      </c>
      <c r="B202" s="200"/>
      <c r="C202" s="200"/>
      <c r="D202" s="200"/>
      <c r="E202" s="200"/>
      <c r="F202" s="200"/>
      <c r="G202" s="200"/>
      <c r="H202" s="200"/>
      <c r="I202" s="200"/>
      <c r="J202" s="200"/>
      <c r="K202" s="201"/>
    </row>
    <row r="203" spans="1:11" ht="26.25">
      <c r="A203" s="202" t="s">
        <v>48</v>
      </c>
      <c r="B203" s="203"/>
      <c r="C203" s="203"/>
      <c r="D203" s="203"/>
      <c r="E203" s="203"/>
      <c r="F203" s="203"/>
      <c r="G203" s="203"/>
      <c r="H203" s="203"/>
      <c r="I203" s="203"/>
      <c r="J203" s="203"/>
      <c r="K203" s="204"/>
    </row>
    <row r="204" spans="1:11" ht="15.75" thickBot="1"/>
    <row r="205" spans="1:11" ht="15.75" thickBot="1">
      <c r="A205" s="132" t="s">
        <v>2</v>
      </c>
      <c r="B205" s="133"/>
      <c r="C205" s="133"/>
      <c r="D205" s="133"/>
      <c r="E205" s="133"/>
      <c r="F205" s="133"/>
      <c r="G205" s="133"/>
      <c r="H205" s="133"/>
      <c r="I205" s="133"/>
      <c r="J205" s="133"/>
      <c r="K205" s="134"/>
    </row>
    <row r="207" spans="1:11" ht="19.5" thickBot="1">
      <c r="A207" s="1" t="s">
        <v>3</v>
      </c>
      <c r="B207" s="1"/>
      <c r="C207" s="1"/>
      <c r="D207" s="1"/>
      <c r="E207" s="1"/>
      <c r="F207" s="1"/>
      <c r="G207" s="1"/>
      <c r="H207" s="1"/>
      <c r="I207" s="1"/>
    </row>
    <row r="208" spans="1:11" ht="30.75" thickBot="1">
      <c r="A208" s="2" t="s">
        <v>4</v>
      </c>
      <c r="B208" s="3" t="s">
        <v>5</v>
      </c>
      <c r="C208" s="3" t="s">
        <v>6</v>
      </c>
      <c r="D208" s="3" t="s">
        <v>7</v>
      </c>
      <c r="E208" s="3" t="s">
        <v>8</v>
      </c>
      <c r="F208" s="3" t="s">
        <v>9</v>
      </c>
      <c r="G208" s="3" t="s">
        <v>10</v>
      </c>
      <c r="H208" s="3" t="s">
        <v>21</v>
      </c>
      <c r="I208" s="4" t="s">
        <v>22</v>
      </c>
      <c r="J208" s="4" t="s">
        <v>11</v>
      </c>
      <c r="K208" s="4" t="s">
        <v>12</v>
      </c>
    </row>
    <row r="209" spans="1:11">
      <c r="A209" s="5" t="s">
        <v>333</v>
      </c>
      <c r="B209" s="6">
        <v>45561</v>
      </c>
      <c r="C209" s="7">
        <v>1</v>
      </c>
      <c r="D209" s="5">
        <v>6.65</v>
      </c>
      <c r="E209" s="5">
        <v>826.2</v>
      </c>
      <c r="F209" s="5">
        <v>840</v>
      </c>
      <c r="G209" s="6">
        <v>45561</v>
      </c>
      <c r="H209" s="5"/>
      <c r="I209" s="5"/>
      <c r="J209" s="5">
        <f t="shared" ref="J209" si="31">F209-E209</f>
        <v>13.799999999999955</v>
      </c>
      <c r="K209" s="8" t="b">
        <f>E202=F201</f>
        <v>1</v>
      </c>
    </row>
    <row r="210" spans="1:11">
      <c r="A210" s="5" t="s">
        <v>333</v>
      </c>
      <c r="B210" s="6">
        <v>45562</v>
      </c>
      <c r="C210" s="7">
        <v>1</v>
      </c>
      <c r="D210" s="5">
        <v>6.65</v>
      </c>
      <c r="E210" s="5">
        <v>840</v>
      </c>
      <c r="F210" s="5">
        <v>854.1</v>
      </c>
      <c r="G210" s="6">
        <v>45562</v>
      </c>
      <c r="H210" s="5"/>
      <c r="I210" s="5"/>
      <c r="J210" s="5">
        <f t="shared" ref="J210:J234" si="32">F210-E210</f>
        <v>14.100000000000023</v>
      </c>
      <c r="K210" s="8" t="b">
        <f t="shared" ref="K210:K234" si="33">E210=F209</f>
        <v>1</v>
      </c>
    </row>
    <row r="211" spans="1:11">
      <c r="A211" s="5" t="s">
        <v>333</v>
      </c>
      <c r="B211" s="6">
        <v>45563</v>
      </c>
      <c r="C211" s="7">
        <v>1</v>
      </c>
      <c r="D211" s="5">
        <v>6.65</v>
      </c>
      <c r="E211" s="5">
        <v>854.1</v>
      </c>
      <c r="F211" s="5">
        <v>883.1</v>
      </c>
      <c r="G211" s="6">
        <v>45563</v>
      </c>
      <c r="H211" s="5"/>
      <c r="I211" s="5"/>
      <c r="J211" s="5">
        <f t="shared" si="32"/>
        <v>29</v>
      </c>
      <c r="K211" s="8" t="b">
        <f t="shared" si="33"/>
        <v>1</v>
      </c>
    </row>
    <row r="212" spans="1:11">
      <c r="A212" s="5" t="s">
        <v>333</v>
      </c>
      <c r="B212" s="6">
        <v>45564</v>
      </c>
      <c r="C212" s="7">
        <v>1</v>
      </c>
      <c r="D212" s="5">
        <v>6.65</v>
      </c>
      <c r="E212" s="5">
        <v>883.1</v>
      </c>
      <c r="F212" s="5">
        <v>895.9</v>
      </c>
      <c r="G212" s="6">
        <v>45564</v>
      </c>
      <c r="H212" s="5"/>
      <c r="I212" s="5"/>
      <c r="J212" s="5">
        <f t="shared" si="32"/>
        <v>12.799999999999955</v>
      </c>
      <c r="K212" s="8" t="b">
        <f t="shared" si="33"/>
        <v>1</v>
      </c>
    </row>
    <row r="213" spans="1:11">
      <c r="A213" s="5" t="s">
        <v>333</v>
      </c>
      <c r="B213" s="6">
        <v>45565</v>
      </c>
      <c r="C213" s="7">
        <v>1</v>
      </c>
      <c r="D213" s="5">
        <v>6.65</v>
      </c>
      <c r="E213" s="5">
        <v>895.9</v>
      </c>
      <c r="F213" s="5">
        <v>923.8</v>
      </c>
      <c r="G213" s="6">
        <v>45565</v>
      </c>
      <c r="H213" s="5"/>
      <c r="I213" s="5"/>
      <c r="J213" s="5">
        <f t="shared" si="32"/>
        <v>27.899999999999977</v>
      </c>
      <c r="K213" s="8" t="b">
        <f t="shared" si="33"/>
        <v>1</v>
      </c>
    </row>
    <row r="214" spans="1:11">
      <c r="A214" s="5" t="s">
        <v>333</v>
      </c>
      <c r="B214" s="6">
        <v>45566</v>
      </c>
      <c r="C214" s="7">
        <v>1</v>
      </c>
      <c r="D214" s="5">
        <v>6.65</v>
      </c>
      <c r="E214" s="5">
        <v>923.8</v>
      </c>
      <c r="F214" s="5">
        <v>937.9</v>
      </c>
      <c r="G214" s="6">
        <v>45566</v>
      </c>
      <c r="H214" s="5"/>
      <c r="I214" s="5"/>
      <c r="J214" s="5">
        <f t="shared" si="32"/>
        <v>14.100000000000023</v>
      </c>
      <c r="K214" s="8" t="b">
        <f t="shared" si="33"/>
        <v>1</v>
      </c>
    </row>
    <row r="215" spans="1:11">
      <c r="A215" s="5" t="s">
        <v>333</v>
      </c>
      <c r="B215" s="6">
        <v>45567</v>
      </c>
      <c r="C215" s="7">
        <v>1</v>
      </c>
      <c r="D215" s="5">
        <v>6.65</v>
      </c>
      <c r="E215" s="5">
        <v>937.9</v>
      </c>
      <c r="F215" s="5">
        <v>965.8</v>
      </c>
      <c r="G215" s="6">
        <v>45567</v>
      </c>
      <c r="H215" s="5"/>
      <c r="I215" s="5"/>
      <c r="J215" s="5">
        <f t="shared" si="32"/>
        <v>27.899999999999977</v>
      </c>
      <c r="K215" s="8" t="b">
        <f t="shared" si="33"/>
        <v>1</v>
      </c>
    </row>
    <row r="216" spans="1:11">
      <c r="A216" s="5" t="s">
        <v>333</v>
      </c>
      <c r="B216" s="6">
        <v>45568</v>
      </c>
      <c r="C216" s="7">
        <v>1</v>
      </c>
      <c r="D216" s="5">
        <v>6.65</v>
      </c>
      <c r="E216" s="5">
        <v>965.8</v>
      </c>
      <c r="F216" s="5">
        <v>979.8</v>
      </c>
      <c r="G216" s="6">
        <v>45568</v>
      </c>
      <c r="H216" s="5"/>
      <c r="I216" s="5"/>
      <c r="J216" s="5">
        <f t="shared" si="32"/>
        <v>14</v>
      </c>
      <c r="K216" s="8" t="b">
        <f t="shared" si="33"/>
        <v>1</v>
      </c>
    </row>
    <row r="217" spans="1:11">
      <c r="A217" s="5" t="s">
        <v>333</v>
      </c>
      <c r="B217" s="6">
        <v>45569</v>
      </c>
      <c r="C217" s="7">
        <v>1</v>
      </c>
      <c r="D217" s="5">
        <v>6.65</v>
      </c>
      <c r="E217" s="5">
        <v>979.8</v>
      </c>
      <c r="F217" s="5">
        <v>1007.9</v>
      </c>
      <c r="G217" s="6">
        <v>45569</v>
      </c>
      <c r="H217" s="5"/>
      <c r="I217" s="5"/>
      <c r="J217" s="5">
        <f t="shared" si="32"/>
        <v>28.100000000000023</v>
      </c>
      <c r="K217" s="8" t="b">
        <f t="shared" si="33"/>
        <v>1</v>
      </c>
    </row>
    <row r="218" spans="1:11">
      <c r="A218" s="5" t="s">
        <v>333</v>
      </c>
      <c r="B218" s="6">
        <v>45570</v>
      </c>
      <c r="C218" s="7">
        <v>1</v>
      </c>
      <c r="D218" s="5">
        <v>6.65</v>
      </c>
      <c r="E218" s="5">
        <v>1007.9</v>
      </c>
      <c r="F218" s="5">
        <v>1022.4</v>
      </c>
      <c r="G218" s="6">
        <v>45570</v>
      </c>
      <c r="H218" s="5"/>
      <c r="I218" s="5"/>
      <c r="J218" s="5">
        <f t="shared" si="32"/>
        <v>14.5</v>
      </c>
      <c r="K218" s="8" t="b">
        <f t="shared" si="33"/>
        <v>1</v>
      </c>
    </row>
    <row r="219" spans="1:11">
      <c r="A219" s="5" t="s">
        <v>333</v>
      </c>
      <c r="B219" s="6">
        <v>45571</v>
      </c>
      <c r="C219" s="7">
        <v>1</v>
      </c>
      <c r="D219" s="5">
        <v>6.65</v>
      </c>
      <c r="E219" s="5">
        <v>1022.4</v>
      </c>
      <c r="F219" s="5">
        <v>1035.9000000000001</v>
      </c>
      <c r="G219" s="6">
        <v>45571</v>
      </c>
      <c r="H219" s="5"/>
      <c r="I219" s="5"/>
      <c r="J219" s="5">
        <f t="shared" si="32"/>
        <v>13.500000000000114</v>
      </c>
      <c r="K219" s="8" t="b">
        <f t="shared" si="33"/>
        <v>1</v>
      </c>
    </row>
    <row r="220" spans="1:11">
      <c r="A220" s="5" t="s">
        <v>333</v>
      </c>
      <c r="B220" s="6">
        <v>45572</v>
      </c>
      <c r="C220" s="7">
        <v>1</v>
      </c>
      <c r="D220" s="5">
        <v>6.65</v>
      </c>
      <c r="E220" s="5">
        <v>1035.9000000000001</v>
      </c>
      <c r="F220" s="5">
        <v>1049.7</v>
      </c>
      <c r="G220" s="6">
        <v>45572</v>
      </c>
      <c r="H220" s="5"/>
      <c r="I220" s="5"/>
      <c r="J220" s="5">
        <f t="shared" si="32"/>
        <v>13.799999999999955</v>
      </c>
      <c r="K220" s="8" t="b">
        <f>E220=F219</f>
        <v>1</v>
      </c>
    </row>
    <row r="221" spans="1:11">
      <c r="A221" s="5" t="s">
        <v>333</v>
      </c>
      <c r="B221" s="6">
        <v>45573</v>
      </c>
      <c r="C221" s="7">
        <v>1</v>
      </c>
      <c r="D221" s="5">
        <v>6.65</v>
      </c>
      <c r="E221" s="5">
        <v>1049.7</v>
      </c>
      <c r="F221" s="5">
        <v>1063.8</v>
      </c>
      <c r="G221" s="6">
        <v>45573</v>
      </c>
      <c r="H221" s="5"/>
      <c r="I221" s="5"/>
      <c r="J221" s="5">
        <f t="shared" si="32"/>
        <v>14.099999999999909</v>
      </c>
      <c r="K221" s="8" t="b">
        <f t="shared" si="33"/>
        <v>1</v>
      </c>
    </row>
    <row r="222" spans="1:11">
      <c r="A222" s="5" t="s">
        <v>333</v>
      </c>
      <c r="B222" s="6">
        <v>45574</v>
      </c>
      <c r="C222" s="7">
        <v>1</v>
      </c>
      <c r="D222" s="5">
        <v>6.65</v>
      </c>
      <c r="E222" s="5">
        <v>1063.8</v>
      </c>
      <c r="F222" s="5">
        <v>1077.8</v>
      </c>
      <c r="G222" s="6">
        <v>45574</v>
      </c>
      <c r="H222" s="5"/>
      <c r="I222" s="5"/>
      <c r="J222" s="5">
        <f t="shared" si="32"/>
        <v>14</v>
      </c>
      <c r="K222" s="8" t="b">
        <f t="shared" si="33"/>
        <v>1</v>
      </c>
    </row>
    <row r="223" spans="1:11">
      <c r="A223" s="5" t="s">
        <v>333</v>
      </c>
      <c r="B223" s="6">
        <v>45575</v>
      </c>
      <c r="C223" s="7">
        <v>1</v>
      </c>
      <c r="D223" s="5">
        <v>6.65</v>
      </c>
      <c r="E223" s="5">
        <v>1077.8</v>
      </c>
      <c r="F223" s="5">
        <v>1092.3</v>
      </c>
      <c r="G223" s="6">
        <v>45575</v>
      </c>
      <c r="H223" s="5"/>
      <c r="I223" s="5"/>
      <c r="J223" s="5">
        <f t="shared" si="32"/>
        <v>14.5</v>
      </c>
      <c r="K223" s="8" t="b">
        <f>E223=F222</f>
        <v>1</v>
      </c>
    </row>
    <row r="224" spans="1:11">
      <c r="A224" s="5" t="s">
        <v>333</v>
      </c>
      <c r="B224" s="6">
        <v>45576</v>
      </c>
      <c r="C224" s="7">
        <v>0.55000000000000004</v>
      </c>
      <c r="D224" s="5">
        <v>12.09</v>
      </c>
      <c r="E224" s="5">
        <v>1092.3</v>
      </c>
      <c r="F224" s="5">
        <v>1119.5999999999999</v>
      </c>
      <c r="G224" s="6">
        <v>45576</v>
      </c>
      <c r="H224" s="5"/>
      <c r="I224" s="5"/>
      <c r="J224" s="5">
        <f t="shared" si="32"/>
        <v>27.299999999999955</v>
      </c>
      <c r="K224" s="8" t="b">
        <f t="shared" si="33"/>
        <v>1</v>
      </c>
    </row>
    <row r="225" spans="1:11">
      <c r="A225" s="5" t="s">
        <v>333</v>
      </c>
      <c r="B225" s="6">
        <v>45580</v>
      </c>
      <c r="C225" s="7">
        <v>0.7</v>
      </c>
      <c r="D225" s="5">
        <v>9.5</v>
      </c>
      <c r="E225" s="5">
        <v>1119.5999999999999</v>
      </c>
      <c r="F225" s="5">
        <v>1139.4000000000001</v>
      </c>
      <c r="G225" s="6">
        <v>45580</v>
      </c>
      <c r="H225" s="5"/>
      <c r="I225" s="5"/>
      <c r="J225" s="5">
        <f t="shared" si="32"/>
        <v>19.800000000000182</v>
      </c>
      <c r="K225" s="8" t="b">
        <f t="shared" si="33"/>
        <v>1</v>
      </c>
    </row>
    <row r="226" spans="1:11">
      <c r="A226" s="5" t="s">
        <v>333</v>
      </c>
      <c r="B226" s="6"/>
      <c r="C226" s="7"/>
      <c r="D226" s="5"/>
      <c r="E226" s="5"/>
      <c r="F226" s="5"/>
      <c r="G226" s="6"/>
      <c r="H226" s="5"/>
      <c r="I226" s="5"/>
      <c r="J226" s="5">
        <f t="shared" si="32"/>
        <v>0</v>
      </c>
      <c r="K226" s="8" t="b">
        <f t="shared" si="33"/>
        <v>0</v>
      </c>
    </row>
    <row r="227" spans="1:11">
      <c r="A227" s="5" t="s">
        <v>333</v>
      </c>
      <c r="B227" s="6"/>
      <c r="C227" s="7"/>
      <c r="D227" s="5"/>
      <c r="E227" s="5"/>
      <c r="F227" s="5"/>
      <c r="G227" s="6"/>
      <c r="H227" s="5"/>
      <c r="I227" s="5"/>
      <c r="J227" s="5">
        <f t="shared" si="32"/>
        <v>0</v>
      </c>
      <c r="K227" s="8" t="b">
        <f t="shared" si="33"/>
        <v>1</v>
      </c>
    </row>
    <row r="228" spans="1:11">
      <c r="A228" s="5" t="s">
        <v>333</v>
      </c>
      <c r="B228" s="6"/>
      <c r="C228" s="7"/>
      <c r="D228" s="5"/>
      <c r="E228" s="5"/>
      <c r="F228" s="5"/>
      <c r="G228" s="6"/>
      <c r="H228" s="5"/>
      <c r="I228" s="5"/>
      <c r="J228" s="5">
        <f t="shared" si="32"/>
        <v>0</v>
      </c>
      <c r="K228" s="8" t="b">
        <f t="shared" si="33"/>
        <v>1</v>
      </c>
    </row>
    <row r="229" spans="1:11">
      <c r="A229" s="5" t="s">
        <v>333</v>
      </c>
      <c r="B229" s="6"/>
      <c r="C229" s="7"/>
      <c r="D229" s="5"/>
      <c r="E229" s="5"/>
      <c r="F229" s="5"/>
      <c r="G229" s="6"/>
      <c r="H229" s="5"/>
      <c r="I229" s="5"/>
      <c r="J229" s="5">
        <f t="shared" si="32"/>
        <v>0</v>
      </c>
      <c r="K229" s="8" t="b">
        <f t="shared" si="33"/>
        <v>1</v>
      </c>
    </row>
    <row r="230" spans="1:11">
      <c r="A230" s="5" t="s">
        <v>333</v>
      </c>
      <c r="B230" s="6"/>
      <c r="C230" s="7"/>
      <c r="D230" s="5"/>
      <c r="E230" s="5"/>
      <c r="F230" s="5"/>
      <c r="G230" s="6"/>
      <c r="H230" s="5"/>
      <c r="I230" s="5"/>
      <c r="J230" s="5">
        <f t="shared" si="32"/>
        <v>0</v>
      </c>
      <c r="K230" s="8" t="b">
        <f t="shared" si="33"/>
        <v>1</v>
      </c>
    </row>
    <row r="231" spans="1:11">
      <c r="A231" s="5" t="s">
        <v>333</v>
      </c>
      <c r="B231" s="6"/>
      <c r="C231" s="7"/>
      <c r="D231" s="5"/>
      <c r="E231" s="5"/>
      <c r="F231" s="5"/>
      <c r="G231" s="6"/>
      <c r="H231" s="5"/>
      <c r="I231" s="5"/>
      <c r="J231" s="5">
        <f t="shared" si="32"/>
        <v>0</v>
      </c>
      <c r="K231" s="8" t="b">
        <f t="shared" si="33"/>
        <v>1</v>
      </c>
    </row>
    <row r="232" spans="1:11">
      <c r="A232" s="5" t="s">
        <v>333</v>
      </c>
      <c r="B232" s="6"/>
      <c r="C232" s="7"/>
      <c r="D232" s="5"/>
      <c r="E232" s="5"/>
      <c r="F232" s="5"/>
      <c r="G232" s="6"/>
      <c r="H232" s="5"/>
      <c r="I232" s="5"/>
      <c r="J232" s="5">
        <f t="shared" si="32"/>
        <v>0</v>
      </c>
      <c r="K232" s="8" t="b">
        <f t="shared" si="33"/>
        <v>1</v>
      </c>
    </row>
    <row r="233" spans="1:11">
      <c r="A233" s="5" t="s">
        <v>333</v>
      </c>
      <c r="B233" s="6"/>
      <c r="C233" s="7"/>
      <c r="D233" s="5"/>
      <c r="E233" s="5"/>
      <c r="F233" s="5"/>
      <c r="G233" s="6"/>
      <c r="H233" s="5"/>
      <c r="I233" s="5"/>
      <c r="J233" s="5">
        <f t="shared" si="32"/>
        <v>0</v>
      </c>
      <c r="K233" s="8" t="b">
        <f t="shared" si="33"/>
        <v>1</v>
      </c>
    </row>
    <row r="234" spans="1:11">
      <c r="A234" s="5" t="s">
        <v>333</v>
      </c>
      <c r="B234" s="6"/>
      <c r="C234" s="7"/>
      <c r="D234" s="5"/>
      <c r="E234" s="5"/>
      <c r="F234" s="5"/>
      <c r="G234" s="6"/>
      <c r="H234" s="5"/>
      <c r="I234" s="5"/>
      <c r="J234" s="5">
        <f t="shared" si="32"/>
        <v>0</v>
      </c>
      <c r="K234" s="8" t="b">
        <f t="shared" si="33"/>
        <v>1</v>
      </c>
    </row>
  </sheetData>
  <autoFilter ref="A185:K208" xr:uid="{025F3685-CEC1-4798-BD7E-15869FA05169}"/>
  <mergeCells count="15">
    <mergeCell ref="A123:K123"/>
    <mergeCell ref="A124:K124"/>
    <mergeCell ref="A126:K126"/>
    <mergeCell ref="A41:K41"/>
    <mergeCell ref="A1:K1"/>
    <mergeCell ref="A2:K2"/>
    <mergeCell ref="A4:K4"/>
    <mergeCell ref="A38:K38"/>
    <mergeCell ref="A39:K39"/>
    <mergeCell ref="A202:K202"/>
    <mergeCell ref="A203:K203"/>
    <mergeCell ref="A205:K205"/>
    <mergeCell ref="A179:K179"/>
    <mergeCell ref="A180:K180"/>
    <mergeCell ref="A182:K182"/>
  </mergeCells>
  <conditionalFormatting sqref="K1:K1048576">
    <cfRule type="containsText" dxfId="33" priority="1" operator="containsText" text="FALSO">
      <formula>NOT(ISERROR(SEARCH("FALSO",K1)))</formula>
    </cfRule>
    <cfRule type="containsText" dxfId="32" priority="2" operator="containsText" text="VERDADEIRO">
      <formula>NOT(ISERROR(SEARCH("VERDADEIRO",K1)))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12A2-09E1-4BE7-BE10-8B02336A8717}">
  <sheetPr codeName="Planilha30"/>
  <dimension ref="A1:K262"/>
  <sheetViews>
    <sheetView topLeftCell="A166" workbookViewId="0">
      <selection activeCell="O192" sqref="O192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334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335</v>
      </c>
      <c r="B8" s="6">
        <v>44773</v>
      </c>
      <c r="C8" s="7">
        <v>0.6</v>
      </c>
      <c r="D8" s="5"/>
      <c r="E8" s="5">
        <v>15.6</v>
      </c>
      <c r="F8" s="5">
        <v>37.4</v>
      </c>
      <c r="G8" s="6">
        <v>44773</v>
      </c>
      <c r="H8" s="5"/>
      <c r="I8" s="5"/>
      <c r="J8" s="5">
        <f>F8-E8</f>
        <v>21.799999999999997</v>
      </c>
      <c r="K8" s="8" t="b">
        <f>E8=F8</f>
        <v>0</v>
      </c>
    </row>
    <row r="9" spans="1:11">
      <c r="A9" s="5"/>
      <c r="B9" s="6"/>
      <c r="C9" s="7"/>
      <c r="D9" s="5"/>
      <c r="E9" s="5"/>
      <c r="F9" s="5"/>
      <c r="G9" s="6"/>
      <c r="H9" s="5"/>
      <c r="I9" s="5"/>
      <c r="J9" s="5"/>
      <c r="K9" s="8"/>
    </row>
    <row r="11" spans="1:11" ht="26.25">
      <c r="A11" s="126" t="s">
        <v>334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26.25">
      <c r="A12" s="129" t="s">
        <v>17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1"/>
    </row>
    <row r="13" spans="1:11" ht="15.75" thickBot="1"/>
    <row r="14" spans="1:11" ht="15.75" thickBot="1">
      <c r="A14" s="132" t="s">
        <v>2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4"/>
    </row>
    <row r="16" spans="1:11" ht="19.5" thickBot="1">
      <c r="A16" s="1" t="s">
        <v>3</v>
      </c>
      <c r="B16" s="1"/>
      <c r="C16" s="1"/>
      <c r="D16" s="1"/>
      <c r="E16" s="1"/>
      <c r="F16" s="1"/>
      <c r="G16" s="1"/>
      <c r="H16" s="1"/>
      <c r="I16" s="1"/>
    </row>
    <row r="17" spans="1:11" ht="30.75" thickBot="1">
      <c r="A17" s="2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21</v>
      </c>
      <c r="I17" s="4" t="s">
        <v>22</v>
      </c>
      <c r="J17" s="4" t="s">
        <v>11</v>
      </c>
      <c r="K17" s="4" t="s">
        <v>12</v>
      </c>
    </row>
    <row r="18" spans="1:11">
      <c r="A18" s="5" t="s">
        <v>335</v>
      </c>
      <c r="B18" s="6">
        <v>44907</v>
      </c>
      <c r="C18" s="7">
        <v>0.7</v>
      </c>
      <c r="D18" s="5">
        <v>8.39</v>
      </c>
      <c r="E18" s="5">
        <v>0.1</v>
      </c>
      <c r="F18" s="5">
        <v>17.2</v>
      </c>
      <c r="G18" s="6">
        <v>44907</v>
      </c>
      <c r="H18" s="5"/>
      <c r="I18" s="5"/>
      <c r="J18" s="5">
        <f>F18-E18</f>
        <v>17.099999999999998</v>
      </c>
      <c r="K18" s="8" t="b">
        <f>E18=F8</f>
        <v>0</v>
      </c>
    </row>
    <row r="19" spans="1:11">
      <c r="A19" s="5" t="s">
        <v>335</v>
      </c>
      <c r="B19" s="6">
        <v>44908</v>
      </c>
      <c r="C19" s="7">
        <v>1</v>
      </c>
      <c r="D19" s="5">
        <v>5.87</v>
      </c>
      <c r="E19" s="5">
        <v>17.2</v>
      </c>
      <c r="F19" s="5">
        <v>39.5</v>
      </c>
      <c r="G19" s="6">
        <v>44908</v>
      </c>
      <c r="H19" s="5"/>
      <c r="I19" s="5"/>
      <c r="J19" s="5">
        <f>F19-E19</f>
        <v>22.3</v>
      </c>
      <c r="K19" s="8" t="b">
        <f>E19=F18</f>
        <v>1</v>
      </c>
    </row>
    <row r="20" spans="1:11">
      <c r="A20" s="5" t="s">
        <v>335</v>
      </c>
      <c r="B20" s="6">
        <v>44909</v>
      </c>
      <c r="C20" s="7">
        <v>1</v>
      </c>
      <c r="D20" s="5">
        <v>5.87</v>
      </c>
      <c r="E20" s="5">
        <v>39.5</v>
      </c>
      <c r="F20" s="5">
        <v>45</v>
      </c>
      <c r="G20" s="6">
        <v>44909</v>
      </c>
      <c r="H20" s="5"/>
      <c r="I20" s="5"/>
      <c r="J20" s="5">
        <f t="shared" ref="J20:J26" si="0">F20-E20</f>
        <v>5.5</v>
      </c>
      <c r="K20" s="8" t="b">
        <f t="shared" ref="K20:K26" si="1">E20=F19</f>
        <v>1</v>
      </c>
    </row>
    <row r="21" spans="1:11">
      <c r="A21" s="5" t="s">
        <v>335</v>
      </c>
      <c r="B21" s="6">
        <v>44931</v>
      </c>
      <c r="C21" s="7">
        <v>0.7</v>
      </c>
      <c r="D21" s="5">
        <v>8.39</v>
      </c>
      <c r="E21" s="5">
        <v>45</v>
      </c>
      <c r="F21" s="5">
        <v>52.9</v>
      </c>
      <c r="G21" s="6">
        <v>44931</v>
      </c>
      <c r="H21" s="5"/>
      <c r="I21" s="5"/>
      <c r="J21" s="5">
        <f t="shared" si="0"/>
        <v>7.8999999999999986</v>
      </c>
      <c r="K21" s="8" t="b">
        <f t="shared" si="1"/>
        <v>1</v>
      </c>
    </row>
    <row r="22" spans="1:11">
      <c r="A22" s="5" t="s">
        <v>335</v>
      </c>
      <c r="B22" s="6">
        <v>44946</v>
      </c>
      <c r="C22" s="7">
        <v>1</v>
      </c>
      <c r="D22" s="5">
        <v>5.87</v>
      </c>
      <c r="E22" s="5">
        <v>52.9</v>
      </c>
      <c r="F22" s="5">
        <v>67.8</v>
      </c>
      <c r="G22" s="6">
        <v>44946</v>
      </c>
      <c r="H22" s="5"/>
      <c r="I22" s="5"/>
      <c r="J22" s="5">
        <f t="shared" si="0"/>
        <v>14.899999999999999</v>
      </c>
      <c r="K22" s="8" t="b">
        <f t="shared" si="1"/>
        <v>1</v>
      </c>
    </row>
    <row r="23" spans="1:11">
      <c r="A23" s="5" t="s">
        <v>335</v>
      </c>
      <c r="B23" s="6">
        <v>44958</v>
      </c>
      <c r="C23" s="7">
        <v>0.7</v>
      </c>
      <c r="D23" s="5">
        <v>8.39</v>
      </c>
      <c r="E23" s="5">
        <v>67.8</v>
      </c>
      <c r="F23" s="5">
        <v>87.4</v>
      </c>
      <c r="G23" s="6">
        <v>44958</v>
      </c>
      <c r="H23" s="5"/>
      <c r="I23" s="5"/>
      <c r="J23" s="5">
        <f t="shared" si="0"/>
        <v>19.600000000000009</v>
      </c>
      <c r="K23" s="8" t="b">
        <f t="shared" si="1"/>
        <v>1</v>
      </c>
    </row>
    <row r="24" spans="1:11">
      <c r="A24" s="5" t="s">
        <v>335</v>
      </c>
      <c r="B24" s="6"/>
      <c r="C24" s="7"/>
      <c r="D24" s="5"/>
      <c r="E24" s="5"/>
      <c r="F24" s="5"/>
      <c r="G24" s="6">
        <v>45057</v>
      </c>
      <c r="H24" s="5"/>
      <c r="I24" s="5"/>
      <c r="J24" s="5">
        <f t="shared" si="0"/>
        <v>0</v>
      </c>
      <c r="K24" s="8" t="b">
        <f t="shared" si="1"/>
        <v>0</v>
      </c>
    </row>
    <row r="25" spans="1:11">
      <c r="A25" s="5" t="s">
        <v>335</v>
      </c>
      <c r="B25" s="6"/>
      <c r="C25" s="7"/>
      <c r="D25" s="5"/>
      <c r="E25" s="5"/>
      <c r="F25" s="5"/>
      <c r="G25" s="6"/>
      <c r="H25" s="5"/>
      <c r="I25" s="5"/>
      <c r="J25" s="5">
        <f t="shared" si="0"/>
        <v>0</v>
      </c>
      <c r="K25" s="8" t="b">
        <f t="shared" si="1"/>
        <v>1</v>
      </c>
    </row>
    <row r="26" spans="1:11">
      <c r="A26" s="5" t="s">
        <v>335</v>
      </c>
      <c r="B26" s="6"/>
      <c r="C26" s="7"/>
      <c r="D26" s="5"/>
      <c r="E26" s="5"/>
      <c r="F26" s="5"/>
      <c r="G26" s="6"/>
      <c r="H26" s="5"/>
      <c r="I26" s="5"/>
      <c r="J26" s="5">
        <f t="shared" si="0"/>
        <v>0</v>
      </c>
      <c r="K26" s="8" t="b">
        <f t="shared" si="1"/>
        <v>1</v>
      </c>
    </row>
    <row r="27" spans="1:11" ht="26.25">
      <c r="A27" s="205" t="s">
        <v>334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7"/>
    </row>
    <row r="28" spans="1:11" ht="26.25">
      <c r="A28" s="208" t="s">
        <v>336</v>
      </c>
      <c r="B28" s="209"/>
      <c r="C28" s="209"/>
      <c r="D28" s="209"/>
      <c r="E28" s="209"/>
      <c r="F28" s="209"/>
      <c r="G28" s="209"/>
      <c r="H28" s="209"/>
      <c r="I28" s="209"/>
      <c r="J28" s="209"/>
      <c r="K28" s="210"/>
    </row>
    <row r="29" spans="1:11" ht="15.75" thickBot="1"/>
    <row r="30" spans="1:11" ht="15.75" thickBot="1">
      <c r="A30" s="132" t="s">
        <v>2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4"/>
    </row>
    <row r="32" spans="1:11" ht="19.5" thickBot="1">
      <c r="A32" s="1" t="s">
        <v>3</v>
      </c>
      <c r="B32" s="1"/>
      <c r="C32" s="1"/>
      <c r="D32" s="1"/>
      <c r="E32" s="1"/>
      <c r="F32" s="1"/>
      <c r="G32" s="1"/>
      <c r="H32" s="1"/>
      <c r="I32" s="1"/>
    </row>
    <row r="33" spans="1:11" ht="30.75" thickBot="1">
      <c r="A33" s="2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3" t="s">
        <v>9</v>
      </c>
      <c r="G33" s="3" t="s">
        <v>10</v>
      </c>
      <c r="H33" s="3" t="s">
        <v>21</v>
      </c>
      <c r="I33" s="4" t="s">
        <v>22</v>
      </c>
      <c r="J33" s="4" t="s">
        <v>11</v>
      </c>
      <c r="K33" s="4" t="s">
        <v>12</v>
      </c>
    </row>
    <row r="34" spans="1:11">
      <c r="A34" s="5" t="s">
        <v>335</v>
      </c>
      <c r="B34" s="6">
        <v>45057</v>
      </c>
      <c r="C34" s="7">
        <v>0.4</v>
      </c>
      <c r="D34" s="5">
        <v>14.68</v>
      </c>
      <c r="E34" s="5">
        <v>0</v>
      </c>
      <c r="F34" s="5">
        <v>30.6</v>
      </c>
      <c r="G34" s="6">
        <v>45057</v>
      </c>
      <c r="H34" s="5"/>
      <c r="I34" s="5"/>
      <c r="J34" s="5">
        <f>F34-E34</f>
        <v>30.6</v>
      </c>
      <c r="K34" s="8" t="b">
        <f>E34=F24</f>
        <v>1</v>
      </c>
    </row>
    <row r="35" spans="1:11">
      <c r="A35" s="5" t="s">
        <v>335</v>
      </c>
      <c r="B35" s="6">
        <v>45058</v>
      </c>
      <c r="C35" s="7">
        <v>1</v>
      </c>
      <c r="D35" s="5">
        <v>5.87</v>
      </c>
      <c r="E35" s="5">
        <v>30.6</v>
      </c>
      <c r="F35" s="5">
        <v>42.1</v>
      </c>
      <c r="G35" s="6">
        <v>45058</v>
      </c>
      <c r="H35" s="5"/>
      <c r="I35" s="5"/>
      <c r="J35" s="5">
        <f t="shared" ref="J35:J54" si="2">F35-E35</f>
        <v>11.5</v>
      </c>
      <c r="K35" s="8" t="b">
        <f>E35=F34</f>
        <v>1</v>
      </c>
    </row>
    <row r="36" spans="1:11">
      <c r="A36" s="5" t="s">
        <v>335</v>
      </c>
      <c r="B36" s="6">
        <v>45059</v>
      </c>
      <c r="C36" s="7">
        <v>1</v>
      </c>
      <c r="D36" s="5">
        <v>5.87</v>
      </c>
      <c r="E36" s="5">
        <v>42.1</v>
      </c>
      <c r="F36" s="5">
        <v>53.7</v>
      </c>
      <c r="G36" s="6">
        <v>45059</v>
      </c>
      <c r="H36" s="5"/>
      <c r="I36" s="5"/>
      <c r="J36" s="5">
        <f t="shared" si="2"/>
        <v>11.600000000000001</v>
      </c>
      <c r="K36" s="8" t="b">
        <f t="shared" ref="K36:K59" si="3">E36=F35</f>
        <v>1</v>
      </c>
    </row>
    <row r="37" spans="1:11">
      <c r="A37" s="5" t="s">
        <v>335</v>
      </c>
      <c r="B37" s="6">
        <v>45060</v>
      </c>
      <c r="C37" s="7">
        <v>1</v>
      </c>
      <c r="D37" s="5">
        <v>5.87</v>
      </c>
      <c r="E37" s="5">
        <v>53.7</v>
      </c>
      <c r="F37" s="5">
        <v>65.5</v>
      </c>
      <c r="G37" s="6">
        <v>45060</v>
      </c>
      <c r="H37" s="5"/>
      <c r="I37" s="5"/>
      <c r="J37" s="5">
        <f t="shared" si="2"/>
        <v>11.799999999999997</v>
      </c>
      <c r="K37" s="8" t="b">
        <f t="shared" si="3"/>
        <v>1</v>
      </c>
    </row>
    <row r="38" spans="1:11">
      <c r="A38" s="5" t="s">
        <v>335</v>
      </c>
      <c r="B38" s="6">
        <v>45061</v>
      </c>
      <c r="C38" s="7">
        <v>1</v>
      </c>
      <c r="D38" s="5">
        <v>5.87</v>
      </c>
      <c r="E38" s="5">
        <v>65.5</v>
      </c>
      <c r="F38" s="5">
        <v>83.4</v>
      </c>
      <c r="G38" s="6">
        <v>45061</v>
      </c>
      <c r="H38" s="5"/>
      <c r="I38" s="5"/>
      <c r="J38" s="5">
        <f t="shared" si="2"/>
        <v>17.900000000000006</v>
      </c>
      <c r="K38" s="8" t="b">
        <f t="shared" si="3"/>
        <v>1</v>
      </c>
    </row>
    <row r="39" spans="1:11">
      <c r="A39" s="5" t="s">
        <v>335</v>
      </c>
      <c r="B39" s="6">
        <v>45063</v>
      </c>
      <c r="C39" s="7">
        <v>1</v>
      </c>
      <c r="D39" s="5">
        <v>5.87</v>
      </c>
      <c r="E39" s="5">
        <v>83.4</v>
      </c>
      <c r="F39" s="5">
        <v>99.3</v>
      </c>
      <c r="G39" s="6">
        <v>45063</v>
      </c>
      <c r="H39" s="5"/>
      <c r="I39" s="5"/>
      <c r="J39" s="5">
        <f t="shared" si="2"/>
        <v>15.899999999999991</v>
      </c>
      <c r="K39" s="8" t="b">
        <f t="shared" si="3"/>
        <v>1</v>
      </c>
    </row>
    <row r="40" spans="1:11">
      <c r="A40" s="5" t="s">
        <v>335</v>
      </c>
      <c r="B40" s="6">
        <v>45064</v>
      </c>
      <c r="C40" s="7">
        <v>1</v>
      </c>
      <c r="D40" s="5">
        <v>5.87</v>
      </c>
      <c r="E40" s="5">
        <v>99.3</v>
      </c>
      <c r="F40" s="5">
        <v>112.5</v>
      </c>
      <c r="G40" s="6">
        <v>45064</v>
      </c>
      <c r="H40" s="5"/>
      <c r="I40" s="5"/>
      <c r="J40" s="5">
        <f t="shared" si="2"/>
        <v>13.200000000000003</v>
      </c>
      <c r="K40" s="8" t="b">
        <f t="shared" si="3"/>
        <v>1</v>
      </c>
    </row>
    <row r="41" spans="1:11">
      <c r="A41" s="5" t="s">
        <v>335</v>
      </c>
      <c r="B41" s="6">
        <v>45065</v>
      </c>
      <c r="C41" s="7">
        <v>1</v>
      </c>
      <c r="D41" s="5">
        <v>5.87</v>
      </c>
      <c r="E41" s="5">
        <v>112.5</v>
      </c>
      <c r="F41" s="5">
        <v>126.1</v>
      </c>
      <c r="G41" s="6">
        <v>45065</v>
      </c>
      <c r="H41" s="5"/>
      <c r="I41" s="5"/>
      <c r="J41" s="5">
        <f t="shared" si="2"/>
        <v>13.599999999999994</v>
      </c>
      <c r="K41" s="8" t="b">
        <f t="shared" si="3"/>
        <v>1</v>
      </c>
    </row>
    <row r="42" spans="1:11">
      <c r="A42" s="5" t="s">
        <v>335</v>
      </c>
      <c r="B42" s="6">
        <v>45067</v>
      </c>
      <c r="C42" s="7">
        <v>1</v>
      </c>
      <c r="D42" s="5">
        <v>5.87</v>
      </c>
      <c r="E42" s="5">
        <v>126.1</v>
      </c>
      <c r="F42" s="5">
        <v>137.69999999999999</v>
      </c>
      <c r="G42" s="6">
        <v>45067</v>
      </c>
      <c r="H42" s="5"/>
      <c r="I42" s="5"/>
      <c r="J42" s="5">
        <f t="shared" si="2"/>
        <v>11.599999999999994</v>
      </c>
      <c r="K42" s="8" t="b">
        <f t="shared" si="3"/>
        <v>1</v>
      </c>
    </row>
    <row r="43" spans="1:11">
      <c r="A43" s="25" t="s">
        <v>335</v>
      </c>
      <c r="B43" s="26">
        <v>45068</v>
      </c>
      <c r="C43" s="27">
        <v>1</v>
      </c>
      <c r="D43" s="25">
        <v>5.87</v>
      </c>
      <c r="E43" s="25">
        <v>137.69999999999999</v>
      </c>
      <c r="F43" s="25">
        <v>149.6</v>
      </c>
      <c r="G43" s="26">
        <v>45068</v>
      </c>
      <c r="H43" s="25"/>
      <c r="I43" s="25"/>
      <c r="J43" s="25">
        <f t="shared" si="2"/>
        <v>11.900000000000006</v>
      </c>
      <c r="K43" s="8" t="b">
        <f t="shared" si="3"/>
        <v>1</v>
      </c>
    </row>
    <row r="44" spans="1:11">
      <c r="A44" s="5" t="s">
        <v>335</v>
      </c>
      <c r="B44" s="6">
        <v>45069</v>
      </c>
      <c r="C44" s="7">
        <v>1</v>
      </c>
      <c r="D44" s="5">
        <v>5.87</v>
      </c>
      <c r="E44" s="5">
        <v>149.6</v>
      </c>
      <c r="F44" s="5">
        <v>161.19999999999999</v>
      </c>
      <c r="G44" s="6">
        <v>45069</v>
      </c>
      <c r="H44" s="5"/>
      <c r="I44" s="5"/>
      <c r="J44" s="5">
        <f t="shared" si="2"/>
        <v>11.599999999999994</v>
      </c>
      <c r="K44" s="8" t="b">
        <f t="shared" si="3"/>
        <v>1</v>
      </c>
    </row>
    <row r="45" spans="1:11">
      <c r="A45" s="5" t="s">
        <v>335</v>
      </c>
      <c r="B45" s="6" t="s">
        <v>96</v>
      </c>
      <c r="C45" s="7">
        <v>1</v>
      </c>
      <c r="D45" s="5">
        <v>5.87</v>
      </c>
      <c r="E45" s="5">
        <v>161.19999999999999</v>
      </c>
      <c r="F45" s="5">
        <v>172.7</v>
      </c>
      <c r="G45" s="6" t="s">
        <v>96</v>
      </c>
      <c r="H45" s="5"/>
      <c r="I45" s="5"/>
      <c r="J45" s="5">
        <f t="shared" si="2"/>
        <v>11.5</v>
      </c>
      <c r="K45" s="8" t="b">
        <f t="shared" si="3"/>
        <v>1</v>
      </c>
    </row>
    <row r="46" spans="1:11">
      <c r="A46" s="5" t="s">
        <v>335</v>
      </c>
      <c r="B46" s="6" t="s">
        <v>70</v>
      </c>
      <c r="C46" s="7">
        <v>1</v>
      </c>
      <c r="D46" s="5">
        <v>5.87</v>
      </c>
      <c r="E46" s="5">
        <v>172.7</v>
      </c>
      <c r="F46" s="5">
        <v>184.4</v>
      </c>
      <c r="G46" s="6" t="s">
        <v>70</v>
      </c>
      <c r="H46" s="5"/>
      <c r="I46" s="5"/>
      <c r="J46" s="5">
        <f t="shared" si="2"/>
        <v>11.700000000000017</v>
      </c>
      <c r="K46" s="8" t="b">
        <f t="shared" si="3"/>
        <v>1</v>
      </c>
    </row>
    <row r="47" spans="1:11">
      <c r="A47" s="5" t="s">
        <v>335</v>
      </c>
      <c r="B47" s="6" t="s">
        <v>71</v>
      </c>
      <c r="C47" s="7">
        <v>1</v>
      </c>
      <c r="D47" s="5">
        <v>5.87</v>
      </c>
      <c r="E47" s="5">
        <v>184.4</v>
      </c>
      <c r="F47" s="5">
        <v>196</v>
      </c>
      <c r="G47" s="6" t="s">
        <v>71</v>
      </c>
      <c r="H47" s="5"/>
      <c r="I47" s="5"/>
      <c r="J47" s="5">
        <f t="shared" si="2"/>
        <v>11.599999999999994</v>
      </c>
      <c r="K47" s="8" t="b">
        <f t="shared" si="3"/>
        <v>1</v>
      </c>
    </row>
    <row r="48" spans="1:11">
      <c r="A48" s="5" t="s">
        <v>335</v>
      </c>
      <c r="B48" s="6" t="s">
        <v>138</v>
      </c>
      <c r="C48" s="7">
        <v>1</v>
      </c>
      <c r="D48" s="5">
        <v>5.87</v>
      </c>
      <c r="E48" s="5">
        <v>196</v>
      </c>
      <c r="F48" s="5">
        <v>207.7</v>
      </c>
      <c r="G48" s="6" t="s">
        <v>138</v>
      </c>
      <c r="H48" s="5"/>
      <c r="I48" s="5"/>
      <c r="J48" s="5">
        <f t="shared" si="2"/>
        <v>11.699999999999989</v>
      </c>
      <c r="K48" s="8" t="b">
        <f t="shared" si="3"/>
        <v>1</v>
      </c>
    </row>
    <row r="49" spans="1:11">
      <c r="A49" s="5" t="s">
        <v>335</v>
      </c>
      <c r="B49" s="6">
        <v>45077</v>
      </c>
      <c r="C49" s="7">
        <v>1</v>
      </c>
      <c r="D49" s="5">
        <v>5.87</v>
      </c>
      <c r="E49" s="5">
        <v>207.7</v>
      </c>
      <c r="F49" s="5">
        <v>219.3</v>
      </c>
      <c r="G49" s="6">
        <v>45077</v>
      </c>
      <c r="H49" s="5"/>
      <c r="I49" s="5"/>
      <c r="J49" s="5">
        <f t="shared" si="2"/>
        <v>11.600000000000023</v>
      </c>
      <c r="K49" s="8" t="b">
        <f t="shared" si="3"/>
        <v>1</v>
      </c>
    </row>
    <row r="50" spans="1:11">
      <c r="A50" s="5" t="s">
        <v>335</v>
      </c>
      <c r="B50" s="6">
        <v>45080</v>
      </c>
      <c r="C50" s="7">
        <v>1</v>
      </c>
      <c r="D50" s="5">
        <v>5.87</v>
      </c>
      <c r="E50" s="5">
        <v>219.3</v>
      </c>
      <c r="F50" s="5">
        <v>231.1</v>
      </c>
      <c r="G50" s="6">
        <v>45080</v>
      </c>
      <c r="H50" s="5"/>
      <c r="I50" s="5"/>
      <c r="J50" s="5">
        <f t="shared" si="2"/>
        <v>11.799999999999983</v>
      </c>
      <c r="K50" s="8" t="b">
        <f t="shared" si="3"/>
        <v>1</v>
      </c>
    </row>
    <row r="51" spans="1:11">
      <c r="A51" s="5" t="s">
        <v>335</v>
      </c>
      <c r="B51" s="6">
        <v>45083</v>
      </c>
      <c r="C51" s="7">
        <v>0.7</v>
      </c>
      <c r="D51" s="5">
        <v>5.87</v>
      </c>
      <c r="E51" s="5">
        <v>231.1</v>
      </c>
      <c r="F51" s="5">
        <v>246.7</v>
      </c>
      <c r="G51" s="6">
        <v>45081</v>
      </c>
      <c r="H51" s="5"/>
      <c r="I51" s="5"/>
      <c r="J51" s="5">
        <f t="shared" si="2"/>
        <v>15.599999999999994</v>
      </c>
      <c r="K51" s="8" t="b">
        <f t="shared" si="3"/>
        <v>1</v>
      </c>
    </row>
    <row r="52" spans="1:11">
      <c r="A52" s="5" t="s">
        <v>335</v>
      </c>
      <c r="B52" s="6">
        <v>45086</v>
      </c>
      <c r="C52" s="7">
        <v>0.8</v>
      </c>
      <c r="D52" s="5">
        <v>5.87</v>
      </c>
      <c r="E52" s="5">
        <v>246.7</v>
      </c>
      <c r="F52" s="5">
        <v>261.7</v>
      </c>
      <c r="G52" s="6">
        <v>45086</v>
      </c>
      <c r="H52" s="5"/>
      <c r="I52" s="5"/>
      <c r="J52" s="5">
        <f t="shared" si="2"/>
        <v>15</v>
      </c>
      <c r="K52" s="8" t="b">
        <f t="shared" si="3"/>
        <v>1</v>
      </c>
    </row>
    <row r="53" spans="1:11">
      <c r="A53" s="25" t="s">
        <v>335</v>
      </c>
      <c r="B53" s="26">
        <v>45089</v>
      </c>
      <c r="C53" s="27">
        <v>1</v>
      </c>
      <c r="D53" s="25">
        <v>5.87</v>
      </c>
      <c r="E53" s="25">
        <v>261.7</v>
      </c>
      <c r="F53" s="25">
        <v>272.89999999999998</v>
      </c>
      <c r="G53" s="26">
        <v>45089</v>
      </c>
      <c r="H53" s="25"/>
      <c r="I53" s="25"/>
      <c r="J53" s="25">
        <f t="shared" si="2"/>
        <v>11.199999999999989</v>
      </c>
      <c r="K53" s="8" t="b">
        <f t="shared" si="3"/>
        <v>1</v>
      </c>
    </row>
    <row r="54" spans="1:11">
      <c r="A54" s="5" t="s">
        <v>335</v>
      </c>
      <c r="B54" s="6">
        <v>45090</v>
      </c>
      <c r="C54" s="7">
        <v>1</v>
      </c>
      <c r="D54" s="5">
        <v>5.87</v>
      </c>
      <c r="E54" s="5">
        <v>272.89999999999998</v>
      </c>
      <c r="F54" s="5">
        <v>284.7</v>
      </c>
      <c r="G54" s="6">
        <v>45090</v>
      </c>
      <c r="H54" s="5"/>
      <c r="I54" s="5"/>
      <c r="J54" s="5">
        <f t="shared" si="2"/>
        <v>11.800000000000011</v>
      </c>
      <c r="K54" s="8" t="b">
        <f t="shared" si="3"/>
        <v>1</v>
      </c>
    </row>
    <row r="55" spans="1:11">
      <c r="A55" s="5" t="s">
        <v>335</v>
      </c>
      <c r="B55" s="6">
        <v>45092</v>
      </c>
      <c r="C55" s="7">
        <v>1</v>
      </c>
      <c r="D55" s="5">
        <v>5.87</v>
      </c>
      <c r="E55" s="5">
        <v>284.7</v>
      </c>
      <c r="F55" s="5">
        <v>297</v>
      </c>
      <c r="G55" s="6">
        <v>45092</v>
      </c>
      <c r="H55" s="5"/>
      <c r="I55" s="5"/>
      <c r="J55" s="5">
        <f t="shared" ref="J55:J59" si="4">F55-E55</f>
        <v>12.300000000000011</v>
      </c>
      <c r="K55" s="8" t="b">
        <f t="shared" si="3"/>
        <v>1</v>
      </c>
    </row>
    <row r="56" spans="1:11">
      <c r="A56" s="5" t="s">
        <v>335</v>
      </c>
      <c r="B56" s="6">
        <v>45093</v>
      </c>
      <c r="C56" s="7">
        <v>1</v>
      </c>
      <c r="D56" s="5">
        <v>5.87</v>
      </c>
      <c r="E56" s="5">
        <v>297</v>
      </c>
      <c r="F56" s="5">
        <v>310.10000000000002</v>
      </c>
      <c r="G56" s="6">
        <v>45093</v>
      </c>
      <c r="H56" s="5"/>
      <c r="I56" s="5"/>
      <c r="J56" s="5">
        <f t="shared" si="4"/>
        <v>13.100000000000023</v>
      </c>
      <c r="K56" s="8" t="b">
        <f t="shared" si="3"/>
        <v>1</v>
      </c>
    </row>
    <row r="57" spans="1:11">
      <c r="A57" s="5" t="s">
        <v>335</v>
      </c>
      <c r="B57" s="6">
        <v>45094</v>
      </c>
      <c r="C57" s="7">
        <v>1</v>
      </c>
      <c r="D57" s="5">
        <v>5.87</v>
      </c>
      <c r="E57" s="5">
        <v>310.10000000000002</v>
      </c>
      <c r="F57" s="5">
        <v>322.5</v>
      </c>
      <c r="G57" s="6">
        <v>45094</v>
      </c>
      <c r="H57" s="5"/>
      <c r="I57" s="5"/>
      <c r="J57" s="5">
        <f t="shared" si="4"/>
        <v>12.399999999999977</v>
      </c>
      <c r="K57" s="8" t="b">
        <f t="shared" si="3"/>
        <v>1</v>
      </c>
    </row>
    <row r="58" spans="1:11">
      <c r="A58" s="5" t="s">
        <v>335</v>
      </c>
      <c r="B58" s="6">
        <v>45095</v>
      </c>
      <c r="C58" s="7">
        <v>1</v>
      </c>
      <c r="D58" s="5">
        <v>5.87</v>
      </c>
      <c r="E58" s="5">
        <v>322.5</v>
      </c>
      <c r="F58" s="5">
        <v>335.2</v>
      </c>
      <c r="G58" s="6">
        <v>45095</v>
      </c>
      <c r="H58" s="5"/>
      <c r="I58" s="5"/>
      <c r="J58" s="5">
        <f t="shared" si="4"/>
        <v>12.699999999999989</v>
      </c>
      <c r="K58" s="8" t="b">
        <f t="shared" si="3"/>
        <v>1</v>
      </c>
    </row>
    <row r="59" spans="1:11">
      <c r="A59" s="5" t="s">
        <v>335</v>
      </c>
      <c r="B59" s="6">
        <v>45096</v>
      </c>
      <c r="C59" s="7">
        <v>1</v>
      </c>
      <c r="D59" s="5">
        <v>5.87</v>
      </c>
      <c r="E59" s="5">
        <v>335.2</v>
      </c>
      <c r="F59" s="5">
        <v>347.6</v>
      </c>
      <c r="G59" s="6">
        <v>45096</v>
      </c>
      <c r="H59" s="5"/>
      <c r="I59" s="5"/>
      <c r="J59" s="5">
        <f t="shared" si="4"/>
        <v>12.400000000000034</v>
      </c>
      <c r="K59" s="8" t="b">
        <f t="shared" si="3"/>
        <v>1</v>
      </c>
    </row>
    <row r="60" spans="1:11">
      <c r="A60" s="5" t="s">
        <v>335</v>
      </c>
      <c r="B60" s="6">
        <v>45097</v>
      </c>
      <c r="C60" s="7">
        <v>1</v>
      </c>
      <c r="D60" s="5">
        <v>5.87</v>
      </c>
      <c r="E60" s="5">
        <v>347.6</v>
      </c>
      <c r="F60" s="5">
        <v>359.4</v>
      </c>
      <c r="G60" s="6">
        <v>45097</v>
      </c>
      <c r="H60" s="5"/>
      <c r="I60" s="5"/>
      <c r="J60" s="5">
        <f t="shared" ref="J60:J118" si="5">F60-E60</f>
        <v>11.799999999999955</v>
      </c>
      <c r="K60" s="8" t="b">
        <f t="shared" ref="K60:K118" si="6">E60=F59</f>
        <v>1</v>
      </c>
    </row>
    <row r="61" spans="1:11">
      <c r="A61" s="5" t="s">
        <v>335</v>
      </c>
      <c r="B61" s="6">
        <v>45098</v>
      </c>
      <c r="C61" s="7">
        <v>0.8</v>
      </c>
      <c r="D61" s="5">
        <v>7.25</v>
      </c>
      <c r="E61" s="5">
        <v>359.4</v>
      </c>
      <c r="F61" s="5">
        <v>372.6</v>
      </c>
      <c r="G61" s="6">
        <v>45098</v>
      </c>
      <c r="H61" s="5"/>
      <c r="I61" s="5"/>
      <c r="J61" s="5">
        <f t="shared" si="5"/>
        <v>13.200000000000045</v>
      </c>
      <c r="K61" s="8" t="b">
        <f t="shared" si="6"/>
        <v>1</v>
      </c>
    </row>
    <row r="62" spans="1:11">
      <c r="A62" s="5" t="s">
        <v>335</v>
      </c>
      <c r="B62" s="6">
        <v>45099</v>
      </c>
      <c r="C62" s="7">
        <v>0.75</v>
      </c>
      <c r="D62" s="5">
        <v>7.83</v>
      </c>
      <c r="E62" s="5">
        <v>372.6</v>
      </c>
      <c r="F62" s="5">
        <v>389.5</v>
      </c>
      <c r="G62" s="6">
        <v>45099</v>
      </c>
      <c r="H62" s="5"/>
      <c r="I62" s="5"/>
      <c r="J62" s="5">
        <f t="shared" si="5"/>
        <v>16.899999999999977</v>
      </c>
      <c r="K62" s="8" t="b">
        <f t="shared" si="6"/>
        <v>1</v>
      </c>
    </row>
    <row r="63" spans="1:11">
      <c r="A63" s="5" t="s">
        <v>335</v>
      </c>
      <c r="B63" s="6">
        <v>45100</v>
      </c>
      <c r="C63" s="7">
        <v>0.9</v>
      </c>
      <c r="D63" s="5">
        <v>6.92</v>
      </c>
      <c r="E63" s="5">
        <v>389.5</v>
      </c>
      <c r="F63" s="5">
        <v>403.9</v>
      </c>
      <c r="G63" s="6">
        <v>45100</v>
      </c>
      <c r="H63" s="5"/>
      <c r="I63" s="5"/>
      <c r="J63" s="5">
        <f t="shared" si="5"/>
        <v>14.399999999999977</v>
      </c>
      <c r="K63" s="8" t="b">
        <f t="shared" si="6"/>
        <v>1</v>
      </c>
    </row>
    <row r="64" spans="1:11">
      <c r="A64" s="5" t="s">
        <v>335</v>
      </c>
      <c r="B64" s="6">
        <v>45101</v>
      </c>
      <c r="C64" s="7">
        <v>0.8</v>
      </c>
      <c r="D64" s="5">
        <v>7.25</v>
      </c>
      <c r="E64" s="5">
        <v>403.9</v>
      </c>
      <c r="F64" s="5">
        <v>418.4</v>
      </c>
      <c r="G64" s="6">
        <v>45101</v>
      </c>
      <c r="H64" s="5"/>
      <c r="I64" s="5"/>
      <c r="J64" s="5">
        <f t="shared" si="5"/>
        <v>14.5</v>
      </c>
      <c r="K64" s="8" t="b">
        <f t="shared" si="6"/>
        <v>1</v>
      </c>
    </row>
    <row r="65" spans="1:11">
      <c r="A65" s="5" t="s">
        <v>335</v>
      </c>
      <c r="B65" s="6">
        <v>45102</v>
      </c>
      <c r="C65" s="7">
        <v>0.8</v>
      </c>
      <c r="D65" s="5">
        <v>7.25</v>
      </c>
      <c r="E65" s="5">
        <v>418.4</v>
      </c>
      <c r="F65" s="5">
        <v>432.9</v>
      </c>
      <c r="G65" s="6">
        <v>45102</v>
      </c>
      <c r="H65" s="5"/>
      <c r="I65" s="5"/>
      <c r="J65" s="5">
        <f t="shared" si="5"/>
        <v>14.5</v>
      </c>
      <c r="K65" s="8" t="b">
        <f t="shared" si="6"/>
        <v>1</v>
      </c>
    </row>
    <row r="66" spans="1:11">
      <c r="A66" s="25" t="s">
        <v>335</v>
      </c>
      <c r="B66" s="26">
        <v>45103</v>
      </c>
      <c r="C66" s="27">
        <v>1</v>
      </c>
      <c r="D66" s="25">
        <v>5.87</v>
      </c>
      <c r="E66" s="25">
        <v>432.9</v>
      </c>
      <c r="F66" s="25">
        <v>444.6</v>
      </c>
      <c r="G66" s="26">
        <v>45103</v>
      </c>
      <c r="H66" s="25"/>
      <c r="I66" s="25"/>
      <c r="J66" s="25">
        <f t="shared" si="5"/>
        <v>11.700000000000045</v>
      </c>
      <c r="K66" s="8" t="b">
        <f t="shared" si="6"/>
        <v>1</v>
      </c>
    </row>
    <row r="67" spans="1:11">
      <c r="A67" s="5" t="s">
        <v>335</v>
      </c>
      <c r="B67" s="6">
        <v>45104</v>
      </c>
      <c r="C67" s="7">
        <v>0.8</v>
      </c>
      <c r="D67" s="5">
        <v>7.25</v>
      </c>
      <c r="E67" s="5">
        <v>444.6</v>
      </c>
      <c r="F67" s="5">
        <v>459</v>
      </c>
      <c r="G67" s="6">
        <v>45104</v>
      </c>
      <c r="H67" s="5"/>
      <c r="I67" s="5"/>
      <c r="J67" s="5">
        <f t="shared" si="5"/>
        <v>14.399999999999977</v>
      </c>
      <c r="K67" s="8" t="b">
        <f t="shared" si="6"/>
        <v>1</v>
      </c>
    </row>
    <row r="68" spans="1:11">
      <c r="A68" s="5" t="s">
        <v>335</v>
      </c>
      <c r="B68" s="6">
        <v>45105</v>
      </c>
      <c r="C68" s="7">
        <v>0.8</v>
      </c>
      <c r="D68" s="5">
        <v>7.25</v>
      </c>
      <c r="E68" s="5">
        <v>459</v>
      </c>
      <c r="F68" s="5">
        <v>473.2</v>
      </c>
      <c r="G68" s="6">
        <v>45105</v>
      </c>
      <c r="H68" s="5"/>
      <c r="I68" s="5"/>
      <c r="J68" s="5">
        <f t="shared" si="5"/>
        <v>14.199999999999989</v>
      </c>
      <c r="K68" s="8" t="b">
        <f t="shared" si="6"/>
        <v>1</v>
      </c>
    </row>
    <row r="69" spans="1:11">
      <c r="A69" s="5" t="s">
        <v>335</v>
      </c>
      <c r="B69" s="6">
        <v>45106</v>
      </c>
      <c r="C69" s="7">
        <v>0.8</v>
      </c>
      <c r="D69" s="5">
        <v>7.25</v>
      </c>
      <c r="E69" s="5">
        <v>473.2</v>
      </c>
      <c r="F69" s="5">
        <v>487.9</v>
      </c>
      <c r="G69" s="6">
        <v>45106</v>
      </c>
      <c r="H69" s="5"/>
      <c r="I69" s="5"/>
      <c r="J69" s="5">
        <f t="shared" si="5"/>
        <v>14.699999999999989</v>
      </c>
      <c r="K69" s="8" t="b">
        <f t="shared" si="6"/>
        <v>1</v>
      </c>
    </row>
    <row r="70" spans="1:11">
      <c r="A70" s="5" t="s">
        <v>335</v>
      </c>
      <c r="B70" s="6">
        <v>45107</v>
      </c>
      <c r="C70" s="7">
        <v>0.8</v>
      </c>
      <c r="D70" s="5">
        <v>7.25</v>
      </c>
      <c r="E70" s="5">
        <v>487.9</v>
      </c>
      <c r="F70" s="5">
        <v>502.9</v>
      </c>
      <c r="G70" s="6">
        <v>45107</v>
      </c>
      <c r="H70" s="5"/>
      <c r="I70" s="5"/>
      <c r="J70" s="5">
        <f t="shared" si="5"/>
        <v>15</v>
      </c>
      <c r="K70" s="8" t="b">
        <f t="shared" si="6"/>
        <v>1</v>
      </c>
    </row>
    <row r="71" spans="1:11">
      <c r="A71" s="5" t="s">
        <v>335</v>
      </c>
      <c r="B71" s="6">
        <v>45108</v>
      </c>
      <c r="C71" s="7">
        <v>0.8</v>
      </c>
      <c r="D71" s="5">
        <v>7.25</v>
      </c>
      <c r="E71" s="5">
        <v>502.9</v>
      </c>
      <c r="F71" s="5">
        <v>516.79999999999995</v>
      </c>
      <c r="G71" s="6">
        <v>45108</v>
      </c>
      <c r="H71" s="5"/>
      <c r="I71" s="5"/>
      <c r="J71" s="5">
        <f t="shared" si="5"/>
        <v>13.899999999999977</v>
      </c>
      <c r="K71" s="8" t="b">
        <f t="shared" si="6"/>
        <v>1</v>
      </c>
    </row>
    <row r="72" spans="1:11">
      <c r="A72" s="5" t="s">
        <v>335</v>
      </c>
      <c r="B72" s="6">
        <v>45109</v>
      </c>
      <c r="C72" s="7">
        <v>0.8</v>
      </c>
      <c r="D72" s="5">
        <v>7.25</v>
      </c>
      <c r="E72" s="5">
        <v>516.79999999999995</v>
      </c>
      <c r="F72" s="5">
        <v>531.1</v>
      </c>
      <c r="G72" s="6">
        <v>45109</v>
      </c>
      <c r="H72" s="5"/>
      <c r="I72" s="5"/>
      <c r="J72" s="5">
        <f t="shared" si="5"/>
        <v>14.300000000000068</v>
      </c>
      <c r="K72" s="8" t="b">
        <f t="shared" si="6"/>
        <v>1</v>
      </c>
    </row>
    <row r="73" spans="1:11">
      <c r="A73" s="39" t="s">
        <v>335</v>
      </c>
      <c r="B73" s="40">
        <v>45110</v>
      </c>
      <c r="C73" s="41">
        <v>0.8</v>
      </c>
      <c r="D73" s="39">
        <v>7.25</v>
      </c>
      <c r="E73" s="39">
        <v>531</v>
      </c>
      <c r="F73" s="39"/>
      <c r="G73" s="40"/>
      <c r="H73" s="39"/>
      <c r="I73" s="39"/>
      <c r="J73" s="39">
        <f t="shared" si="5"/>
        <v>-531</v>
      </c>
      <c r="K73" s="8" t="b">
        <f t="shared" si="6"/>
        <v>0</v>
      </c>
    </row>
    <row r="74" spans="1:11">
      <c r="A74" s="39" t="s">
        <v>335</v>
      </c>
      <c r="B74" s="40">
        <v>45112</v>
      </c>
      <c r="C74" s="41">
        <v>0.65</v>
      </c>
      <c r="D74" s="39"/>
      <c r="E74" s="39">
        <v>531.1</v>
      </c>
      <c r="F74" s="39">
        <v>563.4</v>
      </c>
      <c r="G74" s="40">
        <v>45112</v>
      </c>
      <c r="H74" s="39"/>
      <c r="I74" s="39"/>
      <c r="J74" s="39">
        <f t="shared" si="5"/>
        <v>32.299999999999955</v>
      </c>
      <c r="K74" s="8" t="b">
        <f t="shared" si="6"/>
        <v>0</v>
      </c>
    </row>
    <row r="75" spans="1:11">
      <c r="A75" s="5" t="s">
        <v>335</v>
      </c>
      <c r="B75" s="6">
        <v>45113</v>
      </c>
      <c r="C75" s="7">
        <v>1</v>
      </c>
      <c r="D75" s="5">
        <v>5.87</v>
      </c>
      <c r="E75" s="5">
        <v>563.4</v>
      </c>
      <c r="F75" s="5">
        <v>575.29999999999995</v>
      </c>
      <c r="G75" s="6">
        <v>45113</v>
      </c>
      <c r="H75" s="5"/>
      <c r="I75" s="5"/>
      <c r="J75" s="5">
        <f t="shared" si="5"/>
        <v>11.899999999999977</v>
      </c>
      <c r="K75" s="8" t="b">
        <f t="shared" si="6"/>
        <v>1</v>
      </c>
    </row>
    <row r="76" spans="1:11">
      <c r="A76" s="5" t="s">
        <v>335</v>
      </c>
      <c r="B76" s="6">
        <v>45114</v>
      </c>
      <c r="C76" s="7">
        <v>0.7</v>
      </c>
      <c r="D76" s="5">
        <v>8.39</v>
      </c>
      <c r="E76" s="5">
        <v>575.29999999999995</v>
      </c>
      <c r="F76" s="5">
        <v>591.9</v>
      </c>
      <c r="G76" s="6">
        <v>45114</v>
      </c>
      <c r="H76" s="5"/>
      <c r="I76" s="5"/>
      <c r="J76" s="5">
        <f t="shared" si="5"/>
        <v>16.600000000000023</v>
      </c>
      <c r="K76" s="8" t="b">
        <f t="shared" si="6"/>
        <v>1</v>
      </c>
    </row>
    <row r="77" spans="1:11">
      <c r="A77" s="5" t="s">
        <v>335</v>
      </c>
      <c r="B77" s="6">
        <v>45115</v>
      </c>
      <c r="C77" s="7">
        <v>0.7</v>
      </c>
      <c r="D77" s="5">
        <v>8.39</v>
      </c>
      <c r="E77" s="5">
        <v>591.9</v>
      </c>
      <c r="F77" s="5">
        <v>608.4</v>
      </c>
      <c r="G77" s="6">
        <v>45115</v>
      </c>
      <c r="H77" s="5"/>
      <c r="I77" s="5"/>
      <c r="J77" s="5">
        <f t="shared" si="5"/>
        <v>16.5</v>
      </c>
      <c r="K77" s="8" t="b">
        <f t="shared" si="6"/>
        <v>1</v>
      </c>
    </row>
    <row r="78" spans="1:11">
      <c r="A78" s="5" t="s">
        <v>335</v>
      </c>
      <c r="B78" s="6">
        <v>45116</v>
      </c>
      <c r="C78" s="7">
        <v>1</v>
      </c>
      <c r="D78" s="5">
        <v>5.87</v>
      </c>
      <c r="E78" s="5">
        <v>608.4</v>
      </c>
      <c r="F78" s="5">
        <v>620</v>
      </c>
      <c r="G78" s="6">
        <v>45116</v>
      </c>
      <c r="H78" s="5"/>
      <c r="I78" s="5"/>
      <c r="J78" s="5">
        <f t="shared" si="5"/>
        <v>11.600000000000023</v>
      </c>
      <c r="K78" s="8" t="b">
        <f t="shared" si="6"/>
        <v>1</v>
      </c>
    </row>
    <row r="79" spans="1:11">
      <c r="A79" s="5" t="s">
        <v>335</v>
      </c>
      <c r="B79" s="6">
        <v>45118</v>
      </c>
      <c r="C79" s="7">
        <v>0.75</v>
      </c>
      <c r="D79" s="5">
        <v>7.83</v>
      </c>
      <c r="E79" s="5">
        <v>620</v>
      </c>
      <c r="F79" s="5">
        <v>635.5</v>
      </c>
      <c r="G79" s="6">
        <v>45118</v>
      </c>
      <c r="H79" s="5"/>
      <c r="I79" s="5"/>
      <c r="J79" s="5">
        <f t="shared" si="5"/>
        <v>15.5</v>
      </c>
      <c r="K79" s="8" t="b">
        <f t="shared" si="6"/>
        <v>1</v>
      </c>
    </row>
    <row r="80" spans="1:11">
      <c r="A80" s="5" t="s">
        <v>335</v>
      </c>
      <c r="B80" s="6">
        <v>45119</v>
      </c>
      <c r="C80" s="7">
        <v>0.75</v>
      </c>
      <c r="D80" s="5">
        <v>7.83</v>
      </c>
      <c r="E80" s="5">
        <v>635.5</v>
      </c>
      <c r="F80" s="5">
        <v>651</v>
      </c>
      <c r="G80" s="6">
        <v>45119</v>
      </c>
      <c r="H80" s="5"/>
      <c r="I80" s="5"/>
      <c r="J80" s="5">
        <f t="shared" si="5"/>
        <v>15.5</v>
      </c>
      <c r="K80" s="8" t="b">
        <f t="shared" si="6"/>
        <v>1</v>
      </c>
    </row>
    <row r="81" spans="1:11">
      <c r="A81" s="5" t="s">
        <v>335</v>
      </c>
      <c r="B81" s="6">
        <v>45120</v>
      </c>
      <c r="C81" s="7">
        <v>0.9</v>
      </c>
      <c r="D81" s="5">
        <v>6.92</v>
      </c>
      <c r="E81" s="5">
        <v>651</v>
      </c>
      <c r="F81" s="5">
        <v>663.8</v>
      </c>
      <c r="G81" s="6">
        <v>45120</v>
      </c>
      <c r="H81" s="5"/>
      <c r="I81" s="5"/>
      <c r="J81" s="5">
        <f t="shared" si="5"/>
        <v>12.799999999999955</v>
      </c>
      <c r="K81" s="8" t="b">
        <f t="shared" si="6"/>
        <v>1</v>
      </c>
    </row>
    <row r="82" spans="1:11">
      <c r="A82" s="5" t="s">
        <v>335</v>
      </c>
      <c r="B82" s="6">
        <v>45121</v>
      </c>
      <c r="C82" s="7">
        <v>0.9</v>
      </c>
      <c r="D82" s="5">
        <v>6.92</v>
      </c>
      <c r="E82" s="5">
        <v>663.8</v>
      </c>
      <c r="F82" s="5">
        <v>678.2</v>
      </c>
      <c r="G82" s="6">
        <v>45121</v>
      </c>
      <c r="H82" s="5"/>
      <c r="I82" s="5"/>
      <c r="J82" s="5">
        <f t="shared" si="5"/>
        <v>14.400000000000091</v>
      </c>
      <c r="K82" s="8" t="b">
        <f t="shared" si="6"/>
        <v>1</v>
      </c>
    </row>
    <row r="83" spans="1:11">
      <c r="A83" s="5" t="s">
        <v>335</v>
      </c>
      <c r="B83" s="6">
        <v>45123</v>
      </c>
      <c r="C83" s="7">
        <v>0.9</v>
      </c>
      <c r="D83" s="5">
        <v>6.92</v>
      </c>
      <c r="E83" s="5">
        <v>678.2</v>
      </c>
      <c r="F83" s="5">
        <v>691</v>
      </c>
      <c r="G83" s="6">
        <v>45123</v>
      </c>
      <c r="H83" s="5"/>
      <c r="I83" s="5"/>
      <c r="J83" s="5">
        <f t="shared" si="5"/>
        <v>12.799999999999955</v>
      </c>
      <c r="K83" s="8" t="b">
        <f t="shared" si="6"/>
        <v>1</v>
      </c>
    </row>
    <row r="84" spans="1:11">
      <c r="A84" s="5" t="s">
        <v>335</v>
      </c>
      <c r="B84" s="6">
        <v>45124</v>
      </c>
      <c r="C84" s="7">
        <v>0.9</v>
      </c>
      <c r="D84" s="5">
        <v>6.92</v>
      </c>
      <c r="E84" s="5">
        <v>691</v>
      </c>
      <c r="F84" s="5">
        <v>703.8</v>
      </c>
      <c r="G84" s="6">
        <v>45124</v>
      </c>
      <c r="H84" s="5"/>
      <c r="I84" s="5"/>
      <c r="J84" s="5">
        <f t="shared" si="5"/>
        <v>12.799999999999955</v>
      </c>
      <c r="K84" s="8" t="b">
        <f t="shared" si="6"/>
        <v>1</v>
      </c>
    </row>
    <row r="85" spans="1:11">
      <c r="A85" s="5" t="s">
        <v>335</v>
      </c>
      <c r="B85" s="6">
        <v>45125</v>
      </c>
      <c r="C85" s="7">
        <v>0.75</v>
      </c>
      <c r="D85" s="5">
        <v>7.83</v>
      </c>
      <c r="E85" s="5">
        <v>703.8</v>
      </c>
      <c r="F85" s="5">
        <v>719.2</v>
      </c>
      <c r="G85" s="6">
        <v>45125</v>
      </c>
      <c r="H85" s="5"/>
      <c r="I85" s="5"/>
      <c r="J85" s="5">
        <f t="shared" si="5"/>
        <v>15.400000000000091</v>
      </c>
      <c r="K85" s="8" t="b">
        <f t="shared" si="6"/>
        <v>1</v>
      </c>
    </row>
    <row r="86" spans="1:11">
      <c r="A86" s="25" t="s">
        <v>335</v>
      </c>
      <c r="B86" s="26">
        <v>45126</v>
      </c>
      <c r="C86" s="27">
        <v>1</v>
      </c>
      <c r="D86" s="25">
        <v>5.87</v>
      </c>
      <c r="E86" s="25">
        <v>719.2</v>
      </c>
      <c r="F86" s="25">
        <v>731.5</v>
      </c>
      <c r="G86" s="26">
        <v>45126</v>
      </c>
      <c r="H86" s="25"/>
      <c r="I86" s="25"/>
      <c r="J86" s="25">
        <f t="shared" si="5"/>
        <v>12.299999999999955</v>
      </c>
      <c r="K86" s="8" t="b">
        <f t="shared" si="6"/>
        <v>1</v>
      </c>
    </row>
    <row r="87" spans="1:11">
      <c r="A87" s="5" t="s">
        <v>335</v>
      </c>
      <c r="B87" s="6">
        <v>45126</v>
      </c>
      <c r="C87" s="7">
        <v>1</v>
      </c>
      <c r="D87" s="5">
        <v>5.87</v>
      </c>
      <c r="E87" s="5">
        <v>731.5</v>
      </c>
      <c r="F87" s="5">
        <v>742.5</v>
      </c>
      <c r="G87" s="6">
        <v>45126</v>
      </c>
      <c r="H87" s="5"/>
      <c r="I87" s="5"/>
      <c r="J87" s="5">
        <f t="shared" si="5"/>
        <v>11</v>
      </c>
      <c r="K87" s="8" t="b">
        <f t="shared" si="6"/>
        <v>1</v>
      </c>
    </row>
    <row r="88" spans="1:11">
      <c r="A88" s="5" t="s">
        <v>335</v>
      </c>
      <c r="B88" s="6">
        <v>45127</v>
      </c>
      <c r="C88" s="7">
        <v>0.75</v>
      </c>
      <c r="D88" s="5">
        <v>7.83</v>
      </c>
      <c r="E88" s="5">
        <v>742.5</v>
      </c>
      <c r="F88" s="5">
        <v>757.9</v>
      </c>
      <c r="G88" s="6">
        <v>45127</v>
      </c>
      <c r="H88" s="5"/>
      <c r="I88" s="5"/>
      <c r="J88" s="5">
        <f t="shared" si="5"/>
        <v>15.399999999999977</v>
      </c>
      <c r="K88" s="8" t="b">
        <f t="shared" si="6"/>
        <v>1</v>
      </c>
    </row>
    <row r="89" spans="1:11">
      <c r="A89" s="5" t="s">
        <v>335</v>
      </c>
      <c r="B89" s="6">
        <v>45128</v>
      </c>
      <c r="C89" s="7">
        <v>1</v>
      </c>
      <c r="D89" s="5">
        <v>5.87</v>
      </c>
      <c r="E89" s="5">
        <v>757.9</v>
      </c>
      <c r="F89" s="5">
        <v>768.8</v>
      </c>
      <c r="G89" s="6">
        <v>45128</v>
      </c>
      <c r="H89" s="5"/>
      <c r="I89" s="5"/>
      <c r="J89" s="5">
        <f t="shared" si="5"/>
        <v>10.899999999999977</v>
      </c>
      <c r="K89" s="8" t="b">
        <f t="shared" si="6"/>
        <v>1</v>
      </c>
    </row>
    <row r="90" spans="1:11">
      <c r="A90" s="5" t="s">
        <v>335</v>
      </c>
      <c r="B90" s="6">
        <v>45129</v>
      </c>
      <c r="C90" s="7">
        <v>0.75</v>
      </c>
      <c r="D90" s="5">
        <v>7.83</v>
      </c>
      <c r="E90" s="5">
        <v>768.8</v>
      </c>
      <c r="F90" s="5">
        <v>785.2</v>
      </c>
      <c r="G90" s="6">
        <v>45129</v>
      </c>
      <c r="H90" s="5"/>
      <c r="I90" s="5"/>
      <c r="J90" s="5">
        <f t="shared" si="5"/>
        <v>16.400000000000091</v>
      </c>
      <c r="K90" s="8" t="b">
        <f t="shared" si="6"/>
        <v>1</v>
      </c>
    </row>
    <row r="91" spans="1:11">
      <c r="A91" s="5" t="s">
        <v>335</v>
      </c>
      <c r="B91" s="6">
        <v>45130</v>
      </c>
      <c r="C91" s="7">
        <v>0.7</v>
      </c>
      <c r="D91" s="5">
        <v>8.39</v>
      </c>
      <c r="E91" s="5">
        <v>785.2</v>
      </c>
      <c r="F91" s="5">
        <v>800.3</v>
      </c>
      <c r="G91" s="6">
        <v>45130</v>
      </c>
      <c r="H91" s="5"/>
      <c r="I91" s="5"/>
      <c r="J91" s="5">
        <f t="shared" si="5"/>
        <v>15.099999999999909</v>
      </c>
      <c r="K91" s="8" t="b">
        <f t="shared" si="6"/>
        <v>1</v>
      </c>
    </row>
    <row r="92" spans="1:11">
      <c r="A92" s="5" t="s">
        <v>335</v>
      </c>
      <c r="B92" s="6">
        <v>45131</v>
      </c>
      <c r="C92" s="7">
        <v>1</v>
      </c>
      <c r="D92" s="5">
        <v>5.87</v>
      </c>
      <c r="E92" s="5">
        <v>800.3</v>
      </c>
      <c r="F92" s="5">
        <v>812</v>
      </c>
      <c r="G92" s="6">
        <v>45131</v>
      </c>
      <c r="H92" s="5"/>
      <c r="I92" s="5"/>
      <c r="J92" s="5">
        <f t="shared" si="5"/>
        <v>11.700000000000045</v>
      </c>
      <c r="K92" s="8" t="b">
        <f t="shared" si="6"/>
        <v>1</v>
      </c>
    </row>
    <row r="93" spans="1:11">
      <c r="A93" s="5" t="s">
        <v>335</v>
      </c>
      <c r="B93" s="6">
        <v>45133</v>
      </c>
      <c r="C93" s="7">
        <v>0.85</v>
      </c>
      <c r="D93" s="5">
        <v>6.91</v>
      </c>
      <c r="E93" s="5">
        <v>812</v>
      </c>
      <c r="F93" s="5">
        <v>826.8</v>
      </c>
      <c r="G93" s="6">
        <v>45133</v>
      </c>
      <c r="H93" s="5"/>
      <c r="I93" s="5"/>
      <c r="J93" s="5">
        <f t="shared" si="5"/>
        <v>14.799999999999955</v>
      </c>
      <c r="K93" s="8" t="b">
        <f t="shared" si="6"/>
        <v>1</v>
      </c>
    </row>
    <row r="94" spans="1:11">
      <c r="A94" s="5" t="s">
        <v>335</v>
      </c>
      <c r="B94" s="6">
        <v>45135</v>
      </c>
      <c r="C94" s="7">
        <v>0.75</v>
      </c>
      <c r="D94" s="5">
        <v>7.83</v>
      </c>
      <c r="E94" s="5">
        <v>826.8</v>
      </c>
      <c r="F94" s="5">
        <v>842.7</v>
      </c>
      <c r="G94" s="6">
        <v>45135</v>
      </c>
      <c r="H94" s="5"/>
      <c r="I94" s="5"/>
      <c r="J94" s="5">
        <f t="shared" si="5"/>
        <v>15.900000000000091</v>
      </c>
      <c r="K94" s="8" t="b">
        <f t="shared" si="6"/>
        <v>1</v>
      </c>
    </row>
    <row r="95" spans="1:11">
      <c r="A95" s="5" t="s">
        <v>335</v>
      </c>
      <c r="B95" s="6">
        <v>45137</v>
      </c>
      <c r="C95" s="7">
        <v>0.75</v>
      </c>
      <c r="D95" s="5">
        <v>7.83</v>
      </c>
      <c r="E95" s="5">
        <v>842.7</v>
      </c>
      <c r="F95" s="5">
        <v>858</v>
      </c>
      <c r="G95" s="6">
        <v>45137</v>
      </c>
      <c r="H95" s="5"/>
      <c r="I95" s="5"/>
      <c r="J95" s="5">
        <f t="shared" si="5"/>
        <v>15.299999999999955</v>
      </c>
      <c r="K95" s="8" t="b">
        <f t="shared" si="6"/>
        <v>1</v>
      </c>
    </row>
    <row r="96" spans="1:11">
      <c r="A96" s="5" t="s">
        <v>335</v>
      </c>
      <c r="B96" s="6">
        <v>45138</v>
      </c>
      <c r="C96" s="7">
        <v>0.85</v>
      </c>
      <c r="D96" s="5">
        <v>6.91</v>
      </c>
      <c r="E96" s="5">
        <v>858</v>
      </c>
      <c r="F96" s="5">
        <v>871.6</v>
      </c>
      <c r="G96" s="6">
        <v>45138</v>
      </c>
      <c r="H96" s="5"/>
      <c r="I96" s="5"/>
      <c r="J96" s="5">
        <f t="shared" si="5"/>
        <v>13.600000000000023</v>
      </c>
      <c r="K96" s="8" t="b">
        <f t="shared" si="6"/>
        <v>1</v>
      </c>
    </row>
    <row r="97" spans="1:11">
      <c r="A97" s="5" t="s">
        <v>335</v>
      </c>
      <c r="B97" s="6">
        <v>45140</v>
      </c>
      <c r="C97" s="7">
        <v>0.75</v>
      </c>
      <c r="D97" s="5">
        <v>7.83</v>
      </c>
      <c r="E97" s="5">
        <v>871.6</v>
      </c>
      <c r="F97" s="5">
        <v>886.4</v>
      </c>
      <c r="G97" s="6">
        <v>45140</v>
      </c>
      <c r="H97" s="5"/>
      <c r="I97" s="5"/>
      <c r="J97" s="5">
        <f t="shared" si="5"/>
        <v>14.799999999999955</v>
      </c>
      <c r="K97" s="8" t="b">
        <f t="shared" si="6"/>
        <v>1</v>
      </c>
    </row>
    <row r="98" spans="1:11">
      <c r="A98" s="5" t="s">
        <v>335</v>
      </c>
      <c r="B98" s="6">
        <v>45141</v>
      </c>
      <c r="C98" s="7">
        <v>0.85</v>
      </c>
      <c r="D98" s="5">
        <v>6.91</v>
      </c>
      <c r="E98" s="5">
        <v>886.4</v>
      </c>
      <c r="F98" s="5">
        <v>900</v>
      </c>
      <c r="G98" s="6">
        <v>45141</v>
      </c>
      <c r="H98" s="5"/>
      <c r="I98" s="5"/>
      <c r="J98" s="5">
        <f t="shared" si="5"/>
        <v>13.600000000000023</v>
      </c>
      <c r="K98" s="8" t="b">
        <f t="shared" si="6"/>
        <v>1</v>
      </c>
    </row>
    <row r="99" spans="1:11">
      <c r="A99" s="5" t="s">
        <v>335</v>
      </c>
      <c r="B99" s="6">
        <v>45143</v>
      </c>
      <c r="C99" s="7">
        <v>0.85</v>
      </c>
      <c r="D99" s="5">
        <v>6.91</v>
      </c>
      <c r="E99" s="5">
        <v>900</v>
      </c>
      <c r="F99" s="5">
        <v>906.8</v>
      </c>
      <c r="G99" s="6">
        <v>45143</v>
      </c>
      <c r="H99" s="5"/>
      <c r="I99" s="5"/>
      <c r="J99" s="5">
        <f t="shared" si="5"/>
        <v>6.7999999999999545</v>
      </c>
      <c r="K99" s="8" t="b">
        <f t="shared" si="6"/>
        <v>1</v>
      </c>
    </row>
    <row r="100" spans="1:11">
      <c r="A100" s="5" t="s">
        <v>335</v>
      </c>
      <c r="B100" s="6">
        <v>45145</v>
      </c>
      <c r="C100" s="7">
        <v>0.85</v>
      </c>
      <c r="D100" s="5">
        <v>6.91</v>
      </c>
      <c r="E100" s="5">
        <v>906.8</v>
      </c>
      <c r="F100" s="5">
        <v>913.6</v>
      </c>
      <c r="G100" s="6">
        <v>45145</v>
      </c>
      <c r="H100" s="5"/>
      <c r="I100" s="5"/>
      <c r="J100" s="5">
        <f t="shared" si="5"/>
        <v>6.8000000000000682</v>
      </c>
      <c r="K100" s="8" t="b">
        <f t="shared" si="6"/>
        <v>1</v>
      </c>
    </row>
    <row r="101" spans="1:11">
      <c r="A101" s="5" t="s">
        <v>335</v>
      </c>
      <c r="B101" s="6">
        <v>45147</v>
      </c>
      <c r="C101" s="7">
        <v>0.85</v>
      </c>
      <c r="D101" s="5">
        <v>6.91</v>
      </c>
      <c r="E101" s="5">
        <v>913.6</v>
      </c>
      <c r="F101" s="5">
        <v>920.4</v>
      </c>
      <c r="G101" s="6">
        <v>45147</v>
      </c>
      <c r="H101" s="5"/>
      <c r="I101" s="5"/>
      <c r="J101" s="5">
        <f t="shared" si="5"/>
        <v>6.7999999999999545</v>
      </c>
      <c r="K101" s="8" t="b">
        <f t="shared" si="6"/>
        <v>1</v>
      </c>
    </row>
    <row r="102" spans="1:11">
      <c r="A102" s="5" t="s">
        <v>335</v>
      </c>
      <c r="B102" s="6">
        <v>45147</v>
      </c>
      <c r="C102" s="7">
        <v>1</v>
      </c>
      <c r="D102" s="5">
        <v>5.87</v>
      </c>
      <c r="E102" s="5">
        <v>920.4</v>
      </c>
      <c r="F102" s="5">
        <v>926.5</v>
      </c>
      <c r="G102" s="6">
        <v>45147</v>
      </c>
      <c r="H102" s="5"/>
      <c r="I102" s="5"/>
      <c r="J102" s="5">
        <f t="shared" si="5"/>
        <v>6.1000000000000227</v>
      </c>
      <c r="K102" s="8" t="b">
        <f t="shared" si="6"/>
        <v>1</v>
      </c>
    </row>
    <row r="103" spans="1:11">
      <c r="A103" s="5" t="s">
        <v>335</v>
      </c>
      <c r="B103" s="6">
        <v>45149</v>
      </c>
      <c r="C103" s="7">
        <v>1</v>
      </c>
      <c r="D103" s="5">
        <v>5.87</v>
      </c>
      <c r="E103" s="5">
        <v>926.5</v>
      </c>
      <c r="F103" s="5">
        <v>933.2</v>
      </c>
      <c r="G103" s="6">
        <v>45149</v>
      </c>
      <c r="H103" s="5"/>
      <c r="I103" s="5"/>
      <c r="J103" s="5">
        <f t="shared" si="5"/>
        <v>6.7000000000000455</v>
      </c>
      <c r="K103" s="8" t="b">
        <f t="shared" si="6"/>
        <v>1</v>
      </c>
    </row>
    <row r="104" spans="1:11">
      <c r="A104" s="5" t="s">
        <v>335</v>
      </c>
      <c r="B104" s="6">
        <v>45151</v>
      </c>
      <c r="C104" s="7">
        <v>1</v>
      </c>
      <c r="D104" s="5">
        <v>5.87</v>
      </c>
      <c r="E104" s="5">
        <v>933.2</v>
      </c>
      <c r="F104" s="5">
        <v>939.4</v>
      </c>
      <c r="G104" s="6">
        <v>45151</v>
      </c>
      <c r="H104" s="5"/>
      <c r="I104" s="5"/>
      <c r="J104" s="5">
        <f t="shared" si="5"/>
        <v>6.1999999999999318</v>
      </c>
      <c r="K104" s="8" t="b">
        <f t="shared" si="6"/>
        <v>1</v>
      </c>
    </row>
    <row r="105" spans="1:11">
      <c r="A105" s="5" t="s">
        <v>335</v>
      </c>
      <c r="B105" s="6">
        <v>45156</v>
      </c>
      <c r="C105" s="7">
        <v>1</v>
      </c>
      <c r="D105" s="5">
        <v>5.87</v>
      </c>
      <c r="E105" s="5">
        <v>939.4</v>
      </c>
      <c r="F105" s="5">
        <v>945.4</v>
      </c>
      <c r="G105" s="6">
        <v>45156</v>
      </c>
      <c r="H105" s="5"/>
      <c r="I105" s="5"/>
      <c r="J105" s="5">
        <f t="shared" si="5"/>
        <v>6</v>
      </c>
      <c r="K105" s="8" t="b">
        <f t="shared" si="6"/>
        <v>1</v>
      </c>
    </row>
    <row r="106" spans="1:11">
      <c r="A106" s="55" t="s">
        <v>335</v>
      </c>
      <c r="B106" s="17"/>
      <c r="C106" s="18"/>
      <c r="D106" s="8"/>
      <c r="E106" s="8"/>
      <c r="F106" s="8"/>
      <c r="G106" s="17"/>
      <c r="H106" s="8"/>
      <c r="I106" s="8"/>
      <c r="J106" s="55">
        <f t="shared" si="5"/>
        <v>0</v>
      </c>
      <c r="K106" s="89" t="b">
        <f t="shared" si="6"/>
        <v>0</v>
      </c>
    </row>
    <row r="107" spans="1:11">
      <c r="A107" s="15"/>
      <c r="B107" s="12"/>
      <c r="C107" s="13"/>
      <c r="D107" s="15"/>
      <c r="E107" s="15"/>
      <c r="F107" s="15"/>
      <c r="G107" s="12"/>
      <c r="H107" s="15"/>
      <c r="I107" s="15"/>
      <c r="J107" s="15"/>
      <c r="K107" s="15"/>
    </row>
    <row r="108" spans="1:11" ht="26.25">
      <c r="A108" s="205" t="s">
        <v>334</v>
      </c>
      <c r="B108" s="206"/>
      <c r="C108" s="206"/>
      <c r="D108" s="206"/>
      <c r="E108" s="206"/>
      <c r="F108" s="206"/>
      <c r="G108" s="206"/>
      <c r="H108" s="206"/>
      <c r="I108" s="206"/>
      <c r="J108" s="206"/>
      <c r="K108" s="207"/>
    </row>
    <row r="109" spans="1:11" ht="26.25">
      <c r="A109" s="208" t="s">
        <v>337</v>
      </c>
      <c r="B109" s="209"/>
      <c r="C109" s="209"/>
      <c r="D109" s="209"/>
      <c r="E109" s="209"/>
      <c r="F109" s="209"/>
      <c r="G109" s="209"/>
      <c r="H109" s="209"/>
      <c r="I109" s="209"/>
      <c r="J109" s="209"/>
      <c r="K109" s="210"/>
    </row>
    <row r="110" spans="1:11" ht="15.75" thickBot="1"/>
    <row r="111" spans="1:11" ht="15.75" thickBot="1">
      <c r="A111" s="132" t="s">
        <v>2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4"/>
    </row>
    <row r="113" spans="1:11" ht="19.5" thickBot="1">
      <c r="A113" s="1" t="s">
        <v>3</v>
      </c>
      <c r="B113" s="1"/>
      <c r="C113" s="1"/>
      <c r="D113" s="1"/>
      <c r="E113" s="1"/>
      <c r="F113" s="1"/>
      <c r="G113" s="1"/>
      <c r="H113" s="1"/>
      <c r="I113" s="1"/>
    </row>
    <row r="114" spans="1:11" ht="30.75" thickBot="1">
      <c r="A114" s="2" t="s">
        <v>4</v>
      </c>
      <c r="B114" s="3" t="s">
        <v>5</v>
      </c>
      <c r="C114" s="3" t="s">
        <v>6</v>
      </c>
      <c r="D114" s="3" t="s">
        <v>7</v>
      </c>
      <c r="E114" s="3" t="s">
        <v>8</v>
      </c>
      <c r="F114" s="3" t="s">
        <v>9</v>
      </c>
      <c r="G114" s="3" t="s">
        <v>10</v>
      </c>
      <c r="H114" s="3" t="s">
        <v>21</v>
      </c>
      <c r="I114" s="4" t="s">
        <v>22</v>
      </c>
      <c r="J114" s="4" t="s">
        <v>11</v>
      </c>
      <c r="K114" s="4" t="s">
        <v>12</v>
      </c>
    </row>
    <row r="115" spans="1:11">
      <c r="A115" s="8" t="s">
        <v>335</v>
      </c>
      <c r="B115" s="17">
        <v>45163</v>
      </c>
      <c r="C115" s="18">
        <v>0.4</v>
      </c>
      <c r="D115" s="8">
        <v>14.68</v>
      </c>
      <c r="E115" s="8">
        <v>945.5</v>
      </c>
      <c r="F115" s="8">
        <v>959.8</v>
      </c>
      <c r="G115" s="17">
        <v>45163</v>
      </c>
      <c r="H115" s="8"/>
      <c r="I115" s="8"/>
      <c r="J115" s="8">
        <f t="shared" si="5"/>
        <v>14.299999999999955</v>
      </c>
      <c r="K115" s="5" t="b">
        <f t="shared" si="6"/>
        <v>0</v>
      </c>
    </row>
    <row r="116" spans="1:11">
      <c r="A116" s="5" t="s">
        <v>335</v>
      </c>
      <c r="B116" s="6">
        <v>45164</v>
      </c>
      <c r="C116" s="7">
        <v>0.4</v>
      </c>
      <c r="D116" s="5">
        <v>14.68</v>
      </c>
      <c r="E116" s="5">
        <v>959.8</v>
      </c>
      <c r="F116" s="5">
        <v>974.3</v>
      </c>
      <c r="G116" s="6">
        <v>45164</v>
      </c>
      <c r="H116" s="5"/>
      <c r="I116" s="5"/>
      <c r="J116" s="5">
        <f t="shared" si="5"/>
        <v>14.5</v>
      </c>
      <c r="K116" s="8" t="b">
        <f t="shared" si="6"/>
        <v>1</v>
      </c>
    </row>
    <row r="117" spans="1:11">
      <c r="A117" s="5" t="s">
        <v>335</v>
      </c>
      <c r="B117" s="6">
        <v>45166</v>
      </c>
      <c r="C117" s="7">
        <v>0.4</v>
      </c>
      <c r="D117" s="5">
        <v>14.68</v>
      </c>
      <c r="E117" s="5">
        <v>974.3</v>
      </c>
      <c r="F117" s="5">
        <v>975.2</v>
      </c>
      <c r="G117" s="6">
        <v>45166</v>
      </c>
      <c r="H117" s="5"/>
      <c r="I117" s="5"/>
      <c r="J117" s="5">
        <f t="shared" si="5"/>
        <v>0.90000000000009095</v>
      </c>
      <c r="K117" s="8" t="b">
        <f t="shared" si="6"/>
        <v>1</v>
      </c>
    </row>
    <row r="118" spans="1:11">
      <c r="A118" s="5" t="s">
        <v>335</v>
      </c>
      <c r="B118" s="6"/>
      <c r="C118" s="7"/>
      <c r="D118" s="5"/>
      <c r="E118" s="5"/>
      <c r="F118" s="5"/>
      <c r="G118" s="6"/>
      <c r="H118" s="5"/>
      <c r="I118" s="5"/>
      <c r="J118" s="5">
        <f t="shared" si="5"/>
        <v>0</v>
      </c>
      <c r="K118" s="8" t="b">
        <f t="shared" si="6"/>
        <v>0</v>
      </c>
    </row>
    <row r="119" spans="1:11" ht="15.75" customHeight="1"/>
    <row r="120" spans="1:11" ht="26.25">
      <c r="A120" s="135" t="s">
        <v>334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7"/>
    </row>
    <row r="121" spans="1:11" ht="26.25">
      <c r="A121" s="138" t="s">
        <v>48</v>
      </c>
      <c r="B121" s="139"/>
      <c r="C121" s="139"/>
      <c r="D121" s="139"/>
      <c r="E121" s="139"/>
      <c r="F121" s="139"/>
      <c r="G121" s="139"/>
      <c r="H121" s="139"/>
      <c r="I121" s="139"/>
      <c r="J121" s="139"/>
      <c r="K121" s="140"/>
    </row>
    <row r="122" spans="1:11" ht="15.75" thickBot="1"/>
    <row r="123" spans="1:11" ht="15.75" thickBot="1">
      <c r="A123" s="132" t="s">
        <v>2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4"/>
    </row>
    <row r="125" spans="1:11" ht="19.5" thickBot="1">
      <c r="A125" s="1" t="s">
        <v>3</v>
      </c>
      <c r="B125" s="1"/>
      <c r="C125" s="1"/>
      <c r="D125" s="1"/>
      <c r="E125" s="1"/>
      <c r="F125" s="1"/>
      <c r="G125" s="1"/>
      <c r="H125" s="1"/>
      <c r="I125" s="1"/>
    </row>
    <row r="126" spans="1:11" ht="30.75" thickBot="1">
      <c r="A126" s="2" t="s">
        <v>4</v>
      </c>
      <c r="B126" s="3" t="s">
        <v>5</v>
      </c>
      <c r="C126" s="3" t="s">
        <v>6</v>
      </c>
      <c r="D126" s="3" t="s">
        <v>7</v>
      </c>
      <c r="E126" s="3" t="s">
        <v>8</v>
      </c>
      <c r="F126" s="3" t="s">
        <v>9</v>
      </c>
      <c r="G126" s="3" t="s">
        <v>10</v>
      </c>
      <c r="H126" s="3" t="s">
        <v>21</v>
      </c>
      <c r="I126" s="4" t="s">
        <v>22</v>
      </c>
      <c r="J126" s="4" t="s">
        <v>11</v>
      </c>
      <c r="K126" s="4" t="s">
        <v>12</v>
      </c>
    </row>
    <row r="127" spans="1:11">
      <c r="A127" s="8" t="s">
        <v>335</v>
      </c>
      <c r="B127" s="17">
        <v>45212</v>
      </c>
      <c r="C127" s="18">
        <v>0.8</v>
      </c>
      <c r="D127" s="8">
        <v>7.25</v>
      </c>
      <c r="E127" s="8">
        <v>979.2</v>
      </c>
      <c r="F127" s="8">
        <v>987.1</v>
      </c>
      <c r="G127" s="17">
        <v>45212</v>
      </c>
      <c r="H127" s="8"/>
      <c r="I127" s="8"/>
      <c r="J127" s="8">
        <f t="shared" ref="J127:J130" si="7">F127-E127</f>
        <v>7.8999999999999773</v>
      </c>
      <c r="K127" s="5" t="b">
        <f>E127=F117</f>
        <v>0</v>
      </c>
    </row>
    <row r="128" spans="1:11">
      <c r="A128" s="5" t="s">
        <v>335</v>
      </c>
      <c r="B128" s="6">
        <v>45213</v>
      </c>
      <c r="C128" s="7">
        <v>0.8</v>
      </c>
      <c r="D128" s="5">
        <v>7.25</v>
      </c>
      <c r="E128" s="5">
        <v>987.1</v>
      </c>
      <c r="F128" s="5">
        <v>994.5</v>
      </c>
      <c r="G128" s="6">
        <v>45213</v>
      </c>
      <c r="H128" s="5"/>
      <c r="I128" s="5"/>
      <c r="J128" s="5">
        <f t="shared" si="7"/>
        <v>7.3999999999999773</v>
      </c>
      <c r="K128" s="8" t="b">
        <f>E128=F127</f>
        <v>1</v>
      </c>
    </row>
    <row r="129" spans="1:11">
      <c r="A129" s="5" t="s">
        <v>335</v>
      </c>
      <c r="B129" s="6">
        <v>45214</v>
      </c>
      <c r="C129" s="7">
        <v>0.5</v>
      </c>
      <c r="D129" s="5">
        <v>11.74</v>
      </c>
      <c r="E129" s="5">
        <v>994.5</v>
      </c>
      <c r="F129" s="5">
        <v>1017.5</v>
      </c>
      <c r="G129" s="6">
        <v>45214</v>
      </c>
      <c r="H129" s="5"/>
      <c r="I129" s="5"/>
      <c r="J129" s="5">
        <f t="shared" si="7"/>
        <v>23</v>
      </c>
      <c r="K129" s="8" t="b">
        <f t="shared" ref="K129:K130" si="8">E129=F128</f>
        <v>1</v>
      </c>
    </row>
    <row r="130" spans="1:11">
      <c r="A130" s="5" t="s">
        <v>335</v>
      </c>
      <c r="B130" s="6">
        <v>45216</v>
      </c>
      <c r="C130" s="7">
        <v>0.5</v>
      </c>
      <c r="D130" s="5">
        <v>11.74</v>
      </c>
      <c r="E130" s="5">
        <v>1017.5</v>
      </c>
      <c r="F130" s="5">
        <v>1040.7</v>
      </c>
      <c r="G130" s="6">
        <v>45216</v>
      </c>
      <c r="H130" s="5"/>
      <c r="I130" s="5"/>
      <c r="J130" s="5">
        <f t="shared" si="7"/>
        <v>23.200000000000045</v>
      </c>
      <c r="K130" s="8" t="b">
        <f t="shared" si="8"/>
        <v>1</v>
      </c>
    </row>
    <row r="131" spans="1:11">
      <c r="A131" s="5" t="s">
        <v>335</v>
      </c>
      <c r="B131" s="6">
        <v>45217</v>
      </c>
      <c r="C131" s="7">
        <v>1</v>
      </c>
      <c r="D131" s="5">
        <v>5.87</v>
      </c>
      <c r="E131" s="5">
        <v>1040.7</v>
      </c>
      <c r="F131" s="5">
        <v>1052.5</v>
      </c>
      <c r="G131" s="6">
        <v>45217</v>
      </c>
      <c r="H131" s="5"/>
      <c r="I131" s="5"/>
      <c r="J131" s="5">
        <f t="shared" ref="J131:J140" si="9">F131-E131</f>
        <v>11.799999999999955</v>
      </c>
      <c r="K131" s="8" t="b">
        <f t="shared" ref="K131:K140" si="10">E131=F130</f>
        <v>1</v>
      </c>
    </row>
    <row r="132" spans="1:11">
      <c r="A132" s="5" t="s">
        <v>335</v>
      </c>
      <c r="B132" s="6">
        <v>45218</v>
      </c>
      <c r="C132" s="7">
        <v>1</v>
      </c>
      <c r="D132" s="5">
        <v>5.87</v>
      </c>
      <c r="E132" s="5">
        <v>1052.5</v>
      </c>
      <c r="F132" s="5">
        <v>1064.2</v>
      </c>
      <c r="G132" s="6">
        <v>45218</v>
      </c>
      <c r="H132" s="5"/>
      <c r="I132" s="5"/>
      <c r="J132" s="5">
        <f t="shared" si="9"/>
        <v>11.700000000000045</v>
      </c>
      <c r="K132" s="8" t="b">
        <f>E132=F131</f>
        <v>1</v>
      </c>
    </row>
    <row r="133" spans="1:11">
      <c r="A133" s="5" t="s">
        <v>335</v>
      </c>
      <c r="B133" s="6">
        <v>45219</v>
      </c>
      <c r="C133" s="7">
        <v>1</v>
      </c>
      <c r="D133" s="5">
        <v>5.87</v>
      </c>
      <c r="E133" s="5">
        <v>1064.2</v>
      </c>
      <c r="F133" s="5">
        <v>1075.9000000000001</v>
      </c>
      <c r="G133" s="6">
        <v>45219</v>
      </c>
      <c r="H133" s="5"/>
      <c r="I133" s="5"/>
      <c r="J133" s="5">
        <f t="shared" si="9"/>
        <v>11.700000000000045</v>
      </c>
      <c r="K133" s="8" t="b">
        <f t="shared" si="10"/>
        <v>1</v>
      </c>
    </row>
    <row r="134" spans="1:11">
      <c r="A134" s="5" t="s">
        <v>335</v>
      </c>
      <c r="B134" s="6">
        <v>45220</v>
      </c>
      <c r="C134" s="7">
        <v>1</v>
      </c>
      <c r="D134" s="5">
        <v>5.87</v>
      </c>
      <c r="E134" s="5">
        <v>1075.9000000000001</v>
      </c>
      <c r="F134" s="5">
        <v>1087.4000000000001</v>
      </c>
      <c r="G134" s="6">
        <v>45220</v>
      </c>
      <c r="H134" s="5"/>
      <c r="I134" s="5"/>
      <c r="J134" s="5">
        <f t="shared" si="9"/>
        <v>11.5</v>
      </c>
      <c r="K134" s="8" t="b">
        <f t="shared" si="10"/>
        <v>1</v>
      </c>
    </row>
    <row r="135" spans="1:11">
      <c r="A135" s="5" t="s">
        <v>335</v>
      </c>
      <c r="B135" s="6">
        <v>45221</v>
      </c>
      <c r="C135" s="7">
        <v>1</v>
      </c>
      <c r="D135" s="5">
        <v>5.87</v>
      </c>
      <c r="E135" s="5">
        <v>1087.4000000000001</v>
      </c>
      <c r="F135" s="5">
        <v>1099.0999999999999</v>
      </c>
      <c r="G135" s="6">
        <v>45221</v>
      </c>
      <c r="H135" s="5"/>
      <c r="I135" s="5"/>
      <c r="J135" s="5">
        <f t="shared" si="9"/>
        <v>11.699999999999818</v>
      </c>
      <c r="K135" s="8" t="b">
        <f t="shared" si="10"/>
        <v>1</v>
      </c>
    </row>
    <row r="136" spans="1:11">
      <c r="A136" s="5" t="s">
        <v>335</v>
      </c>
      <c r="B136" s="6">
        <v>45222</v>
      </c>
      <c r="C136" s="7">
        <v>1</v>
      </c>
      <c r="D136" s="5">
        <v>5.87</v>
      </c>
      <c r="E136" s="5">
        <v>1099.0999999999999</v>
      </c>
      <c r="F136" s="5">
        <v>1110.8</v>
      </c>
      <c r="G136" s="6">
        <v>45222</v>
      </c>
      <c r="H136" s="5"/>
      <c r="I136" s="5"/>
      <c r="J136" s="5">
        <f t="shared" si="9"/>
        <v>11.700000000000045</v>
      </c>
      <c r="K136" s="8" t="b">
        <f t="shared" si="10"/>
        <v>1</v>
      </c>
    </row>
    <row r="137" spans="1:11">
      <c r="A137" s="5" t="s">
        <v>335</v>
      </c>
      <c r="B137" s="6">
        <v>45223</v>
      </c>
      <c r="C137" s="7">
        <v>1</v>
      </c>
      <c r="D137" s="5">
        <v>5.87</v>
      </c>
      <c r="E137" s="5">
        <v>1110.8</v>
      </c>
      <c r="F137" s="5">
        <v>1122.4000000000001</v>
      </c>
      <c r="G137" s="6">
        <v>45223</v>
      </c>
      <c r="H137" s="5"/>
      <c r="I137" s="5"/>
      <c r="J137" s="5">
        <f t="shared" si="9"/>
        <v>11.600000000000136</v>
      </c>
      <c r="K137" s="8" t="b">
        <f t="shared" si="10"/>
        <v>1</v>
      </c>
    </row>
    <row r="138" spans="1:11">
      <c r="A138" s="5" t="s">
        <v>335</v>
      </c>
      <c r="B138" s="6">
        <v>45224</v>
      </c>
      <c r="C138" s="7">
        <v>1</v>
      </c>
      <c r="D138" s="5">
        <v>5.87</v>
      </c>
      <c r="E138" s="5">
        <v>1122.4000000000001</v>
      </c>
      <c r="F138" s="5">
        <v>1134</v>
      </c>
      <c r="G138" s="6">
        <v>45224</v>
      </c>
      <c r="H138" s="5"/>
      <c r="I138" s="5"/>
      <c r="J138" s="5">
        <f t="shared" si="9"/>
        <v>11.599999999999909</v>
      </c>
      <c r="K138" s="8" t="b">
        <f t="shared" si="10"/>
        <v>1</v>
      </c>
    </row>
    <row r="139" spans="1:11">
      <c r="A139" s="101" t="s">
        <v>335</v>
      </c>
      <c r="B139" s="102">
        <v>45225</v>
      </c>
      <c r="C139" s="103">
        <v>1</v>
      </c>
      <c r="D139" s="101">
        <v>5.87</v>
      </c>
      <c r="E139" s="101">
        <v>1134</v>
      </c>
      <c r="F139" s="101">
        <v>1142.3</v>
      </c>
      <c r="G139" s="102">
        <v>45225</v>
      </c>
      <c r="H139" s="101"/>
      <c r="I139" s="101"/>
      <c r="J139" s="101">
        <f t="shared" si="9"/>
        <v>8.2999999999999545</v>
      </c>
      <c r="K139" s="8" t="b">
        <f t="shared" si="10"/>
        <v>1</v>
      </c>
    </row>
    <row r="140" spans="1:11">
      <c r="A140" s="5" t="s">
        <v>335</v>
      </c>
      <c r="B140" s="6">
        <v>45228</v>
      </c>
      <c r="C140" s="7">
        <v>0.8</v>
      </c>
      <c r="D140" s="5">
        <v>7.34</v>
      </c>
      <c r="E140" s="5">
        <v>1142.3</v>
      </c>
      <c r="F140" s="5">
        <v>1156.9000000000001</v>
      </c>
      <c r="G140" s="6">
        <v>45228</v>
      </c>
      <c r="H140" s="5"/>
      <c r="I140" s="5"/>
      <c r="J140" s="5">
        <f t="shared" si="9"/>
        <v>14.600000000000136</v>
      </c>
      <c r="K140" s="8" t="b">
        <f t="shared" si="10"/>
        <v>1</v>
      </c>
    </row>
    <row r="141" spans="1:11">
      <c r="A141" s="5" t="s">
        <v>335</v>
      </c>
      <c r="B141" s="6">
        <v>45229</v>
      </c>
      <c r="C141" s="7">
        <v>0.8</v>
      </c>
      <c r="D141" s="5">
        <v>7.34</v>
      </c>
      <c r="E141" s="5">
        <v>1156.9000000000001</v>
      </c>
      <c r="F141" s="5">
        <v>1171.5</v>
      </c>
      <c r="G141" s="6">
        <v>45229</v>
      </c>
      <c r="H141" s="5"/>
      <c r="I141" s="5"/>
      <c r="J141" s="5">
        <f t="shared" ref="J141:J165" si="11">F141-E141</f>
        <v>14.599999999999909</v>
      </c>
      <c r="K141" s="8" t="b">
        <f t="shared" ref="K141:K165" si="12">E141=F140</f>
        <v>1</v>
      </c>
    </row>
    <row r="142" spans="1:11">
      <c r="A142" s="5" t="s">
        <v>335</v>
      </c>
      <c r="B142" s="6">
        <v>45231</v>
      </c>
      <c r="C142" s="7">
        <v>0.8</v>
      </c>
      <c r="D142" s="5">
        <v>7.34</v>
      </c>
      <c r="E142" s="5">
        <v>1171.5</v>
      </c>
      <c r="F142" s="5">
        <v>1185.9000000000001</v>
      </c>
      <c r="G142" s="6">
        <v>45231</v>
      </c>
      <c r="H142" s="5"/>
      <c r="I142" s="5"/>
      <c r="J142" s="5">
        <f t="shared" si="11"/>
        <v>14.400000000000091</v>
      </c>
      <c r="K142" s="8" t="b">
        <f t="shared" si="12"/>
        <v>1</v>
      </c>
    </row>
    <row r="143" spans="1:11">
      <c r="A143" s="5" t="s">
        <v>335</v>
      </c>
      <c r="B143" s="6">
        <v>45235</v>
      </c>
      <c r="C143" s="7">
        <v>1</v>
      </c>
      <c r="D143" s="5">
        <v>5.87</v>
      </c>
      <c r="E143" s="5">
        <v>1185.9000000000001</v>
      </c>
      <c r="F143" s="5">
        <v>1197.5</v>
      </c>
      <c r="G143" s="6">
        <v>45235</v>
      </c>
      <c r="H143" s="5"/>
      <c r="I143" s="5"/>
      <c r="J143" s="5">
        <f t="shared" si="11"/>
        <v>11.599999999999909</v>
      </c>
      <c r="K143" s="8" t="b">
        <f t="shared" si="12"/>
        <v>1</v>
      </c>
    </row>
    <row r="144" spans="1:11">
      <c r="A144" s="92" t="s">
        <v>335</v>
      </c>
      <c r="B144" s="93">
        <v>45237</v>
      </c>
      <c r="C144" s="88">
        <v>1</v>
      </c>
      <c r="D144" s="92">
        <v>5.87</v>
      </c>
      <c r="E144" s="92">
        <v>1197.5</v>
      </c>
      <c r="F144" s="92">
        <v>1208.5</v>
      </c>
      <c r="G144" s="93">
        <v>45237</v>
      </c>
      <c r="H144" s="92"/>
      <c r="I144" s="92"/>
      <c r="J144" s="92">
        <f t="shared" si="11"/>
        <v>11</v>
      </c>
      <c r="K144" s="8" t="b">
        <f t="shared" si="12"/>
        <v>1</v>
      </c>
    </row>
    <row r="145" spans="1:11">
      <c r="A145" s="5" t="s">
        <v>335</v>
      </c>
      <c r="B145" s="6">
        <v>45238</v>
      </c>
      <c r="C145" s="7">
        <v>0.8</v>
      </c>
      <c r="D145" s="5">
        <v>7.34</v>
      </c>
      <c r="E145" s="5">
        <v>1208.5</v>
      </c>
      <c r="F145" s="5">
        <v>1224.5</v>
      </c>
      <c r="G145" s="6">
        <v>45238</v>
      </c>
      <c r="H145" s="5"/>
      <c r="I145" s="5"/>
      <c r="J145" s="5">
        <f t="shared" si="11"/>
        <v>16</v>
      </c>
      <c r="K145" s="8" t="b">
        <f t="shared" si="12"/>
        <v>1</v>
      </c>
    </row>
    <row r="146" spans="1:11">
      <c r="A146" s="5" t="s">
        <v>335</v>
      </c>
      <c r="B146" s="6">
        <v>45240</v>
      </c>
      <c r="C146" s="7">
        <v>0.9</v>
      </c>
      <c r="D146" s="5">
        <v>6.18</v>
      </c>
      <c r="E146" s="5">
        <v>1224.5</v>
      </c>
      <c r="F146" s="5">
        <v>1237.4000000000001</v>
      </c>
      <c r="G146" s="6">
        <v>45240</v>
      </c>
      <c r="H146" s="5"/>
      <c r="I146" s="5"/>
      <c r="J146" s="5">
        <f t="shared" si="11"/>
        <v>12.900000000000091</v>
      </c>
      <c r="K146" s="8" t="b">
        <f t="shared" si="12"/>
        <v>1</v>
      </c>
    </row>
    <row r="147" spans="1:11">
      <c r="A147" s="5" t="s">
        <v>335</v>
      </c>
      <c r="B147" s="6">
        <v>45242</v>
      </c>
      <c r="C147" s="7">
        <v>0.75</v>
      </c>
      <c r="D147" s="5">
        <v>7.83</v>
      </c>
      <c r="E147" s="5">
        <v>1237.4000000000001</v>
      </c>
      <c r="F147" s="5">
        <v>1252.8</v>
      </c>
      <c r="G147" s="6">
        <v>45242</v>
      </c>
      <c r="H147" s="5"/>
      <c r="I147" s="5"/>
      <c r="J147" s="5">
        <f t="shared" si="11"/>
        <v>15.399999999999864</v>
      </c>
      <c r="K147" s="8" t="b">
        <f t="shared" si="12"/>
        <v>1</v>
      </c>
    </row>
    <row r="148" spans="1:11">
      <c r="A148" s="5" t="s">
        <v>335</v>
      </c>
      <c r="B148" s="6">
        <v>45244</v>
      </c>
      <c r="C148" s="7">
        <v>0.7</v>
      </c>
      <c r="D148" s="5">
        <v>8.39</v>
      </c>
      <c r="E148" s="5">
        <v>1252.8</v>
      </c>
      <c r="F148" s="5">
        <v>1269.3</v>
      </c>
      <c r="G148" s="6">
        <v>45244</v>
      </c>
      <c r="H148" s="5"/>
      <c r="I148" s="5"/>
      <c r="J148" s="5">
        <f t="shared" si="11"/>
        <v>16.5</v>
      </c>
      <c r="K148" s="8" t="b">
        <f t="shared" si="12"/>
        <v>1</v>
      </c>
    </row>
    <row r="149" spans="1:11">
      <c r="A149" s="5" t="s">
        <v>335</v>
      </c>
      <c r="B149" s="6">
        <v>45246</v>
      </c>
      <c r="C149" s="7">
        <v>0.5</v>
      </c>
      <c r="D149" s="5">
        <v>11.74</v>
      </c>
      <c r="E149" s="5">
        <v>1269.3</v>
      </c>
      <c r="F149" s="5">
        <v>1292.5</v>
      </c>
      <c r="G149" s="6">
        <v>45246</v>
      </c>
      <c r="H149" s="5"/>
      <c r="I149" s="5"/>
      <c r="J149" s="5">
        <f t="shared" si="11"/>
        <v>23.200000000000045</v>
      </c>
      <c r="K149" s="8" t="b">
        <f t="shared" si="12"/>
        <v>1</v>
      </c>
    </row>
    <row r="150" spans="1:11">
      <c r="A150" s="5" t="s">
        <v>335</v>
      </c>
      <c r="B150" s="6">
        <v>45248</v>
      </c>
      <c r="C150" s="7">
        <v>0.55000000000000004</v>
      </c>
      <c r="D150" s="5">
        <v>10.67</v>
      </c>
      <c r="E150" s="5">
        <v>1292.5</v>
      </c>
      <c r="F150" s="5">
        <v>1313.5</v>
      </c>
      <c r="G150" s="6">
        <v>45248</v>
      </c>
      <c r="H150" s="5"/>
      <c r="I150" s="5"/>
      <c r="J150" s="5">
        <f t="shared" si="11"/>
        <v>21</v>
      </c>
      <c r="K150" s="8" t="b">
        <f t="shared" si="12"/>
        <v>1</v>
      </c>
    </row>
    <row r="151" spans="1:11">
      <c r="A151" s="5" t="s">
        <v>335</v>
      </c>
      <c r="B151" s="6">
        <v>45250</v>
      </c>
      <c r="C151" s="7">
        <v>0.6</v>
      </c>
      <c r="D151" s="5">
        <v>9.7799999999999994</v>
      </c>
      <c r="E151" s="5">
        <v>1313.5</v>
      </c>
      <c r="F151" s="5">
        <v>1332.7</v>
      </c>
      <c r="G151" s="6">
        <v>45250</v>
      </c>
      <c r="H151" s="5"/>
      <c r="I151" s="5"/>
      <c r="J151" s="5">
        <f t="shared" si="11"/>
        <v>19.200000000000045</v>
      </c>
      <c r="K151" s="8" t="b">
        <f t="shared" si="12"/>
        <v>1</v>
      </c>
    </row>
    <row r="152" spans="1:11">
      <c r="A152" s="5" t="s">
        <v>335</v>
      </c>
      <c r="B152" s="6">
        <v>45252</v>
      </c>
      <c r="C152" s="7">
        <v>0.6</v>
      </c>
      <c r="D152" s="5">
        <v>9.7799999999999994</v>
      </c>
      <c r="E152" s="5">
        <v>1332.7</v>
      </c>
      <c r="F152" s="5">
        <v>1352</v>
      </c>
      <c r="G152" s="6">
        <v>45252</v>
      </c>
      <c r="H152" s="5"/>
      <c r="I152" s="5"/>
      <c r="J152" s="5">
        <f t="shared" si="11"/>
        <v>19.299999999999955</v>
      </c>
      <c r="K152" s="8" t="b">
        <f t="shared" si="12"/>
        <v>1</v>
      </c>
    </row>
    <row r="153" spans="1:11">
      <c r="A153" s="5" t="s">
        <v>335</v>
      </c>
      <c r="B153" s="6">
        <v>45254</v>
      </c>
      <c r="C153" s="7">
        <v>0.6</v>
      </c>
      <c r="D153" s="5">
        <v>9.7799999999999994</v>
      </c>
      <c r="E153" s="5">
        <v>1352</v>
      </c>
      <c r="F153" s="5">
        <v>1371.1</v>
      </c>
      <c r="G153" s="6">
        <v>45254</v>
      </c>
      <c r="H153" s="5"/>
      <c r="I153" s="5"/>
      <c r="J153" s="5">
        <f t="shared" si="11"/>
        <v>19.099999999999909</v>
      </c>
      <c r="K153" s="8" t="b">
        <f t="shared" si="12"/>
        <v>1</v>
      </c>
    </row>
    <row r="154" spans="1:11">
      <c r="A154" s="5" t="s">
        <v>335</v>
      </c>
      <c r="B154" s="6">
        <v>45256</v>
      </c>
      <c r="C154" s="7">
        <v>0.6</v>
      </c>
      <c r="D154" s="5">
        <v>9.7799999999999994</v>
      </c>
      <c r="E154" s="5">
        <v>1371.1</v>
      </c>
      <c r="F154" s="5">
        <v>1390.4</v>
      </c>
      <c r="G154" s="6">
        <v>45256</v>
      </c>
      <c r="H154" s="5"/>
      <c r="I154" s="5"/>
      <c r="J154" s="5">
        <f t="shared" si="11"/>
        <v>19.300000000000182</v>
      </c>
      <c r="K154" s="8" t="b">
        <f t="shared" si="12"/>
        <v>1</v>
      </c>
    </row>
    <row r="155" spans="1:11">
      <c r="A155" s="5" t="s">
        <v>335</v>
      </c>
      <c r="B155" s="6">
        <v>45258</v>
      </c>
      <c r="C155" s="7">
        <v>0.6</v>
      </c>
      <c r="D155" s="5">
        <v>9.7799999999999994</v>
      </c>
      <c r="E155" s="5">
        <v>1390.4</v>
      </c>
      <c r="F155" s="5">
        <v>1409.6</v>
      </c>
      <c r="G155" s="6">
        <v>45258</v>
      </c>
      <c r="H155" s="5"/>
      <c r="I155" s="5"/>
      <c r="J155" s="5">
        <f t="shared" si="11"/>
        <v>19.199999999999818</v>
      </c>
      <c r="K155" s="8" t="b">
        <f t="shared" si="12"/>
        <v>1</v>
      </c>
    </row>
    <row r="156" spans="1:11">
      <c r="A156" s="5" t="s">
        <v>335</v>
      </c>
      <c r="B156" s="6">
        <v>45260</v>
      </c>
      <c r="C156" s="7">
        <v>0.6</v>
      </c>
      <c r="D156" s="5">
        <v>9.7799999999999994</v>
      </c>
      <c r="E156" s="5">
        <v>1409.6</v>
      </c>
      <c r="F156" s="5">
        <v>1428.9</v>
      </c>
      <c r="G156" s="6">
        <v>45260</v>
      </c>
      <c r="H156" s="5"/>
      <c r="I156" s="5"/>
      <c r="J156" s="5">
        <f t="shared" si="11"/>
        <v>19.300000000000182</v>
      </c>
      <c r="K156" s="8" t="b">
        <f t="shared" si="12"/>
        <v>1</v>
      </c>
    </row>
    <row r="157" spans="1:11">
      <c r="A157" s="5" t="s">
        <v>335</v>
      </c>
      <c r="B157" s="6">
        <v>45262</v>
      </c>
      <c r="C157" s="7">
        <v>0.6</v>
      </c>
      <c r="D157" s="5">
        <v>9.7799999999999994</v>
      </c>
      <c r="E157" s="5">
        <v>1428.9</v>
      </c>
      <c r="F157" s="5">
        <v>1448</v>
      </c>
      <c r="G157" s="6">
        <v>45262</v>
      </c>
      <c r="H157" s="5"/>
      <c r="I157" s="5"/>
      <c r="J157" s="5">
        <f t="shared" si="11"/>
        <v>19.099999999999909</v>
      </c>
      <c r="K157" s="8" t="b">
        <f t="shared" si="12"/>
        <v>1</v>
      </c>
    </row>
    <row r="158" spans="1:11">
      <c r="A158" s="5" t="s">
        <v>335</v>
      </c>
      <c r="B158" s="6">
        <v>45265</v>
      </c>
      <c r="C158" s="7">
        <v>0.6</v>
      </c>
      <c r="D158" s="5">
        <v>9.7799999999999994</v>
      </c>
      <c r="E158" s="5">
        <v>1448</v>
      </c>
      <c r="F158" s="5">
        <v>1467.3</v>
      </c>
      <c r="G158" s="6">
        <v>45265</v>
      </c>
      <c r="H158" s="5"/>
      <c r="I158" s="5"/>
      <c r="J158" s="5">
        <f t="shared" si="11"/>
        <v>19.299999999999955</v>
      </c>
      <c r="K158" s="8" t="b">
        <f t="shared" si="12"/>
        <v>1</v>
      </c>
    </row>
    <row r="159" spans="1:11">
      <c r="A159" s="5" t="s">
        <v>335</v>
      </c>
      <c r="B159" s="6">
        <v>45267</v>
      </c>
      <c r="C159" s="7">
        <v>0.6</v>
      </c>
      <c r="D159" s="5">
        <v>9.7799999999999994</v>
      </c>
      <c r="E159" s="5">
        <v>1467.3</v>
      </c>
      <c r="F159" s="5">
        <v>1491.2</v>
      </c>
      <c r="G159" s="6">
        <v>45267</v>
      </c>
      <c r="H159" s="5"/>
      <c r="I159" s="5"/>
      <c r="J159" s="5">
        <f t="shared" si="11"/>
        <v>23.900000000000091</v>
      </c>
      <c r="K159" s="8" t="b">
        <f t="shared" si="12"/>
        <v>1</v>
      </c>
    </row>
    <row r="160" spans="1:11">
      <c r="A160" s="5" t="s">
        <v>335</v>
      </c>
      <c r="B160" s="6">
        <v>45269</v>
      </c>
      <c r="C160" s="7">
        <v>0.5</v>
      </c>
      <c r="D160" s="5">
        <v>11.74</v>
      </c>
      <c r="E160" s="5">
        <v>1491.2</v>
      </c>
      <c r="F160" s="5">
        <v>1515.5</v>
      </c>
      <c r="G160" s="6">
        <v>45269</v>
      </c>
      <c r="H160" s="5"/>
      <c r="I160" s="5"/>
      <c r="J160" s="5">
        <f t="shared" si="11"/>
        <v>24.299999999999955</v>
      </c>
      <c r="K160" s="8" t="b">
        <f t="shared" si="12"/>
        <v>1</v>
      </c>
    </row>
    <row r="161" spans="1:11">
      <c r="A161" s="5" t="s">
        <v>335</v>
      </c>
      <c r="B161" s="6">
        <v>45271</v>
      </c>
      <c r="C161" s="7">
        <v>0.6</v>
      </c>
      <c r="D161" s="5">
        <v>9.7799999999999994</v>
      </c>
      <c r="E161" s="5">
        <v>1515.5</v>
      </c>
      <c r="F161" s="5">
        <v>1534.6</v>
      </c>
      <c r="G161" s="6">
        <v>45271</v>
      </c>
      <c r="H161" s="5"/>
      <c r="I161" s="5"/>
      <c r="J161" s="5">
        <f t="shared" si="11"/>
        <v>19.099999999999909</v>
      </c>
      <c r="K161" s="8" t="b">
        <f t="shared" si="12"/>
        <v>1</v>
      </c>
    </row>
    <row r="162" spans="1:11">
      <c r="A162" s="5" t="s">
        <v>335</v>
      </c>
      <c r="B162" s="6">
        <v>45273</v>
      </c>
      <c r="C162" s="7">
        <v>0.6</v>
      </c>
      <c r="D162" s="5">
        <v>9.7799999999999994</v>
      </c>
      <c r="E162" s="5">
        <v>1534.6</v>
      </c>
      <c r="F162" s="5">
        <v>1553.8</v>
      </c>
      <c r="G162" s="6">
        <v>45273</v>
      </c>
      <c r="H162" s="5"/>
      <c r="I162" s="5"/>
      <c r="J162" s="5">
        <f t="shared" si="11"/>
        <v>19.200000000000045</v>
      </c>
      <c r="K162" s="8" t="b">
        <f t="shared" si="12"/>
        <v>1</v>
      </c>
    </row>
    <row r="163" spans="1:11">
      <c r="A163" s="5" t="s">
        <v>335</v>
      </c>
      <c r="B163" s="6">
        <v>45275</v>
      </c>
      <c r="C163" s="7">
        <v>0.5</v>
      </c>
      <c r="D163" s="5">
        <v>11.74</v>
      </c>
      <c r="E163" s="5">
        <v>1553.8</v>
      </c>
      <c r="F163" s="5">
        <v>1576.8</v>
      </c>
      <c r="G163" s="6">
        <v>45275</v>
      </c>
      <c r="H163" s="5"/>
      <c r="I163" s="5"/>
      <c r="J163" s="5">
        <f t="shared" si="11"/>
        <v>23</v>
      </c>
      <c r="K163" s="8" t="b">
        <f t="shared" si="12"/>
        <v>1</v>
      </c>
    </row>
    <row r="164" spans="1:11">
      <c r="A164" s="5" t="s">
        <v>335</v>
      </c>
      <c r="B164" s="6">
        <v>45277</v>
      </c>
      <c r="C164" s="7">
        <v>0.6</v>
      </c>
      <c r="D164" s="5">
        <v>9.7799999999999994</v>
      </c>
      <c r="E164" s="5">
        <v>1576.8</v>
      </c>
      <c r="F164" s="5">
        <v>1595.6</v>
      </c>
      <c r="G164" s="6">
        <v>45277</v>
      </c>
      <c r="H164" s="5"/>
      <c r="I164" s="5"/>
      <c r="J164" s="5">
        <f t="shared" si="11"/>
        <v>18.799999999999955</v>
      </c>
      <c r="K164" s="8" t="b">
        <f t="shared" si="12"/>
        <v>1</v>
      </c>
    </row>
    <row r="165" spans="1:11">
      <c r="A165" s="5" t="s">
        <v>335</v>
      </c>
      <c r="B165" s="6">
        <v>45279</v>
      </c>
      <c r="C165" s="7">
        <v>1</v>
      </c>
      <c r="D165" s="5">
        <v>5.87</v>
      </c>
      <c r="E165" s="5">
        <v>1595.6</v>
      </c>
      <c r="F165" s="5">
        <v>1607.5</v>
      </c>
      <c r="G165" s="6">
        <v>45279</v>
      </c>
      <c r="H165" s="5"/>
      <c r="I165" s="5"/>
      <c r="J165" s="5">
        <f t="shared" si="11"/>
        <v>11.900000000000091</v>
      </c>
      <c r="K165" s="8" t="b">
        <f t="shared" si="12"/>
        <v>1</v>
      </c>
    </row>
    <row r="166" spans="1:11">
      <c r="A166" s="5" t="s">
        <v>335</v>
      </c>
      <c r="B166" s="6">
        <v>45281</v>
      </c>
      <c r="C166" s="7">
        <v>1</v>
      </c>
      <c r="D166" s="5">
        <v>5.87</v>
      </c>
      <c r="E166" s="5">
        <v>1607.5</v>
      </c>
      <c r="F166" s="5">
        <v>1619</v>
      </c>
      <c r="G166" s="6">
        <v>45281</v>
      </c>
      <c r="H166" s="5"/>
      <c r="I166" s="5"/>
      <c r="J166" s="5">
        <f t="shared" ref="J166:J229" si="13">F166-E166</f>
        <v>11.5</v>
      </c>
      <c r="K166" s="8" t="b">
        <f t="shared" ref="K166:K229" si="14">E166=F165</f>
        <v>1</v>
      </c>
    </row>
    <row r="167" spans="1:11">
      <c r="A167" s="5" t="s">
        <v>335</v>
      </c>
      <c r="B167" s="6">
        <v>45285</v>
      </c>
      <c r="C167" s="7">
        <v>0.7</v>
      </c>
      <c r="D167" s="5">
        <v>8.39</v>
      </c>
      <c r="E167" s="5">
        <v>1619</v>
      </c>
      <c r="F167" s="5">
        <v>1635.5</v>
      </c>
      <c r="G167" s="6">
        <v>45285</v>
      </c>
      <c r="H167" s="5"/>
      <c r="I167" s="5"/>
      <c r="J167" s="5">
        <f t="shared" si="13"/>
        <v>16.5</v>
      </c>
      <c r="K167" s="8" t="b">
        <f t="shared" si="14"/>
        <v>1</v>
      </c>
    </row>
    <row r="168" spans="1:11">
      <c r="A168" s="5" t="s">
        <v>335</v>
      </c>
      <c r="B168" s="6">
        <v>45287</v>
      </c>
      <c r="C168" s="7">
        <v>0.9</v>
      </c>
      <c r="D168" s="5">
        <v>6.52</v>
      </c>
      <c r="E168" s="5">
        <v>1635.5</v>
      </c>
      <c r="F168" s="5">
        <v>1648.6</v>
      </c>
      <c r="G168" s="6">
        <v>45287</v>
      </c>
      <c r="H168" s="5"/>
      <c r="I168" s="5"/>
      <c r="J168" s="5">
        <f t="shared" si="13"/>
        <v>13.099999999999909</v>
      </c>
      <c r="K168" s="8" t="b">
        <f t="shared" si="14"/>
        <v>1</v>
      </c>
    </row>
    <row r="169" spans="1:11">
      <c r="A169" s="5" t="s">
        <v>335</v>
      </c>
      <c r="B169" s="6">
        <v>45289</v>
      </c>
      <c r="C169" s="7">
        <v>0.7</v>
      </c>
      <c r="D169" s="5">
        <v>8.39</v>
      </c>
      <c r="E169" s="5">
        <v>1648.6</v>
      </c>
      <c r="F169" s="5">
        <v>1664.7</v>
      </c>
      <c r="G169" s="6">
        <v>45289</v>
      </c>
      <c r="H169" s="5"/>
      <c r="I169" s="5"/>
      <c r="J169" s="5">
        <f t="shared" si="13"/>
        <v>16.100000000000136</v>
      </c>
      <c r="K169" s="8" t="b">
        <f t="shared" si="14"/>
        <v>1</v>
      </c>
    </row>
    <row r="170" spans="1:11">
      <c r="A170" s="5" t="s">
        <v>335</v>
      </c>
      <c r="B170" s="6">
        <v>45291</v>
      </c>
      <c r="C170" s="7">
        <v>1</v>
      </c>
      <c r="D170" s="5">
        <v>5.87</v>
      </c>
      <c r="E170" s="5">
        <v>1664.7</v>
      </c>
      <c r="F170" s="5">
        <v>1678.6</v>
      </c>
      <c r="G170" s="6">
        <v>45291</v>
      </c>
      <c r="H170" s="5"/>
      <c r="I170" s="5"/>
      <c r="J170" s="5">
        <f t="shared" si="13"/>
        <v>13.899999999999864</v>
      </c>
      <c r="K170" s="8" t="b">
        <f t="shared" si="14"/>
        <v>1</v>
      </c>
    </row>
    <row r="171" spans="1:11">
      <c r="A171" s="80" t="s">
        <v>335</v>
      </c>
      <c r="B171" s="81">
        <v>45296</v>
      </c>
      <c r="C171" s="82">
        <v>1</v>
      </c>
      <c r="D171" s="80">
        <v>5.87</v>
      </c>
      <c r="E171" s="80">
        <v>1678.6</v>
      </c>
      <c r="F171" s="80">
        <v>1691.2</v>
      </c>
      <c r="G171" s="81">
        <v>45296</v>
      </c>
      <c r="H171" s="80"/>
      <c r="I171" s="80"/>
      <c r="J171" s="80">
        <f t="shared" si="13"/>
        <v>12.600000000000136</v>
      </c>
      <c r="K171" s="8" t="b">
        <f t="shared" si="14"/>
        <v>1</v>
      </c>
    </row>
    <row r="172" spans="1:11" ht="26.25">
      <c r="A172" s="135" t="s">
        <v>334</v>
      </c>
      <c r="B172" s="136"/>
      <c r="C172" s="136"/>
      <c r="D172" s="136"/>
      <c r="E172" s="136"/>
      <c r="F172" s="136"/>
      <c r="G172" s="136"/>
      <c r="H172" s="136"/>
      <c r="I172" s="136"/>
      <c r="J172" s="136"/>
      <c r="K172" s="137"/>
    </row>
    <row r="173" spans="1:11" ht="26.25">
      <c r="A173" s="138" t="s">
        <v>338</v>
      </c>
      <c r="B173" s="139"/>
      <c r="C173" s="139"/>
      <c r="D173" s="139"/>
      <c r="E173" s="139"/>
      <c r="F173" s="139"/>
      <c r="G173" s="139"/>
      <c r="H173" s="139"/>
      <c r="I173" s="139"/>
      <c r="J173" s="139"/>
      <c r="K173" s="140"/>
    </row>
    <row r="174" spans="1:11" ht="15.75" thickBot="1"/>
    <row r="175" spans="1:11" ht="15.75" thickBot="1">
      <c r="A175" s="132" t="s">
        <v>2</v>
      </c>
      <c r="B175" s="133"/>
      <c r="C175" s="133"/>
      <c r="D175" s="133"/>
      <c r="E175" s="133"/>
      <c r="F175" s="133"/>
      <c r="G175" s="133"/>
      <c r="H175" s="133"/>
      <c r="I175" s="133"/>
      <c r="J175" s="133"/>
      <c r="K175" s="134"/>
    </row>
    <row r="177" spans="1:11" ht="19.5" thickBot="1">
      <c r="A177" s="1" t="s">
        <v>3</v>
      </c>
      <c r="B177" s="1"/>
      <c r="C177" s="1"/>
      <c r="D177" s="1"/>
      <c r="E177" s="1"/>
      <c r="F177" s="1"/>
      <c r="G177" s="1"/>
      <c r="H177" s="1"/>
      <c r="I177" s="1"/>
    </row>
    <row r="178" spans="1:11" ht="30.75" thickBot="1">
      <c r="A178" s="2" t="s">
        <v>4</v>
      </c>
      <c r="B178" s="3" t="s">
        <v>5</v>
      </c>
      <c r="C178" s="3" t="s">
        <v>6</v>
      </c>
      <c r="D178" s="3" t="s">
        <v>7</v>
      </c>
      <c r="E178" s="3" t="s">
        <v>8</v>
      </c>
      <c r="F178" s="3" t="s">
        <v>9</v>
      </c>
      <c r="G178" s="3" t="s">
        <v>10</v>
      </c>
      <c r="H178" s="3" t="s">
        <v>21</v>
      </c>
      <c r="I178" s="4" t="s">
        <v>22</v>
      </c>
      <c r="J178" s="4" t="s">
        <v>11</v>
      </c>
      <c r="K178" s="4" t="s">
        <v>12</v>
      </c>
    </row>
    <row r="179" spans="1:11">
      <c r="A179" s="8" t="s">
        <v>335</v>
      </c>
      <c r="B179" s="17">
        <v>45401</v>
      </c>
      <c r="C179" s="18">
        <v>1</v>
      </c>
      <c r="D179" s="8">
        <v>5.87</v>
      </c>
      <c r="E179" s="8">
        <v>12.4</v>
      </c>
      <c r="F179" s="8">
        <v>24.1</v>
      </c>
      <c r="G179" s="17">
        <v>45401</v>
      </c>
      <c r="H179" s="8"/>
      <c r="I179" s="8"/>
      <c r="J179" s="8">
        <f t="shared" ref="J179:J180" si="15">F179-E179</f>
        <v>11.700000000000001</v>
      </c>
      <c r="K179" s="5" t="b">
        <f>E179=F169</f>
        <v>0</v>
      </c>
    </row>
    <row r="180" spans="1:11">
      <c r="A180" s="5" t="s">
        <v>335</v>
      </c>
      <c r="B180" s="6">
        <v>45404</v>
      </c>
      <c r="C180" s="7">
        <v>0.9</v>
      </c>
      <c r="D180" s="5">
        <v>6.52</v>
      </c>
      <c r="E180" s="5">
        <v>24.1</v>
      </c>
      <c r="F180" s="5">
        <v>37</v>
      </c>
      <c r="G180" s="6">
        <v>45404</v>
      </c>
      <c r="H180" s="5"/>
      <c r="I180" s="5"/>
      <c r="J180" s="5">
        <f t="shared" si="15"/>
        <v>12.899999999999999</v>
      </c>
      <c r="K180" s="8" t="b">
        <f>E180=F179</f>
        <v>1</v>
      </c>
    </row>
    <row r="181" spans="1:11">
      <c r="A181" s="5" t="s">
        <v>335</v>
      </c>
      <c r="B181" s="6">
        <v>45408</v>
      </c>
      <c r="C181" s="7">
        <v>0.9</v>
      </c>
      <c r="D181" s="5">
        <v>6.52</v>
      </c>
      <c r="E181" s="5">
        <v>37</v>
      </c>
      <c r="F181" s="5">
        <v>49.8</v>
      </c>
      <c r="G181" s="6">
        <v>45408</v>
      </c>
      <c r="H181" s="5"/>
      <c r="I181" s="5"/>
      <c r="J181" s="5">
        <f t="shared" si="13"/>
        <v>12.799999999999997</v>
      </c>
      <c r="K181" s="8" t="b">
        <f t="shared" si="14"/>
        <v>1</v>
      </c>
    </row>
    <row r="182" spans="1:11">
      <c r="A182" s="5" t="s">
        <v>335</v>
      </c>
      <c r="B182" s="6">
        <v>45411</v>
      </c>
      <c r="C182" s="7">
        <v>0.9</v>
      </c>
      <c r="D182" s="5">
        <v>6.52</v>
      </c>
      <c r="E182" s="5">
        <v>49.8</v>
      </c>
      <c r="F182" s="5">
        <v>62.7</v>
      </c>
      <c r="G182" s="6">
        <v>45411</v>
      </c>
      <c r="H182" s="5"/>
      <c r="I182" s="5"/>
      <c r="J182" s="5">
        <f t="shared" si="13"/>
        <v>12.900000000000006</v>
      </c>
      <c r="K182" s="8" t="b">
        <f t="shared" si="14"/>
        <v>1</v>
      </c>
    </row>
    <row r="183" spans="1:11">
      <c r="A183" s="5" t="s">
        <v>335</v>
      </c>
      <c r="B183" s="6">
        <v>45417</v>
      </c>
      <c r="C183" s="7">
        <v>0.9</v>
      </c>
      <c r="D183" s="5">
        <v>6.52</v>
      </c>
      <c r="E183" s="5">
        <v>62.7</v>
      </c>
      <c r="F183" s="5">
        <v>75.599999999999994</v>
      </c>
      <c r="G183" s="6">
        <v>45417</v>
      </c>
      <c r="H183" s="5"/>
      <c r="I183" s="5"/>
      <c r="J183" s="5">
        <f t="shared" si="13"/>
        <v>12.899999999999991</v>
      </c>
      <c r="K183" s="8" t="b">
        <f t="shared" si="14"/>
        <v>1</v>
      </c>
    </row>
    <row r="184" spans="1:11">
      <c r="A184" s="5" t="s">
        <v>335</v>
      </c>
      <c r="B184" s="6">
        <v>45421</v>
      </c>
      <c r="C184" s="7">
        <v>0.9</v>
      </c>
      <c r="D184" s="5">
        <v>6.52</v>
      </c>
      <c r="E184" s="5">
        <v>75.599999999999994</v>
      </c>
      <c r="F184" s="5">
        <v>88.6</v>
      </c>
      <c r="G184" s="6">
        <v>45421</v>
      </c>
      <c r="H184" s="5"/>
      <c r="I184" s="5"/>
      <c r="J184" s="5">
        <f t="shared" si="13"/>
        <v>13</v>
      </c>
      <c r="K184" s="8" t="b">
        <f t="shared" si="14"/>
        <v>1</v>
      </c>
    </row>
    <row r="185" spans="1:11">
      <c r="A185" s="5" t="s">
        <v>335</v>
      </c>
      <c r="B185" s="6">
        <v>45424</v>
      </c>
      <c r="C185" s="7">
        <v>0.9</v>
      </c>
      <c r="D185" s="5">
        <v>6.52</v>
      </c>
      <c r="E185" s="5">
        <v>88.6</v>
      </c>
      <c r="F185" s="5">
        <v>101.3</v>
      </c>
      <c r="G185" s="6">
        <v>45424</v>
      </c>
      <c r="H185" s="5"/>
      <c r="I185" s="5"/>
      <c r="J185" s="5">
        <f t="shared" si="13"/>
        <v>12.700000000000003</v>
      </c>
      <c r="K185" s="8" t="b">
        <f t="shared" si="14"/>
        <v>1</v>
      </c>
    </row>
    <row r="186" spans="1:11">
      <c r="A186" s="5" t="s">
        <v>335</v>
      </c>
      <c r="B186" s="6">
        <v>45428</v>
      </c>
      <c r="C186" s="7">
        <v>0.9</v>
      </c>
      <c r="D186" s="5">
        <v>6.52</v>
      </c>
      <c r="E186" s="5">
        <v>101.3</v>
      </c>
      <c r="F186" s="5">
        <v>114.1</v>
      </c>
      <c r="G186" s="6">
        <v>45428</v>
      </c>
      <c r="H186" s="5"/>
      <c r="I186" s="5"/>
      <c r="J186" s="5">
        <f t="shared" si="13"/>
        <v>12.799999999999997</v>
      </c>
      <c r="K186" s="8" t="b">
        <f t="shared" si="14"/>
        <v>1</v>
      </c>
    </row>
    <row r="187" spans="1:11">
      <c r="A187" s="5" t="s">
        <v>335</v>
      </c>
      <c r="B187" s="6">
        <v>45464</v>
      </c>
      <c r="C187" s="7">
        <v>0.7</v>
      </c>
      <c r="D187" s="5">
        <v>8.39</v>
      </c>
      <c r="E187" s="5">
        <v>114.1</v>
      </c>
      <c r="F187" s="5">
        <v>130.6</v>
      </c>
      <c r="G187" s="6">
        <v>45464</v>
      </c>
      <c r="H187" s="5"/>
      <c r="I187" s="5"/>
      <c r="J187" s="5">
        <f t="shared" si="13"/>
        <v>16.5</v>
      </c>
      <c r="K187" s="8" t="b">
        <f t="shared" si="14"/>
        <v>1</v>
      </c>
    </row>
    <row r="188" spans="1:11">
      <c r="A188" s="5" t="s">
        <v>335</v>
      </c>
      <c r="B188" s="6"/>
      <c r="C188" s="7"/>
      <c r="D188" s="5"/>
      <c r="E188" s="5"/>
      <c r="F188" s="5"/>
      <c r="G188" s="6"/>
      <c r="H188" s="5"/>
      <c r="I188" s="5"/>
      <c r="J188" s="5">
        <f t="shared" si="13"/>
        <v>0</v>
      </c>
      <c r="K188" s="8" t="b">
        <f t="shared" si="14"/>
        <v>0</v>
      </c>
    </row>
    <row r="189" spans="1:11">
      <c r="A189" s="5" t="s">
        <v>335</v>
      </c>
      <c r="B189" s="6"/>
      <c r="C189" s="7"/>
      <c r="D189" s="5"/>
      <c r="E189" s="5"/>
      <c r="F189" s="5"/>
      <c r="G189" s="6"/>
      <c r="H189" s="5"/>
      <c r="I189" s="5"/>
      <c r="J189" s="5">
        <f t="shared" si="13"/>
        <v>0</v>
      </c>
      <c r="K189" s="8" t="b">
        <f t="shared" si="14"/>
        <v>1</v>
      </c>
    </row>
    <row r="190" spans="1:11">
      <c r="A190" s="5" t="s">
        <v>335</v>
      </c>
      <c r="B190" s="6"/>
      <c r="C190" s="7"/>
      <c r="D190" s="5"/>
      <c r="E190" s="5"/>
      <c r="F190" s="5"/>
      <c r="G190" s="6"/>
      <c r="H190" s="5"/>
      <c r="I190" s="5"/>
      <c r="J190" s="5">
        <f t="shared" si="13"/>
        <v>0</v>
      </c>
      <c r="K190" s="8" t="b">
        <f t="shared" si="14"/>
        <v>1</v>
      </c>
    </row>
    <row r="191" spans="1:11">
      <c r="A191" s="5" t="s">
        <v>335</v>
      </c>
      <c r="B191" s="6"/>
      <c r="C191" s="7"/>
      <c r="D191" s="5"/>
      <c r="E191" s="5"/>
      <c r="F191" s="5"/>
      <c r="G191" s="6"/>
      <c r="H191" s="5"/>
      <c r="I191" s="5"/>
      <c r="J191" s="5">
        <f t="shared" si="13"/>
        <v>0</v>
      </c>
      <c r="K191" s="8" t="b">
        <f t="shared" si="14"/>
        <v>1</v>
      </c>
    </row>
    <row r="192" spans="1:11">
      <c r="A192" s="5" t="s">
        <v>335</v>
      </c>
      <c r="B192" s="6"/>
      <c r="C192" s="7"/>
      <c r="D192" s="5"/>
      <c r="E192" s="5"/>
      <c r="F192" s="5"/>
      <c r="G192" s="6"/>
      <c r="H192" s="5"/>
      <c r="I192" s="5"/>
      <c r="J192" s="5">
        <f t="shared" si="13"/>
        <v>0</v>
      </c>
      <c r="K192" s="8" t="b">
        <f t="shared" si="14"/>
        <v>1</v>
      </c>
    </row>
    <row r="193" spans="1:11">
      <c r="A193" s="5" t="s">
        <v>335</v>
      </c>
      <c r="B193" s="6"/>
      <c r="C193" s="7"/>
      <c r="D193" s="5"/>
      <c r="E193" s="5"/>
      <c r="F193" s="5"/>
      <c r="G193" s="6"/>
      <c r="H193" s="5"/>
      <c r="I193" s="5"/>
      <c r="J193" s="5">
        <f t="shared" si="13"/>
        <v>0</v>
      </c>
      <c r="K193" s="8" t="b">
        <f t="shared" si="14"/>
        <v>1</v>
      </c>
    </row>
    <row r="194" spans="1:11">
      <c r="A194" s="5" t="s">
        <v>335</v>
      </c>
      <c r="B194" s="6"/>
      <c r="C194" s="7"/>
      <c r="D194" s="5"/>
      <c r="E194" s="5"/>
      <c r="F194" s="5"/>
      <c r="G194" s="6"/>
      <c r="H194" s="5"/>
      <c r="I194" s="5"/>
      <c r="J194" s="5">
        <f t="shared" si="13"/>
        <v>0</v>
      </c>
      <c r="K194" s="8" t="b">
        <f t="shared" si="14"/>
        <v>1</v>
      </c>
    </row>
    <row r="195" spans="1:11">
      <c r="A195" s="5" t="s">
        <v>335</v>
      </c>
      <c r="B195" s="6"/>
      <c r="C195" s="7"/>
      <c r="D195" s="5"/>
      <c r="E195" s="5"/>
      <c r="F195" s="5"/>
      <c r="G195" s="6"/>
      <c r="H195" s="5"/>
      <c r="I195" s="5"/>
      <c r="J195" s="5">
        <f t="shared" si="13"/>
        <v>0</v>
      </c>
      <c r="K195" s="8" t="b">
        <f t="shared" si="14"/>
        <v>1</v>
      </c>
    </row>
    <row r="196" spans="1:11">
      <c r="A196" s="5" t="s">
        <v>335</v>
      </c>
      <c r="B196" s="6"/>
      <c r="C196" s="7"/>
      <c r="D196" s="5"/>
      <c r="E196" s="5"/>
      <c r="F196" s="5"/>
      <c r="G196" s="6"/>
      <c r="H196" s="5"/>
      <c r="I196" s="5"/>
      <c r="J196" s="5">
        <f t="shared" si="13"/>
        <v>0</v>
      </c>
      <c r="K196" s="8" t="b">
        <f t="shared" si="14"/>
        <v>1</v>
      </c>
    </row>
    <row r="197" spans="1:11">
      <c r="A197" s="5" t="s">
        <v>335</v>
      </c>
      <c r="B197" s="6"/>
      <c r="C197" s="7"/>
      <c r="D197" s="5"/>
      <c r="E197" s="5"/>
      <c r="F197" s="5"/>
      <c r="G197" s="6"/>
      <c r="H197" s="5"/>
      <c r="I197" s="5"/>
      <c r="J197" s="5">
        <f t="shared" si="13"/>
        <v>0</v>
      </c>
      <c r="K197" s="8" t="b">
        <f t="shared" si="14"/>
        <v>1</v>
      </c>
    </row>
    <row r="198" spans="1:11">
      <c r="A198" s="5" t="s">
        <v>335</v>
      </c>
      <c r="B198" s="6"/>
      <c r="C198" s="7"/>
      <c r="D198" s="5"/>
      <c r="E198" s="5"/>
      <c r="F198" s="5"/>
      <c r="G198" s="6"/>
      <c r="H198" s="5"/>
      <c r="I198" s="5"/>
      <c r="J198" s="5">
        <f t="shared" si="13"/>
        <v>0</v>
      </c>
      <c r="K198" s="8" t="b">
        <f t="shared" si="14"/>
        <v>1</v>
      </c>
    </row>
    <row r="199" spans="1:11">
      <c r="A199" s="5" t="s">
        <v>335</v>
      </c>
      <c r="B199" s="6"/>
      <c r="C199" s="7"/>
      <c r="D199" s="5"/>
      <c r="E199" s="5"/>
      <c r="F199" s="5"/>
      <c r="G199" s="6"/>
      <c r="H199" s="5"/>
      <c r="I199" s="5"/>
      <c r="J199" s="5">
        <f t="shared" si="13"/>
        <v>0</v>
      </c>
      <c r="K199" s="8" t="b">
        <f t="shared" si="14"/>
        <v>1</v>
      </c>
    </row>
    <row r="200" spans="1:11">
      <c r="A200" s="5" t="s">
        <v>335</v>
      </c>
      <c r="B200" s="6"/>
      <c r="C200" s="7"/>
      <c r="D200" s="5"/>
      <c r="E200" s="5"/>
      <c r="F200" s="5"/>
      <c r="G200" s="6"/>
      <c r="H200" s="5"/>
      <c r="I200" s="5"/>
      <c r="J200" s="5">
        <f t="shared" si="13"/>
        <v>0</v>
      </c>
      <c r="K200" s="8" t="b">
        <f t="shared" si="14"/>
        <v>1</v>
      </c>
    </row>
    <row r="201" spans="1:11">
      <c r="A201" s="5" t="s">
        <v>335</v>
      </c>
      <c r="B201" s="6"/>
      <c r="C201" s="7"/>
      <c r="D201" s="5"/>
      <c r="E201" s="5"/>
      <c r="F201" s="5"/>
      <c r="G201" s="6"/>
      <c r="H201" s="5"/>
      <c r="I201" s="5"/>
      <c r="J201" s="5">
        <f t="shared" si="13"/>
        <v>0</v>
      </c>
      <c r="K201" s="8" t="b">
        <f t="shared" si="14"/>
        <v>1</v>
      </c>
    </row>
    <row r="202" spans="1:11">
      <c r="A202" s="5" t="s">
        <v>335</v>
      </c>
      <c r="B202" s="6"/>
      <c r="C202" s="7"/>
      <c r="D202" s="5"/>
      <c r="E202" s="5"/>
      <c r="F202" s="5"/>
      <c r="G202" s="6"/>
      <c r="H202" s="5"/>
      <c r="I202" s="5"/>
      <c r="J202" s="5">
        <f t="shared" si="13"/>
        <v>0</v>
      </c>
      <c r="K202" s="8" t="b">
        <f t="shared" si="14"/>
        <v>1</v>
      </c>
    </row>
    <row r="203" spans="1:11">
      <c r="A203" s="5" t="s">
        <v>335</v>
      </c>
      <c r="B203" s="6"/>
      <c r="C203" s="7"/>
      <c r="D203" s="5"/>
      <c r="E203" s="5"/>
      <c r="F203" s="5"/>
      <c r="G203" s="6"/>
      <c r="H203" s="5"/>
      <c r="I203" s="5"/>
      <c r="J203" s="5">
        <f t="shared" si="13"/>
        <v>0</v>
      </c>
      <c r="K203" s="8" t="b">
        <f t="shared" si="14"/>
        <v>1</v>
      </c>
    </row>
    <row r="204" spans="1:11">
      <c r="A204" s="5" t="s">
        <v>335</v>
      </c>
      <c r="B204" s="6"/>
      <c r="C204" s="7"/>
      <c r="D204" s="5"/>
      <c r="E204" s="5"/>
      <c r="F204" s="5"/>
      <c r="G204" s="6"/>
      <c r="H204" s="5"/>
      <c r="I204" s="5"/>
      <c r="J204" s="5">
        <f t="shared" si="13"/>
        <v>0</v>
      </c>
      <c r="K204" s="8" t="b">
        <f t="shared" si="14"/>
        <v>1</v>
      </c>
    </row>
    <row r="205" spans="1:11">
      <c r="A205" s="5" t="s">
        <v>335</v>
      </c>
      <c r="B205" s="6"/>
      <c r="C205" s="7"/>
      <c r="D205" s="5"/>
      <c r="E205" s="5"/>
      <c r="F205" s="5"/>
      <c r="G205" s="6"/>
      <c r="H205" s="5"/>
      <c r="I205" s="5"/>
      <c r="J205" s="5">
        <f t="shared" si="13"/>
        <v>0</v>
      </c>
      <c r="K205" s="8" t="b">
        <f t="shared" si="14"/>
        <v>1</v>
      </c>
    </row>
    <row r="206" spans="1:11">
      <c r="A206" s="5" t="s">
        <v>335</v>
      </c>
      <c r="B206" s="6"/>
      <c r="C206" s="7"/>
      <c r="D206" s="5"/>
      <c r="E206" s="5"/>
      <c r="F206" s="5"/>
      <c r="G206" s="6"/>
      <c r="H206" s="5"/>
      <c r="I206" s="5"/>
      <c r="J206" s="5">
        <f t="shared" si="13"/>
        <v>0</v>
      </c>
      <c r="K206" s="8" t="b">
        <f t="shared" si="14"/>
        <v>1</v>
      </c>
    </row>
    <row r="207" spans="1:11">
      <c r="A207" s="5" t="s">
        <v>335</v>
      </c>
      <c r="B207" s="6"/>
      <c r="C207" s="7"/>
      <c r="D207" s="5"/>
      <c r="E207" s="5"/>
      <c r="F207" s="5"/>
      <c r="G207" s="6"/>
      <c r="H207" s="5"/>
      <c r="I207" s="5"/>
      <c r="J207" s="5">
        <f t="shared" si="13"/>
        <v>0</v>
      </c>
      <c r="K207" s="8" t="b">
        <f t="shared" si="14"/>
        <v>1</v>
      </c>
    </row>
    <row r="208" spans="1:11">
      <c r="A208" s="5" t="s">
        <v>335</v>
      </c>
      <c r="B208" s="6"/>
      <c r="C208" s="7"/>
      <c r="D208" s="5"/>
      <c r="E208" s="5"/>
      <c r="F208" s="5"/>
      <c r="G208" s="6"/>
      <c r="H208" s="5"/>
      <c r="I208" s="5"/>
      <c r="J208" s="5">
        <f t="shared" si="13"/>
        <v>0</v>
      </c>
      <c r="K208" s="8" t="b">
        <f t="shared" si="14"/>
        <v>1</v>
      </c>
    </row>
    <row r="209" spans="1:11">
      <c r="A209" s="5" t="s">
        <v>335</v>
      </c>
      <c r="B209" s="6"/>
      <c r="C209" s="7"/>
      <c r="D209" s="5"/>
      <c r="E209" s="5"/>
      <c r="F209" s="5"/>
      <c r="G209" s="6"/>
      <c r="H209" s="5"/>
      <c r="I209" s="5"/>
      <c r="J209" s="5">
        <f t="shared" si="13"/>
        <v>0</v>
      </c>
      <c r="K209" s="8" t="b">
        <f t="shared" si="14"/>
        <v>1</v>
      </c>
    </row>
    <row r="210" spans="1:11">
      <c r="A210" s="5" t="s">
        <v>335</v>
      </c>
      <c r="B210" s="6"/>
      <c r="C210" s="7"/>
      <c r="D210" s="5"/>
      <c r="E210" s="5"/>
      <c r="F210" s="5"/>
      <c r="G210" s="6"/>
      <c r="H210" s="5"/>
      <c r="I210" s="5"/>
      <c r="J210" s="5">
        <f t="shared" si="13"/>
        <v>0</v>
      </c>
      <c r="K210" s="8" t="b">
        <f t="shared" si="14"/>
        <v>1</v>
      </c>
    </row>
    <row r="211" spans="1:11">
      <c r="A211" s="5" t="s">
        <v>335</v>
      </c>
      <c r="B211" s="6"/>
      <c r="C211" s="7"/>
      <c r="D211" s="5"/>
      <c r="E211" s="5"/>
      <c r="F211" s="5"/>
      <c r="G211" s="6"/>
      <c r="H211" s="5"/>
      <c r="I211" s="5"/>
      <c r="J211" s="5">
        <f t="shared" si="13"/>
        <v>0</v>
      </c>
      <c r="K211" s="8" t="b">
        <f t="shared" si="14"/>
        <v>1</v>
      </c>
    </row>
    <row r="212" spans="1:11">
      <c r="A212" s="5" t="s">
        <v>335</v>
      </c>
      <c r="B212" s="6"/>
      <c r="C212" s="7"/>
      <c r="D212" s="5"/>
      <c r="E212" s="5"/>
      <c r="F212" s="5"/>
      <c r="G212" s="6"/>
      <c r="H212" s="5"/>
      <c r="I212" s="5"/>
      <c r="J212" s="5">
        <f t="shared" si="13"/>
        <v>0</v>
      </c>
      <c r="K212" s="8" t="b">
        <f t="shared" si="14"/>
        <v>1</v>
      </c>
    </row>
    <row r="213" spans="1:11">
      <c r="A213" s="5" t="s">
        <v>335</v>
      </c>
      <c r="B213" s="6"/>
      <c r="C213" s="7"/>
      <c r="D213" s="5"/>
      <c r="E213" s="5"/>
      <c r="F213" s="5"/>
      <c r="G213" s="6"/>
      <c r="H213" s="5"/>
      <c r="I213" s="5"/>
      <c r="J213" s="5">
        <f t="shared" si="13"/>
        <v>0</v>
      </c>
      <c r="K213" s="8" t="b">
        <f t="shared" si="14"/>
        <v>1</v>
      </c>
    </row>
    <row r="214" spans="1:11">
      <c r="A214" s="5" t="s">
        <v>335</v>
      </c>
      <c r="B214" s="6"/>
      <c r="C214" s="7"/>
      <c r="D214" s="5"/>
      <c r="E214" s="5"/>
      <c r="F214" s="5"/>
      <c r="G214" s="6"/>
      <c r="H214" s="5"/>
      <c r="I214" s="5"/>
      <c r="J214" s="5">
        <f t="shared" si="13"/>
        <v>0</v>
      </c>
      <c r="K214" s="8" t="b">
        <f t="shared" si="14"/>
        <v>1</v>
      </c>
    </row>
    <row r="215" spans="1:11">
      <c r="A215" s="5" t="s">
        <v>335</v>
      </c>
      <c r="B215" s="6"/>
      <c r="C215" s="7"/>
      <c r="D215" s="5"/>
      <c r="E215" s="5"/>
      <c r="F215" s="5"/>
      <c r="G215" s="6"/>
      <c r="H215" s="5"/>
      <c r="I215" s="5"/>
      <c r="J215" s="5">
        <f t="shared" si="13"/>
        <v>0</v>
      </c>
      <c r="K215" s="8" t="b">
        <f t="shared" si="14"/>
        <v>1</v>
      </c>
    </row>
    <row r="216" spans="1:11">
      <c r="A216" s="5" t="s">
        <v>335</v>
      </c>
      <c r="B216" s="6"/>
      <c r="C216" s="7"/>
      <c r="D216" s="5"/>
      <c r="E216" s="5"/>
      <c r="F216" s="5"/>
      <c r="G216" s="6"/>
      <c r="H216" s="5"/>
      <c r="I216" s="5"/>
      <c r="J216" s="5">
        <f t="shared" si="13"/>
        <v>0</v>
      </c>
      <c r="K216" s="8" t="b">
        <f t="shared" si="14"/>
        <v>1</v>
      </c>
    </row>
    <row r="217" spans="1:11">
      <c r="A217" s="5" t="s">
        <v>335</v>
      </c>
      <c r="B217" s="6"/>
      <c r="C217" s="7"/>
      <c r="D217" s="5"/>
      <c r="E217" s="5"/>
      <c r="F217" s="5"/>
      <c r="G217" s="6"/>
      <c r="H217" s="5"/>
      <c r="I217" s="5"/>
      <c r="J217" s="5">
        <f t="shared" si="13"/>
        <v>0</v>
      </c>
      <c r="K217" s="8" t="b">
        <f t="shared" si="14"/>
        <v>1</v>
      </c>
    </row>
    <row r="218" spans="1:11">
      <c r="A218" s="5" t="s">
        <v>335</v>
      </c>
      <c r="B218" s="6"/>
      <c r="C218" s="7"/>
      <c r="D218" s="5"/>
      <c r="E218" s="5"/>
      <c r="F218" s="5"/>
      <c r="G218" s="6"/>
      <c r="H218" s="5"/>
      <c r="I218" s="5"/>
      <c r="J218" s="5">
        <f t="shared" si="13"/>
        <v>0</v>
      </c>
      <c r="K218" s="8" t="b">
        <f t="shared" si="14"/>
        <v>1</v>
      </c>
    </row>
    <row r="219" spans="1:11">
      <c r="A219" s="5" t="s">
        <v>335</v>
      </c>
      <c r="B219" s="6"/>
      <c r="C219" s="7"/>
      <c r="D219" s="5"/>
      <c r="E219" s="5"/>
      <c r="F219" s="5"/>
      <c r="G219" s="6"/>
      <c r="H219" s="5"/>
      <c r="I219" s="5"/>
      <c r="J219" s="5">
        <f t="shared" si="13"/>
        <v>0</v>
      </c>
      <c r="K219" s="8" t="b">
        <f t="shared" si="14"/>
        <v>1</v>
      </c>
    </row>
    <row r="220" spans="1:11">
      <c r="A220" s="5" t="s">
        <v>335</v>
      </c>
      <c r="B220" s="6"/>
      <c r="C220" s="7"/>
      <c r="D220" s="5"/>
      <c r="E220" s="5"/>
      <c r="F220" s="5"/>
      <c r="G220" s="6"/>
      <c r="H220" s="5"/>
      <c r="I220" s="5"/>
      <c r="J220" s="5">
        <f t="shared" si="13"/>
        <v>0</v>
      </c>
      <c r="K220" s="8" t="b">
        <f t="shared" si="14"/>
        <v>1</v>
      </c>
    </row>
    <row r="221" spans="1:11">
      <c r="A221" s="5" t="s">
        <v>335</v>
      </c>
      <c r="B221" s="6"/>
      <c r="C221" s="7"/>
      <c r="D221" s="5"/>
      <c r="E221" s="5"/>
      <c r="F221" s="5"/>
      <c r="G221" s="6"/>
      <c r="H221" s="5"/>
      <c r="I221" s="5"/>
      <c r="J221" s="5">
        <f t="shared" si="13"/>
        <v>0</v>
      </c>
      <c r="K221" s="8" t="b">
        <f t="shared" si="14"/>
        <v>1</v>
      </c>
    </row>
    <row r="222" spans="1:11">
      <c r="A222" s="5" t="s">
        <v>335</v>
      </c>
      <c r="B222" s="6"/>
      <c r="C222" s="7"/>
      <c r="D222" s="5"/>
      <c r="E222" s="5"/>
      <c r="F222" s="5"/>
      <c r="G222" s="6"/>
      <c r="H222" s="5"/>
      <c r="I222" s="5"/>
      <c r="J222" s="5">
        <f t="shared" si="13"/>
        <v>0</v>
      </c>
      <c r="K222" s="8" t="b">
        <f t="shared" si="14"/>
        <v>1</v>
      </c>
    </row>
    <row r="223" spans="1:11">
      <c r="A223" s="5" t="s">
        <v>335</v>
      </c>
      <c r="B223" s="6"/>
      <c r="C223" s="7"/>
      <c r="D223" s="5"/>
      <c r="E223" s="5"/>
      <c r="F223" s="5"/>
      <c r="G223" s="6"/>
      <c r="H223" s="5"/>
      <c r="I223" s="5"/>
      <c r="J223" s="5">
        <f t="shared" si="13"/>
        <v>0</v>
      </c>
      <c r="K223" s="8" t="b">
        <f t="shared" si="14"/>
        <v>1</v>
      </c>
    </row>
    <row r="224" spans="1:11">
      <c r="A224" s="5" t="s">
        <v>335</v>
      </c>
      <c r="B224" s="6"/>
      <c r="C224" s="7"/>
      <c r="D224" s="5"/>
      <c r="E224" s="5"/>
      <c r="F224" s="5"/>
      <c r="G224" s="6"/>
      <c r="H224" s="5"/>
      <c r="I224" s="5"/>
      <c r="J224" s="5">
        <f t="shared" si="13"/>
        <v>0</v>
      </c>
      <c r="K224" s="8" t="b">
        <f t="shared" si="14"/>
        <v>1</v>
      </c>
    </row>
    <row r="225" spans="1:11">
      <c r="A225" s="5" t="s">
        <v>335</v>
      </c>
      <c r="B225" s="6"/>
      <c r="C225" s="7"/>
      <c r="D225" s="5"/>
      <c r="E225" s="5"/>
      <c r="F225" s="5"/>
      <c r="G225" s="6"/>
      <c r="H225" s="5"/>
      <c r="I225" s="5"/>
      <c r="J225" s="5">
        <f t="shared" si="13"/>
        <v>0</v>
      </c>
      <c r="K225" s="8" t="b">
        <f t="shared" si="14"/>
        <v>1</v>
      </c>
    </row>
    <row r="226" spans="1:11">
      <c r="A226" s="5" t="s">
        <v>335</v>
      </c>
      <c r="B226" s="6"/>
      <c r="C226" s="7"/>
      <c r="D226" s="5"/>
      <c r="E226" s="5"/>
      <c r="F226" s="5"/>
      <c r="G226" s="6"/>
      <c r="H226" s="5"/>
      <c r="I226" s="5"/>
      <c r="J226" s="5">
        <f t="shared" si="13"/>
        <v>0</v>
      </c>
      <c r="K226" s="8" t="b">
        <f t="shared" si="14"/>
        <v>1</v>
      </c>
    </row>
    <row r="227" spans="1:11">
      <c r="A227" s="5" t="s">
        <v>335</v>
      </c>
      <c r="B227" s="6"/>
      <c r="C227" s="7"/>
      <c r="D227" s="5"/>
      <c r="E227" s="5"/>
      <c r="F227" s="5"/>
      <c r="G227" s="6"/>
      <c r="H227" s="5"/>
      <c r="I227" s="5"/>
      <c r="J227" s="5">
        <f t="shared" si="13"/>
        <v>0</v>
      </c>
      <c r="K227" s="8" t="b">
        <f t="shared" si="14"/>
        <v>1</v>
      </c>
    </row>
    <row r="228" spans="1:11">
      <c r="A228" s="5" t="s">
        <v>335</v>
      </c>
      <c r="B228" s="6"/>
      <c r="C228" s="7"/>
      <c r="D228" s="5"/>
      <c r="E228" s="5"/>
      <c r="F228" s="5"/>
      <c r="G228" s="6"/>
      <c r="H228" s="5"/>
      <c r="I228" s="5"/>
      <c r="J228" s="5">
        <f t="shared" si="13"/>
        <v>0</v>
      </c>
      <c r="K228" s="8" t="b">
        <f t="shared" si="14"/>
        <v>1</v>
      </c>
    </row>
    <row r="229" spans="1:11">
      <c r="A229" s="5" t="s">
        <v>335</v>
      </c>
      <c r="B229" s="6"/>
      <c r="C229" s="7"/>
      <c r="D229" s="5"/>
      <c r="E229" s="5"/>
      <c r="F229" s="5"/>
      <c r="G229" s="6"/>
      <c r="H229" s="5"/>
      <c r="I229" s="5"/>
      <c r="J229" s="5">
        <f t="shared" si="13"/>
        <v>0</v>
      </c>
      <c r="K229" s="8" t="b">
        <f t="shared" si="14"/>
        <v>1</v>
      </c>
    </row>
    <row r="230" spans="1:11">
      <c r="A230" s="5" t="s">
        <v>335</v>
      </c>
      <c r="B230" s="6"/>
      <c r="C230" s="7"/>
      <c r="D230" s="5"/>
      <c r="E230" s="5"/>
      <c r="F230" s="5"/>
      <c r="G230" s="6"/>
      <c r="H230" s="5"/>
      <c r="I230" s="5"/>
      <c r="J230" s="5">
        <f t="shared" ref="J230:J262" si="16">F230-E230</f>
        <v>0</v>
      </c>
      <c r="K230" s="8" t="b">
        <f t="shared" ref="K230:K262" si="17">E230=F229</f>
        <v>1</v>
      </c>
    </row>
    <row r="231" spans="1:11">
      <c r="A231" s="5" t="s">
        <v>335</v>
      </c>
      <c r="B231" s="6"/>
      <c r="C231" s="7"/>
      <c r="D231" s="5"/>
      <c r="E231" s="5"/>
      <c r="F231" s="5"/>
      <c r="G231" s="6"/>
      <c r="H231" s="5"/>
      <c r="I231" s="5"/>
      <c r="J231" s="5">
        <f t="shared" si="16"/>
        <v>0</v>
      </c>
      <c r="K231" s="8" t="b">
        <f t="shared" si="17"/>
        <v>1</v>
      </c>
    </row>
    <row r="232" spans="1:11">
      <c r="A232" s="5" t="s">
        <v>335</v>
      </c>
      <c r="B232" s="6"/>
      <c r="C232" s="7"/>
      <c r="D232" s="5"/>
      <c r="E232" s="5"/>
      <c r="F232" s="5"/>
      <c r="G232" s="6"/>
      <c r="H232" s="5"/>
      <c r="I232" s="5"/>
      <c r="J232" s="5">
        <f t="shared" si="16"/>
        <v>0</v>
      </c>
      <c r="K232" s="8" t="b">
        <f t="shared" si="17"/>
        <v>1</v>
      </c>
    </row>
    <row r="233" spans="1:11">
      <c r="A233" s="5" t="s">
        <v>335</v>
      </c>
      <c r="B233" s="6"/>
      <c r="C233" s="7"/>
      <c r="D233" s="5"/>
      <c r="E233" s="5"/>
      <c r="F233" s="5"/>
      <c r="G233" s="6"/>
      <c r="H233" s="5"/>
      <c r="I233" s="5"/>
      <c r="J233" s="5">
        <f t="shared" si="16"/>
        <v>0</v>
      </c>
      <c r="K233" s="8" t="b">
        <f t="shared" si="17"/>
        <v>1</v>
      </c>
    </row>
    <row r="234" spans="1:11">
      <c r="A234" s="5" t="s">
        <v>335</v>
      </c>
      <c r="B234" s="6"/>
      <c r="C234" s="7"/>
      <c r="D234" s="5"/>
      <c r="E234" s="5"/>
      <c r="F234" s="5"/>
      <c r="G234" s="6"/>
      <c r="H234" s="5"/>
      <c r="I234" s="5"/>
      <c r="J234" s="5">
        <f t="shared" si="16"/>
        <v>0</v>
      </c>
      <c r="K234" s="8" t="b">
        <f t="shared" si="17"/>
        <v>1</v>
      </c>
    </row>
    <row r="235" spans="1:11">
      <c r="A235" s="5" t="s">
        <v>335</v>
      </c>
      <c r="B235" s="6"/>
      <c r="C235" s="7"/>
      <c r="D235" s="5"/>
      <c r="E235" s="5"/>
      <c r="F235" s="5"/>
      <c r="G235" s="6"/>
      <c r="H235" s="5"/>
      <c r="I235" s="5"/>
      <c r="J235" s="5">
        <f t="shared" si="16"/>
        <v>0</v>
      </c>
      <c r="K235" s="8" t="b">
        <f t="shared" si="17"/>
        <v>1</v>
      </c>
    </row>
    <row r="236" spans="1:11">
      <c r="A236" s="5" t="s">
        <v>335</v>
      </c>
      <c r="B236" s="6"/>
      <c r="C236" s="7"/>
      <c r="D236" s="5"/>
      <c r="E236" s="5"/>
      <c r="F236" s="5"/>
      <c r="G236" s="6"/>
      <c r="H236" s="5"/>
      <c r="I236" s="5"/>
      <c r="J236" s="5">
        <f t="shared" si="16"/>
        <v>0</v>
      </c>
      <c r="K236" s="8" t="b">
        <f t="shared" si="17"/>
        <v>1</v>
      </c>
    </row>
    <row r="237" spans="1:11">
      <c r="A237" s="5" t="s">
        <v>335</v>
      </c>
      <c r="B237" s="6"/>
      <c r="C237" s="7"/>
      <c r="D237" s="5"/>
      <c r="E237" s="5"/>
      <c r="F237" s="5"/>
      <c r="G237" s="6"/>
      <c r="H237" s="5"/>
      <c r="I237" s="5"/>
      <c r="J237" s="5">
        <f t="shared" si="16"/>
        <v>0</v>
      </c>
      <c r="K237" s="8" t="b">
        <f t="shared" si="17"/>
        <v>1</v>
      </c>
    </row>
    <row r="238" spans="1:11">
      <c r="A238" s="5" t="s">
        <v>335</v>
      </c>
      <c r="B238" s="6"/>
      <c r="C238" s="7"/>
      <c r="D238" s="5"/>
      <c r="E238" s="5"/>
      <c r="F238" s="5"/>
      <c r="G238" s="6"/>
      <c r="H238" s="5"/>
      <c r="I238" s="5"/>
      <c r="J238" s="5">
        <f t="shared" si="16"/>
        <v>0</v>
      </c>
      <c r="K238" s="8" t="b">
        <f t="shared" si="17"/>
        <v>1</v>
      </c>
    </row>
    <row r="239" spans="1:11">
      <c r="A239" s="5" t="s">
        <v>335</v>
      </c>
      <c r="B239" s="6"/>
      <c r="C239" s="7"/>
      <c r="D239" s="5"/>
      <c r="E239" s="5"/>
      <c r="F239" s="5"/>
      <c r="G239" s="6"/>
      <c r="H239" s="5"/>
      <c r="I239" s="5"/>
      <c r="J239" s="5">
        <f t="shared" si="16"/>
        <v>0</v>
      </c>
      <c r="K239" s="8" t="b">
        <f t="shared" si="17"/>
        <v>1</v>
      </c>
    </row>
    <row r="240" spans="1:11">
      <c r="A240" s="5" t="s">
        <v>335</v>
      </c>
      <c r="B240" s="6"/>
      <c r="C240" s="7"/>
      <c r="D240" s="5"/>
      <c r="E240" s="5"/>
      <c r="F240" s="5"/>
      <c r="G240" s="6"/>
      <c r="H240" s="5"/>
      <c r="I240" s="5"/>
      <c r="J240" s="5">
        <f t="shared" si="16"/>
        <v>0</v>
      </c>
      <c r="K240" s="8" t="b">
        <f t="shared" si="17"/>
        <v>1</v>
      </c>
    </row>
    <row r="241" spans="1:11">
      <c r="A241" s="5" t="s">
        <v>335</v>
      </c>
      <c r="B241" s="6"/>
      <c r="C241" s="7"/>
      <c r="D241" s="5"/>
      <c r="E241" s="5"/>
      <c r="F241" s="5"/>
      <c r="G241" s="6"/>
      <c r="H241" s="5"/>
      <c r="I241" s="5"/>
      <c r="J241" s="5">
        <f t="shared" si="16"/>
        <v>0</v>
      </c>
      <c r="K241" s="8" t="b">
        <f t="shared" si="17"/>
        <v>1</v>
      </c>
    </row>
    <row r="242" spans="1:11">
      <c r="A242" s="5" t="s">
        <v>335</v>
      </c>
      <c r="B242" s="6"/>
      <c r="C242" s="7"/>
      <c r="D242" s="5"/>
      <c r="E242" s="5"/>
      <c r="F242" s="5"/>
      <c r="G242" s="6"/>
      <c r="H242" s="5"/>
      <c r="I242" s="5"/>
      <c r="J242" s="5">
        <f t="shared" si="16"/>
        <v>0</v>
      </c>
      <c r="K242" s="8" t="b">
        <f t="shared" si="17"/>
        <v>1</v>
      </c>
    </row>
    <row r="243" spans="1:11">
      <c r="A243" s="5" t="s">
        <v>335</v>
      </c>
      <c r="B243" s="6"/>
      <c r="C243" s="7"/>
      <c r="D243" s="5"/>
      <c r="E243" s="5"/>
      <c r="F243" s="5"/>
      <c r="G243" s="6"/>
      <c r="H243" s="5"/>
      <c r="I243" s="5"/>
      <c r="J243" s="5">
        <f t="shared" si="16"/>
        <v>0</v>
      </c>
      <c r="K243" s="8" t="b">
        <f t="shared" si="17"/>
        <v>1</v>
      </c>
    </row>
    <row r="244" spans="1:11">
      <c r="A244" s="5" t="s">
        <v>335</v>
      </c>
      <c r="B244" s="6"/>
      <c r="C244" s="7"/>
      <c r="D244" s="5"/>
      <c r="E244" s="5"/>
      <c r="F244" s="5"/>
      <c r="G244" s="6"/>
      <c r="H244" s="5"/>
      <c r="I244" s="5"/>
      <c r="J244" s="5">
        <f t="shared" si="16"/>
        <v>0</v>
      </c>
      <c r="K244" s="8" t="b">
        <f t="shared" si="17"/>
        <v>1</v>
      </c>
    </row>
    <row r="245" spans="1:11">
      <c r="A245" s="5" t="s">
        <v>335</v>
      </c>
      <c r="B245" s="6"/>
      <c r="C245" s="7"/>
      <c r="D245" s="5"/>
      <c r="E245" s="5"/>
      <c r="F245" s="5"/>
      <c r="G245" s="6"/>
      <c r="H245" s="5"/>
      <c r="I245" s="5"/>
      <c r="J245" s="5">
        <f t="shared" si="16"/>
        <v>0</v>
      </c>
      <c r="K245" s="8" t="b">
        <f t="shared" si="17"/>
        <v>1</v>
      </c>
    </row>
    <row r="246" spans="1:11">
      <c r="A246" s="5" t="s">
        <v>335</v>
      </c>
      <c r="B246" s="6"/>
      <c r="C246" s="7"/>
      <c r="D246" s="5"/>
      <c r="E246" s="5"/>
      <c r="F246" s="5"/>
      <c r="G246" s="6"/>
      <c r="H246" s="5"/>
      <c r="I246" s="5"/>
      <c r="J246" s="5">
        <f t="shared" si="16"/>
        <v>0</v>
      </c>
      <c r="K246" s="8" t="b">
        <f t="shared" si="17"/>
        <v>1</v>
      </c>
    </row>
    <row r="247" spans="1:11">
      <c r="A247" s="5" t="s">
        <v>335</v>
      </c>
      <c r="B247" s="6"/>
      <c r="C247" s="7"/>
      <c r="D247" s="5"/>
      <c r="E247" s="5"/>
      <c r="F247" s="5"/>
      <c r="G247" s="6"/>
      <c r="H247" s="5"/>
      <c r="I247" s="5"/>
      <c r="J247" s="5">
        <f t="shared" si="16"/>
        <v>0</v>
      </c>
      <c r="K247" s="8" t="b">
        <f t="shared" si="17"/>
        <v>1</v>
      </c>
    </row>
    <row r="248" spans="1:11">
      <c r="A248" s="5" t="s">
        <v>335</v>
      </c>
      <c r="B248" s="6"/>
      <c r="C248" s="7"/>
      <c r="D248" s="5"/>
      <c r="E248" s="5"/>
      <c r="F248" s="5"/>
      <c r="G248" s="6"/>
      <c r="H248" s="5"/>
      <c r="I248" s="5"/>
      <c r="J248" s="5">
        <f t="shared" si="16"/>
        <v>0</v>
      </c>
      <c r="K248" s="8" t="b">
        <f t="shared" si="17"/>
        <v>1</v>
      </c>
    </row>
    <row r="249" spans="1:11">
      <c r="A249" s="5" t="s">
        <v>335</v>
      </c>
      <c r="B249" s="6"/>
      <c r="C249" s="7"/>
      <c r="D249" s="5"/>
      <c r="E249" s="5"/>
      <c r="F249" s="5"/>
      <c r="G249" s="6"/>
      <c r="H249" s="5"/>
      <c r="I249" s="5"/>
      <c r="J249" s="5">
        <f t="shared" si="16"/>
        <v>0</v>
      </c>
      <c r="K249" s="8" t="b">
        <f t="shared" si="17"/>
        <v>1</v>
      </c>
    </row>
    <row r="250" spans="1:11">
      <c r="A250" s="5" t="s">
        <v>335</v>
      </c>
      <c r="B250" s="6"/>
      <c r="C250" s="7"/>
      <c r="D250" s="5"/>
      <c r="E250" s="5"/>
      <c r="F250" s="5"/>
      <c r="G250" s="6"/>
      <c r="H250" s="5"/>
      <c r="I250" s="5"/>
      <c r="J250" s="5">
        <f t="shared" si="16"/>
        <v>0</v>
      </c>
      <c r="K250" s="8" t="b">
        <f t="shared" si="17"/>
        <v>1</v>
      </c>
    </row>
    <row r="251" spans="1:11">
      <c r="A251" s="5" t="s">
        <v>335</v>
      </c>
      <c r="B251" s="6"/>
      <c r="C251" s="7"/>
      <c r="D251" s="5"/>
      <c r="E251" s="5"/>
      <c r="F251" s="5"/>
      <c r="G251" s="6"/>
      <c r="H251" s="5"/>
      <c r="I251" s="5"/>
      <c r="J251" s="5">
        <f t="shared" si="16"/>
        <v>0</v>
      </c>
      <c r="K251" s="8" t="b">
        <f t="shared" si="17"/>
        <v>1</v>
      </c>
    </row>
    <row r="252" spans="1:11">
      <c r="A252" s="5" t="s">
        <v>335</v>
      </c>
      <c r="B252" s="6"/>
      <c r="C252" s="7"/>
      <c r="D252" s="5"/>
      <c r="E252" s="5"/>
      <c r="F252" s="5"/>
      <c r="G252" s="6"/>
      <c r="H252" s="5"/>
      <c r="I252" s="5"/>
      <c r="J252" s="5">
        <f t="shared" si="16"/>
        <v>0</v>
      </c>
      <c r="K252" s="8" t="b">
        <f t="shared" si="17"/>
        <v>1</v>
      </c>
    </row>
    <row r="253" spans="1:11">
      <c r="A253" s="5" t="s">
        <v>335</v>
      </c>
      <c r="B253" s="6"/>
      <c r="C253" s="7"/>
      <c r="D253" s="5"/>
      <c r="E253" s="5"/>
      <c r="F253" s="5"/>
      <c r="G253" s="6"/>
      <c r="H253" s="5"/>
      <c r="I253" s="5"/>
      <c r="J253" s="5">
        <f t="shared" si="16"/>
        <v>0</v>
      </c>
      <c r="K253" s="8" t="b">
        <f t="shared" si="17"/>
        <v>1</v>
      </c>
    </row>
    <row r="254" spans="1:11">
      <c r="A254" s="5" t="s">
        <v>335</v>
      </c>
      <c r="B254" s="6"/>
      <c r="C254" s="7"/>
      <c r="D254" s="5"/>
      <c r="E254" s="5"/>
      <c r="F254" s="5"/>
      <c r="G254" s="6"/>
      <c r="H254" s="5"/>
      <c r="I254" s="5"/>
      <c r="J254" s="5">
        <f t="shared" si="16"/>
        <v>0</v>
      </c>
      <c r="K254" s="8" t="b">
        <f t="shared" si="17"/>
        <v>1</v>
      </c>
    </row>
    <row r="255" spans="1:11">
      <c r="A255" s="5" t="s">
        <v>335</v>
      </c>
      <c r="B255" s="6"/>
      <c r="C255" s="7"/>
      <c r="D255" s="5"/>
      <c r="E255" s="5"/>
      <c r="F255" s="5"/>
      <c r="G255" s="6"/>
      <c r="H255" s="5"/>
      <c r="I255" s="5"/>
      <c r="J255" s="5">
        <f t="shared" si="16"/>
        <v>0</v>
      </c>
      <c r="K255" s="8" t="b">
        <f t="shared" si="17"/>
        <v>1</v>
      </c>
    </row>
    <row r="256" spans="1:11">
      <c r="A256" s="5" t="s">
        <v>335</v>
      </c>
      <c r="B256" s="6"/>
      <c r="C256" s="7"/>
      <c r="D256" s="5"/>
      <c r="E256" s="5"/>
      <c r="F256" s="5"/>
      <c r="G256" s="6"/>
      <c r="H256" s="5"/>
      <c r="I256" s="5"/>
      <c r="J256" s="5">
        <f t="shared" si="16"/>
        <v>0</v>
      </c>
      <c r="K256" s="8" t="b">
        <f t="shared" si="17"/>
        <v>1</v>
      </c>
    </row>
    <row r="257" spans="1:11">
      <c r="A257" s="5" t="s">
        <v>335</v>
      </c>
      <c r="B257" s="6"/>
      <c r="C257" s="7"/>
      <c r="D257" s="5"/>
      <c r="E257" s="5"/>
      <c r="F257" s="5"/>
      <c r="G257" s="6"/>
      <c r="H257" s="5"/>
      <c r="I257" s="5"/>
      <c r="J257" s="5">
        <f t="shared" si="16"/>
        <v>0</v>
      </c>
      <c r="K257" s="8" t="b">
        <f t="shared" si="17"/>
        <v>1</v>
      </c>
    </row>
    <row r="258" spans="1:11">
      <c r="A258" s="5" t="s">
        <v>335</v>
      </c>
      <c r="B258" s="6"/>
      <c r="C258" s="7"/>
      <c r="D258" s="5"/>
      <c r="E258" s="5"/>
      <c r="F258" s="5"/>
      <c r="G258" s="6"/>
      <c r="H258" s="5"/>
      <c r="I258" s="5"/>
      <c r="J258" s="5">
        <f t="shared" si="16"/>
        <v>0</v>
      </c>
      <c r="K258" s="8" t="b">
        <f t="shared" si="17"/>
        <v>1</v>
      </c>
    </row>
    <row r="259" spans="1:11">
      <c r="A259" s="5" t="s">
        <v>335</v>
      </c>
      <c r="B259" s="6"/>
      <c r="C259" s="7"/>
      <c r="D259" s="5"/>
      <c r="E259" s="5"/>
      <c r="F259" s="5"/>
      <c r="G259" s="6"/>
      <c r="H259" s="5"/>
      <c r="I259" s="5"/>
      <c r="J259" s="5">
        <f t="shared" si="16"/>
        <v>0</v>
      </c>
      <c r="K259" s="8" t="b">
        <f t="shared" si="17"/>
        <v>1</v>
      </c>
    </row>
    <row r="260" spans="1:11">
      <c r="A260" s="5" t="s">
        <v>335</v>
      </c>
      <c r="B260" s="6"/>
      <c r="C260" s="7"/>
      <c r="D260" s="5"/>
      <c r="E260" s="5"/>
      <c r="F260" s="5"/>
      <c r="G260" s="6"/>
      <c r="H260" s="5"/>
      <c r="I260" s="5"/>
      <c r="J260" s="5">
        <f t="shared" si="16"/>
        <v>0</v>
      </c>
      <c r="K260" s="8" t="b">
        <f t="shared" si="17"/>
        <v>1</v>
      </c>
    </row>
    <row r="261" spans="1:11">
      <c r="A261" s="5" t="s">
        <v>335</v>
      </c>
      <c r="B261" s="6"/>
      <c r="C261" s="7"/>
      <c r="D261" s="5"/>
      <c r="E261" s="5"/>
      <c r="F261" s="5"/>
      <c r="G261" s="6"/>
      <c r="H261" s="5"/>
      <c r="I261" s="5"/>
      <c r="J261" s="5">
        <f t="shared" si="16"/>
        <v>0</v>
      </c>
      <c r="K261" s="8" t="b">
        <f t="shared" si="17"/>
        <v>1</v>
      </c>
    </row>
    <row r="262" spans="1:11">
      <c r="A262" s="5" t="s">
        <v>335</v>
      </c>
      <c r="B262" s="6"/>
      <c r="C262" s="7"/>
      <c r="D262" s="5"/>
      <c r="E262" s="5"/>
      <c r="F262" s="5"/>
      <c r="G262" s="6"/>
      <c r="H262" s="5"/>
      <c r="I262" s="5"/>
      <c r="J262" s="5">
        <f t="shared" si="16"/>
        <v>0</v>
      </c>
      <c r="K262" s="8" t="b">
        <f t="shared" si="17"/>
        <v>1</v>
      </c>
    </row>
  </sheetData>
  <mergeCells count="18">
    <mergeCell ref="A108:K108"/>
    <mergeCell ref="A109:K109"/>
    <mergeCell ref="A111:K111"/>
    <mergeCell ref="A27:K27"/>
    <mergeCell ref="A28:K28"/>
    <mergeCell ref="A30:K30"/>
    <mergeCell ref="A14:K14"/>
    <mergeCell ref="A1:K1"/>
    <mergeCell ref="A2:K2"/>
    <mergeCell ref="A4:K4"/>
    <mergeCell ref="A11:K11"/>
    <mergeCell ref="A12:K12"/>
    <mergeCell ref="A172:K172"/>
    <mergeCell ref="A173:K173"/>
    <mergeCell ref="A175:K175"/>
    <mergeCell ref="A120:K120"/>
    <mergeCell ref="A121:K121"/>
    <mergeCell ref="A123:K123"/>
  </mergeCells>
  <conditionalFormatting sqref="K1:K9 K11:K1048576">
    <cfRule type="containsText" dxfId="31" priority="1" operator="containsText" text="VERDADEIRO">
      <formula>NOT(ISERROR(SEARCH("VERDADEIRO",K1)))</formula>
    </cfRule>
    <cfRule type="containsText" dxfId="30" priority="2" operator="containsText" text="FALSO">
      <formula>NOT(ISERROR(SEARCH("FALSO",K1)))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1ED2-4D39-439C-9CFF-A41C833BE5A8}">
  <sheetPr codeName="Planilha31" filterMode="1"/>
  <dimension ref="A1:K297"/>
  <sheetViews>
    <sheetView topLeftCell="A253" workbookViewId="0">
      <selection activeCell="H270" sqref="H270"/>
    </sheetView>
  </sheetViews>
  <sheetFormatPr defaultRowHeight="15"/>
  <cols>
    <col min="1" max="1" width="14.4257812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339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340</v>
      </c>
      <c r="B8" s="6">
        <v>44591</v>
      </c>
      <c r="C8" s="7">
        <v>0.7</v>
      </c>
      <c r="D8" s="5">
        <v>9.69</v>
      </c>
      <c r="E8" s="5">
        <v>24.1</v>
      </c>
      <c r="F8" s="5">
        <v>42.6</v>
      </c>
      <c r="G8" s="6">
        <v>44591</v>
      </c>
      <c r="H8" s="5"/>
      <c r="I8" s="5"/>
      <c r="J8" s="5">
        <f>F8-E8</f>
        <v>18.5</v>
      </c>
      <c r="K8" s="8" t="b">
        <f>E8=F8</f>
        <v>0</v>
      </c>
    </row>
    <row r="9" spans="1:11">
      <c r="A9" s="5" t="s">
        <v>340</v>
      </c>
      <c r="B9" s="6">
        <v>44592</v>
      </c>
      <c r="C9" s="7">
        <v>1</v>
      </c>
      <c r="D9" s="5">
        <v>6.97</v>
      </c>
      <c r="E9" s="5">
        <v>42.6</v>
      </c>
      <c r="F9" s="5">
        <v>57.6</v>
      </c>
      <c r="G9" s="6">
        <v>44592</v>
      </c>
      <c r="H9" s="5"/>
      <c r="I9" s="5"/>
      <c r="J9" s="5">
        <f>F9-E9</f>
        <v>15</v>
      </c>
      <c r="K9" s="8" t="b">
        <f>E9=F8</f>
        <v>1</v>
      </c>
    </row>
    <row r="10" spans="1:11">
      <c r="A10" s="25" t="s">
        <v>340</v>
      </c>
      <c r="B10" s="26">
        <v>44615</v>
      </c>
      <c r="C10" s="27">
        <v>1</v>
      </c>
      <c r="D10" s="25">
        <v>6.97</v>
      </c>
      <c r="E10" s="25">
        <v>1200</v>
      </c>
      <c r="F10" s="25">
        <v>1215.2</v>
      </c>
      <c r="G10" s="26">
        <v>44615</v>
      </c>
      <c r="H10" s="25"/>
      <c r="I10" s="25"/>
      <c r="J10" s="25">
        <f>F10-E10</f>
        <v>15.200000000000045</v>
      </c>
      <c r="K10" s="8" t="b">
        <f t="shared" ref="K10:K66" si="0">E10=F9</f>
        <v>0</v>
      </c>
    </row>
    <row r="11" spans="1:11">
      <c r="A11" s="5" t="s">
        <v>340</v>
      </c>
      <c r="B11" s="6">
        <v>44626</v>
      </c>
      <c r="C11" s="7">
        <v>0.8</v>
      </c>
      <c r="D11" s="5">
        <v>7.34</v>
      </c>
      <c r="E11" s="5">
        <v>1215.2</v>
      </c>
      <c r="F11" s="5">
        <v>1238.3</v>
      </c>
      <c r="G11" s="6">
        <v>44626</v>
      </c>
      <c r="H11" s="5"/>
      <c r="I11" s="5"/>
      <c r="J11" s="5">
        <f>F11-E11</f>
        <v>23.099999999999909</v>
      </c>
      <c r="K11" s="8" t="b">
        <f t="shared" si="0"/>
        <v>1</v>
      </c>
    </row>
    <row r="12" spans="1:11">
      <c r="A12" s="5" t="s">
        <v>340</v>
      </c>
      <c r="B12" s="6">
        <v>44627</v>
      </c>
      <c r="C12" s="7">
        <v>0.8</v>
      </c>
      <c r="D12" s="5">
        <v>7.34</v>
      </c>
      <c r="E12" s="5">
        <v>1238.3</v>
      </c>
      <c r="F12" s="5">
        <v>1253.4000000000001</v>
      </c>
      <c r="G12" s="6">
        <v>44627</v>
      </c>
      <c r="H12" s="5"/>
      <c r="I12" s="5"/>
      <c r="J12" s="5">
        <f t="shared" ref="J12:J23" si="1">F12-E12</f>
        <v>15.100000000000136</v>
      </c>
      <c r="K12" s="8" t="b">
        <f t="shared" si="0"/>
        <v>1</v>
      </c>
    </row>
    <row r="13" spans="1:11">
      <c r="A13" s="5" t="s">
        <v>340</v>
      </c>
      <c r="B13" s="6">
        <v>44629</v>
      </c>
      <c r="C13" s="7">
        <v>0.8</v>
      </c>
      <c r="D13" s="5">
        <v>7.34</v>
      </c>
      <c r="E13" s="5">
        <v>1253.4000000000001</v>
      </c>
      <c r="F13" s="5">
        <v>1272.4000000000001</v>
      </c>
      <c r="G13" s="6">
        <v>44629</v>
      </c>
      <c r="H13" s="5"/>
      <c r="I13" s="5"/>
      <c r="J13" s="5">
        <f t="shared" si="1"/>
        <v>19</v>
      </c>
      <c r="K13" s="8" t="b">
        <f t="shared" si="0"/>
        <v>1</v>
      </c>
    </row>
    <row r="14" spans="1:11">
      <c r="A14" s="5" t="s">
        <v>340</v>
      </c>
      <c r="B14" s="6">
        <v>44637</v>
      </c>
      <c r="C14" s="7">
        <v>0.8</v>
      </c>
      <c r="D14" s="5">
        <v>7.34</v>
      </c>
      <c r="E14" s="5">
        <v>1272.4000000000001</v>
      </c>
      <c r="F14" s="5">
        <v>1291.7</v>
      </c>
      <c r="G14" s="6">
        <v>44637</v>
      </c>
      <c r="H14" s="5"/>
      <c r="I14" s="5"/>
      <c r="J14" s="5">
        <f t="shared" si="1"/>
        <v>19.299999999999955</v>
      </c>
      <c r="K14" s="8" t="b">
        <f t="shared" si="0"/>
        <v>1</v>
      </c>
    </row>
    <row r="15" spans="1:11">
      <c r="A15" s="5" t="s">
        <v>340</v>
      </c>
      <c r="B15" s="6">
        <v>44640</v>
      </c>
      <c r="C15" s="7">
        <v>0.7</v>
      </c>
      <c r="D15" s="5">
        <v>9.69</v>
      </c>
      <c r="E15" s="5">
        <v>1291.7</v>
      </c>
      <c r="F15" s="5">
        <v>1311.1</v>
      </c>
      <c r="G15" s="6">
        <v>44640</v>
      </c>
      <c r="H15" s="5"/>
      <c r="I15" s="5"/>
      <c r="J15" s="5">
        <f t="shared" si="1"/>
        <v>19.399999999999864</v>
      </c>
      <c r="K15" s="8" t="b">
        <f t="shared" si="0"/>
        <v>1</v>
      </c>
    </row>
    <row r="16" spans="1:11">
      <c r="A16" s="5" t="s">
        <v>340</v>
      </c>
      <c r="B16" s="6">
        <v>44645</v>
      </c>
      <c r="C16" s="7">
        <v>0.7</v>
      </c>
      <c r="D16" s="5">
        <v>9.69</v>
      </c>
      <c r="E16" s="5">
        <v>1311.1</v>
      </c>
      <c r="F16" s="5">
        <v>1330.9</v>
      </c>
      <c r="G16" s="6">
        <v>44645</v>
      </c>
      <c r="H16" s="5"/>
      <c r="I16" s="5"/>
      <c r="J16" s="5">
        <f t="shared" si="1"/>
        <v>19.800000000000182</v>
      </c>
      <c r="K16" s="8" t="b">
        <f t="shared" si="0"/>
        <v>1</v>
      </c>
    </row>
    <row r="17" spans="1:11">
      <c r="A17" s="5" t="s">
        <v>340</v>
      </c>
      <c r="B17" s="6">
        <v>44647</v>
      </c>
      <c r="C17" s="7">
        <v>1</v>
      </c>
      <c r="D17" s="5">
        <v>7.34</v>
      </c>
      <c r="E17" s="5">
        <v>1330.9</v>
      </c>
      <c r="F17" s="5">
        <v>1344.9</v>
      </c>
      <c r="G17" s="6">
        <v>44647</v>
      </c>
      <c r="H17" s="5"/>
      <c r="I17" s="5"/>
      <c r="J17" s="5">
        <f t="shared" si="1"/>
        <v>14</v>
      </c>
      <c r="K17" s="8" t="b">
        <f t="shared" si="0"/>
        <v>1</v>
      </c>
    </row>
    <row r="18" spans="1:11">
      <c r="A18" s="5" t="s">
        <v>340</v>
      </c>
      <c r="B18" s="6">
        <v>44651</v>
      </c>
      <c r="C18" s="7">
        <v>0.7</v>
      </c>
      <c r="D18" s="5">
        <v>9.69</v>
      </c>
      <c r="E18" s="5">
        <v>1344.9</v>
      </c>
      <c r="F18" s="5">
        <v>1363.4</v>
      </c>
      <c r="G18" s="6">
        <v>44651</v>
      </c>
      <c r="H18" s="5"/>
      <c r="I18" s="5"/>
      <c r="J18" s="5">
        <f t="shared" si="1"/>
        <v>18.5</v>
      </c>
      <c r="K18" s="8" t="b">
        <f t="shared" si="0"/>
        <v>1</v>
      </c>
    </row>
    <row r="19" spans="1:11">
      <c r="A19" s="39" t="s">
        <v>340</v>
      </c>
      <c r="B19" s="40"/>
      <c r="C19" s="41"/>
      <c r="D19" s="39"/>
      <c r="E19" s="39"/>
      <c r="F19" s="39"/>
      <c r="G19" s="40"/>
      <c r="H19" s="39"/>
      <c r="I19" s="39"/>
      <c r="J19" s="39">
        <f t="shared" si="1"/>
        <v>0</v>
      </c>
      <c r="K19" s="8" t="b">
        <f t="shared" si="0"/>
        <v>0</v>
      </c>
    </row>
    <row r="20" spans="1:11">
      <c r="A20" s="39" t="s">
        <v>340</v>
      </c>
      <c r="B20" s="40"/>
      <c r="C20" s="41"/>
      <c r="D20" s="39"/>
      <c r="E20" s="39"/>
      <c r="F20" s="39"/>
      <c r="G20" s="40"/>
      <c r="H20" s="39"/>
      <c r="I20" s="39"/>
      <c r="J20" s="39">
        <f t="shared" si="1"/>
        <v>0</v>
      </c>
      <c r="K20" s="8" t="b">
        <f t="shared" si="0"/>
        <v>1</v>
      </c>
    </row>
    <row r="21" spans="1:11">
      <c r="A21" s="39" t="s">
        <v>340</v>
      </c>
      <c r="B21" s="40"/>
      <c r="C21" s="41"/>
      <c r="D21" s="39"/>
      <c r="E21" s="39"/>
      <c r="F21" s="39"/>
      <c r="G21" s="40"/>
      <c r="H21" s="39"/>
      <c r="I21" s="39"/>
      <c r="J21" s="39">
        <f t="shared" si="1"/>
        <v>0</v>
      </c>
      <c r="K21" s="8" t="b">
        <f t="shared" si="0"/>
        <v>1</v>
      </c>
    </row>
    <row r="22" spans="1:11">
      <c r="A22" s="39" t="s">
        <v>340</v>
      </c>
      <c r="B22" s="40"/>
      <c r="C22" s="41"/>
      <c r="D22" s="39"/>
      <c r="E22" s="39"/>
      <c r="F22" s="39"/>
      <c r="G22" s="40"/>
      <c r="H22" s="39"/>
      <c r="I22" s="39"/>
      <c r="J22" s="39">
        <f t="shared" si="1"/>
        <v>0</v>
      </c>
      <c r="K22" s="8" t="b">
        <f t="shared" si="0"/>
        <v>1</v>
      </c>
    </row>
    <row r="23" spans="1:11">
      <c r="A23" s="39" t="s">
        <v>340</v>
      </c>
      <c r="B23" s="40"/>
      <c r="C23" s="41"/>
      <c r="D23" s="39"/>
      <c r="E23" s="39"/>
      <c r="F23" s="39"/>
      <c r="G23" s="40"/>
      <c r="H23" s="39"/>
      <c r="I23" s="39"/>
      <c r="J23" s="39">
        <f t="shared" si="1"/>
        <v>0</v>
      </c>
      <c r="K23" s="8" t="b">
        <f t="shared" si="0"/>
        <v>1</v>
      </c>
    </row>
    <row r="24" spans="1:11">
      <c r="A24" s="5" t="s">
        <v>340</v>
      </c>
      <c r="B24" s="6">
        <v>44676</v>
      </c>
      <c r="C24" s="7">
        <v>0.7</v>
      </c>
      <c r="D24" s="5">
        <v>9.9600000000000009</v>
      </c>
      <c r="E24" s="5">
        <v>1504.6</v>
      </c>
      <c r="F24" s="5">
        <v>1524.5</v>
      </c>
      <c r="G24" s="6">
        <v>44676</v>
      </c>
      <c r="H24" s="5"/>
      <c r="I24" s="5"/>
      <c r="J24" s="5">
        <f t="shared" ref="J24:J66" si="2">F24-E24</f>
        <v>19.900000000000091</v>
      </c>
      <c r="K24" s="8" t="b">
        <f t="shared" si="0"/>
        <v>0</v>
      </c>
    </row>
    <row r="25" spans="1:11">
      <c r="A25" s="5" t="s">
        <v>340</v>
      </c>
      <c r="B25" s="6">
        <v>44679</v>
      </c>
      <c r="C25" s="7">
        <v>0.7</v>
      </c>
      <c r="D25" s="5">
        <v>9.9600000000000009</v>
      </c>
      <c r="E25" s="5">
        <v>1524.5</v>
      </c>
      <c r="F25" s="5">
        <v>1544.3</v>
      </c>
      <c r="G25" s="6">
        <v>44679</v>
      </c>
      <c r="H25" s="5"/>
      <c r="I25" s="5"/>
      <c r="J25" s="5">
        <f t="shared" si="2"/>
        <v>19.799999999999955</v>
      </c>
      <c r="K25" s="8" t="b">
        <f t="shared" si="0"/>
        <v>1</v>
      </c>
    </row>
    <row r="26" spans="1:11">
      <c r="A26" s="5" t="s">
        <v>340</v>
      </c>
      <c r="B26" s="6">
        <v>44681</v>
      </c>
      <c r="C26" s="7">
        <v>0.55000000000000004</v>
      </c>
      <c r="D26" s="5">
        <v>12.67</v>
      </c>
      <c r="E26" s="5">
        <v>1544.3</v>
      </c>
      <c r="F26" s="5">
        <v>1556</v>
      </c>
      <c r="G26" s="6">
        <v>44681</v>
      </c>
      <c r="H26" s="5"/>
      <c r="I26" s="5"/>
      <c r="J26" s="5">
        <f t="shared" si="2"/>
        <v>11.700000000000045</v>
      </c>
      <c r="K26" s="8" t="b">
        <f t="shared" si="0"/>
        <v>1</v>
      </c>
    </row>
    <row r="27" spans="1:11">
      <c r="A27" s="5" t="s">
        <v>340</v>
      </c>
      <c r="B27" s="6">
        <v>44682</v>
      </c>
      <c r="C27" s="7">
        <v>0.55000000000000004</v>
      </c>
      <c r="D27" s="5">
        <v>12.67</v>
      </c>
      <c r="E27" s="5">
        <v>1556</v>
      </c>
      <c r="F27" s="5">
        <v>1568.5</v>
      </c>
      <c r="G27" s="6">
        <v>44682</v>
      </c>
      <c r="H27" s="5"/>
      <c r="I27" s="5"/>
      <c r="J27" s="5">
        <f t="shared" si="2"/>
        <v>12.5</v>
      </c>
      <c r="K27" s="8" t="b">
        <f t="shared" si="0"/>
        <v>1</v>
      </c>
    </row>
    <row r="28" spans="1:11">
      <c r="A28" s="5" t="s">
        <v>340</v>
      </c>
      <c r="B28" s="6">
        <v>44684</v>
      </c>
      <c r="C28" s="7">
        <v>0.55000000000000004</v>
      </c>
      <c r="D28" s="5">
        <v>12.67</v>
      </c>
      <c r="E28" s="5">
        <v>1568.5</v>
      </c>
      <c r="F28" s="5">
        <v>1587.1</v>
      </c>
      <c r="G28" s="6">
        <v>44684</v>
      </c>
      <c r="H28" s="5"/>
      <c r="I28" s="5"/>
      <c r="J28" s="5">
        <f t="shared" si="2"/>
        <v>18.599999999999909</v>
      </c>
      <c r="K28" s="8" t="b">
        <f t="shared" si="0"/>
        <v>1</v>
      </c>
    </row>
    <row r="29" spans="1:11">
      <c r="A29" s="5" t="s">
        <v>340</v>
      </c>
      <c r="B29" s="6">
        <v>44685</v>
      </c>
      <c r="C29" s="7">
        <v>0.55000000000000004</v>
      </c>
      <c r="D29" s="5">
        <v>12.67</v>
      </c>
      <c r="E29" s="5">
        <v>1587.1</v>
      </c>
      <c r="F29" s="5">
        <v>1593.6</v>
      </c>
      <c r="G29" s="6">
        <v>44685</v>
      </c>
      <c r="H29" s="5"/>
      <c r="I29" s="5"/>
      <c r="J29" s="5">
        <f t="shared" si="2"/>
        <v>6.5</v>
      </c>
      <c r="K29" s="8" t="b">
        <f t="shared" si="0"/>
        <v>1</v>
      </c>
    </row>
    <row r="30" spans="1:11">
      <c r="A30" s="5" t="s">
        <v>340</v>
      </c>
      <c r="B30" s="6">
        <v>44687</v>
      </c>
      <c r="C30" s="7">
        <v>0.55000000000000004</v>
      </c>
      <c r="D30" s="5">
        <v>12.67</v>
      </c>
      <c r="E30" s="5">
        <v>1593.6</v>
      </c>
      <c r="F30" s="5">
        <v>1608</v>
      </c>
      <c r="G30" s="6">
        <v>44687</v>
      </c>
      <c r="H30" s="5"/>
      <c r="I30" s="5"/>
      <c r="J30" s="5">
        <f t="shared" si="2"/>
        <v>14.400000000000091</v>
      </c>
      <c r="K30" s="8" t="b">
        <f t="shared" si="0"/>
        <v>1</v>
      </c>
    </row>
    <row r="31" spans="1:11">
      <c r="A31" s="5" t="s">
        <v>340</v>
      </c>
      <c r="B31" s="6">
        <v>44688</v>
      </c>
      <c r="C31" s="7">
        <v>0.55000000000000004</v>
      </c>
      <c r="D31" s="5">
        <v>12.67</v>
      </c>
      <c r="E31" s="5">
        <v>1608</v>
      </c>
      <c r="F31" s="5">
        <v>1620.2</v>
      </c>
      <c r="G31" s="6">
        <v>44688</v>
      </c>
      <c r="H31" s="5"/>
      <c r="I31" s="5"/>
      <c r="J31" s="5">
        <f t="shared" si="2"/>
        <v>12.200000000000045</v>
      </c>
      <c r="K31" s="8" t="b">
        <f t="shared" si="0"/>
        <v>1</v>
      </c>
    </row>
    <row r="32" spans="1:11">
      <c r="A32" s="5" t="s">
        <v>340</v>
      </c>
      <c r="B32" s="6">
        <v>44691</v>
      </c>
      <c r="C32" s="7">
        <v>0.55000000000000004</v>
      </c>
      <c r="D32" s="5">
        <v>12.67</v>
      </c>
      <c r="E32" s="5">
        <v>1620.2</v>
      </c>
      <c r="F32" s="5">
        <v>1632.7</v>
      </c>
      <c r="G32" s="6">
        <v>44691</v>
      </c>
      <c r="H32" s="5"/>
      <c r="I32" s="5"/>
      <c r="J32" s="5">
        <f t="shared" si="2"/>
        <v>12.5</v>
      </c>
      <c r="K32" s="8" t="b">
        <f t="shared" si="0"/>
        <v>1</v>
      </c>
    </row>
    <row r="33" spans="1:11">
      <c r="A33" s="5" t="s">
        <v>340</v>
      </c>
      <c r="B33" s="6">
        <v>44692</v>
      </c>
      <c r="C33" s="7">
        <v>0.55000000000000004</v>
      </c>
      <c r="D33" s="5">
        <v>12.67</v>
      </c>
      <c r="E33" s="5">
        <v>1632.7</v>
      </c>
      <c r="F33" s="5">
        <v>1646.2</v>
      </c>
      <c r="G33" s="6">
        <v>44692</v>
      </c>
      <c r="H33" s="5"/>
      <c r="I33" s="5"/>
      <c r="J33" s="5">
        <f t="shared" si="2"/>
        <v>13.5</v>
      </c>
      <c r="K33" s="8" t="b">
        <f t="shared" si="0"/>
        <v>1</v>
      </c>
    </row>
    <row r="34" spans="1:11">
      <c r="A34" s="5" t="s">
        <v>340</v>
      </c>
      <c r="B34" s="6">
        <v>44694</v>
      </c>
      <c r="C34" s="7">
        <v>0.5</v>
      </c>
      <c r="D34" s="5">
        <v>13.94</v>
      </c>
      <c r="E34" s="5">
        <v>1646.2</v>
      </c>
      <c r="F34" s="5">
        <v>1660.4</v>
      </c>
      <c r="G34" s="6">
        <v>44694</v>
      </c>
      <c r="H34" s="5"/>
      <c r="I34" s="5"/>
      <c r="J34" s="5">
        <f t="shared" si="2"/>
        <v>14.200000000000045</v>
      </c>
      <c r="K34" s="8" t="b">
        <f t="shared" si="0"/>
        <v>1</v>
      </c>
    </row>
    <row r="35" spans="1:11">
      <c r="A35" s="5" t="s">
        <v>340</v>
      </c>
      <c r="B35" s="6">
        <v>44695</v>
      </c>
      <c r="C35" s="7">
        <v>0.5</v>
      </c>
      <c r="D35" s="5">
        <v>13.94</v>
      </c>
      <c r="E35" s="5">
        <v>1660.4</v>
      </c>
      <c r="F35" s="5">
        <v>1674.3</v>
      </c>
      <c r="G35" s="6">
        <v>44695</v>
      </c>
      <c r="H35" s="5"/>
      <c r="I35" s="5"/>
      <c r="J35" s="5">
        <f t="shared" si="2"/>
        <v>13.899999999999864</v>
      </c>
      <c r="K35" s="8" t="b">
        <f t="shared" si="0"/>
        <v>1</v>
      </c>
    </row>
    <row r="36" spans="1:11">
      <c r="A36" s="5" t="s">
        <v>340</v>
      </c>
      <c r="B36" s="6">
        <v>44697</v>
      </c>
      <c r="C36" s="7">
        <v>0.5</v>
      </c>
      <c r="D36" s="5">
        <v>13.94</v>
      </c>
      <c r="E36" s="5">
        <v>1674.3</v>
      </c>
      <c r="F36" s="5">
        <v>1688.7</v>
      </c>
      <c r="G36" s="6">
        <v>44697</v>
      </c>
      <c r="H36" s="5"/>
      <c r="I36" s="5"/>
      <c r="J36" s="5">
        <f t="shared" si="2"/>
        <v>14.400000000000091</v>
      </c>
      <c r="K36" s="8" t="b">
        <f t="shared" si="0"/>
        <v>1</v>
      </c>
    </row>
    <row r="37" spans="1:11">
      <c r="A37" s="5" t="s">
        <v>340</v>
      </c>
      <c r="B37" s="6">
        <v>44698</v>
      </c>
      <c r="C37" s="7">
        <v>0.5</v>
      </c>
      <c r="D37" s="5">
        <v>13.94</v>
      </c>
      <c r="E37" s="5">
        <v>1688.7</v>
      </c>
      <c r="F37" s="5">
        <v>1702</v>
      </c>
      <c r="G37" s="6">
        <v>44698</v>
      </c>
      <c r="H37" s="5"/>
      <c r="I37" s="5"/>
      <c r="J37" s="5">
        <f t="shared" si="2"/>
        <v>13.299999999999955</v>
      </c>
      <c r="K37" s="8" t="b">
        <f t="shared" si="0"/>
        <v>1</v>
      </c>
    </row>
    <row r="38" spans="1:11">
      <c r="A38" s="5" t="s">
        <v>340</v>
      </c>
      <c r="B38" s="6">
        <v>44699</v>
      </c>
      <c r="C38" s="7">
        <v>0.5</v>
      </c>
      <c r="D38" s="5">
        <v>13.94</v>
      </c>
      <c r="E38" s="5">
        <v>1702</v>
      </c>
      <c r="F38" s="5">
        <v>1715</v>
      </c>
      <c r="G38" s="6">
        <v>44699</v>
      </c>
      <c r="H38" s="5"/>
      <c r="I38" s="5"/>
      <c r="J38" s="5">
        <f t="shared" si="2"/>
        <v>13</v>
      </c>
      <c r="K38" s="8" t="b">
        <f>E38=F37</f>
        <v>1</v>
      </c>
    </row>
    <row r="39" spans="1:11">
      <c r="A39" s="5" t="s">
        <v>340</v>
      </c>
      <c r="B39" s="6">
        <v>44700</v>
      </c>
      <c r="C39" s="7">
        <v>0.5</v>
      </c>
      <c r="D39" s="5">
        <v>13.94</v>
      </c>
      <c r="E39" s="5">
        <v>1715</v>
      </c>
      <c r="F39" s="5">
        <v>1728.3</v>
      </c>
      <c r="G39" s="6">
        <v>44700</v>
      </c>
      <c r="H39" s="5"/>
      <c r="I39" s="5"/>
      <c r="J39" s="5">
        <f t="shared" si="2"/>
        <v>13.299999999999955</v>
      </c>
      <c r="K39" s="8" t="b">
        <f t="shared" si="0"/>
        <v>1</v>
      </c>
    </row>
    <row r="40" spans="1:11">
      <c r="A40" s="5" t="s">
        <v>340</v>
      </c>
      <c r="B40" s="6">
        <v>44701</v>
      </c>
      <c r="C40" s="7">
        <v>0.5</v>
      </c>
      <c r="D40" s="5">
        <v>13.94</v>
      </c>
      <c r="E40" s="5">
        <v>1728.3</v>
      </c>
      <c r="F40" s="5">
        <v>1743.4</v>
      </c>
      <c r="G40" s="6">
        <v>44701</v>
      </c>
      <c r="H40" s="5"/>
      <c r="I40" s="5"/>
      <c r="J40" s="5">
        <f t="shared" si="2"/>
        <v>15.100000000000136</v>
      </c>
      <c r="K40" s="8" t="b">
        <f t="shared" si="0"/>
        <v>1</v>
      </c>
    </row>
    <row r="41" spans="1:11">
      <c r="A41" s="5" t="s">
        <v>340</v>
      </c>
      <c r="B41" s="6">
        <v>44702</v>
      </c>
      <c r="C41" s="7">
        <v>0.5</v>
      </c>
      <c r="D41" s="5">
        <v>13.94</v>
      </c>
      <c r="E41" s="5">
        <v>1743.4</v>
      </c>
      <c r="F41" s="5">
        <v>1757.3</v>
      </c>
      <c r="G41" s="6">
        <v>44702</v>
      </c>
      <c r="H41" s="5"/>
      <c r="I41" s="5"/>
      <c r="J41" s="5">
        <f t="shared" si="2"/>
        <v>13.899999999999864</v>
      </c>
      <c r="K41" s="8" t="b">
        <f t="shared" si="0"/>
        <v>1</v>
      </c>
    </row>
    <row r="42" spans="1:11">
      <c r="A42" s="5" t="s">
        <v>340</v>
      </c>
      <c r="B42" s="6">
        <v>44703</v>
      </c>
      <c r="C42" s="7">
        <v>0.5</v>
      </c>
      <c r="D42" s="5">
        <v>13.94</v>
      </c>
      <c r="E42" s="5">
        <v>1757.3</v>
      </c>
      <c r="F42" s="5">
        <v>1770.8</v>
      </c>
      <c r="G42" s="6">
        <v>44703</v>
      </c>
      <c r="H42" s="5"/>
      <c r="I42" s="5"/>
      <c r="J42" s="5">
        <f t="shared" si="2"/>
        <v>13.5</v>
      </c>
      <c r="K42" s="8" t="b">
        <f t="shared" si="0"/>
        <v>1</v>
      </c>
    </row>
    <row r="43" spans="1:11">
      <c r="A43" s="5" t="s">
        <v>340</v>
      </c>
      <c r="B43" s="6">
        <v>44704</v>
      </c>
      <c r="C43" s="7">
        <v>0.5</v>
      </c>
      <c r="D43" s="5">
        <v>13.94</v>
      </c>
      <c r="E43" s="5">
        <v>1770.8</v>
      </c>
      <c r="F43" s="5">
        <v>1784.6</v>
      </c>
      <c r="G43" s="6">
        <v>44704</v>
      </c>
      <c r="H43" s="5"/>
      <c r="I43" s="5"/>
      <c r="J43" s="5">
        <f t="shared" si="2"/>
        <v>13.799999999999955</v>
      </c>
      <c r="K43" s="8" t="b">
        <f t="shared" si="0"/>
        <v>1</v>
      </c>
    </row>
    <row r="44" spans="1:11">
      <c r="A44" s="5" t="s">
        <v>340</v>
      </c>
      <c r="B44" s="6">
        <v>44705</v>
      </c>
      <c r="C44" s="7">
        <v>0.5</v>
      </c>
      <c r="D44" s="5">
        <v>13.94</v>
      </c>
      <c r="E44" s="5">
        <v>1784.6</v>
      </c>
      <c r="F44" s="5">
        <v>1798.2</v>
      </c>
      <c r="G44" s="6">
        <v>44705</v>
      </c>
      <c r="H44" s="5"/>
      <c r="I44" s="5"/>
      <c r="J44" s="5">
        <f t="shared" si="2"/>
        <v>13.600000000000136</v>
      </c>
      <c r="K44" s="8" t="b">
        <f t="shared" si="0"/>
        <v>1</v>
      </c>
    </row>
    <row r="45" spans="1:11">
      <c r="A45" s="5" t="s">
        <v>340</v>
      </c>
      <c r="B45" s="6">
        <v>44706</v>
      </c>
      <c r="C45" s="7">
        <v>0.5</v>
      </c>
      <c r="D45" s="5">
        <v>13.94</v>
      </c>
      <c r="E45" s="5">
        <v>1798.2</v>
      </c>
      <c r="F45" s="5">
        <v>1812.2</v>
      </c>
      <c r="G45" s="6">
        <v>44706</v>
      </c>
      <c r="H45" s="5"/>
      <c r="I45" s="5"/>
      <c r="J45" s="5">
        <f t="shared" si="2"/>
        <v>14</v>
      </c>
      <c r="K45" s="8" t="b">
        <f t="shared" si="0"/>
        <v>1</v>
      </c>
    </row>
    <row r="46" spans="1:11">
      <c r="A46" s="5" t="s">
        <v>340</v>
      </c>
      <c r="B46" s="6">
        <v>44707</v>
      </c>
      <c r="C46" s="7">
        <v>0.5</v>
      </c>
      <c r="D46" s="5">
        <v>13.94</v>
      </c>
      <c r="E46" s="5">
        <v>1812.2</v>
      </c>
      <c r="F46" s="5">
        <v>1826.1</v>
      </c>
      <c r="G46" s="6">
        <v>44707</v>
      </c>
      <c r="H46" s="5"/>
      <c r="I46" s="5"/>
      <c r="J46" s="5">
        <f t="shared" si="2"/>
        <v>13.899999999999864</v>
      </c>
      <c r="K46" s="8" t="b">
        <f t="shared" si="0"/>
        <v>1</v>
      </c>
    </row>
    <row r="47" spans="1:11">
      <c r="A47" s="5" t="s">
        <v>340</v>
      </c>
      <c r="B47" s="6">
        <v>44708</v>
      </c>
      <c r="C47" s="7">
        <v>0.5</v>
      </c>
      <c r="D47" s="5">
        <v>13.94</v>
      </c>
      <c r="E47" s="5">
        <v>1826.1</v>
      </c>
      <c r="F47" s="5">
        <v>1839.9</v>
      </c>
      <c r="G47" s="6">
        <v>44708</v>
      </c>
      <c r="H47" s="5"/>
      <c r="I47" s="5"/>
      <c r="J47" s="5">
        <f t="shared" si="2"/>
        <v>13.800000000000182</v>
      </c>
      <c r="K47" s="8" t="b">
        <f t="shared" si="0"/>
        <v>1</v>
      </c>
    </row>
    <row r="48" spans="1:11">
      <c r="A48" s="5" t="s">
        <v>340</v>
      </c>
      <c r="B48" s="6">
        <v>44709</v>
      </c>
      <c r="C48" s="7">
        <v>0.5</v>
      </c>
      <c r="D48" s="5">
        <v>13.94</v>
      </c>
      <c r="E48" s="5">
        <v>1839.9</v>
      </c>
      <c r="F48" s="5">
        <v>1853.3</v>
      </c>
      <c r="G48" s="6">
        <v>44709</v>
      </c>
      <c r="H48" s="5"/>
      <c r="I48" s="5"/>
      <c r="J48" s="5">
        <f t="shared" si="2"/>
        <v>13.399999999999864</v>
      </c>
      <c r="K48" s="8" t="b">
        <f t="shared" si="0"/>
        <v>1</v>
      </c>
    </row>
    <row r="49" spans="1:11">
      <c r="A49" s="5" t="s">
        <v>340</v>
      </c>
      <c r="B49" s="6">
        <v>44710</v>
      </c>
      <c r="C49" s="7">
        <v>0.5</v>
      </c>
      <c r="D49" s="5">
        <v>13.94</v>
      </c>
      <c r="E49" s="5">
        <v>1853.3</v>
      </c>
      <c r="F49" s="5">
        <v>1866.9</v>
      </c>
      <c r="G49" s="6">
        <v>44710</v>
      </c>
      <c r="H49" s="5"/>
      <c r="I49" s="5"/>
      <c r="J49" s="5">
        <f t="shared" si="2"/>
        <v>13.600000000000136</v>
      </c>
      <c r="K49" s="8" t="b">
        <f t="shared" si="0"/>
        <v>1</v>
      </c>
    </row>
    <row r="50" spans="1:11">
      <c r="A50" s="5" t="s">
        <v>340</v>
      </c>
      <c r="B50" s="6">
        <v>44711</v>
      </c>
      <c r="C50" s="7">
        <v>0.5</v>
      </c>
      <c r="D50" s="5">
        <v>13.94</v>
      </c>
      <c r="E50" s="5">
        <v>1866.9</v>
      </c>
      <c r="F50" s="5">
        <v>1879</v>
      </c>
      <c r="G50" s="6">
        <v>44711</v>
      </c>
      <c r="H50" s="5"/>
      <c r="I50" s="5"/>
      <c r="J50" s="5">
        <f t="shared" si="2"/>
        <v>12.099999999999909</v>
      </c>
      <c r="K50" s="8" t="b">
        <f t="shared" si="0"/>
        <v>1</v>
      </c>
    </row>
    <row r="51" spans="1:11">
      <c r="A51" s="5" t="s">
        <v>340</v>
      </c>
      <c r="B51" s="6">
        <v>44712</v>
      </c>
      <c r="C51" s="7">
        <v>0.5</v>
      </c>
      <c r="D51" s="5">
        <v>13.94</v>
      </c>
      <c r="E51" s="5">
        <v>1879</v>
      </c>
      <c r="F51" s="5">
        <v>1892.9</v>
      </c>
      <c r="G51" s="6">
        <v>44712</v>
      </c>
      <c r="H51" s="5"/>
      <c r="I51" s="5"/>
      <c r="J51" s="5">
        <f t="shared" si="2"/>
        <v>13.900000000000091</v>
      </c>
      <c r="K51" s="8" t="b">
        <f t="shared" si="0"/>
        <v>1</v>
      </c>
    </row>
    <row r="52" spans="1:11">
      <c r="A52" s="5" t="s">
        <v>340</v>
      </c>
      <c r="B52" s="6">
        <v>44713</v>
      </c>
      <c r="C52" s="7">
        <v>0.5</v>
      </c>
      <c r="D52" s="5">
        <v>13.94</v>
      </c>
      <c r="E52" s="5">
        <v>1892.9</v>
      </c>
      <c r="F52" s="5">
        <v>1906.8</v>
      </c>
      <c r="G52" s="6">
        <v>44713</v>
      </c>
      <c r="H52" s="5"/>
      <c r="I52" s="5"/>
      <c r="J52" s="5">
        <f t="shared" si="2"/>
        <v>13.899999999999864</v>
      </c>
      <c r="K52" s="8" t="b">
        <f t="shared" si="0"/>
        <v>1</v>
      </c>
    </row>
    <row r="53" spans="1:11">
      <c r="A53" s="5" t="s">
        <v>340</v>
      </c>
      <c r="B53" s="6">
        <v>44714</v>
      </c>
      <c r="C53" s="7">
        <v>0.5</v>
      </c>
      <c r="D53" s="5">
        <v>13.94</v>
      </c>
      <c r="E53" s="5">
        <v>1906.8</v>
      </c>
      <c r="F53" s="5">
        <v>1920.6</v>
      </c>
      <c r="G53" s="6">
        <v>44714</v>
      </c>
      <c r="H53" s="5"/>
      <c r="I53" s="5"/>
      <c r="J53" s="5">
        <f t="shared" si="2"/>
        <v>13.799999999999955</v>
      </c>
      <c r="K53" s="8" t="b">
        <f t="shared" si="0"/>
        <v>1</v>
      </c>
    </row>
    <row r="54" spans="1:11">
      <c r="A54" s="5" t="s">
        <v>340</v>
      </c>
      <c r="B54" s="6">
        <v>44715</v>
      </c>
      <c r="C54" s="7">
        <v>0.5</v>
      </c>
      <c r="D54" s="5">
        <v>13.94</v>
      </c>
      <c r="E54" s="5">
        <v>1920.6</v>
      </c>
      <c r="F54" s="5">
        <v>1934.4</v>
      </c>
      <c r="G54" s="6">
        <v>44715</v>
      </c>
      <c r="H54" s="5"/>
      <c r="I54" s="5"/>
      <c r="J54" s="5">
        <f t="shared" si="2"/>
        <v>13.800000000000182</v>
      </c>
      <c r="K54" s="8" t="b">
        <f t="shared" si="0"/>
        <v>1</v>
      </c>
    </row>
    <row r="55" spans="1:11">
      <c r="A55" s="5" t="s">
        <v>340</v>
      </c>
      <c r="B55" s="6">
        <v>44716</v>
      </c>
      <c r="C55" s="7">
        <v>0.5</v>
      </c>
      <c r="D55" s="5">
        <v>13.94</v>
      </c>
      <c r="E55" s="5">
        <v>1934.4</v>
      </c>
      <c r="F55" s="5">
        <v>1948.2</v>
      </c>
      <c r="G55" s="6">
        <v>44716</v>
      </c>
      <c r="H55" s="5"/>
      <c r="I55" s="5"/>
      <c r="J55" s="5">
        <f t="shared" si="2"/>
        <v>13.799999999999955</v>
      </c>
      <c r="K55" s="8" t="b">
        <f t="shared" si="0"/>
        <v>1</v>
      </c>
    </row>
    <row r="56" spans="1:11">
      <c r="A56" s="5" t="s">
        <v>340</v>
      </c>
      <c r="B56" s="6">
        <v>44717</v>
      </c>
      <c r="C56" s="7">
        <v>0.5</v>
      </c>
      <c r="D56" s="5">
        <v>13.94</v>
      </c>
      <c r="E56" s="5">
        <v>1948.2</v>
      </c>
      <c r="F56" s="5">
        <v>1962</v>
      </c>
      <c r="G56" s="6">
        <v>44717</v>
      </c>
      <c r="H56" s="5"/>
      <c r="I56" s="5"/>
      <c r="J56" s="5">
        <f t="shared" si="2"/>
        <v>13.799999999999955</v>
      </c>
      <c r="K56" s="8" t="b">
        <f t="shared" si="0"/>
        <v>1</v>
      </c>
    </row>
    <row r="57" spans="1:11">
      <c r="A57" s="5" t="s">
        <v>340</v>
      </c>
      <c r="B57" s="6">
        <v>44718</v>
      </c>
      <c r="C57" s="7">
        <v>0.5</v>
      </c>
      <c r="D57" s="5">
        <v>13.94</v>
      </c>
      <c r="E57" s="5">
        <v>1962</v>
      </c>
      <c r="F57" s="5">
        <v>1975.8</v>
      </c>
      <c r="G57" s="6">
        <v>44718</v>
      </c>
      <c r="H57" s="5"/>
      <c r="I57" s="5"/>
      <c r="J57" s="5">
        <f t="shared" si="2"/>
        <v>13.799999999999955</v>
      </c>
      <c r="K57" s="8" t="b">
        <f t="shared" si="0"/>
        <v>1</v>
      </c>
    </row>
    <row r="58" spans="1:11">
      <c r="A58" s="5" t="s">
        <v>340</v>
      </c>
      <c r="B58" s="6">
        <v>44719</v>
      </c>
      <c r="C58" s="7">
        <v>0.5</v>
      </c>
      <c r="D58" s="5">
        <v>13.94</v>
      </c>
      <c r="E58" s="5">
        <v>1975.8</v>
      </c>
      <c r="F58" s="5">
        <v>1989.7</v>
      </c>
      <c r="G58" s="6">
        <v>44719</v>
      </c>
      <c r="H58" s="5"/>
      <c r="I58" s="5"/>
      <c r="J58" s="5">
        <f t="shared" si="2"/>
        <v>13.900000000000091</v>
      </c>
      <c r="K58" s="8" t="b">
        <f t="shared" si="0"/>
        <v>1</v>
      </c>
    </row>
    <row r="59" spans="1:11">
      <c r="A59" s="5" t="s">
        <v>340</v>
      </c>
      <c r="B59" s="6">
        <v>44720</v>
      </c>
      <c r="C59" s="7">
        <v>0.5</v>
      </c>
      <c r="D59" s="5">
        <v>13.94</v>
      </c>
      <c r="E59" s="5">
        <v>1989.7</v>
      </c>
      <c r="F59" s="5">
        <v>2003.5</v>
      </c>
      <c r="G59" s="6">
        <v>44720</v>
      </c>
      <c r="H59" s="5"/>
      <c r="I59" s="5"/>
      <c r="J59" s="5">
        <f t="shared" si="2"/>
        <v>13.799999999999955</v>
      </c>
      <c r="K59" s="8" t="b">
        <f t="shared" si="0"/>
        <v>1</v>
      </c>
    </row>
    <row r="60" spans="1:11">
      <c r="A60" s="5" t="s">
        <v>340</v>
      </c>
      <c r="B60" s="6">
        <v>44721</v>
      </c>
      <c r="C60" s="7">
        <v>0.5</v>
      </c>
      <c r="D60" s="5">
        <v>13.94</v>
      </c>
      <c r="E60" s="5">
        <v>2003.5</v>
      </c>
      <c r="F60" s="5">
        <v>2017.4</v>
      </c>
      <c r="G60" s="6">
        <v>44721</v>
      </c>
      <c r="H60" s="5"/>
      <c r="I60" s="5"/>
      <c r="J60" s="5">
        <f t="shared" si="2"/>
        <v>13.900000000000091</v>
      </c>
      <c r="K60" s="8" t="b">
        <f t="shared" si="0"/>
        <v>1</v>
      </c>
    </row>
    <row r="61" spans="1:11">
      <c r="A61" s="5" t="s">
        <v>340</v>
      </c>
      <c r="B61" s="6">
        <v>44722</v>
      </c>
      <c r="C61" s="7">
        <v>0.5</v>
      </c>
      <c r="D61" s="5">
        <v>13.94</v>
      </c>
      <c r="E61" s="5">
        <v>2017.4</v>
      </c>
      <c r="F61" s="5">
        <v>2031.2</v>
      </c>
      <c r="G61" s="6">
        <v>44690</v>
      </c>
      <c r="H61" s="5"/>
      <c r="I61" s="5"/>
      <c r="J61" s="5">
        <f t="shared" si="2"/>
        <v>13.799999999999955</v>
      </c>
      <c r="K61" s="8" t="b">
        <f t="shared" si="0"/>
        <v>1</v>
      </c>
    </row>
    <row r="62" spans="1:11">
      <c r="A62" s="5" t="s">
        <v>340</v>
      </c>
      <c r="B62" s="6">
        <v>44725</v>
      </c>
      <c r="C62" s="7">
        <v>0.5</v>
      </c>
      <c r="D62" s="5">
        <v>13.94</v>
      </c>
      <c r="E62" s="5">
        <v>2031.2</v>
      </c>
      <c r="F62" s="5">
        <v>2045</v>
      </c>
      <c r="G62" s="6">
        <v>44725</v>
      </c>
      <c r="H62" s="5"/>
      <c r="I62" s="5"/>
      <c r="J62" s="5">
        <f t="shared" si="2"/>
        <v>13.799999999999955</v>
      </c>
      <c r="K62" s="8" t="b">
        <f t="shared" si="0"/>
        <v>1</v>
      </c>
    </row>
    <row r="63" spans="1:11">
      <c r="A63" s="5" t="s">
        <v>340</v>
      </c>
      <c r="B63" s="6">
        <v>44726</v>
      </c>
      <c r="C63" s="7">
        <v>0.5</v>
      </c>
      <c r="D63" s="5">
        <v>13.94</v>
      </c>
      <c r="E63" s="5">
        <v>2045</v>
      </c>
      <c r="F63" s="5">
        <v>2058.8000000000002</v>
      </c>
      <c r="G63" s="6">
        <v>44726</v>
      </c>
      <c r="H63" s="5"/>
      <c r="I63" s="5"/>
      <c r="J63" s="5">
        <f t="shared" si="2"/>
        <v>13.800000000000182</v>
      </c>
      <c r="K63" s="8" t="b">
        <f t="shared" si="0"/>
        <v>1</v>
      </c>
    </row>
    <row r="64" spans="1:11">
      <c r="A64" s="5" t="s">
        <v>340</v>
      </c>
      <c r="B64" s="6">
        <v>44729</v>
      </c>
      <c r="C64" s="7">
        <v>0.5</v>
      </c>
      <c r="D64" s="5">
        <v>13.94</v>
      </c>
      <c r="E64" s="5">
        <v>2058.8000000000002</v>
      </c>
      <c r="F64" s="5">
        <v>2072.6999999999998</v>
      </c>
      <c r="G64" s="6">
        <v>44729</v>
      </c>
      <c r="H64" s="5"/>
      <c r="I64" s="5"/>
      <c r="J64" s="5">
        <f t="shared" si="2"/>
        <v>13.899999999999636</v>
      </c>
      <c r="K64" s="8" t="b">
        <f t="shared" si="0"/>
        <v>1</v>
      </c>
    </row>
    <row r="65" spans="1:11">
      <c r="A65" s="5" t="s">
        <v>340</v>
      </c>
      <c r="B65" s="6">
        <v>44735</v>
      </c>
      <c r="C65" s="7">
        <v>0.5</v>
      </c>
      <c r="D65" s="5">
        <v>13.94</v>
      </c>
      <c r="E65" s="5">
        <v>2072.6999999999998</v>
      </c>
      <c r="F65" s="5">
        <v>2084.1</v>
      </c>
      <c r="G65" s="6">
        <v>44735</v>
      </c>
      <c r="H65" s="5"/>
      <c r="I65" s="5"/>
      <c r="J65" s="5">
        <f t="shared" si="2"/>
        <v>11.400000000000091</v>
      </c>
      <c r="K65" s="8" t="b">
        <f t="shared" si="0"/>
        <v>1</v>
      </c>
    </row>
    <row r="66" spans="1:11">
      <c r="A66" s="5" t="s">
        <v>340</v>
      </c>
      <c r="B66" s="6"/>
      <c r="C66" s="7"/>
      <c r="D66" s="5"/>
      <c r="E66" s="5"/>
      <c r="F66" s="5"/>
      <c r="G66" s="6"/>
      <c r="H66" s="5"/>
      <c r="I66" s="5"/>
      <c r="J66" s="5">
        <f t="shared" si="2"/>
        <v>0</v>
      </c>
      <c r="K66" s="8" t="b">
        <f t="shared" si="0"/>
        <v>0</v>
      </c>
    </row>
    <row r="68" spans="1:11" ht="26.25">
      <c r="A68" s="199" t="s">
        <v>339</v>
      </c>
      <c r="B68" s="200"/>
      <c r="C68" s="200"/>
      <c r="D68" s="200"/>
      <c r="E68" s="200"/>
      <c r="F68" s="200"/>
      <c r="G68" s="200"/>
      <c r="H68" s="200"/>
      <c r="I68" s="200"/>
      <c r="J68" s="200"/>
      <c r="K68" s="201"/>
    </row>
    <row r="69" spans="1:11" ht="26.25">
      <c r="A69" s="202" t="s">
        <v>41</v>
      </c>
      <c r="B69" s="203"/>
      <c r="C69" s="203"/>
      <c r="D69" s="203"/>
      <c r="E69" s="203"/>
      <c r="F69" s="203"/>
      <c r="G69" s="203"/>
      <c r="H69" s="203"/>
      <c r="I69" s="203"/>
      <c r="J69" s="203"/>
      <c r="K69" s="204"/>
    </row>
    <row r="70" spans="1:11" ht="15.75" thickBot="1"/>
    <row r="71" spans="1:11" ht="15.75" thickBot="1">
      <c r="A71" s="132" t="s">
        <v>2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4"/>
    </row>
    <row r="73" spans="1:11" ht="19.5" thickBot="1">
      <c r="A73" s="1" t="s">
        <v>3</v>
      </c>
      <c r="B73" s="1"/>
      <c r="C73" s="1"/>
      <c r="D73" s="1"/>
      <c r="E73" s="1"/>
      <c r="F73" s="1"/>
      <c r="G73" s="1"/>
      <c r="H73" s="1"/>
      <c r="I73" s="1"/>
    </row>
    <row r="74" spans="1:11" ht="30.75" thickBot="1">
      <c r="A74" s="2" t="s">
        <v>4</v>
      </c>
      <c r="B74" s="3" t="s">
        <v>5</v>
      </c>
      <c r="C74" s="3" t="s">
        <v>6</v>
      </c>
      <c r="D74" s="3" t="s">
        <v>7</v>
      </c>
      <c r="E74" s="3" t="s">
        <v>8</v>
      </c>
      <c r="F74" s="3" t="s">
        <v>9</v>
      </c>
      <c r="G74" s="3" t="s">
        <v>10</v>
      </c>
      <c r="H74" s="3" t="s">
        <v>21</v>
      </c>
      <c r="I74" s="4" t="s">
        <v>22</v>
      </c>
      <c r="J74" s="4" t="s">
        <v>11</v>
      </c>
      <c r="K74" s="4" t="s">
        <v>12</v>
      </c>
    </row>
    <row r="75" spans="1:11">
      <c r="A75" s="5" t="s">
        <v>341</v>
      </c>
      <c r="B75" s="6">
        <v>44929</v>
      </c>
      <c r="C75" s="7">
        <v>0.6</v>
      </c>
      <c r="D75" s="5">
        <v>11.62</v>
      </c>
      <c r="E75" s="5">
        <v>0</v>
      </c>
      <c r="F75" s="5">
        <v>23.7</v>
      </c>
      <c r="G75" s="6">
        <v>44929</v>
      </c>
      <c r="H75" s="5"/>
      <c r="I75" s="5"/>
      <c r="J75" s="5">
        <f>F75-E75</f>
        <v>23.7</v>
      </c>
      <c r="K75" s="8" t="b">
        <f>E75=F26</f>
        <v>0</v>
      </c>
    </row>
    <row r="76" spans="1:11">
      <c r="A76" s="5" t="s">
        <v>341</v>
      </c>
      <c r="B76" s="6">
        <v>44945</v>
      </c>
      <c r="C76" s="7">
        <v>1</v>
      </c>
      <c r="D76" s="5">
        <v>7.34</v>
      </c>
      <c r="E76" s="5">
        <v>23.7</v>
      </c>
      <c r="F76" s="5">
        <v>33.700000000000003</v>
      </c>
      <c r="G76" s="6">
        <v>44945</v>
      </c>
      <c r="H76" s="5"/>
      <c r="I76" s="5"/>
      <c r="J76" s="5">
        <f t="shared" ref="J76:J85" si="3">F76-E76</f>
        <v>10.000000000000004</v>
      </c>
      <c r="K76" s="8" t="b">
        <f>E76=F75</f>
        <v>1</v>
      </c>
    </row>
    <row r="77" spans="1:11">
      <c r="A77" s="5" t="s">
        <v>341</v>
      </c>
      <c r="B77" s="6">
        <v>44946</v>
      </c>
      <c r="C77" s="7">
        <v>1</v>
      </c>
      <c r="D77" s="5">
        <v>7.34</v>
      </c>
      <c r="E77" s="5">
        <v>33.700000000000003</v>
      </c>
      <c r="F77" s="5">
        <v>43.7</v>
      </c>
      <c r="G77" s="6">
        <v>44946</v>
      </c>
      <c r="H77" s="5"/>
      <c r="I77" s="5"/>
      <c r="J77" s="5">
        <f t="shared" si="3"/>
        <v>10</v>
      </c>
      <c r="K77" s="8" t="b">
        <f t="shared" ref="K77:K85" si="4">E77=F76</f>
        <v>1</v>
      </c>
    </row>
    <row r="78" spans="1:11">
      <c r="A78" s="5" t="s">
        <v>341</v>
      </c>
      <c r="B78" s="6">
        <v>44947</v>
      </c>
      <c r="C78" s="7">
        <v>0.8</v>
      </c>
      <c r="D78" s="5">
        <v>8.7100000000000009</v>
      </c>
      <c r="E78" s="5">
        <v>43.7</v>
      </c>
      <c r="F78" s="5">
        <v>61.6</v>
      </c>
      <c r="G78" s="6">
        <v>44947</v>
      </c>
      <c r="H78" s="5"/>
      <c r="I78" s="5"/>
      <c r="J78" s="5">
        <f t="shared" si="3"/>
        <v>17.899999999999999</v>
      </c>
      <c r="K78" s="8" t="b">
        <f t="shared" si="4"/>
        <v>1</v>
      </c>
    </row>
    <row r="79" spans="1:11">
      <c r="A79" s="5" t="s">
        <v>341</v>
      </c>
      <c r="B79" s="6">
        <v>44950</v>
      </c>
      <c r="C79" s="7">
        <v>1</v>
      </c>
      <c r="D79" s="5">
        <v>7.34</v>
      </c>
      <c r="E79" s="5">
        <v>61.6</v>
      </c>
      <c r="F79" s="5">
        <v>76.3</v>
      </c>
      <c r="G79" s="6">
        <v>44950</v>
      </c>
      <c r="H79" s="5"/>
      <c r="I79" s="5"/>
      <c r="J79" s="5">
        <f t="shared" si="3"/>
        <v>14.699999999999996</v>
      </c>
      <c r="K79" s="8" t="b">
        <f t="shared" si="4"/>
        <v>1</v>
      </c>
    </row>
    <row r="80" spans="1:11">
      <c r="A80" s="5" t="s">
        <v>341</v>
      </c>
      <c r="B80" s="6">
        <v>44952</v>
      </c>
      <c r="C80" s="7">
        <v>0.8</v>
      </c>
      <c r="D80" s="5">
        <v>8.7100000000000009</v>
      </c>
      <c r="E80" s="5">
        <v>76.3</v>
      </c>
      <c r="F80" s="5">
        <v>94.9</v>
      </c>
      <c r="G80" s="6">
        <v>44953</v>
      </c>
      <c r="H80" s="5"/>
      <c r="I80" s="5"/>
      <c r="J80" s="5">
        <f t="shared" si="3"/>
        <v>18.600000000000009</v>
      </c>
      <c r="K80" s="8" t="b">
        <f t="shared" si="4"/>
        <v>1</v>
      </c>
    </row>
    <row r="81" spans="1:11">
      <c r="A81" s="5" t="s">
        <v>341</v>
      </c>
      <c r="B81" s="6">
        <v>44953</v>
      </c>
      <c r="C81" s="7">
        <v>0.8</v>
      </c>
      <c r="D81" s="5">
        <v>8.7100000000000009</v>
      </c>
      <c r="E81" s="5">
        <v>94.9</v>
      </c>
      <c r="F81" s="5">
        <v>113.5</v>
      </c>
      <c r="G81" s="6">
        <v>44954</v>
      </c>
      <c r="H81" s="5"/>
      <c r="I81" s="5"/>
      <c r="J81" s="5">
        <f t="shared" si="3"/>
        <v>18.599999999999994</v>
      </c>
      <c r="K81" s="8" t="b">
        <f t="shared" si="4"/>
        <v>1</v>
      </c>
    </row>
    <row r="82" spans="1:11">
      <c r="A82" s="5" t="s">
        <v>341</v>
      </c>
      <c r="B82" s="6">
        <v>44954</v>
      </c>
      <c r="C82" s="7">
        <v>1</v>
      </c>
      <c r="D82" s="5">
        <v>8.7100000000000009</v>
      </c>
      <c r="E82" s="5">
        <v>113.5</v>
      </c>
      <c r="F82" s="5">
        <v>128.5</v>
      </c>
      <c r="G82" s="6">
        <v>44954</v>
      </c>
      <c r="H82" s="5"/>
      <c r="I82" s="5"/>
      <c r="J82" s="5">
        <f t="shared" si="3"/>
        <v>15</v>
      </c>
      <c r="K82" s="8" t="b">
        <f t="shared" si="4"/>
        <v>1</v>
      </c>
    </row>
    <row r="83" spans="1:11">
      <c r="A83" s="5" t="s">
        <v>341</v>
      </c>
      <c r="B83" s="6">
        <v>44955</v>
      </c>
      <c r="C83" s="7">
        <v>0.8</v>
      </c>
      <c r="D83" s="5">
        <v>8.7100000000000009</v>
      </c>
      <c r="E83" s="5">
        <v>128.5</v>
      </c>
      <c r="F83" s="5">
        <v>145.80000000000001</v>
      </c>
      <c r="G83" s="6">
        <v>44955</v>
      </c>
      <c r="H83" s="5"/>
      <c r="I83" s="5"/>
      <c r="J83" s="5">
        <f t="shared" si="3"/>
        <v>17.300000000000011</v>
      </c>
      <c r="K83" s="8" t="b">
        <f t="shared" si="4"/>
        <v>1</v>
      </c>
    </row>
    <row r="84" spans="1:11">
      <c r="A84" s="5" t="s">
        <v>341</v>
      </c>
      <c r="B84" s="6">
        <v>44956</v>
      </c>
      <c r="C84" s="7">
        <v>0.8</v>
      </c>
      <c r="D84" s="5">
        <v>8.7100000000000009</v>
      </c>
      <c r="E84" s="5">
        <v>145.80000000000001</v>
      </c>
      <c r="F84" s="5">
        <v>160.6</v>
      </c>
      <c r="G84" s="6">
        <v>44956</v>
      </c>
      <c r="H84" s="5"/>
      <c r="I84" s="5"/>
      <c r="J84" s="5">
        <f t="shared" si="3"/>
        <v>14.799999999999983</v>
      </c>
      <c r="K84" s="8" t="b">
        <f t="shared" si="4"/>
        <v>1</v>
      </c>
    </row>
    <row r="85" spans="1:11">
      <c r="A85" s="5" t="s">
        <v>341</v>
      </c>
      <c r="B85" s="6">
        <v>44957</v>
      </c>
      <c r="C85" s="7">
        <v>1</v>
      </c>
      <c r="D85" s="5">
        <v>7.34</v>
      </c>
      <c r="E85" s="5">
        <v>160.6</v>
      </c>
      <c r="F85" s="5">
        <v>179.8</v>
      </c>
      <c r="G85" s="6">
        <v>44957</v>
      </c>
      <c r="H85" s="5"/>
      <c r="I85" s="5"/>
      <c r="J85" s="5">
        <f t="shared" si="3"/>
        <v>19.200000000000017</v>
      </c>
      <c r="K85" s="8" t="b">
        <f t="shared" si="4"/>
        <v>1</v>
      </c>
    </row>
    <row r="86" spans="1:11">
      <c r="A86" s="5" t="s">
        <v>341</v>
      </c>
      <c r="B86" s="6">
        <v>44959</v>
      </c>
      <c r="C86" s="7">
        <v>0.8</v>
      </c>
      <c r="D86" s="5">
        <v>8.7100000000000009</v>
      </c>
      <c r="E86" s="5">
        <v>179.8</v>
      </c>
      <c r="F86" s="5">
        <v>194.8</v>
      </c>
      <c r="G86" s="6">
        <v>44959</v>
      </c>
      <c r="H86" s="5"/>
      <c r="I86" s="5"/>
      <c r="J86" s="5">
        <f t="shared" ref="J86:J94" si="5">F86-E86</f>
        <v>15</v>
      </c>
      <c r="K86" s="8" t="b">
        <f>E86=F85</f>
        <v>1</v>
      </c>
    </row>
    <row r="87" spans="1:11">
      <c r="A87" s="5" t="s">
        <v>342</v>
      </c>
      <c r="B87" s="6">
        <v>44960</v>
      </c>
      <c r="C87" s="7">
        <v>0.8</v>
      </c>
      <c r="D87" s="5">
        <v>8.7100000000000009</v>
      </c>
      <c r="E87" s="5">
        <v>194.8</v>
      </c>
      <c r="F87" s="5">
        <v>203.8</v>
      </c>
      <c r="G87" s="6">
        <v>44960</v>
      </c>
      <c r="H87" s="5"/>
      <c r="I87" s="5"/>
      <c r="J87" s="5">
        <f t="shared" si="5"/>
        <v>9</v>
      </c>
      <c r="K87" s="8" t="b">
        <f t="shared" ref="K87:K94" si="6">E87=F86</f>
        <v>1</v>
      </c>
    </row>
    <row r="88" spans="1:11">
      <c r="A88" s="5" t="s">
        <v>341</v>
      </c>
      <c r="B88" s="6">
        <v>44961</v>
      </c>
      <c r="C88" s="7">
        <v>1</v>
      </c>
      <c r="D88" s="5">
        <v>7.34</v>
      </c>
      <c r="E88" s="5">
        <v>203.8</v>
      </c>
      <c r="F88" s="5">
        <v>219</v>
      </c>
      <c r="G88" s="6">
        <v>44961</v>
      </c>
      <c r="H88" s="5"/>
      <c r="I88" s="5"/>
      <c r="J88" s="5">
        <f t="shared" si="5"/>
        <v>15.199999999999989</v>
      </c>
      <c r="K88" s="8" t="b">
        <f t="shared" si="6"/>
        <v>1</v>
      </c>
    </row>
    <row r="89" spans="1:11">
      <c r="A89" s="5" t="s">
        <v>341</v>
      </c>
      <c r="B89" s="6">
        <v>44962</v>
      </c>
      <c r="C89" s="7">
        <v>1</v>
      </c>
      <c r="D89" s="5">
        <v>7.34</v>
      </c>
      <c r="E89" s="5">
        <v>219</v>
      </c>
      <c r="F89" s="5">
        <v>233.5</v>
      </c>
      <c r="G89" s="6">
        <v>44962</v>
      </c>
      <c r="H89" s="5"/>
      <c r="I89" s="5"/>
      <c r="J89" s="5">
        <f t="shared" si="5"/>
        <v>14.5</v>
      </c>
      <c r="K89" s="8" t="b">
        <f t="shared" si="6"/>
        <v>1</v>
      </c>
    </row>
    <row r="90" spans="1:11">
      <c r="A90" s="5" t="s">
        <v>341</v>
      </c>
      <c r="B90" s="6">
        <v>44963</v>
      </c>
      <c r="C90" s="7">
        <v>1</v>
      </c>
      <c r="D90" s="5">
        <v>7.34</v>
      </c>
      <c r="E90" s="5">
        <v>233.5</v>
      </c>
      <c r="F90" s="5">
        <v>247.6</v>
      </c>
      <c r="G90" s="6">
        <v>44963</v>
      </c>
      <c r="H90" s="5"/>
      <c r="I90" s="5"/>
      <c r="J90" s="5">
        <f t="shared" si="5"/>
        <v>14.099999999999994</v>
      </c>
      <c r="K90" s="8" t="b">
        <f t="shared" si="6"/>
        <v>1</v>
      </c>
    </row>
    <row r="91" spans="1:11">
      <c r="A91" s="5" t="s">
        <v>341</v>
      </c>
      <c r="B91" s="6">
        <v>44964</v>
      </c>
      <c r="C91" s="7">
        <v>1</v>
      </c>
      <c r="D91" s="5">
        <v>7.34</v>
      </c>
      <c r="E91" s="5">
        <v>247.6</v>
      </c>
      <c r="F91" s="5">
        <v>262.39999999999998</v>
      </c>
      <c r="G91" s="6">
        <v>44964</v>
      </c>
      <c r="H91" s="5"/>
      <c r="I91" s="5"/>
      <c r="J91" s="5">
        <f t="shared" si="5"/>
        <v>14.799999999999983</v>
      </c>
      <c r="K91" s="8" t="b">
        <f t="shared" si="6"/>
        <v>1</v>
      </c>
    </row>
    <row r="92" spans="1:11">
      <c r="A92" s="5" t="s">
        <v>341</v>
      </c>
      <c r="B92" s="6">
        <v>44966</v>
      </c>
      <c r="C92" s="7">
        <v>1</v>
      </c>
      <c r="D92" s="5">
        <v>7.34</v>
      </c>
      <c r="E92" s="5">
        <v>262.39999999999998</v>
      </c>
      <c r="F92" s="5">
        <v>277.39999999999998</v>
      </c>
      <c r="G92" s="6">
        <v>44966</v>
      </c>
      <c r="H92" s="5"/>
      <c r="I92" s="5"/>
      <c r="J92" s="5">
        <f t="shared" si="5"/>
        <v>15</v>
      </c>
      <c r="K92" s="8" t="b">
        <f t="shared" si="6"/>
        <v>1</v>
      </c>
    </row>
    <row r="93" spans="1:11">
      <c r="A93" s="5" t="s">
        <v>341</v>
      </c>
      <c r="B93" s="6">
        <v>44968</v>
      </c>
      <c r="C93" s="7">
        <v>1</v>
      </c>
      <c r="D93" s="5">
        <v>7.34</v>
      </c>
      <c r="E93" s="5">
        <v>277.39999999999998</v>
      </c>
      <c r="F93" s="5">
        <v>291.39999999999998</v>
      </c>
      <c r="G93" s="6">
        <v>44968</v>
      </c>
      <c r="H93" s="5"/>
      <c r="I93" s="5"/>
      <c r="J93" s="5">
        <f t="shared" si="5"/>
        <v>14</v>
      </c>
      <c r="K93" s="8" t="b">
        <f t="shared" si="6"/>
        <v>1</v>
      </c>
    </row>
    <row r="94" spans="1:11">
      <c r="A94" s="5" t="s">
        <v>341</v>
      </c>
      <c r="B94" s="6">
        <v>44970</v>
      </c>
      <c r="C94" s="7">
        <v>1</v>
      </c>
      <c r="D94" s="5">
        <v>7.34</v>
      </c>
      <c r="E94" s="5">
        <v>291.39999999999998</v>
      </c>
      <c r="F94" s="5">
        <v>305.39999999999998</v>
      </c>
      <c r="G94" s="6">
        <v>44970</v>
      </c>
      <c r="H94" s="5"/>
      <c r="I94" s="5"/>
      <c r="J94" s="5">
        <f t="shared" si="5"/>
        <v>14</v>
      </c>
      <c r="K94" s="8" t="b">
        <f t="shared" si="6"/>
        <v>1</v>
      </c>
    </row>
    <row r="95" spans="1:11">
      <c r="A95" s="5" t="s">
        <v>341</v>
      </c>
      <c r="B95" s="6">
        <v>44972</v>
      </c>
      <c r="C95" s="7">
        <v>1</v>
      </c>
      <c r="D95" s="5">
        <v>7.34</v>
      </c>
      <c r="E95" s="5">
        <v>305.39999999999998</v>
      </c>
      <c r="F95" s="5">
        <v>318.60000000000002</v>
      </c>
      <c r="G95" s="6">
        <v>44972</v>
      </c>
      <c r="H95" s="5"/>
      <c r="I95" s="5"/>
      <c r="J95" s="5">
        <f t="shared" ref="J95:J100" si="7">F95-E95</f>
        <v>13.200000000000045</v>
      </c>
      <c r="K95" s="8" t="b">
        <f t="shared" ref="K95:K100" si="8">E95=F94</f>
        <v>1</v>
      </c>
    </row>
    <row r="96" spans="1:11">
      <c r="A96" s="39" t="s">
        <v>341</v>
      </c>
      <c r="B96" s="40">
        <v>44973</v>
      </c>
      <c r="C96" s="41">
        <v>1</v>
      </c>
      <c r="D96" s="39">
        <v>7.34</v>
      </c>
      <c r="E96" s="39">
        <v>318.60000000000002</v>
      </c>
      <c r="F96" s="39">
        <v>321.2</v>
      </c>
      <c r="G96" s="40">
        <v>44973</v>
      </c>
      <c r="H96" s="39"/>
      <c r="I96" s="39"/>
      <c r="J96" s="39">
        <f t="shared" si="7"/>
        <v>2.5999999999999659</v>
      </c>
      <c r="K96" s="8" t="b">
        <f t="shared" si="8"/>
        <v>1</v>
      </c>
    </row>
    <row r="97" spans="1:11">
      <c r="A97" s="5" t="s">
        <v>341</v>
      </c>
      <c r="B97" s="6">
        <v>44975</v>
      </c>
      <c r="C97" s="7">
        <v>0.8</v>
      </c>
      <c r="D97" s="5">
        <v>8.7100000000000009</v>
      </c>
      <c r="E97" s="5">
        <v>321.2</v>
      </c>
      <c r="F97" s="5">
        <v>339</v>
      </c>
      <c r="G97" s="6">
        <v>44975</v>
      </c>
      <c r="H97" s="5"/>
      <c r="I97" s="5"/>
      <c r="J97" s="5">
        <f t="shared" si="7"/>
        <v>17.800000000000011</v>
      </c>
      <c r="K97" s="8" t="b">
        <f t="shared" si="8"/>
        <v>1</v>
      </c>
    </row>
    <row r="98" spans="1:11">
      <c r="A98" s="5" t="s">
        <v>341</v>
      </c>
      <c r="B98" s="6">
        <v>44978</v>
      </c>
      <c r="C98" s="7">
        <v>0.8</v>
      </c>
      <c r="D98" s="5">
        <v>8.7100000000000009</v>
      </c>
      <c r="E98" s="5">
        <v>339</v>
      </c>
      <c r="F98" s="5">
        <v>356.4</v>
      </c>
      <c r="G98" s="6">
        <v>44978</v>
      </c>
      <c r="H98" s="5"/>
      <c r="I98" s="5"/>
      <c r="J98" s="5">
        <f t="shared" si="7"/>
        <v>17.399999999999977</v>
      </c>
      <c r="K98" s="8" t="b">
        <f t="shared" si="8"/>
        <v>1</v>
      </c>
    </row>
    <row r="99" spans="1:11">
      <c r="A99" s="25" t="s">
        <v>341</v>
      </c>
      <c r="B99" s="26">
        <v>44980</v>
      </c>
      <c r="C99" s="27">
        <v>1</v>
      </c>
      <c r="D99" s="25">
        <v>7.34</v>
      </c>
      <c r="E99" s="25">
        <v>356.4</v>
      </c>
      <c r="F99" s="25">
        <v>370.2</v>
      </c>
      <c r="G99" s="26">
        <v>44980</v>
      </c>
      <c r="H99" s="25"/>
      <c r="I99" s="25"/>
      <c r="J99" s="25">
        <f t="shared" si="7"/>
        <v>13.800000000000011</v>
      </c>
      <c r="K99" s="28" t="b">
        <f t="shared" si="8"/>
        <v>1</v>
      </c>
    </row>
    <row r="100" spans="1:11">
      <c r="A100" s="5" t="s">
        <v>341</v>
      </c>
      <c r="B100" s="6">
        <v>44981</v>
      </c>
      <c r="C100" s="7">
        <v>0.8</v>
      </c>
      <c r="D100" s="5">
        <v>8.7100000000000009</v>
      </c>
      <c r="E100" s="5">
        <v>370.2</v>
      </c>
      <c r="F100" s="5">
        <v>390.9</v>
      </c>
      <c r="G100" s="6">
        <v>44981</v>
      </c>
      <c r="H100" s="5"/>
      <c r="I100" s="5"/>
      <c r="J100" s="5">
        <f t="shared" si="7"/>
        <v>20.699999999999989</v>
      </c>
      <c r="K100" s="8" t="b">
        <f t="shared" si="8"/>
        <v>1</v>
      </c>
    </row>
    <row r="101" spans="1:11">
      <c r="A101" s="5" t="s">
        <v>343</v>
      </c>
      <c r="B101" s="6">
        <v>44983</v>
      </c>
      <c r="C101" s="7">
        <v>0.7</v>
      </c>
      <c r="D101" s="5">
        <v>9.69</v>
      </c>
      <c r="E101" s="5">
        <v>390.9</v>
      </c>
      <c r="F101" s="5">
        <v>401.9</v>
      </c>
      <c r="G101" s="6">
        <v>44983</v>
      </c>
      <c r="H101" s="5"/>
      <c r="I101" s="5"/>
      <c r="J101" s="5">
        <f t="shared" ref="J101:J105" si="9">F101-E101</f>
        <v>11</v>
      </c>
      <c r="K101" s="8" t="b">
        <f t="shared" ref="K101:K105" si="10">E101=F100</f>
        <v>1</v>
      </c>
    </row>
    <row r="102" spans="1:11">
      <c r="A102" s="5" t="s">
        <v>344</v>
      </c>
      <c r="B102" s="6">
        <v>44984</v>
      </c>
      <c r="C102" s="7">
        <v>0.7</v>
      </c>
      <c r="D102" s="5">
        <v>9.69</v>
      </c>
      <c r="E102" s="5">
        <v>401.9</v>
      </c>
      <c r="F102" s="5">
        <v>412.1</v>
      </c>
      <c r="G102" s="6">
        <v>44984</v>
      </c>
      <c r="H102" s="5"/>
      <c r="I102" s="5"/>
      <c r="J102" s="5">
        <f t="shared" si="9"/>
        <v>10.200000000000045</v>
      </c>
      <c r="K102" s="8" t="b">
        <f t="shared" si="10"/>
        <v>1</v>
      </c>
    </row>
    <row r="103" spans="1:11">
      <c r="A103" s="25" t="s">
        <v>341</v>
      </c>
      <c r="B103" s="26">
        <v>44986</v>
      </c>
      <c r="C103" s="27">
        <v>1</v>
      </c>
      <c r="D103" s="25">
        <v>7.34</v>
      </c>
      <c r="E103" s="25">
        <v>412.1</v>
      </c>
      <c r="F103" s="25">
        <v>427.6</v>
      </c>
      <c r="G103" s="26">
        <v>44986</v>
      </c>
      <c r="H103" s="25"/>
      <c r="I103" s="25"/>
      <c r="J103" s="25">
        <f t="shared" si="9"/>
        <v>15.5</v>
      </c>
      <c r="K103" s="8" t="b">
        <f t="shared" si="10"/>
        <v>1</v>
      </c>
    </row>
    <row r="104" spans="1:11">
      <c r="A104" s="5" t="s">
        <v>343</v>
      </c>
      <c r="B104" s="6">
        <v>44987</v>
      </c>
      <c r="C104" s="7">
        <v>0.6</v>
      </c>
      <c r="D104" s="5">
        <v>11.62</v>
      </c>
      <c r="E104" s="5">
        <v>427.6</v>
      </c>
      <c r="F104" s="5">
        <v>439.8</v>
      </c>
      <c r="G104" s="6">
        <v>44987</v>
      </c>
      <c r="H104" s="5"/>
      <c r="I104" s="5"/>
      <c r="J104" s="5">
        <f t="shared" si="9"/>
        <v>12.199999999999989</v>
      </c>
      <c r="K104" s="8" t="b">
        <f t="shared" si="10"/>
        <v>1</v>
      </c>
    </row>
    <row r="105" spans="1:11">
      <c r="A105" s="5" t="s">
        <v>344</v>
      </c>
      <c r="B105" s="6">
        <v>44988</v>
      </c>
      <c r="C105" s="7">
        <v>0.6</v>
      </c>
      <c r="D105" s="5">
        <v>11.62</v>
      </c>
      <c r="E105" s="5">
        <v>439.8</v>
      </c>
      <c r="F105" s="5">
        <v>449.8</v>
      </c>
      <c r="G105" s="6">
        <v>44988</v>
      </c>
      <c r="H105" s="5"/>
      <c r="I105" s="5"/>
      <c r="J105" s="5">
        <f t="shared" si="9"/>
        <v>10</v>
      </c>
      <c r="K105" s="8" t="b">
        <f t="shared" si="10"/>
        <v>1</v>
      </c>
    </row>
    <row r="106" spans="1:11">
      <c r="A106" s="5" t="s">
        <v>343</v>
      </c>
      <c r="B106" s="6">
        <v>44989</v>
      </c>
      <c r="C106" s="7">
        <v>0.6</v>
      </c>
      <c r="D106" s="5">
        <v>11.62</v>
      </c>
      <c r="E106" s="5">
        <v>449.8</v>
      </c>
      <c r="F106" s="5">
        <v>462.3</v>
      </c>
      <c r="G106" s="6">
        <v>44989</v>
      </c>
      <c r="H106" s="5"/>
      <c r="I106" s="5"/>
      <c r="J106" s="5">
        <f t="shared" ref="J106:J113" si="11">F106-E106</f>
        <v>12.5</v>
      </c>
      <c r="K106" s="8" t="b">
        <f t="shared" ref="K106:K113" si="12">E106=F105</f>
        <v>1</v>
      </c>
    </row>
    <row r="107" spans="1:11">
      <c r="A107" s="5" t="s">
        <v>344</v>
      </c>
      <c r="B107" s="6">
        <v>44991</v>
      </c>
      <c r="C107" s="7">
        <v>0.6</v>
      </c>
      <c r="D107" s="5">
        <v>11.62</v>
      </c>
      <c r="E107" s="5">
        <v>462.3</v>
      </c>
      <c r="F107" s="5">
        <v>474.5</v>
      </c>
      <c r="G107" s="6">
        <v>44991</v>
      </c>
      <c r="H107" s="5"/>
      <c r="I107" s="5"/>
      <c r="J107" s="5">
        <f t="shared" si="11"/>
        <v>12.199999999999989</v>
      </c>
      <c r="K107" s="8" t="b">
        <f t="shared" si="12"/>
        <v>1</v>
      </c>
    </row>
    <row r="108" spans="1:11">
      <c r="A108" s="25" t="s">
        <v>341</v>
      </c>
      <c r="B108" s="26">
        <v>44993</v>
      </c>
      <c r="C108" s="27">
        <v>1</v>
      </c>
      <c r="D108" s="25">
        <v>7.34</v>
      </c>
      <c r="E108" s="25">
        <v>474.5</v>
      </c>
      <c r="F108" s="25">
        <v>489</v>
      </c>
      <c r="G108" s="26">
        <v>44994</v>
      </c>
      <c r="H108" s="25"/>
      <c r="I108" s="25"/>
      <c r="J108" s="25">
        <f t="shared" si="11"/>
        <v>14.5</v>
      </c>
      <c r="K108" s="8" t="b">
        <f t="shared" si="12"/>
        <v>1</v>
      </c>
    </row>
    <row r="109" spans="1:11">
      <c r="A109" s="5" t="s">
        <v>341</v>
      </c>
      <c r="B109" s="6">
        <v>44995</v>
      </c>
      <c r="C109" s="7">
        <v>0.6</v>
      </c>
      <c r="D109" s="5">
        <v>11.62</v>
      </c>
      <c r="E109" s="5">
        <v>489</v>
      </c>
      <c r="F109" s="5">
        <v>524.5</v>
      </c>
      <c r="G109" s="6">
        <v>44996</v>
      </c>
      <c r="H109" s="5"/>
      <c r="I109" s="5"/>
      <c r="J109" s="5">
        <f t="shared" si="11"/>
        <v>35.5</v>
      </c>
      <c r="K109" s="8" t="b">
        <f t="shared" si="12"/>
        <v>1</v>
      </c>
    </row>
    <row r="110" spans="1:11">
      <c r="A110" s="5" t="s">
        <v>341</v>
      </c>
      <c r="B110" s="6">
        <v>44996</v>
      </c>
      <c r="C110" s="7">
        <v>0.6</v>
      </c>
      <c r="D110" s="5">
        <v>11.62</v>
      </c>
      <c r="E110" s="5">
        <v>524.5</v>
      </c>
      <c r="F110" s="5">
        <v>548.1</v>
      </c>
      <c r="G110" s="6">
        <v>44997</v>
      </c>
      <c r="H110" s="5"/>
      <c r="I110" s="5"/>
      <c r="J110" s="5">
        <f t="shared" si="11"/>
        <v>23.600000000000023</v>
      </c>
      <c r="K110" s="8" t="b">
        <f t="shared" si="12"/>
        <v>1</v>
      </c>
    </row>
    <row r="111" spans="1:11">
      <c r="A111" s="5" t="s">
        <v>343</v>
      </c>
      <c r="B111" s="6">
        <v>44998</v>
      </c>
      <c r="C111" s="7">
        <v>0.6</v>
      </c>
      <c r="D111" s="5">
        <v>11.62</v>
      </c>
      <c r="E111" s="5">
        <v>548.1</v>
      </c>
      <c r="F111" s="5">
        <v>559.9</v>
      </c>
      <c r="G111" s="6">
        <v>44998</v>
      </c>
      <c r="H111" s="5"/>
      <c r="I111" s="5"/>
      <c r="J111" s="5">
        <f t="shared" si="11"/>
        <v>11.799999999999955</v>
      </c>
      <c r="K111" s="8" t="b">
        <f t="shared" si="12"/>
        <v>1</v>
      </c>
    </row>
    <row r="112" spans="1:11">
      <c r="A112" s="5" t="s">
        <v>344</v>
      </c>
      <c r="B112" s="6">
        <v>44999</v>
      </c>
      <c r="C112" s="7">
        <v>0.6</v>
      </c>
      <c r="D112" s="5">
        <v>11.62</v>
      </c>
      <c r="E112" s="5">
        <v>559.9</v>
      </c>
      <c r="F112" s="5">
        <v>571.9</v>
      </c>
      <c r="G112" s="6">
        <v>44999</v>
      </c>
      <c r="H112" s="5"/>
      <c r="I112" s="5"/>
      <c r="J112" s="5">
        <f t="shared" si="11"/>
        <v>12</v>
      </c>
      <c r="K112" s="8" t="b">
        <f t="shared" si="12"/>
        <v>1</v>
      </c>
    </row>
    <row r="113" spans="1:11">
      <c r="A113" s="25" t="s">
        <v>341</v>
      </c>
      <c r="B113" s="26">
        <v>44999</v>
      </c>
      <c r="C113" s="27">
        <v>1</v>
      </c>
      <c r="D113" s="25">
        <v>7.34</v>
      </c>
      <c r="E113" s="25">
        <v>571.9</v>
      </c>
      <c r="F113" s="25">
        <v>587</v>
      </c>
      <c r="G113" s="26">
        <v>45000</v>
      </c>
      <c r="H113" s="25"/>
      <c r="I113" s="25"/>
      <c r="J113" s="25">
        <f t="shared" si="11"/>
        <v>15.100000000000023</v>
      </c>
      <c r="K113" s="8" t="b">
        <f t="shared" si="12"/>
        <v>1</v>
      </c>
    </row>
    <row r="114" spans="1:11">
      <c r="A114" s="5" t="s">
        <v>343</v>
      </c>
      <c r="B114" s="6">
        <v>45000</v>
      </c>
      <c r="C114" s="7">
        <v>0.8</v>
      </c>
      <c r="D114" s="5">
        <v>8.7100000000000009</v>
      </c>
      <c r="E114" s="5">
        <v>587</v>
      </c>
      <c r="F114" s="5">
        <v>599.70000000000005</v>
      </c>
      <c r="G114" s="6">
        <v>45000</v>
      </c>
      <c r="H114" s="5"/>
      <c r="I114" s="5"/>
      <c r="J114" s="5">
        <f t="shared" ref="J114:J120" si="13">F114-E114</f>
        <v>12.700000000000045</v>
      </c>
      <c r="K114" s="8" t="b">
        <f t="shared" ref="K114:K120" si="14">E114=F113</f>
        <v>1</v>
      </c>
    </row>
    <row r="115" spans="1:11">
      <c r="A115" s="5" t="s">
        <v>344</v>
      </c>
      <c r="B115" s="6">
        <v>45001</v>
      </c>
      <c r="C115" s="7">
        <v>0.6</v>
      </c>
      <c r="D115" s="5">
        <v>11.62</v>
      </c>
      <c r="E115" s="5">
        <v>599.70000000000005</v>
      </c>
      <c r="F115" s="5">
        <v>609.29999999999995</v>
      </c>
      <c r="G115" s="6">
        <v>45001</v>
      </c>
      <c r="H115" s="5"/>
      <c r="I115" s="5"/>
      <c r="J115" s="5">
        <f t="shared" si="13"/>
        <v>9.5999999999999091</v>
      </c>
      <c r="K115" s="8" t="b">
        <f t="shared" si="14"/>
        <v>1</v>
      </c>
    </row>
    <row r="116" spans="1:11">
      <c r="A116" s="5" t="s">
        <v>345</v>
      </c>
      <c r="B116" s="6">
        <v>45003</v>
      </c>
      <c r="C116" s="7">
        <v>0.6</v>
      </c>
      <c r="D116" s="5">
        <v>11.62</v>
      </c>
      <c r="E116" s="5">
        <v>609.29999999999995</v>
      </c>
      <c r="F116" s="5">
        <v>621.5</v>
      </c>
      <c r="G116" s="6">
        <v>45003</v>
      </c>
      <c r="H116" s="5"/>
      <c r="I116" s="5"/>
      <c r="J116" s="5">
        <f t="shared" si="13"/>
        <v>12.200000000000045</v>
      </c>
      <c r="K116" s="8" t="b">
        <f t="shared" si="14"/>
        <v>1</v>
      </c>
    </row>
    <row r="117" spans="1:11">
      <c r="A117" s="5" t="s">
        <v>344</v>
      </c>
      <c r="B117" s="6">
        <v>45004</v>
      </c>
      <c r="C117" s="7">
        <v>0.6</v>
      </c>
      <c r="D117" s="5">
        <v>11.62</v>
      </c>
      <c r="E117" s="5">
        <v>621.5</v>
      </c>
      <c r="F117" s="5">
        <v>633</v>
      </c>
      <c r="G117" s="6">
        <v>45004</v>
      </c>
      <c r="H117" s="5"/>
      <c r="I117" s="5"/>
      <c r="J117" s="5">
        <f t="shared" si="13"/>
        <v>11.5</v>
      </c>
      <c r="K117" s="8" t="b">
        <f t="shared" si="14"/>
        <v>1</v>
      </c>
    </row>
    <row r="118" spans="1:11">
      <c r="A118" s="5" t="s">
        <v>343</v>
      </c>
      <c r="B118" s="6">
        <v>45005</v>
      </c>
      <c r="C118" s="7">
        <v>0.8</v>
      </c>
      <c r="D118" s="5">
        <v>8.7100000000000009</v>
      </c>
      <c r="E118" s="5">
        <v>633</v>
      </c>
      <c r="F118" s="5">
        <v>641.5</v>
      </c>
      <c r="G118" s="6">
        <v>45005</v>
      </c>
      <c r="H118" s="5"/>
      <c r="I118" s="5"/>
      <c r="J118" s="5">
        <f t="shared" si="13"/>
        <v>8.5</v>
      </c>
      <c r="K118" s="8" t="b">
        <f t="shared" si="14"/>
        <v>1</v>
      </c>
    </row>
    <row r="119" spans="1:11">
      <c r="A119" s="5" t="s">
        <v>344</v>
      </c>
      <c r="B119" s="6">
        <v>45006</v>
      </c>
      <c r="C119" s="7">
        <v>1</v>
      </c>
      <c r="D119" s="5">
        <v>7.34</v>
      </c>
      <c r="E119" s="5">
        <v>641.5</v>
      </c>
      <c r="F119" s="5">
        <v>651</v>
      </c>
      <c r="G119" s="6">
        <v>45006</v>
      </c>
      <c r="H119" s="5"/>
      <c r="I119" s="5"/>
      <c r="J119" s="5">
        <f t="shared" si="13"/>
        <v>9.5</v>
      </c>
      <c r="K119" s="8" t="b">
        <f t="shared" si="14"/>
        <v>1</v>
      </c>
    </row>
    <row r="120" spans="1:11">
      <c r="A120" s="25" t="s">
        <v>341</v>
      </c>
      <c r="B120" s="26">
        <v>45007</v>
      </c>
      <c r="C120" s="27">
        <v>1</v>
      </c>
      <c r="D120" s="25">
        <v>7.34</v>
      </c>
      <c r="E120" s="25">
        <v>651</v>
      </c>
      <c r="F120" s="25">
        <v>665.1</v>
      </c>
      <c r="G120" s="26">
        <v>45007</v>
      </c>
      <c r="H120" s="25"/>
      <c r="I120" s="25"/>
      <c r="J120" s="25">
        <f t="shared" si="13"/>
        <v>14.100000000000023</v>
      </c>
      <c r="K120" s="8" t="b">
        <f t="shared" si="14"/>
        <v>1</v>
      </c>
    </row>
    <row r="121" spans="1:11">
      <c r="A121" s="5" t="s">
        <v>344</v>
      </c>
      <c r="B121" s="6">
        <v>45008</v>
      </c>
      <c r="C121" s="7">
        <v>0.8</v>
      </c>
      <c r="D121" s="5">
        <v>8.7100000000000009</v>
      </c>
      <c r="E121" s="5">
        <v>665.1</v>
      </c>
      <c r="F121" s="5">
        <v>674.4</v>
      </c>
      <c r="G121" s="6">
        <v>45008</v>
      </c>
      <c r="H121" s="5"/>
      <c r="I121" s="5"/>
      <c r="J121" s="5">
        <f t="shared" ref="J121:J160" si="15">F121-E121</f>
        <v>9.2999999999999545</v>
      </c>
      <c r="K121" s="8" t="b">
        <f t="shared" ref="K121" si="16">E121=F120</f>
        <v>1</v>
      </c>
    </row>
    <row r="122" spans="1:11">
      <c r="A122" s="5" t="s">
        <v>343</v>
      </c>
      <c r="B122" s="6">
        <v>45009</v>
      </c>
      <c r="C122" s="7">
        <v>0.6</v>
      </c>
      <c r="D122" s="5">
        <v>10.72</v>
      </c>
      <c r="E122" s="5">
        <v>674.4</v>
      </c>
      <c r="F122" s="5">
        <v>700</v>
      </c>
      <c r="G122" s="6">
        <v>45009</v>
      </c>
      <c r="H122" s="5"/>
      <c r="I122" s="5"/>
      <c r="J122" s="5">
        <f>F122-E122</f>
        <v>25.600000000000023</v>
      </c>
      <c r="K122" s="8" t="b">
        <f>E123=F121</f>
        <v>0</v>
      </c>
    </row>
    <row r="123" spans="1:11">
      <c r="A123" s="25" t="s">
        <v>344</v>
      </c>
      <c r="B123" s="26">
        <v>45010</v>
      </c>
      <c r="C123" s="27">
        <v>1</v>
      </c>
      <c r="D123" s="25">
        <v>7.34</v>
      </c>
      <c r="E123" s="25">
        <v>700</v>
      </c>
      <c r="F123" s="25">
        <v>711.5</v>
      </c>
      <c r="G123" s="26">
        <v>45010</v>
      </c>
      <c r="H123" s="25"/>
      <c r="I123" s="25"/>
      <c r="J123" s="25">
        <f t="shared" si="15"/>
        <v>11.5</v>
      </c>
      <c r="K123" s="8" t="b">
        <f>E122=F123</f>
        <v>0</v>
      </c>
    </row>
    <row r="124" spans="1:11">
      <c r="A124" s="5" t="s">
        <v>343</v>
      </c>
      <c r="B124" s="6">
        <v>45011</v>
      </c>
      <c r="C124" s="7">
        <v>0.6</v>
      </c>
      <c r="D124" s="5">
        <v>11.62</v>
      </c>
      <c r="E124" s="5">
        <v>711.5</v>
      </c>
      <c r="F124" s="5">
        <v>723.2</v>
      </c>
      <c r="G124" s="6">
        <v>45011</v>
      </c>
      <c r="H124" s="5"/>
      <c r="I124" s="5"/>
      <c r="J124" s="5">
        <f t="shared" si="15"/>
        <v>11.700000000000045</v>
      </c>
      <c r="K124" s="8" t="b">
        <f>E124=F122</f>
        <v>0</v>
      </c>
    </row>
    <row r="125" spans="1:11">
      <c r="A125" s="5" t="s">
        <v>344</v>
      </c>
      <c r="B125" s="6">
        <v>45012</v>
      </c>
      <c r="C125" s="7">
        <v>0.6</v>
      </c>
      <c r="D125" s="5">
        <v>11.62</v>
      </c>
      <c r="E125" s="5">
        <v>723.2</v>
      </c>
      <c r="F125" s="5">
        <v>734.9</v>
      </c>
      <c r="G125" s="6">
        <v>45012</v>
      </c>
      <c r="H125" s="5"/>
      <c r="I125" s="5"/>
      <c r="J125" s="5">
        <f t="shared" si="15"/>
        <v>11.699999999999932</v>
      </c>
      <c r="K125" s="8" t="b">
        <f t="shared" ref="K125:K148" si="17">E125=F124</f>
        <v>1</v>
      </c>
    </row>
    <row r="126" spans="1:11">
      <c r="A126" s="5" t="s">
        <v>343</v>
      </c>
      <c r="B126" s="6">
        <v>45013</v>
      </c>
      <c r="C126" s="7">
        <v>0.6</v>
      </c>
      <c r="D126" s="5">
        <v>11.62</v>
      </c>
      <c r="E126" s="5">
        <v>734.9</v>
      </c>
      <c r="F126" s="5">
        <v>747.1</v>
      </c>
      <c r="G126" s="6">
        <v>45013</v>
      </c>
      <c r="H126" s="5"/>
      <c r="I126" s="5"/>
      <c r="J126" s="5">
        <f t="shared" si="15"/>
        <v>12.200000000000045</v>
      </c>
      <c r="K126" s="8" t="b">
        <f t="shared" si="17"/>
        <v>1</v>
      </c>
    </row>
    <row r="127" spans="1:11">
      <c r="A127" s="5" t="s">
        <v>344</v>
      </c>
      <c r="B127" s="6">
        <v>45014</v>
      </c>
      <c r="C127" s="7">
        <v>0.6</v>
      </c>
      <c r="D127" s="5">
        <v>11.62</v>
      </c>
      <c r="E127" s="5">
        <v>747.1</v>
      </c>
      <c r="F127" s="5">
        <v>759.6</v>
      </c>
      <c r="G127" s="6">
        <v>45014</v>
      </c>
      <c r="H127" s="5"/>
      <c r="I127" s="5"/>
      <c r="J127" s="5">
        <f t="shared" si="15"/>
        <v>12.5</v>
      </c>
      <c r="K127" s="8" t="b">
        <f t="shared" si="17"/>
        <v>1</v>
      </c>
    </row>
    <row r="128" spans="1:11">
      <c r="A128" s="5" t="s">
        <v>343</v>
      </c>
      <c r="B128" s="6">
        <v>45015</v>
      </c>
      <c r="C128" s="7">
        <v>0.6</v>
      </c>
      <c r="D128" s="5">
        <v>11.62</v>
      </c>
      <c r="E128" s="5">
        <v>759.6</v>
      </c>
      <c r="F128" s="5">
        <v>770.9</v>
      </c>
      <c r="G128" s="6">
        <v>45015</v>
      </c>
      <c r="H128" s="5"/>
      <c r="I128" s="5"/>
      <c r="J128" s="5">
        <f t="shared" si="15"/>
        <v>11.299999999999955</v>
      </c>
      <c r="K128" s="8" t="b">
        <f t="shared" si="17"/>
        <v>1</v>
      </c>
    </row>
    <row r="129" spans="1:11">
      <c r="A129" s="5" t="s">
        <v>341</v>
      </c>
      <c r="B129" s="6">
        <v>45017</v>
      </c>
      <c r="C129" s="7">
        <v>0.8</v>
      </c>
      <c r="D129" s="5">
        <v>8.7100000000000009</v>
      </c>
      <c r="E129" s="5">
        <v>770.9</v>
      </c>
      <c r="F129" s="5">
        <v>789.9</v>
      </c>
      <c r="G129" s="6">
        <v>45017</v>
      </c>
      <c r="H129" s="5"/>
      <c r="I129" s="5"/>
      <c r="J129" s="5">
        <f t="shared" si="15"/>
        <v>19</v>
      </c>
      <c r="K129" s="8" t="b">
        <f t="shared" si="17"/>
        <v>1</v>
      </c>
    </row>
    <row r="130" spans="1:11">
      <c r="A130" s="5" t="s">
        <v>341</v>
      </c>
      <c r="B130" s="6">
        <v>45019</v>
      </c>
      <c r="C130" s="7">
        <v>0.8</v>
      </c>
      <c r="D130" s="5">
        <v>8.7100000000000009</v>
      </c>
      <c r="E130" s="5">
        <v>789.9</v>
      </c>
      <c r="F130" s="5">
        <v>807</v>
      </c>
      <c r="G130" s="6">
        <v>45019</v>
      </c>
      <c r="H130" s="5"/>
      <c r="I130" s="5"/>
      <c r="J130" s="5">
        <f t="shared" si="15"/>
        <v>17.100000000000023</v>
      </c>
      <c r="K130" s="8" t="b">
        <f t="shared" si="17"/>
        <v>1</v>
      </c>
    </row>
    <row r="131" spans="1:11">
      <c r="A131" s="5" t="s">
        <v>341</v>
      </c>
      <c r="B131" s="6">
        <v>45023</v>
      </c>
      <c r="C131" s="7">
        <v>0.8</v>
      </c>
      <c r="D131" s="5">
        <v>8.7100000000000009</v>
      </c>
      <c r="E131" s="5">
        <v>807</v>
      </c>
      <c r="F131" s="5">
        <v>824.8</v>
      </c>
      <c r="G131" s="6">
        <v>45023</v>
      </c>
      <c r="H131" s="5"/>
      <c r="I131" s="5"/>
      <c r="J131" s="5">
        <f t="shared" si="15"/>
        <v>17.799999999999955</v>
      </c>
      <c r="K131" s="8" t="b">
        <f t="shared" si="17"/>
        <v>1</v>
      </c>
    </row>
    <row r="132" spans="1:11">
      <c r="A132" s="5" t="s">
        <v>341</v>
      </c>
      <c r="B132" s="6">
        <v>45025</v>
      </c>
      <c r="C132" s="7">
        <v>0.8</v>
      </c>
      <c r="D132" s="5">
        <v>8.7100000000000009</v>
      </c>
      <c r="E132" s="5">
        <v>824.8</v>
      </c>
      <c r="F132" s="5">
        <v>842.4</v>
      </c>
      <c r="G132" s="6">
        <v>45025</v>
      </c>
      <c r="H132" s="5"/>
      <c r="I132" s="5"/>
      <c r="J132" s="5">
        <f t="shared" si="15"/>
        <v>17.600000000000023</v>
      </c>
      <c r="K132" s="8" t="b">
        <f t="shared" si="17"/>
        <v>1</v>
      </c>
    </row>
    <row r="133" spans="1:11">
      <c r="A133" s="5" t="s">
        <v>341</v>
      </c>
      <c r="B133" s="6">
        <v>45027</v>
      </c>
      <c r="C133" s="7">
        <v>0.8</v>
      </c>
      <c r="D133" s="5">
        <v>8.7100000000000009</v>
      </c>
      <c r="E133" s="5">
        <v>842.4</v>
      </c>
      <c r="F133" s="5">
        <v>860.1</v>
      </c>
      <c r="G133" s="6">
        <v>45027</v>
      </c>
      <c r="H133" s="5"/>
      <c r="I133" s="5"/>
      <c r="J133" s="5">
        <f t="shared" si="15"/>
        <v>17.700000000000045</v>
      </c>
      <c r="K133" s="8" t="b">
        <f t="shared" si="17"/>
        <v>1</v>
      </c>
    </row>
    <row r="134" spans="1:11">
      <c r="A134" s="5" t="s">
        <v>341</v>
      </c>
      <c r="B134" s="6">
        <v>45029</v>
      </c>
      <c r="C134" s="7">
        <v>0.8</v>
      </c>
      <c r="D134" s="5">
        <v>8.7100000000000009</v>
      </c>
      <c r="E134" s="5">
        <v>860.1</v>
      </c>
      <c r="F134" s="5">
        <v>877.7</v>
      </c>
      <c r="G134" s="6">
        <v>45029</v>
      </c>
      <c r="H134" s="5"/>
      <c r="I134" s="5"/>
      <c r="J134" s="5">
        <f t="shared" si="15"/>
        <v>17.600000000000023</v>
      </c>
      <c r="K134" s="8" t="b">
        <f t="shared" si="17"/>
        <v>1</v>
      </c>
    </row>
    <row r="135" spans="1:11">
      <c r="A135" s="5" t="s">
        <v>343</v>
      </c>
      <c r="B135" s="6">
        <v>45032</v>
      </c>
      <c r="C135" s="7">
        <v>0.6</v>
      </c>
      <c r="D135" s="5">
        <v>11.62</v>
      </c>
      <c r="E135" s="5">
        <v>877.7</v>
      </c>
      <c r="F135" s="5">
        <v>891.3</v>
      </c>
      <c r="G135" s="6">
        <v>45032</v>
      </c>
      <c r="H135" s="5"/>
      <c r="I135" s="5"/>
      <c r="J135" s="5">
        <f t="shared" si="15"/>
        <v>13.599999999999909</v>
      </c>
      <c r="K135" s="8" t="b">
        <f t="shared" si="17"/>
        <v>1</v>
      </c>
    </row>
    <row r="136" spans="1:11">
      <c r="A136" s="5" t="s">
        <v>344</v>
      </c>
      <c r="B136" s="6">
        <v>45033</v>
      </c>
      <c r="C136" s="7">
        <v>0.6</v>
      </c>
      <c r="D136" s="5">
        <v>11.62</v>
      </c>
      <c r="E136" s="5">
        <v>891.3</v>
      </c>
      <c r="F136" s="5">
        <v>903</v>
      </c>
      <c r="G136" s="6">
        <v>45033</v>
      </c>
      <c r="H136" s="5"/>
      <c r="I136" s="5"/>
      <c r="J136" s="5">
        <f t="shared" si="15"/>
        <v>11.700000000000045</v>
      </c>
      <c r="K136" s="8" t="b">
        <f t="shared" si="17"/>
        <v>1</v>
      </c>
    </row>
    <row r="137" spans="1:11">
      <c r="A137" s="5" t="s">
        <v>344</v>
      </c>
      <c r="B137" s="6">
        <v>45046</v>
      </c>
      <c r="C137" s="7">
        <v>0.7</v>
      </c>
      <c r="D137" s="5">
        <v>9.69</v>
      </c>
      <c r="E137" s="5">
        <v>903</v>
      </c>
      <c r="F137" s="5">
        <v>913</v>
      </c>
      <c r="G137" s="6">
        <v>45046</v>
      </c>
      <c r="H137" s="5"/>
      <c r="I137" s="5"/>
      <c r="J137" s="5">
        <f t="shared" si="15"/>
        <v>10</v>
      </c>
      <c r="K137" s="8" t="b">
        <f t="shared" si="17"/>
        <v>1</v>
      </c>
    </row>
    <row r="138" spans="1:11">
      <c r="A138" s="5" t="s">
        <v>343</v>
      </c>
      <c r="B138" s="6">
        <v>45046</v>
      </c>
      <c r="C138" s="7">
        <v>0.85</v>
      </c>
      <c r="D138" s="5">
        <v>8.1999999999999993</v>
      </c>
      <c r="E138" s="5">
        <v>913</v>
      </c>
      <c r="F138" s="5">
        <v>921.5</v>
      </c>
      <c r="G138" s="6">
        <v>45046</v>
      </c>
      <c r="H138" s="5"/>
      <c r="I138" s="5"/>
      <c r="J138" s="5">
        <f t="shared" si="15"/>
        <v>8.5</v>
      </c>
      <c r="K138" s="8" t="b">
        <f t="shared" si="17"/>
        <v>1</v>
      </c>
    </row>
    <row r="139" spans="1:11">
      <c r="A139" s="5" t="s">
        <v>343</v>
      </c>
      <c r="B139" s="6">
        <v>45051</v>
      </c>
      <c r="C139" s="7">
        <v>0.7</v>
      </c>
      <c r="D139" s="5">
        <v>9.69</v>
      </c>
      <c r="E139" s="5">
        <v>921.5</v>
      </c>
      <c r="F139" s="5">
        <v>931.5</v>
      </c>
      <c r="G139" s="6">
        <v>45051</v>
      </c>
      <c r="H139" s="5"/>
      <c r="I139" s="5"/>
      <c r="J139" s="5">
        <f t="shared" si="15"/>
        <v>10</v>
      </c>
      <c r="K139" s="8" t="b">
        <f>E139=F138</f>
        <v>1</v>
      </c>
    </row>
    <row r="140" spans="1:11">
      <c r="A140" s="5" t="s">
        <v>344</v>
      </c>
      <c r="B140" s="6">
        <v>45052</v>
      </c>
      <c r="C140" s="7">
        <v>0.7</v>
      </c>
      <c r="D140" s="5">
        <v>9.69</v>
      </c>
      <c r="E140" s="5">
        <v>931.5</v>
      </c>
      <c r="F140" s="5">
        <v>941.5</v>
      </c>
      <c r="G140" s="6">
        <v>45052</v>
      </c>
      <c r="H140" s="5"/>
      <c r="I140" s="5"/>
      <c r="J140" s="5">
        <f t="shared" si="15"/>
        <v>10</v>
      </c>
      <c r="K140" s="8" t="b">
        <f t="shared" si="17"/>
        <v>1</v>
      </c>
    </row>
    <row r="141" spans="1:11">
      <c r="A141" s="5" t="s">
        <v>341</v>
      </c>
      <c r="B141" s="6">
        <v>45057</v>
      </c>
      <c r="C141" s="7">
        <v>0.8</v>
      </c>
      <c r="D141" s="5">
        <v>8.7100000000000009</v>
      </c>
      <c r="E141" s="5">
        <v>941.5</v>
      </c>
      <c r="F141" s="5">
        <v>960.9</v>
      </c>
      <c r="G141" s="6">
        <v>45057</v>
      </c>
      <c r="H141" s="5"/>
      <c r="I141" s="5"/>
      <c r="J141" s="5">
        <f t="shared" si="15"/>
        <v>19.399999999999977</v>
      </c>
      <c r="K141" s="8" t="b">
        <f t="shared" si="17"/>
        <v>1</v>
      </c>
    </row>
    <row r="142" spans="1:11">
      <c r="A142" s="5" t="s">
        <v>346</v>
      </c>
      <c r="B142" s="6">
        <v>45062</v>
      </c>
      <c r="C142" s="7">
        <v>0.7</v>
      </c>
      <c r="D142" s="5">
        <v>9.69</v>
      </c>
      <c r="E142" s="5">
        <v>960.9</v>
      </c>
      <c r="F142" s="5">
        <v>977.3</v>
      </c>
      <c r="G142" s="6">
        <v>45062</v>
      </c>
      <c r="H142" s="5"/>
      <c r="I142" s="5"/>
      <c r="J142" s="5">
        <f t="shared" si="15"/>
        <v>16.399999999999977</v>
      </c>
      <c r="K142" s="8" t="b">
        <f t="shared" si="17"/>
        <v>1</v>
      </c>
    </row>
    <row r="143" spans="1:11">
      <c r="A143" s="5" t="s">
        <v>347</v>
      </c>
      <c r="B143" s="6">
        <v>45063</v>
      </c>
      <c r="C143" s="7">
        <v>0.7</v>
      </c>
      <c r="D143" s="5">
        <v>9.69</v>
      </c>
      <c r="E143" s="5">
        <v>977.3</v>
      </c>
      <c r="F143" s="5">
        <v>982.2</v>
      </c>
      <c r="G143" s="6">
        <v>45063</v>
      </c>
      <c r="H143" s="5"/>
      <c r="I143" s="5"/>
      <c r="J143" s="5">
        <f t="shared" si="15"/>
        <v>4.9000000000000909</v>
      </c>
      <c r="K143" s="8" t="b">
        <f t="shared" si="17"/>
        <v>1</v>
      </c>
    </row>
    <row r="144" spans="1:11">
      <c r="A144" s="5" t="s">
        <v>341</v>
      </c>
      <c r="B144" s="6">
        <v>45068</v>
      </c>
      <c r="C144" s="7">
        <v>0.8</v>
      </c>
      <c r="D144" s="5">
        <v>8.7100000000000009</v>
      </c>
      <c r="E144" s="5">
        <v>982.2</v>
      </c>
      <c r="F144" s="5">
        <v>1001.2</v>
      </c>
      <c r="G144" s="6">
        <v>45068</v>
      </c>
      <c r="H144" s="5"/>
      <c r="I144" s="5"/>
      <c r="J144" s="5">
        <f t="shared" si="15"/>
        <v>19</v>
      </c>
      <c r="K144" s="8" t="b">
        <f t="shared" si="17"/>
        <v>1</v>
      </c>
    </row>
    <row r="145" spans="1:11">
      <c r="A145" s="5" t="s">
        <v>341</v>
      </c>
      <c r="B145" s="6">
        <v>45073</v>
      </c>
      <c r="C145" s="7">
        <v>0.8</v>
      </c>
      <c r="D145" s="5">
        <v>8.7100000000000009</v>
      </c>
      <c r="E145" s="5">
        <v>1001.2</v>
      </c>
      <c r="F145" s="5">
        <v>1018.8</v>
      </c>
      <c r="G145" s="6" t="s">
        <v>137</v>
      </c>
      <c r="H145" s="5"/>
      <c r="I145" s="5"/>
      <c r="J145" s="5">
        <f t="shared" si="15"/>
        <v>17.599999999999909</v>
      </c>
      <c r="K145" s="8" t="b">
        <f t="shared" si="17"/>
        <v>1</v>
      </c>
    </row>
    <row r="146" spans="1:11">
      <c r="A146" s="5" t="s">
        <v>344</v>
      </c>
      <c r="B146" s="6">
        <v>45079</v>
      </c>
      <c r="C146" s="7">
        <v>0.7</v>
      </c>
      <c r="D146" s="5">
        <v>9.36</v>
      </c>
      <c r="E146" s="5">
        <v>1018.8</v>
      </c>
      <c r="F146" s="5">
        <v>1029.8</v>
      </c>
      <c r="G146" s="6">
        <v>45079</v>
      </c>
      <c r="H146" s="5"/>
      <c r="I146" s="5"/>
      <c r="J146" s="5">
        <f t="shared" si="15"/>
        <v>11</v>
      </c>
      <c r="K146" s="8" t="b">
        <f t="shared" si="17"/>
        <v>1</v>
      </c>
    </row>
    <row r="147" spans="1:11">
      <c r="A147" s="5" t="s">
        <v>344</v>
      </c>
      <c r="B147" s="6">
        <v>45081</v>
      </c>
      <c r="C147" s="7">
        <v>1</v>
      </c>
      <c r="D147" s="5">
        <v>7.34</v>
      </c>
      <c r="E147" s="5">
        <v>1029.8</v>
      </c>
      <c r="F147" s="5">
        <v>1039.0999999999999</v>
      </c>
      <c r="G147" s="6">
        <v>45081</v>
      </c>
      <c r="H147" s="5"/>
      <c r="I147" s="5"/>
      <c r="J147" s="5">
        <f t="shared" si="15"/>
        <v>9.2999999999999545</v>
      </c>
      <c r="K147" s="8" t="b">
        <f t="shared" si="17"/>
        <v>1</v>
      </c>
    </row>
    <row r="148" spans="1:11">
      <c r="A148" s="5" t="s">
        <v>341</v>
      </c>
      <c r="B148" s="6"/>
      <c r="C148" s="7"/>
      <c r="D148" s="5"/>
      <c r="E148" s="5"/>
      <c r="F148" s="5"/>
      <c r="G148" s="6"/>
      <c r="H148" s="5"/>
      <c r="I148" s="5"/>
      <c r="J148" s="5">
        <f t="shared" si="15"/>
        <v>0</v>
      </c>
      <c r="K148" s="8" t="b">
        <f t="shared" si="17"/>
        <v>0</v>
      </c>
    </row>
    <row r="151" spans="1:11" ht="26.25">
      <c r="A151" s="199" t="s">
        <v>339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</row>
    <row r="152" spans="1:11" ht="26.25">
      <c r="A152" s="202" t="s">
        <v>253</v>
      </c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</row>
    <row r="153" spans="1:11" ht="15.75" thickBot="1"/>
    <row r="154" spans="1:11">
      <c r="A154" s="83" t="s">
        <v>2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</row>
    <row r="156" spans="1:11" ht="18.75">
      <c r="A156" s="1" t="s">
        <v>3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1" ht="30">
      <c r="A157" s="2" t="s">
        <v>4</v>
      </c>
      <c r="B157" s="3" t="s">
        <v>5</v>
      </c>
      <c r="C157" s="3" t="s">
        <v>6</v>
      </c>
      <c r="D157" s="3" t="s">
        <v>7</v>
      </c>
      <c r="E157" s="3" t="s">
        <v>8</v>
      </c>
      <c r="F157" s="3" t="s">
        <v>9</v>
      </c>
      <c r="G157" s="3" t="s">
        <v>10</v>
      </c>
      <c r="H157" s="3" t="s">
        <v>21</v>
      </c>
      <c r="I157" s="4" t="s">
        <v>22</v>
      </c>
      <c r="J157" s="4" t="s">
        <v>11</v>
      </c>
      <c r="K157" s="4" t="s">
        <v>12</v>
      </c>
    </row>
    <row r="158" spans="1:11">
      <c r="A158" s="5" t="s">
        <v>340</v>
      </c>
      <c r="B158" s="6">
        <v>45147</v>
      </c>
      <c r="C158" s="7">
        <v>0.45</v>
      </c>
      <c r="D158" s="5">
        <v>17.43</v>
      </c>
      <c r="E158" s="5">
        <v>1041.2</v>
      </c>
      <c r="F158" s="5">
        <v>1057.2</v>
      </c>
      <c r="G158" s="6">
        <v>45147</v>
      </c>
      <c r="H158" s="5"/>
      <c r="I158" s="5"/>
      <c r="J158" s="5">
        <f t="shared" si="15"/>
        <v>16</v>
      </c>
      <c r="K158" s="8" t="b">
        <f>E158=F158</f>
        <v>0</v>
      </c>
    </row>
    <row r="159" spans="1:11">
      <c r="A159" s="5" t="s">
        <v>340</v>
      </c>
      <c r="B159" s="6">
        <v>45240</v>
      </c>
      <c r="C159" s="7">
        <v>1</v>
      </c>
      <c r="D159" s="5">
        <v>6.97</v>
      </c>
      <c r="E159" s="5">
        <v>1057.2</v>
      </c>
      <c r="F159" s="5">
        <v>1071.5</v>
      </c>
      <c r="G159" s="6">
        <v>45240</v>
      </c>
      <c r="H159" s="5"/>
      <c r="I159" s="5"/>
      <c r="J159" s="5">
        <f t="shared" si="15"/>
        <v>14.299999999999955</v>
      </c>
      <c r="K159" s="8" t="b">
        <f>E159=F158</f>
        <v>1</v>
      </c>
    </row>
    <row r="160" spans="1:11">
      <c r="A160" s="21" t="s">
        <v>340</v>
      </c>
      <c r="B160" s="22">
        <v>45242</v>
      </c>
      <c r="C160" s="23">
        <v>1</v>
      </c>
      <c r="D160" s="5">
        <v>6.97</v>
      </c>
      <c r="E160" s="21">
        <v>1071.5</v>
      </c>
      <c r="F160" s="21">
        <v>1085.3</v>
      </c>
      <c r="G160" s="22">
        <v>45242</v>
      </c>
      <c r="H160" s="21"/>
      <c r="I160" s="21"/>
      <c r="J160" s="5">
        <f t="shared" si="15"/>
        <v>13.799999999999955</v>
      </c>
      <c r="K160" s="8" t="b">
        <f t="shared" ref="K160" si="18">E160=F159</f>
        <v>1</v>
      </c>
    </row>
    <row r="161" spans="1:11">
      <c r="A161" s="21" t="s">
        <v>340</v>
      </c>
      <c r="B161" s="22">
        <v>45243</v>
      </c>
      <c r="C161" s="23">
        <v>1</v>
      </c>
      <c r="D161" s="5">
        <v>6.97</v>
      </c>
      <c r="E161" s="21">
        <v>1085.3</v>
      </c>
      <c r="F161" s="21">
        <v>1099.2</v>
      </c>
      <c r="G161" s="22">
        <v>45243</v>
      </c>
      <c r="H161" s="21"/>
      <c r="I161" s="21"/>
      <c r="J161" s="5">
        <f t="shared" ref="J161:J169" si="19">F161-E161</f>
        <v>13.900000000000091</v>
      </c>
      <c r="K161" s="8" t="b">
        <f t="shared" ref="K161:K169" si="20">E161=F160</f>
        <v>1</v>
      </c>
    </row>
    <row r="162" spans="1:11">
      <c r="A162" s="21" t="s">
        <v>340</v>
      </c>
      <c r="B162" s="22">
        <v>45244</v>
      </c>
      <c r="C162" s="23">
        <v>1</v>
      </c>
      <c r="D162" s="5">
        <v>6.97</v>
      </c>
      <c r="E162" s="21">
        <v>1099.2</v>
      </c>
      <c r="F162" s="21">
        <v>1113</v>
      </c>
      <c r="G162" s="22">
        <v>45244</v>
      </c>
      <c r="H162" s="21"/>
      <c r="I162" s="21"/>
      <c r="J162" s="5">
        <f t="shared" si="19"/>
        <v>13.799999999999955</v>
      </c>
      <c r="K162" s="8" t="b">
        <f t="shared" si="20"/>
        <v>1</v>
      </c>
    </row>
    <row r="163" spans="1:11">
      <c r="A163" s="21" t="s">
        <v>340</v>
      </c>
      <c r="B163" s="22">
        <v>45245</v>
      </c>
      <c r="C163" s="23">
        <v>1</v>
      </c>
      <c r="D163" s="5">
        <v>6.97</v>
      </c>
      <c r="E163" s="21">
        <v>1113</v>
      </c>
      <c r="F163" s="21">
        <v>1126.9000000000001</v>
      </c>
      <c r="G163" s="22">
        <v>45245</v>
      </c>
      <c r="H163" s="21"/>
      <c r="I163" s="21"/>
      <c r="J163" s="5">
        <f t="shared" si="19"/>
        <v>13.900000000000091</v>
      </c>
      <c r="K163" s="8" t="b">
        <f t="shared" si="20"/>
        <v>1</v>
      </c>
    </row>
    <row r="164" spans="1:11">
      <c r="A164" s="21" t="s">
        <v>340</v>
      </c>
      <c r="B164" s="22">
        <v>45246</v>
      </c>
      <c r="C164" s="23">
        <v>1</v>
      </c>
      <c r="D164" s="5">
        <v>6.97</v>
      </c>
      <c r="E164" s="21">
        <v>1126.9000000000001</v>
      </c>
      <c r="F164" s="21">
        <v>1140.7</v>
      </c>
      <c r="G164" s="22">
        <v>45246</v>
      </c>
      <c r="H164" s="21"/>
      <c r="I164" s="21"/>
      <c r="J164" s="5">
        <f t="shared" si="19"/>
        <v>13.799999999999955</v>
      </c>
      <c r="K164" s="8" t="b">
        <f t="shared" si="20"/>
        <v>1</v>
      </c>
    </row>
    <row r="165" spans="1:11">
      <c r="A165" s="21" t="s">
        <v>340</v>
      </c>
      <c r="B165" s="22">
        <v>45247</v>
      </c>
      <c r="C165" s="23">
        <v>1</v>
      </c>
      <c r="D165" s="5">
        <v>6.97</v>
      </c>
      <c r="E165" s="21">
        <v>1140.7</v>
      </c>
      <c r="F165" s="21">
        <v>1154.5</v>
      </c>
      <c r="G165" s="22">
        <v>45247</v>
      </c>
      <c r="H165" s="21"/>
      <c r="I165" s="21"/>
      <c r="J165" s="5">
        <f t="shared" si="19"/>
        <v>13.799999999999955</v>
      </c>
      <c r="K165" s="8" t="b">
        <f t="shared" si="20"/>
        <v>1</v>
      </c>
    </row>
    <row r="166" spans="1:11">
      <c r="A166" s="21" t="s">
        <v>340</v>
      </c>
      <c r="B166" s="22">
        <v>45248</v>
      </c>
      <c r="C166" s="23">
        <v>1</v>
      </c>
      <c r="D166" s="5">
        <v>6.97</v>
      </c>
      <c r="E166" s="21">
        <v>1154.5</v>
      </c>
      <c r="F166" s="21">
        <v>1168.3</v>
      </c>
      <c r="G166" s="22">
        <v>45248</v>
      </c>
      <c r="H166" s="21"/>
      <c r="I166" s="21"/>
      <c r="J166" s="5">
        <f t="shared" si="19"/>
        <v>13.799999999999955</v>
      </c>
      <c r="K166" s="8" t="b">
        <f t="shared" si="20"/>
        <v>1</v>
      </c>
    </row>
    <row r="167" spans="1:11">
      <c r="A167" s="21" t="s">
        <v>340</v>
      </c>
      <c r="B167" s="22">
        <v>45249</v>
      </c>
      <c r="C167" s="23">
        <v>1</v>
      </c>
      <c r="D167" s="5">
        <v>6.97</v>
      </c>
      <c r="E167" s="21">
        <v>1168.3</v>
      </c>
      <c r="F167" s="21">
        <v>1182.2</v>
      </c>
      <c r="G167" s="22">
        <v>45249</v>
      </c>
      <c r="H167" s="21"/>
      <c r="I167" s="21"/>
      <c r="J167" s="5">
        <f t="shared" si="19"/>
        <v>13.900000000000091</v>
      </c>
      <c r="K167" s="8" t="b">
        <f t="shared" si="20"/>
        <v>1</v>
      </c>
    </row>
    <row r="168" spans="1:11">
      <c r="A168" s="21" t="s">
        <v>340</v>
      </c>
      <c r="B168" s="22">
        <v>45250</v>
      </c>
      <c r="C168" s="23">
        <v>1</v>
      </c>
      <c r="D168" s="5">
        <v>6.97</v>
      </c>
      <c r="E168" s="21">
        <v>1182.2</v>
      </c>
      <c r="F168" s="21">
        <v>1196</v>
      </c>
      <c r="G168" s="22">
        <v>45250</v>
      </c>
      <c r="H168" s="21"/>
      <c r="I168" s="21"/>
      <c r="J168" s="5">
        <f t="shared" si="19"/>
        <v>13.799999999999955</v>
      </c>
      <c r="K168" s="8" t="b">
        <f t="shared" si="20"/>
        <v>1</v>
      </c>
    </row>
    <row r="169" spans="1:11">
      <c r="A169" s="21" t="s">
        <v>340</v>
      </c>
      <c r="B169" s="22">
        <v>45251</v>
      </c>
      <c r="C169" s="23">
        <v>1</v>
      </c>
      <c r="D169" s="5">
        <v>6.97</v>
      </c>
      <c r="E169" s="21">
        <v>1196</v>
      </c>
      <c r="F169" s="21">
        <v>1209.8</v>
      </c>
      <c r="G169" s="22">
        <v>45251</v>
      </c>
      <c r="H169" s="21"/>
      <c r="I169" s="21"/>
      <c r="J169" s="5">
        <f t="shared" si="19"/>
        <v>13.799999999999955</v>
      </c>
      <c r="K169" s="8" t="b">
        <f t="shared" si="20"/>
        <v>1</v>
      </c>
    </row>
    <row r="170" spans="1:11">
      <c r="A170" s="21" t="s">
        <v>340</v>
      </c>
      <c r="B170" s="22">
        <v>45252</v>
      </c>
      <c r="C170" s="23">
        <v>1</v>
      </c>
      <c r="D170" s="21">
        <v>6.97</v>
      </c>
      <c r="E170" s="21">
        <v>1209.8</v>
      </c>
      <c r="F170" s="21">
        <v>1223.5999999999999</v>
      </c>
      <c r="G170" s="22">
        <v>45252</v>
      </c>
      <c r="H170" s="21"/>
      <c r="I170" s="21"/>
      <c r="J170" s="5">
        <f t="shared" ref="J170:J178" si="21">F170-E170</f>
        <v>13.799999999999955</v>
      </c>
      <c r="K170" s="8" t="b">
        <f t="shared" ref="K170:K178" si="22">E170=F169</f>
        <v>1</v>
      </c>
    </row>
    <row r="171" spans="1:11">
      <c r="A171" s="21" t="s">
        <v>340</v>
      </c>
      <c r="B171" s="22">
        <v>45253</v>
      </c>
      <c r="C171" s="23">
        <v>1</v>
      </c>
      <c r="D171" s="21">
        <v>6.97</v>
      </c>
      <c r="E171" s="21">
        <v>1223.5999999999999</v>
      </c>
      <c r="F171" s="21">
        <v>1237.4000000000001</v>
      </c>
      <c r="G171" s="22">
        <v>45253</v>
      </c>
      <c r="H171" s="21"/>
      <c r="I171" s="21"/>
      <c r="J171" s="5">
        <f t="shared" si="21"/>
        <v>13.800000000000182</v>
      </c>
      <c r="K171" s="8" t="b">
        <f t="shared" si="22"/>
        <v>1</v>
      </c>
    </row>
    <row r="172" spans="1:11">
      <c r="A172" s="21" t="s">
        <v>340</v>
      </c>
      <c r="B172" s="22">
        <v>45254</v>
      </c>
      <c r="C172" s="23">
        <v>1</v>
      </c>
      <c r="D172" s="21">
        <v>6.97</v>
      </c>
      <c r="E172" s="21">
        <v>1237.4000000000001</v>
      </c>
      <c r="F172" s="21">
        <v>1252.2</v>
      </c>
      <c r="G172" s="22">
        <v>45254</v>
      </c>
      <c r="H172" s="21"/>
      <c r="I172" s="21"/>
      <c r="J172" s="5">
        <f t="shared" si="21"/>
        <v>14.799999999999955</v>
      </c>
      <c r="K172" s="8" t="b">
        <f t="shared" si="22"/>
        <v>1</v>
      </c>
    </row>
    <row r="173" spans="1:11">
      <c r="A173" s="21" t="s">
        <v>340</v>
      </c>
      <c r="B173" s="22">
        <v>45256</v>
      </c>
      <c r="C173" s="23">
        <v>1</v>
      </c>
      <c r="D173" s="21">
        <v>6.97</v>
      </c>
      <c r="E173" s="21">
        <v>1252.2</v>
      </c>
      <c r="F173" s="21">
        <v>1266.0999999999999</v>
      </c>
      <c r="G173" s="22">
        <v>45256</v>
      </c>
      <c r="H173" s="21"/>
      <c r="I173" s="21"/>
      <c r="J173" s="5">
        <f t="shared" si="21"/>
        <v>13.899999999999864</v>
      </c>
      <c r="K173" s="8" t="b">
        <f t="shared" si="22"/>
        <v>1</v>
      </c>
    </row>
    <row r="174" spans="1:11">
      <c r="A174" s="21" t="s">
        <v>340</v>
      </c>
      <c r="B174" s="22">
        <v>45258</v>
      </c>
      <c r="C174" s="23">
        <v>1</v>
      </c>
      <c r="D174" s="21">
        <v>6.97</v>
      </c>
      <c r="E174" s="21">
        <v>1266.0999999999999</v>
      </c>
      <c r="F174" s="21">
        <v>1280.7</v>
      </c>
      <c r="G174" s="22">
        <v>45258</v>
      </c>
      <c r="H174" s="21"/>
      <c r="I174" s="21"/>
      <c r="J174" s="5">
        <f t="shared" si="21"/>
        <v>14.600000000000136</v>
      </c>
      <c r="K174" s="8" t="b">
        <f t="shared" si="22"/>
        <v>1</v>
      </c>
    </row>
    <row r="175" spans="1:11">
      <c r="A175" s="21" t="s">
        <v>340</v>
      </c>
      <c r="B175" s="22">
        <v>45260</v>
      </c>
      <c r="C175" s="23">
        <v>1</v>
      </c>
      <c r="D175" s="21">
        <v>6.97</v>
      </c>
      <c r="E175" s="21">
        <v>1280.7</v>
      </c>
      <c r="F175" s="21">
        <v>1294.5</v>
      </c>
      <c r="G175" s="22">
        <v>45260</v>
      </c>
      <c r="H175" s="21"/>
      <c r="I175" s="21"/>
      <c r="J175" s="5">
        <f t="shared" si="21"/>
        <v>13.799999999999955</v>
      </c>
      <c r="K175" s="8" t="b">
        <f t="shared" si="22"/>
        <v>1</v>
      </c>
    </row>
    <row r="176" spans="1:11">
      <c r="A176" s="21" t="s">
        <v>340</v>
      </c>
      <c r="B176" s="22">
        <v>45262</v>
      </c>
      <c r="C176" s="23">
        <v>1</v>
      </c>
      <c r="D176" s="21">
        <v>6.97</v>
      </c>
      <c r="E176" s="21">
        <v>1294.5</v>
      </c>
      <c r="F176" s="21">
        <v>1308.3</v>
      </c>
      <c r="G176" s="22">
        <v>45262</v>
      </c>
      <c r="H176" s="21"/>
      <c r="I176" s="21"/>
      <c r="J176" s="5">
        <f t="shared" si="21"/>
        <v>13.799999999999955</v>
      </c>
      <c r="K176" s="8" t="b">
        <f t="shared" si="22"/>
        <v>1</v>
      </c>
    </row>
    <row r="177" spans="1:11">
      <c r="A177" s="21" t="s">
        <v>340</v>
      </c>
      <c r="B177" s="22">
        <v>45264</v>
      </c>
      <c r="C177" s="23">
        <v>0.8</v>
      </c>
      <c r="D177" s="21">
        <v>8.7100000000000009</v>
      </c>
      <c r="E177" s="21">
        <v>1308.3</v>
      </c>
      <c r="F177" s="21">
        <v>1325.4</v>
      </c>
      <c r="G177" s="22">
        <v>45264</v>
      </c>
      <c r="H177" s="21"/>
      <c r="I177" s="21"/>
      <c r="J177" s="5">
        <f t="shared" si="21"/>
        <v>17.100000000000136</v>
      </c>
      <c r="K177" s="8" t="b">
        <f t="shared" si="22"/>
        <v>1</v>
      </c>
    </row>
    <row r="178" spans="1:11">
      <c r="A178" s="21" t="s">
        <v>340</v>
      </c>
      <c r="B178" s="22">
        <v>45266</v>
      </c>
      <c r="C178" s="23">
        <v>1</v>
      </c>
      <c r="D178" s="21">
        <v>6.97</v>
      </c>
      <c r="E178" s="21">
        <v>1325.4</v>
      </c>
      <c r="F178" s="21">
        <v>1339.3</v>
      </c>
      <c r="G178" s="22">
        <v>45266</v>
      </c>
      <c r="H178" s="21"/>
      <c r="I178" s="21"/>
      <c r="J178" s="5">
        <f t="shared" si="21"/>
        <v>13.899999999999864</v>
      </c>
      <c r="K178" s="8" t="b">
        <f t="shared" si="22"/>
        <v>1</v>
      </c>
    </row>
    <row r="179" spans="1:11">
      <c r="A179" s="80" t="s">
        <v>340</v>
      </c>
      <c r="B179" s="81">
        <v>45267</v>
      </c>
      <c r="C179" s="82">
        <v>1</v>
      </c>
      <c r="D179" s="80">
        <v>6.97</v>
      </c>
      <c r="E179" s="80">
        <v>1339.3</v>
      </c>
      <c r="F179" s="80">
        <v>1353.2</v>
      </c>
      <c r="G179" s="81">
        <v>45267</v>
      </c>
      <c r="H179" s="80"/>
      <c r="I179" s="80"/>
      <c r="J179" s="80">
        <f t="shared" ref="J179:J220" si="23">F179-E179</f>
        <v>13.900000000000091</v>
      </c>
      <c r="K179" s="8" t="b">
        <f t="shared" ref="K179:K220" si="24">E179=F178</f>
        <v>1</v>
      </c>
    </row>
    <row r="180" spans="1:11">
      <c r="A180" s="21" t="s">
        <v>340</v>
      </c>
      <c r="B180" s="22">
        <v>45268</v>
      </c>
      <c r="C180" s="23">
        <v>0.8</v>
      </c>
      <c r="D180" s="21">
        <v>8.7100000000000009</v>
      </c>
      <c r="E180" s="21">
        <v>1353.2</v>
      </c>
      <c r="F180" s="21">
        <v>1370.4</v>
      </c>
      <c r="G180" s="22">
        <v>45268</v>
      </c>
      <c r="H180" s="21"/>
      <c r="I180" s="21"/>
      <c r="J180" s="5">
        <f t="shared" si="23"/>
        <v>17.200000000000045</v>
      </c>
      <c r="K180" s="8" t="b">
        <f t="shared" si="24"/>
        <v>1</v>
      </c>
    </row>
    <row r="181" spans="1:11">
      <c r="A181" s="21" t="s">
        <v>340</v>
      </c>
      <c r="B181" s="22">
        <v>45270</v>
      </c>
      <c r="C181" s="23">
        <v>0.8</v>
      </c>
      <c r="D181" s="21">
        <v>8.7100000000000009</v>
      </c>
      <c r="E181" s="21">
        <v>1370.4</v>
      </c>
      <c r="F181" s="21">
        <v>1387.5</v>
      </c>
      <c r="G181" s="22">
        <v>45270</v>
      </c>
      <c r="H181" s="21"/>
      <c r="I181" s="21"/>
      <c r="J181" s="5">
        <f t="shared" si="23"/>
        <v>17.099999999999909</v>
      </c>
      <c r="K181" s="8" t="b">
        <f t="shared" si="24"/>
        <v>1</v>
      </c>
    </row>
    <row r="182" spans="1:11">
      <c r="A182" s="21" t="s">
        <v>340</v>
      </c>
      <c r="B182" s="22">
        <v>45272</v>
      </c>
      <c r="C182" s="23">
        <v>0.8</v>
      </c>
      <c r="D182" s="21">
        <v>8.7100000000000009</v>
      </c>
      <c r="E182" s="21">
        <v>1387.5</v>
      </c>
      <c r="F182" s="21">
        <v>1404.8</v>
      </c>
      <c r="G182" s="22">
        <v>45272</v>
      </c>
      <c r="H182" s="21"/>
      <c r="I182" s="21"/>
      <c r="J182" s="5">
        <f t="shared" si="23"/>
        <v>17.299999999999955</v>
      </c>
      <c r="K182" s="8" t="b">
        <f t="shared" si="24"/>
        <v>1</v>
      </c>
    </row>
    <row r="183" spans="1:11">
      <c r="A183" s="21" t="s">
        <v>340</v>
      </c>
      <c r="B183" s="22">
        <v>45274</v>
      </c>
      <c r="C183" s="23">
        <v>0.8</v>
      </c>
      <c r="D183" s="21">
        <v>8.7100000000000009</v>
      </c>
      <c r="E183" s="21">
        <v>1404.8</v>
      </c>
      <c r="F183" s="21">
        <v>1422.5</v>
      </c>
      <c r="G183" s="22">
        <v>45274</v>
      </c>
      <c r="H183" s="21"/>
      <c r="I183" s="21"/>
      <c r="J183" s="5">
        <f t="shared" si="23"/>
        <v>17.700000000000045</v>
      </c>
      <c r="K183" s="8" t="b">
        <f t="shared" si="24"/>
        <v>1</v>
      </c>
    </row>
    <row r="184" spans="1:11">
      <c r="A184" s="21" t="s">
        <v>340</v>
      </c>
      <c r="B184" s="22">
        <v>45276</v>
      </c>
      <c r="C184" s="23">
        <v>0.7</v>
      </c>
      <c r="D184" s="21">
        <v>9.9600000000000009</v>
      </c>
      <c r="E184" s="21">
        <v>1422.5</v>
      </c>
      <c r="F184" s="21">
        <v>1442.2</v>
      </c>
      <c r="G184" s="22">
        <v>45275</v>
      </c>
      <c r="H184" s="21"/>
      <c r="I184" s="21"/>
      <c r="J184" s="5">
        <f t="shared" si="23"/>
        <v>19.700000000000045</v>
      </c>
      <c r="K184" s="8" t="b">
        <f t="shared" si="24"/>
        <v>1</v>
      </c>
    </row>
    <row r="185" spans="1:11">
      <c r="A185" s="21" t="s">
        <v>340</v>
      </c>
      <c r="B185" s="22">
        <v>45280</v>
      </c>
      <c r="C185" s="23">
        <v>0.7</v>
      </c>
      <c r="D185" s="21">
        <v>9.9600000000000009</v>
      </c>
      <c r="E185" s="21">
        <v>1442.2</v>
      </c>
      <c r="F185" s="21">
        <v>1462.2</v>
      </c>
      <c r="G185" s="22">
        <v>45280</v>
      </c>
      <c r="H185" s="21"/>
      <c r="I185" s="21"/>
      <c r="J185" s="5">
        <f t="shared" si="23"/>
        <v>20</v>
      </c>
      <c r="K185" s="8" t="b">
        <f t="shared" si="24"/>
        <v>1</v>
      </c>
    </row>
    <row r="186" spans="1:11">
      <c r="A186" s="101" t="s">
        <v>340</v>
      </c>
      <c r="B186" s="102">
        <v>45282</v>
      </c>
      <c r="C186" s="103">
        <v>1</v>
      </c>
      <c r="D186" s="101">
        <v>6.97</v>
      </c>
      <c r="E186" s="101">
        <v>1462.2</v>
      </c>
      <c r="F186" s="101">
        <v>1474.7</v>
      </c>
      <c r="G186" s="102">
        <v>45282</v>
      </c>
      <c r="H186" s="101"/>
      <c r="I186" s="101"/>
      <c r="J186" s="101">
        <f t="shared" si="23"/>
        <v>12.5</v>
      </c>
      <c r="K186" s="8" t="b">
        <f t="shared" si="24"/>
        <v>1</v>
      </c>
    </row>
    <row r="187" spans="1:11">
      <c r="A187" s="21" t="s">
        <v>340</v>
      </c>
      <c r="B187" s="22">
        <v>45286</v>
      </c>
      <c r="C187" s="23">
        <v>0.8</v>
      </c>
      <c r="D187" s="21">
        <v>8.7100000000000009</v>
      </c>
      <c r="E187" s="21">
        <v>1474.7</v>
      </c>
      <c r="F187" s="21">
        <v>1491.9</v>
      </c>
      <c r="G187" s="22">
        <v>45286</v>
      </c>
      <c r="H187" s="21"/>
      <c r="I187" s="21"/>
      <c r="J187" s="5">
        <f t="shared" si="23"/>
        <v>17.200000000000045</v>
      </c>
      <c r="K187" s="8" t="b">
        <f t="shared" si="24"/>
        <v>1</v>
      </c>
    </row>
    <row r="188" spans="1:11">
      <c r="A188" s="21" t="s">
        <v>340</v>
      </c>
      <c r="B188" s="22">
        <v>45288</v>
      </c>
      <c r="C188" s="23">
        <v>1</v>
      </c>
      <c r="D188" s="21">
        <v>6.97</v>
      </c>
      <c r="E188" s="21">
        <v>1491.9</v>
      </c>
      <c r="F188" s="21">
        <v>1505.7</v>
      </c>
      <c r="G188" s="22">
        <v>45288</v>
      </c>
      <c r="H188" s="21"/>
      <c r="I188" s="21"/>
      <c r="J188" s="5">
        <f t="shared" si="23"/>
        <v>13.799999999999955</v>
      </c>
      <c r="K188" s="8" t="b">
        <f t="shared" si="24"/>
        <v>1</v>
      </c>
    </row>
    <row r="189" spans="1:11">
      <c r="A189" s="21" t="s">
        <v>340</v>
      </c>
      <c r="B189" s="22">
        <v>45289</v>
      </c>
      <c r="C189" s="23">
        <v>1</v>
      </c>
      <c r="D189" s="21">
        <v>6.97</v>
      </c>
      <c r="E189" s="21">
        <v>1505.7</v>
      </c>
      <c r="F189" s="21">
        <v>1519.6</v>
      </c>
      <c r="G189" s="22">
        <v>45289</v>
      </c>
      <c r="H189" s="21"/>
      <c r="I189" s="21"/>
      <c r="J189" s="5">
        <f t="shared" si="23"/>
        <v>13.899999999999864</v>
      </c>
      <c r="K189" s="8" t="b">
        <f t="shared" si="24"/>
        <v>1</v>
      </c>
    </row>
    <row r="190" spans="1:11">
      <c r="A190" s="21" t="s">
        <v>340</v>
      </c>
      <c r="B190" s="22">
        <v>45303</v>
      </c>
      <c r="C190" s="23">
        <v>1</v>
      </c>
      <c r="D190" s="21">
        <v>6.97</v>
      </c>
      <c r="E190" s="21">
        <v>1519.6</v>
      </c>
      <c r="F190" s="21">
        <v>1533.5</v>
      </c>
      <c r="G190" s="22">
        <v>45303</v>
      </c>
      <c r="H190" s="21"/>
      <c r="I190" s="21"/>
      <c r="J190" s="5">
        <f t="shared" si="23"/>
        <v>13.900000000000091</v>
      </c>
      <c r="K190" s="8" t="b">
        <f t="shared" si="24"/>
        <v>1</v>
      </c>
    </row>
    <row r="191" spans="1:11">
      <c r="A191" s="21" t="s">
        <v>340</v>
      </c>
      <c r="B191" s="22">
        <v>45304</v>
      </c>
      <c r="C191" s="23">
        <v>1</v>
      </c>
      <c r="D191" s="21">
        <v>6.97</v>
      </c>
      <c r="E191" s="21">
        <v>1533.5</v>
      </c>
      <c r="F191" s="21">
        <v>1547.3</v>
      </c>
      <c r="G191" s="22">
        <v>45304</v>
      </c>
      <c r="H191" s="21"/>
      <c r="I191" s="21"/>
      <c r="J191" s="5">
        <f t="shared" si="23"/>
        <v>13.799999999999955</v>
      </c>
      <c r="K191" s="8" t="b">
        <f t="shared" si="24"/>
        <v>1</v>
      </c>
    </row>
    <row r="192" spans="1:11">
      <c r="A192" s="21" t="s">
        <v>340</v>
      </c>
      <c r="B192" s="22">
        <v>45308</v>
      </c>
      <c r="C192" s="23">
        <v>0.7</v>
      </c>
      <c r="D192" s="21">
        <v>9.36</v>
      </c>
      <c r="E192" s="21">
        <v>1547.3</v>
      </c>
      <c r="F192" s="21">
        <v>1567</v>
      </c>
      <c r="G192" s="22">
        <v>45308</v>
      </c>
      <c r="H192" s="21"/>
      <c r="I192" s="21"/>
      <c r="J192" s="5">
        <f t="shared" si="23"/>
        <v>19.700000000000045</v>
      </c>
      <c r="K192" s="8" t="b">
        <f t="shared" si="24"/>
        <v>1</v>
      </c>
    </row>
    <row r="193" spans="1:11">
      <c r="A193" s="21" t="s">
        <v>340</v>
      </c>
      <c r="B193" s="22">
        <v>45311</v>
      </c>
      <c r="C193" s="23">
        <v>0.5</v>
      </c>
      <c r="D193" s="21">
        <v>13.94</v>
      </c>
      <c r="E193" s="21">
        <v>1567</v>
      </c>
      <c r="F193" s="21">
        <v>1594</v>
      </c>
      <c r="G193" s="22">
        <v>45311</v>
      </c>
      <c r="H193" s="21"/>
      <c r="I193" s="21"/>
      <c r="J193" s="5">
        <f t="shared" si="23"/>
        <v>27</v>
      </c>
      <c r="K193" s="8" t="b">
        <f t="shared" si="24"/>
        <v>1</v>
      </c>
    </row>
    <row r="194" spans="1:11">
      <c r="A194" s="80" t="s">
        <v>340</v>
      </c>
      <c r="B194" s="81">
        <v>45317</v>
      </c>
      <c r="C194" s="82">
        <v>1</v>
      </c>
      <c r="D194" s="80">
        <v>6.97</v>
      </c>
      <c r="E194" s="80">
        <v>1594</v>
      </c>
      <c r="F194" s="80">
        <v>1607.9</v>
      </c>
      <c r="G194" s="81">
        <v>45316</v>
      </c>
      <c r="H194" s="80"/>
      <c r="I194" s="80"/>
      <c r="J194" s="80">
        <f t="shared" si="23"/>
        <v>13.900000000000091</v>
      </c>
      <c r="K194" s="8" t="b">
        <f t="shared" si="24"/>
        <v>1</v>
      </c>
    </row>
    <row r="195" spans="1:11">
      <c r="A195" s="21" t="s">
        <v>340</v>
      </c>
      <c r="B195" s="22">
        <v>45328</v>
      </c>
      <c r="C195" s="23">
        <v>0.7</v>
      </c>
      <c r="D195" s="21">
        <v>9.36</v>
      </c>
      <c r="E195" s="21">
        <v>1607.9</v>
      </c>
      <c r="F195" s="21">
        <v>1627.9</v>
      </c>
      <c r="G195" s="22">
        <v>45328</v>
      </c>
      <c r="H195" s="21"/>
      <c r="I195" s="21"/>
      <c r="J195" s="5">
        <f t="shared" si="23"/>
        <v>20</v>
      </c>
      <c r="K195" s="8" t="b">
        <f t="shared" si="24"/>
        <v>1</v>
      </c>
    </row>
    <row r="196" spans="1:11">
      <c r="A196" s="21" t="s">
        <v>340</v>
      </c>
      <c r="B196" s="22">
        <v>45337</v>
      </c>
      <c r="C196" s="23">
        <v>0.8</v>
      </c>
      <c r="D196" s="21">
        <v>8.7100000000000009</v>
      </c>
      <c r="E196" s="21">
        <v>1627.9</v>
      </c>
      <c r="F196" s="21">
        <v>1645.8</v>
      </c>
      <c r="G196" s="22">
        <v>45337</v>
      </c>
      <c r="H196" s="21"/>
      <c r="I196" s="21"/>
      <c r="J196" s="5">
        <f t="shared" si="23"/>
        <v>17.899999999999864</v>
      </c>
      <c r="K196" s="8" t="b">
        <f t="shared" si="24"/>
        <v>1</v>
      </c>
    </row>
    <row r="197" spans="1:11">
      <c r="A197" s="21" t="s">
        <v>340</v>
      </c>
      <c r="B197" s="22">
        <v>45349</v>
      </c>
      <c r="C197" s="23">
        <v>1</v>
      </c>
      <c r="D197" s="21">
        <v>6.97</v>
      </c>
      <c r="E197" s="21">
        <v>1645.8</v>
      </c>
      <c r="F197" s="21">
        <v>1659.8</v>
      </c>
      <c r="G197" s="22">
        <v>45349</v>
      </c>
      <c r="H197" s="21"/>
      <c r="I197" s="21"/>
      <c r="J197" s="5">
        <f t="shared" si="23"/>
        <v>14</v>
      </c>
      <c r="K197" s="8" t="b">
        <f t="shared" si="24"/>
        <v>1</v>
      </c>
    </row>
    <row r="198" spans="1:11">
      <c r="A198" s="21" t="s">
        <v>340</v>
      </c>
      <c r="B198" s="22">
        <v>45351</v>
      </c>
      <c r="C198" s="23">
        <v>1</v>
      </c>
      <c r="D198" s="21">
        <v>6.97</v>
      </c>
      <c r="E198" s="21">
        <v>1659.8</v>
      </c>
      <c r="F198" s="21">
        <v>1674.3</v>
      </c>
      <c r="G198" s="22">
        <v>45351</v>
      </c>
      <c r="H198" s="21"/>
      <c r="I198" s="21"/>
      <c r="J198" s="5">
        <f t="shared" si="23"/>
        <v>14.5</v>
      </c>
      <c r="K198" s="8" t="b">
        <f t="shared" si="24"/>
        <v>1</v>
      </c>
    </row>
    <row r="199" spans="1:11">
      <c r="A199" s="21" t="s">
        <v>340</v>
      </c>
      <c r="B199" s="22">
        <v>45353</v>
      </c>
      <c r="C199" s="23">
        <v>0.7</v>
      </c>
      <c r="D199" s="21">
        <v>9.36</v>
      </c>
      <c r="E199" s="21">
        <v>1674.3</v>
      </c>
      <c r="F199" s="21">
        <v>1693.9</v>
      </c>
      <c r="G199" s="22">
        <v>45353</v>
      </c>
      <c r="H199" s="21"/>
      <c r="I199" s="21"/>
      <c r="J199" s="5">
        <f t="shared" si="23"/>
        <v>19.600000000000136</v>
      </c>
      <c r="K199" s="8" t="b">
        <f t="shared" si="24"/>
        <v>1</v>
      </c>
    </row>
    <row r="200" spans="1:11">
      <c r="A200" s="21" t="s">
        <v>340</v>
      </c>
      <c r="B200" s="22">
        <v>45360</v>
      </c>
      <c r="C200" s="23">
        <v>1</v>
      </c>
      <c r="D200" s="21">
        <v>6.97</v>
      </c>
      <c r="E200" s="21">
        <v>1693.9</v>
      </c>
      <c r="F200" s="21">
        <v>1707.7</v>
      </c>
      <c r="G200" s="22">
        <v>45360</v>
      </c>
      <c r="H200" s="21"/>
      <c r="I200" s="21"/>
      <c r="J200" s="5">
        <f t="shared" si="23"/>
        <v>13.799999999999955</v>
      </c>
      <c r="K200" s="8" t="b">
        <f t="shared" si="24"/>
        <v>1</v>
      </c>
    </row>
    <row r="201" spans="1:11">
      <c r="A201" s="21" t="s">
        <v>340</v>
      </c>
      <c r="B201" s="22">
        <v>45366</v>
      </c>
      <c r="C201" s="23">
        <v>1</v>
      </c>
      <c r="D201" s="21">
        <v>6.97</v>
      </c>
      <c r="E201" s="21">
        <v>1707.7</v>
      </c>
      <c r="F201" s="21">
        <v>1721.7</v>
      </c>
      <c r="G201" s="22">
        <v>45366</v>
      </c>
      <c r="H201" s="21"/>
      <c r="I201" s="21"/>
      <c r="J201" s="5">
        <f t="shared" si="23"/>
        <v>14</v>
      </c>
      <c r="K201" s="8" t="b">
        <f t="shared" si="24"/>
        <v>1</v>
      </c>
    </row>
    <row r="202" spans="1:11">
      <c r="A202" s="21" t="s">
        <v>340</v>
      </c>
      <c r="B202" s="22">
        <v>45402</v>
      </c>
      <c r="C202" s="23">
        <v>1</v>
      </c>
      <c r="D202" s="21">
        <v>6.97</v>
      </c>
      <c r="E202" s="21">
        <v>0</v>
      </c>
      <c r="F202" s="21">
        <v>13.8</v>
      </c>
      <c r="G202" s="22">
        <v>45402</v>
      </c>
      <c r="H202" s="21"/>
      <c r="I202" s="21"/>
      <c r="J202" s="5">
        <f t="shared" si="23"/>
        <v>13.8</v>
      </c>
      <c r="K202" s="8" t="b">
        <f t="shared" si="24"/>
        <v>0</v>
      </c>
    </row>
    <row r="203" spans="1:11">
      <c r="A203" s="21" t="s">
        <v>340</v>
      </c>
      <c r="B203" s="22">
        <v>45410</v>
      </c>
      <c r="C203" s="23">
        <v>0.7</v>
      </c>
      <c r="D203" s="21">
        <v>9.36</v>
      </c>
      <c r="E203" s="21">
        <v>13.8</v>
      </c>
      <c r="F203" s="21">
        <v>33.6</v>
      </c>
      <c r="G203" s="22">
        <v>45410</v>
      </c>
      <c r="H203" s="21"/>
      <c r="I203" s="21"/>
      <c r="J203" s="5">
        <f t="shared" si="23"/>
        <v>19.8</v>
      </c>
      <c r="K203" s="8" t="b">
        <f t="shared" si="24"/>
        <v>1</v>
      </c>
    </row>
    <row r="204" spans="1:11">
      <c r="A204" s="21" t="s">
        <v>340</v>
      </c>
      <c r="B204" s="22">
        <v>45412</v>
      </c>
      <c r="C204" s="23">
        <v>0.7</v>
      </c>
      <c r="D204" s="21">
        <v>9.36</v>
      </c>
      <c r="E204" s="21">
        <v>33.6</v>
      </c>
      <c r="F204" s="21">
        <v>53.2</v>
      </c>
      <c r="G204" s="22">
        <v>45412</v>
      </c>
      <c r="H204" s="21"/>
      <c r="I204" s="21"/>
      <c r="J204" s="5">
        <f t="shared" si="23"/>
        <v>19.600000000000001</v>
      </c>
      <c r="K204" s="8" t="b">
        <f t="shared" si="24"/>
        <v>1</v>
      </c>
    </row>
    <row r="205" spans="1:11" ht="26.25">
      <c r="A205" s="199" t="s">
        <v>339</v>
      </c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</row>
    <row r="206" spans="1:11" ht="26.25">
      <c r="A206" s="202" t="s">
        <v>348</v>
      </c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</row>
    <row r="207" spans="1:11" ht="15.75" thickBot="1"/>
    <row r="208" spans="1:11" ht="15.75" thickBot="1">
      <c r="A208" s="83" t="s">
        <v>2</v>
      </c>
      <c r="B208" s="84"/>
      <c r="C208" s="84"/>
      <c r="D208" s="84"/>
      <c r="E208" s="84"/>
      <c r="F208" s="84"/>
      <c r="G208" s="84"/>
      <c r="H208" s="84"/>
      <c r="I208" s="84"/>
      <c r="J208" s="84"/>
      <c r="K208" s="84"/>
    </row>
    <row r="210" spans="1:11" ht="19.5" thickBot="1">
      <c r="A210" s="1" t="s">
        <v>3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1" ht="30.75" thickBot="1">
      <c r="A211" s="2" t="s">
        <v>4</v>
      </c>
      <c r="B211" s="3" t="s">
        <v>5</v>
      </c>
      <c r="C211" s="3" t="s">
        <v>6</v>
      </c>
      <c r="D211" s="3" t="s">
        <v>7</v>
      </c>
      <c r="E211" s="3" t="s">
        <v>8</v>
      </c>
      <c r="F211" s="3" t="s">
        <v>9</v>
      </c>
      <c r="G211" s="3" t="s">
        <v>10</v>
      </c>
      <c r="H211" s="3" t="s">
        <v>21</v>
      </c>
      <c r="I211" s="4" t="s">
        <v>22</v>
      </c>
      <c r="J211" s="4" t="s">
        <v>11</v>
      </c>
      <c r="K211" s="4" t="s">
        <v>12</v>
      </c>
    </row>
    <row r="212" spans="1:11" hidden="1">
      <c r="A212" s="5" t="s">
        <v>340</v>
      </c>
      <c r="B212" s="6">
        <v>45415</v>
      </c>
      <c r="C212" s="7">
        <v>1</v>
      </c>
      <c r="D212" s="5">
        <v>6.97</v>
      </c>
      <c r="E212" s="5">
        <v>53.6</v>
      </c>
      <c r="F212" s="5">
        <v>68.400000000000006</v>
      </c>
      <c r="G212" s="6">
        <v>45415</v>
      </c>
      <c r="H212" s="5"/>
      <c r="I212" s="5"/>
      <c r="J212" s="5">
        <f t="shared" ref="J212:J213" si="25">F212-E212</f>
        <v>14.800000000000004</v>
      </c>
      <c r="K212" s="8" t="b">
        <f>E212=F212</f>
        <v>0</v>
      </c>
    </row>
    <row r="213" spans="1:11" hidden="1">
      <c r="A213" s="5" t="s">
        <v>340</v>
      </c>
      <c r="B213" s="6">
        <v>45416</v>
      </c>
      <c r="C213" s="7">
        <v>1</v>
      </c>
      <c r="D213" s="5">
        <v>6.97</v>
      </c>
      <c r="E213" s="5">
        <v>68.400000000000006</v>
      </c>
      <c r="F213" s="5">
        <v>83.2</v>
      </c>
      <c r="G213" s="6">
        <v>45416</v>
      </c>
      <c r="H213" s="5"/>
      <c r="I213" s="5"/>
      <c r="J213" s="5">
        <f t="shared" si="25"/>
        <v>14.799999999999997</v>
      </c>
      <c r="K213" s="8" t="b">
        <f>E213=F212</f>
        <v>1</v>
      </c>
    </row>
    <row r="214" spans="1:11" hidden="1">
      <c r="A214" s="21" t="s">
        <v>340</v>
      </c>
      <c r="B214" s="22">
        <v>45417</v>
      </c>
      <c r="C214" s="23">
        <v>1</v>
      </c>
      <c r="D214" s="21">
        <v>6.97</v>
      </c>
      <c r="E214" s="21">
        <v>83.2</v>
      </c>
      <c r="F214" s="21">
        <v>97</v>
      </c>
      <c r="G214" s="22">
        <v>45417</v>
      </c>
      <c r="H214" s="21"/>
      <c r="I214" s="21"/>
      <c r="J214" s="5">
        <f t="shared" si="23"/>
        <v>13.799999999999997</v>
      </c>
      <c r="K214" s="8" t="b">
        <f t="shared" si="24"/>
        <v>1</v>
      </c>
    </row>
    <row r="215" spans="1:11" hidden="1">
      <c r="A215" s="21" t="s">
        <v>340</v>
      </c>
      <c r="B215" s="22">
        <v>45418</v>
      </c>
      <c r="C215" s="23">
        <v>1</v>
      </c>
      <c r="D215" s="21">
        <v>6.97</v>
      </c>
      <c r="E215" s="21">
        <v>97</v>
      </c>
      <c r="F215" s="21">
        <v>110.8</v>
      </c>
      <c r="G215" s="22">
        <v>45418</v>
      </c>
      <c r="H215" s="21"/>
      <c r="I215" s="21"/>
      <c r="J215" s="5">
        <f t="shared" si="23"/>
        <v>13.799999999999997</v>
      </c>
      <c r="K215" s="8" t="b">
        <f t="shared" si="24"/>
        <v>1</v>
      </c>
    </row>
    <row r="216" spans="1:11" hidden="1">
      <c r="A216" s="21" t="s">
        <v>340</v>
      </c>
      <c r="B216" s="22">
        <v>45419</v>
      </c>
      <c r="C216" s="23">
        <v>0.5</v>
      </c>
      <c r="D216" s="21">
        <v>13.94</v>
      </c>
      <c r="E216" s="21">
        <v>110.8</v>
      </c>
      <c r="F216" s="21">
        <v>137.69999999999999</v>
      </c>
      <c r="G216" s="22">
        <v>45419</v>
      </c>
      <c r="H216" s="21"/>
      <c r="I216" s="21"/>
      <c r="J216" s="5">
        <f t="shared" si="23"/>
        <v>26.899999999999991</v>
      </c>
      <c r="K216" s="8" t="b">
        <f t="shared" si="24"/>
        <v>1</v>
      </c>
    </row>
    <row r="217" spans="1:11" hidden="1">
      <c r="A217" s="21" t="s">
        <v>340</v>
      </c>
      <c r="B217" s="22">
        <v>45420</v>
      </c>
      <c r="C217" s="23">
        <v>1</v>
      </c>
      <c r="D217" s="21">
        <v>6.97</v>
      </c>
      <c r="E217" s="21">
        <v>137.69999999999999</v>
      </c>
      <c r="F217" s="21">
        <v>152</v>
      </c>
      <c r="G217" s="22">
        <v>45420</v>
      </c>
      <c r="H217" s="21"/>
      <c r="I217" s="21"/>
      <c r="J217" s="5">
        <f t="shared" si="23"/>
        <v>14.300000000000011</v>
      </c>
      <c r="K217" s="8" t="b">
        <f t="shared" si="24"/>
        <v>1</v>
      </c>
    </row>
    <row r="218" spans="1:11" hidden="1">
      <c r="A218" s="21" t="s">
        <v>340</v>
      </c>
      <c r="B218" s="22">
        <v>45421</v>
      </c>
      <c r="C218" s="23">
        <v>0.5</v>
      </c>
      <c r="D218" s="21">
        <v>13.94</v>
      </c>
      <c r="E218" s="21">
        <v>152</v>
      </c>
      <c r="F218" s="21">
        <v>179.7</v>
      </c>
      <c r="G218" s="22">
        <v>45421</v>
      </c>
      <c r="H218" s="21"/>
      <c r="I218" s="21"/>
      <c r="J218" s="5">
        <f t="shared" si="23"/>
        <v>27.699999999999989</v>
      </c>
      <c r="K218" s="8" t="b">
        <f t="shared" si="24"/>
        <v>1</v>
      </c>
    </row>
    <row r="219" spans="1:11" hidden="1">
      <c r="A219" s="21" t="s">
        <v>340</v>
      </c>
      <c r="B219" s="22">
        <v>45422</v>
      </c>
      <c r="C219" s="23">
        <v>1</v>
      </c>
      <c r="D219" s="21">
        <v>6.97</v>
      </c>
      <c r="E219" s="21">
        <v>179.7</v>
      </c>
      <c r="F219" s="21">
        <v>193.8</v>
      </c>
      <c r="G219" s="22">
        <v>45422</v>
      </c>
      <c r="H219" s="21"/>
      <c r="I219" s="21"/>
      <c r="J219" s="5">
        <f t="shared" si="23"/>
        <v>14.100000000000023</v>
      </c>
      <c r="K219" s="8" t="b">
        <f t="shared" si="24"/>
        <v>1</v>
      </c>
    </row>
    <row r="220" spans="1:11" hidden="1">
      <c r="A220" s="21" t="s">
        <v>340</v>
      </c>
      <c r="B220" s="22">
        <v>45423</v>
      </c>
      <c r="C220" s="23">
        <v>1</v>
      </c>
      <c r="D220" s="21">
        <v>6.97</v>
      </c>
      <c r="E220" s="21">
        <v>193.8</v>
      </c>
      <c r="F220" s="21">
        <v>207.6</v>
      </c>
      <c r="G220" s="22">
        <v>45423</v>
      </c>
      <c r="H220" s="21"/>
      <c r="I220" s="21"/>
      <c r="J220" s="5">
        <f t="shared" si="23"/>
        <v>13.799999999999983</v>
      </c>
      <c r="K220" s="8" t="b">
        <f t="shared" si="24"/>
        <v>1</v>
      </c>
    </row>
    <row r="221" spans="1:11" hidden="1">
      <c r="A221" s="21" t="s">
        <v>340</v>
      </c>
      <c r="B221" s="22">
        <v>45425</v>
      </c>
      <c r="C221" s="23">
        <v>1</v>
      </c>
      <c r="D221" s="21">
        <v>6.97</v>
      </c>
      <c r="E221" s="21">
        <v>207.6</v>
      </c>
      <c r="F221" s="21">
        <v>221.6</v>
      </c>
      <c r="G221" s="22">
        <v>45425</v>
      </c>
      <c r="H221" s="21"/>
      <c r="I221" s="21"/>
      <c r="J221" s="5">
        <f t="shared" ref="J221:J258" si="26">F221-E221</f>
        <v>14</v>
      </c>
      <c r="K221" s="8" t="b">
        <f t="shared" ref="K221:K258" si="27">E221=F220</f>
        <v>1</v>
      </c>
    </row>
    <row r="222" spans="1:11" hidden="1">
      <c r="A222" s="21" t="s">
        <v>340</v>
      </c>
      <c r="B222" s="22">
        <v>45432</v>
      </c>
      <c r="C222" s="23">
        <v>0.8</v>
      </c>
      <c r="D222" s="21">
        <v>8.7100000000000009</v>
      </c>
      <c r="E222" s="21">
        <v>221.6</v>
      </c>
      <c r="F222" s="21">
        <v>239.1</v>
      </c>
      <c r="G222" s="22">
        <v>45432</v>
      </c>
      <c r="H222" s="21"/>
      <c r="I222" s="21"/>
      <c r="J222" s="5">
        <f t="shared" si="26"/>
        <v>17.5</v>
      </c>
      <c r="K222" s="8" t="b">
        <f t="shared" si="27"/>
        <v>1</v>
      </c>
    </row>
    <row r="223" spans="1:11" hidden="1">
      <c r="A223" s="21" t="s">
        <v>340</v>
      </c>
      <c r="B223" s="22">
        <v>45434</v>
      </c>
      <c r="C223" s="23">
        <v>1</v>
      </c>
      <c r="D223" s="21">
        <v>6.97</v>
      </c>
      <c r="E223" s="21">
        <v>239.1</v>
      </c>
      <c r="F223" s="21">
        <v>256.60000000000002</v>
      </c>
      <c r="G223" s="22">
        <v>45434</v>
      </c>
      <c r="H223" s="21"/>
      <c r="I223" s="21"/>
      <c r="J223" s="5">
        <f t="shared" si="26"/>
        <v>17.500000000000028</v>
      </c>
      <c r="K223" s="8" t="b">
        <f t="shared" si="27"/>
        <v>1</v>
      </c>
    </row>
    <row r="224" spans="1:11" hidden="1">
      <c r="A224" s="21" t="s">
        <v>340</v>
      </c>
      <c r="B224" s="22">
        <v>45436</v>
      </c>
      <c r="C224" s="23">
        <v>1</v>
      </c>
      <c r="D224" s="21">
        <v>6.97</v>
      </c>
      <c r="E224" s="21">
        <v>256.60000000000002</v>
      </c>
      <c r="F224" s="21">
        <v>270.39999999999998</v>
      </c>
      <c r="G224" s="22">
        <v>45436</v>
      </c>
      <c r="H224" s="21"/>
      <c r="I224" s="21"/>
      <c r="J224" s="5">
        <f t="shared" si="26"/>
        <v>13.799999999999955</v>
      </c>
      <c r="K224" s="8" t="b">
        <f t="shared" si="27"/>
        <v>1</v>
      </c>
    </row>
    <row r="225" spans="1:11" hidden="1">
      <c r="A225" s="21" t="s">
        <v>340</v>
      </c>
      <c r="B225" s="22">
        <v>45439</v>
      </c>
      <c r="C225" s="23">
        <v>0.8</v>
      </c>
      <c r="D225" s="21">
        <v>8.7100000000000009</v>
      </c>
      <c r="E225" s="21">
        <v>270.39999999999998</v>
      </c>
      <c r="F225" s="21">
        <v>287.89999999999998</v>
      </c>
      <c r="G225" s="22">
        <v>45439</v>
      </c>
      <c r="H225" s="21"/>
      <c r="I225" s="21"/>
      <c r="J225" s="5">
        <f t="shared" si="26"/>
        <v>17.5</v>
      </c>
      <c r="K225" s="8" t="b">
        <f t="shared" si="27"/>
        <v>1</v>
      </c>
    </row>
    <row r="226" spans="1:11" hidden="1">
      <c r="A226" s="21" t="s">
        <v>340</v>
      </c>
      <c r="B226" s="22">
        <v>45442</v>
      </c>
      <c r="C226" s="23">
        <v>0.7</v>
      </c>
      <c r="D226" s="21">
        <v>9.36</v>
      </c>
      <c r="E226" s="21">
        <v>287.89999999999998</v>
      </c>
      <c r="F226" s="21">
        <v>305.10000000000002</v>
      </c>
      <c r="G226" s="22">
        <v>45442</v>
      </c>
      <c r="H226" s="21"/>
      <c r="I226" s="21"/>
      <c r="J226" s="5">
        <f t="shared" si="26"/>
        <v>17.200000000000045</v>
      </c>
      <c r="K226" s="8" t="b">
        <f t="shared" si="27"/>
        <v>1</v>
      </c>
    </row>
    <row r="227" spans="1:11" hidden="1">
      <c r="A227" s="21" t="s">
        <v>340</v>
      </c>
      <c r="B227" s="22">
        <v>45443</v>
      </c>
      <c r="C227" s="23">
        <v>0.7</v>
      </c>
      <c r="D227" s="21">
        <v>9.36</v>
      </c>
      <c r="E227" s="21">
        <v>305.10000000000002</v>
      </c>
      <c r="F227" s="21">
        <v>324.8</v>
      </c>
      <c r="G227" s="22">
        <v>45443</v>
      </c>
      <c r="H227" s="21"/>
      <c r="I227" s="21"/>
      <c r="J227" s="5">
        <f t="shared" si="26"/>
        <v>19.699999999999989</v>
      </c>
      <c r="K227" s="8" t="b">
        <f t="shared" si="27"/>
        <v>1</v>
      </c>
    </row>
    <row r="228" spans="1:11" hidden="1">
      <c r="A228" s="21" t="s">
        <v>340</v>
      </c>
      <c r="B228" s="22">
        <v>45445</v>
      </c>
      <c r="C228" s="23">
        <v>1</v>
      </c>
      <c r="D228" s="21">
        <v>6.97</v>
      </c>
      <c r="E228" s="21">
        <v>324.8</v>
      </c>
      <c r="F228" s="21">
        <v>338.6</v>
      </c>
      <c r="G228" s="22">
        <v>45445</v>
      </c>
      <c r="H228" s="21"/>
      <c r="I228" s="21"/>
      <c r="J228" s="5">
        <f t="shared" si="26"/>
        <v>13.800000000000011</v>
      </c>
      <c r="K228" s="8" t="b">
        <f t="shared" si="27"/>
        <v>1</v>
      </c>
    </row>
    <row r="229" spans="1:11" hidden="1">
      <c r="A229" s="21" t="s">
        <v>340</v>
      </c>
      <c r="B229" s="22">
        <v>45447</v>
      </c>
      <c r="C229" s="23">
        <v>1</v>
      </c>
      <c r="D229" s="21">
        <v>6.97</v>
      </c>
      <c r="E229" s="21">
        <v>338.6</v>
      </c>
      <c r="F229" s="21">
        <v>352.4</v>
      </c>
      <c r="G229" s="22">
        <v>45447</v>
      </c>
      <c r="H229" s="21"/>
      <c r="I229" s="21"/>
      <c r="J229" s="5">
        <f t="shared" si="26"/>
        <v>13.799999999999955</v>
      </c>
      <c r="K229" s="8" t="b">
        <f t="shared" si="27"/>
        <v>1</v>
      </c>
    </row>
    <row r="230" spans="1:11" hidden="1">
      <c r="A230" s="21" t="s">
        <v>340</v>
      </c>
      <c r="B230" s="22">
        <v>45449</v>
      </c>
      <c r="C230" s="23">
        <v>1</v>
      </c>
      <c r="D230" s="21">
        <v>6.97</v>
      </c>
      <c r="E230" s="21">
        <v>352.4</v>
      </c>
      <c r="F230" s="21">
        <v>366.1</v>
      </c>
      <c r="G230" s="22">
        <v>45449</v>
      </c>
      <c r="H230" s="21"/>
      <c r="I230" s="21"/>
      <c r="J230" s="5">
        <f t="shared" si="26"/>
        <v>13.700000000000045</v>
      </c>
      <c r="K230" s="8" t="b">
        <f t="shared" si="27"/>
        <v>1</v>
      </c>
    </row>
    <row r="231" spans="1:11" hidden="1">
      <c r="A231" s="21" t="s">
        <v>340</v>
      </c>
      <c r="B231" s="22">
        <v>45451</v>
      </c>
      <c r="C231" s="23">
        <v>1</v>
      </c>
      <c r="D231" s="21">
        <v>6.97</v>
      </c>
      <c r="E231" s="21">
        <v>366.1</v>
      </c>
      <c r="F231" s="21">
        <v>380.3</v>
      </c>
      <c r="G231" s="22">
        <v>45451</v>
      </c>
      <c r="H231" s="21"/>
      <c r="I231" s="21"/>
      <c r="J231" s="5">
        <f t="shared" si="26"/>
        <v>14.199999999999989</v>
      </c>
      <c r="K231" s="8" t="b">
        <f t="shared" si="27"/>
        <v>1</v>
      </c>
    </row>
    <row r="232" spans="1:11" hidden="1">
      <c r="A232" s="21" t="s">
        <v>340</v>
      </c>
      <c r="B232" s="22">
        <v>45453</v>
      </c>
      <c r="C232" s="23">
        <v>1</v>
      </c>
      <c r="D232" s="21">
        <v>6.97</v>
      </c>
      <c r="E232" s="21">
        <v>380.3</v>
      </c>
      <c r="F232" s="21">
        <v>394.5</v>
      </c>
      <c r="G232" s="22">
        <v>45453</v>
      </c>
      <c r="H232" s="21"/>
      <c r="I232" s="21"/>
      <c r="J232" s="5">
        <f t="shared" si="26"/>
        <v>14.199999999999989</v>
      </c>
      <c r="K232" s="8" t="b">
        <f t="shared" si="27"/>
        <v>1</v>
      </c>
    </row>
    <row r="233" spans="1:11" hidden="1">
      <c r="A233" s="21" t="s">
        <v>340</v>
      </c>
      <c r="B233" s="22">
        <v>45455</v>
      </c>
      <c r="C233" s="23">
        <v>0.9</v>
      </c>
      <c r="D233" s="21">
        <v>7.74</v>
      </c>
      <c r="E233" s="21">
        <v>394.5</v>
      </c>
      <c r="F233" s="21">
        <v>409.9</v>
      </c>
      <c r="G233" s="22">
        <v>45455</v>
      </c>
      <c r="H233" s="21"/>
      <c r="I233" s="21"/>
      <c r="J233" s="5">
        <f t="shared" si="26"/>
        <v>15.399999999999977</v>
      </c>
      <c r="K233" s="8" t="b">
        <f t="shared" si="27"/>
        <v>1</v>
      </c>
    </row>
    <row r="234" spans="1:11" hidden="1">
      <c r="A234" s="21" t="s">
        <v>340</v>
      </c>
      <c r="B234" s="22">
        <v>45457</v>
      </c>
      <c r="C234" s="23">
        <v>0.8</v>
      </c>
      <c r="D234" s="21">
        <v>8.7100000000000009</v>
      </c>
      <c r="E234" s="21">
        <v>409.9</v>
      </c>
      <c r="F234" s="21">
        <v>424.4</v>
      </c>
      <c r="G234" s="22">
        <v>45457</v>
      </c>
      <c r="H234" s="21"/>
      <c r="I234" s="21"/>
      <c r="J234" s="5">
        <f t="shared" si="26"/>
        <v>14.5</v>
      </c>
      <c r="K234" s="8" t="b">
        <f t="shared" si="27"/>
        <v>1</v>
      </c>
    </row>
    <row r="235" spans="1:11" hidden="1">
      <c r="A235" s="21" t="s">
        <v>340</v>
      </c>
      <c r="B235" s="22">
        <v>45459</v>
      </c>
      <c r="C235" s="23">
        <v>0.7</v>
      </c>
      <c r="D235" s="21">
        <v>9.36</v>
      </c>
      <c r="E235" s="21">
        <v>424.4</v>
      </c>
      <c r="F235" s="21">
        <v>447</v>
      </c>
      <c r="G235" s="22">
        <v>45459</v>
      </c>
      <c r="H235" s="21"/>
      <c r="I235" s="21"/>
      <c r="J235" s="5">
        <f t="shared" si="26"/>
        <v>22.600000000000023</v>
      </c>
      <c r="K235" s="8" t="b">
        <f t="shared" si="27"/>
        <v>1</v>
      </c>
    </row>
    <row r="236" spans="1:11" hidden="1">
      <c r="A236" s="21" t="s">
        <v>340</v>
      </c>
      <c r="B236" s="22">
        <v>45461</v>
      </c>
      <c r="C236" s="23">
        <v>1</v>
      </c>
      <c r="D236" s="21">
        <v>6.97</v>
      </c>
      <c r="E236" s="21">
        <v>447</v>
      </c>
      <c r="F236" s="21">
        <v>460.8</v>
      </c>
      <c r="G236" s="22">
        <v>45461</v>
      </c>
      <c r="H236" s="21"/>
      <c r="I236" s="21"/>
      <c r="J236" s="5">
        <f t="shared" si="26"/>
        <v>13.800000000000011</v>
      </c>
      <c r="K236" s="8" t="b">
        <f t="shared" si="27"/>
        <v>1</v>
      </c>
    </row>
    <row r="237" spans="1:11" hidden="1">
      <c r="A237" s="21" t="s">
        <v>340</v>
      </c>
      <c r="B237" s="22">
        <v>45462</v>
      </c>
      <c r="C237" s="23">
        <v>1</v>
      </c>
      <c r="D237" s="21">
        <v>6.97</v>
      </c>
      <c r="E237" s="21">
        <v>460.8</v>
      </c>
      <c r="F237" s="21">
        <v>474.6</v>
      </c>
      <c r="G237" s="22">
        <v>45462</v>
      </c>
      <c r="H237" s="21"/>
      <c r="I237" s="21"/>
      <c r="J237" s="5">
        <f t="shared" si="26"/>
        <v>13.800000000000011</v>
      </c>
      <c r="K237" s="8" t="b">
        <f t="shared" si="27"/>
        <v>1</v>
      </c>
    </row>
    <row r="238" spans="1:11" hidden="1">
      <c r="A238" s="21" t="s">
        <v>340</v>
      </c>
      <c r="B238" s="22">
        <v>45463</v>
      </c>
      <c r="C238" s="23">
        <v>0.6</v>
      </c>
      <c r="D238" s="21">
        <v>11.62</v>
      </c>
      <c r="E238" s="21">
        <v>474.6</v>
      </c>
      <c r="F238" s="21">
        <v>497.2</v>
      </c>
      <c r="G238" s="22">
        <v>45463</v>
      </c>
      <c r="H238" s="21"/>
      <c r="I238" s="21"/>
      <c r="J238" s="5">
        <f t="shared" si="26"/>
        <v>22.599999999999966</v>
      </c>
      <c r="K238" s="8" t="b">
        <f t="shared" si="27"/>
        <v>1</v>
      </c>
    </row>
    <row r="239" spans="1:11" hidden="1">
      <c r="A239" s="21" t="s">
        <v>340</v>
      </c>
      <c r="B239" s="22">
        <v>45465</v>
      </c>
      <c r="C239" s="23">
        <v>0.7</v>
      </c>
      <c r="D239" s="21">
        <v>9.36</v>
      </c>
      <c r="E239" s="21">
        <v>497.2</v>
      </c>
      <c r="F239" s="21">
        <v>516.20000000000005</v>
      </c>
      <c r="G239" s="22">
        <v>45465</v>
      </c>
      <c r="H239" s="21"/>
      <c r="I239" s="21"/>
      <c r="J239" s="5">
        <f t="shared" si="26"/>
        <v>19.000000000000057</v>
      </c>
      <c r="K239" s="8" t="b">
        <f t="shared" si="27"/>
        <v>1</v>
      </c>
    </row>
    <row r="240" spans="1:11" hidden="1">
      <c r="A240" s="21" t="s">
        <v>340</v>
      </c>
      <c r="B240" s="22">
        <v>45467</v>
      </c>
      <c r="C240" s="23">
        <v>0.7</v>
      </c>
      <c r="D240" s="21">
        <v>9.36</v>
      </c>
      <c r="E240" s="21">
        <v>516.20000000000005</v>
      </c>
      <c r="F240" s="21">
        <v>535.79999999999995</v>
      </c>
      <c r="G240" s="22">
        <v>45467</v>
      </c>
      <c r="H240" s="21"/>
      <c r="I240" s="21"/>
      <c r="J240" s="5">
        <f t="shared" si="26"/>
        <v>19.599999999999909</v>
      </c>
      <c r="K240" s="8" t="b">
        <f t="shared" si="27"/>
        <v>1</v>
      </c>
    </row>
    <row r="241" spans="1:11" hidden="1">
      <c r="A241" s="21" t="s">
        <v>340</v>
      </c>
      <c r="B241" s="22">
        <v>45469</v>
      </c>
      <c r="C241" s="23">
        <v>0.7</v>
      </c>
      <c r="D241" s="21">
        <v>9.36</v>
      </c>
      <c r="E241" s="21">
        <v>535.79999999999995</v>
      </c>
      <c r="F241" s="21">
        <v>555.4</v>
      </c>
      <c r="G241" s="22">
        <v>45469</v>
      </c>
      <c r="H241" s="21"/>
      <c r="I241" s="21"/>
      <c r="J241" s="5">
        <f t="shared" si="26"/>
        <v>19.600000000000023</v>
      </c>
      <c r="K241" s="8" t="b">
        <f t="shared" si="27"/>
        <v>1</v>
      </c>
    </row>
    <row r="242" spans="1:11" hidden="1">
      <c r="A242" s="21" t="s">
        <v>340</v>
      </c>
      <c r="B242" s="22">
        <v>45471</v>
      </c>
      <c r="C242" s="23">
        <v>0.75</v>
      </c>
      <c r="D242" s="21">
        <v>9.2899999999999991</v>
      </c>
      <c r="E242" s="21">
        <v>555.4</v>
      </c>
      <c r="F242" s="21">
        <v>574.1</v>
      </c>
      <c r="G242" s="22">
        <v>45471</v>
      </c>
      <c r="H242" s="21"/>
      <c r="I242" s="21"/>
      <c r="J242" s="5">
        <f t="shared" si="26"/>
        <v>18.700000000000045</v>
      </c>
      <c r="K242" s="8" t="b">
        <f t="shared" si="27"/>
        <v>1</v>
      </c>
    </row>
    <row r="243" spans="1:11" hidden="1">
      <c r="A243" s="21" t="s">
        <v>340</v>
      </c>
      <c r="B243" s="22">
        <v>45473</v>
      </c>
      <c r="C243" s="23">
        <v>0.75</v>
      </c>
      <c r="D243" s="21">
        <v>9.2899999999999991</v>
      </c>
      <c r="E243" s="21">
        <v>574.1</v>
      </c>
      <c r="F243" s="21">
        <v>592.29999999999995</v>
      </c>
      <c r="G243" s="22">
        <v>45473</v>
      </c>
      <c r="H243" s="21"/>
      <c r="I243" s="21"/>
      <c r="J243" s="5">
        <f t="shared" si="26"/>
        <v>18.199999999999932</v>
      </c>
      <c r="K243" s="8" t="b">
        <f t="shared" si="27"/>
        <v>1</v>
      </c>
    </row>
    <row r="244" spans="1:11">
      <c r="A244" s="21" t="s">
        <v>340</v>
      </c>
      <c r="B244" s="22">
        <v>45475</v>
      </c>
      <c r="C244" s="23">
        <v>0.75</v>
      </c>
      <c r="D244" s="21">
        <v>9.2899999999999991</v>
      </c>
      <c r="E244" s="21">
        <v>592.29999999999995</v>
      </c>
      <c r="F244" s="21">
        <v>610.5</v>
      </c>
      <c r="G244" s="22">
        <v>45475</v>
      </c>
      <c r="H244" s="21"/>
      <c r="I244" s="21"/>
      <c r="J244" s="5">
        <f t="shared" si="26"/>
        <v>18.200000000000045</v>
      </c>
      <c r="K244" s="8" t="b">
        <f t="shared" si="27"/>
        <v>1</v>
      </c>
    </row>
    <row r="245" spans="1:11">
      <c r="A245" s="21" t="s">
        <v>340</v>
      </c>
      <c r="B245" s="22">
        <v>45477</v>
      </c>
      <c r="C245" s="23">
        <v>0.75</v>
      </c>
      <c r="D245" s="21">
        <v>9.2899999999999991</v>
      </c>
      <c r="E245" s="21">
        <v>610.5</v>
      </c>
      <c r="F245" s="21">
        <v>628.79999999999995</v>
      </c>
      <c r="G245" s="22">
        <v>45477</v>
      </c>
      <c r="H245" s="21"/>
      <c r="I245" s="21"/>
      <c r="J245" s="5">
        <f t="shared" si="26"/>
        <v>18.299999999999955</v>
      </c>
      <c r="K245" s="8" t="b">
        <f t="shared" si="27"/>
        <v>1</v>
      </c>
    </row>
    <row r="246" spans="1:11">
      <c r="A246" s="21" t="s">
        <v>340</v>
      </c>
      <c r="B246" s="22">
        <v>45479</v>
      </c>
      <c r="C246" s="23">
        <v>1</v>
      </c>
      <c r="D246" s="21">
        <v>6.97</v>
      </c>
      <c r="E246" s="21">
        <v>628.79999999999995</v>
      </c>
      <c r="F246" s="21">
        <v>642.6</v>
      </c>
      <c r="G246" s="22">
        <v>45479</v>
      </c>
      <c r="H246" s="21"/>
      <c r="I246" s="21"/>
      <c r="J246" s="5">
        <f t="shared" si="26"/>
        <v>13.800000000000068</v>
      </c>
      <c r="K246" s="8" t="b">
        <f t="shared" si="27"/>
        <v>1</v>
      </c>
    </row>
    <row r="247" spans="1:11">
      <c r="A247" s="21" t="s">
        <v>340</v>
      </c>
      <c r="B247" s="22">
        <v>45481</v>
      </c>
      <c r="C247" s="23">
        <v>0.7</v>
      </c>
      <c r="D247" s="21">
        <v>9.36</v>
      </c>
      <c r="E247" s="21">
        <v>642.6</v>
      </c>
      <c r="F247" s="21">
        <v>661.6</v>
      </c>
      <c r="G247" s="22">
        <v>45481</v>
      </c>
      <c r="H247" s="21"/>
      <c r="I247" s="21"/>
      <c r="J247" s="5">
        <f t="shared" si="26"/>
        <v>19</v>
      </c>
      <c r="K247" s="8" t="b">
        <f t="shared" si="27"/>
        <v>1</v>
      </c>
    </row>
    <row r="248" spans="1:11">
      <c r="A248" s="21" t="s">
        <v>340</v>
      </c>
      <c r="B248" s="22">
        <v>45481</v>
      </c>
      <c r="C248" s="23">
        <v>1</v>
      </c>
      <c r="D248" s="21">
        <v>6.97</v>
      </c>
      <c r="E248" s="21">
        <v>661.6</v>
      </c>
      <c r="F248" s="21">
        <v>677.1</v>
      </c>
      <c r="G248" s="22">
        <v>45481</v>
      </c>
      <c r="H248" s="21"/>
      <c r="I248" s="21"/>
      <c r="J248" s="5">
        <f t="shared" si="26"/>
        <v>15.5</v>
      </c>
      <c r="K248" s="8" t="b">
        <f t="shared" si="27"/>
        <v>1</v>
      </c>
    </row>
    <row r="249" spans="1:11">
      <c r="A249" s="21" t="s">
        <v>340</v>
      </c>
      <c r="B249" s="22">
        <v>45485</v>
      </c>
      <c r="C249" s="23">
        <v>0.65</v>
      </c>
      <c r="D249" s="21">
        <v>10.72</v>
      </c>
      <c r="E249" s="21">
        <v>677.1</v>
      </c>
      <c r="F249" s="21">
        <v>698.5</v>
      </c>
      <c r="G249" s="22">
        <v>45485</v>
      </c>
      <c r="H249" s="21"/>
      <c r="I249" s="21"/>
      <c r="J249" s="5">
        <f t="shared" si="26"/>
        <v>21.399999999999977</v>
      </c>
      <c r="K249" s="8" t="b">
        <f t="shared" si="27"/>
        <v>1</v>
      </c>
    </row>
    <row r="250" spans="1:11">
      <c r="A250" s="21" t="s">
        <v>340</v>
      </c>
      <c r="B250" s="22">
        <v>45486</v>
      </c>
      <c r="C250" s="23">
        <v>0.65</v>
      </c>
      <c r="D250" s="21">
        <v>10.72</v>
      </c>
      <c r="E250" s="21">
        <v>698.5</v>
      </c>
      <c r="F250" s="21">
        <v>719.4</v>
      </c>
      <c r="G250" s="22">
        <v>45486</v>
      </c>
      <c r="H250" s="21"/>
      <c r="I250" s="21"/>
      <c r="J250" s="5">
        <f t="shared" si="26"/>
        <v>20.899999999999977</v>
      </c>
      <c r="K250" s="8" t="b">
        <f t="shared" si="27"/>
        <v>1</v>
      </c>
    </row>
    <row r="251" spans="1:11">
      <c r="A251" s="21" t="s">
        <v>340</v>
      </c>
      <c r="B251" s="22">
        <v>45488</v>
      </c>
      <c r="C251" s="23">
        <v>0.65</v>
      </c>
      <c r="D251" s="21">
        <v>10.72</v>
      </c>
      <c r="E251" s="21">
        <v>719.4</v>
      </c>
      <c r="F251" s="21">
        <v>740.3</v>
      </c>
      <c r="G251" s="22">
        <v>45488</v>
      </c>
      <c r="H251" s="21"/>
      <c r="I251" s="21"/>
      <c r="J251" s="5">
        <f t="shared" si="26"/>
        <v>20.899999999999977</v>
      </c>
      <c r="K251" s="8" t="b">
        <f t="shared" si="27"/>
        <v>1</v>
      </c>
    </row>
    <row r="252" spans="1:11">
      <c r="A252" s="21" t="s">
        <v>340</v>
      </c>
      <c r="B252" s="22">
        <v>45490</v>
      </c>
      <c r="C252" s="23">
        <v>1</v>
      </c>
      <c r="D252" s="21">
        <v>6.97</v>
      </c>
      <c r="E252" s="21">
        <v>740.3</v>
      </c>
      <c r="F252" s="21">
        <v>754.2</v>
      </c>
      <c r="G252" s="22">
        <v>45490</v>
      </c>
      <c r="H252" s="21"/>
      <c r="I252" s="21"/>
      <c r="J252" s="5">
        <f t="shared" si="26"/>
        <v>13.900000000000091</v>
      </c>
      <c r="K252" s="8" t="b">
        <f t="shared" si="27"/>
        <v>1</v>
      </c>
    </row>
    <row r="253" spans="1:11">
      <c r="A253" s="21" t="s">
        <v>340</v>
      </c>
      <c r="B253" s="22">
        <v>45492</v>
      </c>
      <c r="C253" s="23">
        <v>1</v>
      </c>
      <c r="D253" s="21">
        <v>6.97</v>
      </c>
      <c r="E253" s="21">
        <v>754.2</v>
      </c>
      <c r="F253" s="21">
        <v>768.2</v>
      </c>
      <c r="G253" s="22">
        <v>45492</v>
      </c>
      <c r="H253" s="21"/>
      <c r="I253" s="21"/>
      <c r="J253" s="5">
        <f t="shared" si="26"/>
        <v>14</v>
      </c>
      <c r="K253" s="8" t="b">
        <f t="shared" si="27"/>
        <v>1</v>
      </c>
    </row>
    <row r="254" spans="1:11">
      <c r="A254" s="21" t="s">
        <v>340</v>
      </c>
      <c r="B254" s="22">
        <v>45494</v>
      </c>
      <c r="C254" s="23">
        <v>0.7</v>
      </c>
      <c r="D254" s="21">
        <v>9.36</v>
      </c>
      <c r="E254" s="21">
        <v>768.2</v>
      </c>
      <c r="F254" s="21">
        <v>787.7</v>
      </c>
      <c r="G254" s="22">
        <v>45494</v>
      </c>
      <c r="H254" s="21"/>
      <c r="I254" s="21"/>
      <c r="J254" s="5">
        <f t="shared" si="26"/>
        <v>19.5</v>
      </c>
      <c r="K254" s="8" t="b">
        <f t="shared" si="27"/>
        <v>1</v>
      </c>
    </row>
    <row r="255" spans="1:11">
      <c r="A255" s="21" t="s">
        <v>340</v>
      </c>
      <c r="B255" s="22">
        <v>45496</v>
      </c>
      <c r="C255" s="23">
        <v>1</v>
      </c>
      <c r="D255" s="21">
        <v>6.97</v>
      </c>
      <c r="E255" s="21">
        <v>787.7</v>
      </c>
      <c r="F255" s="21">
        <v>801.5</v>
      </c>
      <c r="G255" s="22">
        <v>45496</v>
      </c>
      <c r="H255" s="21"/>
      <c r="I255" s="21"/>
      <c r="J255" s="5">
        <f t="shared" si="26"/>
        <v>13.799999999999955</v>
      </c>
      <c r="K255" s="8" t="b">
        <f t="shared" si="27"/>
        <v>1</v>
      </c>
    </row>
    <row r="256" spans="1:11">
      <c r="A256" s="21" t="s">
        <v>340</v>
      </c>
      <c r="B256" s="22">
        <v>45498</v>
      </c>
      <c r="C256" s="23">
        <v>1</v>
      </c>
      <c r="D256" s="21">
        <v>6.97</v>
      </c>
      <c r="E256" s="21">
        <v>801.5</v>
      </c>
      <c r="F256" s="21">
        <v>815.3</v>
      </c>
      <c r="G256" s="22">
        <v>45498</v>
      </c>
      <c r="H256" s="21"/>
      <c r="I256" s="21"/>
      <c r="J256" s="5">
        <f t="shared" si="26"/>
        <v>13.799999999999955</v>
      </c>
      <c r="K256" s="8" t="b">
        <f t="shared" si="27"/>
        <v>1</v>
      </c>
    </row>
    <row r="257" spans="1:11">
      <c r="A257" s="21" t="s">
        <v>340</v>
      </c>
      <c r="B257" s="22">
        <v>45500</v>
      </c>
      <c r="C257" s="23">
        <v>0.75</v>
      </c>
      <c r="D257" s="21">
        <v>9.2899999999999991</v>
      </c>
      <c r="E257" s="21">
        <v>815.3</v>
      </c>
      <c r="F257" s="21">
        <v>833.5</v>
      </c>
      <c r="G257" s="22">
        <v>45500</v>
      </c>
      <c r="H257" s="21"/>
      <c r="I257" s="21"/>
      <c r="J257" s="5">
        <f t="shared" si="26"/>
        <v>18.200000000000045</v>
      </c>
      <c r="K257" s="8" t="b">
        <f t="shared" si="27"/>
        <v>1</v>
      </c>
    </row>
    <row r="258" spans="1:11">
      <c r="A258" s="21" t="s">
        <v>340</v>
      </c>
      <c r="B258" s="22">
        <v>45502</v>
      </c>
      <c r="C258" s="23">
        <v>0.7</v>
      </c>
      <c r="D258" s="21">
        <v>9.36</v>
      </c>
      <c r="E258" s="21">
        <v>833.5</v>
      </c>
      <c r="F258" s="21">
        <v>853</v>
      </c>
      <c r="G258" s="22">
        <v>45502</v>
      </c>
      <c r="H258" s="21"/>
      <c r="I258" s="21"/>
      <c r="J258" s="5">
        <f t="shared" si="26"/>
        <v>19.5</v>
      </c>
      <c r="K258" s="8" t="b">
        <f t="shared" si="27"/>
        <v>1</v>
      </c>
    </row>
    <row r="259" spans="1:11">
      <c r="A259" s="21" t="s">
        <v>340</v>
      </c>
      <c r="B259" s="22">
        <v>45504</v>
      </c>
      <c r="C259" s="23">
        <v>0.8</v>
      </c>
      <c r="D259" s="21">
        <v>8.7100000000000009</v>
      </c>
      <c r="E259" s="21">
        <v>853</v>
      </c>
      <c r="F259" s="21">
        <v>870.2</v>
      </c>
      <c r="G259" s="22">
        <v>45504</v>
      </c>
      <c r="H259" s="21"/>
      <c r="I259" s="21"/>
      <c r="J259" s="5">
        <f t="shared" ref="J259:J261" si="28">F259-E259</f>
        <v>17.200000000000045</v>
      </c>
      <c r="K259" s="8" t="b">
        <f t="shared" ref="K259:K261" si="29">E259=F258</f>
        <v>1</v>
      </c>
    </row>
    <row r="260" spans="1:11">
      <c r="A260" s="21" t="s">
        <v>340</v>
      </c>
      <c r="B260" s="22">
        <v>45521</v>
      </c>
      <c r="C260" s="23">
        <v>1</v>
      </c>
      <c r="D260" s="21">
        <v>6.97</v>
      </c>
      <c r="E260" s="21">
        <v>870.2</v>
      </c>
      <c r="F260" s="21">
        <v>882.1</v>
      </c>
      <c r="G260" s="22">
        <v>45521</v>
      </c>
      <c r="H260" s="21"/>
      <c r="I260" s="21"/>
      <c r="J260" s="5">
        <f t="shared" si="28"/>
        <v>11.899999999999977</v>
      </c>
      <c r="K260" s="8" t="b">
        <f t="shared" si="29"/>
        <v>1</v>
      </c>
    </row>
    <row r="261" spans="1:11">
      <c r="A261" s="21" t="s">
        <v>340</v>
      </c>
      <c r="B261" s="22"/>
      <c r="C261" s="23"/>
      <c r="D261" s="21"/>
      <c r="E261" s="21"/>
      <c r="F261" s="21"/>
      <c r="G261" s="22"/>
      <c r="H261" s="21"/>
      <c r="I261" s="21"/>
      <c r="J261" s="5">
        <f t="shared" si="28"/>
        <v>0</v>
      </c>
      <c r="K261" s="8" t="b">
        <f t="shared" si="29"/>
        <v>0</v>
      </c>
    </row>
    <row r="262" spans="1:11" ht="26.25">
      <c r="A262" s="199" t="s">
        <v>339</v>
      </c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</row>
    <row r="263" spans="1:11" ht="26.25">
      <c r="A263" s="202" t="s">
        <v>349</v>
      </c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</row>
    <row r="264" spans="1:11" ht="15.75" thickBot="1"/>
    <row r="265" spans="1:11" ht="15.75" thickBot="1">
      <c r="A265" s="83" t="s">
        <v>2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84"/>
    </row>
    <row r="267" spans="1:11" ht="19.5" thickBot="1">
      <c r="A267" s="1" t="s">
        <v>3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1" ht="30.75" thickBot="1">
      <c r="A268" s="2" t="s">
        <v>4</v>
      </c>
      <c r="B268" s="3" t="s">
        <v>5</v>
      </c>
      <c r="C268" s="3" t="s">
        <v>6</v>
      </c>
      <c r="D268" s="3" t="s">
        <v>7</v>
      </c>
      <c r="E268" s="3" t="s">
        <v>8</v>
      </c>
      <c r="F268" s="3" t="s">
        <v>9</v>
      </c>
      <c r="G268" s="3" t="s">
        <v>10</v>
      </c>
      <c r="H268" s="3" t="s">
        <v>21</v>
      </c>
      <c r="I268" s="4" t="s">
        <v>22</v>
      </c>
      <c r="J268" s="4" t="s">
        <v>11</v>
      </c>
      <c r="K268" s="4" t="s">
        <v>12</v>
      </c>
    </row>
    <row r="269" spans="1:11">
      <c r="A269" s="21" t="s">
        <v>340</v>
      </c>
      <c r="B269" s="22">
        <v>45539</v>
      </c>
      <c r="C269" s="23">
        <v>1</v>
      </c>
      <c r="D269" s="21">
        <v>6.97</v>
      </c>
      <c r="E269" s="21">
        <v>882.1</v>
      </c>
      <c r="F269" s="21">
        <v>901</v>
      </c>
      <c r="G269" s="22">
        <v>45539</v>
      </c>
      <c r="H269" s="21"/>
      <c r="I269" s="21"/>
      <c r="J269" s="5">
        <f t="shared" ref="J269" si="30">F269-E269</f>
        <v>18.899999999999977</v>
      </c>
      <c r="K269" s="8" t="b">
        <f t="shared" ref="K269" si="31">E269=F268</f>
        <v>0</v>
      </c>
    </row>
    <row r="270" spans="1:11">
      <c r="A270" s="21" t="s">
        <v>340</v>
      </c>
      <c r="B270" s="22">
        <v>45546</v>
      </c>
      <c r="C270" s="23">
        <v>0.6</v>
      </c>
      <c r="D270" s="21">
        <v>10.6</v>
      </c>
      <c r="E270" s="21">
        <v>882.1</v>
      </c>
      <c r="F270" s="21">
        <v>901</v>
      </c>
      <c r="G270" s="22">
        <v>45546</v>
      </c>
      <c r="H270" s="21"/>
      <c r="I270" s="21"/>
      <c r="J270" s="5">
        <f t="shared" ref="J270:J297" si="32">F270-E270</f>
        <v>18.899999999999977</v>
      </c>
      <c r="K270" s="8" t="b">
        <f t="shared" ref="K270:K297" si="33">E270=F269</f>
        <v>0</v>
      </c>
    </row>
    <row r="271" spans="1:11">
      <c r="A271" s="21" t="s">
        <v>340</v>
      </c>
      <c r="B271" s="22"/>
      <c r="C271" s="23"/>
      <c r="D271" s="21"/>
      <c r="E271" s="21"/>
      <c r="F271" s="21"/>
      <c r="G271" s="22"/>
      <c r="H271" s="21"/>
      <c r="I271" s="21"/>
      <c r="J271" s="5">
        <f t="shared" si="32"/>
        <v>0</v>
      </c>
      <c r="K271" s="8" t="b">
        <f t="shared" si="33"/>
        <v>0</v>
      </c>
    </row>
    <row r="272" spans="1:11">
      <c r="A272" s="21" t="s">
        <v>340</v>
      </c>
      <c r="B272" s="22"/>
      <c r="C272" s="23"/>
      <c r="D272" s="21"/>
      <c r="E272" s="21"/>
      <c r="F272" s="21"/>
      <c r="G272" s="22"/>
      <c r="H272" s="21"/>
      <c r="I272" s="21"/>
      <c r="J272" s="5">
        <f t="shared" si="32"/>
        <v>0</v>
      </c>
      <c r="K272" s="8" t="b">
        <f t="shared" si="33"/>
        <v>1</v>
      </c>
    </row>
    <row r="273" spans="1:11">
      <c r="A273" s="21" t="s">
        <v>340</v>
      </c>
      <c r="B273" s="22"/>
      <c r="C273" s="23"/>
      <c r="D273" s="21"/>
      <c r="E273" s="21"/>
      <c r="F273" s="21"/>
      <c r="G273" s="22"/>
      <c r="H273" s="21"/>
      <c r="I273" s="21"/>
      <c r="J273" s="5">
        <f t="shared" si="32"/>
        <v>0</v>
      </c>
      <c r="K273" s="8" t="b">
        <f t="shared" si="33"/>
        <v>1</v>
      </c>
    </row>
    <row r="274" spans="1:11">
      <c r="A274" s="21" t="s">
        <v>340</v>
      </c>
      <c r="B274" s="22"/>
      <c r="C274" s="23"/>
      <c r="D274" s="21"/>
      <c r="E274" s="21"/>
      <c r="F274" s="21"/>
      <c r="G274" s="22"/>
      <c r="H274" s="21"/>
      <c r="I274" s="21"/>
      <c r="J274" s="5">
        <f t="shared" si="32"/>
        <v>0</v>
      </c>
      <c r="K274" s="8" t="b">
        <f t="shared" si="33"/>
        <v>1</v>
      </c>
    </row>
    <row r="275" spans="1:11">
      <c r="A275" s="21" t="s">
        <v>340</v>
      </c>
      <c r="B275" s="22"/>
      <c r="C275" s="23"/>
      <c r="D275" s="21"/>
      <c r="E275" s="21"/>
      <c r="F275" s="21"/>
      <c r="G275" s="22"/>
      <c r="H275" s="21"/>
      <c r="I275" s="21"/>
      <c r="J275" s="5">
        <f t="shared" si="32"/>
        <v>0</v>
      </c>
      <c r="K275" s="8" t="b">
        <f t="shared" si="33"/>
        <v>1</v>
      </c>
    </row>
    <row r="276" spans="1:11">
      <c r="A276" s="21" t="s">
        <v>340</v>
      </c>
      <c r="B276" s="22"/>
      <c r="C276" s="23"/>
      <c r="D276" s="21"/>
      <c r="E276" s="21"/>
      <c r="F276" s="21"/>
      <c r="G276" s="22"/>
      <c r="H276" s="21"/>
      <c r="I276" s="21"/>
      <c r="J276" s="5">
        <f t="shared" si="32"/>
        <v>0</v>
      </c>
      <c r="K276" s="8" t="b">
        <f t="shared" si="33"/>
        <v>1</v>
      </c>
    </row>
    <row r="277" spans="1:11">
      <c r="A277" s="21" t="s">
        <v>340</v>
      </c>
      <c r="B277" s="22"/>
      <c r="C277" s="23"/>
      <c r="D277" s="21"/>
      <c r="E277" s="21"/>
      <c r="F277" s="21"/>
      <c r="G277" s="22"/>
      <c r="H277" s="21"/>
      <c r="I277" s="21"/>
      <c r="J277" s="5">
        <f t="shared" si="32"/>
        <v>0</v>
      </c>
      <c r="K277" s="8" t="b">
        <f t="shared" si="33"/>
        <v>1</v>
      </c>
    </row>
    <row r="278" spans="1:11">
      <c r="A278" s="21" t="s">
        <v>340</v>
      </c>
      <c r="B278" s="22"/>
      <c r="C278" s="23"/>
      <c r="D278" s="21"/>
      <c r="E278" s="21"/>
      <c r="F278" s="21"/>
      <c r="G278" s="22"/>
      <c r="H278" s="21"/>
      <c r="I278" s="21"/>
      <c r="J278" s="5">
        <f t="shared" si="32"/>
        <v>0</v>
      </c>
      <c r="K278" s="8" t="b">
        <f t="shared" si="33"/>
        <v>1</v>
      </c>
    </row>
    <row r="279" spans="1:11">
      <c r="A279" s="21" t="s">
        <v>340</v>
      </c>
      <c r="B279" s="22"/>
      <c r="C279" s="23"/>
      <c r="D279" s="21"/>
      <c r="E279" s="21"/>
      <c r="F279" s="21"/>
      <c r="G279" s="22"/>
      <c r="H279" s="21"/>
      <c r="I279" s="21"/>
      <c r="J279" s="5">
        <f t="shared" si="32"/>
        <v>0</v>
      </c>
      <c r="K279" s="8" t="b">
        <f t="shared" si="33"/>
        <v>1</v>
      </c>
    </row>
    <row r="280" spans="1:11">
      <c r="A280" s="21" t="s">
        <v>340</v>
      </c>
      <c r="B280" s="22"/>
      <c r="C280" s="23"/>
      <c r="D280" s="21"/>
      <c r="E280" s="21"/>
      <c r="F280" s="21"/>
      <c r="G280" s="22"/>
      <c r="H280" s="21"/>
      <c r="I280" s="21"/>
      <c r="J280" s="5">
        <f t="shared" si="32"/>
        <v>0</v>
      </c>
      <c r="K280" s="8" t="b">
        <f t="shared" si="33"/>
        <v>1</v>
      </c>
    </row>
    <row r="281" spans="1:11">
      <c r="A281" s="21" t="s">
        <v>340</v>
      </c>
      <c r="B281" s="22"/>
      <c r="C281" s="23"/>
      <c r="D281" s="21"/>
      <c r="E281" s="21"/>
      <c r="F281" s="21"/>
      <c r="G281" s="22"/>
      <c r="H281" s="21"/>
      <c r="I281" s="21"/>
      <c r="J281" s="5">
        <f t="shared" si="32"/>
        <v>0</v>
      </c>
      <c r="K281" s="8" t="b">
        <f t="shared" si="33"/>
        <v>1</v>
      </c>
    </row>
    <row r="282" spans="1:11">
      <c r="A282" s="21" t="s">
        <v>340</v>
      </c>
      <c r="B282" s="22"/>
      <c r="C282" s="23"/>
      <c r="D282" s="21"/>
      <c r="E282" s="21"/>
      <c r="F282" s="21"/>
      <c r="G282" s="22"/>
      <c r="H282" s="21"/>
      <c r="I282" s="21"/>
      <c r="J282" s="5">
        <f t="shared" si="32"/>
        <v>0</v>
      </c>
      <c r="K282" s="8" t="b">
        <f t="shared" si="33"/>
        <v>1</v>
      </c>
    </row>
    <row r="283" spans="1:11">
      <c r="A283" s="21" t="s">
        <v>340</v>
      </c>
      <c r="B283" s="22"/>
      <c r="C283" s="23"/>
      <c r="D283" s="21"/>
      <c r="E283" s="21"/>
      <c r="F283" s="21"/>
      <c r="G283" s="22"/>
      <c r="H283" s="21"/>
      <c r="I283" s="21"/>
      <c r="J283" s="5">
        <f t="shared" si="32"/>
        <v>0</v>
      </c>
      <c r="K283" s="8" t="b">
        <f t="shared" si="33"/>
        <v>1</v>
      </c>
    </row>
    <row r="284" spans="1:11">
      <c r="A284" s="21" t="s">
        <v>340</v>
      </c>
      <c r="B284" s="22"/>
      <c r="C284" s="23"/>
      <c r="D284" s="21"/>
      <c r="E284" s="21"/>
      <c r="F284" s="21"/>
      <c r="G284" s="22"/>
      <c r="H284" s="21"/>
      <c r="I284" s="21"/>
      <c r="J284" s="5">
        <f t="shared" si="32"/>
        <v>0</v>
      </c>
      <c r="K284" s="8" t="b">
        <f t="shared" si="33"/>
        <v>1</v>
      </c>
    </row>
    <row r="285" spans="1:11">
      <c r="A285" s="21" t="s">
        <v>340</v>
      </c>
      <c r="B285" s="22"/>
      <c r="C285" s="23"/>
      <c r="D285" s="21"/>
      <c r="E285" s="21"/>
      <c r="F285" s="21"/>
      <c r="G285" s="22"/>
      <c r="H285" s="21"/>
      <c r="I285" s="21"/>
      <c r="J285" s="5">
        <f t="shared" si="32"/>
        <v>0</v>
      </c>
      <c r="K285" s="8" t="b">
        <f t="shared" si="33"/>
        <v>1</v>
      </c>
    </row>
    <row r="286" spans="1:11">
      <c r="A286" s="21" t="s">
        <v>340</v>
      </c>
      <c r="B286" s="22"/>
      <c r="C286" s="23"/>
      <c r="D286" s="21"/>
      <c r="E286" s="21"/>
      <c r="F286" s="21"/>
      <c r="G286" s="22"/>
      <c r="H286" s="21"/>
      <c r="I286" s="21"/>
      <c r="J286" s="5">
        <f t="shared" si="32"/>
        <v>0</v>
      </c>
      <c r="K286" s="8" t="b">
        <f t="shared" si="33"/>
        <v>1</v>
      </c>
    </row>
    <row r="287" spans="1:11">
      <c r="A287" s="21" t="s">
        <v>340</v>
      </c>
      <c r="B287" s="22"/>
      <c r="C287" s="23"/>
      <c r="D287" s="21"/>
      <c r="E287" s="21"/>
      <c r="F287" s="21"/>
      <c r="G287" s="22"/>
      <c r="H287" s="21"/>
      <c r="I287" s="21"/>
      <c r="J287" s="5">
        <f t="shared" si="32"/>
        <v>0</v>
      </c>
      <c r="K287" s="8" t="b">
        <f t="shared" si="33"/>
        <v>1</v>
      </c>
    </row>
    <row r="288" spans="1:11">
      <c r="A288" s="21" t="s">
        <v>340</v>
      </c>
      <c r="B288" s="22"/>
      <c r="C288" s="23"/>
      <c r="D288" s="21"/>
      <c r="E288" s="21"/>
      <c r="F288" s="21"/>
      <c r="G288" s="22"/>
      <c r="H288" s="21"/>
      <c r="I288" s="21"/>
      <c r="J288" s="5">
        <f t="shared" si="32"/>
        <v>0</v>
      </c>
      <c r="K288" s="8" t="b">
        <f t="shared" si="33"/>
        <v>1</v>
      </c>
    </row>
    <row r="289" spans="1:11">
      <c r="A289" s="21" t="s">
        <v>340</v>
      </c>
      <c r="B289" s="22"/>
      <c r="C289" s="23"/>
      <c r="D289" s="21"/>
      <c r="E289" s="21"/>
      <c r="F289" s="21"/>
      <c r="G289" s="22"/>
      <c r="H289" s="21"/>
      <c r="I289" s="21"/>
      <c r="J289" s="5">
        <f t="shared" si="32"/>
        <v>0</v>
      </c>
      <c r="K289" s="8" t="b">
        <f t="shared" si="33"/>
        <v>1</v>
      </c>
    </row>
    <row r="290" spans="1:11">
      <c r="A290" s="21" t="s">
        <v>340</v>
      </c>
      <c r="B290" s="22"/>
      <c r="C290" s="23"/>
      <c r="D290" s="21"/>
      <c r="E290" s="21"/>
      <c r="F290" s="21"/>
      <c r="G290" s="22"/>
      <c r="H290" s="21"/>
      <c r="I290" s="21"/>
      <c r="J290" s="5">
        <f t="shared" si="32"/>
        <v>0</v>
      </c>
      <c r="K290" s="8" t="b">
        <f t="shared" si="33"/>
        <v>1</v>
      </c>
    </row>
    <row r="291" spans="1:11">
      <c r="A291" s="21" t="s">
        <v>340</v>
      </c>
      <c r="B291" s="22"/>
      <c r="C291" s="23"/>
      <c r="D291" s="21"/>
      <c r="E291" s="21"/>
      <c r="F291" s="21"/>
      <c r="G291" s="22"/>
      <c r="H291" s="21"/>
      <c r="I291" s="21"/>
      <c r="J291" s="5">
        <f t="shared" si="32"/>
        <v>0</v>
      </c>
      <c r="K291" s="8" t="b">
        <f t="shared" si="33"/>
        <v>1</v>
      </c>
    </row>
    <row r="292" spans="1:11">
      <c r="A292" s="21" t="s">
        <v>340</v>
      </c>
      <c r="B292" s="22"/>
      <c r="C292" s="23"/>
      <c r="D292" s="21"/>
      <c r="E292" s="21"/>
      <c r="F292" s="21"/>
      <c r="G292" s="22"/>
      <c r="H292" s="21"/>
      <c r="I292" s="21"/>
      <c r="J292" s="5">
        <f t="shared" si="32"/>
        <v>0</v>
      </c>
      <c r="K292" s="8" t="b">
        <f t="shared" si="33"/>
        <v>1</v>
      </c>
    </row>
    <row r="293" spans="1:11">
      <c r="A293" s="21" t="s">
        <v>340</v>
      </c>
      <c r="B293" s="22"/>
      <c r="C293" s="23"/>
      <c r="D293" s="21"/>
      <c r="E293" s="21"/>
      <c r="F293" s="21"/>
      <c r="G293" s="22"/>
      <c r="H293" s="21"/>
      <c r="I293" s="21"/>
      <c r="J293" s="5">
        <f t="shared" si="32"/>
        <v>0</v>
      </c>
      <c r="K293" s="8" t="b">
        <f t="shared" si="33"/>
        <v>1</v>
      </c>
    </row>
    <row r="294" spans="1:11">
      <c r="A294" s="21" t="s">
        <v>340</v>
      </c>
      <c r="B294" s="22"/>
      <c r="C294" s="23"/>
      <c r="D294" s="21"/>
      <c r="E294" s="21"/>
      <c r="F294" s="21"/>
      <c r="G294" s="22"/>
      <c r="H294" s="21"/>
      <c r="I294" s="21"/>
      <c r="J294" s="5">
        <f t="shared" si="32"/>
        <v>0</v>
      </c>
      <c r="K294" s="8" t="b">
        <f t="shared" si="33"/>
        <v>1</v>
      </c>
    </row>
    <row r="295" spans="1:11">
      <c r="A295" s="21" t="s">
        <v>340</v>
      </c>
      <c r="B295" s="22"/>
      <c r="C295" s="23"/>
      <c r="D295" s="21"/>
      <c r="E295" s="21"/>
      <c r="F295" s="21"/>
      <c r="G295" s="22"/>
      <c r="H295" s="21"/>
      <c r="I295" s="21"/>
      <c r="J295" s="5">
        <f t="shared" si="32"/>
        <v>0</v>
      </c>
      <c r="K295" s="8" t="b">
        <f t="shared" si="33"/>
        <v>1</v>
      </c>
    </row>
    <row r="296" spans="1:11">
      <c r="A296" s="21" t="s">
        <v>340</v>
      </c>
      <c r="B296" s="22"/>
      <c r="C296" s="23"/>
      <c r="D296" s="21"/>
      <c r="E296" s="21"/>
      <c r="F296" s="21"/>
      <c r="G296" s="22"/>
      <c r="H296" s="21"/>
      <c r="I296" s="21"/>
      <c r="J296" s="5">
        <f t="shared" si="32"/>
        <v>0</v>
      </c>
      <c r="K296" s="8" t="b">
        <f t="shared" si="33"/>
        <v>1</v>
      </c>
    </row>
    <row r="297" spans="1:11">
      <c r="A297" s="21" t="s">
        <v>340</v>
      </c>
      <c r="B297" s="22"/>
      <c r="C297" s="23"/>
      <c r="D297" s="21"/>
      <c r="E297" s="21"/>
      <c r="F297" s="21"/>
      <c r="G297" s="22"/>
      <c r="H297" s="21"/>
      <c r="I297" s="21"/>
      <c r="J297" s="5">
        <f t="shared" si="32"/>
        <v>0</v>
      </c>
      <c r="K297" s="8" t="b">
        <f t="shared" si="33"/>
        <v>1</v>
      </c>
    </row>
  </sheetData>
  <autoFilter ref="A211:K297" xr:uid="{7D761ED2-4D39-439C-9CFF-A41C833BE5A8}">
    <filterColumn colId="1">
      <filters>
        <dateGroupItem year="2024" month="7" dateTimeGrouping="month"/>
      </filters>
    </filterColumn>
  </autoFilter>
  <mergeCells count="12">
    <mergeCell ref="A262:K262"/>
    <mergeCell ref="A263:K263"/>
    <mergeCell ref="A1:K1"/>
    <mergeCell ref="A2:K2"/>
    <mergeCell ref="A4:K4"/>
    <mergeCell ref="A68:K68"/>
    <mergeCell ref="A69:K69"/>
    <mergeCell ref="A205:K205"/>
    <mergeCell ref="A206:K206"/>
    <mergeCell ref="A152:K152"/>
    <mergeCell ref="A151:K151"/>
    <mergeCell ref="A71:K71"/>
  </mergeCells>
  <conditionalFormatting sqref="K1:K2 K4 K7:K66 K68:K69 K71 K74:K148">
    <cfRule type="cellIs" dxfId="29" priority="7" operator="equal">
      <formula>TRUE</formula>
    </cfRule>
    <cfRule type="cellIs" dxfId="28" priority="8" operator="equal">
      <formula>FALSE</formula>
    </cfRule>
  </conditionalFormatting>
  <conditionalFormatting sqref="K157:K204 K211:K261 K268:K297">
    <cfRule type="cellIs" dxfId="27" priority="3" operator="equal">
      <formula>TRUE</formula>
    </cfRule>
    <cfRule type="cellIs" dxfId="26" priority="4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77E9-DC74-4F23-929B-54231725A0F5}">
  <sheetPr codeName="Planilha32" filterMode="1"/>
  <dimension ref="A1:K259"/>
  <sheetViews>
    <sheetView topLeftCell="A183" workbookViewId="0">
      <selection activeCell="G217" sqref="G217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350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25">
        <v>129</v>
      </c>
      <c r="B8" s="26">
        <v>44628</v>
      </c>
      <c r="C8" s="27">
        <v>1</v>
      </c>
      <c r="D8" s="25">
        <v>5.87</v>
      </c>
      <c r="E8" s="25">
        <v>0</v>
      </c>
      <c r="F8" s="25">
        <v>10</v>
      </c>
      <c r="G8" s="26">
        <v>44629</v>
      </c>
      <c r="H8" s="25"/>
      <c r="I8" s="25"/>
      <c r="J8" s="25">
        <f>F8-E8</f>
        <v>10</v>
      </c>
      <c r="K8" s="28" t="b">
        <f>E8=F8</f>
        <v>0</v>
      </c>
    </row>
    <row r="9" spans="1:11">
      <c r="A9" s="5">
        <v>129</v>
      </c>
      <c r="B9" s="6">
        <v>44630</v>
      </c>
      <c r="C9" s="7">
        <v>0.7</v>
      </c>
      <c r="D9" s="5">
        <v>8.39</v>
      </c>
      <c r="E9" s="5">
        <v>10</v>
      </c>
      <c r="F9" s="5">
        <v>29.9</v>
      </c>
      <c r="G9" s="6">
        <v>44630</v>
      </c>
      <c r="H9" s="5"/>
      <c r="I9" s="5"/>
      <c r="J9" s="5">
        <f>F9-E9</f>
        <v>19.899999999999999</v>
      </c>
      <c r="K9" s="8" t="b">
        <f>E9=F8</f>
        <v>1</v>
      </c>
    </row>
    <row r="10" spans="1:11">
      <c r="A10" s="5">
        <v>129</v>
      </c>
      <c r="B10" s="6">
        <v>44640</v>
      </c>
      <c r="C10" s="7">
        <v>0.7</v>
      </c>
      <c r="D10" s="5">
        <v>8.39</v>
      </c>
      <c r="E10" s="5">
        <v>47</v>
      </c>
      <c r="F10" s="5">
        <v>66</v>
      </c>
      <c r="G10" s="6">
        <v>44640</v>
      </c>
      <c r="H10" s="5"/>
      <c r="I10" s="5"/>
      <c r="J10" s="5">
        <f>F10-E10</f>
        <v>19</v>
      </c>
      <c r="K10" s="8" t="b">
        <f t="shared" ref="K10:K41" si="0">E10=F9</f>
        <v>0</v>
      </c>
    </row>
    <row r="11" spans="1:11">
      <c r="A11" s="5">
        <v>129</v>
      </c>
      <c r="B11" s="6">
        <v>44650</v>
      </c>
      <c r="C11" s="7">
        <v>0.7</v>
      </c>
      <c r="D11" s="5">
        <v>8.2899999999999991</v>
      </c>
      <c r="E11" s="5">
        <v>66</v>
      </c>
      <c r="F11" s="5">
        <v>86.1</v>
      </c>
      <c r="G11" s="6">
        <v>44650</v>
      </c>
      <c r="H11" s="5"/>
      <c r="I11" s="5"/>
      <c r="J11" s="5">
        <f>F11-E11</f>
        <v>20.099999999999994</v>
      </c>
      <c r="K11" s="8" t="b">
        <f t="shared" si="0"/>
        <v>1</v>
      </c>
    </row>
    <row r="12" spans="1:11">
      <c r="A12" s="39">
        <v>129</v>
      </c>
      <c r="B12" s="40"/>
      <c r="C12" s="41"/>
      <c r="D12" s="39"/>
      <c r="E12" s="39"/>
      <c r="F12" s="39"/>
      <c r="G12" s="40"/>
      <c r="H12" s="39"/>
      <c r="I12" s="39"/>
      <c r="J12" s="39">
        <f t="shared" ref="J12:J18" si="1">F12-E12</f>
        <v>0</v>
      </c>
      <c r="K12" s="8" t="b">
        <f t="shared" si="0"/>
        <v>0</v>
      </c>
    </row>
    <row r="13" spans="1:11">
      <c r="A13" s="39">
        <v>129</v>
      </c>
      <c r="B13" s="40"/>
      <c r="C13" s="41"/>
      <c r="D13" s="39"/>
      <c r="E13" s="39"/>
      <c r="F13" s="39"/>
      <c r="G13" s="40"/>
      <c r="H13" s="39"/>
      <c r="I13" s="39"/>
      <c r="J13" s="39">
        <f t="shared" si="1"/>
        <v>0</v>
      </c>
      <c r="K13" s="8" t="b">
        <f t="shared" si="0"/>
        <v>1</v>
      </c>
    </row>
    <row r="14" spans="1:11">
      <c r="A14" s="39">
        <v>129</v>
      </c>
      <c r="B14" s="40"/>
      <c r="C14" s="41"/>
      <c r="D14" s="39"/>
      <c r="E14" s="39"/>
      <c r="F14" s="39"/>
      <c r="G14" s="40"/>
      <c r="H14" s="39"/>
      <c r="I14" s="39"/>
      <c r="J14" s="39">
        <f t="shared" si="1"/>
        <v>0</v>
      </c>
      <c r="K14" s="8" t="b">
        <f t="shared" si="0"/>
        <v>1</v>
      </c>
    </row>
    <row r="15" spans="1:11">
      <c r="A15" s="39">
        <v>129</v>
      </c>
      <c r="B15" s="40"/>
      <c r="C15" s="41"/>
      <c r="D15" s="39"/>
      <c r="E15" s="39"/>
      <c r="F15" s="39"/>
      <c r="G15" s="40"/>
      <c r="H15" s="39"/>
      <c r="I15" s="39"/>
      <c r="J15" s="39">
        <f t="shared" si="1"/>
        <v>0</v>
      </c>
      <c r="K15" s="8" t="b">
        <f t="shared" si="0"/>
        <v>1</v>
      </c>
    </row>
    <row r="16" spans="1:11">
      <c r="A16" s="39">
        <v>129</v>
      </c>
      <c r="B16" s="40"/>
      <c r="C16" s="41"/>
      <c r="D16" s="39"/>
      <c r="E16" s="39"/>
      <c r="F16" s="39"/>
      <c r="G16" s="40"/>
      <c r="H16" s="39"/>
      <c r="I16" s="39"/>
      <c r="J16" s="39">
        <f t="shared" si="1"/>
        <v>0</v>
      </c>
      <c r="K16" s="8" t="b">
        <f t="shared" si="0"/>
        <v>1</v>
      </c>
    </row>
    <row r="17" spans="1:11">
      <c r="A17" s="5">
        <v>129</v>
      </c>
      <c r="B17" s="6">
        <v>44675</v>
      </c>
      <c r="C17" s="7">
        <v>0.55000000000000004</v>
      </c>
      <c r="D17" s="5">
        <v>10.67</v>
      </c>
      <c r="E17" s="5">
        <v>203.3</v>
      </c>
      <c r="F17" s="5">
        <v>220.5</v>
      </c>
      <c r="G17" s="6">
        <v>44675</v>
      </c>
      <c r="H17" s="5"/>
      <c r="I17" s="5"/>
      <c r="J17" s="5">
        <f t="shared" si="1"/>
        <v>17.199999999999989</v>
      </c>
      <c r="K17" s="8" t="b">
        <f>E17=F16</f>
        <v>0</v>
      </c>
    </row>
    <row r="18" spans="1:11">
      <c r="A18" s="5">
        <v>129</v>
      </c>
      <c r="B18" s="6">
        <v>44678</v>
      </c>
      <c r="C18" s="7">
        <v>0.55000000000000004</v>
      </c>
      <c r="D18" s="5">
        <v>10.67</v>
      </c>
      <c r="E18" s="5">
        <v>220.5</v>
      </c>
      <c r="F18" s="5">
        <v>236.2</v>
      </c>
      <c r="G18" s="6">
        <v>44678</v>
      </c>
      <c r="H18" s="5"/>
      <c r="I18" s="5"/>
      <c r="J18" s="5">
        <f t="shared" si="1"/>
        <v>15.699999999999989</v>
      </c>
      <c r="K18" s="8" t="b">
        <f t="shared" si="0"/>
        <v>1</v>
      </c>
    </row>
    <row r="19" spans="1:11">
      <c r="A19" s="5">
        <v>129</v>
      </c>
      <c r="B19" s="6">
        <v>44680</v>
      </c>
      <c r="C19" s="7">
        <v>0.55000000000000004</v>
      </c>
      <c r="D19" s="5">
        <v>10.67</v>
      </c>
      <c r="E19" s="5">
        <v>236.2</v>
      </c>
      <c r="F19" s="5">
        <v>253.7</v>
      </c>
      <c r="G19" s="6">
        <v>44680</v>
      </c>
      <c r="H19" s="5"/>
      <c r="I19" s="5"/>
      <c r="J19" s="5">
        <f t="shared" ref="J19:J43" si="2">F19-E19</f>
        <v>17.5</v>
      </c>
      <c r="K19" s="8" t="b">
        <f t="shared" si="0"/>
        <v>1</v>
      </c>
    </row>
    <row r="20" spans="1:11">
      <c r="A20" s="5">
        <v>129</v>
      </c>
      <c r="B20" s="6">
        <v>44683</v>
      </c>
      <c r="C20" s="7">
        <v>0.55000000000000004</v>
      </c>
      <c r="D20" s="5">
        <v>10.67</v>
      </c>
      <c r="E20" s="5">
        <v>263.7</v>
      </c>
      <c r="F20" s="5">
        <v>277.3</v>
      </c>
      <c r="G20" s="6">
        <v>44683</v>
      </c>
      <c r="H20" s="5"/>
      <c r="I20" s="5"/>
      <c r="J20" s="5">
        <f t="shared" si="2"/>
        <v>13.600000000000023</v>
      </c>
      <c r="K20" s="8" t="b">
        <f>E20=F19</f>
        <v>0</v>
      </c>
    </row>
    <row r="21" spans="1:11">
      <c r="A21" s="5">
        <v>129</v>
      </c>
      <c r="B21" s="6">
        <v>44686</v>
      </c>
      <c r="C21" s="7">
        <v>0.55000000000000004</v>
      </c>
      <c r="D21" s="5">
        <v>10.67</v>
      </c>
      <c r="E21" s="5">
        <v>277.3</v>
      </c>
      <c r="F21" s="5">
        <v>288.60000000000002</v>
      </c>
      <c r="G21" s="6">
        <v>44686</v>
      </c>
      <c r="H21" s="5"/>
      <c r="I21" s="5"/>
      <c r="J21" s="5">
        <f t="shared" si="2"/>
        <v>11.300000000000011</v>
      </c>
      <c r="K21" s="8" t="b">
        <f t="shared" si="0"/>
        <v>1</v>
      </c>
    </row>
    <row r="22" spans="1:11">
      <c r="A22" s="5">
        <v>129</v>
      </c>
      <c r="B22" s="6">
        <v>44690</v>
      </c>
      <c r="C22" s="7">
        <v>0.65</v>
      </c>
      <c r="D22" s="5">
        <v>9.0299999999999994</v>
      </c>
      <c r="E22" s="5">
        <v>288.60000000000002</v>
      </c>
      <c r="F22" s="5">
        <v>307.10000000000002</v>
      </c>
      <c r="G22" s="6">
        <v>44690</v>
      </c>
      <c r="H22" s="5"/>
      <c r="I22" s="5"/>
      <c r="J22" s="5">
        <f t="shared" si="2"/>
        <v>18.5</v>
      </c>
      <c r="K22" s="8" t="b">
        <f t="shared" si="0"/>
        <v>1</v>
      </c>
    </row>
    <row r="23" spans="1:11">
      <c r="A23" s="5">
        <v>129</v>
      </c>
      <c r="B23" s="6">
        <v>44693</v>
      </c>
      <c r="C23" s="7">
        <v>0.65</v>
      </c>
      <c r="D23" s="5">
        <v>9.0299999999999994</v>
      </c>
      <c r="E23" s="5">
        <v>307.10000000000002</v>
      </c>
      <c r="F23" s="5">
        <v>324.8</v>
      </c>
      <c r="G23" s="6">
        <v>44693</v>
      </c>
      <c r="H23" s="5"/>
      <c r="I23" s="5"/>
      <c r="J23" s="5">
        <f t="shared" si="2"/>
        <v>17.699999999999989</v>
      </c>
      <c r="K23" s="8" t="b">
        <f t="shared" si="0"/>
        <v>1</v>
      </c>
    </row>
    <row r="24" spans="1:11">
      <c r="A24" s="5">
        <v>129</v>
      </c>
      <c r="B24" s="6">
        <v>44696</v>
      </c>
      <c r="C24" s="7">
        <v>0.65</v>
      </c>
      <c r="D24" s="5">
        <v>9.0299999999999994</v>
      </c>
      <c r="E24" s="5">
        <v>324.8</v>
      </c>
      <c r="F24" s="5">
        <v>342.3</v>
      </c>
      <c r="G24" s="6">
        <v>44696</v>
      </c>
      <c r="H24" s="5"/>
      <c r="I24" s="5"/>
      <c r="J24" s="5">
        <f t="shared" si="2"/>
        <v>17.5</v>
      </c>
      <c r="K24" s="8" t="b">
        <f t="shared" si="0"/>
        <v>1</v>
      </c>
    </row>
    <row r="25" spans="1:11">
      <c r="A25" s="5">
        <v>129</v>
      </c>
      <c r="B25" s="6">
        <v>44698</v>
      </c>
      <c r="C25" s="7">
        <v>0.65</v>
      </c>
      <c r="D25" s="5">
        <v>9.0299999999999994</v>
      </c>
      <c r="E25" s="5">
        <v>342.3</v>
      </c>
      <c r="F25" s="5">
        <v>359.8</v>
      </c>
      <c r="G25" s="6">
        <v>44698</v>
      </c>
      <c r="H25" s="5"/>
      <c r="I25" s="5"/>
      <c r="J25" s="5">
        <f t="shared" si="2"/>
        <v>17.5</v>
      </c>
      <c r="K25" s="8" t="b">
        <f t="shared" si="0"/>
        <v>1</v>
      </c>
    </row>
    <row r="26" spans="1:11">
      <c r="A26" s="5">
        <v>129</v>
      </c>
      <c r="B26" s="6">
        <v>44700</v>
      </c>
      <c r="C26" s="7">
        <v>0.65</v>
      </c>
      <c r="D26" s="5">
        <v>9.0299999999999994</v>
      </c>
      <c r="E26" s="5">
        <v>359.8</v>
      </c>
      <c r="F26" s="5">
        <v>377.4</v>
      </c>
      <c r="G26" s="6">
        <v>44700</v>
      </c>
      <c r="H26" s="5"/>
      <c r="I26" s="5"/>
      <c r="J26" s="5">
        <f t="shared" si="2"/>
        <v>17.599999999999966</v>
      </c>
      <c r="K26" s="8" t="b">
        <f t="shared" si="0"/>
        <v>1</v>
      </c>
    </row>
    <row r="27" spans="1:11">
      <c r="A27" s="5">
        <v>129</v>
      </c>
      <c r="B27" s="6">
        <v>44702</v>
      </c>
      <c r="C27" s="7">
        <v>0.65</v>
      </c>
      <c r="D27" s="5">
        <v>9.0299999999999994</v>
      </c>
      <c r="E27" s="5">
        <v>377.4</v>
      </c>
      <c r="F27" s="5">
        <v>394.9</v>
      </c>
      <c r="G27" s="6">
        <v>44702</v>
      </c>
      <c r="H27" s="5"/>
      <c r="I27" s="5"/>
      <c r="J27" s="5">
        <f t="shared" si="2"/>
        <v>17.5</v>
      </c>
      <c r="K27" s="8" t="b">
        <f t="shared" si="0"/>
        <v>1</v>
      </c>
    </row>
    <row r="28" spans="1:11">
      <c r="A28" s="5">
        <v>129</v>
      </c>
      <c r="B28" s="6">
        <v>44704</v>
      </c>
      <c r="C28" s="7">
        <v>0.65</v>
      </c>
      <c r="D28" s="5">
        <v>9.0299999999999994</v>
      </c>
      <c r="E28" s="5">
        <v>394.9</v>
      </c>
      <c r="F28" s="5">
        <v>412.5</v>
      </c>
      <c r="G28" s="6">
        <v>44704</v>
      </c>
      <c r="H28" s="5"/>
      <c r="I28" s="5"/>
      <c r="J28" s="5">
        <f t="shared" si="2"/>
        <v>17.600000000000023</v>
      </c>
      <c r="K28" s="8" t="b">
        <f t="shared" si="0"/>
        <v>1</v>
      </c>
    </row>
    <row r="29" spans="1:11">
      <c r="A29" s="5">
        <v>129</v>
      </c>
      <c r="B29" s="6">
        <v>44706</v>
      </c>
      <c r="C29" s="7">
        <v>0.65</v>
      </c>
      <c r="D29" s="5">
        <v>9.0299999999999994</v>
      </c>
      <c r="E29" s="5">
        <v>412.5</v>
      </c>
      <c r="F29" s="5">
        <v>430.1</v>
      </c>
      <c r="G29" s="6">
        <v>44706</v>
      </c>
      <c r="H29" s="5"/>
      <c r="I29" s="5"/>
      <c r="J29" s="5">
        <f t="shared" si="2"/>
        <v>17.600000000000023</v>
      </c>
      <c r="K29" s="8" t="b">
        <f t="shared" si="0"/>
        <v>1</v>
      </c>
    </row>
    <row r="30" spans="1:11">
      <c r="A30" s="5">
        <v>129</v>
      </c>
      <c r="B30" s="6">
        <v>44708</v>
      </c>
      <c r="C30" s="7">
        <v>0.65</v>
      </c>
      <c r="D30" s="5">
        <v>9.0299999999999994</v>
      </c>
      <c r="E30" s="5">
        <v>430.1</v>
      </c>
      <c r="F30" s="5">
        <v>447.5</v>
      </c>
      <c r="G30" s="6">
        <v>44708</v>
      </c>
      <c r="H30" s="5"/>
      <c r="I30" s="5"/>
      <c r="J30" s="5">
        <f t="shared" si="2"/>
        <v>17.399999999999977</v>
      </c>
      <c r="K30" s="8" t="b">
        <f t="shared" si="0"/>
        <v>1</v>
      </c>
    </row>
    <row r="31" spans="1:11">
      <c r="A31" s="5">
        <v>129</v>
      </c>
      <c r="B31" s="6">
        <v>44710</v>
      </c>
      <c r="C31" s="7">
        <v>0.65</v>
      </c>
      <c r="D31" s="5">
        <v>9.0299999999999994</v>
      </c>
      <c r="E31" s="5">
        <v>447.5</v>
      </c>
      <c r="F31" s="5">
        <v>465.1</v>
      </c>
      <c r="G31" s="6">
        <v>44710</v>
      </c>
      <c r="H31" s="5"/>
      <c r="I31" s="5"/>
      <c r="J31" s="5">
        <f t="shared" si="2"/>
        <v>17.600000000000023</v>
      </c>
      <c r="K31" s="8" t="b">
        <f t="shared" si="0"/>
        <v>1</v>
      </c>
    </row>
    <row r="32" spans="1:11">
      <c r="A32" s="5">
        <v>129</v>
      </c>
      <c r="B32" s="6">
        <v>44712</v>
      </c>
      <c r="C32" s="7">
        <v>0.65</v>
      </c>
      <c r="D32" s="5">
        <v>9.0299999999999994</v>
      </c>
      <c r="E32" s="5">
        <v>465.1</v>
      </c>
      <c r="F32" s="5">
        <v>482.6</v>
      </c>
      <c r="G32" s="6">
        <v>44712</v>
      </c>
      <c r="H32" s="5"/>
      <c r="I32" s="5"/>
      <c r="J32" s="5">
        <f t="shared" si="2"/>
        <v>17.5</v>
      </c>
      <c r="K32" s="8" t="b">
        <f t="shared" si="0"/>
        <v>1</v>
      </c>
    </row>
    <row r="33" spans="1:11">
      <c r="A33" s="5">
        <v>129</v>
      </c>
      <c r="B33" s="6">
        <v>44714</v>
      </c>
      <c r="C33" s="7">
        <v>0.65</v>
      </c>
      <c r="D33" s="5">
        <v>9.0299999999999994</v>
      </c>
      <c r="E33" s="5">
        <v>482.6</v>
      </c>
      <c r="F33" s="5">
        <v>500.2</v>
      </c>
      <c r="G33" s="6">
        <v>44714</v>
      </c>
      <c r="H33" s="5"/>
      <c r="I33" s="5"/>
      <c r="J33" s="5">
        <f t="shared" si="2"/>
        <v>17.599999999999966</v>
      </c>
      <c r="K33" s="8" t="b">
        <f t="shared" si="0"/>
        <v>1</v>
      </c>
    </row>
    <row r="34" spans="1:11">
      <c r="A34" s="5">
        <v>129</v>
      </c>
      <c r="B34" s="6">
        <v>44716</v>
      </c>
      <c r="C34" s="7">
        <v>0.65</v>
      </c>
      <c r="D34" s="5">
        <v>9.0299999999999994</v>
      </c>
      <c r="E34" s="5">
        <v>500.2</v>
      </c>
      <c r="F34" s="5">
        <v>517.79999999999995</v>
      </c>
      <c r="G34" s="6">
        <v>44716</v>
      </c>
      <c r="H34" s="5"/>
      <c r="I34" s="5"/>
      <c r="J34" s="5">
        <f t="shared" si="2"/>
        <v>17.599999999999966</v>
      </c>
      <c r="K34" s="8" t="b">
        <f t="shared" si="0"/>
        <v>1</v>
      </c>
    </row>
    <row r="35" spans="1:11">
      <c r="A35" s="5">
        <v>129</v>
      </c>
      <c r="B35" s="6">
        <v>44718</v>
      </c>
      <c r="C35" s="7">
        <v>0.65</v>
      </c>
      <c r="D35" s="5">
        <v>9.0299999999999994</v>
      </c>
      <c r="E35" s="5">
        <v>517.79999999999995</v>
      </c>
      <c r="F35" s="5">
        <v>536.4</v>
      </c>
      <c r="G35" s="6">
        <v>44718</v>
      </c>
      <c r="H35" s="5"/>
      <c r="I35" s="5"/>
      <c r="J35" s="5">
        <f t="shared" si="2"/>
        <v>18.600000000000023</v>
      </c>
      <c r="K35" s="8" t="b">
        <f t="shared" si="0"/>
        <v>1</v>
      </c>
    </row>
    <row r="36" spans="1:11">
      <c r="A36" s="5">
        <v>129</v>
      </c>
      <c r="B36" s="6">
        <v>44721</v>
      </c>
      <c r="C36" s="7">
        <v>0.65</v>
      </c>
      <c r="D36" s="5">
        <v>9.0299999999999994</v>
      </c>
      <c r="E36" s="5">
        <v>536.4</v>
      </c>
      <c r="F36" s="5">
        <v>554</v>
      </c>
      <c r="G36" s="6">
        <v>44721</v>
      </c>
      <c r="H36" s="5"/>
      <c r="I36" s="5"/>
      <c r="J36" s="5">
        <f t="shared" si="2"/>
        <v>17.600000000000023</v>
      </c>
      <c r="K36" s="8" t="b">
        <f t="shared" si="0"/>
        <v>1</v>
      </c>
    </row>
    <row r="37" spans="1:11">
      <c r="A37" s="5">
        <v>129</v>
      </c>
      <c r="B37" s="6">
        <v>44724</v>
      </c>
      <c r="C37" s="7">
        <v>0.65</v>
      </c>
      <c r="D37" s="5">
        <v>9.0299999999999994</v>
      </c>
      <c r="E37" s="5">
        <v>554</v>
      </c>
      <c r="F37" s="5">
        <v>565.70000000000005</v>
      </c>
      <c r="G37" s="6">
        <v>44724</v>
      </c>
      <c r="H37" s="5"/>
      <c r="I37" s="5"/>
      <c r="J37" s="5">
        <f t="shared" si="2"/>
        <v>11.700000000000045</v>
      </c>
      <c r="K37" s="8" t="b">
        <f t="shared" si="0"/>
        <v>1</v>
      </c>
    </row>
    <row r="38" spans="1:11">
      <c r="A38" s="5">
        <v>129</v>
      </c>
      <c r="B38" s="6">
        <v>44725</v>
      </c>
      <c r="C38" s="7">
        <v>0.65</v>
      </c>
      <c r="D38" s="5">
        <v>9.0299999999999994</v>
      </c>
      <c r="E38" s="5">
        <v>565.70000000000005</v>
      </c>
      <c r="F38" s="5">
        <v>576.79999999999995</v>
      </c>
      <c r="G38" s="6">
        <v>44725</v>
      </c>
      <c r="H38" s="5"/>
      <c r="I38" s="5"/>
      <c r="J38" s="5">
        <f t="shared" si="2"/>
        <v>11.099999999999909</v>
      </c>
      <c r="K38" s="8" t="b">
        <f t="shared" si="0"/>
        <v>1</v>
      </c>
    </row>
    <row r="39" spans="1:11">
      <c r="A39" s="5">
        <v>129</v>
      </c>
      <c r="B39" s="6">
        <v>44727</v>
      </c>
      <c r="C39" s="7">
        <v>0.65</v>
      </c>
      <c r="D39" s="5">
        <v>9.0299999999999994</v>
      </c>
      <c r="E39" s="5">
        <v>576.79999999999995</v>
      </c>
      <c r="F39" s="5">
        <v>588.1</v>
      </c>
      <c r="G39" s="6">
        <v>44727</v>
      </c>
      <c r="H39" s="5"/>
      <c r="I39" s="5"/>
      <c r="J39" s="5">
        <f t="shared" si="2"/>
        <v>11.300000000000068</v>
      </c>
      <c r="K39" s="8" t="b">
        <f t="shared" si="0"/>
        <v>1</v>
      </c>
    </row>
    <row r="40" spans="1:11">
      <c r="A40" s="5">
        <v>129</v>
      </c>
      <c r="B40" s="6">
        <v>44728</v>
      </c>
      <c r="C40" s="7">
        <v>0.65</v>
      </c>
      <c r="D40" s="5">
        <v>9.0299999999999994</v>
      </c>
      <c r="E40" s="5">
        <v>588.1</v>
      </c>
      <c r="F40" s="5">
        <v>599.20000000000005</v>
      </c>
      <c r="G40" s="6">
        <v>44728</v>
      </c>
      <c r="H40" s="5"/>
      <c r="I40" s="5"/>
      <c r="J40" s="5">
        <f t="shared" si="2"/>
        <v>11.100000000000023</v>
      </c>
      <c r="K40" s="8" t="b">
        <f t="shared" si="0"/>
        <v>1</v>
      </c>
    </row>
    <row r="41" spans="1:11">
      <c r="A41" s="5">
        <v>129</v>
      </c>
      <c r="B41" s="6">
        <v>44732</v>
      </c>
      <c r="C41" s="7">
        <v>0.65</v>
      </c>
      <c r="D41" s="5">
        <v>9.0299999999999994</v>
      </c>
      <c r="E41" s="5">
        <v>599.20000000000005</v>
      </c>
      <c r="F41" s="5">
        <v>609.20000000000005</v>
      </c>
      <c r="G41" s="6">
        <v>44732</v>
      </c>
      <c r="H41" s="5"/>
      <c r="I41" s="5"/>
      <c r="J41" s="5">
        <f t="shared" si="2"/>
        <v>10</v>
      </c>
      <c r="K41" s="8" t="b">
        <f t="shared" si="0"/>
        <v>1</v>
      </c>
    </row>
    <row r="42" spans="1:11">
      <c r="A42" s="5">
        <v>129</v>
      </c>
      <c r="B42" s="6">
        <v>44733</v>
      </c>
      <c r="C42" s="7">
        <v>0.65</v>
      </c>
      <c r="D42" s="5">
        <v>9.0299999999999994</v>
      </c>
      <c r="E42" s="5">
        <v>609.20000000000005</v>
      </c>
      <c r="F42" s="5">
        <v>617.20000000000005</v>
      </c>
      <c r="G42" s="6">
        <v>44733</v>
      </c>
      <c r="H42" s="5"/>
      <c r="I42" s="5"/>
      <c r="J42" s="5">
        <f t="shared" si="2"/>
        <v>8</v>
      </c>
      <c r="K42" s="8" t="b">
        <f>E42=F41</f>
        <v>1</v>
      </c>
    </row>
    <row r="43" spans="1:11">
      <c r="A43" s="5">
        <v>129</v>
      </c>
      <c r="B43" s="6"/>
      <c r="C43" s="7"/>
      <c r="D43" s="5"/>
      <c r="E43" s="5"/>
      <c r="F43" s="5"/>
      <c r="G43" s="6"/>
      <c r="H43" s="5"/>
      <c r="I43" s="5"/>
      <c r="J43" s="5">
        <f t="shared" si="2"/>
        <v>0</v>
      </c>
      <c r="K43" s="8" t="b">
        <f>E43=F42</f>
        <v>0</v>
      </c>
    </row>
    <row r="45" spans="1:11" ht="26.25">
      <c r="A45" s="193" t="s">
        <v>350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5"/>
    </row>
    <row r="46" spans="1:11" ht="26.25">
      <c r="A46" s="176" t="s">
        <v>17</v>
      </c>
      <c r="B46" s="196"/>
      <c r="C46" s="196"/>
      <c r="D46" s="196"/>
      <c r="E46" s="196"/>
      <c r="F46" s="196"/>
      <c r="G46" s="196"/>
      <c r="H46" s="196"/>
      <c r="I46" s="196"/>
      <c r="J46" s="196"/>
      <c r="K46" s="197"/>
    </row>
    <row r="47" spans="1:11" ht="15.75" thickBot="1">
      <c r="A47" s="5"/>
      <c r="B47" s="6"/>
      <c r="C47" s="7"/>
      <c r="D47" s="5"/>
      <c r="E47" s="5"/>
      <c r="F47" s="5"/>
      <c r="G47" s="6"/>
      <c r="H47" s="5"/>
      <c r="I47" s="5"/>
      <c r="J47" s="5"/>
    </row>
    <row r="48" spans="1:11" ht="15.75" thickBot="1">
      <c r="A48" s="132" t="s">
        <v>2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4"/>
    </row>
    <row r="49" spans="1:11" ht="19.5" thickBot="1">
      <c r="A49" s="1" t="s">
        <v>3</v>
      </c>
      <c r="B49" s="1"/>
      <c r="C49" s="1"/>
      <c r="D49" s="1"/>
      <c r="E49" s="1"/>
      <c r="F49" s="1"/>
      <c r="G49" s="1"/>
      <c r="H49" s="1"/>
      <c r="I49" s="1"/>
    </row>
    <row r="50" spans="1:11" ht="30.75" thickBot="1">
      <c r="A50" s="2" t="s">
        <v>4</v>
      </c>
      <c r="B50" s="3" t="s">
        <v>5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10</v>
      </c>
      <c r="H50" s="3" t="s">
        <v>21</v>
      </c>
      <c r="I50" s="4" t="s">
        <v>22</v>
      </c>
      <c r="J50" s="4" t="s">
        <v>11</v>
      </c>
      <c r="K50" s="4" t="s">
        <v>12</v>
      </c>
    </row>
    <row r="51" spans="1:11">
      <c r="A51" s="5">
        <v>129</v>
      </c>
      <c r="B51" s="6">
        <v>44931</v>
      </c>
      <c r="C51" s="7">
        <v>1</v>
      </c>
      <c r="D51" s="5">
        <v>5.87</v>
      </c>
      <c r="E51" s="5">
        <v>0</v>
      </c>
      <c r="F51" s="5">
        <v>5.4</v>
      </c>
      <c r="G51" s="6">
        <v>44931</v>
      </c>
      <c r="H51" s="5"/>
      <c r="I51" s="5"/>
      <c r="J51" s="5">
        <f t="shared" ref="J51:J55" si="3">F51-E51</f>
        <v>5.4</v>
      </c>
      <c r="K51" s="8" t="b">
        <f t="shared" ref="K51" si="4">E51=F51</f>
        <v>0</v>
      </c>
    </row>
    <row r="52" spans="1:11">
      <c r="A52" s="5">
        <v>129</v>
      </c>
      <c r="B52" s="6">
        <v>44958</v>
      </c>
      <c r="C52" s="7">
        <v>0.8</v>
      </c>
      <c r="D52" s="5">
        <v>7.34</v>
      </c>
      <c r="E52" s="5">
        <v>9.6999999999999993</v>
      </c>
      <c r="F52" s="5">
        <v>15</v>
      </c>
      <c r="G52" s="6">
        <v>44958</v>
      </c>
      <c r="H52" s="5"/>
      <c r="I52" s="5"/>
      <c r="J52" s="5">
        <f t="shared" si="3"/>
        <v>5.3000000000000007</v>
      </c>
      <c r="K52" s="8" t="b">
        <f>E52=F51</f>
        <v>0</v>
      </c>
    </row>
    <row r="53" spans="1:11">
      <c r="A53" s="5">
        <v>129</v>
      </c>
      <c r="B53" s="6">
        <v>44960</v>
      </c>
      <c r="C53" s="7">
        <v>0.8</v>
      </c>
      <c r="D53" s="5">
        <v>7.34</v>
      </c>
      <c r="E53" s="5">
        <v>15</v>
      </c>
      <c r="F53" s="5">
        <v>29.2</v>
      </c>
      <c r="G53" s="6">
        <v>44960</v>
      </c>
      <c r="H53" s="5"/>
      <c r="I53" s="5"/>
      <c r="J53" s="5">
        <f t="shared" si="3"/>
        <v>14.2</v>
      </c>
      <c r="K53" s="8" t="b">
        <f t="shared" ref="K53:K55" si="5">E53=F52</f>
        <v>1</v>
      </c>
    </row>
    <row r="54" spans="1:11">
      <c r="A54" s="5">
        <v>129</v>
      </c>
      <c r="B54" s="6"/>
      <c r="C54" s="7"/>
      <c r="D54" s="5"/>
      <c r="E54" s="5"/>
      <c r="F54" s="5"/>
      <c r="G54" s="6"/>
      <c r="H54" s="5"/>
      <c r="I54" s="5"/>
      <c r="J54" s="5">
        <f t="shared" si="3"/>
        <v>0</v>
      </c>
      <c r="K54" s="8" t="b">
        <f t="shared" si="5"/>
        <v>0</v>
      </c>
    </row>
    <row r="55" spans="1:11">
      <c r="A55" s="5">
        <v>129</v>
      </c>
      <c r="B55" s="6"/>
      <c r="C55" s="7"/>
      <c r="D55" s="5"/>
      <c r="E55" s="5"/>
      <c r="F55" s="5"/>
      <c r="G55" s="6"/>
      <c r="H55" s="5"/>
      <c r="I55" s="5"/>
      <c r="J55" s="5">
        <f t="shared" si="3"/>
        <v>0</v>
      </c>
      <c r="K55" s="8" t="b">
        <f t="shared" si="5"/>
        <v>1</v>
      </c>
    </row>
    <row r="56" spans="1:11" ht="26.25">
      <c r="A56" s="199" t="s">
        <v>350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1"/>
    </row>
    <row r="57" spans="1:11" ht="26.25">
      <c r="A57" s="202" t="s">
        <v>336</v>
      </c>
      <c r="B57" s="203"/>
      <c r="C57" s="203"/>
      <c r="D57" s="203"/>
      <c r="E57" s="203"/>
      <c r="F57" s="203"/>
      <c r="G57" s="203"/>
      <c r="H57" s="203"/>
      <c r="I57" s="203"/>
      <c r="J57" s="203"/>
      <c r="K57" s="204"/>
    </row>
    <row r="58" spans="1:11" ht="15.75" thickBot="1">
      <c r="A58" s="5"/>
      <c r="B58" s="6"/>
      <c r="C58" s="7"/>
      <c r="D58" s="5"/>
      <c r="E58" s="5"/>
      <c r="F58" s="5"/>
      <c r="G58" s="6"/>
      <c r="H58" s="5"/>
      <c r="I58" s="5"/>
      <c r="J58" s="5"/>
    </row>
    <row r="59" spans="1:11" ht="15.75" thickBot="1">
      <c r="A59" s="132" t="s">
        <v>2</v>
      </c>
      <c r="B59" s="133"/>
      <c r="C59" s="133"/>
      <c r="D59" s="133"/>
      <c r="E59" s="133"/>
      <c r="F59" s="133"/>
      <c r="G59" s="133"/>
      <c r="H59" s="133"/>
      <c r="I59" s="133"/>
      <c r="J59" s="133"/>
      <c r="K59" s="134"/>
    </row>
    <row r="60" spans="1:11" ht="19.5" thickBot="1">
      <c r="A60" s="1" t="s">
        <v>3</v>
      </c>
      <c r="B60" s="1"/>
      <c r="C60" s="1"/>
      <c r="D60" s="1"/>
      <c r="E60" s="1"/>
      <c r="F60" s="1"/>
      <c r="G60" s="1"/>
      <c r="H60" s="1"/>
      <c r="I60" s="1"/>
    </row>
    <row r="61" spans="1:11" ht="30.75" thickBot="1">
      <c r="A61" s="2" t="s">
        <v>4</v>
      </c>
      <c r="B61" s="3" t="s">
        <v>5</v>
      </c>
      <c r="C61" s="3" t="s">
        <v>6</v>
      </c>
      <c r="D61" s="3" t="s">
        <v>7</v>
      </c>
      <c r="E61" s="3" t="s">
        <v>8</v>
      </c>
      <c r="F61" s="3" t="s">
        <v>9</v>
      </c>
      <c r="G61" s="3" t="s">
        <v>10</v>
      </c>
      <c r="H61" s="3" t="s">
        <v>21</v>
      </c>
      <c r="I61" s="4" t="s">
        <v>22</v>
      </c>
      <c r="J61" s="4" t="s">
        <v>11</v>
      </c>
      <c r="K61" s="4" t="s">
        <v>12</v>
      </c>
    </row>
    <row r="62" spans="1:11">
      <c r="A62" s="5">
        <v>129</v>
      </c>
      <c r="B62" s="6">
        <v>45056</v>
      </c>
      <c r="C62" s="7">
        <v>1</v>
      </c>
      <c r="D62" s="5">
        <v>5.87</v>
      </c>
      <c r="E62" s="5">
        <v>29.2</v>
      </c>
      <c r="F62" s="5">
        <v>43</v>
      </c>
      <c r="G62" s="6">
        <v>45056</v>
      </c>
      <c r="H62" s="5"/>
      <c r="I62" s="5"/>
      <c r="J62" s="5">
        <f t="shared" ref="J62" si="6">F62-E62</f>
        <v>13.8</v>
      </c>
      <c r="K62" s="8" t="b">
        <f t="shared" ref="K62" si="7">E62=F62</f>
        <v>0</v>
      </c>
    </row>
    <row r="63" spans="1:11">
      <c r="A63" s="5">
        <v>129</v>
      </c>
      <c r="B63" s="6">
        <v>45057</v>
      </c>
      <c r="C63" s="7">
        <v>1</v>
      </c>
      <c r="D63" s="5">
        <v>5.87</v>
      </c>
      <c r="E63" s="5">
        <v>43</v>
      </c>
      <c r="F63" s="5">
        <v>56</v>
      </c>
      <c r="G63" s="6">
        <v>45057</v>
      </c>
      <c r="H63" s="5"/>
      <c r="I63" s="5"/>
      <c r="J63" s="5">
        <f t="shared" ref="J63" si="8">F63-E63</f>
        <v>13</v>
      </c>
      <c r="K63" s="8" t="b">
        <f>E63=F62</f>
        <v>1</v>
      </c>
    </row>
    <row r="64" spans="1:11">
      <c r="A64" s="5">
        <v>129</v>
      </c>
      <c r="B64" s="6">
        <v>45062</v>
      </c>
      <c r="C64" s="7">
        <v>1</v>
      </c>
      <c r="D64" s="5">
        <v>5.87</v>
      </c>
      <c r="E64" s="5">
        <v>56</v>
      </c>
      <c r="F64" s="5">
        <v>60.9</v>
      </c>
      <c r="G64" s="6">
        <v>45062</v>
      </c>
      <c r="H64" s="5"/>
      <c r="I64" s="5"/>
      <c r="J64" s="5">
        <f t="shared" ref="J64" si="9">F64-E64</f>
        <v>4.8999999999999986</v>
      </c>
      <c r="K64" s="8" t="b">
        <f t="shared" ref="K64:K91" si="10">E64=F63</f>
        <v>1</v>
      </c>
    </row>
    <row r="65" spans="1:11">
      <c r="A65" s="5">
        <v>129</v>
      </c>
      <c r="B65" s="6">
        <v>45063</v>
      </c>
      <c r="C65" s="7">
        <v>0.4</v>
      </c>
      <c r="D65" s="5">
        <v>14.68</v>
      </c>
      <c r="E65" s="5">
        <v>60.9</v>
      </c>
      <c r="F65" s="5">
        <v>73.2</v>
      </c>
      <c r="G65" s="6">
        <v>45063</v>
      </c>
      <c r="H65" s="5"/>
      <c r="I65" s="5"/>
      <c r="J65" s="5">
        <f t="shared" ref="J65:J72" si="11">F65-E65</f>
        <v>12.300000000000004</v>
      </c>
      <c r="K65" s="8" t="b">
        <f t="shared" si="10"/>
        <v>1</v>
      </c>
    </row>
    <row r="66" spans="1:11">
      <c r="A66" s="5">
        <v>129</v>
      </c>
      <c r="B66" s="6">
        <v>45064</v>
      </c>
      <c r="C66" s="7">
        <v>0.4</v>
      </c>
      <c r="D66" s="5">
        <v>14.68</v>
      </c>
      <c r="E66" s="5">
        <v>73.2</v>
      </c>
      <c r="F66" s="5">
        <v>88.2</v>
      </c>
      <c r="G66" s="6">
        <v>45064</v>
      </c>
      <c r="H66" s="5"/>
      <c r="I66" s="5"/>
      <c r="J66" s="5">
        <f t="shared" si="11"/>
        <v>15</v>
      </c>
      <c r="K66" s="8" t="b">
        <f t="shared" si="10"/>
        <v>1</v>
      </c>
    </row>
    <row r="67" spans="1:11">
      <c r="A67" s="5">
        <v>129</v>
      </c>
      <c r="B67" s="6">
        <v>45064</v>
      </c>
      <c r="C67" s="7">
        <v>1</v>
      </c>
      <c r="D67" s="5">
        <v>5.87</v>
      </c>
      <c r="E67" s="5">
        <v>88.2</v>
      </c>
      <c r="F67" s="5">
        <v>101.1</v>
      </c>
      <c r="G67" s="6">
        <v>45064</v>
      </c>
      <c r="H67" s="5"/>
      <c r="I67" s="5"/>
      <c r="J67" s="5">
        <f t="shared" si="11"/>
        <v>12.899999999999991</v>
      </c>
      <c r="K67" s="8" t="b">
        <f t="shared" si="10"/>
        <v>1</v>
      </c>
    </row>
    <row r="68" spans="1:11">
      <c r="A68" s="5">
        <v>129</v>
      </c>
      <c r="B68" s="6">
        <v>45065</v>
      </c>
      <c r="C68" s="7">
        <v>1</v>
      </c>
      <c r="D68" s="5">
        <v>5.87</v>
      </c>
      <c r="E68" s="5">
        <v>101.1</v>
      </c>
      <c r="F68" s="5">
        <v>112.7</v>
      </c>
      <c r="G68" s="6">
        <v>45065</v>
      </c>
      <c r="H68" s="5"/>
      <c r="I68" s="5"/>
      <c r="J68" s="5">
        <f t="shared" si="11"/>
        <v>11.600000000000009</v>
      </c>
      <c r="K68" s="8" t="b">
        <f t="shared" si="10"/>
        <v>1</v>
      </c>
    </row>
    <row r="69" spans="1:11">
      <c r="A69" s="5">
        <v>129</v>
      </c>
      <c r="B69" s="6">
        <v>45066</v>
      </c>
      <c r="C69" s="7">
        <v>1</v>
      </c>
      <c r="D69" s="5">
        <v>5.87</v>
      </c>
      <c r="E69" s="5">
        <v>112.7</v>
      </c>
      <c r="F69" s="5">
        <v>124</v>
      </c>
      <c r="G69" s="6">
        <v>45066</v>
      </c>
      <c r="H69" s="5"/>
      <c r="I69" s="5"/>
      <c r="J69" s="5">
        <f t="shared" si="11"/>
        <v>11.299999999999997</v>
      </c>
      <c r="K69" s="8" t="b">
        <f t="shared" si="10"/>
        <v>1</v>
      </c>
    </row>
    <row r="70" spans="1:11">
      <c r="A70" s="5">
        <v>129</v>
      </c>
      <c r="B70" s="6">
        <v>45066</v>
      </c>
      <c r="C70" s="7">
        <v>1</v>
      </c>
      <c r="D70" s="5">
        <v>5.87</v>
      </c>
      <c r="E70" s="5">
        <v>124</v>
      </c>
      <c r="F70" s="5">
        <v>135.9</v>
      </c>
      <c r="G70" s="6">
        <v>45066</v>
      </c>
      <c r="H70" s="5"/>
      <c r="I70" s="5"/>
      <c r="J70" s="5">
        <f t="shared" si="11"/>
        <v>11.900000000000006</v>
      </c>
      <c r="K70" s="8" t="b">
        <f t="shared" si="10"/>
        <v>1</v>
      </c>
    </row>
    <row r="71" spans="1:11">
      <c r="A71" s="5">
        <v>129</v>
      </c>
      <c r="B71" s="6">
        <v>45067</v>
      </c>
      <c r="C71" s="7">
        <v>1</v>
      </c>
      <c r="D71" s="5">
        <v>5.87</v>
      </c>
      <c r="E71" s="5">
        <v>135.9</v>
      </c>
      <c r="F71" s="5">
        <v>147.5</v>
      </c>
      <c r="G71" s="6">
        <v>45067</v>
      </c>
      <c r="H71" s="5"/>
      <c r="I71" s="5"/>
      <c r="J71" s="5">
        <f t="shared" si="11"/>
        <v>11.599999999999994</v>
      </c>
      <c r="K71" s="8" t="b">
        <f t="shared" si="10"/>
        <v>1</v>
      </c>
    </row>
    <row r="72" spans="1:11">
      <c r="A72" s="5">
        <v>129</v>
      </c>
      <c r="B72" s="6">
        <v>45068</v>
      </c>
      <c r="C72" s="7">
        <v>1</v>
      </c>
      <c r="D72" s="5">
        <v>5.87</v>
      </c>
      <c r="E72" s="5">
        <v>147.5</v>
      </c>
      <c r="F72" s="5">
        <v>159.19999999999999</v>
      </c>
      <c r="G72" s="6">
        <v>45068</v>
      </c>
      <c r="H72" s="5"/>
      <c r="I72" s="5"/>
      <c r="J72" s="5">
        <f t="shared" si="11"/>
        <v>11.699999999999989</v>
      </c>
      <c r="K72" s="8" t="b">
        <f t="shared" si="10"/>
        <v>1</v>
      </c>
    </row>
    <row r="73" spans="1:11">
      <c r="A73" s="5">
        <v>129</v>
      </c>
      <c r="B73" s="6">
        <v>45068</v>
      </c>
      <c r="C73" s="7">
        <v>1</v>
      </c>
      <c r="D73" s="5">
        <v>5.87</v>
      </c>
      <c r="E73" s="5">
        <v>159.19999999999999</v>
      </c>
      <c r="F73" s="5">
        <v>170.9</v>
      </c>
      <c r="G73" s="6">
        <v>45068</v>
      </c>
      <c r="H73" s="5"/>
      <c r="I73" s="5"/>
      <c r="J73" s="5">
        <f t="shared" ref="J73:J80" si="12">F73-E73</f>
        <v>11.700000000000017</v>
      </c>
      <c r="K73" s="8" t="b">
        <f t="shared" si="10"/>
        <v>1</v>
      </c>
    </row>
    <row r="74" spans="1:11">
      <c r="A74" s="5">
        <v>129</v>
      </c>
      <c r="B74" s="6">
        <v>45069</v>
      </c>
      <c r="C74" s="7">
        <v>1</v>
      </c>
      <c r="D74" s="5">
        <v>5.87</v>
      </c>
      <c r="E74" s="5">
        <v>170.9</v>
      </c>
      <c r="F74" s="5">
        <v>189</v>
      </c>
      <c r="G74" s="6">
        <v>45069</v>
      </c>
      <c r="H74" s="5"/>
      <c r="I74" s="5"/>
      <c r="J74" s="5">
        <f t="shared" si="12"/>
        <v>18.099999999999994</v>
      </c>
      <c r="K74" s="8" t="b">
        <f t="shared" si="10"/>
        <v>1</v>
      </c>
    </row>
    <row r="75" spans="1:11">
      <c r="A75" s="5">
        <v>129</v>
      </c>
      <c r="B75" s="6" t="s">
        <v>96</v>
      </c>
      <c r="C75" s="7">
        <v>1</v>
      </c>
      <c r="D75" s="5">
        <v>5.87</v>
      </c>
      <c r="E75" s="5">
        <v>189</v>
      </c>
      <c r="F75" s="5">
        <v>202.9</v>
      </c>
      <c r="G75" s="6" t="s">
        <v>96</v>
      </c>
      <c r="H75" s="5"/>
      <c r="I75" s="5"/>
      <c r="J75" s="5">
        <f t="shared" si="12"/>
        <v>13.900000000000006</v>
      </c>
      <c r="K75" s="8" t="b">
        <f t="shared" si="10"/>
        <v>1</v>
      </c>
    </row>
    <row r="76" spans="1:11">
      <c r="A76" s="5">
        <v>129</v>
      </c>
      <c r="B76" s="6" t="s">
        <v>70</v>
      </c>
      <c r="C76" s="7">
        <v>1</v>
      </c>
      <c r="D76" s="5">
        <v>5.87</v>
      </c>
      <c r="E76" s="5">
        <v>202.9</v>
      </c>
      <c r="F76" s="5">
        <v>216.2</v>
      </c>
      <c r="G76" s="6" t="s">
        <v>70</v>
      </c>
      <c r="H76" s="5"/>
      <c r="I76" s="5"/>
      <c r="J76" s="5">
        <f t="shared" si="12"/>
        <v>13.299999999999983</v>
      </c>
      <c r="K76" s="8" t="b">
        <f t="shared" si="10"/>
        <v>1</v>
      </c>
    </row>
    <row r="77" spans="1:11">
      <c r="A77" s="5">
        <v>129</v>
      </c>
      <c r="B77" s="6" t="s">
        <v>71</v>
      </c>
      <c r="C77" s="7">
        <v>1</v>
      </c>
      <c r="D77" s="5">
        <v>5.87</v>
      </c>
      <c r="E77" s="5">
        <v>216.2</v>
      </c>
      <c r="F77" s="5">
        <v>227.8</v>
      </c>
      <c r="G77" s="6" t="s">
        <v>71</v>
      </c>
      <c r="H77" s="5"/>
      <c r="I77" s="5"/>
      <c r="J77" s="5">
        <f t="shared" si="12"/>
        <v>11.600000000000023</v>
      </c>
      <c r="K77" s="8" t="b">
        <f t="shared" si="10"/>
        <v>1</v>
      </c>
    </row>
    <row r="78" spans="1:11">
      <c r="A78" s="5">
        <v>129</v>
      </c>
      <c r="B78" s="6" t="s">
        <v>351</v>
      </c>
      <c r="C78" s="7">
        <v>1</v>
      </c>
      <c r="D78" s="5">
        <v>5.87</v>
      </c>
      <c r="E78" s="5">
        <v>227.8</v>
      </c>
      <c r="F78" s="5">
        <v>239.4</v>
      </c>
      <c r="G78" s="6" t="s">
        <v>137</v>
      </c>
      <c r="H78" s="5"/>
      <c r="I78" s="5"/>
      <c r="J78" s="5">
        <f t="shared" si="12"/>
        <v>11.599999999999994</v>
      </c>
      <c r="K78" s="8" t="b">
        <f t="shared" si="10"/>
        <v>1</v>
      </c>
    </row>
    <row r="79" spans="1:11">
      <c r="A79" s="5">
        <v>129</v>
      </c>
      <c r="B79" s="6" t="s">
        <v>138</v>
      </c>
      <c r="C79" s="7">
        <v>1</v>
      </c>
      <c r="D79" s="5">
        <v>5.87</v>
      </c>
      <c r="E79" s="5">
        <v>239.4</v>
      </c>
      <c r="F79" s="5">
        <v>251</v>
      </c>
      <c r="G79" s="6" t="s">
        <v>138</v>
      </c>
      <c r="H79" s="5"/>
      <c r="I79" s="5"/>
      <c r="J79" s="5">
        <f t="shared" si="12"/>
        <v>11.599999999999994</v>
      </c>
      <c r="K79" s="8" t="b">
        <f t="shared" si="10"/>
        <v>1</v>
      </c>
    </row>
    <row r="80" spans="1:11">
      <c r="A80" s="5">
        <v>129</v>
      </c>
      <c r="B80" s="6" t="s">
        <v>97</v>
      </c>
      <c r="C80" s="7">
        <v>1</v>
      </c>
      <c r="D80" s="5">
        <v>5.87</v>
      </c>
      <c r="E80" s="5">
        <v>251</v>
      </c>
      <c r="F80" s="5">
        <v>269.7</v>
      </c>
      <c r="G80" s="6" t="s">
        <v>97</v>
      </c>
      <c r="H80" s="5"/>
      <c r="I80" s="5"/>
      <c r="J80" s="5">
        <f t="shared" si="12"/>
        <v>18.699999999999989</v>
      </c>
      <c r="K80" s="8" t="b">
        <f t="shared" si="10"/>
        <v>1</v>
      </c>
    </row>
    <row r="81" spans="1:11">
      <c r="A81" s="5">
        <v>129</v>
      </c>
      <c r="B81" s="6" t="s">
        <v>98</v>
      </c>
      <c r="C81" s="7">
        <v>1</v>
      </c>
      <c r="D81" s="5">
        <v>5.87</v>
      </c>
      <c r="E81" s="5">
        <v>269.7</v>
      </c>
      <c r="F81" s="5">
        <v>281.2</v>
      </c>
      <c r="G81" s="6" t="s">
        <v>98</v>
      </c>
      <c r="H81" s="5"/>
      <c r="I81" s="5"/>
      <c r="J81" s="5">
        <f t="shared" ref="J81:J91" si="13">F81-E81</f>
        <v>11.5</v>
      </c>
      <c r="K81" s="8" t="b">
        <f t="shared" si="10"/>
        <v>1</v>
      </c>
    </row>
    <row r="82" spans="1:11">
      <c r="A82" s="25">
        <v>129</v>
      </c>
      <c r="B82" s="26">
        <v>45077</v>
      </c>
      <c r="C82" s="27">
        <v>1</v>
      </c>
      <c r="D82" s="25">
        <v>5.87</v>
      </c>
      <c r="E82" s="25">
        <v>281.2</v>
      </c>
      <c r="F82" s="25">
        <v>292.8</v>
      </c>
      <c r="G82" s="26">
        <v>45077</v>
      </c>
      <c r="H82" s="25"/>
      <c r="I82" s="25"/>
      <c r="J82" s="25">
        <f t="shared" si="13"/>
        <v>11.600000000000023</v>
      </c>
      <c r="K82" s="8" t="b">
        <f t="shared" si="10"/>
        <v>1</v>
      </c>
    </row>
    <row r="83" spans="1:11">
      <c r="A83" s="25">
        <v>129</v>
      </c>
      <c r="B83" s="26">
        <v>45078</v>
      </c>
      <c r="C83" s="27">
        <v>1</v>
      </c>
      <c r="D83" s="25">
        <v>5.87</v>
      </c>
      <c r="E83" s="25">
        <v>292.8</v>
      </c>
      <c r="F83" s="25">
        <v>310.3</v>
      </c>
      <c r="G83" s="26">
        <v>45078</v>
      </c>
      <c r="H83" s="25"/>
      <c r="I83" s="25"/>
      <c r="J83" s="25">
        <f t="shared" si="13"/>
        <v>17.5</v>
      </c>
      <c r="K83" s="8" t="b">
        <f t="shared" si="10"/>
        <v>1</v>
      </c>
    </row>
    <row r="84" spans="1:11">
      <c r="A84" s="5">
        <v>129</v>
      </c>
      <c r="B84" s="6">
        <v>45080</v>
      </c>
      <c r="C84" s="7">
        <v>1</v>
      </c>
      <c r="D84" s="5">
        <v>5.87</v>
      </c>
      <c r="E84" s="5">
        <v>310.3</v>
      </c>
      <c r="F84" s="5">
        <v>322.3</v>
      </c>
      <c r="G84" s="6">
        <v>45080</v>
      </c>
      <c r="H84" s="5"/>
      <c r="I84" s="5"/>
      <c r="J84" s="5">
        <f t="shared" si="13"/>
        <v>12</v>
      </c>
      <c r="K84" s="8" t="b">
        <f t="shared" si="10"/>
        <v>1</v>
      </c>
    </row>
    <row r="85" spans="1:11">
      <c r="A85" s="5">
        <v>129</v>
      </c>
      <c r="B85" s="6">
        <v>45082</v>
      </c>
      <c r="C85" s="7">
        <v>1</v>
      </c>
      <c r="D85" s="5">
        <v>5.87</v>
      </c>
      <c r="E85" s="5">
        <v>322.3</v>
      </c>
      <c r="F85" s="5">
        <v>334.1</v>
      </c>
      <c r="G85" s="6">
        <v>45082</v>
      </c>
      <c r="H85" s="5"/>
      <c r="I85" s="5"/>
      <c r="J85" s="5">
        <f t="shared" si="13"/>
        <v>11.800000000000011</v>
      </c>
      <c r="K85" s="8" t="b">
        <f t="shared" si="10"/>
        <v>1</v>
      </c>
    </row>
    <row r="86" spans="1:11">
      <c r="A86" s="5">
        <v>129</v>
      </c>
      <c r="B86" s="6">
        <v>45083</v>
      </c>
      <c r="C86" s="7">
        <v>1</v>
      </c>
      <c r="D86" s="5">
        <v>5.87</v>
      </c>
      <c r="E86" s="5">
        <v>334.1</v>
      </c>
      <c r="F86" s="5">
        <v>345.8</v>
      </c>
      <c r="G86" s="6">
        <v>45083</v>
      </c>
      <c r="H86" s="5"/>
      <c r="I86" s="5"/>
      <c r="J86" s="5">
        <f t="shared" si="13"/>
        <v>11.699999999999989</v>
      </c>
      <c r="K86" s="8" t="b">
        <f t="shared" si="10"/>
        <v>1</v>
      </c>
    </row>
    <row r="87" spans="1:11">
      <c r="A87" s="5">
        <v>129</v>
      </c>
      <c r="B87" s="6">
        <v>45085</v>
      </c>
      <c r="C87" s="7">
        <v>1</v>
      </c>
      <c r="D87" s="5">
        <v>5.87</v>
      </c>
      <c r="E87" s="5">
        <v>345.8</v>
      </c>
      <c r="F87" s="5">
        <v>357.5</v>
      </c>
      <c r="G87" s="6">
        <v>45085</v>
      </c>
      <c r="H87" s="5"/>
      <c r="I87" s="5"/>
      <c r="J87" s="5">
        <f t="shared" si="13"/>
        <v>11.699999999999989</v>
      </c>
      <c r="K87" s="8" t="b">
        <f t="shared" si="10"/>
        <v>1</v>
      </c>
    </row>
    <row r="88" spans="1:11">
      <c r="A88" s="5">
        <v>129</v>
      </c>
      <c r="B88" s="6">
        <v>45088</v>
      </c>
      <c r="C88" s="7">
        <v>0.65</v>
      </c>
      <c r="D88" s="5">
        <v>5.87</v>
      </c>
      <c r="E88" s="5">
        <v>357.5</v>
      </c>
      <c r="F88" s="5">
        <v>374.5</v>
      </c>
      <c r="G88" s="6">
        <v>45088</v>
      </c>
      <c r="H88" s="5"/>
      <c r="I88" s="5"/>
      <c r="J88" s="5">
        <f t="shared" si="13"/>
        <v>17</v>
      </c>
      <c r="K88" s="8" t="b">
        <f t="shared" si="10"/>
        <v>1</v>
      </c>
    </row>
    <row r="89" spans="1:11">
      <c r="A89" s="5">
        <v>129</v>
      </c>
      <c r="B89" s="6">
        <v>45090</v>
      </c>
      <c r="C89" s="7">
        <v>0.65</v>
      </c>
      <c r="D89" s="5">
        <v>5.87</v>
      </c>
      <c r="E89" s="5">
        <v>374.5</v>
      </c>
      <c r="F89" s="5">
        <v>393.2</v>
      </c>
      <c r="G89" s="6">
        <v>45090</v>
      </c>
      <c r="H89" s="5"/>
      <c r="I89" s="5"/>
      <c r="J89" s="5">
        <f t="shared" si="13"/>
        <v>18.699999999999989</v>
      </c>
      <c r="K89" s="8" t="b">
        <f t="shared" si="10"/>
        <v>1</v>
      </c>
    </row>
    <row r="90" spans="1:11">
      <c r="A90" s="5">
        <v>129</v>
      </c>
      <c r="B90" s="6">
        <v>45091</v>
      </c>
      <c r="C90" s="7">
        <v>1</v>
      </c>
      <c r="D90" s="5">
        <v>5.87</v>
      </c>
      <c r="E90" s="5">
        <v>393.2</v>
      </c>
      <c r="F90" s="5">
        <v>406.5</v>
      </c>
      <c r="G90" s="6">
        <v>45091</v>
      </c>
      <c r="H90" s="5"/>
      <c r="I90" s="5"/>
      <c r="J90" s="5">
        <f t="shared" si="13"/>
        <v>13.300000000000011</v>
      </c>
      <c r="K90" s="8" t="b">
        <f t="shared" si="10"/>
        <v>1</v>
      </c>
    </row>
    <row r="91" spans="1:11">
      <c r="A91" s="5">
        <v>129</v>
      </c>
      <c r="B91" s="6">
        <v>45093</v>
      </c>
      <c r="C91" s="7">
        <v>0.85</v>
      </c>
      <c r="D91" s="5">
        <v>5.87</v>
      </c>
      <c r="E91" s="5">
        <v>406.5</v>
      </c>
      <c r="F91" s="5">
        <v>421.8</v>
      </c>
      <c r="G91" s="6">
        <v>45001</v>
      </c>
      <c r="H91" s="5"/>
      <c r="I91" s="5"/>
      <c r="J91" s="5">
        <f t="shared" si="13"/>
        <v>15.300000000000011</v>
      </c>
      <c r="K91" s="8" t="b">
        <f t="shared" si="10"/>
        <v>1</v>
      </c>
    </row>
    <row r="92" spans="1:11">
      <c r="A92" s="5">
        <v>129</v>
      </c>
      <c r="B92" s="6">
        <v>45094</v>
      </c>
      <c r="C92" s="7">
        <v>1</v>
      </c>
      <c r="D92" s="5">
        <v>5.87</v>
      </c>
      <c r="E92" s="5">
        <v>421.8</v>
      </c>
      <c r="F92" s="5">
        <v>433.2</v>
      </c>
      <c r="G92" s="6">
        <v>45094</v>
      </c>
      <c r="H92" s="5"/>
      <c r="I92" s="5"/>
      <c r="J92" s="5">
        <f t="shared" ref="J92:J105" si="14">F92-E92</f>
        <v>11.399999999999977</v>
      </c>
      <c r="K92" s="8" t="b">
        <f t="shared" ref="K92:K105" si="15">E92=F91</f>
        <v>1</v>
      </c>
    </row>
    <row r="93" spans="1:11">
      <c r="A93" s="5">
        <v>129</v>
      </c>
      <c r="B93" s="6">
        <v>45096</v>
      </c>
      <c r="C93" s="7">
        <v>1</v>
      </c>
      <c r="D93" s="5">
        <v>5.87</v>
      </c>
      <c r="E93" s="5">
        <v>433.2</v>
      </c>
      <c r="F93" s="5">
        <v>444.8</v>
      </c>
      <c r="G93" s="6">
        <v>45096</v>
      </c>
      <c r="H93" s="5"/>
      <c r="I93" s="5"/>
      <c r="J93" s="5">
        <f t="shared" si="14"/>
        <v>11.600000000000023</v>
      </c>
      <c r="K93" s="8" t="b">
        <f t="shared" si="15"/>
        <v>1</v>
      </c>
    </row>
    <row r="94" spans="1:11">
      <c r="A94" s="5">
        <v>129</v>
      </c>
      <c r="B94" s="6">
        <v>45097</v>
      </c>
      <c r="C94" s="7">
        <v>1</v>
      </c>
      <c r="D94" s="5">
        <v>5.87</v>
      </c>
      <c r="E94" s="5">
        <v>444.8</v>
      </c>
      <c r="F94" s="5">
        <v>456.4</v>
      </c>
      <c r="G94" s="6">
        <v>45097</v>
      </c>
      <c r="H94" s="5"/>
      <c r="I94" s="5"/>
      <c r="J94" s="5">
        <f t="shared" si="14"/>
        <v>11.599999999999966</v>
      </c>
      <c r="K94" s="8" t="b">
        <f t="shared" si="15"/>
        <v>1</v>
      </c>
    </row>
    <row r="95" spans="1:11">
      <c r="A95" s="5">
        <v>129</v>
      </c>
      <c r="B95" s="6">
        <v>45099</v>
      </c>
      <c r="C95" s="7">
        <v>1</v>
      </c>
      <c r="D95" s="5">
        <v>5.87</v>
      </c>
      <c r="E95" s="5">
        <v>456.4</v>
      </c>
      <c r="F95" s="5">
        <v>468.3</v>
      </c>
      <c r="G95" s="6">
        <v>45099</v>
      </c>
      <c r="H95" s="5"/>
      <c r="I95" s="5"/>
      <c r="J95" s="5">
        <f t="shared" si="14"/>
        <v>11.900000000000034</v>
      </c>
      <c r="K95" s="8" t="b">
        <f t="shared" si="15"/>
        <v>1</v>
      </c>
    </row>
    <row r="96" spans="1:11">
      <c r="A96" s="5">
        <v>129</v>
      </c>
      <c r="B96" s="6">
        <v>45101</v>
      </c>
      <c r="C96" s="7">
        <v>0.8</v>
      </c>
      <c r="D96" s="5">
        <v>7.34</v>
      </c>
      <c r="E96" s="5">
        <v>468.3</v>
      </c>
      <c r="F96" s="5">
        <v>482.6</v>
      </c>
      <c r="G96" s="6">
        <v>45101</v>
      </c>
      <c r="H96" s="5"/>
      <c r="I96" s="5"/>
      <c r="J96" s="5">
        <f t="shared" si="14"/>
        <v>14.300000000000011</v>
      </c>
      <c r="K96" s="8" t="b">
        <f t="shared" si="15"/>
        <v>1</v>
      </c>
    </row>
    <row r="97" spans="1:11">
      <c r="A97" s="5">
        <v>129</v>
      </c>
      <c r="B97" s="6">
        <v>45102</v>
      </c>
      <c r="C97" s="7">
        <v>0.8</v>
      </c>
      <c r="D97" s="5">
        <v>7.34</v>
      </c>
      <c r="E97" s="5">
        <v>482.6</v>
      </c>
      <c r="F97" s="5">
        <v>497.1</v>
      </c>
      <c r="G97" s="6">
        <v>45102</v>
      </c>
      <c r="H97" s="5"/>
      <c r="I97" s="5"/>
      <c r="J97" s="5">
        <f t="shared" si="14"/>
        <v>14.5</v>
      </c>
      <c r="K97" s="8" t="b">
        <f t="shared" si="15"/>
        <v>1</v>
      </c>
    </row>
    <row r="98" spans="1:11">
      <c r="A98" s="5">
        <v>129</v>
      </c>
      <c r="B98" s="6">
        <v>45104</v>
      </c>
      <c r="C98" s="7">
        <v>0.8</v>
      </c>
      <c r="D98" s="5">
        <v>7.34</v>
      </c>
      <c r="E98" s="5">
        <v>497.1</v>
      </c>
      <c r="F98" s="5">
        <v>511.4</v>
      </c>
      <c r="G98" s="6">
        <v>45104</v>
      </c>
      <c r="H98" s="5"/>
      <c r="I98" s="5"/>
      <c r="J98" s="5">
        <f t="shared" si="14"/>
        <v>14.299999999999955</v>
      </c>
      <c r="K98" s="8" t="b">
        <f t="shared" si="15"/>
        <v>1</v>
      </c>
    </row>
    <row r="99" spans="1:11">
      <c r="A99" s="5">
        <v>129</v>
      </c>
      <c r="B99" s="6">
        <v>45105</v>
      </c>
      <c r="C99" s="7">
        <v>0.8</v>
      </c>
      <c r="D99" s="5">
        <v>7.34</v>
      </c>
      <c r="E99" s="5">
        <v>511.4</v>
      </c>
      <c r="F99" s="5">
        <v>523</v>
      </c>
      <c r="G99" s="6">
        <v>45105</v>
      </c>
      <c r="H99" s="5"/>
      <c r="I99" s="5"/>
      <c r="J99" s="5">
        <f t="shared" si="14"/>
        <v>11.600000000000023</v>
      </c>
      <c r="K99" s="8" t="b">
        <f t="shared" si="15"/>
        <v>1</v>
      </c>
    </row>
    <row r="100" spans="1:11">
      <c r="A100" s="39">
        <v>129</v>
      </c>
      <c r="B100" s="40">
        <v>45106</v>
      </c>
      <c r="C100" s="41">
        <v>1</v>
      </c>
      <c r="D100" s="39">
        <v>5.87</v>
      </c>
      <c r="E100" s="39">
        <v>523</v>
      </c>
      <c r="F100" s="39">
        <v>535</v>
      </c>
      <c r="G100" s="40">
        <v>45106</v>
      </c>
      <c r="H100" s="39"/>
      <c r="I100" s="39"/>
      <c r="J100" s="39">
        <f t="shared" si="14"/>
        <v>12</v>
      </c>
      <c r="K100" s="8" t="b">
        <f t="shared" si="15"/>
        <v>1</v>
      </c>
    </row>
    <row r="101" spans="1:11">
      <c r="A101" s="5">
        <v>129</v>
      </c>
      <c r="B101" s="6">
        <v>45107</v>
      </c>
      <c r="C101" s="7">
        <v>0.8</v>
      </c>
      <c r="D101" s="5">
        <v>7.34</v>
      </c>
      <c r="E101" s="5">
        <v>535</v>
      </c>
      <c r="F101" s="5">
        <v>548.9</v>
      </c>
      <c r="G101" s="6">
        <v>45107</v>
      </c>
      <c r="H101" s="5"/>
      <c r="I101" s="5"/>
      <c r="J101" s="5">
        <f t="shared" si="14"/>
        <v>13.899999999999977</v>
      </c>
      <c r="K101" s="8" t="b">
        <f t="shared" si="15"/>
        <v>1</v>
      </c>
    </row>
    <row r="102" spans="1:11">
      <c r="A102" s="5">
        <v>129</v>
      </c>
      <c r="B102" s="6">
        <v>45109</v>
      </c>
      <c r="C102" s="7">
        <v>0.8</v>
      </c>
      <c r="D102" s="5">
        <v>7.34</v>
      </c>
      <c r="E102" s="5">
        <v>548.9</v>
      </c>
      <c r="F102" s="5">
        <v>562.1</v>
      </c>
      <c r="G102" s="6">
        <v>45109</v>
      </c>
      <c r="H102" s="5"/>
      <c r="I102" s="5"/>
      <c r="J102" s="5">
        <f t="shared" si="14"/>
        <v>13.200000000000045</v>
      </c>
      <c r="K102" s="8" t="b">
        <f t="shared" si="15"/>
        <v>1</v>
      </c>
    </row>
    <row r="103" spans="1:11">
      <c r="A103" s="5">
        <v>129</v>
      </c>
      <c r="B103" s="6">
        <v>45110</v>
      </c>
      <c r="C103" s="7">
        <v>0.8</v>
      </c>
      <c r="D103" s="5">
        <v>7.34</v>
      </c>
      <c r="E103" s="5">
        <v>562.1</v>
      </c>
      <c r="F103" s="5">
        <v>576.4</v>
      </c>
      <c r="G103" s="6">
        <v>45110</v>
      </c>
      <c r="H103" s="5"/>
      <c r="I103" s="5"/>
      <c r="J103" s="5">
        <f t="shared" si="14"/>
        <v>14.299999999999955</v>
      </c>
      <c r="K103" s="8" t="b">
        <f t="shared" si="15"/>
        <v>1</v>
      </c>
    </row>
    <row r="104" spans="1:11">
      <c r="A104" s="5">
        <v>129</v>
      </c>
      <c r="B104" s="6">
        <v>45112</v>
      </c>
      <c r="C104" s="7">
        <v>0.8</v>
      </c>
      <c r="D104" s="5">
        <v>7.34</v>
      </c>
      <c r="E104" s="5">
        <v>576.4</v>
      </c>
      <c r="F104" s="5">
        <v>590.9</v>
      </c>
      <c r="G104" s="6">
        <v>45112</v>
      </c>
      <c r="H104" s="5"/>
      <c r="I104" s="5"/>
      <c r="J104" s="5">
        <f t="shared" si="14"/>
        <v>14.5</v>
      </c>
      <c r="K104" s="8" t="b">
        <f t="shared" si="15"/>
        <v>1</v>
      </c>
    </row>
    <row r="105" spans="1:11">
      <c r="A105" s="5">
        <v>129</v>
      </c>
      <c r="B105" s="6">
        <v>45113</v>
      </c>
      <c r="C105" s="7">
        <v>0.8</v>
      </c>
      <c r="D105" s="5">
        <v>7.34</v>
      </c>
      <c r="E105" s="5">
        <v>590.9</v>
      </c>
      <c r="F105" s="5">
        <v>605.4</v>
      </c>
      <c r="G105" s="6">
        <v>45113</v>
      </c>
      <c r="H105" s="5"/>
      <c r="I105" s="5"/>
      <c r="J105" s="5">
        <f t="shared" si="14"/>
        <v>14.5</v>
      </c>
      <c r="K105" s="8" t="b">
        <f t="shared" si="15"/>
        <v>1</v>
      </c>
    </row>
    <row r="106" spans="1:11">
      <c r="A106" s="5">
        <v>129</v>
      </c>
      <c r="B106" s="6">
        <v>45115</v>
      </c>
      <c r="C106" s="7">
        <v>0.8</v>
      </c>
      <c r="D106" s="5">
        <v>7.34</v>
      </c>
      <c r="E106" s="5">
        <v>605.4</v>
      </c>
      <c r="F106" s="5">
        <v>619.9</v>
      </c>
      <c r="G106" s="6">
        <v>45115</v>
      </c>
      <c r="H106" s="5"/>
      <c r="I106" s="5"/>
      <c r="J106" s="5">
        <f t="shared" ref="J106:J114" si="16">F106-E106</f>
        <v>14.5</v>
      </c>
      <c r="K106" s="8" t="b">
        <f t="shared" ref="K106:K114" si="17">E106=F105</f>
        <v>1</v>
      </c>
    </row>
    <row r="107" spans="1:11">
      <c r="A107" s="5">
        <v>129</v>
      </c>
      <c r="B107" s="6">
        <v>45116</v>
      </c>
      <c r="C107" s="7">
        <v>1</v>
      </c>
      <c r="D107" s="5">
        <v>5.87</v>
      </c>
      <c r="E107" s="5">
        <v>619.9</v>
      </c>
      <c r="F107" s="5">
        <v>631.5</v>
      </c>
      <c r="G107" s="6">
        <v>45116</v>
      </c>
      <c r="H107" s="5"/>
      <c r="I107" s="5"/>
      <c r="J107" s="5">
        <f t="shared" si="16"/>
        <v>11.600000000000023</v>
      </c>
      <c r="K107" s="8" t="b">
        <f t="shared" si="17"/>
        <v>1</v>
      </c>
    </row>
    <row r="108" spans="1:11">
      <c r="A108" s="5">
        <v>129</v>
      </c>
      <c r="B108" s="6">
        <v>45117</v>
      </c>
      <c r="C108" s="7">
        <v>1</v>
      </c>
      <c r="D108" s="5">
        <v>5.87</v>
      </c>
      <c r="E108" s="5">
        <v>631.5</v>
      </c>
      <c r="F108" s="5">
        <v>643.20000000000005</v>
      </c>
      <c r="G108" s="6">
        <v>45117</v>
      </c>
      <c r="H108" s="5"/>
      <c r="I108" s="5"/>
      <c r="J108" s="5">
        <f t="shared" si="16"/>
        <v>11.700000000000045</v>
      </c>
      <c r="K108" s="8" t="b">
        <f t="shared" si="17"/>
        <v>1</v>
      </c>
    </row>
    <row r="109" spans="1:11">
      <c r="A109" s="5">
        <v>129</v>
      </c>
      <c r="B109" s="6">
        <v>45119</v>
      </c>
      <c r="C109" s="7">
        <v>1</v>
      </c>
      <c r="D109" s="5">
        <v>5.87</v>
      </c>
      <c r="E109" s="5">
        <v>643.20000000000005</v>
      </c>
      <c r="F109" s="5">
        <v>655.1</v>
      </c>
      <c r="G109" s="6">
        <v>45119</v>
      </c>
      <c r="H109" s="5"/>
      <c r="I109" s="5"/>
      <c r="J109" s="5">
        <f t="shared" si="16"/>
        <v>11.899999999999977</v>
      </c>
      <c r="K109" s="8" t="b">
        <f t="shared" si="17"/>
        <v>1</v>
      </c>
    </row>
    <row r="110" spans="1:11">
      <c r="A110" s="25">
        <v>129</v>
      </c>
      <c r="B110" s="26">
        <v>45120</v>
      </c>
      <c r="C110" s="27">
        <v>1</v>
      </c>
      <c r="D110" s="25">
        <v>5.87</v>
      </c>
      <c r="E110" s="25">
        <v>655.1</v>
      </c>
      <c r="F110" s="25">
        <v>666.7</v>
      </c>
      <c r="G110" s="26">
        <v>45120</v>
      </c>
      <c r="H110" s="25"/>
      <c r="I110" s="25"/>
      <c r="J110" s="25">
        <f t="shared" si="16"/>
        <v>11.600000000000023</v>
      </c>
      <c r="K110" s="8" t="b">
        <f t="shared" si="17"/>
        <v>1</v>
      </c>
    </row>
    <row r="111" spans="1:11">
      <c r="A111" s="5">
        <v>129</v>
      </c>
      <c r="B111" s="6">
        <v>45121</v>
      </c>
      <c r="C111" s="7">
        <v>0.9</v>
      </c>
      <c r="D111" s="5">
        <v>6.52</v>
      </c>
      <c r="E111" s="5">
        <v>666.7</v>
      </c>
      <c r="F111" s="5">
        <v>679.6</v>
      </c>
      <c r="G111" s="6">
        <v>45121</v>
      </c>
      <c r="H111" s="5"/>
      <c r="I111" s="5"/>
      <c r="J111" s="5">
        <f t="shared" si="16"/>
        <v>12.899999999999977</v>
      </c>
      <c r="K111" s="8" t="b">
        <f t="shared" si="17"/>
        <v>1</v>
      </c>
    </row>
    <row r="112" spans="1:11">
      <c r="A112" s="5">
        <v>129</v>
      </c>
      <c r="B112" s="6">
        <v>45122</v>
      </c>
      <c r="C112" s="7">
        <v>0.9</v>
      </c>
      <c r="D112" s="5">
        <v>6.52</v>
      </c>
      <c r="E112" s="5">
        <v>679.6</v>
      </c>
      <c r="F112" s="5">
        <v>692.5</v>
      </c>
      <c r="G112" s="6">
        <v>45122</v>
      </c>
      <c r="H112" s="5"/>
      <c r="I112" s="5"/>
      <c r="J112" s="5">
        <f t="shared" si="16"/>
        <v>12.899999999999977</v>
      </c>
      <c r="K112" s="8" t="b">
        <f t="shared" si="17"/>
        <v>1</v>
      </c>
    </row>
    <row r="113" spans="1:11">
      <c r="A113" s="5">
        <v>129</v>
      </c>
      <c r="B113" s="6">
        <v>45124</v>
      </c>
      <c r="C113" s="7">
        <v>0.9</v>
      </c>
      <c r="D113" s="5">
        <v>6.52</v>
      </c>
      <c r="E113" s="5">
        <v>692.5</v>
      </c>
      <c r="F113" s="5">
        <v>705.4</v>
      </c>
      <c r="G113" s="6">
        <v>45124</v>
      </c>
      <c r="H113" s="5"/>
      <c r="I113" s="5"/>
      <c r="J113" s="5">
        <f t="shared" si="16"/>
        <v>12.899999999999977</v>
      </c>
      <c r="K113" s="8" t="b">
        <f t="shared" si="17"/>
        <v>1</v>
      </c>
    </row>
    <row r="114" spans="1:11">
      <c r="A114" s="5">
        <v>129</v>
      </c>
      <c r="B114" s="6">
        <v>45125</v>
      </c>
      <c r="C114" s="7">
        <v>0.75</v>
      </c>
      <c r="D114" s="5">
        <v>7.83</v>
      </c>
      <c r="E114" s="5">
        <v>705.4</v>
      </c>
      <c r="F114" s="5">
        <v>720.9</v>
      </c>
      <c r="G114" s="6">
        <v>45125</v>
      </c>
      <c r="H114" s="5"/>
      <c r="I114" s="5"/>
      <c r="J114" s="5">
        <f t="shared" si="16"/>
        <v>15.5</v>
      </c>
      <c r="K114" s="8" t="b">
        <f t="shared" si="17"/>
        <v>1</v>
      </c>
    </row>
    <row r="115" spans="1:11">
      <c r="A115" s="5">
        <v>129</v>
      </c>
      <c r="B115" s="6">
        <v>45126</v>
      </c>
      <c r="C115" s="7">
        <v>0.75</v>
      </c>
      <c r="D115" s="5">
        <v>7.83</v>
      </c>
      <c r="E115" s="5">
        <v>720.9</v>
      </c>
      <c r="F115" s="5">
        <v>736.2</v>
      </c>
      <c r="G115" s="6">
        <v>45126</v>
      </c>
      <c r="H115" s="5"/>
      <c r="I115" s="5"/>
      <c r="J115" s="5">
        <f t="shared" ref="J115:J122" si="18">F115-E115</f>
        <v>15.300000000000068</v>
      </c>
      <c r="K115" s="8" t="b">
        <f t="shared" ref="K115:K122" si="19">E115=F114</f>
        <v>1</v>
      </c>
    </row>
    <row r="116" spans="1:11">
      <c r="A116" s="5">
        <v>129</v>
      </c>
      <c r="B116" s="6">
        <v>45128</v>
      </c>
      <c r="C116" s="7">
        <v>0.75</v>
      </c>
      <c r="D116" s="5">
        <v>7.83</v>
      </c>
      <c r="E116" s="5">
        <v>736.2</v>
      </c>
      <c r="F116" s="5">
        <v>751.8</v>
      </c>
      <c r="G116" s="6">
        <v>45128</v>
      </c>
      <c r="H116" s="5"/>
      <c r="I116" s="5"/>
      <c r="J116" s="5">
        <f t="shared" si="18"/>
        <v>15.599999999999909</v>
      </c>
      <c r="K116" s="8" t="b">
        <f t="shared" si="19"/>
        <v>1</v>
      </c>
    </row>
    <row r="117" spans="1:11">
      <c r="A117" s="5">
        <v>129</v>
      </c>
      <c r="B117" s="6">
        <v>45129</v>
      </c>
      <c r="C117" s="7">
        <v>0.75</v>
      </c>
      <c r="D117" s="5">
        <v>7.83</v>
      </c>
      <c r="E117" s="5">
        <v>751.8</v>
      </c>
      <c r="F117" s="5">
        <v>768.4</v>
      </c>
      <c r="G117" s="6">
        <v>45129</v>
      </c>
      <c r="H117" s="5"/>
      <c r="I117" s="5"/>
      <c r="J117" s="5">
        <f t="shared" si="18"/>
        <v>16.600000000000023</v>
      </c>
      <c r="K117" s="8" t="b">
        <f t="shared" si="19"/>
        <v>1</v>
      </c>
    </row>
    <row r="118" spans="1:11">
      <c r="A118" s="5">
        <v>129</v>
      </c>
      <c r="B118" s="6">
        <v>45130</v>
      </c>
      <c r="C118" s="7">
        <v>0.9</v>
      </c>
      <c r="D118" s="5">
        <v>6.52</v>
      </c>
      <c r="E118" s="5">
        <v>768.2</v>
      </c>
      <c r="F118" s="5">
        <v>780</v>
      </c>
      <c r="G118" s="6">
        <v>45130</v>
      </c>
      <c r="H118" s="5"/>
      <c r="I118" s="5"/>
      <c r="J118" s="5">
        <f t="shared" si="18"/>
        <v>11.799999999999955</v>
      </c>
      <c r="K118" s="8" t="b">
        <f t="shared" si="19"/>
        <v>0</v>
      </c>
    </row>
    <row r="119" spans="1:11">
      <c r="A119" s="5">
        <v>129</v>
      </c>
      <c r="B119" s="6">
        <v>45132</v>
      </c>
      <c r="C119" s="7">
        <v>1</v>
      </c>
      <c r="D119" s="5">
        <v>5.87</v>
      </c>
      <c r="E119" s="5">
        <v>780</v>
      </c>
      <c r="F119" s="5">
        <v>791.7</v>
      </c>
      <c r="G119" s="6">
        <v>45132</v>
      </c>
      <c r="H119" s="5"/>
      <c r="I119" s="5"/>
      <c r="J119" s="5">
        <f t="shared" si="18"/>
        <v>11.700000000000045</v>
      </c>
      <c r="K119" s="8" t="b">
        <f t="shared" si="19"/>
        <v>1</v>
      </c>
    </row>
    <row r="120" spans="1:11">
      <c r="A120" s="25">
        <v>129</v>
      </c>
      <c r="B120" s="26">
        <v>45134</v>
      </c>
      <c r="C120" s="27">
        <v>1</v>
      </c>
      <c r="D120" s="25">
        <v>5.87</v>
      </c>
      <c r="E120" s="25">
        <v>791.7</v>
      </c>
      <c r="F120" s="25">
        <v>804.2</v>
      </c>
      <c r="G120" s="26">
        <v>45134</v>
      </c>
      <c r="H120" s="25"/>
      <c r="I120" s="25"/>
      <c r="J120" s="25">
        <f t="shared" si="18"/>
        <v>12.5</v>
      </c>
      <c r="K120" s="8" t="b">
        <f t="shared" si="19"/>
        <v>1</v>
      </c>
    </row>
    <row r="121" spans="1:11">
      <c r="A121" s="5">
        <v>129</v>
      </c>
      <c r="B121" s="6">
        <v>45135</v>
      </c>
      <c r="C121" s="7">
        <v>0.75</v>
      </c>
      <c r="D121" s="5">
        <v>7.83</v>
      </c>
      <c r="E121" s="5">
        <v>804.2</v>
      </c>
      <c r="F121" s="5">
        <v>819.4</v>
      </c>
      <c r="G121" s="6">
        <v>45135</v>
      </c>
      <c r="H121" s="5"/>
      <c r="I121" s="5"/>
      <c r="J121" s="5">
        <f t="shared" si="18"/>
        <v>15.199999999999932</v>
      </c>
      <c r="K121" s="8" t="b">
        <f t="shared" si="19"/>
        <v>1</v>
      </c>
    </row>
    <row r="122" spans="1:11">
      <c r="A122" s="5">
        <v>129</v>
      </c>
      <c r="B122" s="6">
        <v>45136</v>
      </c>
      <c r="C122" s="7">
        <v>0.85</v>
      </c>
      <c r="D122" s="5">
        <v>6.91</v>
      </c>
      <c r="E122" s="5">
        <v>819.4</v>
      </c>
      <c r="F122" s="5">
        <v>833.9</v>
      </c>
      <c r="G122" s="6">
        <v>45136</v>
      </c>
      <c r="H122" s="5"/>
      <c r="I122" s="5"/>
      <c r="J122" s="5">
        <f t="shared" si="18"/>
        <v>14.5</v>
      </c>
      <c r="K122" s="8" t="b">
        <f t="shared" si="19"/>
        <v>1</v>
      </c>
    </row>
    <row r="123" spans="1:11">
      <c r="A123" s="5">
        <v>129</v>
      </c>
      <c r="B123" s="6">
        <v>45138</v>
      </c>
      <c r="C123" s="7">
        <v>0.75</v>
      </c>
      <c r="D123" s="5">
        <v>7.83</v>
      </c>
      <c r="E123" s="5">
        <v>833.9</v>
      </c>
      <c r="F123" s="5">
        <v>848.3</v>
      </c>
      <c r="G123" s="6">
        <v>45138</v>
      </c>
      <c r="H123" s="5"/>
      <c r="I123" s="5"/>
      <c r="J123" s="5">
        <f t="shared" ref="J123:J136" si="20">F123-E123</f>
        <v>14.399999999999977</v>
      </c>
      <c r="K123" s="8" t="b">
        <f t="shared" ref="K123:K128" si="21">E123=F122</f>
        <v>1</v>
      </c>
    </row>
    <row r="124" spans="1:11">
      <c r="A124" s="5">
        <v>129</v>
      </c>
      <c r="B124" s="6">
        <v>45139</v>
      </c>
      <c r="C124" s="7">
        <v>0.85</v>
      </c>
      <c r="D124" s="5">
        <v>6.91</v>
      </c>
      <c r="E124" s="5">
        <v>848.3</v>
      </c>
      <c r="F124" s="5">
        <v>862.4</v>
      </c>
      <c r="G124" s="6">
        <v>45139</v>
      </c>
      <c r="H124" s="5"/>
      <c r="I124" s="5"/>
      <c r="J124" s="5">
        <f t="shared" si="20"/>
        <v>14.100000000000023</v>
      </c>
      <c r="K124" s="8" t="b">
        <f t="shared" si="21"/>
        <v>1</v>
      </c>
    </row>
    <row r="125" spans="1:11">
      <c r="A125" s="5">
        <v>129</v>
      </c>
      <c r="B125" s="6">
        <v>45141</v>
      </c>
      <c r="C125" s="7">
        <v>0.75</v>
      </c>
      <c r="D125" s="5">
        <v>7.83</v>
      </c>
      <c r="E125" s="5">
        <v>862.4</v>
      </c>
      <c r="F125" s="5">
        <v>877.8</v>
      </c>
      <c r="G125" s="6">
        <v>45141</v>
      </c>
      <c r="H125" s="5"/>
      <c r="I125" s="5"/>
      <c r="J125" s="5">
        <f t="shared" si="20"/>
        <v>15.399999999999977</v>
      </c>
      <c r="K125" s="8" t="b">
        <f t="shared" si="21"/>
        <v>1</v>
      </c>
    </row>
    <row r="126" spans="1:11">
      <c r="A126" s="5">
        <v>129</v>
      </c>
      <c r="B126" s="6">
        <v>45142</v>
      </c>
      <c r="C126" s="7">
        <v>0.85</v>
      </c>
      <c r="D126" s="5">
        <v>6.91</v>
      </c>
      <c r="E126" s="5">
        <v>877.8</v>
      </c>
      <c r="F126" s="5">
        <v>891.3</v>
      </c>
      <c r="G126" s="6">
        <v>45142</v>
      </c>
      <c r="H126" s="5"/>
      <c r="I126" s="5"/>
      <c r="J126" s="5">
        <f t="shared" si="20"/>
        <v>13.5</v>
      </c>
      <c r="K126" s="8" t="b">
        <f t="shared" si="21"/>
        <v>1</v>
      </c>
    </row>
    <row r="127" spans="1:11">
      <c r="A127" s="5">
        <v>129</v>
      </c>
      <c r="B127" s="6">
        <v>45144</v>
      </c>
      <c r="C127" s="7">
        <v>0.75</v>
      </c>
      <c r="D127" s="5">
        <v>7.83</v>
      </c>
      <c r="E127" s="5">
        <v>891.3</v>
      </c>
      <c r="F127" s="5">
        <v>907.4</v>
      </c>
      <c r="G127" s="6">
        <v>45144</v>
      </c>
      <c r="H127" s="5"/>
      <c r="I127" s="5"/>
      <c r="J127" s="5">
        <f t="shared" si="20"/>
        <v>16.100000000000023</v>
      </c>
      <c r="K127" s="8" t="b">
        <f t="shared" si="21"/>
        <v>1</v>
      </c>
    </row>
    <row r="128" spans="1:11">
      <c r="A128" s="5">
        <v>129</v>
      </c>
      <c r="B128" s="6">
        <v>45145</v>
      </c>
      <c r="C128" s="7">
        <v>0.85</v>
      </c>
      <c r="D128" s="5">
        <v>6.91</v>
      </c>
      <c r="E128" s="5">
        <v>907.4</v>
      </c>
      <c r="F128" s="5">
        <v>921.9</v>
      </c>
      <c r="G128" s="6">
        <v>45145</v>
      </c>
      <c r="H128" s="5"/>
      <c r="I128" s="5"/>
      <c r="J128" s="5">
        <f t="shared" si="20"/>
        <v>14.5</v>
      </c>
      <c r="K128" s="8" t="b">
        <f t="shared" si="21"/>
        <v>1</v>
      </c>
    </row>
    <row r="129" spans="1:11">
      <c r="A129" s="5">
        <v>129</v>
      </c>
      <c r="B129" s="6">
        <v>45147</v>
      </c>
      <c r="C129" s="7">
        <v>0.75</v>
      </c>
      <c r="D129" s="5">
        <v>7.83</v>
      </c>
      <c r="E129" s="5">
        <v>921.9</v>
      </c>
      <c r="F129" s="5">
        <v>929</v>
      </c>
      <c r="G129" s="6">
        <v>45147</v>
      </c>
      <c r="H129" s="5"/>
      <c r="I129" s="5"/>
      <c r="J129" s="5">
        <f t="shared" si="20"/>
        <v>7.1000000000000227</v>
      </c>
      <c r="K129" s="8" t="b">
        <f t="shared" ref="K129:K135" si="22">E129=F128</f>
        <v>1</v>
      </c>
    </row>
    <row r="130" spans="1:11">
      <c r="A130" s="5">
        <v>129</v>
      </c>
      <c r="B130" s="6">
        <v>45148</v>
      </c>
      <c r="C130" s="7">
        <v>1</v>
      </c>
      <c r="D130" s="5">
        <v>5.87</v>
      </c>
      <c r="E130" s="5">
        <v>929</v>
      </c>
      <c r="F130" s="5">
        <v>935</v>
      </c>
      <c r="G130" s="6">
        <v>45148</v>
      </c>
      <c r="H130" s="5"/>
      <c r="I130" s="5"/>
      <c r="J130" s="5">
        <f t="shared" si="20"/>
        <v>6</v>
      </c>
      <c r="K130" s="8" t="b">
        <f t="shared" si="22"/>
        <v>1</v>
      </c>
    </row>
    <row r="131" spans="1:11">
      <c r="A131" s="5">
        <v>129</v>
      </c>
      <c r="B131" s="6">
        <v>45149</v>
      </c>
      <c r="C131" s="7">
        <v>1</v>
      </c>
      <c r="D131" s="5">
        <v>5.87</v>
      </c>
      <c r="E131" s="5">
        <v>935</v>
      </c>
      <c r="F131" s="5">
        <v>946.7</v>
      </c>
      <c r="G131" s="6">
        <v>45149</v>
      </c>
      <c r="H131" s="5"/>
      <c r="I131" s="5"/>
      <c r="J131" s="5">
        <f t="shared" si="20"/>
        <v>11.700000000000045</v>
      </c>
      <c r="K131" s="8" t="b">
        <f t="shared" si="22"/>
        <v>1</v>
      </c>
    </row>
    <row r="132" spans="1:11">
      <c r="A132" s="5">
        <v>129</v>
      </c>
      <c r="B132" s="6">
        <v>45151</v>
      </c>
      <c r="C132" s="7">
        <v>1</v>
      </c>
      <c r="D132" s="5">
        <v>5.87</v>
      </c>
      <c r="E132" s="5">
        <v>946.7</v>
      </c>
      <c r="F132" s="5">
        <v>958.4</v>
      </c>
      <c r="G132" s="6">
        <v>45151</v>
      </c>
      <c r="H132" s="5"/>
      <c r="I132" s="5"/>
      <c r="J132" s="5">
        <f t="shared" si="20"/>
        <v>11.699999999999932</v>
      </c>
      <c r="K132" s="8" t="b">
        <f t="shared" si="22"/>
        <v>1</v>
      </c>
    </row>
    <row r="133" spans="1:11">
      <c r="A133" s="5">
        <v>129</v>
      </c>
      <c r="B133" s="6">
        <v>45153</v>
      </c>
      <c r="C133" s="7">
        <v>1</v>
      </c>
      <c r="D133" s="5">
        <v>5.87</v>
      </c>
      <c r="E133" s="5">
        <v>958.4</v>
      </c>
      <c r="F133" s="5">
        <v>963.6</v>
      </c>
      <c r="G133" s="6">
        <v>45153</v>
      </c>
      <c r="H133" s="5"/>
      <c r="I133" s="5"/>
      <c r="J133" s="5">
        <f t="shared" si="20"/>
        <v>5.2000000000000455</v>
      </c>
      <c r="K133" s="8" t="b">
        <f t="shared" si="22"/>
        <v>1</v>
      </c>
    </row>
    <row r="134" spans="1:11">
      <c r="A134" s="5">
        <v>129</v>
      </c>
      <c r="B134" s="6">
        <v>45165</v>
      </c>
      <c r="C134" s="7">
        <v>0.4</v>
      </c>
      <c r="D134" s="5">
        <v>14.68</v>
      </c>
      <c r="E134" s="5">
        <v>963.6</v>
      </c>
      <c r="F134" s="5">
        <v>978.1</v>
      </c>
      <c r="G134" s="6">
        <v>45165</v>
      </c>
      <c r="H134" s="5"/>
      <c r="I134" s="5"/>
      <c r="J134" s="5">
        <f t="shared" si="20"/>
        <v>14.5</v>
      </c>
      <c r="K134" s="8" t="b">
        <f t="shared" si="22"/>
        <v>1</v>
      </c>
    </row>
    <row r="135" spans="1:11">
      <c r="A135" s="5">
        <v>129</v>
      </c>
      <c r="B135" s="6">
        <v>45166</v>
      </c>
      <c r="C135" s="7">
        <v>0.4</v>
      </c>
      <c r="D135" s="5">
        <v>14.68</v>
      </c>
      <c r="E135" s="5">
        <v>978.1</v>
      </c>
      <c r="F135" s="5">
        <v>978.6</v>
      </c>
      <c r="G135" s="6">
        <v>45166</v>
      </c>
      <c r="H135" s="5"/>
      <c r="I135" s="5"/>
      <c r="J135" s="5">
        <f t="shared" si="20"/>
        <v>0.5</v>
      </c>
      <c r="K135" s="8" t="b">
        <f t="shared" si="22"/>
        <v>1</v>
      </c>
    </row>
    <row r="136" spans="1:11">
      <c r="A136" s="5">
        <v>129</v>
      </c>
      <c r="B136" s="6"/>
      <c r="C136" s="7"/>
      <c r="D136" s="5"/>
      <c r="E136" s="5"/>
      <c r="F136" s="5"/>
      <c r="G136" s="6"/>
      <c r="H136" s="5"/>
      <c r="I136" s="5"/>
      <c r="J136" s="5">
        <f t="shared" si="20"/>
        <v>0</v>
      </c>
      <c r="K136" s="8" t="b">
        <f>E136=F135</f>
        <v>0</v>
      </c>
    </row>
    <row r="137" spans="1:11">
      <c r="K137" s="106"/>
    </row>
    <row r="138" spans="1:11">
      <c r="A138" s="15"/>
      <c r="B138" s="12"/>
      <c r="C138" s="13"/>
      <c r="D138" s="15"/>
      <c r="E138" s="15"/>
      <c r="F138" s="15"/>
      <c r="G138" s="12"/>
      <c r="H138" s="15"/>
      <c r="I138" s="15"/>
      <c r="J138" s="15"/>
    </row>
    <row r="139" spans="1:11" ht="26.25">
      <c r="A139" s="228" t="s">
        <v>350</v>
      </c>
      <c r="B139" s="229"/>
      <c r="C139" s="229"/>
      <c r="D139" s="229"/>
      <c r="E139" s="229"/>
      <c r="F139" s="229"/>
      <c r="G139" s="229"/>
      <c r="H139" s="229"/>
      <c r="I139" s="229"/>
      <c r="J139" s="229"/>
      <c r="K139" s="230"/>
    </row>
    <row r="140" spans="1:11" ht="26.25">
      <c r="A140" s="202" t="s">
        <v>352</v>
      </c>
      <c r="B140" s="203"/>
      <c r="C140" s="203"/>
      <c r="D140" s="203"/>
      <c r="E140" s="203"/>
      <c r="F140" s="203"/>
      <c r="G140" s="203"/>
      <c r="H140" s="203"/>
      <c r="I140" s="203"/>
      <c r="J140" s="203"/>
      <c r="K140" s="204"/>
    </row>
    <row r="141" spans="1:11" ht="15.75" thickBot="1">
      <c r="A141" s="5">
        <v>3</v>
      </c>
      <c r="B141" s="6"/>
      <c r="C141" s="7"/>
      <c r="D141" s="5"/>
      <c r="E141" s="5"/>
      <c r="F141" s="5"/>
      <c r="G141" s="6"/>
      <c r="H141" s="5"/>
      <c r="I141" s="5"/>
      <c r="J141" s="5"/>
    </row>
    <row r="142" spans="1:11" ht="15.75" thickBot="1">
      <c r="A142" s="132" t="s">
        <v>2</v>
      </c>
      <c r="B142" s="133"/>
      <c r="C142" s="133"/>
      <c r="D142" s="133"/>
      <c r="E142" s="133"/>
      <c r="F142" s="133"/>
      <c r="G142" s="133"/>
      <c r="H142" s="133"/>
      <c r="I142" s="133"/>
      <c r="J142" s="133"/>
      <c r="K142" s="134"/>
    </row>
    <row r="143" spans="1:11" ht="19.5" thickBot="1">
      <c r="A143" s="1" t="s">
        <v>3</v>
      </c>
      <c r="B143" s="1"/>
      <c r="C143" s="1"/>
      <c r="D143" s="1"/>
      <c r="E143" s="1"/>
      <c r="F143" s="1"/>
      <c r="G143" s="1"/>
      <c r="H143" s="1"/>
      <c r="I143" s="1"/>
    </row>
    <row r="144" spans="1:11" ht="30.75" thickBot="1">
      <c r="A144" s="2" t="s">
        <v>4</v>
      </c>
      <c r="B144" s="3" t="s">
        <v>5</v>
      </c>
      <c r="C144" s="3" t="s">
        <v>6</v>
      </c>
      <c r="D144" s="3" t="s">
        <v>7</v>
      </c>
      <c r="E144" s="3" t="s">
        <v>8</v>
      </c>
      <c r="F144" s="3" t="s">
        <v>9</v>
      </c>
      <c r="G144" s="3" t="s">
        <v>10</v>
      </c>
      <c r="H144" s="3" t="s">
        <v>21</v>
      </c>
      <c r="I144" s="4" t="s">
        <v>22</v>
      </c>
      <c r="J144" s="4" t="s">
        <v>11</v>
      </c>
      <c r="K144" s="4" t="s">
        <v>12</v>
      </c>
    </row>
    <row r="145" spans="1:11">
      <c r="A145" s="5">
        <v>129</v>
      </c>
      <c r="B145" s="6">
        <v>45242</v>
      </c>
      <c r="C145" s="7">
        <v>0.8</v>
      </c>
      <c r="D145" s="5">
        <v>7.34</v>
      </c>
      <c r="E145" s="5">
        <v>993.1</v>
      </c>
      <c r="F145" s="5">
        <v>1007.4</v>
      </c>
      <c r="G145" s="6">
        <v>45242</v>
      </c>
      <c r="H145" s="5"/>
      <c r="I145" s="5"/>
      <c r="J145" s="5">
        <f t="shared" ref="J145" si="23">F145-E145</f>
        <v>14.299999999999955</v>
      </c>
      <c r="K145" s="8" t="b">
        <f>E145=F145</f>
        <v>0</v>
      </c>
    </row>
    <row r="146" spans="1:11">
      <c r="A146" s="5">
        <v>129</v>
      </c>
      <c r="B146" s="6">
        <v>45244</v>
      </c>
      <c r="C146" s="7">
        <v>1</v>
      </c>
      <c r="D146" s="5">
        <v>5.87</v>
      </c>
      <c r="E146" s="5">
        <v>1007.4</v>
      </c>
      <c r="F146" s="5">
        <v>1019.2</v>
      </c>
      <c r="G146" s="6">
        <v>45244</v>
      </c>
      <c r="H146" s="5"/>
      <c r="I146" s="5"/>
      <c r="J146" s="5">
        <f t="shared" ref="J146:J161" si="24">F146-E146</f>
        <v>11.800000000000068</v>
      </c>
      <c r="K146" s="8" t="b">
        <f>E146=F145</f>
        <v>1</v>
      </c>
    </row>
    <row r="147" spans="1:11">
      <c r="A147" s="5">
        <v>129</v>
      </c>
      <c r="B147" s="6">
        <v>45245</v>
      </c>
      <c r="C147" s="7">
        <v>1</v>
      </c>
      <c r="D147" s="5">
        <v>5.87</v>
      </c>
      <c r="E147" s="5">
        <v>1019.2</v>
      </c>
      <c r="F147" s="5">
        <v>1030.5999999999999</v>
      </c>
      <c r="G147" s="6">
        <v>45245</v>
      </c>
      <c r="H147" s="5"/>
      <c r="I147" s="5"/>
      <c r="J147" s="5">
        <f t="shared" si="24"/>
        <v>11.399999999999864</v>
      </c>
      <c r="K147" s="8" t="b">
        <f t="shared" ref="K147:K161" si="25">E147=F146</f>
        <v>1</v>
      </c>
    </row>
    <row r="148" spans="1:11">
      <c r="A148" s="5">
        <v>129</v>
      </c>
      <c r="B148" s="6">
        <v>45246</v>
      </c>
      <c r="C148" s="7">
        <v>1</v>
      </c>
      <c r="D148" s="5">
        <v>5.87</v>
      </c>
      <c r="E148" s="5">
        <v>1030.5999999999999</v>
      </c>
      <c r="F148" s="5">
        <v>1042.0999999999999</v>
      </c>
      <c r="G148" s="6">
        <v>45246</v>
      </c>
      <c r="H148" s="5"/>
      <c r="I148" s="5"/>
      <c r="J148" s="5">
        <f t="shared" si="24"/>
        <v>11.5</v>
      </c>
      <c r="K148" s="8" t="b">
        <f t="shared" si="25"/>
        <v>1</v>
      </c>
    </row>
    <row r="149" spans="1:11">
      <c r="A149" s="5">
        <v>129</v>
      </c>
      <c r="B149" s="6">
        <v>45247</v>
      </c>
      <c r="C149" s="7">
        <v>1</v>
      </c>
      <c r="D149" s="5">
        <v>5.87</v>
      </c>
      <c r="E149" s="5">
        <v>1042.0999999999999</v>
      </c>
      <c r="F149" s="5">
        <v>1053.5999999999999</v>
      </c>
      <c r="G149" s="6">
        <v>45247</v>
      </c>
      <c r="H149" s="5"/>
      <c r="I149" s="5"/>
      <c r="J149" s="5">
        <f t="shared" si="24"/>
        <v>11.5</v>
      </c>
      <c r="K149" s="8" t="b">
        <f t="shared" si="25"/>
        <v>1</v>
      </c>
    </row>
    <row r="150" spans="1:11">
      <c r="A150" s="5">
        <v>129</v>
      </c>
      <c r="B150" s="6">
        <v>45248</v>
      </c>
      <c r="C150" s="7">
        <v>1</v>
      </c>
      <c r="D150" s="5">
        <v>5.87</v>
      </c>
      <c r="E150" s="5">
        <v>1053.5999999999999</v>
      </c>
      <c r="F150" s="5">
        <v>1065</v>
      </c>
      <c r="G150" s="6">
        <v>45248</v>
      </c>
      <c r="H150" s="5"/>
      <c r="I150" s="5"/>
      <c r="J150" s="5">
        <f t="shared" si="24"/>
        <v>11.400000000000091</v>
      </c>
      <c r="K150" s="8" t="b">
        <f t="shared" si="25"/>
        <v>1</v>
      </c>
    </row>
    <row r="151" spans="1:11">
      <c r="A151" s="5">
        <v>129</v>
      </c>
      <c r="B151" s="6">
        <v>45249</v>
      </c>
      <c r="C151" s="7">
        <v>1</v>
      </c>
      <c r="D151" s="5">
        <v>5.87</v>
      </c>
      <c r="E151" s="5">
        <v>1065</v>
      </c>
      <c r="F151" s="5">
        <v>1076.5</v>
      </c>
      <c r="G151" s="6">
        <v>45249</v>
      </c>
      <c r="H151" s="5"/>
      <c r="I151" s="5"/>
      <c r="J151" s="5">
        <f t="shared" si="24"/>
        <v>11.5</v>
      </c>
      <c r="K151" s="8" t="b">
        <f t="shared" si="25"/>
        <v>1</v>
      </c>
    </row>
    <row r="152" spans="1:11">
      <c r="A152" s="5">
        <v>129</v>
      </c>
      <c r="B152" s="6">
        <v>45250</v>
      </c>
      <c r="C152" s="7">
        <v>1</v>
      </c>
      <c r="D152" s="5">
        <v>5.87</v>
      </c>
      <c r="E152" s="5">
        <v>1076.5</v>
      </c>
      <c r="F152" s="5">
        <v>1088</v>
      </c>
      <c r="G152" s="6">
        <v>45250</v>
      </c>
      <c r="H152" s="5"/>
      <c r="I152" s="5"/>
      <c r="J152" s="5">
        <f t="shared" si="24"/>
        <v>11.5</v>
      </c>
      <c r="K152" s="8" t="b">
        <f t="shared" si="25"/>
        <v>1</v>
      </c>
    </row>
    <row r="153" spans="1:11">
      <c r="A153" s="5">
        <v>129</v>
      </c>
      <c r="B153" s="6">
        <v>45251</v>
      </c>
      <c r="C153" s="7">
        <v>1</v>
      </c>
      <c r="D153" s="5">
        <v>5.87</v>
      </c>
      <c r="E153" s="5">
        <v>1088</v>
      </c>
      <c r="F153" s="5">
        <v>1099.4000000000001</v>
      </c>
      <c r="G153" s="6">
        <v>45251</v>
      </c>
      <c r="H153" s="5"/>
      <c r="I153" s="5"/>
      <c r="J153" s="5">
        <f t="shared" si="24"/>
        <v>11.400000000000091</v>
      </c>
      <c r="K153" s="8" t="b">
        <f t="shared" si="25"/>
        <v>1</v>
      </c>
    </row>
    <row r="154" spans="1:11">
      <c r="A154" s="5">
        <v>129</v>
      </c>
      <c r="B154" s="6">
        <v>45252</v>
      </c>
      <c r="C154" s="7">
        <v>1</v>
      </c>
      <c r="D154" s="5">
        <v>5.87</v>
      </c>
      <c r="E154" s="5">
        <v>1099.4000000000001</v>
      </c>
      <c r="F154" s="5">
        <v>1110.9000000000001</v>
      </c>
      <c r="G154" s="6">
        <v>45252</v>
      </c>
      <c r="H154" s="5"/>
      <c r="I154" s="5"/>
      <c r="J154" s="5">
        <f t="shared" si="24"/>
        <v>11.5</v>
      </c>
      <c r="K154" s="8" t="b">
        <f t="shared" si="25"/>
        <v>1</v>
      </c>
    </row>
    <row r="155" spans="1:11">
      <c r="A155" s="5">
        <v>129</v>
      </c>
      <c r="B155" s="6">
        <v>45253</v>
      </c>
      <c r="C155" s="7">
        <v>1</v>
      </c>
      <c r="D155" s="5">
        <v>5.87</v>
      </c>
      <c r="E155" s="5">
        <v>1110.9000000000001</v>
      </c>
      <c r="F155" s="5">
        <v>1122.4000000000001</v>
      </c>
      <c r="G155" s="6">
        <v>45253</v>
      </c>
      <c r="H155" s="5"/>
      <c r="I155" s="5"/>
      <c r="J155" s="5">
        <f t="shared" si="24"/>
        <v>11.5</v>
      </c>
      <c r="K155" s="8" t="b">
        <f t="shared" si="25"/>
        <v>1</v>
      </c>
    </row>
    <row r="156" spans="1:11">
      <c r="A156" s="5">
        <v>129</v>
      </c>
      <c r="B156" s="6">
        <v>45255</v>
      </c>
      <c r="C156" s="7">
        <v>1</v>
      </c>
      <c r="D156" s="5">
        <v>5.87</v>
      </c>
      <c r="E156" s="5">
        <v>1122.4000000000001</v>
      </c>
      <c r="F156" s="5">
        <v>1134</v>
      </c>
      <c r="G156" s="6">
        <v>45255</v>
      </c>
      <c r="H156" s="5"/>
      <c r="I156" s="5"/>
      <c r="J156" s="5">
        <f t="shared" si="24"/>
        <v>11.599999999999909</v>
      </c>
      <c r="K156" s="8" t="b">
        <f t="shared" si="25"/>
        <v>1</v>
      </c>
    </row>
    <row r="157" spans="1:11">
      <c r="A157" s="5">
        <v>129</v>
      </c>
      <c r="B157" s="6">
        <v>45256</v>
      </c>
      <c r="C157" s="7">
        <v>1</v>
      </c>
      <c r="D157" s="5">
        <v>5.87</v>
      </c>
      <c r="E157" s="5">
        <v>1134</v>
      </c>
      <c r="F157" s="5">
        <v>1145.5</v>
      </c>
      <c r="G157" s="6">
        <v>45256</v>
      </c>
      <c r="H157" s="5"/>
      <c r="I157" s="5"/>
      <c r="J157" s="5">
        <f t="shared" si="24"/>
        <v>11.5</v>
      </c>
      <c r="K157" s="8" t="b">
        <f t="shared" si="25"/>
        <v>1</v>
      </c>
    </row>
    <row r="158" spans="1:11">
      <c r="A158" s="5">
        <v>129</v>
      </c>
      <c r="B158" s="6">
        <v>45258</v>
      </c>
      <c r="C158" s="7">
        <v>1</v>
      </c>
      <c r="D158" s="5">
        <v>5.87</v>
      </c>
      <c r="E158" s="5">
        <v>1145.5</v>
      </c>
      <c r="F158" s="5">
        <v>1157</v>
      </c>
      <c r="G158" s="6">
        <v>45258</v>
      </c>
      <c r="H158" s="5"/>
      <c r="I158" s="5"/>
      <c r="J158" s="5">
        <f t="shared" si="24"/>
        <v>11.5</v>
      </c>
      <c r="K158" s="8" t="b">
        <f t="shared" si="25"/>
        <v>1</v>
      </c>
    </row>
    <row r="159" spans="1:11">
      <c r="A159" s="5">
        <v>129</v>
      </c>
      <c r="B159" s="6">
        <v>45260</v>
      </c>
      <c r="C159" s="7">
        <v>0.6</v>
      </c>
      <c r="D159" s="5">
        <v>9.7799999999999994</v>
      </c>
      <c r="E159" s="5">
        <v>1157</v>
      </c>
      <c r="F159" s="5">
        <v>1176.4000000000001</v>
      </c>
      <c r="G159" s="6">
        <v>45260</v>
      </c>
      <c r="H159" s="5"/>
      <c r="I159" s="5"/>
      <c r="J159" s="5">
        <f t="shared" si="24"/>
        <v>19.400000000000091</v>
      </c>
      <c r="K159" s="8" t="b">
        <f t="shared" si="25"/>
        <v>1</v>
      </c>
    </row>
    <row r="160" spans="1:11">
      <c r="A160" s="5">
        <v>129</v>
      </c>
      <c r="B160" s="6">
        <v>45262</v>
      </c>
      <c r="C160" s="7">
        <v>1</v>
      </c>
      <c r="D160" s="5">
        <v>5.87</v>
      </c>
      <c r="E160" s="5">
        <v>1176.4000000000001</v>
      </c>
      <c r="F160" s="5">
        <v>1187.9000000000001</v>
      </c>
      <c r="G160" s="6">
        <v>45262</v>
      </c>
      <c r="H160" s="5"/>
      <c r="I160" s="5"/>
      <c r="J160" s="5">
        <f t="shared" si="24"/>
        <v>11.5</v>
      </c>
      <c r="K160" s="8" t="b">
        <f t="shared" si="25"/>
        <v>1</v>
      </c>
    </row>
    <row r="161" spans="1:11">
      <c r="A161" s="5">
        <v>129</v>
      </c>
      <c r="B161" s="6">
        <v>45265</v>
      </c>
      <c r="C161" s="7">
        <v>0.8</v>
      </c>
      <c r="D161" s="5">
        <v>7.34</v>
      </c>
      <c r="E161" s="5">
        <v>1187.9000000000001</v>
      </c>
      <c r="F161" s="5">
        <v>1202.2</v>
      </c>
      <c r="G161" s="6">
        <v>45264</v>
      </c>
      <c r="H161" s="5"/>
      <c r="I161" s="5"/>
      <c r="J161" s="5">
        <f t="shared" si="24"/>
        <v>14.299999999999955</v>
      </c>
      <c r="K161" s="8" t="b">
        <f t="shared" si="25"/>
        <v>1</v>
      </c>
    </row>
    <row r="162" spans="1:11">
      <c r="A162" s="80">
        <v>129</v>
      </c>
      <c r="B162" s="81">
        <v>45266</v>
      </c>
      <c r="C162" s="82">
        <v>1</v>
      </c>
      <c r="D162" s="80">
        <v>5.87</v>
      </c>
      <c r="E162" s="80">
        <v>1202.2</v>
      </c>
      <c r="F162" s="80">
        <v>1213.0999999999999</v>
      </c>
      <c r="G162" s="81">
        <v>45266</v>
      </c>
      <c r="H162" s="80"/>
      <c r="I162" s="80"/>
      <c r="J162" s="80">
        <f t="shared" ref="J162:J181" si="26">F162-E162</f>
        <v>10.899999999999864</v>
      </c>
      <c r="K162" s="8" t="b">
        <f t="shared" ref="K162:K181" si="27">E162=F161</f>
        <v>1</v>
      </c>
    </row>
    <row r="163" spans="1:11">
      <c r="A163" s="5">
        <v>129</v>
      </c>
      <c r="B163" s="6">
        <v>45267</v>
      </c>
      <c r="C163" s="7">
        <v>0.8</v>
      </c>
      <c r="D163" s="5">
        <v>7.34</v>
      </c>
      <c r="E163" s="5">
        <v>1213.0999999999999</v>
      </c>
      <c r="F163" s="5">
        <v>1228.5999999999999</v>
      </c>
      <c r="G163" s="6">
        <v>45267</v>
      </c>
      <c r="H163" s="5"/>
      <c r="I163" s="5"/>
      <c r="J163" s="5">
        <f t="shared" si="26"/>
        <v>15.5</v>
      </c>
      <c r="K163" s="8" t="b">
        <f t="shared" si="27"/>
        <v>1</v>
      </c>
    </row>
    <row r="164" spans="1:11">
      <c r="A164" s="5">
        <v>129</v>
      </c>
      <c r="B164" s="6">
        <v>45269</v>
      </c>
      <c r="C164" s="7">
        <v>0.8</v>
      </c>
      <c r="D164" s="5">
        <v>7.34</v>
      </c>
      <c r="E164" s="5">
        <v>1228.5999999999999</v>
      </c>
      <c r="F164" s="5">
        <v>1242.2</v>
      </c>
      <c r="G164" s="6">
        <v>45269</v>
      </c>
      <c r="H164" s="5"/>
      <c r="I164" s="5"/>
      <c r="J164" s="5">
        <f t="shared" si="26"/>
        <v>13.600000000000136</v>
      </c>
      <c r="K164" s="8" t="b">
        <f t="shared" si="27"/>
        <v>1</v>
      </c>
    </row>
    <row r="165" spans="1:11">
      <c r="A165" s="5">
        <v>129</v>
      </c>
      <c r="B165" s="6">
        <v>45271</v>
      </c>
      <c r="C165" s="7">
        <v>0.8</v>
      </c>
      <c r="D165" s="5">
        <v>7.34</v>
      </c>
      <c r="E165" s="5">
        <v>1242.2</v>
      </c>
      <c r="F165" s="5">
        <v>1256.5</v>
      </c>
      <c r="G165" s="6">
        <v>45271</v>
      </c>
      <c r="H165" s="5"/>
      <c r="I165" s="5"/>
      <c r="J165" s="5">
        <f t="shared" si="26"/>
        <v>14.299999999999955</v>
      </c>
      <c r="K165" s="8" t="b">
        <f t="shared" si="27"/>
        <v>1</v>
      </c>
    </row>
    <row r="166" spans="1:11">
      <c r="A166" s="5">
        <v>129</v>
      </c>
      <c r="B166" s="6">
        <v>45273</v>
      </c>
      <c r="C166" s="7">
        <v>0.8</v>
      </c>
      <c r="D166" s="5">
        <v>7.34</v>
      </c>
      <c r="E166" s="5">
        <v>1256.5</v>
      </c>
      <c r="F166" s="5">
        <v>1270.5999999999999</v>
      </c>
      <c r="G166" s="6">
        <v>45273</v>
      </c>
      <c r="H166" s="5"/>
      <c r="I166" s="5"/>
      <c r="J166" s="5">
        <f t="shared" si="26"/>
        <v>14.099999999999909</v>
      </c>
      <c r="K166" s="8" t="b">
        <f t="shared" si="27"/>
        <v>1</v>
      </c>
    </row>
    <row r="167" spans="1:11">
      <c r="A167" s="5">
        <v>129</v>
      </c>
      <c r="B167" s="6">
        <v>45275</v>
      </c>
      <c r="C167" s="7">
        <v>0.7</v>
      </c>
      <c r="D167" s="5">
        <v>8.39</v>
      </c>
      <c r="E167" s="5">
        <v>1270.5999999999999</v>
      </c>
      <c r="F167" s="5">
        <v>1287.0999999999999</v>
      </c>
      <c r="G167" s="6">
        <v>45275</v>
      </c>
      <c r="H167" s="5"/>
      <c r="I167" s="5"/>
      <c r="J167" s="5">
        <f t="shared" si="26"/>
        <v>16.5</v>
      </c>
      <c r="K167" s="8" t="b">
        <f t="shared" si="27"/>
        <v>1</v>
      </c>
    </row>
    <row r="168" spans="1:11">
      <c r="A168" s="5">
        <v>129</v>
      </c>
      <c r="B168" s="6">
        <v>45277</v>
      </c>
      <c r="C168" s="7">
        <v>0.8</v>
      </c>
      <c r="D168" s="5">
        <v>7.34</v>
      </c>
      <c r="E168" s="5">
        <v>1287.0999999999999</v>
      </c>
      <c r="F168" s="5">
        <v>1301.3</v>
      </c>
      <c r="G168" s="6">
        <v>45277</v>
      </c>
      <c r="H168" s="5"/>
      <c r="I168" s="5"/>
      <c r="J168" s="5">
        <f t="shared" si="26"/>
        <v>14.200000000000045</v>
      </c>
      <c r="K168" s="8" t="b">
        <f t="shared" si="27"/>
        <v>1</v>
      </c>
    </row>
    <row r="169" spans="1:11">
      <c r="A169" s="5">
        <v>129</v>
      </c>
      <c r="B169" s="6">
        <v>45279</v>
      </c>
      <c r="C169" s="7">
        <v>1</v>
      </c>
      <c r="D169" s="5">
        <v>5.87</v>
      </c>
      <c r="E169" s="5">
        <v>1301.3</v>
      </c>
      <c r="F169" s="5">
        <v>1312.8</v>
      </c>
      <c r="G169" s="6">
        <v>45279</v>
      </c>
      <c r="H169" s="5"/>
      <c r="I169" s="5"/>
      <c r="J169" s="5">
        <f t="shared" si="26"/>
        <v>11.5</v>
      </c>
      <c r="K169" s="8" t="b">
        <f t="shared" si="27"/>
        <v>1</v>
      </c>
    </row>
    <row r="170" spans="1:11">
      <c r="A170" s="5">
        <v>129</v>
      </c>
      <c r="B170" s="6">
        <v>45281</v>
      </c>
      <c r="C170" s="7">
        <v>1</v>
      </c>
      <c r="D170" s="5">
        <v>5.87</v>
      </c>
      <c r="E170" s="5">
        <v>1312.8</v>
      </c>
      <c r="F170" s="5">
        <v>1324.3</v>
      </c>
      <c r="G170" s="6">
        <v>45281</v>
      </c>
      <c r="H170" s="5"/>
      <c r="I170" s="5"/>
      <c r="J170" s="5">
        <f t="shared" si="26"/>
        <v>11.5</v>
      </c>
      <c r="K170" s="8" t="b">
        <f t="shared" si="27"/>
        <v>1</v>
      </c>
    </row>
    <row r="171" spans="1:11">
      <c r="A171" s="5">
        <v>129</v>
      </c>
      <c r="B171" s="6">
        <v>45285</v>
      </c>
      <c r="C171" s="7">
        <v>0.8</v>
      </c>
      <c r="D171" s="5">
        <v>7.34</v>
      </c>
      <c r="E171" s="5">
        <v>1324.3</v>
      </c>
      <c r="F171" s="5">
        <v>1338.7</v>
      </c>
      <c r="G171" s="6">
        <v>45285</v>
      </c>
      <c r="H171" s="5"/>
      <c r="I171" s="5"/>
      <c r="J171" s="5">
        <f t="shared" si="26"/>
        <v>14.400000000000091</v>
      </c>
      <c r="K171" s="8" t="b">
        <f t="shared" si="27"/>
        <v>1</v>
      </c>
    </row>
    <row r="172" spans="1:11">
      <c r="A172" s="80">
        <v>129</v>
      </c>
      <c r="B172" s="81">
        <v>45287</v>
      </c>
      <c r="C172" s="82">
        <v>1</v>
      </c>
      <c r="D172" s="80">
        <v>5.87</v>
      </c>
      <c r="E172" s="80">
        <v>1338.7</v>
      </c>
      <c r="F172" s="80">
        <v>1350.3</v>
      </c>
      <c r="G172" s="81">
        <v>45287</v>
      </c>
      <c r="H172" s="80"/>
      <c r="I172" s="80"/>
      <c r="J172" s="80">
        <f t="shared" si="26"/>
        <v>11.599999999999909</v>
      </c>
      <c r="K172" s="8" t="b">
        <f t="shared" si="27"/>
        <v>1</v>
      </c>
    </row>
    <row r="173" spans="1:11">
      <c r="A173" s="5">
        <v>129</v>
      </c>
      <c r="B173" s="6">
        <v>45288</v>
      </c>
      <c r="C173" s="7">
        <v>0.6</v>
      </c>
      <c r="D173" s="5">
        <v>9.7799999999999994</v>
      </c>
      <c r="E173" s="5">
        <v>1350.3</v>
      </c>
      <c r="F173" s="5">
        <v>1369.2</v>
      </c>
      <c r="G173" s="6">
        <v>45289</v>
      </c>
      <c r="H173" s="5"/>
      <c r="I173" s="5"/>
      <c r="J173" s="5">
        <f t="shared" si="26"/>
        <v>18.900000000000091</v>
      </c>
      <c r="K173" s="8" t="b">
        <f t="shared" si="27"/>
        <v>1</v>
      </c>
    </row>
    <row r="174" spans="1:11">
      <c r="A174" s="5">
        <v>129</v>
      </c>
      <c r="B174" s="6">
        <v>45291</v>
      </c>
      <c r="C174" s="7">
        <v>1</v>
      </c>
      <c r="D174" s="5">
        <v>5.87</v>
      </c>
      <c r="E174" s="5">
        <v>1369.2</v>
      </c>
      <c r="F174" s="5">
        <v>1383.8</v>
      </c>
      <c r="G174" s="6">
        <v>45291</v>
      </c>
      <c r="H174" s="5"/>
      <c r="I174" s="5"/>
      <c r="J174" s="5">
        <f t="shared" si="26"/>
        <v>14.599999999999909</v>
      </c>
      <c r="K174" s="8" t="b">
        <f t="shared" si="27"/>
        <v>1</v>
      </c>
    </row>
    <row r="175" spans="1:11">
      <c r="A175" s="80">
        <v>129</v>
      </c>
      <c r="B175" s="81">
        <v>45322</v>
      </c>
      <c r="C175" s="82">
        <v>1</v>
      </c>
      <c r="D175" s="80">
        <v>5.87</v>
      </c>
      <c r="E175" s="80">
        <v>1385.2</v>
      </c>
      <c r="F175" s="80">
        <v>1398.4</v>
      </c>
      <c r="G175" s="81">
        <v>45322</v>
      </c>
      <c r="H175" s="80"/>
      <c r="I175" s="80"/>
      <c r="J175" s="80">
        <f t="shared" si="26"/>
        <v>13.200000000000045</v>
      </c>
      <c r="K175" s="8" t="b">
        <f t="shared" si="27"/>
        <v>0</v>
      </c>
    </row>
    <row r="176" spans="1:11">
      <c r="A176" s="5">
        <v>129</v>
      </c>
      <c r="B176" s="6">
        <v>45336</v>
      </c>
      <c r="C176" s="7">
        <v>1</v>
      </c>
      <c r="D176" s="5">
        <v>5.87</v>
      </c>
      <c r="E176" s="5">
        <v>1398.4</v>
      </c>
      <c r="F176" s="5">
        <v>1410.4</v>
      </c>
      <c r="G176" s="6">
        <v>45336</v>
      </c>
      <c r="H176" s="5"/>
      <c r="I176" s="5"/>
      <c r="J176" s="5">
        <f t="shared" si="26"/>
        <v>12</v>
      </c>
      <c r="K176" s="8" t="b">
        <f t="shared" si="27"/>
        <v>1</v>
      </c>
    </row>
    <row r="177" spans="1:11">
      <c r="A177" s="5">
        <v>129</v>
      </c>
      <c r="B177" s="6">
        <v>45349</v>
      </c>
      <c r="C177" s="7">
        <v>1</v>
      </c>
      <c r="D177" s="5">
        <v>5.87</v>
      </c>
      <c r="E177" s="5">
        <v>1410.4</v>
      </c>
      <c r="F177" s="5">
        <v>1422.3</v>
      </c>
      <c r="G177" s="6">
        <v>45349</v>
      </c>
      <c r="H177" s="5"/>
      <c r="I177" s="5"/>
      <c r="J177" s="5">
        <f t="shared" si="26"/>
        <v>11.899999999999864</v>
      </c>
      <c r="K177" s="8" t="b">
        <f t="shared" si="27"/>
        <v>1</v>
      </c>
    </row>
    <row r="178" spans="1:11">
      <c r="A178" s="5">
        <v>129</v>
      </c>
      <c r="B178" s="6">
        <v>45352</v>
      </c>
      <c r="C178" s="7">
        <v>0.7</v>
      </c>
      <c r="D178" s="5">
        <v>8.39</v>
      </c>
      <c r="E178" s="5">
        <v>1422.3</v>
      </c>
      <c r="F178" s="5">
        <v>1439.2</v>
      </c>
      <c r="G178" s="6">
        <v>45352</v>
      </c>
      <c r="H178" s="5"/>
      <c r="I178" s="5"/>
      <c r="J178" s="5">
        <f t="shared" si="26"/>
        <v>16.900000000000091</v>
      </c>
      <c r="K178" s="8" t="b">
        <f t="shared" si="27"/>
        <v>1</v>
      </c>
    </row>
    <row r="179" spans="1:11">
      <c r="A179" s="5">
        <v>129</v>
      </c>
      <c r="B179" s="6">
        <v>45354</v>
      </c>
      <c r="C179" s="7">
        <v>0.7</v>
      </c>
      <c r="D179" s="5">
        <v>8.39</v>
      </c>
      <c r="E179" s="5">
        <v>1439.2</v>
      </c>
      <c r="F179" s="5">
        <v>1455</v>
      </c>
      <c r="G179" s="6">
        <v>45354</v>
      </c>
      <c r="H179" s="5"/>
      <c r="I179" s="5"/>
      <c r="J179" s="5">
        <f t="shared" si="26"/>
        <v>15.799999999999955</v>
      </c>
      <c r="K179" s="8" t="b">
        <f t="shared" si="27"/>
        <v>1</v>
      </c>
    </row>
    <row r="180" spans="1:11">
      <c r="A180" s="5">
        <v>129</v>
      </c>
      <c r="B180" s="6">
        <v>45361</v>
      </c>
      <c r="C180" s="7">
        <v>0.9</v>
      </c>
      <c r="D180" s="5">
        <v>6.52</v>
      </c>
      <c r="E180" s="5">
        <v>1455</v>
      </c>
      <c r="F180" s="5">
        <v>1468</v>
      </c>
      <c r="G180" s="6">
        <v>45361</v>
      </c>
      <c r="H180" s="5"/>
      <c r="I180" s="5"/>
      <c r="J180" s="5">
        <f t="shared" si="26"/>
        <v>13</v>
      </c>
      <c r="K180" s="8" t="b">
        <f t="shared" si="27"/>
        <v>1</v>
      </c>
    </row>
    <row r="181" spans="1:11">
      <c r="A181" s="5">
        <v>129</v>
      </c>
      <c r="B181" s="6">
        <v>45364</v>
      </c>
      <c r="C181" s="7">
        <v>1</v>
      </c>
      <c r="D181" s="5">
        <v>5.87</v>
      </c>
      <c r="E181" s="5">
        <v>1468</v>
      </c>
      <c r="F181" s="5">
        <v>1479.4</v>
      </c>
      <c r="G181" s="6">
        <v>45364</v>
      </c>
      <c r="H181" s="5"/>
      <c r="I181" s="5"/>
      <c r="J181" s="5">
        <f t="shared" si="26"/>
        <v>11.400000000000091</v>
      </c>
      <c r="K181" s="8" t="b">
        <f t="shared" si="27"/>
        <v>1</v>
      </c>
    </row>
    <row r="182" spans="1:11">
      <c r="A182" s="5">
        <v>129</v>
      </c>
      <c r="B182" s="6">
        <v>45366</v>
      </c>
      <c r="C182" s="7">
        <v>1</v>
      </c>
      <c r="D182" s="5">
        <v>5.87</v>
      </c>
      <c r="E182" s="5">
        <v>1479.4</v>
      </c>
      <c r="F182" s="5" t="s">
        <v>157</v>
      </c>
      <c r="G182" s="6">
        <v>45366</v>
      </c>
      <c r="H182" s="5"/>
      <c r="I182" s="5"/>
      <c r="J182" s="5" t="e">
        <f t="shared" ref="J182:J200" si="28">F182-E182</f>
        <v>#VALUE!</v>
      </c>
      <c r="K182" s="8" t="b">
        <f t="shared" ref="K182:K200" si="29">E182=F181</f>
        <v>1</v>
      </c>
    </row>
    <row r="183" spans="1:11" ht="26.25">
      <c r="A183" s="228" t="s">
        <v>350</v>
      </c>
      <c r="B183" s="229"/>
      <c r="C183" s="229"/>
      <c r="D183" s="229"/>
      <c r="E183" s="229"/>
      <c r="F183" s="229"/>
      <c r="G183" s="229"/>
      <c r="H183" s="229"/>
      <c r="I183" s="229"/>
      <c r="J183" s="229"/>
      <c r="K183" s="230"/>
    </row>
    <row r="184" spans="1:11" ht="26.25">
      <c r="A184" s="202" t="s">
        <v>338</v>
      </c>
      <c r="B184" s="203"/>
      <c r="C184" s="203"/>
      <c r="D184" s="203"/>
      <c r="E184" s="203"/>
      <c r="F184" s="203"/>
      <c r="G184" s="203"/>
      <c r="H184" s="203"/>
      <c r="I184" s="203"/>
      <c r="J184" s="203"/>
      <c r="K184" s="204"/>
    </row>
    <row r="185" spans="1:11" ht="15.75" thickBot="1">
      <c r="A185" s="5">
        <v>3</v>
      </c>
      <c r="B185" s="6"/>
      <c r="C185" s="7"/>
      <c r="D185" s="5"/>
      <c r="E185" s="5"/>
      <c r="F185" s="5"/>
      <c r="G185" s="6"/>
      <c r="H185" s="5"/>
      <c r="I185" s="5"/>
      <c r="J185" s="5"/>
    </row>
    <row r="186" spans="1:11" ht="15.75" thickBot="1">
      <c r="A186" s="132" t="s">
        <v>2</v>
      </c>
      <c r="B186" s="133"/>
      <c r="C186" s="133"/>
      <c r="D186" s="133"/>
      <c r="E186" s="133"/>
      <c r="F186" s="133"/>
      <c r="G186" s="133"/>
      <c r="H186" s="133"/>
      <c r="I186" s="133"/>
      <c r="J186" s="133"/>
      <c r="K186" s="134"/>
    </row>
    <row r="187" spans="1:11" ht="19.5" thickBot="1">
      <c r="A187" s="1" t="s">
        <v>3</v>
      </c>
      <c r="B187" s="1"/>
      <c r="C187" s="1"/>
      <c r="D187" s="1"/>
      <c r="E187" s="1"/>
      <c r="F187" s="1"/>
      <c r="G187" s="1"/>
      <c r="H187" s="1"/>
      <c r="I187" s="1"/>
    </row>
    <row r="188" spans="1:11" ht="30.75" thickBot="1">
      <c r="A188" s="2" t="s">
        <v>4</v>
      </c>
      <c r="B188" s="3" t="s">
        <v>5</v>
      </c>
      <c r="C188" s="3" t="s">
        <v>6</v>
      </c>
      <c r="D188" s="3" t="s">
        <v>7</v>
      </c>
      <c r="E188" s="3" t="s">
        <v>8</v>
      </c>
      <c r="F188" s="3" t="s">
        <v>9</v>
      </c>
      <c r="G188" s="3" t="s">
        <v>10</v>
      </c>
      <c r="H188" s="3" t="s">
        <v>21</v>
      </c>
      <c r="I188" s="4" t="s">
        <v>22</v>
      </c>
      <c r="J188" s="4" t="s">
        <v>11</v>
      </c>
      <c r="K188" s="4" t="s">
        <v>12</v>
      </c>
    </row>
    <row r="189" spans="1:11" hidden="1">
      <c r="A189" s="5" t="s">
        <v>353</v>
      </c>
      <c r="B189" s="6">
        <v>45420</v>
      </c>
      <c r="C189" s="7">
        <v>1</v>
      </c>
      <c r="D189" s="5">
        <v>5.87</v>
      </c>
      <c r="E189" s="5">
        <v>0</v>
      </c>
      <c r="F189" s="5">
        <v>12.2</v>
      </c>
      <c r="G189" s="6">
        <v>45420</v>
      </c>
      <c r="H189" s="5"/>
      <c r="I189" s="5"/>
      <c r="J189" s="5">
        <f t="shared" ref="J189:J190" si="30">F189-E189</f>
        <v>12.2</v>
      </c>
      <c r="K189" s="8" t="b">
        <f t="shared" ref="K189" si="31">E189=F189</f>
        <v>0</v>
      </c>
    </row>
    <row r="190" spans="1:11" hidden="1">
      <c r="A190" s="5" t="s">
        <v>353</v>
      </c>
      <c r="B190" s="6">
        <v>45421</v>
      </c>
      <c r="C190" s="7">
        <v>1</v>
      </c>
      <c r="D190" s="5">
        <v>5.87</v>
      </c>
      <c r="E190" s="5">
        <v>12.2</v>
      </c>
      <c r="F190" s="5">
        <v>23.7</v>
      </c>
      <c r="G190" s="6">
        <v>45421</v>
      </c>
      <c r="H190" s="5"/>
      <c r="I190" s="5"/>
      <c r="J190" s="5">
        <f t="shared" si="30"/>
        <v>11.5</v>
      </c>
      <c r="K190" s="8" t="b">
        <f t="shared" ref="K190" si="32">E190=F189</f>
        <v>1</v>
      </c>
    </row>
    <row r="191" spans="1:11" hidden="1">
      <c r="A191" s="5" t="s">
        <v>353</v>
      </c>
      <c r="B191" s="6">
        <v>45423</v>
      </c>
      <c r="C191" s="7">
        <v>1</v>
      </c>
      <c r="D191" s="5">
        <v>5.87</v>
      </c>
      <c r="E191" s="5">
        <v>23.7</v>
      </c>
      <c r="F191" s="5">
        <v>35.200000000000003</v>
      </c>
      <c r="G191" s="6">
        <v>45423</v>
      </c>
      <c r="H191" s="5"/>
      <c r="I191" s="5"/>
      <c r="J191" s="5">
        <f t="shared" si="28"/>
        <v>11.500000000000004</v>
      </c>
      <c r="K191" s="8" t="b">
        <f t="shared" si="29"/>
        <v>1</v>
      </c>
    </row>
    <row r="192" spans="1:11" hidden="1">
      <c r="A192" s="5" t="s">
        <v>353</v>
      </c>
      <c r="B192" s="6">
        <v>45426</v>
      </c>
      <c r="C192" s="7">
        <v>1</v>
      </c>
      <c r="D192" s="5">
        <v>5.87</v>
      </c>
      <c r="E192" s="5">
        <v>35.200000000000003</v>
      </c>
      <c r="F192" s="5">
        <v>47.8</v>
      </c>
      <c r="G192" s="6">
        <v>45426</v>
      </c>
      <c r="H192" s="5"/>
      <c r="I192" s="5"/>
      <c r="J192" s="5">
        <f t="shared" si="28"/>
        <v>12.599999999999994</v>
      </c>
      <c r="K192" s="8" t="b">
        <f t="shared" si="29"/>
        <v>1</v>
      </c>
    </row>
    <row r="193" spans="1:11" hidden="1">
      <c r="A193" s="5" t="s">
        <v>353</v>
      </c>
      <c r="B193" s="6">
        <v>45427</v>
      </c>
      <c r="C193" s="7">
        <v>1</v>
      </c>
      <c r="D193" s="5">
        <v>5.87</v>
      </c>
      <c r="E193" s="5">
        <v>47.8</v>
      </c>
      <c r="F193" s="5">
        <v>59.8</v>
      </c>
      <c r="G193" s="6">
        <v>45427</v>
      </c>
      <c r="H193" s="5"/>
      <c r="I193" s="5"/>
      <c r="J193" s="5">
        <f t="shared" si="28"/>
        <v>12</v>
      </c>
      <c r="K193" s="8" t="b">
        <f t="shared" si="29"/>
        <v>1</v>
      </c>
    </row>
    <row r="194" spans="1:11" hidden="1">
      <c r="A194" s="5" t="s">
        <v>353</v>
      </c>
      <c r="B194" s="6">
        <v>45431</v>
      </c>
      <c r="C194" s="7">
        <v>1</v>
      </c>
      <c r="D194" s="5">
        <v>5.87</v>
      </c>
      <c r="E194" s="5">
        <v>59.8</v>
      </c>
      <c r="F194" s="5">
        <v>71.3</v>
      </c>
      <c r="G194" s="6">
        <v>45431</v>
      </c>
      <c r="H194" s="5"/>
      <c r="I194" s="5"/>
      <c r="J194" s="5">
        <f t="shared" si="28"/>
        <v>11.5</v>
      </c>
      <c r="K194" s="8" t="b">
        <f t="shared" si="29"/>
        <v>1</v>
      </c>
    </row>
    <row r="195" spans="1:11" hidden="1">
      <c r="A195" s="5" t="s">
        <v>353</v>
      </c>
      <c r="B195" s="6">
        <v>45435</v>
      </c>
      <c r="C195" s="7">
        <v>0.8</v>
      </c>
      <c r="D195" s="5">
        <v>7.34</v>
      </c>
      <c r="E195" s="5">
        <v>71.3</v>
      </c>
      <c r="F195" s="5">
        <v>85.5</v>
      </c>
      <c r="G195" s="6">
        <v>45435</v>
      </c>
      <c r="H195" s="5"/>
      <c r="I195" s="5"/>
      <c r="J195" s="5">
        <f t="shared" si="28"/>
        <v>14.200000000000003</v>
      </c>
      <c r="K195" s="8" t="b">
        <f t="shared" si="29"/>
        <v>1</v>
      </c>
    </row>
    <row r="196" spans="1:11" hidden="1">
      <c r="A196" s="5" t="s">
        <v>353</v>
      </c>
      <c r="B196" s="6">
        <v>45438</v>
      </c>
      <c r="C196" s="7">
        <v>0.9</v>
      </c>
      <c r="D196" s="5">
        <v>6.52</v>
      </c>
      <c r="E196" s="5">
        <v>85.5</v>
      </c>
      <c r="F196" s="5">
        <v>98.2</v>
      </c>
      <c r="G196" s="6">
        <v>45438</v>
      </c>
      <c r="H196" s="5"/>
      <c r="I196" s="5"/>
      <c r="J196" s="5">
        <f t="shared" si="28"/>
        <v>12.700000000000003</v>
      </c>
      <c r="K196" s="8" t="b">
        <f t="shared" si="29"/>
        <v>1</v>
      </c>
    </row>
    <row r="197" spans="1:11" hidden="1">
      <c r="A197" s="5" t="s">
        <v>353</v>
      </c>
      <c r="B197" s="6">
        <v>45441</v>
      </c>
      <c r="C197" s="7">
        <v>0.9</v>
      </c>
      <c r="D197" s="5">
        <v>6.52</v>
      </c>
      <c r="E197" s="5">
        <v>98.2</v>
      </c>
      <c r="F197" s="5">
        <v>101.1</v>
      </c>
      <c r="G197" s="6">
        <v>45441</v>
      </c>
      <c r="H197" s="5"/>
      <c r="I197" s="5"/>
      <c r="J197" s="5">
        <f t="shared" si="28"/>
        <v>2.8999999999999915</v>
      </c>
      <c r="K197" s="8" t="b">
        <f t="shared" si="29"/>
        <v>1</v>
      </c>
    </row>
    <row r="198" spans="1:11" hidden="1">
      <c r="A198" s="5" t="s">
        <v>353</v>
      </c>
      <c r="B198" s="6">
        <v>45444</v>
      </c>
      <c r="C198" s="7">
        <v>0.9</v>
      </c>
      <c r="D198" s="5">
        <v>6.52</v>
      </c>
      <c r="E198" s="5">
        <v>101.1</v>
      </c>
      <c r="F198" s="5">
        <v>113.9</v>
      </c>
      <c r="G198" s="6">
        <v>45444</v>
      </c>
      <c r="H198" s="5"/>
      <c r="I198" s="5"/>
      <c r="J198" s="5">
        <f t="shared" si="28"/>
        <v>12.800000000000011</v>
      </c>
      <c r="K198" s="8" t="b">
        <f t="shared" si="29"/>
        <v>1</v>
      </c>
    </row>
    <row r="199" spans="1:11" hidden="1">
      <c r="A199" s="5" t="s">
        <v>353</v>
      </c>
      <c r="B199" s="6">
        <v>45448</v>
      </c>
      <c r="C199" s="7">
        <v>0.9</v>
      </c>
      <c r="D199" s="5">
        <v>6.52</v>
      </c>
      <c r="E199" s="5">
        <v>113.9</v>
      </c>
      <c r="F199" s="5">
        <v>126.4</v>
      </c>
      <c r="G199" s="6">
        <v>45448</v>
      </c>
      <c r="H199" s="5"/>
      <c r="I199" s="5"/>
      <c r="J199" s="5">
        <f t="shared" si="28"/>
        <v>12.5</v>
      </c>
      <c r="K199" s="8" t="b">
        <f t="shared" si="29"/>
        <v>1</v>
      </c>
    </row>
    <row r="200" spans="1:11">
      <c r="A200" s="5" t="s">
        <v>353</v>
      </c>
      <c r="B200" s="6">
        <v>45452</v>
      </c>
      <c r="C200" s="7">
        <v>0.9</v>
      </c>
      <c r="D200" s="5">
        <v>6.52</v>
      </c>
      <c r="E200" s="5">
        <v>126.4</v>
      </c>
      <c r="F200" s="5">
        <v>139</v>
      </c>
      <c r="G200" s="6">
        <v>45452</v>
      </c>
      <c r="H200" s="5"/>
      <c r="I200" s="5"/>
      <c r="J200" s="5">
        <f t="shared" si="28"/>
        <v>12.599999999999994</v>
      </c>
      <c r="K200" s="8" t="b">
        <f t="shared" si="29"/>
        <v>1</v>
      </c>
    </row>
    <row r="201" spans="1:11">
      <c r="A201" s="5" t="s">
        <v>353</v>
      </c>
      <c r="B201" s="6">
        <v>45456</v>
      </c>
      <c r="C201" s="7">
        <v>0.9</v>
      </c>
      <c r="D201" s="5">
        <v>6.52</v>
      </c>
      <c r="E201" s="5">
        <v>139</v>
      </c>
      <c r="F201" s="5">
        <v>151.69999999999999</v>
      </c>
      <c r="G201" s="6">
        <v>45456</v>
      </c>
      <c r="H201" s="5"/>
      <c r="I201" s="5"/>
      <c r="J201" s="5">
        <f t="shared" ref="J201:J209" si="33">F201-E201</f>
        <v>12.699999999999989</v>
      </c>
      <c r="K201" s="8" t="b">
        <f t="shared" ref="K201:K209" si="34">E201=F200</f>
        <v>1</v>
      </c>
    </row>
    <row r="202" spans="1:11">
      <c r="A202" s="5" t="s">
        <v>353</v>
      </c>
      <c r="B202" s="6">
        <v>45460</v>
      </c>
      <c r="C202" s="7">
        <v>0.7</v>
      </c>
      <c r="D202" s="5">
        <v>8.39</v>
      </c>
      <c r="E202" s="5">
        <v>151.69999999999999</v>
      </c>
      <c r="F202" s="5">
        <v>167.9</v>
      </c>
      <c r="G202" s="6">
        <v>45460</v>
      </c>
      <c r="H202" s="5"/>
      <c r="I202" s="5"/>
      <c r="J202" s="5">
        <f t="shared" si="33"/>
        <v>16.200000000000017</v>
      </c>
      <c r="K202" s="8" t="b">
        <f t="shared" si="34"/>
        <v>1</v>
      </c>
    </row>
    <row r="203" spans="1:11">
      <c r="A203" s="5" t="s">
        <v>353</v>
      </c>
      <c r="B203" s="6">
        <v>45463</v>
      </c>
      <c r="C203" s="7">
        <v>0.8</v>
      </c>
      <c r="D203" s="5">
        <v>7.34</v>
      </c>
      <c r="E203" s="5">
        <v>167.9</v>
      </c>
      <c r="F203" s="5">
        <v>183.3</v>
      </c>
      <c r="G203" s="6">
        <v>45463</v>
      </c>
      <c r="H203" s="5"/>
      <c r="I203" s="5"/>
      <c r="J203" s="5">
        <f t="shared" si="33"/>
        <v>15.400000000000006</v>
      </c>
      <c r="K203" s="8" t="b">
        <f t="shared" si="34"/>
        <v>1</v>
      </c>
    </row>
    <row r="204" spans="1:11">
      <c r="A204" s="5" t="s">
        <v>353</v>
      </c>
      <c r="B204" s="6">
        <v>45464</v>
      </c>
      <c r="C204" s="7">
        <v>0.7</v>
      </c>
      <c r="D204" s="5">
        <v>8.39</v>
      </c>
      <c r="E204" s="5">
        <v>183.3</v>
      </c>
      <c r="F204" s="5">
        <v>198.6</v>
      </c>
      <c r="G204" s="6">
        <v>45464</v>
      </c>
      <c r="H204" s="5"/>
      <c r="I204" s="5"/>
      <c r="J204" s="5">
        <f t="shared" si="33"/>
        <v>15.299999999999983</v>
      </c>
      <c r="K204" s="8" t="b">
        <f t="shared" si="34"/>
        <v>1</v>
      </c>
    </row>
    <row r="205" spans="1:11">
      <c r="A205" s="5" t="s">
        <v>353</v>
      </c>
      <c r="B205" s="6">
        <v>45478</v>
      </c>
      <c r="C205" s="7">
        <v>0.9</v>
      </c>
      <c r="D205" s="5">
        <v>6.52</v>
      </c>
      <c r="E205" s="5">
        <v>198.6</v>
      </c>
      <c r="F205" s="5">
        <v>211</v>
      </c>
      <c r="G205" s="6">
        <v>45478</v>
      </c>
      <c r="H205" s="5"/>
      <c r="I205" s="5"/>
      <c r="J205" s="5">
        <f t="shared" si="33"/>
        <v>12.400000000000006</v>
      </c>
      <c r="K205" s="8" t="b">
        <f t="shared" si="34"/>
        <v>1</v>
      </c>
    </row>
    <row r="206" spans="1:11">
      <c r="A206" s="5" t="s">
        <v>353</v>
      </c>
      <c r="B206" s="6">
        <v>45485</v>
      </c>
      <c r="C206" s="7">
        <v>0.8</v>
      </c>
      <c r="D206" s="5">
        <v>7.34</v>
      </c>
      <c r="E206" s="5">
        <v>211</v>
      </c>
      <c r="F206" s="5">
        <v>225.3</v>
      </c>
      <c r="G206" s="6">
        <v>45485</v>
      </c>
      <c r="H206" s="5"/>
      <c r="I206" s="5"/>
      <c r="J206" s="5">
        <f t="shared" si="33"/>
        <v>14.300000000000011</v>
      </c>
      <c r="K206" s="8" t="b">
        <f t="shared" si="34"/>
        <v>1</v>
      </c>
    </row>
    <row r="207" spans="1:11">
      <c r="A207" s="5" t="s">
        <v>353</v>
      </c>
      <c r="B207" s="6">
        <v>45491</v>
      </c>
      <c r="C207" s="7">
        <v>0.7</v>
      </c>
      <c r="D207" s="5">
        <v>8.39</v>
      </c>
      <c r="E207" s="5">
        <v>225.3</v>
      </c>
      <c r="F207" s="5">
        <v>241.8</v>
      </c>
      <c r="G207" s="6">
        <v>45491</v>
      </c>
      <c r="H207" s="5"/>
      <c r="I207" s="5"/>
      <c r="J207" s="5">
        <f t="shared" si="33"/>
        <v>16.5</v>
      </c>
      <c r="K207" s="8" t="b">
        <f t="shared" si="34"/>
        <v>1</v>
      </c>
    </row>
    <row r="208" spans="1:11">
      <c r="A208" s="5" t="s">
        <v>353</v>
      </c>
      <c r="B208" s="6">
        <v>45496</v>
      </c>
      <c r="C208" s="7">
        <v>1</v>
      </c>
      <c r="D208" s="5">
        <v>5.87</v>
      </c>
      <c r="E208" s="5">
        <v>241.8</v>
      </c>
      <c r="F208" s="5">
        <v>253.4</v>
      </c>
      <c r="G208" s="6">
        <v>45496</v>
      </c>
      <c r="H208" s="5"/>
      <c r="I208" s="5"/>
      <c r="J208" s="5">
        <f t="shared" si="33"/>
        <v>11.599999999999994</v>
      </c>
      <c r="K208" s="8" t="b">
        <f t="shared" si="34"/>
        <v>1</v>
      </c>
    </row>
    <row r="209" spans="1:11">
      <c r="A209" s="5" t="s">
        <v>353</v>
      </c>
      <c r="B209" s="6">
        <v>45514</v>
      </c>
      <c r="C209" s="7">
        <v>0.6</v>
      </c>
      <c r="D209" s="5">
        <v>9.7799999999999994</v>
      </c>
      <c r="E209" s="5">
        <v>253.4</v>
      </c>
      <c r="F209" s="5">
        <v>272.60000000000002</v>
      </c>
      <c r="G209" s="6">
        <v>45514</v>
      </c>
      <c r="H209" s="5"/>
      <c r="I209" s="5"/>
      <c r="J209" s="5">
        <f t="shared" si="33"/>
        <v>19.200000000000017</v>
      </c>
      <c r="K209" s="8" t="b">
        <f t="shared" si="34"/>
        <v>1</v>
      </c>
    </row>
    <row r="210" spans="1:11">
      <c r="A210" s="5" t="s">
        <v>353</v>
      </c>
      <c r="B210" s="6">
        <v>45517</v>
      </c>
      <c r="C210" s="7">
        <v>1</v>
      </c>
      <c r="D210" s="5">
        <v>5.87</v>
      </c>
      <c r="E210" s="5">
        <v>272.2</v>
      </c>
      <c r="F210" s="5">
        <v>284.89999999999998</v>
      </c>
      <c r="G210" s="6">
        <v>45517</v>
      </c>
      <c r="H210" s="5"/>
      <c r="I210" s="5"/>
      <c r="J210" s="5">
        <f t="shared" ref="J210:J259" si="35">F210-E210</f>
        <v>12.699999999999989</v>
      </c>
      <c r="K210" s="8" t="b">
        <f t="shared" ref="K210:K259" si="36">E210=F209</f>
        <v>0</v>
      </c>
    </row>
    <row r="211" spans="1:11">
      <c r="A211" s="5" t="s">
        <v>353</v>
      </c>
      <c r="B211" s="6">
        <v>45521</v>
      </c>
      <c r="C211" s="7">
        <v>0.6</v>
      </c>
      <c r="D211" s="5">
        <v>9.7799999999999994</v>
      </c>
      <c r="E211" s="5">
        <v>284.89999999999998</v>
      </c>
      <c r="F211" s="5">
        <v>303.89999999999998</v>
      </c>
      <c r="G211" s="6">
        <v>45521</v>
      </c>
      <c r="H211" s="5"/>
      <c r="I211" s="5"/>
      <c r="J211" s="5">
        <f t="shared" si="35"/>
        <v>19</v>
      </c>
      <c r="K211" s="8" t="b">
        <f t="shared" si="36"/>
        <v>1</v>
      </c>
    </row>
    <row r="212" spans="1:11">
      <c r="A212" s="5" t="s">
        <v>353</v>
      </c>
      <c r="B212" s="6">
        <v>45527</v>
      </c>
      <c r="C212" s="7">
        <v>0.7</v>
      </c>
      <c r="D212" s="5">
        <v>8.39</v>
      </c>
      <c r="E212" s="5">
        <v>303.89999999999998</v>
      </c>
      <c r="F212" s="5">
        <v>320.39999999999998</v>
      </c>
      <c r="G212" s="6">
        <v>45527</v>
      </c>
      <c r="H212" s="5"/>
      <c r="I212" s="5"/>
      <c r="J212" s="5">
        <f t="shared" si="35"/>
        <v>16.5</v>
      </c>
      <c r="K212" s="8" t="b">
        <f t="shared" si="36"/>
        <v>1</v>
      </c>
    </row>
    <row r="213" spans="1:11">
      <c r="A213" s="5" t="s">
        <v>353</v>
      </c>
      <c r="B213" s="6">
        <v>45535</v>
      </c>
      <c r="C213" s="7">
        <v>0.8</v>
      </c>
      <c r="D213" s="5">
        <v>7.34</v>
      </c>
      <c r="E213" s="5">
        <v>320.39999999999998</v>
      </c>
      <c r="F213" s="5">
        <v>334.9</v>
      </c>
      <c r="G213" s="6">
        <v>45535</v>
      </c>
      <c r="H213" s="5"/>
      <c r="I213" s="5"/>
      <c r="J213" s="5">
        <f t="shared" si="35"/>
        <v>14.5</v>
      </c>
      <c r="K213" s="8" t="b">
        <f t="shared" si="36"/>
        <v>1</v>
      </c>
    </row>
    <row r="214" spans="1:11">
      <c r="A214" s="5" t="s">
        <v>353</v>
      </c>
      <c r="B214" s="6"/>
      <c r="C214" s="7"/>
      <c r="D214" s="5"/>
      <c r="E214" s="5"/>
      <c r="F214" s="5"/>
      <c r="G214" s="6"/>
      <c r="H214" s="5"/>
      <c r="I214" s="5"/>
      <c r="J214" s="5">
        <f t="shared" si="35"/>
        <v>0</v>
      </c>
      <c r="K214" s="8" t="b">
        <f t="shared" si="36"/>
        <v>0</v>
      </c>
    </row>
    <row r="215" spans="1:11">
      <c r="A215" s="5" t="s">
        <v>353</v>
      </c>
      <c r="B215" s="6"/>
      <c r="C215" s="7"/>
      <c r="D215" s="5"/>
      <c r="E215" s="5"/>
      <c r="F215" s="5"/>
      <c r="G215" s="6"/>
      <c r="H215" s="5"/>
      <c r="I215" s="5"/>
      <c r="J215" s="5">
        <f t="shared" si="35"/>
        <v>0</v>
      </c>
      <c r="K215" s="8" t="b">
        <f t="shared" si="36"/>
        <v>1</v>
      </c>
    </row>
    <row r="216" spans="1:11">
      <c r="A216" s="5" t="s">
        <v>353</v>
      </c>
      <c r="B216" s="6"/>
      <c r="C216" s="7"/>
      <c r="D216" s="5"/>
      <c r="E216" s="5"/>
      <c r="F216" s="5"/>
      <c r="G216" s="6"/>
      <c r="H216" s="5"/>
      <c r="I216" s="5"/>
      <c r="J216" s="5">
        <f t="shared" si="35"/>
        <v>0</v>
      </c>
      <c r="K216" s="8" t="b">
        <f t="shared" si="36"/>
        <v>1</v>
      </c>
    </row>
    <row r="217" spans="1:11">
      <c r="A217" s="5" t="s">
        <v>353</v>
      </c>
      <c r="B217" s="6"/>
      <c r="C217" s="7"/>
      <c r="D217" s="5"/>
      <c r="E217" s="5"/>
      <c r="F217" s="5"/>
      <c r="G217" s="6"/>
      <c r="H217" s="5"/>
      <c r="I217" s="5"/>
      <c r="J217" s="5">
        <f t="shared" si="35"/>
        <v>0</v>
      </c>
      <c r="K217" s="8" t="b">
        <f t="shared" si="36"/>
        <v>1</v>
      </c>
    </row>
    <row r="218" spans="1:11">
      <c r="A218" s="5" t="s">
        <v>353</v>
      </c>
      <c r="B218" s="6"/>
      <c r="C218" s="7"/>
      <c r="D218" s="5"/>
      <c r="E218" s="5"/>
      <c r="F218" s="5"/>
      <c r="G218" s="6"/>
      <c r="H218" s="5"/>
      <c r="I218" s="5"/>
      <c r="J218" s="5">
        <f t="shared" si="35"/>
        <v>0</v>
      </c>
      <c r="K218" s="8" t="b">
        <f t="shared" si="36"/>
        <v>1</v>
      </c>
    </row>
    <row r="219" spans="1:11">
      <c r="A219" s="5" t="s">
        <v>353</v>
      </c>
      <c r="B219" s="6"/>
      <c r="C219" s="7"/>
      <c r="D219" s="5"/>
      <c r="E219" s="5"/>
      <c r="F219" s="5"/>
      <c r="G219" s="6"/>
      <c r="H219" s="5"/>
      <c r="I219" s="5"/>
      <c r="J219" s="5">
        <f t="shared" si="35"/>
        <v>0</v>
      </c>
      <c r="K219" s="8" t="b">
        <f t="shared" si="36"/>
        <v>1</v>
      </c>
    </row>
    <row r="220" spans="1:11">
      <c r="A220" s="5" t="s">
        <v>353</v>
      </c>
      <c r="B220" s="6"/>
      <c r="C220" s="7"/>
      <c r="D220" s="5"/>
      <c r="E220" s="5"/>
      <c r="F220" s="5"/>
      <c r="G220" s="6"/>
      <c r="H220" s="5"/>
      <c r="I220" s="5"/>
      <c r="J220" s="5">
        <f t="shared" si="35"/>
        <v>0</v>
      </c>
      <c r="K220" s="8" t="b">
        <f t="shared" si="36"/>
        <v>1</v>
      </c>
    </row>
    <row r="221" spans="1:11">
      <c r="A221" s="5" t="s">
        <v>353</v>
      </c>
      <c r="B221" s="6"/>
      <c r="C221" s="7"/>
      <c r="D221" s="5"/>
      <c r="E221" s="5"/>
      <c r="F221" s="5"/>
      <c r="G221" s="6"/>
      <c r="H221" s="5"/>
      <c r="I221" s="5"/>
      <c r="J221" s="5">
        <f t="shared" si="35"/>
        <v>0</v>
      </c>
      <c r="K221" s="8" t="b">
        <f t="shared" si="36"/>
        <v>1</v>
      </c>
    </row>
    <row r="222" spans="1:11">
      <c r="A222" s="5" t="s">
        <v>353</v>
      </c>
      <c r="B222" s="6"/>
      <c r="C222" s="7"/>
      <c r="D222" s="5"/>
      <c r="E222" s="5"/>
      <c r="F222" s="5"/>
      <c r="G222" s="6"/>
      <c r="H222" s="5"/>
      <c r="I222" s="5"/>
      <c r="J222" s="5">
        <f t="shared" si="35"/>
        <v>0</v>
      </c>
      <c r="K222" s="8" t="b">
        <f t="shared" si="36"/>
        <v>1</v>
      </c>
    </row>
    <row r="223" spans="1:11">
      <c r="A223" s="5" t="s">
        <v>353</v>
      </c>
      <c r="B223" s="6"/>
      <c r="C223" s="7"/>
      <c r="D223" s="5"/>
      <c r="E223" s="5"/>
      <c r="F223" s="5"/>
      <c r="G223" s="6"/>
      <c r="H223" s="5"/>
      <c r="I223" s="5"/>
      <c r="J223" s="5">
        <f t="shared" si="35"/>
        <v>0</v>
      </c>
      <c r="K223" s="8" t="b">
        <f t="shared" si="36"/>
        <v>1</v>
      </c>
    </row>
    <row r="224" spans="1:11">
      <c r="A224" s="5" t="s">
        <v>353</v>
      </c>
      <c r="B224" s="6"/>
      <c r="C224" s="7"/>
      <c r="D224" s="5"/>
      <c r="E224" s="5"/>
      <c r="F224" s="5"/>
      <c r="G224" s="6"/>
      <c r="H224" s="5"/>
      <c r="I224" s="5"/>
      <c r="J224" s="5">
        <f t="shared" si="35"/>
        <v>0</v>
      </c>
      <c r="K224" s="8" t="b">
        <f t="shared" si="36"/>
        <v>1</v>
      </c>
    </row>
    <row r="225" spans="1:11">
      <c r="A225" s="5" t="s">
        <v>353</v>
      </c>
      <c r="B225" s="6"/>
      <c r="C225" s="7"/>
      <c r="D225" s="5"/>
      <c r="E225" s="5"/>
      <c r="F225" s="5"/>
      <c r="G225" s="6"/>
      <c r="H225" s="5"/>
      <c r="I225" s="5"/>
      <c r="J225" s="5">
        <f t="shared" si="35"/>
        <v>0</v>
      </c>
      <c r="K225" s="8" t="b">
        <f t="shared" si="36"/>
        <v>1</v>
      </c>
    </row>
    <row r="226" spans="1:11">
      <c r="A226" s="5" t="s">
        <v>353</v>
      </c>
      <c r="B226" s="6"/>
      <c r="C226" s="7"/>
      <c r="D226" s="5"/>
      <c r="E226" s="5"/>
      <c r="F226" s="5"/>
      <c r="G226" s="6"/>
      <c r="H226" s="5"/>
      <c r="I226" s="5"/>
      <c r="J226" s="5">
        <f t="shared" si="35"/>
        <v>0</v>
      </c>
      <c r="K226" s="8" t="b">
        <f t="shared" si="36"/>
        <v>1</v>
      </c>
    </row>
    <row r="227" spans="1:11">
      <c r="A227" s="5" t="s">
        <v>353</v>
      </c>
      <c r="B227" s="6"/>
      <c r="C227" s="7"/>
      <c r="D227" s="5"/>
      <c r="E227" s="5"/>
      <c r="F227" s="5"/>
      <c r="G227" s="6"/>
      <c r="H227" s="5"/>
      <c r="I227" s="5"/>
      <c r="J227" s="5">
        <f t="shared" si="35"/>
        <v>0</v>
      </c>
      <c r="K227" s="8" t="b">
        <f t="shared" si="36"/>
        <v>1</v>
      </c>
    </row>
    <row r="228" spans="1:11">
      <c r="A228" s="5" t="s">
        <v>353</v>
      </c>
      <c r="B228" s="6"/>
      <c r="C228" s="7"/>
      <c r="D228" s="5"/>
      <c r="E228" s="5"/>
      <c r="F228" s="5"/>
      <c r="G228" s="6"/>
      <c r="H228" s="5"/>
      <c r="I228" s="5"/>
      <c r="J228" s="5">
        <f t="shared" si="35"/>
        <v>0</v>
      </c>
      <c r="K228" s="8" t="b">
        <f t="shared" si="36"/>
        <v>1</v>
      </c>
    </row>
    <row r="229" spans="1:11">
      <c r="A229" s="5" t="s">
        <v>353</v>
      </c>
      <c r="B229" s="6"/>
      <c r="C229" s="7"/>
      <c r="D229" s="5"/>
      <c r="E229" s="5"/>
      <c r="F229" s="5"/>
      <c r="G229" s="6"/>
      <c r="H229" s="5"/>
      <c r="I229" s="5"/>
      <c r="J229" s="5">
        <f t="shared" si="35"/>
        <v>0</v>
      </c>
      <c r="K229" s="8" t="b">
        <f t="shared" si="36"/>
        <v>1</v>
      </c>
    </row>
    <row r="230" spans="1:11">
      <c r="A230" s="5" t="s">
        <v>353</v>
      </c>
      <c r="B230" s="6"/>
      <c r="C230" s="7"/>
      <c r="D230" s="5"/>
      <c r="E230" s="5"/>
      <c r="F230" s="5"/>
      <c r="G230" s="6"/>
      <c r="H230" s="5"/>
      <c r="I230" s="5"/>
      <c r="J230" s="5">
        <f t="shared" si="35"/>
        <v>0</v>
      </c>
      <c r="K230" s="8" t="b">
        <f t="shared" si="36"/>
        <v>1</v>
      </c>
    </row>
    <row r="231" spans="1:11">
      <c r="A231" s="5" t="s">
        <v>353</v>
      </c>
      <c r="B231" s="6"/>
      <c r="C231" s="7"/>
      <c r="D231" s="5"/>
      <c r="E231" s="5"/>
      <c r="F231" s="5"/>
      <c r="G231" s="6"/>
      <c r="H231" s="5"/>
      <c r="I231" s="5"/>
      <c r="J231" s="5">
        <f t="shared" si="35"/>
        <v>0</v>
      </c>
      <c r="K231" s="8" t="b">
        <f t="shared" si="36"/>
        <v>1</v>
      </c>
    </row>
    <row r="232" spans="1:11">
      <c r="A232" s="5" t="s">
        <v>353</v>
      </c>
      <c r="B232" s="6"/>
      <c r="C232" s="7"/>
      <c r="D232" s="5"/>
      <c r="E232" s="5"/>
      <c r="F232" s="5"/>
      <c r="G232" s="6"/>
      <c r="H232" s="5"/>
      <c r="I232" s="5"/>
      <c r="J232" s="5">
        <f t="shared" si="35"/>
        <v>0</v>
      </c>
      <c r="K232" s="8" t="b">
        <f t="shared" si="36"/>
        <v>1</v>
      </c>
    </row>
    <row r="233" spans="1:11">
      <c r="A233" s="5" t="s">
        <v>353</v>
      </c>
      <c r="B233" s="6"/>
      <c r="C233" s="7"/>
      <c r="D233" s="5"/>
      <c r="E233" s="5"/>
      <c r="F233" s="5"/>
      <c r="G233" s="6"/>
      <c r="H233" s="5"/>
      <c r="I233" s="5"/>
      <c r="J233" s="5">
        <f t="shared" si="35"/>
        <v>0</v>
      </c>
      <c r="K233" s="8" t="b">
        <f t="shared" si="36"/>
        <v>1</v>
      </c>
    </row>
    <row r="234" spans="1:11">
      <c r="A234" s="5" t="s">
        <v>353</v>
      </c>
      <c r="B234" s="6"/>
      <c r="C234" s="7"/>
      <c r="D234" s="5"/>
      <c r="E234" s="5"/>
      <c r="F234" s="5"/>
      <c r="G234" s="6"/>
      <c r="H234" s="5"/>
      <c r="I234" s="5"/>
      <c r="J234" s="5">
        <f t="shared" si="35"/>
        <v>0</v>
      </c>
      <c r="K234" s="8" t="b">
        <f t="shared" si="36"/>
        <v>1</v>
      </c>
    </row>
    <row r="235" spans="1:11">
      <c r="A235" s="5" t="s">
        <v>353</v>
      </c>
      <c r="B235" s="6"/>
      <c r="C235" s="7"/>
      <c r="D235" s="5"/>
      <c r="E235" s="5"/>
      <c r="F235" s="5"/>
      <c r="G235" s="6"/>
      <c r="H235" s="5"/>
      <c r="I235" s="5"/>
      <c r="J235" s="5">
        <f t="shared" si="35"/>
        <v>0</v>
      </c>
      <c r="K235" s="8" t="b">
        <f t="shared" si="36"/>
        <v>1</v>
      </c>
    </row>
    <row r="236" spans="1:11">
      <c r="A236" s="5" t="s">
        <v>353</v>
      </c>
      <c r="B236" s="6"/>
      <c r="C236" s="7"/>
      <c r="D236" s="5"/>
      <c r="E236" s="5"/>
      <c r="F236" s="5"/>
      <c r="G236" s="6"/>
      <c r="H236" s="5"/>
      <c r="I236" s="5"/>
      <c r="J236" s="5">
        <f t="shared" si="35"/>
        <v>0</v>
      </c>
      <c r="K236" s="8" t="b">
        <f t="shared" si="36"/>
        <v>1</v>
      </c>
    </row>
    <row r="237" spans="1:11">
      <c r="A237" s="5" t="s">
        <v>353</v>
      </c>
      <c r="B237" s="6"/>
      <c r="C237" s="7"/>
      <c r="D237" s="5"/>
      <c r="E237" s="5"/>
      <c r="F237" s="5"/>
      <c r="G237" s="6"/>
      <c r="H237" s="5"/>
      <c r="I237" s="5"/>
      <c r="J237" s="5">
        <f t="shared" si="35"/>
        <v>0</v>
      </c>
      <c r="K237" s="8" t="b">
        <f t="shared" si="36"/>
        <v>1</v>
      </c>
    </row>
    <row r="238" spans="1:11">
      <c r="A238" s="5" t="s">
        <v>353</v>
      </c>
      <c r="B238" s="6"/>
      <c r="C238" s="7"/>
      <c r="D238" s="5"/>
      <c r="E238" s="5"/>
      <c r="F238" s="5"/>
      <c r="G238" s="6"/>
      <c r="H238" s="5"/>
      <c r="I238" s="5"/>
      <c r="J238" s="5">
        <f t="shared" si="35"/>
        <v>0</v>
      </c>
      <c r="K238" s="8" t="b">
        <f t="shared" si="36"/>
        <v>1</v>
      </c>
    </row>
    <row r="239" spans="1:11">
      <c r="A239" s="5" t="s">
        <v>353</v>
      </c>
      <c r="B239" s="6"/>
      <c r="C239" s="7"/>
      <c r="D239" s="5"/>
      <c r="E239" s="5"/>
      <c r="F239" s="5"/>
      <c r="G239" s="6"/>
      <c r="H239" s="5"/>
      <c r="I239" s="5"/>
      <c r="J239" s="5">
        <f t="shared" si="35"/>
        <v>0</v>
      </c>
      <c r="K239" s="8" t="b">
        <f t="shared" si="36"/>
        <v>1</v>
      </c>
    </row>
    <row r="240" spans="1:11">
      <c r="A240" s="5" t="s">
        <v>353</v>
      </c>
      <c r="B240" s="6"/>
      <c r="C240" s="7"/>
      <c r="D240" s="5"/>
      <c r="E240" s="5"/>
      <c r="F240" s="5"/>
      <c r="G240" s="6"/>
      <c r="H240" s="5"/>
      <c r="I240" s="5"/>
      <c r="J240" s="5">
        <f t="shared" si="35"/>
        <v>0</v>
      </c>
      <c r="K240" s="8" t="b">
        <f t="shared" si="36"/>
        <v>1</v>
      </c>
    </row>
    <row r="241" spans="1:11">
      <c r="A241" s="5" t="s">
        <v>353</v>
      </c>
      <c r="B241" s="6"/>
      <c r="C241" s="7"/>
      <c r="D241" s="5"/>
      <c r="E241" s="5"/>
      <c r="F241" s="5"/>
      <c r="G241" s="6"/>
      <c r="H241" s="5"/>
      <c r="I241" s="5"/>
      <c r="J241" s="5">
        <f t="shared" si="35"/>
        <v>0</v>
      </c>
      <c r="K241" s="8" t="b">
        <f t="shared" si="36"/>
        <v>1</v>
      </c>
    </row>
    <row r="242" spans="1:11">
      <c r="A242" s="5" t="s">
        <v>353</v>
      </c>
      <c r="B242" s="6"/>
      <c r="C242" s="7"/>
      <c r="D242" s="5"/>
      <c r="E242" s="5"/>
      <c r="F242" s="5"/>
      <c r="G242" s="6"/>
      <c r="H242" s="5"/>
      <c r="I242" s="5"/>
      <c r="J242" s="5">
        <f t="shared" si="35"/>
        <v>0</v>
      </c>
      <c r="K242" s="8" t="b">
        <f t="shared" si="36"/>
        <v>1</v>
      </c>
    </row>
    <row r="243" spans="1:11">
      <c r="A243" s="5" t="s">
        <v>353</v>
      </c>
      <c r="B243" s="6"/>
      <c r="C243" s="7"/>
      <c r="D243" s="5"/>
      <c r="E243" s="5"/>
      <c r="F243" s="5"/>
      <c r="G243" s="6"/>
      <c r="H243" s="5"/>
      <c r="I243" s="5"/>
      <c r="J243" s="5">
        <f t="shared" si="35"/>
        <v>0</v>
      </c>
      <c r="K243" s="8" t="b">
        <f t="shared" si="36"/>
        <v>1</v>
      </c>
    </row>
    <row r="244" spans="1:11">
      <c r="A244" s="5" t="s">
        <v>353</v>
      </c>
      <c r="B244" s="6"/>
      <c r="C244" s="7"/>
      <c r="D244" s="5"/>
      <c r="E244" s="5"/>
      <c r="F244" s="5"/>
      <c r="G244" s="6"/>
      <c r="H244" s="5"/>
      <c r="I244" s="5"/>
      <c r="J244" s="5">
        <f t="shared" si="35"/>
        <v>0</v>
      </c>
      <c r="K244" s="8" t="b">
        <f t="shared" si="36"/>
        <v>1</v>
      </c>
    </row>
    <row r="245" spans="1:11">
      <c r="A245" s="5" t="s">
        <v>353</v>
      </c>
      <c r="B245" s="6"/>
      <c r="C245" s="7"/>
      <c r="D245" s="5"/>
      <c r="E245" s="5"/>
      <c r="F245" s="5"/>
      <c r="G245" s="6"/>
      <c r="H245" s="5"/>
      <c r="I245" s="5"/>
      <c r="J245" s="5">
        <f t="shared" si="35"/>
        <v>0</v>
      </c>
      <c r="K245" s="8" t="b">
        <f t="shared" si="36"/>
        <v>1</v>
      </c>
    </row>
    <row r="246" spans="1:11">
      <c r="A246" s="5" t="s">
        <v>353</v>
      </c>
      <c r="B246" s="6"/>
      <c r="C246" s="7"/>
      <c r="D246" s="5"/>
      <c r="E246" s="5"/>
      <c r="F246" s="5"/>
      <c r="G246" s="6"/>
      <c r="H246" s="5"/>
      <c r="I246" s="5"/>
      <c r="J246" s="5">
        <f t="shared" si="35"/>
        <v>0</v>
      </c>
      <c r="K246" s="8" t="b">
        <f t="shared" si="36"/>
        <v>1</v>
      </c>
    </row>
    <row r="247" spans="1:11">
      <c r="A247" s="5" t="s">
        <v>353</v>
      </c>
      <c r="B247" s="6"/>
      <c r="C247" s="7"/>
      <c r="D247" s="5"/>
      <c r="E247" s="5"/>
      <c r="F247" s="5"/>
      <c r="G247" s="6"/>
      <c r="H247" s="5"/>
      <c r="I247" s="5"/>
      <c r="J247" s="5">
        <f t="shared" si="35"/>
        <v>0</v>
      </c>
      <c r="K247" s="8" t="b">
        <f t="shared" si="36"/>
        <v>1</v>
      </c>
    </row>
    <row r="248" spans="1:11">
      <c r="A248" s="5" t="s">
        <v>353</v>
      </c>
      <c r="B248" s="6"/>
      <c r="C248" s="7"/>
      <c r="D248" s="5"/>
      <c r="E248" s="5"/>
      <c r="F248" s="5"/>
      <c r="G248" s="6"/>
      <c r="H248" s="5"/>
      <c r="I248" s="5"/>
      <c r="J248" s="5">
        <f t="shared" si="35"/>
        <v>0</v>
      </c>
      <c r="K248" s="8" t="b">
        <f t="shared" si="36"/>
        <v>1</v>
      </c>
    </row>
    <row r="249" spans="1:11">
      <c r="A249" s="5" t="s">
        <v>353</v>
      </c>
      <c r="B249" s="6"/>
      <c r="C249" s="7"/>
      <c r="D249" s="5"/>
      <c r="E249" s="5"/>
      <c r="F249" s="5"/>
      <c r="G249" s="6"/>
      <c r="H249" s="5"/>
      <c r="I249" s="5"/>
      <c r="J249" s="5">
        <f t="shared" si="35"/>
        <v>0</v>
      </c>
      <c r="K249" s="8" t="b">
        <f t="shared" si="36"/>
        <v>1</v>
      </c>
    </row>
    <row r="250" spans="1:11">
      <c r="A250" s="5" t="s">
        <v>353</v>
      </c>
      <c r="B250" s="6"/>
      <c r="C250" s="7"/>
      <c r="D250" s="5"/>
      <c r="E250" s="5"/>
      <c r="F250" s="5"/>
      <c r="G250" s="6"/>
      <c r="H250" s="5"/>
      <c r="I250" s="5"/>
      <c r="J250" s="5">
        <f t="shared" si="35"/>
        <v>0</v>
      </c>
      <c r="K250" s="8" t="b">
        <f t="shared" si="36"/>
        <v>1</v>
      </c>
    </row>
    <row r="251" spans="1:11">
      <c r="A251" s="5" t="s">
        <v>353</v>
      </c>
      <c r="B251" s="6"/>
      <c r="C251" s="7"/>
      <c r="D251" s="5"/>
      <c r="E251" s="5"/>
      <c r="F251" s="5"/>
      <c r="G251" s="6"/>
      <c r="H251" s="5"/>
      <c r="I251" s="5"/>
      <c r="J251" s="5">
        <f t="shared" si="35"/>
        <v>0</v>
      </c>
      <c r="K251" s="8" t="b">
        <f t="shared" si="36"/>
        <v>1</v>
      </c>
    </row>
    <row r="252" spans="1:11">
      <c r="A252" s="5" t="s">
        <v>353</v>
      </c>
      <c r="B252" s="6"/>
      <c r="C252" s="7"/>
      <c r="D252" s="5"/>
      <c r="E252" s="5"/>
      <c r="F252" s="5"/>
      <c r="G252" s="6"/>
      <c r="H252" s="5"/>
      <c r="I252" s="5"/>
      <c r="J252" s="5">
        <f t="shared" si="35"/>
        <v>0</v>
      </c>
      <c r="K252" s="8" t="b">
        <f t="shared" si="36"/>
        <v>1</v>
      </c>
    </row>
    <row r="253" spans="1:11">
      <c r="A253" s="5" t="s">
        <v>353</v>
      </c>
      <c r="B253" s="6"/>
      <c r="C253" s="7"/>
      <c r="D253" s="5"/>
      <c r="E253" s="5"/>
      <c r="F253" s="5"/>
      <c r="G253" s="6"/>
      <c r="H253" s="5"/>
      <c r="I253" s="5"/>
      <c r="J253" s="5">
        <f t="shared" si="35"/>
        <v>0</v>
      </c>
      <c r="K253" s="8" t="b">
        <f t="shared" si="36"/>
        <v>1</v>
      </c>
    </row>
    <row r="254" spans="1:11">
      <c r="A254" s="5" t="s">
        <v>353</v>
      </c>
      <c r="B254" s="6"/>
      <c r="C254" s="7"/>
      <c r="D254" s="5"/>
      <c r="E254" s="5"/>
      <c r="F254" s="5"/>
      <c r="G254" s="6"/>
      <c r="H254" s="5"/>
      <c r="I254" s="5"/>
      <c r="J254" s="5">
        <f t="shared" si="35"/>
        <v>0</v>
      </c>
      <c r="K254" s="8" t="b">
        <f t="shared" si="36"/>
        <v>1</v>
      </c>
    </row>
    <row r="255" spans="1:11">
      <c r="A255" s="5" t="s">
        <v>353</v>
      </c>
      <c r="B255" s="6"/>
      <c r="C255" s="7"/>
      <c r="D255" s="5"/>
      <c r="E255" s="5"/>
      <c r="F255" s="5"/>
      <c r="G255" s="6"/>
      <c r="H255" s="5"/>
      <c r="I255" s="5"/>
      <c r="J255" s="5">
        <f t="shared" si="35"/>
        <v>0</v>
      </c>
      <c r="K255" s="8" t="b">
        <f t="shared" si="36"/>
        <v>1</v>
      </c>
    </row>
    <row r="256" spans="1:11">
      <c r="A256" s="5" t="s">
        <v>353</v>
      </c>
      <c r="B256" s="6"/>
      <c r="C256" s="7"/>
      <c r="D256" s="5"/>
      <c r="E256" s="5"/>
      <c r="F256" s="5"/>
      <c r="G256" s="6"/>
      <c r="H256" s="5"/>
      <c r="I256" s="5"/>
      <c r="J256" s="5">
        <f t="shared" si="35"/>
        <v>0</v>
      </c>
      <c r="K256" s="8" t="b">
        <f t="shared" si="36"/>
        <v>1</v>
      </c>
    </row>
    <row r="257" spans="1:11">
      <c r="A257" s="5" t="s">
        <v>353</v>
      </c>
      <c r="B257" s="6"/>
      <c r="C257" s="7"/>
      <c r="D257" s="5"/>
      <c r="E257" s="5"/>
      <c r="F257" s="5"/>
      <c r="G257" s="6"/>
      <c r="H257" s="5"/>
      <c r="I257" s="5"/>
      <c r="J257" s="5">
        <f t="shared" si="35"/>
        <v>0</v>
      </c>
      <c r="K257" s="8" t="b">
        <f t="shared" si="36"/>
        <v>1</v>
      </c>
    </row>
    <row r="258" spans="1:11">
      <c r="A258" s="5" t="s">
        <v>353</v>
      </c>
      <c r="B258" s="6"/>
      <c r="C258" s="7"/>
      <c r="D258" s="5"/>
      <c r="E258" s="5"/>
      <c r="F258" s="5"/>
      <c r="G258" s="6"/>
      <c r="H258" s="5"/>
      <c r="I258" s="5"/>
      <c r="J258" s="5">
        <f t="shared" si="35"/>
        <v>0</v>
      </c>
      <c r="K258" s="8" t="b">
        <f t="shared" si="36"/>
        <v>1</v>
      </c>
    </row>
    <row r="259" spans="1:11">
      <c r="A259" s="5" t="s">
        <v>353</v>
      </c>
      <c r="B259" s="6"/>
      <c r="C259" s="7"/>
      <c r="D259" s="5"/>
      <c r="E259" s="5"/>
      <c r="F259" s="5"/>
      <c r="G259" s="6"/>
      <c r="H259" s="5"/>
      <c r="I259" s="5"/>
      <c r="J259" s="5">
        <f t="shared" si="35"/>
        <v>0</v>
      </c>
      <c r="K259" s="8" t="b">
        <f t="shared" si="36"/>
        <v>1</v>
      </c>
    </row>
  </sheetData>
  <autoFilter ref="A188:K259" xr:uid="{DEF977E9-DC74-4F23-929B-54231725A0F5}">
    <filterColumn colId="1">
      <filters>
        <dateGroupItem year="2024" month="7" dateTimeGrouping="month"/>
      </filters>
    </filterColumn>
  </autoFilter>
  <mergeCells count="15">
    <mergeCell ref="A56:K56"/>
    <mergeCell ref="A57:K57"/>
    <mergeCell ref="A59:K59"/>
    <mergeCell ref="A48:K48"/>
    <mergeCell ref="A1:K1"/>
    <mergeCell ref="A2:K2"/>
    <mergeCell ref="A4:K4"/>
    <mergeCell ref="A45:K45"/>
    <mergeCell ref="A46:K46"/>
    <mergeCell ref="A186:K186"/>
    <mergeCell ref="A183:K183"/>
    <mergeCell ref="A184:K184"/>
    <mergeCell ref="A139:K139"/>
    <mergeCell ref="A140:K140"/>
    <mergeCell ref="A142:K142"/>
  </mergeCells>
  <conditionalFormatting sqref="K1:K2 K4 K7:K43 K45:K46 K48 K50:K57 K59 K61:K136">
    <cfRule type="cellIs" dxfId="25" priority="3" operator="equal">
      <formula>FALSE</formula>
    </cfRule>
    <cfRule type="cellIs" dxfId="24" priority="4" operator="equal">
      <formula>TRUE</formula>
    </cfRule>
  </conditionalFormatting>
  <conditionalFormatting sqref="K138:K140 K142 K144:K184 K186 K188:K259">
    <cfRule type="cellIs" dxfId="23" priority="1" operator="equal">
      <formula>FALSE</formula>
    </cfRule>
    <cfRule type="cellIs" dxfId="22" priority="2" operator="equal">
      <formula>TRUE</formula>
    </cfRule>
  </conditionalFormatting>
  <pageMargins left="0.25" right="0.25" top="0.75" bottom="0.75" header="0.3" footer="0.3"/>
  <pageSetup paperSize="9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FD52-DB98-4E45-B6F2-6244DCD88CFB}">
  <sheetPr codeName="Planilha33"/>
  <dimension ref="A1:K324"/>
  <sheetViews>
    <sheetView topLeftCell="A271" zoomScaleNormal="100" workbookViewId="0">
      <selection activeCell="H300" sqref="H300"/>
    </sheetView>
  </sheetViews>
  <sheetFormatPr defaultRowHeight="15"/>
  <cols>
    <col min="1" max="1" width="14.4257812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93" t="s">
        <v>354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</row>
    <row r="2" spans="1:11" ht="26.25">
      <c r="A2" s="176" t="s">
        <v>15</v>
      </c>
      <c r="B2" s="196"/>
      <c r="C2" s="196"/>
      <c r="D2" s="196"/>
      <c r="E2" s="196"/>
      <c r="F2" s="196"/>
      <c r="G2" s="196"/>
      <c r="H2" s="196"/>
      <c r="I2" s="196"/>
      <c r="J2" s="196"/>
      <c r="K2" s="19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355</v>
      </c>
      <c r="B8" s="6">
        <v>44591</v>
      </c>
      <c r="C8" s="7">
        <v>0.7</v>
      </c>
      <c r="D8" s="5">
        <v>10.37</v>
      </c>
      <c r="E8" s="5">
        <v>18.5</v>
      </c>
      <c r="F8" s="5">
        <v>33.700000000000003</v>
      </c>
      <c r="G8" s="6">
        <v>44591</v>
      </c>
      <c r="H8" s="5"/>
      <c r="I8" s="5"/>
      <c r="J8" s="5">
        <f t="shared" ref="J8:J16" si="0">F8-E8</f>
        <v>15.200000000000003</v>
      </c>
      <c r="K8" s="8" t="b">
        <f>E8=F8</f>
        <v>0</v>
      </c>
    </row>
    <row r="9" spans="1:11">
      <c r="A9" s="5" t="s">
        <v>355</v>
      </c>
      <c r="B9" s="6">
        <v>44592</v>
      </c>
      <c r="C9" s="7">
        <v>1</v>
      </c>
      <c r="D9" s="5">
        <v>7.26</v>
      </c>
      <c r="E9" s="5">
        <v>33.700000000000003</v>
      </c>
      <c r="F9" s="5">
        <v>47.9</v>
      </c>
      <c r="G9" s="6">
        <v>44592</v>
      </c>
      <c r="H9" s="5"/>
      <c r="I9" s="5"/>
      <c r="J9" s="5">
        <f t="shared" si="0"/>
        <v>14.199999999999996</v>
      </c>
      <c r="K9" s="8" t="b">
        <f>E9=F8</f>
        <v>1</v>
      </c>
    </row>
    <row r="10" spans="1:11">
      <c r="A10" s="5" t="s">
        <v>355</v>
      </c>
      <c r="B10" s="6">
        <v>44593</v>
      </c>
      <c r="C10" s="7">
        <v>1</v>
      </c>
      <c r="D10" s="5">
        <v>7.26</v>
      </c>
      <c r="E10" s="5">
        <v>47.9</v>
      </c>
      <c r="F10" s="5">
        <v>62.3</v>
      </c>
      <c r="G10" s="6">
        <v>44593</v>
      </c>
      <c r="H10" s="5"/>
      <c r="I10" s="5"/>
      <c r="J10" s="5">
        <f t="shared" si="0"/>
        <v>14.399999999999999</v>
      </c>
      <c r="K10" s="8" t="b">
        <f t="shared" ref="K10:K22" si="1">E10=F9</f>
        <v>1</v>
      </c>
    </row>
    <row r="11" spans="1:11">
      <c r="A11" s="5" t="s">
        <v>355</v>
      </c>
      <c r="B11" s="6">
        <v>44595</v>
      </c>
      <c r="C11" s="7">
        <v>0.7</v>
      </c>
      <c r="D11" s="5">
        <v>10.37</v>
      </c>
      <c r="E11" s="5">
        <v>62.3</v>
      </c>
      <c r="F11" s="5">
        <v>76.8</v>
      </c>
      <c r="G11" s="6">
        <v>44595</v>
      </c>
      <c r="H11" s="5"/>
      <c r="I11" s="5"/>
      <c r="J11" s="5">
        <f t="shared" si="0"/>
        <v>14.5</v>
      </c>
      <c r="K11" s="8" t="b">
        <f t="shared" si="1"/>
        <v>1</v>
      </c>
    </row>
    <row r="12" spans="1:11">
      <c r="A12" s="5" t="s">
        <v>355</v>
      </c>
      <c r="B12" s="6">
        <v>44616</v>
      </c>
      <c r="C12" s="7">
        <v>1</v>
      </c>
      <c r="D12" s="5">
        <v>7.26</v>
      </c>
      <c r="E12" s="5">
        <v>76.8</v>
      </c>
      <c r="F12" s="5">
        <v>91.5</v>
      </c>
      <c r="G12" s="6">
        <v>44616</v>
      </c>
      <c r="H12" s="5"/>
      <c r="I12" s="5"/>
      <c r="J12" s="5">
        <f t="shared" si="0"/>
        <v>14.700000000000003</v>
      </c>
      <c r="K12" s="8" t="b">
        <f t="shared" si="1"/>
        <v>1</v>
      </c>
    </row>
    <row r="13" spans="1:11">
      <c r="A13" s="5" t="s">
        <v>355</v>
      </c>
      <c r="B13" s="6">
        <v>44619</v>
      </c>
      <c r="C13" s="7">
        <v>0.8</v>
      </c>
      <c r="D13" s="5">
        <v>9.08</v>
      </c>
      <c r="E13" s="5">
        <v>91.1</v>
      </c>
      <c r="F13" s="5">
        <v>108.4</v>
      </c>
      <c r="G13" s="6">
        <v>44619</v>
      </c>
      <c r="H13" s="5"/>
      <c r="I13" s="5"/>
      <c r="J13" s="5">
        <f t="shared" si="0"/>
        <v>17.300000000000011</v>
      </c>
      <c r="K13" s="8" t="b">
        <f>E13=F12</f>
        <v>0</v>
      </c>
    </row>
    <row r="14" spans="1:11">
      <c r="A14" s="5" t="s">
        <v>355</v>
      </c>
      <c r="B14" s="6">
        <v>44622</v>
      </c>
      <c r="C14" s="7">
        <v>0.8</v>
      </c>
      <c r="D14" s="5">
        <v>9.08</v>
      </c>
      <c r="E14" s="5">
        <v>108.4</v>
      </c>
      <c r="F14" s="5">
        <v>126.2</v>
      </c>
      <c r="G14" s="6">
        <v>44622</v>
      </c>
      <c r="H14" s="5"/>
      <c r="I14" s="5"/>
      <c r="J14" s="5">
        <f t="shared" si="0"/>
        <v>17.799999999999997</v>
      </c>
      <c r="K14" s="8" t="b">
        <f t="shared" si="1"/>
        <v>1</v>
      </c>
    </row>
    <row r="15" spans="1:11">
      <c r="A15" s="5" t="s">
        <v>355</v>
      </c>
      <c r="B15" s="6">
        <v>44625</v>
      </c>
      <c r="C15" s="7">
        <v>0.8</v>
      </c>
      <c r="D15" s="5">
        <v>9.08</v>
      </c>
      <c r="E15" s="5">
        <v>126.2</v>
      </c>
      <c r="F15" s="5">
        <v>143.9</v>
      </c>
      <c r="G15" s="6">
        <v>44625</v>
      </c>
      <c r="H15" s="5"/>
      <c r="I15" s="5"/>
      <c r="J15" s="5">
        <f t="shared" si="0"/>
        <v>17.700000000000003</v>
      </c>
      <c r="K15" s="8" t="b">
        <f t="shared" si="1"/>
        <v>1</v>
      </c>
    </row>
    <row r="16" spans="1:11">
      <c r="A16" s="5" t="s">
        <v>355</v>
      </c>
      <c r="B16" s="6">
        <v>44628</v>
      </c>
      <c r="C16" s="7">
        <v>0.8</v>
      </c>
      <c r="D16" s="5">
        <v>9.08</v>
      </c>
      <c r="E16" s="5">
        <v>143.9</v>
      </c>
      <c r="F16" s="5">
        <v>161.80000000000001</v>
      </c>
      <c r="G16" s="6">
        <v>44628</v>
      </c>
      <c r="H16" s="5"/>
      <c r="I16" s="5"/>
      <c r="J16" s="5">
        <f t="shared" si="0"/>
        <v>17.900000000000006</v>
      </c>
      <c r="K16" s="8" t="b">
        <f t="shared" si="1"/>
        <v>1</v>
      </c>
    </row>
    <row r="17" spans="1:11">
      <c r="A17" s="5" t="s">
        <v>355</v>
      </c>
      <c r="B17" s="6">
        <v>44631</v>
      </c>
      <c r="C17" s="7">
        <v>0.8</v>
      </c>
      <c r="D17" s="5">
        <v>9.08</v>
      </c>
      <c r="E17" s="5">
        <v>161.9</v>
      </c>
      <c r="F17" s="5">
        <v>179.8</v>
      </c>
      <c r="G17" s="6">
        <v>44631</v>
      </c>
      <c r="H17" s="5"/>
      <c r="I17" s="5"/>
      <c r="J17" s="5">
        <f t="shared" ref="J17:J22" si="2">F17-E17</f>
        <v>17.900000000000006</v>
      </c>
      <c r="K17" s="8" t="b">
        <f t="shared" si="1"/>
        <v>0</v>
      </c>
    </row>
    <row r="18" spans="1:11">
      <c r="A18" s="5" t="s">
        <v>355</v>
      </c>
      <c r="B18" s="6">
        <v>44638</v>
      </c>
      <c r="C18" s="7">
        <v>0.8</v>
      </c>
      <c r="D18" s="5">
        <v>9.08</v>
      </c>
      <c r="E18" s="5">
        <v>197</v>
      </c>
      <c r="F18" s="5">
        <v>215.3</v>
      </c>
      <c r="G18" s="6">
        <v>44638</v>
      </c>
      <c r="H18" s="5"/>
      <c r="I18" s="5"/>
      <c r="J18" s="5">
        <f t="shared" si="2"/>
        <v>18.300000000000011</v>
      </c>
      <c r="K18" s="8" t="b">
        <f t="shared" si="1"/>
        <v>0</v>
      </c>
    </row>
    <row r="19" spans="1:11">
      <c r="A19" s="5" t="s">
        <v>355</v>
      </c>
      <c r="B19" s="6">
        <v>44643</v>
      </c>
      <c r="C19" s="7">
        <v>0.7</v>
      </c>
      <c r="D19" s="5">
        <v>10.37</v>
      </c>
      <c r="E19" s="5">
        <v>215.3</v>
      </c>
      <c r="F19" s="5">
        <v>235.5</v>
      </c>
      <c r="G19" s="6">
        <v>44643</v>
      </c>
      <c r="H19" s="5"/>
      <c r="I19" s="5"/>
      <c r="J19" s="5">
        <f t="shared" si="2"/>
        <v>20.199999999999989</v>
      </c>
      <c r="K19" s="8" t="b">
        <f t="shared" si="1"/>
        <v>1</v>
      </c>
    </row>
    <row r="20" spans="1:11">
      <c r="A20" s="5" t="s">
        <v>355</v>
      </c>
      <c r="B20" s="6">
        <v>44648</v>
      </c>
      <c r="C20" s="7">
        <v>0.8</v>
      </c>
      <c r="D20" s="5">
        <v>9.08</v>
      </c>
      <c r="E20" s="5">
        <v>235.5</v>
      </c>
      <c r="F20" s="5">
        <v>253.6</v>
      </c>
      <c r="G20" s="6">
        <v>44648</v>
      </c>
      <c r="H20" s="5"/>
      <c r="I20" s="5"/>
      <c r="J20" s="5">
        <f t="shared" si="2"/>
        <v>18.099999999999994</v>
      </c>
      <c r="K20" s="8" t="b">
        <f t="shared" si="1"/>
        <v>1</v>
      </c>
    </row>
    <row r="21" spans="1:11">
      <c r="A21" s="5" t="s">
        <v>355</v>
      </c>
      <c r="B21" s="6">
        <v>44651</v>
      </c>
      <c r="C21" s="7">
        <v>0.8</v>
      </c>
      <c r="D21" s="5">
        <v>9.08</v>
      </c>
      <c r="E21" s="5">
        <v>253.6</v>
      </c>
      <c r="F21" s="5">
        <v>271.5</v>
      </c>
      <c r="G21" s="6">
        <v>44651</v>
      </c>
      <c r="H21" s="5"/>
      <c r="I21" s="5"/>
      <c r="J21" s="5">
        <f t="shared" si="2"/>
        <v>17.900000000000006</v>
      </c>
      <c r="K21" s="8" t="b">
        <f t="shared" si="1"/>
        <v>1</v>
      </c>
    </row>
    <row r="22" spans="1:11">
      <c r="A22" s="39" t="s">
        <v>355</v>
      </c>
      <c r="B22" s="40"/>
      <c r="C22" s="41"/>
      <c r="D22" s="39"/>
      <c r="E22" s="39"/>
      <c r="F22" s="39"/>
      <c r="G22" s="40"/>
      <c r="H22" s="39"/>
      <c r="I22" s="39"/>
      <c r="J22" s="39">
        <f t="shared" si="2"/>
        <v>0</v>
      </c>
      <c r="K22" s="8" t="b">
        <f t="shared" si="1"/>
        <v>0</v>
      </c>
    </row>
    <row r="23" spans="1:11">
      <c r="A23" s="39" t="s">
        <v>355</v>
      </c>
      <c r="B23" s="40"/>
      <c r="C23" s="41"/>
      <c r="D23" s="39"/>
      <c r="E23" s="39"/>
      <c r="F23" s="39"/>
      <c r="G23" s="40"/>
      <c r="H23" s="39"/>
      <c r="I23" s="39"/>
      <c r="J23" s="39">
        <f t="shared" ref="J23:J30" si="3">F23-E23</f>
        <v>0</v>
      </c>
      <c r="K23" s="8" t="b">
        <f t="shared" ref="K23:K33" si="4">E23=F22</f>
        <v>1</v>
      </c>
    </row>
    <row r="24" spans="1:11">
      <c r="A24" s="39" t="s">
        <v>355</v>
      </c>
      <c r="B24" s="40"/>
      <c r="C24" s="41"/>
      <c r="D24" s="39"/>
      <c r="E24" s="39"/>
      <c r="F24" s="39"/>
      <c r="G24" s="40"/>
      <c r="H24" s="39"/>
      <c r="I24" s="39"/>
      <c r="J24" s="39">
        <f t="shared" si="3"/>
        <v>0</v>
      </c>
      <c r="K24" s="8" t="b">
        <f t="shared" si="4"/>
        <v>1</v>
      </c>
    </row>
    <row r="25" spans="1:11">
      <c r="A25" s="39" t="s">
        <v>355</v>
      </c>
      <c r="B25" s="40"/>
      <c r="C25" s="41"/>
      <c r="D25" s="39"/>
      <c r="E25" s="39"/>
      <c r="F25" s="39"/>
      <c r="G25" s="40"/>
      <c r="H25" s="39"/>
      <c r="I25" s="39"/>
      <c r="J25" s="39">
        <f t="shared" si="3"/>
        <v>0</v>
      </c>
      <c r="K25" s="8" t="b">
        <f t="shared" si="4"/>
        <v>1</v>
      </c>
    </row>
    <row r="26" spans="1:11">
      <c r="A26" s="39" t="s">
        <v>355</v>
      </c>
      <c r="B26" s="40"/>
      <c r="C26" s="41"/>
      <c r="D26" s="39"/>
      <c r="E26" s="39"/>
      <c r="F26" s="39"/>
      <c r="G26" s="40"/>
      <c r="H26" s="39"/>
      <c r="I26" s="39"/>
      <c r="J26" s="39">
        <f t="shared" si="3"/>
        <v>0</v>
      </c>
      <c r="K26" s="8" t="b">
        <f t="shared" si="4"/>
        <v>1</v>
      </c>
    </row>
    <row r="27" spans="1:11">
      <c r="A27" s="5" t="s">
        <v>355</v>
      </c>
      <c r="B27" s="6">
        <v>44674</v>
      </c>
      <c r="C27" s="7">
        <v>0.7</v>
      </c>
      <c r="D27" s="5">
        <v>10.37</v>
      </c>
      <c r="E27" s="5">
        <v>378.3</v>
      </c>
      <c r="F27" s="5">
        <v>399.4</v>
      </c>
      <c r="G27" s="6">
        <v>44674</v>
      </c>
      <c r="H27" s="5"/>
      <c r="I27" s="5"/>
      <c r="J27" s="5">
        <f t="shared" si="3"/>
        <v>21.099999999999966</v>
      </c>
      <c r="K27" s="8" t="b">
        <f t="shared" si="4"/>
        <v>0</v>
      </c>
    </row>
    <row r="28" spans="1:11">
      <c r="A28" s="5" t="s">
        <v>355</v>
      </c>
      <c r="B28" s="6">
        <v>44677</v>
      </c>
      <c r="C28" s="7">
        <v>0.7</v>
      </c>
      <c r="D28" s="5">
        <v>10.37</v>
      </c>
      <c r="E28" s="5">
        <v>399.4</v>
      </c>
      <c r="F28" s="5">
        <v>419.7</v>
      </c>
      <c r="G28" s="6">
        <v>44677</v>
      </c>
      <c r="H28" s="5"/>
      <c r="I28" s="5"/>
      <c r="J28" s="5">
        <f t="shared" si="3"/>
        <v>20.300000000000011</v>
      </c>
      <c r="K28" s="8" t="b">
        <f t="shared" si="4"/>
        <v>1</v>
      </c>
    </row>
    <row r="29" spans="1:11">
      <c r="A29" s="5" t="s">
        <v>355</v>
      </c>
      <c r="B29" s="6">
        <v>44680</v>
      </c>
      <c r="C29" s="7">
        <v>0.7</v>
      </c>
      <c r="D29" s="5">
        <v>10.37</v>
      </c>
      <c r="E29" s="5">
        <v>419.7</v>
      </c>
      <c r="F29" s="5">
        <v>432.5</v>
      </c>
      <c r="G29" s="6">
        <v>44680</v>
      </c>
      <c r="H29" s="5"/>
      <c r="I29" s="5"/>
      <c r="J29" s="5">
        <f t="shared" si="3"/>
        <v>12.800000000000011</v>
      </c>
      <c r="K29" s="8" t="b">
        <f t="shared" si="4"/>
        <v>1</v>
      </c>
    </row>
    <row r="30" spans="1:11">
      <c r="A30" s="5" t="s">
        <v>355</v>
      </c>
      <c r="B30" s="6">
        <v>44681</v>
      </c>
      <c r="C30" s="7">
        <v>0.55000000000000004</v>
      </c>
      <c r="D30" s="5">
        <v>13.2</v>
      </c>
      <c r="E30" s="5">
        <v>432.5</v>
      </c>
      <c r="F30" s="5">
        <v>445.6</v>
      </c>
      <c r="G30" s="6">
        <v>44681</v>
      </c>
      <c r="H30" s="5"/>
      <c r="I30" s="5"/>
      <c r="J30" s="5">
        <f t="shared" si="3"/>
        <v>13.100000000000023</v>
      </c>
      <c r="K30" s="8" t="b">
        <f t="shared" si="4"/>
        <v>1</v>
      </c>
    </row>
    <row r="31" spans="1:11">
      <c r="A31" s="5" t="s">
        <v>355</v>
      </c>
      <c r="B31" s="6">
        <v>44683</v>
      </c>
      <c r="C31" s="7">
        <v>0.55000000000000004</v>
      </c>
      <c r="D31" s="5">
        <v>13.2</v>
      </c>
      <c r="E31" s="5">
        <v>445.6</v>
      </c>
      <c r="F31" s="5">
        <v>458.6</v>
      </c>
      <c r="G31" s="6">
        <v>44683</v>
      </c>
      <c r="H31" s="5"/>
      <c r="I31" s="5"/>
      <c r="J31" s="5">
        <f>F31-E31</f>
        <v>13</v>
      </c>
      <c r="K31" s="8" t="b">
        <f t="shared" si="4"/>
        <v>1</v>
      </c>
    </row>
    <row r="32" spans="1:11">
      <c r="A32" s="5" t="s">
        <v>355</v>
      </c>
      <c r="B32" s="6">
        <v>44684</v>
      </c>
      <c r="C32" s="7">
        <v>0.55000000000000004</v>
      </c>
      <c r="D32" s="5">
        <v>13.2</v>
      </c>
      <c r="E32" s="5">
        <v>458.6</v>
      </c>
      <c r="F32" s="5">
        <v>477.6</v>
      </c>
      <c r="G32" s="6">
        <v>44684</v>
      </c>
      <c r="H32" s="5"/>
      <c r="I32" s="5"/>
      <c r="J32" s="5">
        <f>F32-E32</f>
        <v>19</v>
      </c>
      <c r="K32" s="8" t="b">
        <f t="shared" si="4"/>
        <v>1</v>
      </c>
    </row>
    <row r="33" spans="1:11">
      <c r="A33" s="5" t="s">
        <v>355</v>
      </c>
      <c r="B33" s="6">
        <v>44686</v>
      </c>
      <c r="C33" s="7">
        <v>0.55000000000000004</v>
      </c>
      <c r="D33" s="5">
        <v>13.2</v>
      </c>
      <c r="E33" s="5">
        <v>477.6</v>
      </c>
      <c r="F33" s="5">
        <v>484.4</v>
      </c>
      <c r="G33" s="6">
        <v>44686</v>
      </c>
      <c r="H33" s="5"/>
      <c r="I33" s="5"/>
      <c r="J33" s="5">
        <f>F33-E33</f>
        <v>6.7999999999999545</v>
      </c>
      <c r="K33" s="8" t="b">
        <f t="shared" si="4"/>
        <v>1</v>
      </c>
    </row>
    <row r="34" spans="1:11">
      <c r="A34" s="5" t="s">
        <v>355</v>
      </c>
      <c r="B34" s="6">
        <v>44687</v>
      </c>
      <c r="C34" s="7">
        <v>0.55000000000000004</v>
      </c>
      <c r="D34" s="5">
        <v>13.2</v>
      </c>
      <c r="E34" s="5">
        <v>484.4</v>
      </c>
      <c r="F34" s="5">
        <v>498</v>
      </c>
      <c r="G34" s="6">
        <v>44687</v>
      </c>
      <c r="H34" s="5"/>
      <c r="I34" s="5"/>
      <c r="J34" s="5">
        <f t="shared" ref="J34:J48" si="5">F34-E34</f>
        <v>13.600000000000023</v>
      </c>
      <c r="K34" s="8" t="b">
        <f t="shared" ref="K34:K48" si="6">E34=F33</f>
        <v>1</v>
      </c>
    </row>
    <row r="35" spans="1:11">
      <c r="A35" s="5" t="s">
        <v>355</v>
      </c>
      <c r="B35" s="6">
        <v>44690</v>
      </c>
      <c r="C35" s="7">
        <v>0.55000000000000004</v>
      </c>
      <c r="D35" s="5">
        <v>13.2</v>
      </c>
      <c r="E35" s="5">
        <v>498</v>
      </c>
      <c r="F35" s="5">
        <v>510.9</v>
      </c>
      <c r="G35" s="6">
        <v>44690</v>
      </c>
      <c r="H35" s="5"/>
      <c r="I35" s="5"/>
      <c r="J35" s="5">
        <f t="shared" si="5"/>
        <v>12.899999999999977</v>
      </c>
      <c r="K35" s="8" t="b">
        <f t="shared" si="6"/>
        <v>1</v>
      </c>
    </row>
    <row r="36" spans="1:11">
      <c r="A36" s="5" t="s">
        <v>355</v>
      </c>
      <c r="B36" s="6">
        <v>44691</v>
      </c>
      <c r="C36" s="7">
        <v>0.55000000000000004</v>
      </c>
      <c r="D36" s="5">
        <v>13.2</v>
      </c>
      <c r="E36" s="5">
        <v>510.9</v>
      </c>
      <c r="F36" s="5">
        <v>529.9</v>
      </c>
      <c r="G36" s="6">
        <v>44691</v>
      </c>
      <c r="H36" s="5"/>
      <c r="I36" s="5"/>
      <c r="J36" s="5">
        <f t="shared" si="5"/>
        <v>19</v>
      </c>
      <c r="K36" s="8" t="b">
        <f t="shared" si="6"/>
        <v>1</v>
      </c>
    </row>
    <row r="37" spans="1:11">
      <c r="A37" s="5" t="s">
        <v>355</v>
      </c>
      <c r="B37" s="6">
        <v>44693</v>
      </c>
      <c r="C37" s="7">
        <v>0.55000000000000004</v>
      </c>
      <c r="D37" s="5">
        <v>13.2</v>
      </c>
      <c r="E37" s="5">
        <v>529.9</v>
      </c>
      <c r="F37" s="5">
        <v>538.29999999999995</v>
      </c>
      <c r="G37" s="6">
        <v>44693</v>
      </c>
      <c r="H37" s="5"/>
      <c r="I37" s="5"/>
      <c r="J37" s="5">
        <f t="shared" si="5"/>
        <v>8.3999999999999773</v>
      </c>
      <c r="K37" s="8" t="b">
        <f t="shared" si="6"/>
        <v>1</v>
      </c>
    </row>
    <row r="38" spans="1:11">
      <c r="A38" s="5" t="s">
        <v>355</v>
      </c>
      <c r="B38" s="6">
        <v>44694</v>
      </c>
      <c r="C38" s="7">
        <v>0.55000000000000004</v>
      </c>
      <c r="D38" s="5">
        <v>13.2</v>
      </c>
      <c r="E38" s="5">
        <v>538.29999999999995</v>
      </c>
      <c r="F38" s="5">
        <v>552.79999999999995</v>
      </c>
      <c r="G38" s="6">
        <v>44694</v>
      </c>
      <c r="H38" s="5"/>
      <c r="I38" s="5"/>
      <c r="J38" s="5">
        <f t="shared" si="5"/>
        <v>14.5</v>
      </c>
      <c r="K38" s="8" t="b">
        <f t="shared" si="6"/>
        <v>1</v>
      </c>
    </row>
    <row r="39" spans="1:11">
      <c r="A39" s="5" t="s">
        <v>355</v>
      </c>
      <c r="B39" s="6">
        <v>44696</v>
      </c>
      <c r="C39" s="7">
        <v>0.5</v>
      </c>
      <c r="D39" s="5">
        <v>14.52</v>
      </c>
      <c r="E39" s="5">
        <v>552.79999999999995</v>
      </c>
      <c r="F39" s="5">
        <v>567</v>
      </c>
      <c r="G39" s="6">
        <v>44696</v>
      </c>
      <c r="H39" s="5"/>
      <c r="I39" s="5"/>
      <c r="J39" s="5">
        <f t="shared" si="5"/>
        <v>14.200000000000045</v>
      </c>
      <c r="K39" s="8" t="b">
        <f t="shared" si="6"/>
        <v>1</v>
      </c>
    </row>
    <row r="40" spans="1:11">
      <c r="A40" s="5" t="s">
        <v>355</v>
      </c>
      <c r="B40" s="6">
        <v>44697</v>
      </c>
      <c r="C40" s="7">
        <v>0.5</v>
      </c>
      <c r="D40" s="5">
        <v>14.52</v>
      </c>
      <c r="E40" s="5">
        <v>567</v>
      </c>
      <c r="F40" s="5">
        <v>581.29999999999995</v>
      </c>
      <c r="G40" s="6">
        <v>44697</v>
      </c>
      <c r="H40" s="5"/>
      <c r="I40" s="5"/>
      <c r="J40" s="5">
        <f t="shared" si="5"/>
        <v>14.299999999999955</v>
      </c>
      <c r="K40" s="8" t="b">
        <f t="shared" si="6"/>
        <v>1</v>
      </c>
    </row>
    <row r="41" spans="1:11">
      <c r="A41" s="5" t="s">
        <v>355</v>
      </c>
      <c r="B41" s="6">
        <v>44698</v>
      </c>
      <c r="C41" s="7">
        <v>0.5</v>
      </c>
      <c r="D41" s="5">
        <v>14.52</v>
      </c>
      <c r="E41" s="5">
        <v>581.29999999999995</v>
      </c>
      <c r="F41" s="5">
        <v>595.5</v>
      </c>
      <c r="G41" s="6">
        <v>44698</v>
      </c>
      <c r="H41" s="5"/>
      <c r="I41" s="5"/>
      <c r="J41" s="5">
        <f t="shared" si="5"/>
        <v>14.200000000000045</v>
      </c>
      <c r="K41" s="8" t="b">
        <f t="shared" si="6"/>
        <v>1</v>
      </c>
    </row>
    <row r="42" spans="1:11">
      <c r="A42" s="5" t="s">
        <v>355</v>
      </c>
      <c r="B42" s="6">
        <v>44699</v>
      </c>
      <c r="C42" s="7">
        <v>0.5</v>
      </c>
      <c r="D42" s="5">
        <v>14.52</v>
      </c>
      <c r="E42" s="5">
        <v>595.5</v>
      </c>
      <c r="F42" s="5">
        <v>609.9</v>
      </c>
      <c r="G42" s="6">
        <v>44699</v>
      </c>
      <c r="H42" s="5"/>
      <c r="I42" s="5"/>
      <c r="J42" s="5">
        <f t="shared" si="5"/>
        <v>14.399999999999977</v>
      </c>
      <c r="K42" s="8" t="b">
        <f t="shared" si="6"/>
        <v>1</v>
      </c>
    </row>
    <row r="43" spans="1:11">
      <c r="A43" s="5" t="s">
        <v>355</v>
      </c>
      <c r="B43" s="6">
        <v>44700</v>
      </c>
      <c r="C43" s="7">
        <v>0.5</v>
      </c>
      <c r="D43" s="5">
        <v>14.52</v>
      </c>
      <c r="E43" s="5">
        <v>609.9</v>
      </c>
      <c r="F43" s="5">
        <v>624.70000000000005</v>
      </c>
      <c r="G43" s="6">
        <v>44700</v>
      </c>
      <c r="H43" s="5"/>
      <c r="I43" s="5"/>
      <c r="J43" s="5">
        <f t="shared" si="5"/>
        <v>14.800000000000068</v>
      </c>
      <c r="K43" s="8" t="b">
        <f t="shared" si="6"/>
        <v>1</v>
      </c>
    </row>
    <row r="44" spans="1:11">
      <c r="A44" s="5" t="s">
        <v>355</v>
      </c>
      <c r="B44" s="6">
        <v>44701</v>
      </c>
      <c r="C44" s="7">
        <v>0.5</v>
      </c>
      <c r="D44" s="5">
        <v>14.52</v>
      </c>
      <c r="E44" s="5">
        <v>624.70000000000005</v>
      </c>
      <c r="F44" s="5">
        <v>638.5</v>
      </c>
      <c r="G44" s="6">
        <v>44701</v>
      </c>
      <c r="H44" s="5"/>
      <c r="I44" s="5"/>
      <c r="J44" s="5">
        <f t="shared" si="5"/>
        <v>13.799999999999955</v>
      </c>
      <c r="K44" s="8" t="b">
        <f t="shared" si="6"/>
        <v>1</v>
      </c>
    </row>
    <row r="45" spans="1:11">
      <c r="A45" s="5" t="s">
        <v>355</v>
      </c>
      <c r="B45" s="6">
        <v>44702</v>
      </c>
      <c r="C45" s="7">
        <v>0.5</v>
      </c>
      <c r="D45" s="5">
        <v>14.52</v>
      </c>
      <c r="E45" s="5">
        <v>638.5</v>
      </c>
      <c r="F45" s="5">
        <v>652.70000000000005</v>
      </c>
      <c r="G45" s="6">
        <v>44702</v>
      </c>
      <c r="H45" s="5"/>
      <c r="I45" s="5"/>
      <c r="J45" s="5">
        <f t="shared" si="5"/>
        <v>14.200000000000045</v>
      </c>
      <c r="K45" s="8" t="b">
        <f t="shared" si="6"/>
        <v>1</v>
      </c>
    </row>
    <row r="46" spans="1:11">
      <c r="A46" s="5" t="s">
        <v>355</v>
      </c>
      <c r="B46" s="6">
        <v>44703</v>
      </c>
      <c r="C46" s="7">
        <v>0.5</v>
      </c>
      <c r="D46" s="5">
        <v>14.52</v>
      </c>
      <c r="E46" s="5">
        <v>652.70000000000005</v>
      </c>
      <c r="F46" s="5">
        <v>666.5</v>
      </c>
      <c r="G46" s="6">
        <v>44703</v>
      </c>
      <c r="H46" s="5"/>
      <c r="I46" s="5"/>
      <c r="J46" s="5">
        <f t="shared" si="5"/>
        <v>13.799999999999955</v>
      </c>
      <c r="K46" s="8" t="b">
        <f t="shared" si="6"/>
        <v>1</v>
      </c>
    </row>
    <row r="47" spans="1:11">
      <c r="A47" s="5" t="s">
        <v>355</v>
      </c>
      <c r="B47" s="6">
        <v>44704</v>
      </c>
      <c r="C47" s="7">
        <v>0.5</v>
      </c>
      <c r="D47" s="5">
        <v>14.52</v>
      </c>
      <c r="E47" s="5">
        <v>666.5</v>
      </c>
      <c r="F47" s="5">
        <v>681</v>
      </c>
      <c r="G47" s="6">
        <v>44704</v>
      </c>
      <c r="H47" s="5"/>
      <c r="I47" s="5"/>
      <c r="J47" s="5">
        <f t="shared" si="5"/>
        <v>14.5</v>
      </c>
      <c r="K47" s="8" t="b">
        <f t="shared" si="6"/>
        <v>1</v>
      </c>
    </row>
    <row r="48" spans="1:11">
      <c r="A48" s="5" t="s">
        <v>355</v>
      </c>
      <c r="B48" s="6">
        <v>44705</v>
      </c>
      <c r="C48" s="7">
        <v>0.5</v>
      </c>
      <c r="D48" s="5">
        <v>14.52</v>
      </c>
      <c r="E48" s="5">
        <v>681</v>
      </c>
      <c r="F48" s="5">
        <v>695.4</v>
      </c>
      <c r="G48" s="6">
        <v>44705</v>
      </c>
      <c r="H48" s="5"/>
      <c r="I48" s="5"/>
      <c r="J48" s="5">
        <f t="shared" si="5"/>
        <v>14.399999999999977</v>
      </c>
      <c r="K48" s="8" t="b">
        <f t="shared" si="6"/>
        <v>1</v>
      </c>
    </row>
    <row r="49" spans="1:11">
      <c r="A49" s="5" t="s">
        <v>355</v>
      </c>
      <c r="B49" s="6">
        <v>44706</v>
      </c>
      <c r="C49" s="7">
        <v>0.5</v>
      </c>
      <c r="D49" s="5">
        <v>14.52</v>
      </c>
      <c r="E49" s="5">
        <v>695.4</v>
      </c>
      <c r="F49" s="5">
        <v>709.6</v>
      </c>
      <c r="G49" s="6">
        <v>44706</v>
      </c>
      <c r="H49" s="5"/>
      <c r="I49" s="5"/>
      <c r="J49" s="5">
        <f t="shared" ref="J49:J65" si="7">F49-E49</f>
        <v>14.200000000000045</v>
      </c>
      <c r="K49" s="8" t="b">
        <f t="shared" ref="K49:K65" si="8">E49=F48</f>
        <v>1</v>
      </c>
    </row>
    <row r="50" spans="1:11">
      <c r="A50" s="5" t="s">
        <v>355</v>
      </c>
      <c r="B50" s="6">
        <v>44707</v>
      </c>
      <c r="C50" s="7">
        <v>0.5</v>
      </c>
      <c r="D50" s="5">
        <v>14.52</v>
      </c>
      <c r="E50" s="5">
        <v>709.6</v>
      </c>
      <c r="F50" s="5">
        <v>724</v>
      </c>
      <c r="G50" s="6">
        <v>44707</v>
      </c>
      <c r="H50" s="5"/>
      <c r="I50" s="5"/>
      <c r="J50" s="5">
        <f t="shared" si="7"/>
        <v>14.399999999999977</v>
      </c>
      <c r="K50" s="8" t="b">
        <f t="shared" si="8"/>
        <v>1</v>
      </c>
    </row>
    <row r="51" spans="1:11">
      <c r="A51" s="5" t="s">
        <v>355</v>
      </c>
      <c r="B51" s="6">
        <v>44708</v>
      </c>
      <c r="C51" s="7">
        <v>0.5</v>
      </c>
      <c r="D51" s="5">
        <v>14.52</v>
      </c>
      <c r="E51" s="5">
        <v>724</v>
      </c>
      <c r="F51" s="5">
        <v>738.2</v>
      </c>
      <c r="G51" s="6">
        <v>44708</v>
      </c>
      <c r="H51" s="5"/>
      <c r="I51" s="5"/>
      <c r="J51" s="5">
        <f t="shared" si="7"/>
        <v>14.200000000000045</v>
      </c>
      <c r="K51" s="8" t="b">
        <f t="shared" si="8"/>
        <v>1</v>
      </c>
    </row>
    <row r="52" spans="1:11">
      <c r="A52" s="5" t="s">
        <v>355</v>
      </c>
      <c r="B52" s="6">
        <v>44709</v>
      </c>
      <c r="C52" s="7">
        <v>0.5</v>
      </c>
      <c r="D52" s="5">
        <v>14.52</v>
      </c>
      <c r="E52" s="5">
        <v>738.2</v>
      </c>
      <c r="F52" s="5">
        <v>752.5</v>
      </c>
      <c r="G52" s="6">
        <v>44709</v>
      </c>
      <c r="H52" s="5"/>
      <c r="I52" s="5"/>
      <c r="J52" s="5">
        <f t="shared" si="7"/>
        <v>14.299999999999955</v>
      </c>
      <c r="K52" s="8" t="b">
        <f t="shared" si="8"/>
        <v>1</v>
      </c>
    </row>
    <row r="53" spans="1:11">
      <c r="A53" s="5" t="s">
        <v>355</v>
      </c>
      <c r="B53" s="6">
        <v>44710</v>
      </c>
      <c r="C53" s="7">
        <v>0.5</v>
      </c>
      <c r="D53" s="5">
        <v>14.52</v>
      </c>
      <c r="E53" s="5">
        <v>752.5</v>
      </c>
      <c r="F53" s="5">
        <v>766.7</v>
      </c>
      <c r="G53" s="6">
        <v>44710</v>
      </c>
      <c r="H53" s="5"/>
      <c r="I53" s="5"/>
      <c r="J53" s="5">
        <f t="shared" si="7"/>
        <v>14.200000000000045</v>
      </c>
      <c r="K53" s="8" t="b">
        <f t="shared" si="8"/>
        <v>1</v>
      </c>
    </row>
    <row r="54" spans="1:11">
      <c r="A54" s="5" t="s">
        <v>355</v>
      </c>
      <c r="B54" s="6">
        <v>44711</v>
      </c>
      <c r="C54" s="7">
        <v>0.5</v>
      </c>
      <c r="D54" s="5">
        <v>14.52</v>
      </c>
      <c r="E54" s="5">
        <v>766.7</v>
      </c>
      <c r="F54" s="5">
        <v>777.8</v>
      </c>
      <c r="G54" s="6">
        <v>44711</v>
      </c>
      <c r="H54" s="5"/>
      <c r="I54" s="5"/>
      <c r="J54" s="5">
        <f t="shared" si="7"/>
        <v>11.099999999999909</v>
      </c>
      <c r="K54" s="8" t="b">
        <f t="shared" si="8"/>
        <v>1</v>
      </c>
    </row>
    <row r="55" spans="1:11">
      <c r="A55" s="5" t="s">
        <v>355</v>
      </c>
      <c r="B55" s="6">
        <v>44712</v>
      </c>
      <c r="C55" s="7">
        <v>0.5</v>
      </c>
      <c r="D55" s="5">
        <v>14.52</v>
      </c>
      <c r="E55" s="5">
        <v>777.8</v>
      </c>
      <c r="F55" s="5">
        <v>792</v>
      </c>
      <c r="G55" s="6">
        <v>44702</v>
      </c>
      <c r="H55" s="5"/>
      <c r="I55" s="5"/>
      <c r="J55" s="5">
        <f t="shared" si="7"/>
        <v>14.200000000000045</v>
      </c>
      <c r="K55" s="8" t="b">
        <f t="shared" si="8"/>
        <v>1</v>
      </c>
    </row>
    <row r="56" spans="1:11">
      <c r="A56" s="5" t="s">
        <v>355</v>
      </c>
      <c r="B56" s="6">
        <v>44713</v>
      </c>
      <c r="C56" s="7">
        <v>0.5</v>
      </c>
      <c r="D56" s="5">
        <v>14.52</v>
      </c>
      <c r="E56" s="5">
        <v>792</v>
      </c>
      <c r="F56" s="5">
        <v>806.4</v>
      </c>
      <c r="G56" s="6">
        <v>44713</v>
      </c>
      <c r="H56" s="5"/>
      <c r="I56" s="5"/>
      <c r="J56" s="5">
        <f t="shared" si="7"/>
        <v>14.399999999999977</v>
      </c>
      <c r="K56" s="8" t="b">
        <f t="shared" si="8"/>
        <v>1</v>
      </c>
    </row>
    <row r="57" spans="1:11">
      <c r="A57" s="5" t="s">
        <v>355</v>
      </c>
      <c r="B57" s="6">
        <v>44714</v>
      </c>
      <c r="C57" s="7">
        <v>0.5</v>
      </c>
      <c r="D57" s="5">
        <v>14.52</v>
      </c>
      <c r="E57" s="5">
        <v>806.4</v>
      </c>
      <c r="F57" s="5">
        <v>820.8</v>
      </c>
      <c r="G57" s="6">
        <v>44714</v>
      </c>
      <c r="H57" s="5"/>
      <c r="I57" s="5"/>
      <c r="J57" s="5">
        <f t="shared" si="7"/>
        <v>14.399999999999977</v>
      </c>
      <c r="K57" s="8" t="b">
        <f t="shared" si="8"/>
        <v>1</v>
      </c>
    </row>
    <row r="58" spans="1:11">
      <c r="A58" s="5" t="s">
        <v>355</v>
      </c>
      <c r="B58" s="6">
        <v>44715</v>
      </c>
      <c r="C58" s="7">
        <v>0.5</v>
      </c>
      <c r="D58" s="5">
        <v>14.52</v>
      </c>
      <c r="E58" s="5">
        <v>820.8</v>
      </c>
      <c r="F58" s="5">
        <v>835</v>
      </c>
      <c r="G58" s="6">
        <v>44715</v>
      </c>
      <c r="H58" s="5"/>
      <c r="I58" s="5"/>
      <c r="J58" s="5">
        <f t="shared" si="7"/>
        <v>14.200000000000045</v>
      </c>
      <c r="K58" s="8" t="b">
        <f t="shared" si="8"/>
        <v>1</v>
      </c>
    </row>
    <row r="59" spans="1:11">
      <c r="A59" s="5" t="s">
        <v>355</v>
      </c>
      <c r="B59" s="6">
        <v>44716</v>
      </c>
      <c r="C59" s="7">
        <v>0.5</v>
      </c>
      <c r="D59" s="5">
        <v>14.52</v>
      </c>
      <c r="E59" s="5">
        <v>835</v>
      </c>
      <c r="F59" s="5">
        <v>849.7</v>
      </c>
      <c r="G59" s="6">
        <v>44716</v>
      </c>
      <c r="H59" s="5"/>
      <c r="I59" s="5"/>
      <c r="J59" s="5">
        <f t="shared" si="7"/>
        <v>14.700000000000045</v>
      </c>
      <c r="K59" s="8" t="b">
        <f t="shared" si="8"/>
        <v>1</v>
      </c>
    </row>
    <row r="60" spans="1:11">
      <c r="A60" s="5" t="s">
        <v>355</v>
      </c>
      <c r="B60" s="6">
        <v>44717</v>
      </c>
      <c r="C60" s="7">
        <v>0.5</v>
      </c>
      <c r="D60" s="5">
        <v>14.52</v>
      </c>
      <c r="E60" s="5">
        <v>849.7</v>
      </c>
      <c r="F60" s="5">
        <v>863.5</v>
      </c>
      <c r="G60" s="6">
        <v>44717</v>
      </c>
      <c r="H60" s="5"/>
      <c r="I60" s="5"/>
      <c r="J60" s="5">
        <f t="shared" si="7"/>
        <v>13.799999999999955</v>
      </c>
      <c r="K60" s="8" t="b">
        <f t="shared" si="8"/>
        <v>1</v>
      </c>
    </row>
    <row r="61" spans="1:11">
      <c r="A61" s="5" t="s">
        <v>355</v>
      </c>
      <c r="B61" s="6">
        <v>44718</v>
      </c>
      <c r="C61" s="7">
        <v>0.5</v>
      </c>
      <c r="D61" s="5">
        <v>14.52</v>
      </c>
      <c r="E61" s="5">
        <v>863.5</v>
      </c>
      <c r="F61" s="5">
        <v>877.7</v>
      </c>
      <c r="G61" s="6">
        <v>44718</v>
      </c>
      <c r="H61" s="5"/>
      <c r="I61" s="5"/>
      <c r="J61" s="5">
        <f t="shared" si="7"/>
        <v>14.200000000000045</v>
      </c>
      <c r="K61" s="8" t="b">
        <f t="shared" si="8"/>
        <v>1</v>
      </c>
    </row>
    <row r="62" spans="1:11">
      <c r="A62" s="5" t="s">
        <v>355</v>
      </c>
      <c r="B62" s="6">
        <v>44719</v>
      </c>
      <c r="C62" s="7">
        <v>0.5</v>
      </c>
      <c r="D62" s="5">
        <v>14.52</v>
      </c>
      <c r="E62" s="5">
        <v>877.7</v>
      </c>
      <c r="F62" s="5">
        <v>892</v>
      </c>
      <c r="G62" s="6">
        <v>44719</v>
      </c>
      <c r="H62" s="5"/>
      <c r="I62" s="5"/>
      <c r="J62" s="5">
        <f t="shared" si="7"/>
        <v>14.299999999999955</v>
      </c>
      <c r="K62" s="8" t="b">
        <f t="shared" si="8"/>
        <v>1</v>
      </c>
    </row>
    <row r="63" spans="1:11">
      <c r="A63" s="5" t="s">
        <v>355</v>
      </c>
      <c r="B63" s="6">
        <v>44720</v>
      </c>
      <c r="C63" s="7">
        <v>0.5</v>
      </c>
      <c r="D63" s="5">
        <v>14.52</v>
      </c>
      <c r="E63" s="5">
        <v>892</v>
      </c>
      <c r="F63" s="5">
        <v>906.2</v>
      </c>
      <c r="G63" s="6">
        <v>44720</v>
      </c>
      <c r="H63" s="5"/>
      <c r="I63" s="5"/>
      <c r="J63" s="5">
        <f t="shared" si="7"/>
        <v>14.200000000000045</v>
      </c>
      <c r="K63" s="8" t="b">
        <f t="shared" si="8"/>
        <v>1</v>
      </c>
    </row>
    <row r="64" spans="1:11">
      <c r="A64" s="5" t="s">
        <v>355</v>
      </c>
      <c r="B64" s="6">
        <v>44721</v>
      </c>
      <c r="C64" s="7">
        <v>0.5</v>
      </c>
      <c r="D64" s="5">
        <v>14.52</v>
      </c>
      <c r="E64" s="5">
        <v>906.2</v>
      </c>
      <c r="F64" s="5">
        <v>920.5</v>
      </c>
      <c r="G64" s="6">
        <v>44721</v>
      </c>
      <c r="H64" s="5"/>
      <c r="I64" s="5"/>
      <c r="J64" s="5">
        <f t="shared" si="7"/>
        <v>14.299999999999955</v>
      </c>
      <c r="K64" s="8" t="b">
        <f t="shared" si="8"/>
        <v>1</v>
      </c>
    </row>
    <row r="65" spans="1:11">
      <c r="A65" s="5" t="s">
        <v>355</v>
      </c>
      <c r="B65" s="6">
        <v>44722</v>
      </c>
      <c r="C65" s="7">
        <v>0.5</v>
      </c>
      <c r="D65" s="5">
        <v>14.52</v>
      </c>
      <c r="E65" s="5">
        <v>920.5</v>
      </c>
      <c r="F65" s="5">
        <v>934.7</v>
      </c>
      <c r="G65" s="6">
        <v>44722</v>
      </c>
      <c r="H65" s="5"/>
      <c r="I65" s="5"/>
      <c r="J65" s="5">
        <f t="shared" si="7"/>
        <v>14.200000000000045</v>
      </c>
      <c r="K65" s="8" t="b">
        <f t="shared" si="8"/>
        <v>1</v>
      </c>
    </row>
    <row r="66" spans="1:11">
      <c r="A66" s="5" t="s">
        <v>355</v>
      </c>
      <c r="B66" s="6">
        <v>44724</v>
      </c>
      <c r="C66" s="7">
        <v>0.5</v>
      </c>
      <c r="D66" s="5">
        <v>14.52</v>
      </c>
      <c r="E66" s="5">
        <v>934.7</v>
      </c>
      <c r="F66" s="5">
        <v>949</v>
      </c>
      <c r="G66" s="6">
        <v>44724</v>
      </c>
      <c r="H66" s="5"/>
      <c r="I66" s="5"/>
      <c r="J66" s="5">
        <f t="shared" ref="J66:J69" si="9">F66-E66</f>
        <v>14.299999999999955</v>
      </c>
      <c r="K66" s="8" t="b">
        <f t="shared" ref="K66:K69" si="10">E66=F65</f>
        <v>1</v>
      </c>
    </row>
    <row r="67" spans="1:11">
      <c r="A67" s="5" t="s">
        <v>355</v>
      </c>
      <c r="B67" s="6">
        <v>44728</v>
      </c>
      <c r="C67" s="7">
        <v>0.5</v>
      </c>
      <c r="D67" s="5">
        <v>14.52</v>
      </c>
      <c r="E67" s="5">
        <v>949</v>
      </c>
      <c r="F67" s="5">
        <v>963.8</v>
      </c>
      <c r="G67" s="6">
        <v>44728</v>
      </c>
      <c r="H67" s="5"/>
      <c r="I67" s="5"/>
      <c r="J67" s="5">
        <f t="shared" si="9"/>
        <v>14.799999999999955</v>
      </c>
      <c r="K67" s="8" t="b">
        <f t="shared" si="10"/>
        <v>1</v>
      </c>
    </row>
    <row r="68" spans="1:11">
      <c r="A68" s="5" t="s">
        <v>355</v>
      </c>
      <c r="B68" s="6">
        <v>44739</v>
      </c>
      <c r="C68" s="7">
        <v>0.5</v>
      </c>
      <c r="D68" s="5">
        <v>14.52</v>
      </c>
      <c r="E68" s="5">
        <v>963.8</v>
      </c>
      <c r="F68" s="5">
        <v>977.6</v>
      </c>
      <c r="G68" s="6">
        <v>44739</v>
      </c>
      <c r="H68" s="5"/>
      <c r="I68" s="5"/>
      <c r="J68" s="5">
        <f t="shared" si="9"/>
        <v>13.800000000000068</v>
      </c>
      <c r="K68" s="8" t="b">
        <f t="shared" si="10"/>
        <v>1</v>
      </c>
    </row>
    <row r="69" spans="1:11">
      <c r="A69" s="5" t="s">
        <v>355</v>
      </c>
      <c r="B69" s="6"/>
      <c r="C69" s="7"/>
      <c r="D69" s="5"/>
      <c r="E69" s="5"/>
      <c r="F69" s="5"/>
      <c r="G69" s="6"/>
      <c r="H69" s="5"/>
      <c r="I69" s="5"/>
      <c r="J69" s="5">
        <f t="shared" si="9"/>
        <v>0</v>
      </c>
      <c r="K69" s="8" t="b">
        <f t="shared" si="10"/>
        <v>0</v>
      </c>
    </row>
    <row r="71" spans="1:11" ht="26.25">
      <c r="A71" s="199" t="s">
        <v>354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1"/>
    </row>
    <row r="72" spans="1:11" ht="26.25">
      <c r="A72" s="202" t="s">
        <v>41</v>
      </c>
      <c r="B72" s="203"/>
      <c r="C72" s="203"/>
      <c r="D72" s="203"/>
      <c r="E72" s="203"/>
      <c r="F72" s="203"/>
      <c r="G72" s="203"/>
      <c r="H72" s="203"/>
      <c r="I72" s="203"/>
      <c r="J72" s="203"/>
      <c r="K72" s="204"/>
    </row>
    <row r="73" spans="1:11" ht="15.75" thickBot="1"/>
    <row r="74" spans="1:11" ht="15.75" thickBot="1">
      <c r="A74" s="132" t="s">
        <v>2</v>
      </c>
      <c r="B74" s="133"/>
      <c r="C74" s="133"/>
      <c r="D74" s="133"/>
      <c r="E74" s="133"/>
      <c r="F74" s="133"/>
      <c r="G74" s="133"/>
      <c r="H74" s="133"/>
      <c r="I74" s="133"/>
      <c r="J74" s="133"/>
      <c r="K74" s="134"/>
    </row>
    <row r="76" spans="1:11" ht="19.5" thickBot="1">
      <c r="A76" s="1" t="s">
        <v>3</v>
      </c>
      <c r="B76" s="1"/>
      <c r="C76" s="1"/>
      <c r="D76" s="1"/>
      <c r="E76" s="1"/>
      <c r="F76" s="1"/>
      <c r="G76" s="1"/>
      <c r="H76" s="1"/>
      <c r="I76" s="1"/>
    </row>
    <row r="77" spans="1:11" ht="30.75" thickBot="1">
      <c r="A77" s="2" t="s">
        <v>4</v>
      </c>
      <c r="B77" s="3" t="s">
        <v>5</v>
      </c>
      <c r="C77" s="3" t="s">
        <v>6</v>
      </c>
      <c r="D77" s="3" t="s">
        <v>7</v>
      </c>
      <c r="E77" s="3" t="s">
        <v>8</v>
      </c>
      <c r="F77" s="3" t="s">
        <v>9</v>
      </c>
      <c r="G77" s="3" t="s">
        <v>10</v>
      </c>
      <c r="H77" s="3" t="s">
        <v>21</v>
      </c>
      <c r="I77" s="4" t="s">
        <v>22</v>
      </c>
      <c r="J77" s="4" t="s">
        <v>11</v>
      </c>
      <c r="K77" s="4" t="s">
        <v>12</v>
      </c>
    </row>
    <row r="78" spans="1:11">
      <c r="A78" s="5" t="s">
        <v>356</v>
      </c>
      <c r="B78" s="6">
        <v>44938</v>
      </c>
      <c r="C78" s="7">
        <v>0.8</v>
      </c>
      <c r="D78" s="5">
        <v>9.08</v>
      </c>
      <c r="E78" s="5">
        <v>979.9</v>
      </c>
      <c r="F78" s="5">
        <v>998.9</v>
      </c>
      <c r="G78" s="6">
        <v>44938</v>
      </c>
      <c r="H78" s="5"/>
      <c r="I78" s="5"/>
      <c r="J78" s="5">
        <f>F78-E78</f>
        <v>19</v>
      </c>
      <c r="K78" s="8" t="b">
        <f>E78=F68</f>
        <v>0</v>
      </c>
    </row>
    <row r="79" spans="1:11">
      <c r="A79" s="5" t="s">
        <v>356</v>
      </c>
      <c r="B79" s="6">
        <v>44939</v>
      </c>
      <c r="C79" s="7">
        <v>0.8</v>
      </c>
      <c r="D79" s="5">
        <v>9.08</v>
      </c>
      <c r="E79" s="5">
        <v>998.9</v>
      </c>
      <c r="F79" s="5">
        <v>1017.3</v>
      </c>
      <c r="G79" s="6">
        <v>44939</v>
      </c>
      <c r="H79" s="5"/>
      <c r="I79" s="5"/>
      <c r="J79" s="5">
        <f t="shared" ref="J79:J82" si="11">F79-E79</f>
        <v>18.399999999999977</v>
      </c>
      <c r="K79" s="8" t="b">
        <f>E79=F78</f>
        <v>1</v>
      </c>
    </row>
    <row r="80" spans="1:11">
      <c r="A80" s="5" t="s">
        <v>356</v>
      </c>
      <c r="B80" s="6">
        <v>44941</v>
      </c>
      <c r="C80" s="7">
        <v>0.8</v>
      </c>
      <c r="D80" s="5">
        <v>9.08</v>
      </c>
      <c r="E80" s="5">
        <v>1017.3</v>
      </c>
      <c r="F80" s="5">
        <v>1035.7</v>
      </c>
      <c r="G80" s="6">
        <v>44941</v>
      </c>
      <c r="H80" s="5"/>
      <c r="I80" s="5"/>
      <c r="J80" s="5">
        <f t="shared" si="11"/>
        <v>18.400000000000091</v>
      </c>
      <c r="K80" s="8" t="b">
        <f>E80=F79</f>
        <v>1</v>
      </c>
    </row>
    <row r="81" spans="1:11">
      <c r="A81" s="5" t="s">
        <v>356</v>
      </c>
      <c r="B81" s="6">
        <v>44943</v>
      </c>
      <c r="C81" s="7">
        <v>0.8</v>
      </c>
      <c r="D81" s="5">
        <v>9.08</v>
      </c>
      <c r="E81" s="5">
        <v>1035.7</v>
      </c>
      <c r="F81" s="5">
        <v>1053.8</v>
      </c>
      <c r="G81" s="6">
        <v>44943</v>
      </c>
      <c r="H81" s="5"/>
      <c r="I81" s="5"/>
      <c r="J81" s="5">
        <f t="shared" si="11"/>
        <v>18.099999999999909</v>
      </c>
      <c r="K81" s="8" t="b">
        <f t="shared" ref="K81:K119" si="12">E81=F80</f>
        <v>1</v>
      </c>
    </row>
    <row r="82" spans="1:11">
      <c r="A82" s="5" t="s">
        <v>356</v>
      </c>
      <c r="B82" s="6">
        <v>44944</v>
      </c>
      <c r="C82" s="7">
        <v>1</v>
      </c>
      <c r="D82" s="5">
        <v>7.26</v>
      </c>
      <c r="E82" s="5">
        <v>1053.8</v>
      </c>
      <c r="F82" s="5">
        <v>1070.7</v>
      </c>
      <c r="G82" s="6">
        <v>44944</v>
      </c>
      <c r="H82" s="5"/>
      <c r="I82" s="5"/>
      <c r="J82" s="5">
        <f t="shared" si="11"/>
        <v>16.900000000000091</v>
      </c>
      <c r="K82" s="8" t="b">
        <f t="shared" si="12"/>
        <v>1</v>
      </c>
    </row>
    <row r="83" spans="1:11">
      <c r="A83" s="5" t="s">
        <v>356</v>
      </c>
      <c r="B83" s="6">
        <v>44945</v>
      </c>
      <c r="C83" s="7">
        <v>1</v>
      </c>
      <c r="D83" s="5">
        <v>7.26</v>
      </c>
      <c r="E83" s="5">
        <v>1070.7</v>
      </c>
      <c r="F83" s="5">
        <v>1087.0999999999999</v>
      </c>
      <c r="G83" s="6">
        <v>44945</v>
      </c>
      <c r="H83" s="5"/>
      <c r="I83" s="5"/>
      <c r="J83" s="5">
        <f t="shared" ref="J83:J92" si="13">F83-E83</f>
        <v>16.399999999999864</v>
      </c>
      <c r="K83" s="8" t="b">
        <f t="shared" si="12"/>
        <v>1</v>
      </c>
    </row>
    <row r="84" spans="1:11">
      <c r="A84" s="5" t="s">
        <v>356</v>
      </c>
      <c r="B84" s="6">
        <v>44946</v>
      </c>
      <c r="C84" s="7">
        <v>1</v>
      </c>
      <c r="D84" s="5">
        <v>7.26</v>
      </c>
      <c r="E84" s="5">
        <v>1087.0999999999999</v>
      </c>
      <c r="F84" s="5">
        <v>1096.9000000000001</v>
      </c>
      <c r="G84" s="6">
        <v>44946</v>
      </c>
      <c r="H84" s="5"/>
      <c r="I84" s="5"/>
      <c r="J84" s="5">
        <f t="shared" si="13"/>
        <v>9.8000000000001819</v>
      </c>
      <c r="K84" s="8" t="b">
        <f t="shared" si="12"/>
        <v>1</v>
      </c>
    </row>
    <row r="85" spans="1:11">
      <c r="A85" s="5" t="s">
        <v>356</v>
      </c>
      <c r="B85" s="6">
        <v>44950</v>
      </c>
      <c r="C85" s="7">
        <v>1</v>
      </c>
      <c r="D85" s="5">
        <v>7.26</v>
      </c>
      <c r="E85" s="5">
        <v>1096.9000000000001</v>
      </c>
      <c r="F85" s="5">
        <v>1111.5</v>
      </c>
      <c r="G85" s="6">
        <v>44950</v>
      </c>
      <c r="H85" s="5"/>
      <c r="I85" s="5"/>
      <c r="J85" s="5">
        <f t="shared" si="13"/>
        <v>14.599999999999909</v>
      </c>
      <c r="K85" s="8" t="b">
        <f t="shared" si="12"/>
        <v>1</v>
      </c>
    </row>
    <row r="86" spans="1:11">
      <c r="A86" s="25" t="s">
        <v>357</v>
      </c>
      <c r="B86" s="26">
        <v>44953</v>
      </c>
      <c r="C86" s="27">
        <v>1</v>
      </c>
      <c r="D86" s="25">
        <v>7.26</v>
      </c>
      <c r="E86" s="25">
        <v>1111.5</v>
      </c>
      <c r="F86" s="25">
        <v>1118</v>
      </c>
      <c r="G86" s="26">
        <v>44953</v>
      </c>
      <c r="H86" s="25"/>
      <c r="I86" s="25"/>
      <c r="J86" s="25">
        <f t="shared" si="13"/>
        <v>6.5</v>
      </c>
      <c r="K86" s="8" t="b">
        <f t="shared" si="12"/>
        <v>1</v>
      </c>
    </row>
    <row r="87" spans="1:11">
      <c r="A87" s="5" t="s">
        <v>356</v>
      </c>
      <c r="B87" s="6">
        <v>44954</v>
      </c>
      <c r="C87" s="7">
        <v>1</v>
      </c>
      <c r="D87" s="5">
        <v>7.26</v>
      </c>
      <c r="E87" s="5">
        <v>1118</v>
      </c>
      <c r="F87" s="5">
        <v>1136.2</v>
      </c>
      <c r="G87" s="6">
        <v>44954</v>
      </c>
      <c r="H87" s="5"/>
      <c r="I87" s="5"/>
      <c r="J87" s="5">
        <f t="shared" si="13"/>
        <v>18.200000000000045</v>
      </c>
      <c r="K87" s="8" t="b">
        <f t="shared" si="12"/>
        <v>1</v>
      </c>
    </row>
    <row r="88" spans="1:11">
      <c r="A88" s="25" t="s">
        <v>358</v>
      </c>
      <c r="B88" s="26">
        <v>44956</v>
      </c>
      <c r="C88" s="27">
        <v>1</v>
      </c>
      <c r="D88" s="25">
        <v>7.26</v>
      </c>
      <c r="E88" s="25">
        <v>1136.2</v>
      </c>
      <c r="F88" s="25">
        <v>1143.5</v>
      </c>
      <c r="G88" s="26">
        <v>44956</v>
      </c>
      <c r="H88" s="25"/>
      <c r="I88" s="25"/>
      <c r="J88" s="25">
        <f t="shared" si="13"/>
        <v>7.2999999999999545</v>
      </c>
      <c r="K88" s="8" t="b">
        <f t="shared" ref="K88" si="14">E88=F87</f>
        <v>1</v>
      </c>
    </row>
    <row r="89" spans="1:11">
      <c r="A89" s="5" t="s">
        <v>356</v>
      </c>
      <c r="B89" s="6">
        <v>44957</v>
      </c>
      <c r="C89" s="7">
        <v>0.8</v>
      </c>
      <c r="D89" s="5">
        <v>9.08</v>
      </c>
      <c r="E89" s="5">
        <v>1143.5</v>
      </c>
      <c r="F89" s="5">
        <v>1164.4000000000001</v>
      </c>
      <c r="G89" s="6">
        <v>44958</v>
      </c>
      <c r="H89" s="5"/>
      <c r="I89" s="5"/>
      <c r="J89" s="5">
        <f t="shared" si="13"/>
        <v>20.900000000000091</v>
      </c>
      <c r="K89" s="8" t="b">
        <f t="shared" si="12"/>
        <v>1</v>
      </c>
    </row>
    <row r="90" spans="1:11">
      <c r="A90" s="5" t="s">
        <v>356</v>
      </c>
      <c r="B90" s="6">
        <v>44960</v>
      </c>
      <c r="C90" s="7">
        <v>1</v>
      </c>
      <c r="D90" s="5">
        <v>7.26</v>
      </c>
      <c r="E90" s="5">
        <v>1164.4000000000001</v>
      </c>
      <c r="F90" s="5">
        <v>1179.5</v>
      </c>
      <c r="G90" s="6">
        <v>44960</v>
      </c>
      <c r="H90" s="5"/>
      <c r="I90" s="5"/>
      <c r="J90" s="5">
        <f t="shared" si="13"/>
        <v>15.099999999999909</v>
      </c>
      <c r="K90" s="8" t="b">
        <f t="shared" si="12"/>
        <v>1</v>
      </c>
    </row>
    <row r="91" spans="1:11">
      <c r="A91" s="5" t="s">
        <v>356</v>
      </c>
      <c r="B91" s="6">
        <v>44962</v>
      </c>
      <c r="C91" s="7">
        <v>0.8</v>
      </c>
      <c r="D91" s="5">
        <v>9.08</v>
      </c>
      <c r="E91" s="5">
        <v>1179.5</v>
      </c>
      <c r="F91" s="5">
        <v>1197.5</v>
      </c>
      <c r="G91" s="6">
        <v>44962</v>
      </c>
      <c r="H91" s="5"/>
      <c r="I91" s="5"/>
      <c r="J91" s="5">
        <f t="shared" si="13"/>
        <v>18</v>
      </c>
      <c r="K91" s="8" t="b">
        <f t="shared" si="12"/>
        <v>1</v>
      </c>
    </row>
    <row r="92" spans="1:11">
      <c r="A92" s="5" t="s">
        <v>356</v>
      </c>
      <c r="B92" s="6">
        <v>44964</v>
      </c>
      <c r="C92" s="7">
        <v>0.8</v>
      </c>
      <c r="D92" s="5">
        <v>9.08</v>
      </c>
      <c r="E92" s="5">
        <v>1197.5</v>
      </c>
      <c r="F92" s="5">
        <v>1215.9000000000001</v>
      </c>
      <c r="G92" s="6">
        <v>44964</v>
      </c>
      <c r="H92" s="5"/>
      <c r="I92" s="5"/>
      <c r="J92" s="5">
        <f t="shared" si="13"/>
        <v>18.400000000000091</v>
      </c>
      <c r="K92" s="8" t="b">
        <f t="shared" si="12"/>
        <v>1</v>
      </c>
    </row>
    <row r="93" spans="1:11">
      <c r="A93" s="25" t="s">
        <v>356</v>
      </c>
      <c r="B93" s="26">
        <v>44966</v>
      </c>
      <c r="C93" s="27">
        <v>1</v>
      </c>
      <c r="D93" s="25">
        <v>7.26</v>
      </c>
      <c r="E93" s="25">
        <v>1215.9000000000001</v>
      </c>
      <c r="F93" s="25">
        <v>1230.9000000000001</v>
      </c>
      <c r="G93" s="26">
        <v>44966</v>
      </c>
      <c r="H93" s="25"/>
      <c r="I93" s="25"/>
      <c r="J93" s="25">
        <f t="shared" ref="J93:J103" si="15">F93-E93</f>
        <v>15</v>
      </c>
      <c r="K93" s="8" t="b">
        <f t="shared" si="12"/>
        <v>1</v>
      </c>
    </row>
    <row r="94" spans="1:11">
      <c r="A94" s="5" t="s">
        <v>356</v>
      </c>
      <c r="B94" s="6">
        <v>44969</v>
      </c>
      <c r="C94" s="7">
        <v>0.8</v>
      </c>
      <c r="D94" s="5">
        <v>9.08</v>
      </c>
      <c r="E94" s="5">
        <v>1230.9000000000001</v>
      </c>
      <c r="F94" s="5">
        <v>1248.9000000000001</v>
      </c>
      <c r="G94" s="6">
        <v>44969</v>
      </c>
      <c r="H94" s="5"/>
      <c r="I94" s="5"/>
      <c r="J94" s="5">
        <f t="shared" si="15"/>
        <v>18</v>
      </c>
      <c r="K94" s="8" t="b">
        <f t="shared" si="12"/>
        <v>1</v>
      </c>
    </row>
    <row r="95" spans="1:11">
      <c r="A95" s="25" t="s">
        <v>356</v>
      </c>
      <c r="B95" s="26">
        <v>44971</v>
      </c>
      <c r="C95" s="27">
        <v>1</v>
      </c>
      <c r="D95" s="25">
        <v>7.26</v>
      </c>
      <c r="E95" s="25">
        <v>1248.9000000000001</v>
      </c>
      <c r="F95" s="25">
        <v>1263.8</v>
      </c>
      <c r="G95" s="26">
        <v>44972</v>
      </c>
      <c r="H95" s="25"/>
      <c r="I95" s="25"/>
      <c r="J95" s="25">
        <f t="shared" si="15"/>
        <v>14.899999999999864</v>
      </c>
      <c r="K95" s="8" t="b">
        <f t="shared" si="12"/>
        <v>1</v>
      </c>
    </row>
    <row r="96" spans="1:11">
      <c r="A96" s="5" t="s">
        <v>356</v>
      </c>
      <c r="B96" s="6">
        <v>44974</v>
      </c>
      <c r="C96" s="7">
        <v>1</v>
      </c>
      <c r="D96" s="5">
        <v>7.26</v>
      </c>
      <c r="E96" s="5">
        <v>1263.8</v>
      </c>
      <c r="F96" s="5">
        <v>1279.9000000000001</v>
      </c>
      <c r="G96" s="6">
        <v>44974</v>
      </c>
      <c r="H96" s="5"/>
      <c r="I96" s="5"/>
      <c r="J96" s="5">
        <f t="shared" si="15"/>
        <v>16.100000000000136</v>
      </c>
      <c r="K96" s="8" t="b">
        <f t="shared" si="12"/>
        <v>1</v>
      </c>
    </row>
    <row r="97" spans="1:11">
      <c r="A97" s="5" t="s">
        <v>356</v>
      </c>
      <c r="B97" s="6">
        <v>44977</v>
      </c>
      <c r="C97" s="7">
        <v>0.7</v>
      </c>
      <c r="D97" s="5">
        <v>10.37</v>
      </c>
      <c r="E97" s="5">
        <v>1279.9000000000001</v>
      </c>
      <c r="F97" s="5">
        <v>1299.5</v>
      </c>
      <c r="G97" s="6">
        <v>44977</v>
      </c>
      <c r="H97" s="5"/>
      <c r="I97" s="5"/>
      <c r="J97" s="5">
        <f t="shared" si="15"/>
        <v>19.599999999999909</v>
      </c>
      <c r="K97" s="8" t="b">
        <f t="shared" si="12"/>
        <v>1</v>
      </c>
    </row>
    <row r="98" spans="1:11">
      <c r="A98" s="5" t="s">
        <v>357</v>
      </c>
      <c r="B98" s="6">
        <v>44979</v>
      </c>
      <c r="C98" s="7">
        <v>0.7</v>
      </c>
      <c r="D98" s="5">
        <v>10.37</v>
      </c>
      <c r="E98" s="5">
        <v>1299.5</v>
      </c>
      <c r="F98" s="5">
        <v>1309.8</v>
      </c>
      <c r="G98" s="6">
        <v>44979</v>
      </c>
      <c r="H98" s="5"/>
      <c r="I98" s="5"/>
      <c r="J98" s="5">
        <f t="shared" si="15"/>
        <v>10.299999999999955</v>
      </c>
      <c r="K98" s="8" t="b">
        <f t="shared" si="12"/>
        <v>1</v>
      </c>
    </row>
    <row r="99" spans="1:11">
      <c r="A99" s="5" t="s">
        <v>359</v>
      </c>
      <c r="B99" s="6">
        <v>44980</v>
      </c>
      <c r="C99" s="7">
        <v>0.8</v>
      </c>
      <c r="D99" s="5">
        <v>9.08</v>
      </c>
      <c r="E99" s="5">
        <v>1309.8</v>
      </c>
      <c r="F99" s="5">
        <v>1314.7</v>
      </c>
      <c r="G99" s="6">
        <v>44980</v>
      </c>
      <c r="H99" s="5"/>
      <c r="I99" s="5"/>
      <c r="J99" s="5">
        <f t="shared" si="15"/>
        <v>4.9000000000000909</v>
      </c>
      <c r="K99" s="8" t="b">
        <f t="shared" si="12"/>
        <v>1</v>
      </c>
    </row>
    <row r="100" spans="1:11">
      <c r="A100" s="5" t="s">
        <v>360</v>
      </c>
      <c r="B100" s="6">
        <v>44981</v>
      </c>
      <c r="C100" s="7">
        <v>0.7</v>
      </c>
      <c r="D100" s="5">
        <v>10.37</v>
      </c>
      <c r="E100" s="5">
        <v>1314.7</v>
      </c>
      <c r="F100" s="5">
        <v>1324.7</v>
      </c>
      <c r="G100" s="6">
        <v>44981</v>
      </c>
      <c r="H100" s="5"/>
      <c r="I100" s="5"/>
      <c r="J100" s="5">
        <f t="shared" si="15"/>
        <v>10</v>
      </c>
      <c r="K100" s="8" t="b">
        <f t="shared" si="12"/>
        <v>1</v>
      </c>
    </row>
    <row r="101" spans="1:11">
      <c r="A101" s="5" t="s">
        <v>358</v>
      </c>
      <c r="B101" s="6">
        <v>44982</v>
      </c>
      <c r="C101" s="7">
        <v>0.6</v>
      </c>
      <c r="D101" s="5">
        <v>11.82</v>
      </c>
      <c r="E101" s="5">
        <v>1324.7</v>
      </c>
      <c r="F101" s="5">
        <v>1339.2</v>
      </c>
      <c r="G101" s="6">
        <v>44982</v>
      </c>
      <c r="H101" s="5"/>
      <c r="I101" s="5"/>
      <c r="J101" s="5">
        <f t="shared" si="15"/>
        <v>14.5</v>
      </c>
      <c r="K101" s="8" t="b">
        <f t="shared" si="12"/>
        <v>1</v>
      </c>
    </row>
    <row r="102" spans="1:11">
      <c r="A102" s="5" t="s">
        <v>357</v>
      </c>
      <c r="B102" s="6">
        <v>44983</v>
      </c>
      <c r="C102" s="7">
        <v>0.6</v>
      </c>
      <c r="D102" s="5">
        <v>11.82</v>
      </c>
      <c r="E102" s="5">
        <v>1339.2</v>
      </c>
      <c r="F102" s="5">
        <v>1354</v>
      </c>
      <c r="G102" s="6">
        <v>44983</v>
      </c>
      <c r="H102" s="5"/>
      <c r="I102" s="5"/>
      <c r="J102" s="5">
        <f t="shared" si="15"/>
        <v>14.799999999999955</v>
      </c>
      <c r="K102" s="8" t="b">
        <f t="shared" si="12"/>
        <v>1</v>
      </c>
    </row>
    <row r="103" spans="1:11">
      <c r="A103" s="25" t="s">
        <v>356</v>
      </c>
      <c r="B103" s="26">
        <v>44984</v>
      </c>
      <c r="C103" s="27">
        <v>1</v>
      </c>
      <c r="D103" s="25">
        <v>7.26</v>
      </c>
      <c r="E103" s="25">
        <v>1354</v>
      </c>
      <c r="F103" s="25">
        <v>1370.2</v>
      </c>
      <c r="G103" s="26">
        <v>44984</v>
      </c>
      <c r="H103" s="25"/>
      <c r="I103" s="25"/>
      <c r="J103" s="25">
        <f t="shared" si="15"/>
        <v>16.200000000000045</v>
      </c>
      <c r="K103" s="8" t="b">
        <f t="shared" si="12"/>
        <v>1</v>
      </c>
    </row>
    <row r="104" spans="1:11">
      <c r="A104" s="5" t="s">
        <v>358</v>
      </c>
      <c r="B104" s="6">
        <v>44958</v>
      </c>
      <c r="C104" s="7">
        <v>0.6</v>
      </c>
      <c r="D104" s="5">
        <v>11.82</v>
      </c>
      <c r="E104" s="5">
        <v>1370.2</v>
      </c>
      <c r="F104" s="5">
        <v>1383.3</v>
      </c>
      <c r="G104" s="6">
        <v>44958</v>
      </c>
      <c r="H104" s="5"/>
      <c r="I104" s="5"/>
      <c r="J104" s="5">
        <f t="shared" ref="J104:J119" si="16">F104-E104</f>
        <v>13.099999999999909</v>
      </c>
      <c r="K104" s="8" t="b">
        <f t="shared" si="12"/>
        <v>1</v>
      </c>
    </row>
    <row r="105" spans="1:11">
      <c r="A105" s="25" t="s">
        <v>357</v>
      </c>
      <c r="B105" s="26">
        <v>44987</v>
      </c>
      <c r="C105" s="27">
        <v>1</v>
      </c>
      <c r="D105" s="25">
        <v>7.26</v>
      </c>
      <c r="E105" s="25">
        <v>1383.3</v>
      </c>
      <c r="F105" s="25">
        <v>1392</v>
      </c>
      <c r="G105" s="26">
        <v>44987</v>
      </c>
      <c r="H105" s="25"/>
      <c r="I105" s="25"/>
      <c r="J105" s="25">
        <f t="shared" si="16"/>
        <v>8.7000000000000455</v>
      </c>
      <c r="K105" s="8" t="b">
        <f t="shared" si="12"/>
        <v>1</v>
      </c>
    </row>
    <row r="106" spans="1:11">
      <c r="A106" s="5" t="s">
        <v>358</v>
      </c>
      <c r="B106" s="6">
        <v>44988</v>
      </c>
      <c r="C106" s="7">
        <v>0.6</v>
      </c>
      <c r="D106" s="5">
        <v>11.82</v>
      </c>
      <c r="E106" s="5">
        <v>1392</v>
      </c>
      <c r="F106" s="5">
        <v>1406.8</v>
      </c>
      <c r="G106" s="6">
        <v>44988</v>
      </c>
      <c r="H106" s="5"/>
      <c r="I106" s="5"/>
      <c r="J106" s="5">
        <f t="shared" si="16"/>
        <v>14.799999999999955</v>
      </c>
      <c r="K106" s="8" t="b">
        <f t="shared" si="12"/>
        <v>1</v>
      </c>
    </row>
    <row r="107" spans="1:11">
      <c r="A107" s="5" t="s">
        <v>357</v>
      </c>
      <c r="B107" s="6">
        <v>44989</v>
      </c>
      <c r="C107" s="7">
        <v>0.6</v>
      </c>
      <c r="D107" s="5">
        <v>11.82</v>
      </c>
      <c r="E107" s="5">
        <v>1406.8</v>
      </c>
      <c r="F107" s="5">
        <v>1419</v>
      </c>
      <c r="G107" s="6">
        <v>44989</v>
      </c>
      <c r="H107" s="5"/>
      <c r="I107" s="5"/>
      <c r="J107" s="5">
        <f t="shared" si="16"/>
        <v>12.200000000000045</v>
      </c>
      <c r="K107" s="8" t="b">
        <f t="shared" si="12"/>
        <v>1</v>
      </c>
    </row>
    <row r="108" spans="1:11">
      <c r="A108" s="5" t="s">
        <v>361</v>
      </c>
      <c r="B108" s="6">
        <v>44990</v>
      </c>
      <c r="C108" s="7">
        <v>0.6</v>
      </c>
      <c r="D108" s="5">
        <v>11.82</v>
      </c>
      <c r="E108" s="5">
        <v>1419</v>
      </c>
      <c r="F108" s="5">
        <v>1431.1</v>
      </c>
      <c r="G108" s="6">
        <v>44990</v>
      </c>
      <c r="H108" s="5"/>
      <c r="I108" s="5"/>
      <c r="J108" s="5">
        <f t="shared" si="16"/>
        <v>12.099999999999909</v>
      </c>
      <c r="K108" s="8" t="b">
        <f t="shared" si="12"/>
        <v>1</v>
      </c>
    </row>
    <row r="109" spans="1:11">
      <c r="A109" s="5" t="s">
        <v>362</v>
      </c>
      <c r="B109" s="6">
        <v>44991</v>
      </c>
      <c r="C109" s="7">
        <v>0.6</v>
      </c>
      <c r="D109" s="5">
        <v>11.82</v>
      </c>
      <c r="E109" s="5">
        <v>1431.1</v>
      </c>
      <c r="F109" s="5">
        <v>1443.1</v>
      </c>
      <c r="G109" s="6">
        <v>44991</v>
      </c>
      <c r="H109" s="5"/>
      <c r="I109" s="5"/>
      <c r="J109" s="5">
        <f t="shared" si="16"/>
        <v>12</v>
      </c>
      <c r="K109" s="8" t="b">
        <f t="shared" si="12"/>
        <v>1</v>
      </c>
    </row>
    <row r="110" spans="1:11">
      <c r="A110" s="5" t="s">
        <v>358</v>
      </c>
      <c r="B110" s="6">
        <v>44992</v>
      </c>
      <c r="C110" s="7">
        <v>1</v>
      </c>
      <c r="D110" s="5">
        <v>7.26</v>
      </c>
      <c r="E110" s="5">
        <v>1443.1</v>
      </c>
      <c r="F110" s="5">
        <v>1451.9</v>
      </c>
      <c r="G110" s="6">
        <v>44992</v>
      </c>
      <c r="H110" s="5"/>
      <c r="I110" s="5"/>
      <c r="J110" s="5">
        <f t="shared" si="16"/>
        <v>8.8000000000001819</v>
      </c>
      <c r="K110" s="8" t="b">
        <f t="shared" si="12"/>
        <v>1</v>
      </c>
    </row>
    <row r="111" spans="1:11">
      <c r="A111" s="5" t="s">
        <v>357</v>
      </c>
      <c r="B111" s="6">
        <v>44994</v>
      </c>
      <c r="C111" s="7">
        <v>0.7</v>
      </c>
      <c r="D111" s="5">
        <v>10.37</v>
      </c>
      <c r="E111" s="5">
        <v>1451.9</v>
      </c>
      <c r="F111" s="5">
        <v>1462.9</v>
      </c>
      <c r="G111" s="6">
        <v>44994</v>
      </c>
      <c r="H111" s="5"/>
      <c r="I111" s="5"/>
      <c r="J111" s="5">
        <f t="shared" si="16"/>
        <v>11</v>
      </c>
      <c r="K111" s="8" t="b">
        <f t="shared" si="12"/>
        <v>1</v>
      </c>
    </row>
    <row r="112" spans="1:11">
      <c r="A112" s="5" t="s">
        <v>358</v>
      </c>
      <c r="B112" s="6">
        <v>44995</v>
      </c>
      <c r="C112" s="7">
        <v>0.7</v>
      </c>
      <c r="D112" s="5">
        <v>10.37</v>
      </c>
      <c r="E112" s="5">
        <v>1462.9</v>
      </c>
      <c r="F112" s="5">
        <v>1473.3</v>
      </c>
      <c r="G112" s="6">
        <v>44995</v>
      </c>
      <c r="H112" s="5"/>
      <c r="I112" s="5"/>
      <c r="J112" s="5">
        <f t="shared" si="16"/>
        <v>10.399999999999864</v>
      </c>
      <c r="K112" s="8" t="b">
        <f t="shared" si="12"/>
        <v>1</v>
      </c>
    </row>
    <row r="113" spans="1:11">
      <c r="A113" s="5" t="s">
        <v>357</v>
      </c>
      <c r="B113" s="6">
        <v>44996</v>
      </c>
      <c r="C113" s="7">
        <v>0.6</v>
      </c>
      <c r="D113" s="5">
        <v>11.82</v>
      </c>
      <c r="E113" s="5">
        <v>1473.3</v>
      </c>
      <c r="F113" s="5">
        <v>1487</v>
      </c>
      <c r="G113" s="6">
        <v>44996</v>
      </c>
      <c r="H113" s="5"/>
      <c r="I113" s="5"/>
      <c r="J113" s="5">
        <f t="shared" si="16"/>
        <v>13.700000000000045</v>
      </c>
      <c r="K113" s="8" t="b">
        <f t="shared" si="12"/>
        <v>1</v>
      </c>
    </row>
    <row r="114" spans="1:11">
      <c r="A114" s="5" t="s">
        <v>358</v>
      </c>
      <c r="B114" s="6">
        <v>44997</v>
      </c>
      <c r="C114" s="7">
        <v>0.6</v>
      </c>
      <c r="D114" s="5">
        <v>11.82</v>
      </c>
      <c r="E114" s="5">
        <v>1487</v>
      </c>
      <c r="F114" s="5">
        <v>1497</v>
      </c>
      <c r="G114" s="6">
        <v>44997</v>
      </c>
      <c r="H114" s="5"/>
      <c r="I114" s="5"/>
      <c r="J114" s="5">
        <f t="shared" si="16"/>
        <v>10</v>
      </c>
      <c r="K114" s="8" t="b">
        <f t="shared" si="12"/>
        <v>1</v>
      </c>
    </row>
    <row r="115" spans="1:11">
      <c r="A115" s="5" t="s">
        <v>357</v>
      </c>
      <c r="B115" s="6">
        <v>44998</v>
      </c>
      <c r="C115" s="7">
        <v>0.7</v>
      </c>
      <c r="D115" s="5">
        <v>10.37</v>
      </c>
      <c r="E115" s="5">
        <v>1497</v>
      </c>
      <c r="F115" s="5">
        <v>1508.2</v>
      </c>
      <c r="G115" s="6">
        <v>44998</v>
      </c>
      <c r="H115" s="5"/>
      <c r="I115" s="5"/>
      <c r="J115" s="5">
        <f t="shared" si="16"/>
        <v>11.200000000000045</v>
      </c>
      <c r="K115" s="8" t="b">
        <f t="shared" si="12"/>
        <v>1</v>
      </c>
    </row>
    <row r="116" spans="1:11">
      <c r="A116" s="25" t="s">
        <v>356</v>
      </c>
      <c r="B116" s="26">
        <v>44999</v>
      </c>
      <c r="C116" s="27">
        <v>1</v>
      </c>
      <c r="D116" s="25">
        <v>7.26</v>
      </c>
      <c r="E116" s="25">
        <v>1508.2</v>
      </c>
      <c r="F116" s="25">
        <v>1522</v>
      </c>
      <c r="G116" s="26">
        <v>44999</v>
      </c>
      <c r="H116" s="25"/>
      <c r="I116" s="25"/>
      <c r="J116" s="25">
        <f t="shared" si="16"/>
        <v>13.799999999999955</v>
      </c>
      <c r="K116" s="28" t="b">
        <f t="shared" si="12"/>
        <v>1</v>
      </c>
    </row>
    <row r="117" spans="1:11">
      <c r="A117" s="5" t="s">
        <v>358</v>
      </c>
      <c r="B117" s="6">
        <v>44999</v>
      </c>
      <c r="C117" s="7">
        <v>0.7</v>
      </c>
      <c r="D117" s="5">
        <v>10.37</v>
      </c>
      <c r="E117" s="5">
        <v>1522</v>
      </c>
      <c r="F117" s="5">
        <v>1532.7</v>
      </c>
      <c r="G117" s="6">
        <v>44999</v>
      </c>
      <c r="H117" s="5"/>
      <c r="I117" s="5"/>
      <c r="J117" s="5">
        <f t="shared" si="16"/>
        <v>10.700000000000045</v>
      </c>
      <c r="K117" s="8" t="b">
        <f t="shared" si="12"/>
        <v>1</v>
      </c>
    </row>
    <row r="118" spans="1:11">
      <c r="A118" s="5" t="s">
        <v>357</v>
      </c>
      <c r="B118" s="6">
        <v>45000</v>
      </c>
      <c r="C118" s="7">
        <v>0.6</v>
      </c>
      <c r="D118" s="5">
        <v>11.82</v>
      </c>
      <c r="E118" s="5">
        <v>1532.7</v>
      </c>
      <c r="F118" s="5">
        <v>1545.5</v>
      </c>
      <c r="G118" s="6">
        <v>45000</v>
      </c>
      <c r="H118" s="5"/>
      <c r="I118" s="5"/>
      <c r="J118" s="5">
        <f t="shared" si="16"/>
        <v>12.799999999999955</v>
      </c>
      <c r="K118" s="8" t="b">
        <f t="shared" si="12"/>
        <v>1</v>
      </c>
    </row>
    <row r="119" spans="1:11">
      <c r="A119" s="5" t="s">
        <v>358</v>
      </c>
      <c r="B119" s="6">
        <v>45001</v>
      </c>
      <c r="C119" s="7">
        <v>0.6</v>
      </c>
      <c r="D119" s="5">
        <v>11.82</v>
      </c>
      <c r="E119" s="5">
        <v>1545.5</v>
      </c>
      <c r="F119" s="5">
        <v>1558.5</v>
      </c>
      <c r="G119" s="6">
        <v>45001</v>
      </c>
      <c r="H119" s="5"/>
      <c r="I119" s="5"/>
      <c r="J119" s="5">
        <f t="shared" si="16"/>
        <v>13</v>
      </c>
      <c r="K119" s="8" t="b">
        <f t="shared" si="12"/>
        <v>1</v>
      </c>
    </row>
    <row r="120" spans="1:11">
      <c r="A120" s="25" t="s">
        <v>357</v>
      </c>
      <c r="B120" s="26">
        <v>45002</v>
      </c>
      <c r="C120" s="27">
        <v>1</v>
      </c>
      <c r="D120" s="25">
        <v>7.26</v>
      </c>
      <c r="E120" s="25">
        <v>1558.5</v>
      </c>
      <c r="F120" s="25">
        <v>1565.6</v>
      </c>
      <c r="G120" s="26">
        <v>45002</v>
      </c>
      <c r="H120" s="25"/>
      <c r="I120" s="25"/>
      <c r="J120" s="25">
        <f t="shared" ref="J120:J180" si="17">F120-E120</f>
        <v>7.0999999999999091</v>
      </c>
      <c r="K120" s="8" t="b">
        <f t="shared" ref="K120:K180" si="18">E120=F119</f>
        <v>1</v>
      </c>
    </row>
    <row r="121" spans="1:11">
      <c r="A121" s="5" t="s">
        <v>358</v>
      </c>
      <c r="B121" s="6">
        <v>45003</v>
      </c>
      <c r="C121" s="7">
        <v>0.5</v>
      </c>
      <c r="D121" s="5">
        <v>14.52</v>
      </c>
      <c r="E121" s="5">
        <v>1565.6</v>
      </c>
      <c r="F121" s="5">
        <v>1580.1</v>
      </c>
      <c r="G121" s="6">
        <v>45003</v>
      </c>
      <c r="H121" s="5"/>
      <c r="I121" s="5"/>
      <c r="J121" s="5">
        <f t="shared" si="17"/>
        <v>14.5</v>
      </c>
      <c r="K121" s="8" t="b">
        <f t="shared" si="18"/>
        <v>1</v>
      </c>
    </row>
    <row r="122" spans="1:11">
      <c r="A122" s="5" t="s">
        <v>357</v>
      </c>
      <c r="B122" s="6">
        <v>45004</v>
      </c>
      <c r="C122" s="7">
        <v>0.6</v>
      </c>
      <c r="D122" s="5">
        <v>11.82</v>
      </c>
      <c r="E122" s="5">
        <v>1580.1</v>
      </c>
      <c r="F122" s="5">
        <v>1594.5</v>
      </c>
      <c r="G122" s="6">
        <v>45004</v>
      </c>
      <c r="H122" s="5"/>
      <c r="I122" s="5"/>
      <c r="J122" s="5">
        <f t="shared" si="17"/>
        <v>14.400000000000091</v>
      </c>
      <c r="K122" s="8" t="b">
        <f t="shared" si="18"/>
        <v>1</v>
      </c>
    </row>
    <row r="123" spans="1:11">
      <c r="A123" s="25" t="s">
        <v>358</v>
      </c>
      <c r="B123" s="26">
        <v>45005</v>
      </c>
      <c r="C123" s="27">
        <v>1</v>
      </c>
      <c r="D123" s="25">
        <v>7.26</v>
      </c>
      <c r="E123" s="25">
        <v>1594.5</v>
      </c>
      <c r="F123" s="25">
        <v>1602</v>
      </c>
      <c r="G123" s="26">
        <v>45005</v>
      </c>
      <c r="H123" s="25"/>
      <c r="I123" s="25"/>
      <c r="J123" s="25">
        <f t="shared" si="17"/>
        <v>7.5</v>
      </c>
      <c r="K123" s="8" t="b">
        <f t="shared" si="18"/>
        <v>1</v>
      </c>
    </row>
    <row r="124" spans="1:11">
      <c r="A124" s="5" t="s">
        <v>357</v>
      </c>
      <c r="B124" s="6">
        <v>45005</v>
      </c>
      <c r="C124" s="7">
        <v>0.6</v>
      </c>
      <c r="D124" s="5">
        <v>11.82</v>
      </c>
      <c r="E124" s="5">
        <v>1602</v>
      </c>
      <c r="F124" s="5">
        <v>1612.1</v>
      </c>
      <c r="G124" s="6">
        <v>45005</v>
      </c>
      <c r="H124" s="5"/>
      <c r="I124" s="5"/>
      <c r="J124" s="5">
        <f t="shared" si="17"/>
        <v>10.099999999999909</v>
      </c>
      <c r="K124" s="8" t="b">
        <f t="shared" si="18"/>
        <v>1</v>
      </c>
    </row>
    <row r="125" spans="1:11">
      <c r="A125" s="5" t="s">
        <v>358</v>
      </c>
      <c r="B125" s="6">
        <v>45006</v>
      </c>
      <c r="C125" s="7">
        <v>0.6</v>
      </c>
      <c r="D125" s="5">
        <v>11.82</v>
      </c>
      <c r="E125" s="5">
        <v>1612.1</v>
      </c>
      <c r="F125" s="5">
        <v>1626.2</v>
      </c>
      <c r="G125" s="6">
        <v>45006</v>
      </c>
      <c r="H125" s="5"/>
      <c r="I125" s="5"/>
      <c r="J125" s="5">
        <f t="shared" si="17"/>
        <v>14.100000000000136</v>
      </c>
      <c r="K125" s="8" t="b">
        <f t="shared" si="18"/>
        <v>1</v>
      </c>
    </row>
    <row r="126" spans="1:11">
      <c r="A126" s="5" t="s">
        <v>357</v>
      </c>
      <c r="B126" s="6">
        <v>45007</v>
      </c>
      <c r="C126" s="7">
        <v>0.6</v>
      </c>
      <c r="D126" s="5">
        <v>11.82</v>
      </c>
      <c r="E126" s="5">
        <v>1626.2</v>
      </c>
      <c r="F126" s="5">
        <v>1638.3</v>
      </c>
      <c r="G126" s="6">
        <v>45007</v>
      </c>
      <c r="H126" s="5"/>
      <c r="I126" s="5"/>
      <c r="J126" s="5">
        <f t="shared" si="17"/>
        <v>12.099999999999909</v>
      </c>
      <c r="K126" s="8" t="b">
        <f t="shared" si="18"/>
        <v>1</v>
      </c>
    </row>
    <row r="127" spans="1:11">
      <c r="A127" s="25" t="s">
        <v>356</v>
      </c>
      <c r="B127" s="26">
        <v>45008</v>
      </c>
      <c r="C127" s="27">
        <v>1</v>
      </c>
      <c r="D127" s="25">
        <v>7.26</v>
      </c>
      <c r="E127" s="25">
        <v>1638.3</v>
      </c>
      <c r="F127" s="25">
        <v>1653</v>
      </c>
      <c r="G127" s="26">
        <v>45009</v>
      </c>
      <c r="H127" s="25"/>
      <c r="I127" s="25"/>
      <c r="J127" s="25">
        <f t="shared" si="17"/>
        <v>14.700000000000045</v>
      </c>
      <c r="K127" s="8" t="b">
        <f t="shared" si="18"/>
        <v>1</v>
      </c>
    </row>
    <row r="128" spans="1:11">
      <c r="A128" s="5" t="s">
        <v>358</v>
      </c>
      <c r="B128" s="6">
        <v>45009</v>
      </c>
      <c r="C128" s="7">
        <v>0.6</v>
      </c>
      <c r="D128" s="5">
        <v>11.82</v>
      </c>
      <c r="E128" s="5">
        <v>1653</v>
      </c>
      <c r="F128" s="5">
        <v>1667</v>
      </c>
      <c r="G128" s="6">
        <v>45009</v>
      </c>
      <c r="H128" s="5"/>
      <c r="I128" s="5"/>
      <c r="J128" s="5">
        <f t="shared" si="17"/>
        <v>14</v>
      </c>
      <c r="K128" s="8" t="b">
        <f t="shared" si="18"/>
        <v>1</v>
      </c>
    </row>
    <row r="129" spans="1:11">
      <c r="A129" s="5" t="s">
        <v>357</v>
      </c>
      <c r="B129" s="6">
        <v>45010</v>
      </c>
      <c r="C129" s="7">
        <v>0.6</v>
      </c>
      <c r="D129" s="5">
        <v>11.82</v>
      </c>
      <c r="E129" s="5">
        <v>1667</v>
      </c>
      <c r="F129" s="5">
        <v>1678.9</v>
      </c>
      <c r="G129" s="6">
        <v>45010</v>
      </c>
      <c r="H129" s="5"/>
      <c r="I129" s="5"/>
      <c r="J129" s="5">
        <f t="shared" si="17"/>
        <v>11.900000000000091</v>
      </c>
      <c r="K129" s="8" t="b">
        <f t="shared" si="18"/>
        <v>1</v>
      </c>
    </row>
    <row r="130" spans="1:11">
      <c r="A130" s="5" t="s">
        <v>358</v>
      </c>
      <c r="B130" s="6">
        <v>45011</v>
      </c>
      <c r="C130" s="7">
        <v>0.6</v>
      </c>
      <c r="D130" s="5">
        <v>11.82</v>
      </c>
      <c r="E130" s="5">
        <v>1678.9</v>
      </c>
      <c r="F130" s="5">
        <v>1696</v>
      </c>
      <c r="G130" s="6">
        <v>45011</v>
      </c>
      <c r="H130" s="5"/>
      <c r="I130" s="5"/>
      <c r="J130" s="5">
        <f t="shared" si="17"/>
        <v>17.099999999999909</v>
      </c>
      <c r="K130" s="8" t="b">
        <f t="shared" si="18"/>
        <v>1</v>
      </c>
    </row>
    <row r="131" spans="1:11">
      <c r="A131" s="5" t="s">
        <v>357</v>
      </c>
      <c r="B131" s="6">
        <v>45012</v>
      </c>
      <c r="C131" s="7">
        <v>0.6</v>
      </c>
      <c r="D131" s="5">
        <v>11.82</v>
      </c>
      <c r="E131" s="5">
        <v>1696</v>
      </c>
      <c r="F131" s="5">
        <v>1703.1</v>
      </c>
      <c r="G131" s="6">
        <v>45012</v>
      </c>
      <c r="H131" s="5"/>
      <c r="I131" s="5"/>
      <c r="J131" s="5">
        <f t="shared" si="17"/>
        <v>7.0999999999999091</v>
      </c>
      <c r="K131" s="8" t="b">
        <f t="shared" si="18"/>
        <v>1</v>
      </c>
    </row>
    <row r="132" spans="1:11">
      <c r="A132" s="5" t="s">
        <v>358</v>
      </c>
      <c r="B132" s="6">
        <v>45013</v>
      </c>
      <c r="C132" s="7">
        <v>0.6</v>
      </c>
      <c r="D132" s="5">
        <v>11.82</v>
      </c>
      <c r="E132" s="5">
        <v>1703.1</v>
      </c>
      <c r="F132" s="5">
        <v>1715.6</v>
      </c>
      <c r="G132" s="6">
        <v>45013</v>
      </c>
      <c r="H132" s="5"/>
      <c r="I132" s="5"/>
      <c r="J132" s="5">
        <f t="shared" si="17"/>
        <v>12.5</v>
      </c>
      <c r="K132" s="8" t="b">
        <f t="shared" si="18"/>
        <v>1</v>
      </c>
    </row>
    <row r="133" spans="1:11">
      <c r="A133" s="5" t="s">
        <v>357</v>
      </c>
      <c r="B133" s="6">
        <v>45014</v>
      </c>
      <c r="C133" s="7">
        <v>0.6</v>
      </c>
      <c r="D133" s="5">
        <v>11.82</v>
      </c>
      <c r="E133" s="5">
        <v>1715.6</v>
      </c>
      <c r="F133" s="5">
        <v>1727.7</v>
      </c>
      <c r="G133" s="6">
        <v>45014</v>
      </c>
      <c r="H133" s="5"/>
      <c r="I133" s="5"/>
      <c r="J133" s="5">
        <f t="shared" si="17"/>
        <v>12.100000000000136</v>
      </c>
      <c r="K133" s="8" t="b">
        <f t="shared" si="18"/>
        <v>1</v>
      </c>
    </row>
    <row r="134" spans="1:11">
      <c r="A134" s="5" t="s">
        <v>358</v>
      </c>
      <c r="B134" s="6">
        <v>45015</v>
      </c>
      <c r="C134" s="7">
        <v>0.6</v>
      </c>
      <c r="D134" s="5">
        <v>11.82</v>
      </c>
      <c r="E134" s="5">
        <v>1727.7</v>
      </c>
      <c r="F134" s="5">
        <v>1740.1</v>
      </c>
      <c r="G134" s="6">
        <v>45015</v>
      </c>
      <c r="H134" s="5"/>
      <c r="I134" s="5"/>
      <c r="J134" s="5">
        <f t="shared" si="17"/>
        <v>12.399999999999864</v>
      </c>
      <c r="K134" s="8" t="b">
        <f t="shared" si="18"/>
        <v>1</v>
      </c>
    </row>
    <row r="135" spans="1:11">
      <c r="A135" s="5" t="s">
        <v>357</v>
      </c>
      <c r="B135" s="6">
        <v>45016</v>
      </c>
      <c r="C135" s="7">
        <v>0.6</v>
      </c>
      <c r="D135" s="5">
        <v>11.82</v>
      </c>
      <c r="E135" s="5">
        <v>1740.1</v>
      </c>
      <c r="F135" s="5">
        <v>1752.4</v>
      </c>
      <c r="G135" s="6">
        <v>45016</v>
      </c>
      <c r="H135" s="5"/>
      <c r="I135" s="5"/>
      <c r="J135" s="5">
        <f t="shared" si="17"/>
        <v>12.300000000000182</v>
      </c>
      <c r="K135" s="8" t="b">
        <f t="shared" si="18"/>
        <v>1</v>
      </c>
    </row>
    <row r="136" spans="1:11">
      <c r="A136" s="5" t="s">
        <v>358</v>
      </c>
      <c r="B136" s="6">
        <v>45017</v>
      </c>
      <c r="C136" s="7">
        <v>0.6</v>
      </c>
      <c r="D136" s="5">
        <v>11.82</v>
      </c>
      <c r="E136" s="5">
        <v>1752.4</v>
      </c>
      <c r="F136" s="5">
        <v>1764.6</v>
      </c>
      <c r="G136" s="6">
        <v>45017</v>
      </c>
      <c r="H136" s="5"/>
      <c r="I136" s="5"/>
      <c r="J136" s="5">
        <f t="shared" si="17"/>
        <v>12.199999999999818</v>
      </c>
      <c r="K136" s="8" t="b">
        <f t="shared" si="18"/>
        <v>1</v>
      </c>
    </row>
    <row r="137" spans="1:11">
      <c r="A137" s="5" t="s">
        <v>357</v>
      </c>
      <c r="B137" s="6">
        <v>45018</v>
      </c>
      <c r="C137" s="7">
        <v>0.6</v>
      </c>
      <c r="D137" s="5">
        <v>11.82</v>
      </c>
      <c r="E137" s="5">
        <v>1764.6</v>
      </c>
      <c r="F137" s="5">
        <v>1776.6</v>
      </c>
      <c r="G137" s="6">
        <v>45018</v>
      </c>
      <c r="H137" s="5"/>
      <c r="I137" s="5"/>
      <c r="J137" s="5">
        <f t="shared" si="17"/>
        <v>12</v>
      </c>
      <c r="K137" s="8" t="b">
        <f t="shared" si="18"/>
        <v>1</v>
      </c>
    </row>
    <row r="138" spans="1:11">
      <c r="A138" s="5" t="s">
        <v>358</v>
      </c>
      <c r="B138" s="6">
        <v>45019</v>
      </c>
      <c r="C138" s="7">
        <v>0.6</v>
      </c>
      <c r="D138" s="5">
        <v>11.82</v>
      </c>
      <c r="E138" s="5">
        <v>1776.6</v>
      </c>
      <c r="F138" s="5">
        <v>1788.8</v>
      </c>
      <c r="G138" s="6">
        <v>45019</v>
      </c>
      <c r="H138" s="5"/>
      <c r="I138" s="5"/>
      <c r="J138" s="5">
        <f t="shared" si="17"/>
        <v>12.200000000000045</v>
      </c>
      <c r="K138" s="8" t="b">
        <f t="shared" si="18"/>
        <v>1</v>
      </c>
    </row>
    <row r="139" spans="1:11">
      <c r="A139" s="5" t="s">
        <v>357</v>
      </c>
      <c r="B139" s="6">
        <v>45023</v>
      </c>
      <c r="C139" s="7">
        <v>0.8</v>
      </c>
      <c r="D139" s="5">
        <v>9.08</v>
      </c>
      <c r="E139" s="5">
        <v>1788.8</v>
      </c>
      <c r="F139" s="5">
        <v>1797.7</v>
      </c>
      <c r="G139" s="6">
        <v>45023</v>
      </c>
      <c r="H139" s="5"/>
      <c r="I139" s="5"/>
      <c r="J139" s="5">
        <f t="shared" si="17"/>
        <v>8.9000000000000909</v>
      </c>
      <c r="K139" s="8" t="b">
        <f t="shared" si="18"/>
        <v>1</v>
      </c>
    </row>
    <row r="140" spans="1:11">
      <c r="A140" s="5" t="s">
        <v>358</v>
      </c>
      <c r="B140" s="6">
        <v>45024</v>
      </c>
      <c r="C140" s="7">
        <v>0.6</v>
      </c>
      <c r="D140" s="5">
        <v>11.82</v>
      </c>
      <c r="E140" s="5">
        <v>1797.7</v>
      </c>
      <c r="F140" s="5">
        <v>1809.8</v>
      </c>
      <c r="G140" s="6">
        <v>45024</v>
      </c>
      <c r="H140" s="5"/>
      <c r="I140" s="5"/>
      <c r="J140" s="5">
        <f t="shared" si="17"/>
        <v>12.099999999999909</v>
      </c>
      <c r="K140" s="8" t="b">
        <f t="shared" si="18"/>
        <v>1</v>
      </c>
    </row>
    <row r="141" spans="1:11">
      <c r="A141" s="5" t="s">
        <v>357</v>
      </c>
      <c r="B141" s="6">
        <v>45026</v>
      </c>
      <c r="C141" s="7">
        <v>0.6</v>
      </c>
      <c r="D141" s="5">
        <v>11.82</v>
      </c>
      <c r="E141" s="5">
        <v>1809.8</v>
      </c>
      <c r="F141" s="5">
        <v>1821.8</v>
      </c>
      <c r="G141" s="6">
        <v>45026</v>
      </c>
      <c r="H141" s="5"/>
      <c r="I141" s="5"/>
      <c r="J141" s="5">
        <f t="shared" si="17"/>
        <v>12</v>
      </c>
      <c r="K141" s="8" t="b">
        <f t="shared" si="18"/>
        <v>1</v>
      </c>
    </row>
    <row r="142" spans="1:11">
      <c r="A142" s="5" t="s">
        <v>358</v>
      </c>
      <c r="B142" s="6">
        <v>45027</v>
      </c>
      <c r="C142" s="7">
        <v>0.6</v>
      </c>
      <c r="D142" s="5">
        <v>11.82</v>
      </c>
      <c r="E142" s="5">
        <v>1821.8</v>
      </c>
      <c r="F142" s="5">
        <v>1833.8</v>
      </c>
      <c r="G142" s="6">
        <v>45027</v>
      </c>
      <c r="H142" s="5"/>
      <c r="I142" s="5"/>
      <c r="J142" s="5">
        <f t="shared" si="17"/>
        <v>12</v>
      </c>
      <c r="K142" s="8" t="b">
        <f t="shared" si="18"/>
        <v>1</v>
      </c>
    </row>
    <row r="143" spans="1:11">
      <c r="A143" s="5" t="s">
        <v>357</v>
      </c>
      <c r="B143" s="6">
        <v>45029</v>
      </c>
      <c r="C143" s="7">
        <v>0.6</v>
      </c>
      <c r="D143" s="5">
        <v>11.82</v>
      </c>
      <c r="E143" s="5">
        <v>1833.8</v>
      </c>
      <c r="F143" s="5">
        <v>1846.6</v>
      </c>
      <c r="G143" s="6">
        <v>45029</v>
      </c>
      <c r="H143" s="5"/>
      <c r="I143" s="5"/>
      <c r="J143" s="5">
        <f t="shared" si="17"/>
        <v>12.799999999999955</v>
      </c>
      <c r="K143" s="8" t="b">
        <f t="shared" si="18"/>
        <v>1</v>
      </c>
    </row>
    <row r="144" spans="1:11">
      <c r="A144" s="5" t="s">
        <v>357</v>
      </c>
      <c r="B144" s="6">
        <v>45036</v>
      </c>
      <c r="C144" s="7">
        <v>0.6</v>
      </c>
      <c r="D144" s="5">
        <v>11.82</v>
      </c>
      <c r="E144" s="5">
        <v>1846.6</v>
      </c>
      <c r="F144" s="5">
        <v>1858.6</v>
      </c>
      <c r="G144" s="6">
        <v>45036</v>
      </c>
      <c r="H144" s="5"/>
      <c r="I144" s="5"/>
      <c r="J144" s="5">
        <f t="shared" si="17"/>
        <v>12</v>
      </c>
      <c r="K144" s="8" t="b">
        <f t="shared" si="18"/>
        <v>1</v>
      </c>
    </row>
    <row r="145" spans="1:11">
      <c r="A145" s="5" t="s">
        <v>358</v>
      </c>
      <c r="B145" s="6">
        <v>45037</v>
      </c>
      <c r="C145" s="7">
        <v>0.7</v>
      </c>
      <c r="D145" s="5">
        <v>10.37</v>
      </c>
      <c r="E145" s="5">
        <v>1858.6</v>
      </c>
      <c r="F145" s="5">
        <v>1869.3</v>
      </c>
      <c r="G145" s="6">
        <v>45037</v>
      </c>
      <c r="H145" s="5"/>
      <c r="I145" s="5"/>
      <c r="J145" s="5">
        <f t="shared" si="17"/>
        <v>10.700000000000045</v>
      </c>
      <c r="K145" s="8" t="b">
        <f t="shared" si="18"/>
        <v>1</v>
      </c>
    </row>
    <row r="146" spans="1:11">
      <c r="A146" s="5" t="s">
        <v>358</v>
      </c>
      <c r="B146" s="6">
        <v>45045</v>
      </c>
      <c r="C146" s="7">
        <v>0.9</v>
      </c>
      <c r="D146" s="5">
        <v>8.07</v>
      </c>
      <c r="E146" s="5">
        <v>1869.3</v>
      </c>
      <c r="F146" s="5">
        <v>1877</v>
      </c>
      <c r="G146" s="6">
        <v>45045</v>
      </c>
      <c r="H146" s="5"/>
      <c r="I146" s="5"/>
      <c r="J146" s="5">
        <f t="shared" si="17"/>
        <v>7.7000000000000455</v>
      </c>
      <c r="K146" s="8" t="b">
        <f t="shared" si="18"/>
        <v>1</v>
      </c>
    </row>
    <row r="147" spans="1:11">
      <c r="A147" s="5" t="s">
        <v>357</v>
      </c>
      <c r="B147" s="6">
        <v>45045</v>
      </c>
      <c r="C147" s="7">
        <v>0.75</v>
      </c>
      <c r="D147" s="5">
        <v>9.68</v>
      </c>
      <c r="E147" s="5">
        <v>1877</v>
      </c>
      <c r="F147" s="5">
        <v>1886.7</v>
      </c>
      <c r="G147" s="6">
        <v>45045</v>
      </c>
      <c r="H147" s="5"/>
      <c r="I147" s="5"/>
      <c r="J147" s="5">
        <f t="shared" si="17"/>
        <v>9.7000000000000455</v>
      </c>
      <c r="K147" s="8" t="b">
        <f t="shared" si="18"/>
        <v>1</v>
      </c>
    </row>
    <row r="148" spans="1:11">
      <c r="A148" s="5" t="s">
        <v>357</v>
      </c>
      <c r="B148" s="6">
        <v>45050</v>
      </c>
      <c r="C148" s="7">
        <v>0.75</v>
      </c>
      <c r="D148" s="5">
        <v>9.68</v>
      </c>
      <c r="E148" s="5">
        <v>1886.7</v>
      </c>
      <c r="F148" s="5">
        <v>1895.8</v>
      </c>
      <c r="G148" s="6">
        <v>45050</v>
      </c>
      <c r="H148" s="5"/>
      <c r="I148" s="5"/>
      <c r="J148" s="5">
        <f t="shared" si="17"/>
        <v>9.0999999999999091</v>
      </c>
      <c r="K148" s="8" t="b">
        <f t="shared" si="18"/>
        <v>1</v>
      </c>
    </row>
    <row r="149" spans="1:11">
      <c r="A149" s="5" t="s">
        <v>358</v>
      </c>
      <c r="B149" s="6">
        <v>45051</v>
      </c>
      <c r="C149" s="7">
        <v>0.75</v>
      </c>
      <c r="D149" s="5">
        <v>9.68</v>
      </c>
      <c r="E149" s="5">
        <v>1895.8</v>
      </c>
      <c r="F149" s="5">
        <v>1905.5</v>
      </c>
      <c r="G149" s="6">
        <v>45051</v>
      </c>
      <c r="H149" s="5"/>
      <c r="I149" s="5"/>
      <c r="J149" s="5">
        <f t="shared" si="17"/>
        <v>9.7000000000000455</v>
      </c>
      <c r="K149" s="8" t="b">
        <f t="shared" si="18"/>
        <v>1</v>
      </c>
    </row>
    <row r="150" spans="1:11">
      <c r="A150" s="5" t="s">
        <v>356</v>
      </c>
      <c r="B150" s="6">
        <v>45055</v>
      </c>
      <c r="C150" s="7">
        <v>0.75</v>
      </c>
      <c r="D150" s="5">
        <v>9.68</v>
      </c>
      <c r="E150" s="5">
        <v>1905.5</v>
      </c>
      <c r="F150" s="5">
        <v>1925.5</v>
      </c>
      <c r="G150" s="6">
        <v>45055</v>
      </c>
      <c r="H150" s="5"/>
      <c r="I150" s="5"/>
      <c r="J150" s="5">
        <f t="shared" si="17"/>
        <v>20</v>
      </c>
      <c r="K150" s="8" t="b">
        <f t="shared" si="18"/>
        <v>1</v>
      </c>
    </row>
    <row r="151" spans="1:11">
      <c r="A151" s="5" t="s">
        <v>356</v>
      </c>
      <c r="B151" s="6">
        <v>45059</v>
      </c>
      <c r="C151" s="7">
        <v>0.8</v>
      </c>
      <c r="D151" s="5">
        <v>9.08</v>
      </c>
      <c r="E151" s="5">
        <v>1925.5</v>
      </c>
      <c r="F151" s="5">
        <v>1943.9</v>
      </c>
      <c r="G151" s="6">
        <v>45059</v>
      </c>
      <c r="H151" s="5"/>
      <c r="I151" s="5"/>
      <c r="J151" s="5">
        <f t="shared" si="17"/>
        <v>18.400000000000091</v>
      </c>
      <c r="K151" s="8" t="b">
        <f t="shared" si="18"/>
        <v>1</v>
      </c>
    </row>
    <row r="152" spans="1:11">
      <c r="A152" s="5" t="s">
        <v>363</v>
      </c>
      <c r="B152" s="6">
        <v>45066</v>
      </c>
      <c r="C152" s="7">
        <v>0.8</v>
      </c>
      <c r="D152" s="5">
        <v>9.08</v>
      </c>
      <c r="E152" s="5">
        <v>1943.9</v>
      </c>
      <c r="F152" s="5">
        <v>1957.9</v>
      </c>
      <c r="G152" s="6">
        <v>45066</v>
      </c>
      <c r="H152" s="5"/>
      <c r="I152" s="5"/>
      <c r="J152" s="5">
        <f t="shared" si="17"/>
        <v>14</v>
      </c>
      <c r="K152" s="8" t="b">
        <f t="shared" si="18"/>
        <v>1</v>
      </c>
    </row>
    <row r="153" spans="1:11">
      <c r="A153" s="5" t="s">
        <v>356</v>
      </c>
      <c r="B153" s="6"/>
      <c r="C153" s="7"/>
      <c r="D153" s="5"/>
      <c r="E153" s="5"/>
      <c r="F153" s="5"/>
      <c r="G153" s="6"/>
      <c r="H153" s="5"/>
      <c r="I153" s="5"/>
      <c r="J153" s="5">
        <f t="shared" si="17"/>
        <v>0</v>
      </c>
      <c r="K153" s="8" t="b">
        <f t="shared" si="18"/>
        <v>0</v>
      </c>
    </row>
    <row r="154" spans="1:11">
      <c r="A154" s="5" t="s">
        <v>356</v>
      </c>
      <c r="B154" s="6"/>
      <c r="C154" s="7"/>
      <c r="D154" s="5"/>
      <c r="E154" s="5"/>
      <c r="F154" s="5"/>
      <c r="G154" s="6"/>
      <c r="H154" s="5"/>
      <c r="I154" s="5"/>
      <c r="J154" s="5">
        <f t="shared" si="17"/>
        <v>0</v>
      </c>
      <c r="K154" s="8" t="b">
        <f t="shared" si="18"/>
        <v>1</v>
      </c>
    </row>
    <row r="155" spans="1:11" ht="26.25">
      <c r="A155" s="199" t="s">
        <v>354</v>
      </c>
      <c r="B155" s="200"/>
      <c r="C155" s="200"/>
      <c r="D155" s="200"/>
      <c r="E155" s="200"/>
      <c r="F155" s="200"/>
      <c r="G155" s="200"/>
      <c r="H155" s="200"/>
      <c r="I155" s="200"/>
      <c r="J155" s="200"/>
      <c r="K155" s="201"/>
    </row>
    <row r="156" spans="1:11" ht="26.25">
      <c r="A156" s="202" t="s">
        <v>18</v>
      </c>
      <c r="B156" s="203"/>
      <c r="C156" s="203"/>
      <c r="D156" s="203"/>
      <c r="E156" s="203"/>
      <c r="F156" s="203"/>
      <c r="G156" s="203"/>
      <c r="H156" s="203"/>
      <c r="I156" s="203"/>
      <c r="J156" s="203"/>
      <c r="K156" s="204"/>
    </row>
    <row r="157" spans="1:11" ht="15.75" thickBot="1"/>
    <row r="158" spans="1:11" ht="15.75" thickBot="1">
      <c r="A158" s="132" t="s">
        <v>2</v>
      </c>
      <c r="B158" s="133"/>
      <c r="C158" s="133"/>
      <c r="D158" s="133"/>
      <c r="E158" s="133"/>
      <c r="F158" s="133"/>
      <c r="G158" s="133"/>
      <c r="H158" s="133"/>
      <c r="I158" s="133"/>
      <c r="J158" s="133"/>
      <c r="K158" s="134"/>
    </row>
    <row r="160" spans="1:11" ht="18.75">
      <c r="A160" s="1" t="s">
        <v>3</v>
      </c>
      <c r="B160" s="1"/>
      <c r="C160" s="1"/>
      <c r="D160" s="1"/>
      <c r="E160" s="1"/>
      <c r="F160" s="1"/>
      <c r="G160" s="1"/>
      <c r="H160" s="1"/>
      <c r="I160" s="1"/>
    </row>
    <row r="161" spans="1:11" ht="30">
      <c r="A161" s="2" t="s">
        <v>4</v>
      </c>
      <c r="B161" s="3" t="s">
        <v>5</v>
      </c>
      <c r="C161" s="3" t="s">
        <v>6</v>
      </c>
      <c r="D161" s="3" t="s">
        <v>7</v>
      </c>
      <c r="E161" s="3" t="s">
        <v>8</v>
      </c>
      <c r="F161" s="3" t="s">
        <v>9</v>
      </c>
      <c r="G161" s="3" t="s">
        <v>10</v>
      </c>
      <c r="H161" s="3" t="s">
        <v>21</v>
      </c>
      <c r="I161" s="4" t="s">
        <v>22</v>
      </c>
      <c r="J161" s="4" t="s">
        <v>11</v>
      </c>
      <c r="K161" s="4" t="s">
        <v>12</v>
      </c>
    </row>
    <row r="162" spans="1:11">
      <c r="A162" s="5" t="s">
        <v>359</v>
      </c>
      <c r="B162" s="6" t="s">
        <v>98</v>
      </c>
      <c r="C162" s="7">
        <v>0.8</v>
      </c>
      <c r="D162" s="5">
        <v>9.08</v>
      </c>
      <c r="E162" s="5">
        <v>1957.9</v>
      </c>
      <c r="F162" s="5">
        <v>1976.9</v>
      </c>
      <c r="G162" s="6" t="s">
        <v>98</v>
      </c>
      <c r="H162" s="5"/>
      <c r="I162" s="5"/>
      <c r="J162" s="5">
        <f>F162-E162</f>
        <v>19</v>
      </c>
      <c r="K162" s="8" t="b">
        <f>E162=F152</f>
        <v>1</v>
      </c>
    </row>
    <row r="163" spans="1:11">
      <c r="A163" s="5" t="s">
        <v>364</v>
      </c>
      <c r="B163" s="6">
        <v>45148</v>
      </c>
      <c r="C163" s="7">
        <v>0.45</v>
      </c>
      <c r="D163" s="5"/>
      <c r="E163" s="5">
        <v>1976.9</v>
      </c>
      <c r="F163" s="5">
        <v>1990.9</v>
      </c>
      <c r="G163" s="6">
        <v>45148</v>
      </c>
      <c r="H163" s="5"/>
      <c r="I163" s="5"/>
      <c r="J163" s="5">
        <f t="shared" si="17"/>
        <v>14</v>
      </c>
      <c r="K163" s="8" t="b">
        <f t="shared" si="18"/>
        <v>1</v>
      </c>
    </row>
    <row r="164" spans="1:11">
      <c r="A164" s="5" t="s">
        <v>359</v>
      </c>
      <c r="B164" s="6">
        <v>45149</v>
      </c>
      <c r="C164" s="7">
        <v>0.45</v>
      </c>
      <c r="D164" s="5"/>
      <c r="E164" s="5">
        <v>1990.9</v>
      </c>
      <c r="F164" s="5">
        <v>2004.6</v>
      </c>
      <c r="G164" s="6">
        <v>45149</v>
      </c>
      <c r="H164" s="5"/>
      <c r="I164" s="5"/>
      <c r="J164" s="5">
        <f t="shared" si="17"/>
        <v>13.699999999999818</v>
      </c>
      <c r="K164" s="8" t="b">
        <f t="shared" si="18"/>
        <v>1</v>
      </c>
    </row>
    <row r="165" spans="1:11">
      <c r="A165" s="5" t="s">
        <v>359</v>
      </c>
      <c r="B165" s="6"/>
      <c r="C165" s="7"/>
      <c r="D165" s="5"/>
      <c r="E165" s="5"/>
      <c r="F165" s="5"/>
      <c r="G165" s="6"/>
      <c r="H165" s="5"/>
      <c r="I165" s="5"/>
      <c r="J165" s="5">
        <f t="shared" si="17"/>
        <v>0</v>
      </c>
      <c r="K165" s="8" t="b">
        <f t="shared" si="18"/>
        <v>0</v>
      </c>
    </row>
    <row r="166" spans="1:11">
      <c r="A166" s="5" t="s">
        <v>359</v>
      </c>
      <c r="B166" s="6"/>
      <c r="C166" s="7"/>
      <c r="D166" s="5"/>
      <c r="E166" s="5"/>
      <c r="F166" s="5"/>
      <c r="G166" s="6"/>
      <c r="H166" s="5"/>
      <c r="I166" s="5"/>
      <c r="J166" s="5">
        <f t="shared" si="17"/>
        <v>0</v>
      </c>
      <c r="K166" s="8" t="b">
        <f t="shared" si="18"/>
        <v>1</v>
      </c>
    </row>
    <row r="167" spans="1:11">
      <c r="A167" s="5" t="s">
        <v>359</v>
      </c>
      <c r="B167" s="6"/>
      <c r="C167" s="7"/>
      <c r="D167" s="5"/>
      <c r="E167" s="5"/>
      <c r="F167" s="5"/>
      <c r="G167" s="6"/>
      <c r="H167" s="5"/>
      <c r="I167" s="5"/>
      <c r="J167" s="5">
        <f t="shared" si="17"/>
        <v>0</v>
      </c>
      <c r="K167" s="8" t="b">
        <f t="shared" si="18"/>
        <v>1</v>
      </c>
    </row>
    <row r="168" spans="1:11">
      <c r="A168" s="5" t="s">
        <v>359</v>
      </c>
      <c r="B168" s="6"/>
      <c r="C168" s="7"/>
      <c r="D168" s="5"/>
      <c r="E168" s="5"/>
      <c r="F168" s="5"/>
      <c r="G168" s="6"/>
      <c r="H168" s="5"/>
      <c r="I168" s="5"/>
      <c r="J168" s="5">
        <f t="shared" si="17"/>
        <v>0</v>
      </c>
      <c r="K168" s="8" t="b">
        <f t="shared" si="18"/>
        <v>1</v>
      </c>
    </row>
    <row r="169" spans="1:11">
      <c r="A169" s="5" t="s">
        <v>359</v>
      </c>
      <c r="B169" s="6"/>
      <c r="C169" s="7"/>
      <c r="D169" s="5"/>
      <c r="E169" s="5"/>
      <c r="F169" s="5"/>
      <c r="G169" s="6"/>
      <c r="H169" s="5"/>
      <c r="I169" s="5"/>
      <c r="J169" s="5">
        <f t="shared" si="17"/>
        <v>0</v>
      </c>
      <c r="K169" s="8" t="b">
        <f t="shared" si="18"/>
        <v>1</v>
      </c>
    </row>
    <row r="170" spans="1:11">
      <c r="A170" s="5" t="s">
        <v>359</v>
      </c>
      <c r="B170" s="6"/>
      <c r="C170" s="7"/>
      <c r="D170" s="5"/>
      <c r="E170" s="5"/>
      <c r="F170" s="5"/>
      <c r="G170" s="6"/>
      <c r="H170" s="5"/>
      <c r="I170" s="5"/>
      <c r="J170" s="5">
        <f t="shared" si="17"/>
        <v>0</v>
      </c>
      <c r="K170" s="8" t="b">
        <f t="shared" si="18"/>
        <v>1</v>
      </c>
    </row>
    <row r="171" spans="1:11">
      <c r="A171" s="5" t="s">
        <v>359</v>
      </c>
      <c r="B171" s="6"/>
      <c r="C171" s="7"/>
      <c r="D171" s="5"/>
      <c r="E171" s="5"/>
      <c r="F171" s="5"/>
      <c r="G171" s="6"/>
      <c r="H171" s="5"/>
      <c r="I171" s="5"/>
      <c r="J171" s="5">
        <f t="shared" si="17"/>
        <v>0</v>
      </c>
      <c r="K171" s="8" t="b">
        <f t="shared" si="18"/>
        <v>1</v>
      </c>
    </row>
    <row r="172" spans="1:11">
      <c r="A172" s="5" t="s">
        <v>359</v>
      </c>
      <c r="B172" s="6"/>
      <c r="C172" s="7"/>
      <c r="D172" s="5"/>
      <c r="E172" s="5"/>
      <c r="F172" s="5"/>
      <c r="G172" s="6"/>
      <c r="H172" s="5"/>
      <c r="I172" s="5"/>
      <c r="J172" s="5">
        <f t="shared" si="17"/>
        <v>0</v>
      </c>
      <c r="K172" s="8" t="b">
        <f t="shared" si="18"/>
        <v>1</v>
      </c>
    </row>
    <row r="173" spans="1:11">
      <c r="A173" s="5" t="s">
        <v>359</v>
      </c>
      <c r="B173" s="6"/>
      <c r="C173" s="7"/>
      <c r="D173" s="5"/>
      <c r="E173" s="5"/>
      <c r="F173" s="5"/>
      <c r="G173" s="6"/>
      <c r="H173" s="5"/>
      <c r="I173" s="5"/>
      <c r="J173" s="5">
        <f t="shared" si="17"/>
        <v>0</v>
      </c>
      <c r="K173" s="8" t="b">
        <f t="shared" si="18"/>
        <v>1</v>
      </c>
    </row>
    <row r="174" spans="1:11">
      <c r="A174" s="5" t="s">
        <v>359</v>
      </c>
      <c r="B174" s="6"/>
      <c r="C174" s="7"/>
      <c r="D174" s="5"/>
      <c r="E174" s="5"/>
      <c r="F174" s="5"/>
      <c r="G174" s="6"/>
      <c r="H174" s="5"/>
      <c r="I174" s="5"/>
      <c r="J174" s="5">
        <f t="shared" si="17"/>
        <v>0</v>
      </c>
      <c r="K174" s="8" t="b">
        <f t="shared" si="18"/>
        <v>1</v>
      </c>
    </row>
    <row r="175" spans="1:11">
      <c r="A175" s="5" t="s">
        <v>359</v>
      </c>
      <c r="B175" s="6"/>
      <c r="C175" s="7"/>
      <c r="D175" s="5"/>
      <c r="E175" s="5"/>
      <c r="F175" s="5"/>
      <c r="G175" s="6"/>
      <c r="H175" s="5"/>
      <c r="I175" s="5"/>
      <c r="J175" s="5">
        <f t="shared" si="17"/>
        <v>0</v>
      </c>
      <c r="K175" s="8" t="b">
        <f t="shared" si="18"/>
        <v>1</v>
      </c>
    </row>
    <row r="176" spans="1:11">
      <c r="A176" s="5" t="s">
        <v>359</v>
      </c>
      <c r="B176" s="6"/>
      <c r="C176" s="7"/>
      <c r="D176" s="5"/>
      <c r="E176" s="5"/>
      <c r="F176" s="5"/>
      <c r="G176" s="6"/>
      <c r="H176" s="5"/>
      <c r="I176" s="5"/>
      <c r="J176" s="5">
        <f t="shared" si="17"/>
        <v>0</v>
      </c>
      <c r="K176" s="8" t="b">
        <f t="shared" si="18"/>
        <v>1</v>
      </c>
    </row>
    <row r="177" spans="1:11">
      <c r="A177" s="5" t="s">
        <v>359</v>
      </c>
      <c r="B177" s="6"/>
      <c r="C177" s="7"/>
      <c r="D177" s="5"/>
      <c r="E177" s="5"/>
      <c r="F177" s="5"/>
      <c r="G177" s="6"/>
      <c r="H177" s="5"/>
      <c r="I177" s="5"/>
      <c r="J177" s="5">
        <f t="shared" si="17"/>
        <v>0</v>
      </c>
      <c r="K177" s="8" t="b">
        <f t="shared" si="18"/>
        <v>1</v>
      </c>
    </row>
    <row r="178" spans="1:11">
      <c r="A178" s="5" t="s">
        <v>359</v>
      </c>
      <c r="B178" s="6"/>
      <c r="C178" s="7"/>
      <c r="D178" s="5"/>
      <c r="E178" s="5"/>
      <c r="F178" s="5"/>
      <c r="G178" s="6"/>
      <c r="H178" s="5"/>
      <c r="I178" s="5"/>
      <c r="J178" s="5">
        <f t="shared" si="17"/>
        <v>0</v>
      </c>
      <c r="K178" s="8" t="b">
        <f t="shared" si="18"/>
        <v>1</v>
      </c>
    </row>
    <row r="179" spans="1:11">
      <c r="A179" s="5" t="s">
        <v>359</v>
      </c>
      <c r="B179" s="6"/>
      <c r="C179" s="7"/>
      <c r="D179" s="5"/>
      <c r="E179" s="5"/>
      <c r="F179" s="5"/>
      <c r="G179" s="6"/>
      <c r="H179" s="5"/>
      <c r="I179" s="5"/>
      <c r="J179" s="5">
        <f t="shared" si="17"/>
        <v>0</v>
      </c>
      <c r="K179" s="8" t="b">
        <f t="shared" si="18"/>
        <v>1</v>
      </c>
    </row>
    <row r="180" spans="1:11">
      <c r="A180" s="5" t="s">
        <v>359</v>
      </c>
      <c r="B180" s="6"/>
      <c r="C180" s="7"/>
      <c r="D180" s="5"/>
      <c r="E180" s="5"/>
      <c r="F180" s="5"/>
      <c r="G180" s="6"/>
      <c r="H180" s="5"/>
      <c r="I180" s="5"/>
      <c r="J180" s="5">
        <f t="shared" si="17"/>
        <v>0</v>
      </c>
      <c r="K180" s="8" t="b">
        <f t="shared" si="18"/>
        <v>1</v>
      </c>
    </row>
    <row r="181" spans="1:11" ht="26.25">
      <c r="A181" s="199" t="s">
        <v>354</v>
      </c>
      <c r="B181" s="200"/>
      <c r="C181" s="200"/>
      <c r="D181" s="200"/>
      <c r="E181" s="200"/>
      <c r="F181" s="200"/>
      <c r="G181" s="200"/>
      <c r="H181" s="200"/>
      <c r="I181" s="200"/>
      <c r="J181" s="200"/>
      <c r="K181" s="201"/>
    </row>
    <row r="182" spans="1:11" ht="26.25">
      <c r="A182" s="202" t="s">
        <v>365</v>
      </c>
      <c r="B182" s="203"/>
      <c r="C182" s="203"/>
      <c r="D182" s="203"/>
      <c r="E182" s="203"/>
      <c r="F182" s="203"/>
      <c r="G182" s="203"/>
      <c r="H182" s="203"/>
      <c r="I182" s="203"/>
      <c r="J182" s="203"/>
      <c r="K182" s="204"/>
    </row>
    <row r="183" spans="1:11" ht="15.75" thickBot="1"/>
    <row r="184" spans="1:11" ht="15.75" thickBot="1">
      <c r="A184" s="132" t="s">
        <v>2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4"/>
    </row>
    <row r="186" spans="1:11" ht="19.5" thickBot="1">
      <c r="A186" s="1" t="s">
        <v>3</v>
      </c>
      <c r="B186" s="1"/>
      <c r="C186" s="1"/>
      <c r="D186" s="1"/>
      <c r="E186" s="1"/>
      <c r="F186" s="1"/>
      <c r="G186" s="1"/>
      <c r="H186" s="1"/>
      <c r="I186" s="1"/>
    </row>
    <row r="187" spans="1:11" ht="30.75" thickBot="1">
      <c r="A187" s="2" t="s">
        <v>4</v>
      </c>
      <c r="B187" s="3" t="s">
        <v>5</v>
      </c>
      <c r="C187" s="3" t="s">
        <v>6</v>
      </c>
      <c r="D187" s="3" t="s">
        <v>7</v>
      </c>
      <c r="E187" s="3" t="s">
        <v>8</v>
      </c>
      <c r="F187" s="3" t="s">
        <v>9</v>
      </c>
      <c r="G187" s="3" t="s">
        <v>10</v>
      </c>
      <c r="H187" s="3" t="s">
        <v>21</v>
      </c>
      <c r="I187" s="4" t="s">
        <v>22</v>
      </c>
      <c r="J187" s="4" t="s">
        <v>11</v>
      </c>
      <c r="K187" s="4" t="s">
        <v>12</v>
      </c>
    </row>
    <row r="188" spans="1:11">
      <c r="A188" s="5">
        <v>130</v>
      </c>
      <c r="B188" s="6">
        <v>45240</v>
      </c>
      <c r="C188" s="7">
        <v>1</v>
      </c>
      <c r="D188" s="5">
        <v>7.26</v>
      </c>
      <c r="E188" s="5">
        <v>2004.6</v>
      </c>
      <c r="F188" s="5">
        <v>2019</v>
      </c>
      <c r="G188" s="6">
        <v>45240</v>
      </c>
      <c r="H188" s="5"/>
      <c r="I188" s="5"/>
      <c r="J188" s="5">
        <f t="shared" ref="J188:J207" si="19">F188-E188</f>
        <v>14.400000000000091</v>
      </c>
      <c r="K188" s="8" t="b">
        <v>1</v>
      </c>
    </row>
    <row r="189" spans="1:11">
      <c r="A189" s="5">
        <v>130</v>
      </c>
      <c r="B189" s="6">
        <v>45242</v>
      </c>
      <c r="C189" s="7">
        <v>1</v>
      </c>
      <c r="D189" s="5">
        <v>7.26</v>
      </c>
      <c r="E189" s="5">
        <v>2019</v>
      </c>
      <c r="F189" s="5">
        <v>2033.4</v>
      </c>
      <c r="G189" s="6">
        <v>45242</v>
      </c>
      <c r="H189" s="5"/>
      <c r="I189" s="5"/>
      <c r="J189" s="5">
        <f t="shared" si="19"/>
        <v>14.400000000000091</v>
      </c>
      <c r="K189" s="8" t="b">
        <v>1</v>
      </c>
    </row>
    <row r="190" spans="1:11">
      <c r="A190" s="5">
        <v>130</v>
      </c>
      <c r="B190" s="6">
        <v>45244</v>
      </c>
      <c r="C190" s="7">
        <v>1</v>
      </c>
      <c r="D190" s="5">
        <v>7.26</v>
      </c>
      <c r="E190" s="5">
        <v>2033.4</v>
      </c>
      <c r="F190" s="5">
        <v>2048</v>
      </c>
      <c r="G190" s="6">
        <v>45244</v>
      </c>
      <c r="H190" s="5"/>
      <c r="I190" s="5"/>
      <c r="J190" s="5">
        <f t="shared" si="19"/>
        <v>14.599999999999909</v>
      </c>
      <c r="K190" s="8" t="b">
        <f t="shared" ref="K190:K207" si="20">E190=F189</f>
        <v>1</v>
      </c>
    </row>
    <row r="191" spans="1:11">
      <c r="A191" s="5">
        <v>130</v>
      </c>
      <c r="B191" s="6">
        <v>45245</v>
      </c>
      <c r="C191" s="7">
        <v>1</v>
      </c>
      <c r="D191" s="5">
        <v>7.26</v>
      </c>
      <c r="E191" s="5">
        <v>2048</v>
      </c>
      <c r="F191" s="5">
        <v>2062.3000000000002</v>
      </c>
      <c r="G191" s="6">
        <v>45245</v>
      </c>
      <c r="H191" s="5"/>
      <c r="I191" s="5"/>
      <c r="J191" s="5">
        <f t="shared" si="19"/>
        <v>14.300000000000182</v>
      </c>
      <c r="K191" s="8" t="b">
        <f t="shared" si="20"/>
        <v>1</v>
      </c>
    </row>
    <row r="192" spans="1:11">
      <c r="A192" s="5">
        <v>130</v>
      </c>
      <c r="B192" s="6">
        <v>45246</v>
      </c>
      <c r="C192" s="7">
        <v>1</v>
      </c>
      <c r="D192" s="5">
        <v>7.26</v>
      </c>
      <c r="E192" s="5">
        <v>2062.3000000000002</v>
      </c>
      <c r="F192" s="5">
        <v>2076.6999999999998</v>
      </c>
      <c r="G192" s="6">
        <v>45246</v>
      </c>
      <c r="H192" s="5"/>
      <c r="I192" s="5"/>
      <c r="J192" s="5">
        <f t="shared" si="19"/>
        <v>14.399999999999636</v>
      </c>
      <c r="K192" s="8" t="b">
        <f t="shared" si="20"/>
        <v>1</v>
      </c>
    </row>
    <row r="193" spans="1:11">
      <c r="A193" s="5">
        <v>130</v>
      </c>
      <c r="B193" s="6">
        <v>45247</v>
      </c>
      <c r="C193" s="7">
        <v>1</v>
      </c>
      <c r="D193" s="5">
        <v>7.26</v>
      </c>
      <c r="E193" s="5">
        <v>2076.6999999999998</v>
      </c>
      <c r="F193" s="5">
        <v>2091.1</v>
      </c>
      <c r="G193" s="6">
        <v>45247</v>
      </c>
      <c r="H193" s="5"/>
      <c r="I193" s="5"/>
      <c r="J193" s="5">
        <f t="shared" si="19"/>
        <v>14.400000000000091</v>
      </c>
      <c r="K193" s="8" t="b">
        <f t="shared" si="20"/>
        <v>1</v>
      </c>
    </row>
    <row r="194" spans="1:11">
      <c r="A194" s="5">
        <v>130</v>
      </c>
      <c r="B194" s="6">
        <v>45248</v>
      </c>
      <c r="C194" s="7">
        <v>1</v>
      </c>
      <c r="D194" s="5">
        <v>7.26</v>
      </c>
      <c r="E194" s="5">
        <v>2091.1</v>
      </c>
      <c r="F194" s="5">
        <v>2105.5</v>
      </c>
      <c r="G194" s="6">
        <v>45248</v>
      </c>
      <c r="H194" s="5"/>
      <c r="I194" s="5"/>
      <c r="J194" s="5">
        <f t="shared" si="19"/>
        <v>14.400000000000091</v>
      </c>
      <c r="K194" s="8" t="b">
        <f t="shared" si="20"/>
        <v>1</v>
      </c>
    </row>
    <row r="195" spans="1:11">
      <c r="A195" s="5">
        <v>130</v>
      </c>
      <c r="B195" s="6">
        <v>45249</v>
      </c>
      <c r="C195" s="7">
        <v>1</v>
      </c>
      <c r="D195" s="5">
        <v>7.26</v>
      </c>
      <c r="E195" s="5">
        <v>2105.5</v>
      </c>
      <c r="F195" s="5">
        <v>2119.8000000000002</v>
      </c>
      <c r="G195" s="6">
        <v>45249</v>
      </c>
      <c r="H195" s="5"/>
      <c r="I195" s="5"/>
      <c r="J195" s="5">
        <f t="shared" si="19"/>
        <v>14.300000000000182</v>
      </c>
      <c r="K195" s="8" t="b">
        <f t="shared" si="20"/>
        <v>1</v>
      </c>
    </row>
    <row r="196" spans="1:11">
      <c r="A196" s="5">
        <v>130</v>
      </c>
      <c r="B196" s="6">
        <v>45250</v>
      </c>
      <c r="C196" s="7">
        <v>1</v>
      </c>
      <c r="D196" s="5">
        <v>7.26</v>
      </c>
      <c r="E196" s="5">
        <v>2119.8000000000002</v>
      </c>
      <c r="F196" s="5">
        <v>2134.1999999999998</v>
      </c>
      <c r="G196" s="6">
        <v>45250</v>
      </c>
      <c r="H196" s="5"/>
      <c r="I196" s="5"/>
      <c r="J196" s="5">
        <f t="shared" si="19"/>
        <v>14.399999999999636</v>
      </c>
      <c r="K196" s="8" t="b">
        <f t="shared" si="20"/>
        <v>1</v>
      </c>
    </row>
    <row r="197" spans="1:11">
      <c r="A197" s="5">
        <v>130</v>
      </c>
      <c r="B197" s="6">
        <v>45251</v>
      </c>
      <c r="C197" s="7">
        <v>1</v>
      </c>
      <c r="D197" s="5">
        <v>7.26</v>
      </c>
      <c r="E197" s="5">
        <v>2134.1999999999998</v>
      </c>
      <c r="F197" s="5">
        <v>2148.6</v>
      </c>
      <c r="G197" s="6">
        <v>45251</v>
      </c>
      <c r="H197" s="5"/>
      <c r="I197" s="5"/>
      <c r="J197" s="5">
        <f t="shared" si="19"/>
        <v>14.400000000000091</v>
      </c>
      <c r="K197" s="8" t="b">
        <f t="shared" si="20"/>
        <v>1</v>
      </c>
    </row>
    <row r="198" spans="1:11">
      <c r="A198" s="5">
        <v>130</v>
      </c>
      <c r="B198" s="6">
        <v>45252</v>
      </c>
      <c r="C198" s="7">
        <v>1</v>
      </c>
      <c r="D198" s="5">
        <v>7.56</v>
      </c>
      <c r="E198" s="5">
        <v>2148.6</v>
      </c>
      <c r="F198" s="5">
        <v>2163</v>
      </c>
      <c r="G198" s="6">
        <v>45252</v>
      </c>
      <c r="H198" s="5"/>
      <c r="I198" s="5"/>
      <c r="J198" s="5">
        <f t="shared" si="19"/>
        <v>14.400000000000091</v>
      </c>
      <c r="K198" s="8" t="b">
        <f t="shared" si="20"/>
        <v>1</v>
      </c>
    </row>
    <row r="199" spans="1:11">
      <c r="A199" s="5">
        <v>130</v>
      </c>
      <c r="B199" s="6">
        <v>45253</v>
      </c>
      <c r="C199" s="7">
        <v>1</v>
      </c>
      <c r="D199" s="5">
        <v>7.56</v>
      </c>
      <c r="E199" s="5">
        <v>2163</v>
      </c>
      <c r="F199" s="5">
        <v>2177.4</v>
      </c>
      <c r="G199" s="6">
        <v>45253</v>
      </c>
      <c r="H199" s="5"/>
      <c r="I199" s="5"/>
      <c r="J199" s="5">
        <f t="shared" si="19"/>
        <v>14.400000000000091</v>
      </c>
      <c r="K199" s="8" t="b">
        <f t="shared" si="20"/>
        <v>1</v>
      </c>
    </row>
    <row r="200" spans="1:11">
      <c r="A200" s="5">
        <v>130</v>
      </c>
      <c r="B200" s="6">
        <v>45256</v>
      </c>
      <c r="C200" s="7">
        <v>1</v>
      </c>
      <c r="D200" s="5">
        <v>7.56</v>
      </c>
      <c r="E200" s="5">
        <v>2177.4</v>
      </c>
      <c r="F200" s="5">
        <v>2192.4</v>
      </c>
      <c r="G200" s="6">
        <v>45256</v>
      </c>
      <c r="H200" s="5"/>
      <c r="I200" s="5"/>
      <c r="J200" s="5">
        <f t="shared" si="19"/>
        <v>15</v>
      </c>
      <c r="K200" s="8" t="b">
        <f t="shared" si="20"/>
        <v>1</v>
      </c>
    </row>
    <row r="201" spans="1:11">
      <c r="A201" s="5">
        <v>130</v>
      </c>
      <c r="B201" s="6">
        <v>45258</v>
      </c>
      <c r="C201" s="7">
        <v>1</v>
      </c>
      <c r="D201" s="5">
        <v>7.56</v>
      </c>
      <c r="E201" s="5">
        <v>2192.4</v>
      </c>
      <c r="F201" s="5">
        <v>2207.4</v>
      </c>
      <c r="G201" s="6">
        <v>45258</v>
      </c>
      <c r="H201" s="5"/>
      <c r="I201" s="5"/>
      <c r="J201" s="5">
        <f t="shared" si="19"/>
        <v>15</v>
      </c>
      <c r="K201" s="8" t="b">
        <f t="shared" si="20"/>
        <v>1</v>
      </c>
    </row>
    <row r="202" spans="1:11">
      <c r="A202" s="5">
        <v>130</v>
      </c>
      <c r="B202" s="6">
        <v>45260</v>
      </c>
      <c r="C202" s="7">
        <v>0.5</v>
      </c>
      <c r="D202" s="5">
        <v>14.52</v>
      </c>
      <c r="E202" s="5">
        <v>2207.4</v>
      </c>
      <c r="F202" s="5">
        <v>2237.9</v>
      </c>
      <c r="G202" s="6">
        <v>45260</v>
      </c>
      <c r="H202" s="5"/>
      <c r="I202" s="5"/>
      <c r="J202" s="5">
        <f t="shared" si="19"/>
        <v>30.5</v>
      </c>
      <c r="K202" s="8" t="b">
        <f t="shared" si="20"/>
        <v>1</v>
      </c>
    </row>
    <row r="203" spans="1:11">
      <c r="A203" s="5">
        <v>130</v>
      </c>
      <c r="B203" s="6">
        <v>45262</v>
      </c>
      <c r="C203" s="7">
        <v>1</v>
      </c>
      <c r="D203" s="5">
        <v>7.56</v>
      </c>
      <c r="E203" s="5">
        <v>2237.9</v>
      </c>
      <c r="F203" s="5">
        <v>2252.9</v>
      </c>
      <c r="G203" s="6">
        <v>45262</v>
      </c>
      <c r="H203" s="5"/>
      <c r="I203" s="5"/>
      <c r="J203" s="5">
        <f t="shared" si="19"/>
        <v>15</v>
      </c>
      <c r="K203" s="8" t="b">
        <f t="shared" si="20"/>
        <v>1</v>
      </c>
    </row>
    <row r="204" spans="1:11">
      <c r="A204" s="5">
        <v>130</v>
      </c>
      <c r="B204" s="6">
        <v>45266</v>
      </c>
      <c r="C204" s="7">
        <v>0.8</v>
      </c>
      <c r="D204" s="5">
        <v>9.08</v>
      </c>
      <c r="E204" s="5">
        <v>2252.9</v>
      </c>
      <c r="F204" s="5">
        <v>2271.9</v>
      </c>
      <c r="G204" s="6">
        <v>45266</v>
      </c>
      <c r="H204" s="5"/>
      <c r="I204" s="5"/>
      <c r="J204" s="5">
        <f t="shared" si="19"/>
        <v>19</v>
      </c>
      <c r="K204" s="8" t="b">
        <f t="shared" si="20"/>
        <v>1</v>
      </c>
    </row>
    <row r="205" spans="1:11">
      <c r="A205" s="5">
        <v>130</v>
      </c>
      <c r="B205" s="6">
        <v>45268</v>
      </c>
      <c r="C205" s="7">
        <v>0.8</v>
      </c>
      <c r="D205" s="5">
        <v>9.08</v>
      </c>
      <c r="E205" s="5">
        <v>2271.9</v>
      </c>
      <c r="F205" s="5">
        <v>2289.6999999999998</v>
      </c>
      <c r="G205" s="6">
        <v>45268</v>
      </c>
      <c r="H205" s="5"/>
      <c r="I205" s="5"/>
      <c r="J205" s="5">
        <f t="shared" si="19"/>
        <v>17.799999999999727</v>
      </c>
      <c r="K205" s="8" t="b">
        <f t="shared" si="20"/>
        <v>1</v>
      </c>
    </row>
    <row r="206" spans="1:11">
      <c r="A206" s="5">
        <v>130</v>
      </c>
      <c r="B206" s="6">
        <v>45270</v>
      </c>
      <c r="C206" s="7">
        <v>0.8</v>
      </c>
      <c r="D206" s="5">
        <v>9.08</v>
      </c>
      <c r="E206" s="5">
        <v>2289.6999999999998</v>
      </c>
      <c r="F206" s="5">
        <v>2307.5</v>
      </c>
      <c r="G206" s="6">
        <v>45270</v>
      </c>
      <c r="H206" s="5"/>
      <c r="I206" s="5"/>
      <c r="J206" s="5">
        <f t="shared" si="19"/>
        <v>17.800000000000182</v>
      </c>
      <c r="K206" s="8" t="b">
        <f t="shared" si="20"/>
        <v>1</v>
      </c>
    </row>
    <row r="207" spans="1:11">
      <c r="A207" s="5">
        <v>130</v>
      </c>
      <c r="B207" s="6">
        <v>45272</v>
      </c>
      <c r="C207" s="7">
        <v>1</v>
      </c>
      <c r="D207" s="5">
        <v>7.56</v>
      </c>
      <c r="E207" s="5">
        <v>2307.5</v>
      </c>
      <c r="F207" s="5">
        <v>2321.8000000000002</v>
      </c>
      <c r="G207" s="6">
        <v>45272</v>
      </c>
      <c r="H207" s="5"/>
      <c r="I207" s="5"/>
      <c r="J207" s="5">
        <f t="shared" si="19"/>
        <v>14.300000000000182</v>
      </c>
      <c r="K207" s="8" t="b">
        <f t="shared" si="20"/>
        <v>1</v>
      </c>
    </row>
    <row r="208" spans="1:11">
      <c r="A208" s="5">
        <v>130</v>
      </c>
      <c r="B208" s="6">
        <v>45274</v>
      </c>
      <c r="C208" s="7">
        <v>0.8</v>
      </c>
      <c r="D208" s="5">
        <v>9.08</v>
      </c>
      <c r="E208" s="5">
        <v>2321.8000000000002</v>
      </c>
      <c r="F208" s="5">
        <v>2340.6</v>
      </c>
      <c r="G208" s="6">
        <v>45274</v>
      </c>
      <c r="H208" s="5"/>
      <c r="I208" s="5"/>
      <c r="J208" s="5">
        <f t="shared" ref="J208:J232" si="21">F208-E208</f>
        <v>18.799999999999727</v>
      </c>
      <c r="K208" s="8" t="b">
        <f t="shared" ref="K208:K232" si="22">E208=F207</f>
        <v>1</v>
      </c>
    </row>
    <row r="209" spans="1:11">
      <c r="A209" s="5">
        <v>130</v>
      </c>
      <c r="B209" s="6">
        <v>45276</v>
      </c>
      <c r="C209" s="7">
        <v>0.7</v>
      </c>
      <c r="D209" s="5">
        <v>10.37</v>
      </c>
      <c r="E209" s="5">
        <v>2340.6</v>
      </c>
      <c r="F209" s="5">
        <v>2360.9</v>
      </c>
      <c r="G209" s="6">
        <v>45276</v>
      </c>
      <c r="H209" s="5"/>
      <c r="I209" s="5"/>
      <c r="J209" s="5">
        <f t="shared" si="21"/>
        <v>20.300000000000182</v>
      </c>
      <c r="K209" s="8" t="b">
        <f t="shared" si="22"/>
        <v>1</v>
      </c>
    </row>
    <row r="210" spans="1:11">
      <c r="A210" s="5">
        <v>130</v>
      </c>
      <c r="B210" s="6">
        <v>45280</v>
      </c>
      <c r="C210" s="7">
        <v>0.8</v>
      </c>
      <c r="D210" s="5">
        <v>9.08</v>
      </c>
      <c r="E210" s="5">
        <v>2360.9</v>
      </c>
      <c r="F210" s="5">
        <v>2379.1</v>
      </c>
      <c r="G210" s="6">
        <v>45280</v>
      </c>
      <c r="H210" s="5"/>
      <c r="I210" s="5"/>
      <c r="J210" s="5">
        <f t="shared" si="21"/>
        <v>18.199999999999818</v>
      </c>
      <c r="K210" s="8" t="b">
        <f t="shared" si="22"/>
        <v>1</v>
      </c>
    </row>
    <row r="211" spans="1:11">
      <c r="A211" s="101">
        <v>130</v>
      </c>
      <c r="B211" s="102">
        <v>45282</v>
      </c>
      <c r="C211" s="103">
        <v>1</v>
      </c>
      <c r="D211" s="101">
        <v>7.26</v>
      </c>
      <c r="E211" s="101">
        <v>2379.1</v>
      </c>
      <c r="F211" s="101">
        <v>2391.6</v>
      </c>
      <c r="G211" s="102">
        <v>45282</v>
      </c>
      <c r="H211" s="101"/>
      <c r="I211" s="101"/>
      <c r="J211" s="101">
        <f t="shared" si="21"/>
        <v>12.5</v>
      </c>
      <c r="K211" s="8" t="b">
        <f t="shared" si="22"/>
        <v>1</v>
      </c>
    </row>
    <row r="212" spans="1:11">
      <c r="A212" s="5">
        <v>130</v>
      </c>
      <c r="B212" s="6">
        <v>45286</v>
      </c>
      <c r="C212" s="7">
        <v>0.8</v>
      </c>
      <c r="D212" s="5">
        <v>9.08</v>
      </c>
      <c r="E212" s="5">
        <v>2391.6</v>
      </c>
      <c r="F212" s="5">
        <v>2427.5</v>
      </c>
      <c r="G212" s="6">
        <v>45286</v>
      </c>
      <c r="H212" s="5"/>
      <c r="I212" s="5"/>
      <c r="J212" s="5">
        <f t="shared" si="21"/>
        <v>35.900000000000091</v>
      </c>
      <c r="K212" s="8" t="b">
        <f t="shared" si="22"/>
        <v>1</v>
      </c>
    </row>
    <row r="213" spans="1:11">
      <c r="A213" s="5">
        <v>130</v>
      </c>
      <c r="B213" s="6">
        <v>45288</v>
      </c>
      <c r="C213" s="7">
        <v>0.75</v>
      </c>
      <c r="D213" s="5">
        <v>9.68</v>
      </c>
      <c r="E213" s="5">
        <v>2427.5</v>
      </c>
      <c r="F213" s="5">
        <v>2447.4</v>
      </c>
      <c r="G213" s="6">
        <v>45288</v>
      </c>
      <c r="H213" s="5"/>
      <c r="I213" s="5"/>
      <c r="J213" s="5">
        <f t="shared" si="21"/>
        <v>19.900000000000091</v>
      </c>
      <c r="K213" s="8" t="b">
        <f t="shared" si="22"/>
        <v>1</v>
      </c>
    </row>
    <row r="214" spans="1:11">
      <c r="A214" s="80">
        <v>130</v>
      </c>
      <c r="B214" s="81">
        <v>45289</v>
      </c>
      <c r="C214" s="82">
        <v>1</v>
      </c>
      <c r="D214" s="80">
        <v>7.26</v>
      </c>
      <c r="E214" s="80">
        <v>2447.4</v>
      </c>
      <c r="F214" s="80">
        <v>2461.1999999999998</v>
      </c>
      <c r="G214" s="81">
        <v>45289</v>
      </c>
      <c r="H214" s="80"/>
      <c r="I214" s="80"/>
      <c r="J214" s="80">
        <f t="shared" si="21"/>
        <v>13.799999999999727</v>
      </c>
      <c r="K214" s="8" t="b">
        <f t="shared" si="22"/>
        <v>1</v>
      </c>
    </row>
    <row r="215" spans="1:11">
      <c r="A215" s="5">
        <v>130</v>
      </c>
      <c r="B215" s="6">
        <v>45290</v>
      </c>
      <c r="C215" s="7">
        <v>1</v>
      </c>
      <c r="D215" s="5">
        <v>7.26</v>
      </c>
      <c r="E215" s="5">
        <v>2461.1999999999998</v>
      </c>
      <c r="F215" s="5">
        <v>2475.6999999999998</v>
      </c>
      <c r="G215" s="6">
        <v>45290</v>
      </c>
      <c r="H215" s="5"/>
      <c r="I215" s="5"/>
      <c r="J215" s="5">
        <f t="shared" si="21"/>
        <v>14.5</v>
      </c>
      <c r="K215" s="8" t="b">
        <f t="shared" si="22"/>
        <v>1</v>
      </c>
    </row>
    <row r="216" spans="1:11">
      <c r="A216" s="5">
        <v>130</v>
      </c>
      <c r="B216" s="6">
        <v>45304</v>
      </c>
      <c r="C216" s="7">
        <v>0.8</v>
      </c>
      <c r="D216" s="5">
        <v>9.08</v>
      </c>
      <c r="E216" s="5">
        <v>2475.6999999999998</v>
      </c>
      <c r="F216" s="5">
        <v>2493.6999999999998</v>
      </c>
      <c r="G216" s="6">
        <v>45304</v>
      </c>
      <c r="H216" s="5"/>
      <c r="I216" s="5"/>
      <c r="J216" s="5">
        <f t="shared" si="21"/>
        <v>18</v>
      </c>
      <c r="K216" s="8" t="b">
        <f t="shared" si="22"/>
        <v>1</v>
      </c>
    </row>
    <row r="217" spans="1:11">
      <c r="A217" s="5">
        <v>130</v>
      </c>
      <c r="B217" s="6">
        <v>45307</v>
      </c>
      <c r="C217" s="7">
        <v>0.8</v>
      </c>
      <c r="D217" s="5">
        <v>9.08</v>
      </c>
      <c r="E217" s="5">
        <v>2493.6999999999998</v>
      </c>
      <c r="F217" s="5">
        <v>2511.8000000000002</v>
      </c>
      <c r="G217" s="6">
        <v>45307</v>
      </c>
      <c r="H217" s="5"/>
      <c r="I217" s="5"/>
      <c r="J217" s="5">
        <f t="shared" si="21"/>
        <v>18.100000000000364</v>
      </c>
      <c r="K217" s="8" t="b">
        <f t="shared" si="22"/>
        <v>1</v>
      </c>
    </row>
    <row r="218" spans="1:11">
      <c r="A218" s="5">
        <v>130</v>
      </c>
      <c r="B218" s="6">
        <v>45309</v>
      </c>
      <c r="C218" s="7">
        <v>0.8</v>
      </c>
      <c r="D218" s="5">
        <v>9.08</v>
      </c>
      <c r="E218" s="5">
        <v>2511.8000000000002</v>
      </c>
      <c r="F218" s="5">
        <v>2530</v>
      </c>
      <c r="G218" s="6">
        <v>45309</v>
      </c>
      <c r="H218" s="5"/>
      <c r="I218" s="5"/>
      <c r="J218" s="5">
        <f t="shared" si="21"/>
        <v>18.199999999999818</v>
      </c>
      <c r="K218" s="8" t="b">
        <f t="shared" si="22"/>
        <v>1</v>
      </c>
    </row>
    <row r="219" spans="1:11">
      <c r="A219" s="5">
        <v>130</v>
      </c>
      <c r="B219" s="6">
        <v>45312</v>
      </c>
      <c r="C219" s="7">
        <v>1</v>
      </c>
      <c r="D219" s="5">
        <v>7.56</v>
      </c>
      <c r="E219" s="5">
        <v>2530.8000000000002</v>
      </c>
      <c r="F219" s="5">
        <v>2536.4</v>
      </c>
      <c r="G219" s="6">
        <v>45312</v>
      </c>
      <c r="H219" s="5"/>
      <c r="I219" s="5"/>
      <c r="J219" s="5">
        <f t="shared" si="21"/>
        <v>5.5999999999999091</v>
      </c>
      <c r="K219" s="8" t="b">
        <f t="shared" si="22"/>
        <v>0</v>
      </c>
    </row>
    <row r="220" spans="1:11">
      <c r="A220" s="101">
        <v>130</v>
      </c>
      <c r="B220" s="102">
        <v>45313</v>
      </c>
      <c r="C220" s="103">
        <v>1</v>
      </c>
      <c r="D220" s="109">
        <v>7.56</v>
      </c>
      <c r="E220" s="101">
        <v>2536.4</v>
      </c>
      <c r="F220" s="101">
        <v>2539.4</v>
      </c>
      <c r="G220" s="102">
        <v>45313</v>
      </c>
      <c r="H220" s="101"/>
      <c r="I220" s="101"/>
      <c r="J220" s="101">
        <f t="shared" si="21"/>
        <v>3</v>
      </c>
      <c r="K220" s="8" t="b">
        <f t="shared" si="22"/>
        <v>1</v>
      </c>
    </row>
    <row r="221" spans="1:11">
      <c r="A221" s="80">
        <v>130</v>
      </c>
      <c r="B221" s="81">
        <v>45316</v>
      </c>
      <c r="C221" s="82">
        <v>1</v>
      </c>
      <c r="D221" s="80">
        <v>7.56</v>
      </c>
      <c r="E221" s="80">
        <v>2539.4</v>
      </c>
      <c r="F221" s="80">
        <v>2553.6999999999998</v>
      </c>
      <c r="G221" s="81">
        <v>45316</v>
      </c>
      <c r="H221" s="80"/>
      <c r="I221" s="80"/>
      <c r="J221" s="80">
        <f t="shared" si="21"/>
        <v>14.299999999999727</v>
      </c>
      <c r="K221" s="8" t="b">
        <f t="shared" si="22"/>
        <v>1</v>
      </c>
    </row>
    <row r="222" spans="1:11">
      <c r="A222" s="5">
        <v>130</v>
      </c>
      <c r="B222" s="6">
        <v>45328</v>
      </c>
      <c r="C222" s="7">
        <v>0.7</v>
      </c>
      <c r="D222" s="5">
        <v>10.37</v>
      </c>
      <c r="E222" s="5">
        <v>2553.6999999999998</v>
      </c>
      <c r="F222" s="5">
        <v>2574.1999999999998</v>
      </c>
      <c r="G222" s="6">
        <v>45328</v>
      </c>
      <c r="H222" s="5"/>
      <c r="I222" s="5"/>
      <c r="J222" s="5">
        <f t="shared" si="21"/>
        <v>20.5</v>
      </c>
      <c r="K222" s="8" t="b">
        <f t="shared" si="22"/>
        <v>1</v>
      </c>
    </row>
    <row r="223" spans="1:11">
      <c r="A223" s="5">
        <v>130</v>
      </c>
      <c r="B223" s="6">
        <v>45337</v>
      </c>
      <c r="C223" s="7">
        <v>0.8</v>
      </c>
      <c r="D223" s="5">
        <v>9.08</v>
      </c>
      <c r="E223" s="5">
        <v>2574.1999999999998</v>
      </c>
      <c r="F223" s="5">
        <v>2592.1999999999998</v>
      </c>
      <c r="G223" s="6">
        <v>45337</v>
      </c>
      <c r="H223" s="5"/>
      <c r="I223" s="5"/>
      <c r="J223" s="5">
        <f t="shared" si="21"/>
        <v>18</v>
      </c>
      <c r="K223" s="8" t="b">
        <f t="shared" si="22"/>
        <v>1</v>
      </c>
    </row>
    <row r="224" spans="1:11">
      <c r="A224" s="5">
        <v>130</v>
      </c>
      <c r="B224" s="6">
        <v>45348</v>
      </c>
      <c r="C224" s="7">
        <v>1</v>
      </c>
      <c r="D224" s="5">
        <v>7.56</v>
      </c>
      <c r="E224" s="5">
        <v>2592.1999999999998</v>
      </c>
      <c r="F224" s="5">
        <v>2606.6999999999998</v>
      </c>
      <c r="G224" s="6">
        <v>45348</v>
      </c>
      <c r="H224" s="5"/>
      <c r="I224" s="5"/>
      <c r="J224" s="5">
        <f t="shared" si="21"/>
        <v>14.5</v>
      </c>
      <c r="K224" s="8" t="b">
        <f t="shared" si="22"/>
        <v>1</v>
      </c>
    </row>
    <row r="225" spans="1:11">
      <c r="A225" s="5">
        <v>130</v>
      </c>
      <c r="B225" s="6">
        <v>45351</v>
      </c>
      <c r="C225" s="7">
        <v>1</v>
      </c>
      <c r="D225" s="5">
        <v>7.56</v>
      </c>
      <c r="E225" s="5">
        <v>2606.6999999999998</v>
      </c>
      <c r="F225" s="5">
        <v>2621.3000000000002</v>
      </c>
      <c r="G225" s="6">
        <v>45351</v>
      </c>
      <c r="H225" s="5"/>
      <c r="I225" s="5"/>
      <c r="J225" s="5">
        <f t="shared" si="21"/>
        <v>14.600000000000364</v>
      </c>
      <c r="K225" s="8" t="b">
        <f t="shared" si="22"/>
        <v>1</v>
      </c>
    </row>
    <row r="226" spans="1:11">
      <c r="A226" s="5">
        <v>130</v>
      </c>
      <c r="B226" s="6">
        <v>45364</v>
      </c>
      <c r="C226" s="7">
        <v>1</v>
      </c>
      <c r="D226" s="5">
        <v>7.56</v>
      </c>
      <c r="E226" s="5">
        <v>2621.3000000000002</v>
      </c>
      <c r="F226" s="5">
        <v>2631.1</v>
      </c>
      <c r="G226" s="6">
        <v>45364</v>
      </c>
      <c r="H226" s="5"/>
      <c r="I226" s="5"/>
      <c r="J226" s="5">
        <f t="shared" si="21"/>
        <v>9.7999999999997272</v>
      </c>
      <c r="K226" s="8" t="b">
        <f t="shared" si="22"/>
        <v>1</v>
      </c>
    </row>
    <row r="227" spans="1:11">
      <c r="A227" s="5">
        <v>130</v>
      </c>
      <c r="B227" s="6"/>
      <c r="C227" s="7"/>
      <c r="D227" s="5"/>
      <c r="E227" s="5"/>
      <c r="F227" s="5"/>
      <c r="G227" s="6"/>
      <c r="H227" s="5"/>
      <c r="I227" s="5"/>
      <c r="J227" s="5">
        <f t="shared" si="21"/>
        <v>0</v>
      </c>
      <c r="K227" s="8" t="b">
        <f t="shared" si="22"/>
        <v>0</v>
      </c>
    </row>
    <row r="228" spans="1:11">
      <c r="A228" s="5">
        <v>130</v>
      </c>
      <c r="B228" s="6"/>
      <c r="C228" s="7"/>
      <c r="D228" s="5"/>
      <c r="E228" s="5"/>
      <c r="F228" s="5"/>
      <c r="G228" s="6"/>
      <c r="H228" s="5"/>
      <c r="I228" s="5"/>
      <c r="J228" s="5">
        <f t="shared" si="21"/>
        <v>0</v>
      </c>
      <c r="K228" s="8" t="b">
        <f t="shared" si="22"/>
        <v>1</v>
      </c>
    </row>
    <row r="229" spans="1:11">
      <c r="A229" s="5">
        <v>130</v>
      </c>
      <c r="B229" s="6"/>
      <c r="C229" s="7"/>
      <c r="D229" s="5"/>
      <c r="E229" s="5"/>
      <c r="F229" s="5"/>
      <c r="G229" s="6"/>
      <c r="H229" s="5"/>
      <c r="I229" s="5"/>
      <c r="J229" s="5">
        <f t="shared" si="21"/>
        <v>0</v>
      </c>
      <c r="K229" s="8" t="b">
        <f t="shared" si="22"/>
        <v>1</v>
      </c>
    </row>
    <row r="230" spans="1:11">
      <c r="A230" s="5">
        <v>130</v>
      </c>
      <c r="B230" s="6"/>
      <c r="C230" s="7"/>
      <c r="D230" s="5"/>
      <c r="E230" s="5"/>
      <c r="F230" s="5"/>
      <c r="G230" s="6"/>
      <c r="H230" s="5"/>
      <c r="I230" s="5"/>
      <c r="J230" s="5">
        <f t="shared" si="21"/>
        <v>0</v>
      </c>
      <c r="K230" s="8" t="b">
        <f t="shared" si="22"/>
        <v>1</v>
      </c>
    </row>
    <row r="231" spans="1:11">
      <c r="A231" s="5">
        <v>130</v>
      </c>
      <c r="B231" s="6">
        <v>45406</v>
      </c>
      <c r="C231" s="7">
        <v>1</v>
      </c>
      <c r="D231" s="5">
        <v>7.56</v>
      </c>
      <c r="E231" s="5">
        <v>2638.2</v>
      </c>
      <c r="F231" s="5">
        <v>2650.2</v>
      </c>
      <c r="G231" s="6">
        <v>45406</v>
      </c>
      <c r="H231" s="5"/>
      <c r="I231" s="5"/>
      <c r="J231" s="5">
        <f t="shared" si="21"/>
        <v>12</v>
      </c>
      <c r="K231" s="8" t="b">
        <f t="shared" si="22"/>
        <v>0</v>
      </c>
    </row>
    <row r="232" spans="1:11">
      <c r="A232" s="5">
        <v>130</v>
      </c>
      <c r="B232" s="6">
        <v>45416</v>
      </c>
      <c r="C232" s="7">
        <v>1</v>
      </c>
      <c r="D232" s="5">
        <v>7.56</v>
      </c>
      <c r="E232" s="5">
        <v>0</v>
      </c>
      <c r="F232" s="5">
        <v>14.4</v>
      </c>
      <c r="G232" s="6">
        <v>45416</v>
      </c>
      <c r="H232" s="5"/>
      <c r="I232" s="5"/>
      <c r="J232" s="5">
        <f t="shared" si="21"/>
        <v>14.4</v>
      </c>
      <c r="K232" s="8" t="b">
        <f t="shared" si="22"/>
        <v>0</v>
      </c>
    </row>
    <row r="233" spans="1:11" ht="26.25">
      <c r="A233" s="199" t="s">
        <v>354</v>
      </c>
      <c r="B233" s="200"/>
      <c r="C233" s="200"/>
      <c r="D233" s="200"/>
      <c r="E233" s="200"/>
      <c r="F233" s="200"/>
      <c r="G233" s="200"/>
      <c r="H233" s="200"/>
      <c r="I233" s="200"/>
      <c r="J233" s="200"/>
      <c r="K233" s="201"/>
    </row>
    <row r="234" spans="1:11" ht="26.25">
      <c r="A234" s="202" t="s">
        <v>255</v>
      </c>
      <c r="B234" s="203"/>
      <c r="C234" s="203"/>
      <c r="D234" s="203"/>
      <c r="E234" s="203"/>
      <c r="F234" s="203"/>
      <c r="G234" s="203"/>
      <c r="H234" s="203"/>
      <c r="I234" s="203"/>
      <c r="J234" s="203"/>
      <c r="K234" s="204"/>
    </row>
    <row r="235" spans="1:11" ht="15.75" thickBot="1"/>
    <row r="236" spans="1:11" ht="15.75" thickBot="1">
      <c r="A236" s="132" t="s">
        <v>2</v>
      </c>
      <c r="B236" s="133"/>
      <c r="C236" s="133"/>
      <c r="D236" s="133"/>
      <c r="E236" s="133"/>
      <c r="F236" s="133"/>
      <c r="G236" s="133"/>
      <c r="H236" s="133"/>
      <c r="I236" s="133"/>
      <c r="J236" s="133"/>
      <c r="K236" s="134"/>
    </row>
    <row r="238" spans="1:11" ht="19.5" thickBot="1">
      <c r="A238" s="1" t="s">
        <v>3</v>
      </c>
      <c r="B238" s="1"/>
      <c r="C238" s="1"/>
      <c r="D238" s="1"/>
      <c r="E238" s="1"/>
      <c r="F238" s="1"/>
      <c r="G238" s="1"/>
      <c r="H238" s="1"/>
      <c r="I238" s="1"/>
    </row>
    <row r="239" spans="1:11" ht="30.75" thickBot="1">
      <c r="A239" s="2" t="s">
        <v>4</v>
      </c>
      <c r="B239" s="3" t="s">
        <v>5</v>
      </c>
      <c r="C239" s="3" t="s">
        <v>6</v>
      </c>
      <c r="D239" s="3" t="s">
        <v>7</v>
      </c>
      <c r="E239" s="3" t="s">
        <v>8</v>
      </c>
      <c r="F239" s="3" t="s">
        <v>9</v>
      </c>
      <c r="G239" s="3" t="s">
        <v>10</v>
      </c>
      <c r="H239" s="3" t="s">
        <v>21</v>
      </c>
      <c r="I239" s="4" t="s">
        <v>22</v>
      </c>
      <c r="J239" s="4" t="s">
        <v>11</v>
      </c>
      <c r="K239" s="4" t="s">
        <v>12</v>
      </c>
    </row>
    <row r="240" spans="1:11">
      <c r="A240" s="5">
        <v>130</v>
      </c>
      <c r="B240" s="6">
        <v>45406</v>
      </c>
      <c r="C240" s="7">
        <v>1</v>
      </c>
      <c r="D240" s="5">
        <v>7.56</v>
      </c>
      <c r="E240" s="5">
        <v>2638.2</v>
      </c>
      <c r="F240" s="5">
        <v>2650.2</v>
      </c>
      <c r="G240" s="6">
        <v>45406</v>
      </c>
      <c r="H240" s="5"/>
      <c r="I240" s="5"/>
      <c r="J240" s="5">
        <f t="shared" ref="J240:J242" si="23">F240-E240</f>
        <v>12</v>
      </c>
      <c r="K240" s="8" t="b">
        <f>E240=
F239</f>
        <v>0</v>
      </c>
    </row>
    <row r="241" spans="1:11">
      <c r="A241" s="5">
        <v>130</v>
      </c>
      <c r="B241" s="6">
        <v>45414</v>
      </c>
      <c r="C241" s="7">
        <v>0.9</v>
      </c>
      <c r="D241" s="5">
        <v>8.07</v>
      </c>
      <c r="E241" s="5">
        <v>2650.2</v>
      </c>
      <c r="F241" s="5">
        <v>2666.2</v>
      </c>
      <c r="G241" s="6">
        <v>45414</v>
      </c>
      <c r="H241" s="5"/>
      <c r="I241" s="5"/>
      <c r="J241" s="5"/>
      <c r="K241" s="8" t="b">
        <f t="shared" ref="K241:K243" si="24">E241=F240</f>
        <v>1</v>
      </c>
    </row>
    <row r="242" spans="1:11">
      <c r="A242" s="5">
        <v>130</v>
      </c>
      <c r="B242" s="6">
        <v>45416</v>
      </c>
      <c r="C242" s="7">
        <v>1</v>
      </c>
      <c r="D242" s="5">
        <v>7.56</v>
      </c>
      <c r="E242" s="5">
        <v>0</v>
      </c>
      <c r="F242" s="5">
        <v>14.4</v>
      </c>
      <c r="G242" s="6">
        <v>45416</v>
      </c>
      <c r="H242" s="5"/>
      <c r="I242" s="5"/>
      <c r="J242" s="5">
        <f t="shared" si="23"/>
        <v>14.4</v>
      </c>
      <c r="K242" s="8" t="b">
        <f t="shared" si="24"/>
        <v>0</v>
      </c>
    </row>
    <row r="243" spans="1:11">
      <c r="A243" s="5">
        <v>130</v>
      </c>
      <c r="B243" s="6">
        <v>45418</v>
      </c>
      <c r="C243" s="7">
        <v>0.7</v>
      </c>
      <c r="D243" s="5">
        <v>9.8000000000000007</v>
      </c>
      <c r="E243" s="5">
        <v>14.4</v>
      </c>
      <c r="F243" s="5">
        <v>34.9</v>
      </c>
      <c r="G243" s="6">
        <v>45418</v>
      </c>
      <c r="H243" s="5"/>
      <c r="I243" s="5"/>
      <c r="J243" s="5">
        <f t="shared" ref="J243:J268" si="25">F243-E243</f>
        <v>20.5</v>
      </c>
      <c r="K243" s="8" t="b">
        <f t="shared" si="24"/>
        <v>1</v>
      </c>
    </row>
    <row r="244" spans="1:11">
      <c r="A244" s="5">
        <v>130</v>
      </c>
      <c r="B244" s="6">
        <v>45421</v>
      </c>
      <c r="C244" s="7">
        <v>1</v>
      </c>
      <c r="D244" s="5">
        <v>7.56</v>
      </c>
      <c r="E244" s="5">
        <v>34.9</v>
      </c>
      <c r="F244" s="5">
        <v>49.1</v>
      </c>
      <c r="G244" s="6">
        <v>45421</v>
      </c>
      <c r="H244" s="5"/>
      <c r="I244" s="5"/>
      <c r="J244" s="5">
        <f t="shared" si="25"/>
        <v>14.200000000000003</v>
      </c>
      <c r="K244" s="8" t="b">
        <f t="shared" ref="K244:K268" si="26">E244=F243</f>
        <v>1</v>
      </c>
    </row>
    <row r="245" spans="1:11">
      <c r="A245" s="5">
        <v>130</v>
      </c>
      <c r="B245" s="6">
        <v>45422</v>
      </c>
      <c r="C245" s="7">
        <v>1</v>
      </c>
      <c r="D245" s="5">
        <v>7.56</v>
      </c>
      <c r="E245" s="5">
        <v>49.1</v>
      </c>
      <c r="F245" s="5">
        <v>64.7</v>
      </c>
      <c r="G245" s="6">
        <v>45422</v>
      </c>
      <c r="H245" s="5"/>
      <c r="I245" s="5"/>
      <c r="J245" s="5">
        <f t="shared" si="25"/>
        <v>15.600000000000001</v>
      </c>
      <c r="K245" s="8" t="b">
        <f t="shared" si="26"/>
        <v>1</v>
      </c>
    </row>
    <row r="246" spans="1:11">
      <c r="A246" s="5">
        <v>130</v>
      </c>
      <c r="B246" s="6">
        <v>45423</v>
      </c>
      <c r="C246" s="7">
        <v>1</v>
      </c>
      <c r="D246" s="5">
        <v>7.56</v>
      </c>
      <c r="E246" s="5">
        <v>64.7</v>
      </c>
      <c r="F246" s="5">
        <v>94.3</v>
      </c>
      <c r="G246" s="6">
        <v>45423</v>
      </c>
      <c r="H246" s="5"/>
      <c r="I246" s="5"/>
      <c r="J246" s="5">
        <f t="shared" si="25"/>
        <v>29.599999999999994</v>
      </c>
      <c r="K246" s="8" t="b">
        <f t="shared" si="26"/>
        <v>1</v>
      </c>
    </row>
    <row r="247" spans="1:11">
      <c r="A247" s="5">
        <v>130</v>
      </c>
      <c r="B247" s="6">
        <v>45424</v>
      </c>
      <c r="C247" s="7">
        <v>1</v>
      </c>
      <c r="D247" s="5">
        <v>7.56</v>
      </c>
      <c r="E247" s="5">
        <v>94.3</v>
      </c>
      <c r="F247" s="5">
        <v>107.9</v>
      </c>
      <c r="G247" s="6">
        <v>45424</v>
      </c>
      <c r="H247" s="5"/>
      <c r="I247" s="5"/>
      <c r="J247" s="5">
        <f t="shared" si="25"/>
        <v>13.600000000000009</v>
      </c>
      <c r="K247" s="8" t="b">
        <f t="shared" si="26"/>
        <v>1</v>
      </c>
    </row>
    <row r="248" spans="1:11">
      <c r="A248" s="5">
        <v>130</v>
      </c>
      <c r="B248" s="6">
        <v>45425</v>
      </c>
      <c r="C248" s="7">
        <v>1</v>
      </c>
      <c r="D248" s="5">
        <v>7.56</v>
      </c>
      <c r="E248" s="5">
        <v>107.9</v>
      </c>
      <c r="F248" s="5">
        <v>136.69999999999999</v>
      </c>
      <c r="G248" s="6">
        <v>45425</v>
      </c>
      <c r="H248" s="5"/>
      <c r="I248" s="5"/>
      <c r="J248" s="5">
        <f t="shared" si="25"/>
        <v>28.799999999999983</v>
      </c>
      <c r="K248" s="8" t="b">
        <f t="shared" si="26"/>
        <v>1</v>
      </c>
    </row>
    <row r="249" spans="1:11">
      <c r="A249" s="5">
        <v>130</v>
      </c>
      <c r="B249" s="6">
        <v>45426</v>
      </c>
      <c r="C249" s="7">
        <v>1</v>
      </c>
      <c r="D249" s="5">
        <v>7.56</v>
      </c>
      <c r="E249" s="5">
        <v>136.69999999999999</v>
      </c>
      <c r="F249" s="5">
        <v>151.5</v>
      </c>
      <c r="G249" s="6">
        <v>45426</v>
      </c>
      <c r="H249" s="5"/>
      <c r="I249" s="5"/>
      <c r="J249" s="5">
        <f t="shared" si="25"/>
        <v>14.800000000000011</v>
      </c>
      <c r="K249" s="8" t="b">
        <f t="shared" si="26"/>
        <v>1</v>
      </c>
    </row>
    <row r="250" spans="1:11">
      <c r="A250" s="5">
        <v>130</v>
      </c>
      <c r="B250" s="6">
        <v>45427</v>
      </c>
      <c r="C250" s="7">
        <v>1</v>
      </c>
      <c r="D250" s="5">
        <v>7.56</v>
      </c>
      <c r="E250" s="5">
        <v>151.5</v>
      </c>
      <c r="F250" s="5">
        <v>165.5</v>
      </c>
      <c r="G250" s="6">
        <v>45427</v>
      </c>
      <c r="H250" s="5"/>
      <c r="I250" s="5"/>
      <c r="J250" s="5">
        <f t="shared" si="25"/>
        <v>14</v>
      </c>
      <c r="K250" s="8" t="b">
        <f t="shared" si="26"/>
        <v>1</v>
      </c>
    </row>
    <row r="251" spans="1:11">
      <c r="A251" s="5">
        <v>130</v>
      </c>
      <c r="B251" s="6">
        <v>45428</v>
      </c>
      <c r="C251" s="7">
        <v>1</v>
      </c>
      <c r="D251" s="5">
        <v>7.56</v>
      </c>
      <c r="E251" s="5">
        <v>165.5</v>
      </c>
      <c r="F251" s="5">
        <v>180</v>
      </c>
      <c r="G251" s="6">
        <v>45428</v>
      </c>
      <c r="H251" s="5"/>
      <c r="I251" s="5"/>
      <c r="J251" s="5">
        <f t="shared" si="25"/>
        <v>14.5</v>
      </c>
      <c r="K251" s="8" t="b">
        <f t="shared" si="26"/>
        <v>1</v>
      </c>
    </row>
    <row r="252" spans="1:11">
      <c r="A252" s="5">
        <v>130</v>
      </c>
      <c r="B252" s="6">
        <v>45429</v>
      </c>
      <c r="C252" s="7">
        <v>1</v>
      </c>
      <c r="D252" s="5">
        <v>7.56</v>
      </c>
      <c r="E252" s="5">
        <v>180</v>
      </c>
      <c r="F252" s="5">
        <v>195.2</v>
      </c>
      <c r="G252" s="6">
        <v>45429</v>
      </c>
      <c r="H252" s="5"/>
      <c r="I252" s="5"/>
      <c r="J252" s="5">
        <f t="shared" si="25"/>
        <v>15.199999999999989</v>
      </c>
      <c r="K252" s="8" t="b">
        <f t="shared" si="26"/>
        <v>1</v>
      </c>
    </row>
    <row r="253" spans="1:11">
      <c r="A253" s="5">
        <v>130</v>
      </c>
      <c r="B253" s="6">
        <v>45430</v>
      </c>
      <c r="C253" s="7">
        <v>1</v>
      </c>
      <c r="D253" s="5">
        <v>7.56</v>
      </c>
      <c r="E253" s="5">
        <v>195.2</v>
      </c>
      <c r="F253" s="5">
        <v>208.9</v>
      </c>
      <c r="G253" s="6">
        <v>45430</v>
      </c>
      <c r="H253" s="5"/>
      <c r="I253" s="5"/>
      <c r="J253" s="5">
        <f t="shared" si="25"/>
        <v>13.700000000000017</v>
      </c>
      <c r="K253" s="8" t="b">
        <f t="shared" si="26"/>
        <v>1</v>
      </c>
    </row>
    <row r="254" spans="1:11">
      <c r="A254" s="5">
        <v>130</v>
      </c>
      <c r="B254" s="6">
        <v>45431</v>
      </c>
      <c r="C254" s="7">
        <v>1</v>
      </c>
      <c r="D254" s="5">
        <v>7.56</v>
      </c>
      <c r="E254" s="5">
        <v>208.9</v>
      </c>
      <c r="F254" s="5">
        <v>223.3</v>
      </c>
      <c r="G254" s="6">
        <v>45431</v>
      </c>
      <c r="H254" s="5"/>
      <c r="I254" s="5"/>
      <c r="J254" s="5">
        <f t="shared" si="25"/>
        <v>14.400000000000006</v>
      </c>
      <c r="K254" s="8" t="b">
        <f t="shared" si="26"/>
        <v>1</v>
      </c>
    </row>
    <row r="255" spans="1:11">
      <c r="A255" s="5">
        <v>130</v>
      </c>
      <c r="B255" s="6">
        <v>45432</v>
      </c>
      <c r="C255" s="7">
        <v>1</v>
      </c>
      <c r="D255" s="5">
        <v>7.56</v>
      </c>
      <c r="E255" s="5">
        <v>223.3</v>
      </c>
      <c r="F255" s="5">
        <v>237.8</v>
      </c>
      <c r="G255" s="6">
        <v>45432</v>
      </c>
      <c r="H255" s="5"/>
      <c r="I255" s="5"/>
      <c r="J255" s="5">
        <f t="shared" si="25"/>
        <v>14.5</v>
      </c>
      <c r="K255" s="8" t="b">
        <f t="shared" si="26"/>
        <v>1</v>
      </c>
    </row>
    <row r="256" spans="1:11">
      <c r="A256" s="5">
        <v>130</v>
      </c>
      <c r="B256" s="6">
        <v>45433</v>
      </c>
      <c r="C256" s="7">
        <v>1</v>
      </c>
      <c r="D256" s="5">
        <v>7.56</v>
      </c>
      <c r="E256" s="5">
        <v>237.8</v>
      </c>
      <c r="F256" s="5">
        <v>252.2</v>
      </c>
      <c r="G256" s="6">
        <v>45433</v>
      </c>
      <c r="H256" s="5"/>
      <c r="I256" s="5"/>
      <c r="J256" s="5">
        <f t="shared" si="25"/>
        <v>14.399999999999977</v>
      </c>
      <c r="K256" s="8" t="b">
        <f t="shared" si="26"/>
        <v>1</v>
      </c>
    </row>
    <row r="257" spans="1:11">
      <c r="A257" s="5">
        <v>130</v>
      </c>
      <c r="B257" s="6">
        <v>45434</v>
      </c>
      <c r="C257" s="7">
        <v>1</v>
      </c>
      <c r="D257" s="5">
        <v>7.56</v>
      </c>
      <c r="E257" s="5">
        <v>252.2</v>
      </c>
      <c r="F257" s="5">
        <v>266.60000000000002</v>
      </c>
      <c r="G257" s="6">
        <v>45434</v>
      </c>
      <c r="H257" s="5"/>
      <c r="I257" s="5"/>
      <c r="J257" s="5">
        <f t="shared" si="25"/>
        <v>14.400000000000034</v>
      </c>
      <c r="K257" s="8" t="b">
        <f t="shared" si="26"/>
        <v>1</v>
      </c>
    </row>
    <row r="258" spans="1:11">
      <c r="A258" s="5">
        <v>130</v>
      </c>
      <c r="B258" s="6">
        <v>45439</v>
      </c>
      <c r="C258" s="7">
        <v>0.8</v>
      </c>
      <c r="D258" s="5">
        <v>9.08</v>
      </c>
      <c r="E258" s="5">
        <v>266.60000000000002</v>
      </c>
      <c r="F258" s="5">
        <v>284.5</v>
      </c>
      <c r="G258" s="6">
        <v>45439</v>
      </c>
      <c r="H258" s="5"/>
      <c r="I258" s="5"/>
      <c r="J258" s="5">
        <f t="shared" si="25"/>
        <v>17.899999999999977</v>
      </c>
      <c r="K258" s="8" t="b">
        <f t="shared" si="26"/>
        <v>1</v>
      </c>
    </row>
    <row r="259" spans="1:11">
      <c r="A259" s="5">
        <v>130</v>
      </c>
      <c r="B259" s="6">
        <v>45441</v>
      </c>
      <c r="C259" s="7">
        <v>1</v>
      </c>
      <c r="D259" s="5">
        <v>7.56</v>
      </c>
      <c r="E259" s="5">
        <v>284.5</v>
      </c>
      <c r="F259" s="5">
        <v>299.10000000000002</v>
      </c>
      <c r="G259" s="6">
        <v>45441</v>
      </c>
      <c r="H259" s="5"/>
      <c r="I259" s="5"/>
      <c r="J259" s="5">
        <f t="shared" si="25"/>
        <v>14.600000000000023</v>
      </c>
      <c r="K259" s="8" t="b">
        <f t="shared" si="26"/>
        <v>1</v>
      </c>
    </row>
    <row r="260" spans="1:11">
      <c r="A260" s="5">
        <v>130</v>
      </c>
      <c r="B260" s="6">
        <v>45442</v>
      </c>
      <c r="C260" s="7">
        <v>0.7</v>
      </c>
      <c r="D260" s="5">
        <v>10.37</v>
      </c>
      <c r="E260" s="5">
        <v>299.10000000000002</v>
      </c>
      <c r="F260" s="5">
        <v>319.39999999999998</v>
      </c>
      <c r="G260" s="6">
        <v>45442</v>
      </c>
      <c r="H260" s="5"/>
      <c r="I260" s="5"/>
      <c r="J260" s="5">
        <f t="shared" si="25"/>
        <v>20.299999999999955</v>
      </c>
      <c r="K260" s="8" t="b">
        <f t="shared" si="26"/>
        <v>1</v>
      </c>
    </row>
    <row r="261" spans="1:11">
      <c r="A261" s="5">
        <v>130</v>
      </c>
      <c r="B261" s="6">
        <v>45443</v>
      </c>
      <c r="C261" s="7">
        <v>0.7</v>
      </c>
      <c r="D261" s="5">
        <v>10.37</v>
      </c>
      <c r="E261" s="5">
        <v>319.39999999999998</v>
      </c>
      <c r="F261" s="5">
        <v>339.9</v>
      </c>
      <c r="G261" s="6">
        <v>45443</v>
      </c>
      <c r="H261" s="5"/>
      <c r="I261" s="5"/>
      <c r="J261" s="5">
        <f t="shared" si="25"/>
        <v>20.5</v>
      </c>
      <c r="K261" s="8" t="b">
        <f t="shared" si="26"/>
        <v>1</v>
      </c>
    </row>
    <row r="262" spans="1:11">
      <c r="A262" s="5">
        <v>130</v>
      </c>
      <c r="B262" s="6">
        <v>45445</v>
      </c>
      <c r="C262" s="7">
        <v>1</v>
      </c>
      <c r="D262" s="5">
        <v>7.28</v>
      </c>
      <c r="E262" s="5">
        <v>339.9</v>
      </c>
      <c r="F262" s="5">
        <v>354.6</v>
      </c>
      <c r="G262" s="6">
        <v>45445</v>
      </c>
      <c r="H262" s="5"/>
      <c r="I262" s="5"/>
      <c r="J262" s="5">
        <f t="shared" si="25"/>
        <v>14.700000000000045</v>
      </c>
      <c r="K262" s="8" t="b">
        <f t="shared" si="26"/>
        <v>1</v>
      </c>
    </row>
    <row r="263" spans="1:11">
      <c r="A263" s="5">
        <v>130</v>
      </c>
      <c r="B263" s="6">
        <v>45447</v>
      </c>
      <c r="C263" s="7">
        <v>1</v>
      </c>
      <c r="D263" s="5">
        <v>7.28</v>
      </c>
      <c r="E263" s="5">
        <v>354.6</v>
      </c>
      <c r="F263" s="5">
        <v>369.2</v>
      </c>
      <c r="G263" s="6">
        <v>45447</v>
      </c>
      <c r="H263" s="5"/>
      <c r="I263" s="5"/>
      <c r="J263" s="5">
        <f t="shared" si="25"/>
        <v>14.599999999999966</v>
      </c>
      <c r="K263" s="8" t="b">
        <f t="shared" si="26"/>
        <v>1</v>
      </c>
    </row>
    <row r="264" spans="1:11">
      <c r="A264" s="5">
        <v>130</v>
      </c>
      <c r="B264" s="6">
        <v>45449</v>
      </c>
      <c r="C264" s="7">
        <v>1</v>
      </c>
      <c r="D264" s="5">
        <v>7.28</v>
      </c>
      <c r="E264" s="5">
        <v>369.2</v>
      </c>
      <c r="F264" s="5">
        <v>383.7</v>
      </c>
      <c r="G264" s="6">
        <v>45449</v>
      </c>
      <c r="H264" s="5"/>
      <c r="I264" s="5"/>
      <c r="J264" s="5">
        <f t="shared" si="25"/>
        <v>14.5</v>
      </c>
      <c r="K264" s="8" t="b">
        <f t="shared" si="26"/>
        <v>1</v>
      </c>
    </row>
    <row r="265" spans="1:11">
      <c r="A265" s="5">
        <v>130</v>
      </c>
      <c r="B265" s="6">
        <v>45451</v>
      </c>
      <c r="C265" s="7">
        <v>1</v>
      </c>
      <c r="D265" s="5">
        <v>7.28</v>
      </c>
      <c r="E265" s="5">
        <v>383.7</v>
      </c>
      <c r="F265" s="5">
        <v>398.2</v>
      </c>
      <c r="G265" s="6">
        <v>45450</v>
      </c>
      <c r="H265" s="5"/>
      <c r="I265" s="5"/>
      <c r="J265" s="5">
        <f t="shared" si="25"/>
        <v>14.5</v>
      </c>
      <c r="K265" s="8" t="b">
        <f t="shared" si="26"/>
        <v>1</v>
      </c>
    </row>
    <row r="266" spans="1:11">
      <c r="A266" s="5">
        <v>130</v>
      </c>
      <c r="B266" s="6">
        <v>45453</v>
      </c>
      <c r="C266" s="7">
        <v>1</v>
      </c>
      <c r="D266" s="5">
        <v>7.28</v>
      </c>
      <c r="E266" s="5">
        <v>398.2</v>
      </c>
      <c r="F266" s="5">
        <v>413</v>
      </c>
      <c r="G266" s="6">
        <v>45453</v>
      </c>
      <c r="H266" s="5"/>
      <c r="I266" s="5"/>
      <c r="J266" s="5">
        <f t="shared" si="25"/>
        <v>14.800000000000011</v>
      </c>
      <c r="K266" s="8" t="b">
        <f t="shared" si="26"/>
        <v>1</v>
      </c>
    </row>
    <row r="267" spans="1:11">
      <c r="A267" s="5">
        <v>130</v>
      </c>
      <c r="B267" s="6">
        <v>45455</v>
      </c>
      <c r="C267" s="7">
        <v>0.9</v>
      </c>
      <c r="D267" s="5">
        <v>8.09</v>
      </c>
      <c r="E267" s="5">
        <v>413</v>
      </c>
      <c r="F267" s="5">
        <v>429.3</v>
      </c>
      <c r="G267" s="6">
        <v>45455</v>
      </c>
      <c r="H267" s="5"/>
      <c r="I267" s="5"/>
      <c r="J267" s="5">
        <f t="shared" si="25"/>
        <v>16.300000000000011</v>
      </c>
      <c r="K267" s="8" t="b">
        <f t="shared" si="26"/>
        <v>1</v>
      </c>
    </row>
    <row r="268" spans="1:11">
      <c r="A268" s="5">
        <v>130</v>
      </c>
      <c r="B268" s="6">
        <v>45456</v>
      </c>
      <c r="C268" s="7">
        <v>1</v>
      </c>
      <c r="D268" s="5">
        <v>7.28</v>
      </c>
      <c r="E268" s="5">
        <v>429.3</v>
      </c>
      <c r="F268" s="5">
        <v>444.9</v>
      </c>
      <c r="G268" s="6">
        <v>45456</v>
      </c>
      <c r="H268" s="5"/>
      <c r="I268" s="5"/>
      <c r="J268" s="5">
        <f t="shared" si="25"/>
        <v>15.599999999999966</v>
      </c>
      <c r="K268" s="8" t="b">
        <f t="shared" si="26"/>
        <v>1</v>
      </c>
    </row>
    <row r="269" spans="1:11">
      <c r="A269" s="5">
        <v>130</v>
      </c>
      <c r="B269" s="6">
        <v>45458</v>
      </c>
      <c r="C269" s="7">
        <v>0.9</v>
      </c>
      <c r="D269" s="5">
        <v>8.09</v>
      </c>
      <c r="E269" s="5">
        <v>444.9</v>
      </c>
      <c r="F269" s="5">
        <v>460.9</v>
      </c>
      <c r="G269" s="6">
        <v>45458</v>
      </c>
      <c r="H269" s="5"/>
      <c r="I269" s="5"/>
      <c r="J269" s="5">
        <f t="shared" ref="J269:J279" si="27">F269-E269</f>
        <v>16</v>
      </c>
      <c r="K269" s="8" t="b">
        <f t="shared" ref="K269:K279" si="28">E269=F268</f>
        <v>1</v>
      </c>
    </row>
    <row r="270" spans="1:11">
      <c r="A270" s="5">
        <v>130</v>
      </c>
      <c r="B270" s="6">
        <v>45460</v>
      </c>
      <c r="C270" s="7">
        <v>0.8</v>
      </c>
      <c r="D270" s="5">
        <v>9.01</v>
      </c>
      <c r="E270" s="5">
        <v>460.9</v>
      </c>
      <c r="F270" s="5">
        <v>478.8</v>
      </c>
      <c r="G270" s="6">
        <v>45460</v>
      </c>
      <c r="H270" s="5"/>
      <c r="I270" s="5"/>
      <c r="J270" s="5">
        <f t="shared" si="27"/>
        <v>17.900000000000034</v>
      </c>
      <c r="K270" s="8" t="b">
        <f t="shared" si="28"/>
        <v>1</v>
      </c>
    </row>
    <row r="271" spans="1:11">
      <c r="A271" s="5">
        <v>130</v>
      </c>
      <c r="B271" s="6">
        <v>45462</v>
      </c>
      <c r="C271" s="7">
        <v>1</v>
      </c>
      <c r="D271" s="5">
        <v>7.28</v>
      </c>
      <c r="E271" s="5">
        <v>478.8</v>
      </c>
      <c r="F271" s="5">
        <v>493.2</v>
      </c>
      <c r="G271" s="6">
        <v>45462</v>
      </c>
      <c r="H271" s="5"/>
      <c r="I271" s="5"/>
      <c r="J271" s="5">
        <f t="shared" si="27"/>
        <v>14.399999999999977</v>
      </c>
      <c r="K271" s="8" t="b">
        <f t="shared" si="28"/>
        <v>1</v>
      </c>
    </row>
    <row r="272" spans="1:11">
      <c r="A272" s="5">
        <v>130</v>
      </c>
      <c r="B272" s="6">
        <v>45463</v>
      </c>
      <c r="C272" s="7">
        <v>1</v>
      </c>
      <c r="D272" s="5">
        <v>7.28</v>
      </c>
      <c r="E272" s="5">
        <v>493.2</v>
      </c>
      <c r="F272" s="5">
        <v>507.5</v>
      </c>
      <c r="G272" s="6">
        <v>45463</v>
      </c>
      <c r="H272" s="5"/>
      <c r="I272" s="5"/>
      <c r="J272" s="5">
        <f t="shared" si="27"/>
        <v>14.300000000000011</v>
      </c>
      <c r="K272" s="8" t="b">
        <f t="shared" si="28"/>
        <v>1</v>
      </c>
    </row>
    <row r="273" spans="1:11">
      <c r="A273" s="5">
        <v>130</v>
      </c>
      <c r="B273" s="6">
        <v>45465</v>
      </c>
      <c r="C273" s="7">
        <v>0.75</v>
      </c>
      <c r="D273" s="5">
        <v>9.6999999999999993</v>
      </c>
      <c r="E273" s="5">
        <v>507.5</v>
      </c>
      <c r="F273" s="5">
        <v>526.4</v>
      </c>
      <c r="G273" s="6">
        <v>45465</v>
      </c>
      <c r="H273" s="5"/>
      <c r="I273" s="5"/>
      <c r="J273" s="5">
        <f t="shared" si="27"/>
        <v>18.899999999999977</v>
      </c>
      <c r="K273" s="8" t="b">
        <f t="shared" si="28"/>
        <v>1</v>
      </c>
    </row>
    <row r="274" spans="1:11">
      <c r="A274" s="5">
        <v>130</v>
      </c>
      <c r="B274" s="6">
        <v>45467</v>
      </c>
      <c r="C274" s="7">
        <v>0.7</v>
      </c>
      <c r="D274" s="5">
        <v>10.4</v>
      </c>
      <c r="E274" s="5">
        <v>526.4</v>
      </c>
      <c r="F274" s="5">
        <v>546.70000000000005</v>
      </c>
      <c r="G274" s="6">
        <v>45467</v>
      </c>
      <c r="H274" s="5"/>
      <c r="I274" s="5"/>
      <c r="J274" s="5">
        <f t="shared" si="27"/>
        <v>20.300000000000068</v>
      </c>
      <c r="K274" s="8" t="b">
        <f t="shared" si="28"/>
        <v>1</v>
      </c>
    </row>
    <row r="275" spans="1:11">
      <c r="A275" s="5">
        <v>130</v>
      </c>
      <c r="B275" s="6">
        <v>45469</v>
      </c>
      <c r="C275" s="7">
        <v>0.75</v>
      </c>
      <c r="D275" s="5">
        <v>9.6999999999999993</v>
      </c>
      <c r="E275" s="5">
        <v>546.70000000000005</v>
      </c>
      <c r="F275" s="5">
        <v>565.70000000000005</v>
      </c>
      <c r="G275" s="6">
        <v>45469</v>
      </c>
      <c r="H275" s="5"/>
      <c r="I275" s="5"/>
      <c r="J275" s="5">
        <f t="shared" si="27"/>
        <v>19</v>
      </c>
      <c r="K275" s="8" t="b">
        <f t="shared" si="28"/>
        <v>1</v>
      </c>
    </row>
    <row r="276" spans="1:11">
      <c r="A276" s="5">
        <v>130</v>
      </c>
      <c r="B276" s="6">
        <v>45471</v>
      </c>
      <c r="C276" s="7">
        <v>0.75</v>
      </c>
      <c r="D276" s="5">
        <v>9.6999999999999993</v>
      </c>
      <c r="E276" s="5">
        <v>565.70000000000005</v>
      </c>
      <c r="F276" s="5">
        <v>584.5</v>
      </c>
      <c r="G276" s="6">
        <v>45471</v>
      </c>
      <c r="H276" s="5"/>
      <c r="I276" s="5"/>
      <c r="J276" s="5">
        <f t="shared" si="27"/>
        <v>18.799999999999955</v>
      </c>
      <c r="K276" s="8" t="b">
        <f t="shared" si="28"/>
        <v>1</v>
      </c>
    </row>
    <row r="277" spans="1:11">
      <c r="A277" s="5">
        <v>130</v>
      </c>
      <c r="B277" s="6">
        <v>45473</v>
      </c>
      <c r="C277" s="7">
        <v>0.75</v>
      </c>
      <c r="D277" s="5">
        <v>9.6999999999999993</v>
      </c>
      <c r="E277" s="5">
        <v>584.5</v>
      </c>
      <c r="F277" s="5">
        <v>603.5</v>
      </c>
      <c r="G277" s="6">
        <v>45473</v>
      </c>
      <c r="H277" s="5"/>
      <c r="I277" s="5"/>
      <c r="J277" s="5">
        <f t="shared" si="27"/>
        <v>19</v>
      </c>
      <c r="K277" s="8" t="b">
        <f t="shared" si="28"/>
        <v>1</v>
      </c>
    </row>
    <row r="278" spans="1:11">
      <c r="A278" s="5">
        <v>130</v>
      </c>
      <c r="B278" s="6">
        <v>45475</v>
      </c>
      <c r="C278" s="7">
        <v>0.75</v>
      </c>
      <c r="D278" s="5">
        <v>9.68</v>
      </c>
      <c r="E278" s="5">
        <v>603.5</v>
      </c>
      <c r="F278" s="5">
        <v>622.5</v>
      </c>
      <c r="G278" s="6">
        <v>45475</v>
      </c>
      <c r="H278" s="5"/>
      <c r="I278" s="5"/>
      <c r="J278" s="5">
        <f t="shared" si="27"/>
        <v>19</v>
      </c>
      <c r="K278" s="8" t="b">
        <f t="shared" si="28"/>
        <v>1</v>
      </c>
    </row>
    <row r="279" spans="1:11">
      <c r="A279" s="5">
        <v>130</v>
      </c>
      <c r="B279" s="6">
        <v>45477</v>
      </c>
      <c r="C279" s="7">
        <v>0.75</v>
      </c>
      <c r="D279" s="5">
        <v>9.68</v>
      </c>
      <c r="E279" s="5">
        <v>622.5</v>
      </c>
      <c r="F279" s="5">
        <v>641.5</v>
      </c>
      <c r="G279" s="6">
        <v>45477</v>
      </c>
      <c r="H279" s="5"/>
      <c r="I279" s="5"/>
      <c r="J279" s="5">
        <f t="shared" si="27"/>
        <v>19</v>
      </c>
      <c r="K279" s="8" t="b">
        <f t="shared" si="28"/>
        <v>1</v>
      </c>
    </row>
    <row r="280" spans="1:11">
      <c r="A280" s="5">
        <v>130</v>
      </c>
      <c r="B280" s="6">
        <v>45479</v>
      </c>
      <c r="C280" s="7">
        <v>0.75</v>
      </c>
      <c r="D280" s="5">
        <v>9.68</v>
      </c>
      <c r="E280" s="5">
        <v>641.5</v>
      </c>
      <c r="F280" s="5">
        <v>660.5</v>
      </c>
      <c r="G280" s="6">
        <v>45479</v>
      </c>
      <c r="H280" s="5"/>
      <c r="I280" s="5"/>
      <c r="J280" s="5">
        <f t="shared" ref="J280:J324" si="29">F280-E280</f>
        <v>19</v>
      </c>
      <c r="K280" s="8" t="b">
        <f t="shared" ref="K280:K324" si="30">E280=F279</f>
        <v>1</v>
      </c>
    </row>
    <row r="281" spans="1:11">
      <c r="A281" s="5">
        <v>130</v>
      </c>
      <c r="B281" s="6">
        <v>45481</v>
      </c>
      <c r="C281" s="7">
        <v>0.75</v>
      </c>
      <c r="D281" s="5">
        <v>9.68</v>
      </c>
      <c r="E281" s="5">
        <v>660.5</v>
      </c>
      <c r="F281" s="5">
        <v>679.5</v>
      </c>
      <c r="G281" s="6">
        <v>45481</v>
      </c>
      <c r="H281" s="5"/>
      <c r="I281" s="5"/>
      <c r="J281" s="5">
        <f t="shared" si="29"/>
        <v>19</v>
      </c>
      <c r="K281" s="8" t="b">
        <f t="shared" si="30"/>
        <v>1</v>
      </c>
    </row>
    <row r="282" spans="1:11">
      <c r="A282" s="5">
        <v>130</v>
      </c>
      <c r="B282" s="6">
        <v>45482</v>
      </c>
      <c r="C282" s="7">
        <v>1</v>
      </c>
      <c r="D282" s="5">
        <v>7.56</v>
      </c>
      <c r="E282" s="5">
        <v>679.5</v>
      </c>
      <c r="F282" s="5">
        <v>694</v>
      </c>
      <c r="G282" s="6">
        <v>45482</v>
      </c>
      <c r="H282" s="5"/>
      <c r="I282" s="5"/>
      <c r="J282" s="5">
        <f t="shared" si="29"/>
        <v>14.5</v>
      </c>
      <c r="K282" s="8" t="b">
        <f t="shared" si="30"/>
        <v>1</v>
      </c>
    </row>
    <row r="283" spans="1:11">
      <c r="A283" s="5">
        <v>130</v>
      </c>
      <c r="B283" s="6">
        <v>45483</v>
      </c>
      <c r="C283" s="7">
        <v>1</v>
      </c>
      <c r="D283" s="5">
        <v>7.56</v>
      </c>
      <c r="E283" s="5">
        <v>694</v>
      </c>
      <c r="F283" s="5">
        <v>708.5</v>
      </c>
      <c r="G283" s="6">
        <v>45483</v>
      </c>
      <c r="H283" s="5"/>
      <c r="I283" s="5"/>
      <c r="J283" s="5">
        <f t="shared" si="29"/>
        <v>14.5</v>
      </c>
      <c r="K283" s="8" t="b">
        <f t="shared" si="30"/>
        <v>1</v>
      </c>
    </row>
    <row r="284" spans="1:11">
      <c r="A284" s="5">
        <v>130</v>
      </c>
      <c r="B284" s="6">
        <v>45485</v>
      </c>
      <c r="C284" s="7">
        <v>0.7</v>
      </c>
      <c r="D284" s="5">
        <v>10.37</v>
      </c>
      <c r="E284" s="5">
        <v>708.5</v>
      </c>
      <c r="F284" s="5">
        <v>729</v>
      </c>
      <c r="G284" s="6">
        <v>45485</v>
      </c>
      <c r="H284" s="5"/>
      <c r="I284" s="5"/>
      <c r="J284" s="5">
        <f t="shared" si="29"/>
        <v>20.5</v>
      </c>
      <c r="K284" s="8" t="b">
        <f t="shared" si="30"/>
        <v>1</v>
      </c>
    </row>
    <row r="285" spans="1:11">
      <c r="A285" s="5">
        <v>130</v>
      </c>
      <c r="B285" s="6">
        <v>45486</v>
      </c>
      <c r="C285" s="7">
        <v>1</v>
      </c>
      <c r="D285" s="5">
        <v>7.56</v>
      </c>
      <c r="E285" s="5">
        <v>729</v>
      </c>
      <c r="F285" s="5">
        <v>743.4</v>
      </c>
      <c r="G285" s="6">
        <v>45486</v>
      </c>
      <c r="H285" s="5"/>
      <c r="I285" s="5"/>
      <c r="J285" s="5">
        <f t="shared" si="29"/>
        <v>14.399999999999977</v>
      </c>
      <c r="K285" s="8" t="b">
        <f t="shared" si="30"/>
        <v>1</v>
      </c>
    </row>
    <row r="286" spans="1:11">
      <c r="A286" s="5">
        <v>130</v>
      </c>
      <c r="B286" s="6">
        <v>45488</v>
      </c>
      <c r="C286" s="7">
        <v>0.7</v>
      </c>
      <c r="D286" s="5">
        <v>10.37</v>
      </c>
      <c r="E286" s="5">
        <v>743.4</v>
      </c>
      <c r="F286" s="5">
        <v>763.9</v>
      </c>
      <c r="G286" s="6">
        <v>45488</v>
      </c>
      <c r="H286" s="5"/>
      <c r="I286" s="5"/>
      <c r="J286" s="5">
        <f t="shared" si="29"/>
        <v>20.5</v>
      </c>
      <c r="K286" s="8" t="b">
        <f t="shared" si="30"/>
        <v>1</v>
      </c>
    </row>
    <row r="287" spans="1:11">
      <c r="A287" s="5">
        <v>130</v>
      </c>
      <c r="B287" s="6">
        <v>45490</v>
      </c>
      <c r="C287" s="7">
        <v>1</v>
      </c>
      <c r="D287" s="5">
        <v>7.56</v>
      </c>
      <c r="E287" s="5">
        <v>763.9</v>
      </c>
      <c r="F287" s="5">
        <v>778.3</v>
      </c>
      <c r="G287" s="6">
        <v>45490</v>
      </c>
      <c r="H287" s="5"/>
      <c r="I287" s="5"/>
      <c r="J287" s="5">
        <f t="shared" si="29"/>
        <v>14.399999999999977</v>
      </c>
      <c r="K287" s="8" t="b">
        <f t="shared" si="30"/>
        <v>1</v>
      </c>
    </row>
    <row r="288" spans="1:11">
      <c r="A288" s="5">
        <v>130</v>
      </c>
      <c r="B288" s="6">
        <v>45492</v>
      </c>
      <c r="C288" s="7">
        <v>1</v>
      </c>
      <c r="D288" s="5">
        <v>7.56</v>
      </c>
      <c r="E288" s="5">
        <v>778.3</v>
      </c>
      <c r="F288" s="5">
        <v>792.7</v>
      </c>
      <c r="G288" s="6">
        <v>45492</v>
      </c>
      <c r="H288" s="5"/>
      <c r="I288" s="5"/>
      <c r="J288" s="5">
        <f t="shared" si="29"/>
        <v>14.400000000000091</v>
      </c>
      <c r="K288" s="8" t="b">
        <f t="shared" si="30"/>
        <v>1</v>
      </c>
    </row>
    <row r="289" spans="1:11">
      <c r="A289" s="5">
        <v>130</v>
      </c>
      <c r="B289" s="6">
        <v>45494</v>
      </c>
      <c r="C289" s="7">
        <v>0.7</v>
      </c>
      <c r="D289" s="5">
        <v>10.37</v>
      </c>
      <c r="E289" s="5">
        <v>792.7</v>
      </c>
      <c r="F289" s="5">
        <v>813.2</v>
      </c>
      <c r="G289" s="6">
        <v>45494</v>
      </c>
      <c r="H289" s="5"/>
      <c r="I289" s="5"/>
      <c r="J289" s="5">
        <f t="shared" si="29"/>
        <v>20.5</v>
      </c>
      <c r="K289" s="8" t="b">
        <f t="shared" si="30"/>
        <v>1</v>
      </c>
    </row>
    <row r="290" spans="1:11">
      <c r="A290" s="5">
        <v>130</v>
      </c>
      <c r="B290" s="6">
        <v>45496</v>
      </c>
      <c r="C290" s="7">
        <v>1</v>
      </c>
      <c r="D290" s="5">
        <v>7.56</v>
      </c>
      <c r="E290" s="5">
        <v>813.2</v>
      </c>
      <c r="F290" s="5">
        <v>827.6</v>
      </c>
      <c r="G290" s="6">
        <v>45496</v>
      </c>
      <c r="H290" s="5"/>
      <c r="I290" s="5"/>
      <c r="J290" s="5">
        <f t="shared" si="29"/>
        <v>14.399999999999977</v>
      </c>
      <c r="K290" s="8" t="b">
        <f t="shared" si="30"/>
        <v>1</v>
      </c>
    </row>
    <row r="291" spans="1:11">
      <c r="A291" s="5">
        <v>130</v>
      </c>
      <c r="B291" s="6">
        <v>45498</v>
      </c>
      <c r="C291" s="7">
        <v>1</v>
      </c>
      <c r="D291" s="5">
        <v>7.56</v>
      </c>
      <c r="E291" s="5">
        <v>827.6</v>
      </c>
      <c r="F291" s="5">
        <v>842</v>
      </c>
      <c r="G291" s="6">
        <v>45498</v>
      </c>
      <c r="H291" s="5"/>
      <c r="I291" s="5"/>
      <c r="J291" s="5">
        <f t="shared" si="29"/>
        <v>14.399999999999977</v>
      </c>
      <c r="K291" s="8" t="b">
        <f t="shared" si="30"/>
        <v>1</v>
      </c>
    </row>
    <row r="292" spans="1:11">
      <c r="A292" s="5">
        <v>130</v>
      </c>
      <c r="B292" s="6">
        <v>45500</v>
      </c>
      <c r="C292" s="7">
        <v>0.8</v>
      </c>
      <c r="D292" s="5">
        <v>9.08</v>
      </c>
      <c r="E292" s="5">
        <v>842</v>
      </c>
      <c r="F292" s="5">
        <v>859.8</v>
      </c>
      <c r="G292" s="6">
        <v>45500</v>
      </c>
      <c r="H292" s="5"/>
      <c r="I292" s="5"/>
      <c r="J292" s="5">
        <f t="shared" si="29"/>
        <v>17.799999999999955</v>
      </c>
      <c r="K292" s="8" t="b">
        <f t="shared" si="30"/>
        <v>1</v>
      </c>
    </row>
    <row r="293" spans="1:11">
      <c r="A293" s="5">
        <v>130</v>
      </c>
      <c r="B293" s="6">
        <v>45502</v>
      </c>
      <c r="C293" s="7">
        <v>0.65</v>
      </c>
      <c r="D293" s="5">
        <v>10.55</v>
      </c>
      <c r="E293" s="5">
        <v>859.8</v>
      </c>
      <c r="F293" s="5">
        <v>881.7</v>
      </c>
      <c r="G293" s="6">
        <v>45502</v>
      </c>
      <c r="H293" s="5"/>
      <c r="I293" s="5"/>
      <c r="J293" s="5">
        <f t="shared" si="29"/>
        <v>21.900000000000091</v>
      </c>
      <c r="K293" s="8" t="b">
        <f t="shared" si="30"/>
        <v>1</v>
      </c>
    </row>
    <row r="294" spans="1:11">
      <c r="A294" s="5">
        <v>130</v>
      </c>
      <c r="B294" s="6">
        <v>45504</v>
      </c>
      <c r="C294" s="7">
        <v>0.75</v>
      </c>
      <c r="D294" s="5">
        <v>9.68</v>
      </c>
      <c r="E294" s="5">
        <v>881.7</v>
      </c>
      <c r="F294" s="5">
        <v>900.8</v>
      </c>
      <c r="G294" s="6">
        <v>45504</v>
      </c>
      <c r="H294" s="5"/>
      <c r="I294" s="5"/>
      <c r="J294" s="5">
        <f t="shared" si="29"/>
        <v>19.099999999999909</v>
      </c>
      <c r="K294" s="8" t="b">
        <f t="shared" si="30"/>
        <v>1</v>
      </c>
    </row>
    <row r="295" spans="1:11">
      <c r="A295" s="5">
        <v>130</v>
      </c>
      <c r="B295" s="6">
        <v>45506</v>
      </c>
      <c r="C295" s="7">
        <v>1</v>
      </c>
      <c r="D295" s="5">
        <v>7.56</v>
      </c>
      <c r="E295" s="5">
        <v>900.8</v>
      </c>
      <c r="F295" s="5">
        <v>915.2</v>
      </c>
      <c r="G295" s="6">
        <v>45506</v>
      </c>
      <c r="H295" s="5"/>
      <c r="I295" s="5"/>
      <c r="J295" s="5">
        <f t="shared" si="29"/>
        <v>14.400000000000091</v>
      </c>
      <c r="K295" s="8" t="b">
        <f t="shared" si="30"/>
        <v>1</v>
      </c>
    </row>
    <row r="296" spans="1:11">
      <c r="A296" s="5">
        <v>130</v>
      </c>
      <c r="B296" s="6">
        <v>45508</v>
      </c>
      <c r="C296" s="7">
        <v>1</v>
      </c>
      <c r="D296" s="5">
        <v>7.56</v>
      </c>
      <c r="E296" s="5">
        <v>915.2</v>
      </c>
      <c r="F296" s="5">
        <v>929.6</v>
      </c>
      <c r="G296" s="6">
        <v>45508</v>
      </c>
      <c r="H296" s="5"/>
      <c r="I296" s="5"/>
      <c r="J296" s="5">
        <f t="shared" si="29"/>
        <v>14.399999999999977</v>
      </c>
      <c r="K296" s="8" t="b">
        <f t="shared" si="30"/>
        <v>1</v>
      </c>
    </row>
    <row r="297" spans="1:11">
      <c r="A297" s="5">
        <v>130</v>
      </c>
      <c r="B297" s="6">
        <v>45520</v>
      </c>
      <c r="C297" s="7">
        <v>1</v>
      </c>
      <c r="D297" s="5">
        <v>7.56</v>
      </c>
      <c r="E297" s="5">
        <v>929.6</v>
      </c>
      <c r="F297" s="5">
        <v>933.2</v>
      </c>
      <c r="G297" s="6">
        <v>45520</v>
      </c>
      <c r="H297" s="5"/>
      <c r="I297" s="5"/>
      <c r="J297" s="5">
        <f t="shared" si="29"/>
        <v>3.6000000000000227</v>
      </c>
      <c r="K297" s="8" t="b">
        <f t="shared" si="30"/>
        <v>1</v>
      </c>
    </row>
    <row r="298" spans="1:11">
      <c r="A298" s="5">
        <v>130</v>
      </c>
      <c r="B298" s="6">
        <v>45523</v>
      </c>
      <c r="C298" s="7">
        <v>1</v>
      </c>
      <c r="D298" s="5">
        <v>7.56</v>
      </c>
      <c r="E298" s="5">
        <v>933.2</v>
      </c>
      <c r="F298" s="5">
        <v>940.8</v>
      </c>
      <c r="G298" s="6">
        <v>45523</v>
      </c>
      <c r="H298" s="5"/>
      <c r="I298" s="5"/>
      <c r="J298" s="5">
        <f t="shared" si="29"/>
        <v>7.5999999999999091</v>
      </c>
      <c r="K298" s="8" t="b">
        <f t="shared" si="30"/>
        <v>1</v>
      </c>
    </row>
    <row r="299" spans="1:11">
      <c r="A299" s="5">
        <v>130</v>
      </c>
      <c r="B299" s="6">
        <v>45524</v>
      </c>
      <c r="C299" s="7">
        <v>1</v>
      </c>
      <c r="D299" s="5">
        <v>7.56</v>
      </c>
      <c r="E299" s="5">
        <v>940.2</v>
      </c>
      <c r="F299" s="5">
        <v>943.6</v>
      </c>
      <c r="G299" s="6">
        <v>45524</v>
      </c>
      <c r="H299" s="5"/>
      <c r="I299" s="5"/>
      <c r="J299" s="5">
        <f t="shared" si="29"/>
        <v>3.3999999999999773</v>
      </c>
      <c r="K299" s="8" t="b">
        <f t="shared" si="30"/>
        <v>0</v>
      </c>
    </row>
    <row r="300" spans="1:11">
      <c r="A300" s="5">
        <v>130</v>
      </c>
      <c r="B300" s="6">
        <v>45546</v>
      </c>
      <c r="C300" s="7">
        <v>0.6</v>
      </c>
      <c r="D300" s="5">
        <v>9.6</v>
      </c>
      <c r="E300" s="5">
        <v>943.6</v>
      </c>
      <c r="F300" s="5">
        <v>953.2</v>
      </c>
      <c r="G300" s="6">
        <v>45546</v>
      </c>
      <c r="H300" s="5"/>
      <c r="I300" s="5"/>
      <c r="J300" s="5">
        <f t="shared" si="29"/>
        <v>9.6000000000000227</v>
      </c>
      <c r="K300" s="8" t="b">
        <f t="shared" si="30"/>
        <v>1</v>
      </c>
    </row>
    <row r="301" spans="1:11">
      <c r="A301" s="5">
        <v>130</v>
      </c>
      <c r="B301" s="6"/>
      <c r="C301" s="7"/>
      <c r="D301" s="5"/>
      <c r="E301" s="5"/>
      <c r="F301" s="5"/>
      <c r="G301" s="6"/>
      <c r="H301" s="5"/>
      <c r="I301" s="5"/>
      <c r="J301" s="5">
        <f t="shared" si="29"/>
        <v>0</v>
      </c>
      <c r="K301" s="8" t="b">
        <f t="shared" si="30"/>
        <v>0</v>
      </c>
    </row>
    <row r="302" spans="1:11">
      <c r="A302" s="5">
        <v>130</v>
      </c>
      <c r="B302" s="6"/>
      <c r="C302" s="7"/>
      <c r="D302" s="5"/>
      <c r="E302" s="5"/>
      <c r="F302" s="5"/>
      <c r="G302" s="6"/>
      <c r="H302" s="5"/>
      <c r="I302" s="5"/>
      <c r="J302" s="5">
        <f t="shared" si="29"/>
        <v>0</v>
      </c>
      <c r="K302" s="8" t="b">
        <f t="shared" si="30"/>
        <v>1</v>
      </c>
    </row>
    <row r="303" spans="1:11">
      <c r="A303" s="5">
        <v>130</v>
      </c>
      <c r="B303" s="6"/>
      <c r="C303" s="7"/>
      <c r="D303" s="5"/>
      <c r="E303" s="5"/>
      <c r="F303" s="5"/>
      <c r="G303" s="6"/>
      <c r="H303" s="5"/>
      <c r="I303" s="5"/>
      <c r="J303" s="5">
        <f t="shared" si="29"/>
        <v>0</v>
      </c>
      <c r="K303" s="8" t="b">
        <f t="shared" si="30"/>
        <v>1</v>
      </c>
    </row>
    <row r="304" spans="1:11">
      <c r="A304" s="5">
        <v>130</v>
      </c>
      <c r="B304" s="6"/>
      <c r="C304" s="7"/>
      <c r="D304" s="5"/>
      <c r="E304" s="5"/>
      <c r="F304" s="5"/>
      <c r="G304" s="6"/>
      <c r="H304" s="5"/>
      <c r="I304" s="5"/>
      <c r="J304" s="5">
        <f t="shared" si="29"/>
        <v>0</v>
      </c>
      <c r="K304" s="8" t="b">
        <f t="shared" si="30"/>
        <v>1</v>
      </c>
    </row>
    <row r="305" spans="1:11">
      <c r="A305" s="5">
        <v>130</v>
      </c>
      <c r="B305" s="6"/>
      <c r="C305" s="7"/>
      <c r="D305" s="5"/>
      <c r="E305" s="5"/>
      <c r="F305" s="5"/>
      <c r="G305" s="6"/>
      <c r="H305" s="5"/>
      <c r="I305" s="5"/>
      <c r="J305" s="5">
        <f t="shared" si="29"/>
        <v>0</v>
      </c>
      <c r="K305" s="8" t="b">
        <f t="shared" si="30"/>
        <v>1</v>
      </c>
    </row>
    <row r="306" spans="1:11">
      <c r="A306" s="5">
        <v>130</v>
      </c>
      <c r="B306" s="6"/>
      <c r="C306" s="7"/>
      <c r="D306" s="5"/>
      <c r="E306" s="5"/>
      <c r="F306" s="5"/>
      <c r="G306" s="6"/>
      <c r="H306" s="5"/>
      <c r="I306" s="5"/>
      <c r="J306" s="5">
        <f t="shared" si="29"/>
        <v>0</v>
      </c>
      <c r="K306" s="8" t="b">
        <f t="shared" si="30"/>
        <v>1</v>
      </c>
    </row>
    <row r="307" spans="1:11">
      <c r="A307" s="5">
        <v>130</v>
      </c>
      <c r="B307" s="6"/>
      <c r="C307" s="7"/>
      <c r="D307" s="5"/>
      <c r="E307" s="5"/>
      <c r="F307" s="5"/>
      <c r="G307" s="6"/>
      <c r="H307" s="5"/>
      <c r="I307" s="5"/>
      <c r="J307" s="5">
        <f t="shared" si="29"/>
        <v>0</v>
      </c>
      <c r="K307" s="8" t="b">
        <f t="shared" si="30"/>
        <v>1</v>
      </c>
    </row>
    <row r="308" spans="1:11">
      <c r="A308" s="5">
        <v>130</v>
      </c>
      <c r="B308" s="6"/>
      <c r="C308" s="7"/>
      <c r="D308" s="5"/>
      <c r="E308" s="5"/>
      <c r="F308" s="5"/>
      <c r="G308" s="6"/>
      <c r="H308" s="5"/>
      <c r="I308" s="5"/>
      <c r="J308" s="5">
        <f t="shared" si="29"/>
        <v>0</v>
      </c>
      <c r="K308" s="8" t="b">
        <f t="shared" si="30"/>
        <v>1</v>
      </c>
    </row>
    <row r="309" spans="1:11">
      <c r="A309" s="5">
        <v>130</v>
      </c>
      <c r="B309" s="6"/>
      <c r="C309" s="7"/>
      <c r="D309" s="5"/>
      <c r="E309" s="5"/>
      <c r="F309" s="5"/>
      <c r="G309" s="6"/>
      <c r="H309" s="5"/>
      <c r="I309" s="5"/>
      <c r="J309" s="5">
        <f t="shared" si="29"/>
        <v>0</v>
      </c>
      <c r="K309" s="8" t="b">
        <f t="shared" si="30"/>
        <v>1</v>
      </c>
    </row>
    <row r="310" spans="1:11">
      <c r="A310" s="5">
        <v>130</v>
      </c>
      <c r="B310" s="6"/>
      <c r="C310" s="7"/>
      <c r="D310" s="5"/>
      <c r="E310" s="5"/>
      <c r="F310" s="5"/>
      <c r="G310" s="6"/>
      <c r="H310" s="5"/>
      <c r="I310" s="5"/>
      <c r="J310" s="5">
        <f t="shared" si="29"/>
        <v>0</v>
      </c>
      <c r="K310" s="8" t="b">
        <f t="shared" si="30"/>
        <v>1</v>
      </c>
    </row>
    <row r="311" spans="1:11">
      <c r="A311" s="5">
        <v>130</v>
      </c>
      <c r="B311" s="6"/>
      <c r="C311" s="7"/>
      <c r="D311" s="5"/>
      <c r="E311" s="5"/>
      <c r="F311" s="5"/>
      <c r="G311" s="6"/>
      <c r="H311" s="5"/>
      <c r="I311" s="5"/>
      <c r="J311" s="5">
        <f t="shared" si="29"/>
        <v>0</v>
      </c>
      <c r="K311" s="8" t="b">
        <f t="shared" si="30"/>
        <v>1</v>
      </c>
    </row>
    <row r="312" spans="1:11">
      <c r="A312" s="5">
        <v>130</v>
      </c>
      <c r="B312" s="6"/>
      <c r="C312" s="7"/>
      <c r="D312" s="5"/>
      <c r="E312" s="5"/>
      <c r="F312" s="5"/>
      <c r="G312" s="6"/>
      <c r="H312" s="5"/>
      <c r="I312" s="5"/>
      <c r="J312" s="5">
        <f t="shared" si="29"/>
        <v>0</v>
      </c>
      <c r="K312" s="8" t="b">
        <f t="shared" si="30"/>
        <v>1</v>
      </c>
    </row>
    <row r="313" spans="1:11">
      <c r="A313" s="5">
        <v>130</v>
      </c>
      <c r="B313" s="6"/>
      <c r="C313" s="7"/>
      <c r="D313" s="5"/>
      <c r="E313" s="5"/>
      <c r="F313" s="5"/>
      <c r="G313" s="6"/>
      <c r="H313" s="5"/>
      <c r="I313" s="5"/>
      <c r="J313" s="5">
        <f t="shared" si="29"/>
        <v>0</v>
      </c>
      <c r="K313" s="8" t="b">
        <f t="shared" si="30"/>
        <v>1</v>
      </c>
    </row>
    <row r="314" spans="1:11">
      <c r="A314" s="5">
        <v>130</v>
      </c>
      <c r="B314" s="6"/>
      <c r="C314" s="7"/>
      <c r="D314" s="5"/>
      <c r="E314" s="5"/>
      <c r="F314" s="5"/>
      <c r="G314" s="6"/>
      <c r="H314" s="5"/>
      <c r="I314" s="5"/>
      <c r="J314" s="5">
        <f t="shared" si="29"/>
        <v>0</v>
      </c>
      <c r="K314" s="8" t="b">
        <f t="shared" si="30"/>
        <v>1</v>
      </c>
    </row>
    <row r="315" spans="1:11">
      <c r="A315" s="5">
        <v>130</v>
      </c>
      <c r="B315" s="6"/>
      <c r="C315" s="7"/>
      <c r="D315" s="5"/>
      <c r="E315" s="5"/>
      <c r="F315" s="5"/>
      <c r="G315" s="6"/>
      <c r="H315" s="5"/>
      <c r="I315" s="5"/>
      <c r="J315" s="5">
        <f t="shared" si="29"/>
        <v>0</v>
      </c>
      <c r="K315" s="8" t="b">
        <f t="shared" si="30"/>
        <v>1</v>
      </c>
    </row>
    <row r="316" spans="1:11">
      <c r="A316" s="5">
        <v>130</v>
      </c>
      <c r="B316" s="6"/>
      <c r="C316" s="7"/>
      <c r="D316" s="5"/>
      <c r="E316" s="5"/>
      <c r="F316" s="5"/>
      <c r="G316" s="6"/>
      <c r="H316" s="5"/>
      <c r="I316" s="5"/>
      <c r="J316" s="5">
        <f t="shared" si="29"/>
        <v>0</v>
      </c>
      <c r="K316" s="8" t="b">
        <f t="shared" si="30"/>
        <v>1</v>
      </c>
    </row>
    <row r="317" spans="1:11">
      <c r="A317" s="5">
        <v>130</v>
      </c>
      <c r="B317" s="6"/>
      <c r="C317" s="7"/>
      <c r="D317" s="5"/>
      <c r="E317" s="5"/>
      <c r="F317" s="5"/>
      <c r="G317" s="6"/>
      <c r="H317" s="5"/>
      <c r="I317" s="5"/>
      <c r="J317" s="5">
        <f t="shared" si="29"/>
        <v>0</v>
      </c>
      <c r="K317" s="8" t="b">
        <f t="shared" si="30"/>
        <v>1</v>
      </c>
    </row>
    <row r="318" spans="1:11">
      <c r="A318" s="5">
        <v>130</v>
      </c>
      <c r="B318" s="6"/>
      <c r="C318" s="7"/>
      <c r="D318" s="5"/>
      <c r="E318" s="5"/>
      <c r="F318" s="5"/>
      <c r="G318" s="6"/>
      <c r="H318" s="5"/>
      <c r="I318" s="5"/>
      <c r="J318" s="5">
        <f t="shared" si="29"/>
        <v>0</v>
      </c>
      <c r="K318" s="8" t="b">
        <f t="shared" si="30"/>
        <v>1</v>
      </c>
    </row>
    <row r="319" spans="1:11">
      <c r="A319" s="5">
        <v>130</v>
      </c>
      <c r="B319" s="6"/>
      <c r="C319" s="7"/>
      <c r="D319" s="5"/>
      <c r="E319" s="5"/>
      <c r="F319" s="5"/>
      <c r="G319" s="6"/>
      <c r="H319" s="5"/>
      <c r="I319" s="5"/>
      <c r="J319" s="5">
        <f t="shared" si="29"/>
        <v>0</v>
      </c>
      <c r="K319" s="8" t="b">
        <f t="shared" si="30"/>
        <v>1</v>
      </c>
    </row>
    <row r="320" spans="1:11">
      <c r="A320" s="5">
        <v>130</v>
      </c>
      <c r="B320" s="6"/>
      <c r="C320" s="7"/>
      <c r="D320" s="5"/>
      <c r="E320" s="5"/>
      <c r="F320" s="5"/>
      <c r="G320" s="6"/>
      <c r="H320" s="5"/>
      <c r="I320" s="5"/>
      <c r="J320" s="5">
        <f t="shared" si="29"/>
        <v>0</v>
      </c>
      <c r="K320" s="8" t="b">
        <f t="shared" si="30"/>
        <v>1</v>
      </c>
    </row>
    <row r="321" spans="1:11">
      <c r="A321" s="5">
        <v>130</v>
      </c>
      <c r="B321" s="6"/>
      <c r="C321" s="7"/>
      <c r="D321" s="5"/>
      <c r="E321" s="5"/>
      <c r="F321" s="5"/>
      <c r="G321" s="6"/>
      <c r="H321" s="5"/>
      <c r="I321" s="5"/>
      <c r="J321" s="5">
        <f t="shared" si="29"/>
        <v>0</v>
      </c>
      <c r="K321" s="8" t="b">
        <f t="shared" si="30"/>
        <v>1</v>
      </c>
    </row>
    <row r="322" spans="1:11">
      <c r="A322" s="5">
        <v>130</v>
      </c>
      <c r="B322" s="6"/>
      <c r="C322" s="7"/>
      <c r="D322" s="5"/>
      <c r="E322" s="5"/>
      <c r="F322" s="5"/>
      <c r="G322" s="6"/>
      <c r="H322" s="5"/>
      <c r="I322" s="5"/>
      <c r="J322" s="5">
        <f t="shared" si="29"/>
        <v>0</v>
      </c>
      <c r="K322" s="8" t="b">
        <f t="shared" si="30"/>
        <v>1</v>
      </c>
    </row>
    <row r="323" spans="1:11">
      <c r="A323" s="5">
        <v>130</v>
      </c>
      <c r="B323" s="6"/>
      <c r="C323" s="7"/>
      <c r="D323" s="5"/>
      <c r="E323" s="5"/>
      <c r="F323" s="5"/>
      <c r="G323" s="6"/>
      <c r="H323" s="5"/>
      <c r="I323" s="5"/>
      <c r="J323" s="5">
        <f t="shared" si="29"/>
        <v>0</v>
      </c>
      <c r="K323" s="8" t="b">
        <f t="shared" si="30"/>
        <v>1</v>
      </c>
    </row>
    <row r="324" spans="1:11">
      <c r="A324" s="5">
        <v>130</v>
      </c>
      <c r="B324" s="6"/>
      <c r="C324" s="7"/>
      <c r="D324" s="5"/>
      <c r="E324" s="5"/>
      <c r="F324" s="5"/>
      <c r="G324" s="6"/>
      <c r="H324" s="5"/>
      <c r="I324" s="5"/>
      <c r="J324" s="5">
        <f t="shared" si="29"/>
        <v>0</v>
      </c>
      <c r="K324" s="8" t="b">
        <f t="shared" si="30"/>
        <v>1</v>
      </c>
    </row>
  </sheetData>
  <autoFilter ref="A239:K324" xr:uid="{D28DFD52-DB98-4E45-B6F2-6244DCD88CFB}"/>
  <mergeCells count="15">
    <mergeCell ref="A233:K233"/>
    <mergeCell ref="A234:K234"/>
    <mergeCell ref="A236:K236"/>
    <mergeCell ref="A74:K74"/>
    <mergeCell ref="A1:K1"/>
    <mergeCell ref="A2:K2"/>
    <mergeCell ref="A4:K4"/>
    <mergeCell ref="A71:K71"/>
    <mergeCell ref="A72:K72"/>
    <mergeCell ref="A181:K181"/>
    <mergeCell ref="A182:K182"/>
    <mergeCell ref="A184:K184"/>
    <mergeCell ref="A155:K155"/>
    <mergeCell ref="A156:K156"/>
    <mergeCell ref="A158:K158"/>
  </mergeCells>
  <conditionalFormatting sqref="K1:K2 K4 K7:K69">
    <cfRule type="cellIs" dxfId="21" priority="3" operator="equal">
      <formula>TRUE</formula>
    </cfRule>
    <cfRule type="cellIs" dxfId="20" priority="4" operator="equal">
      <formula>FALSE</formula>
    </cfRule>
  </conditionalFormatting>
  <conditionalFormatting sqref="K71:K72 K74 K77:K156 K158 K161:K182 K184 K187:K234 K236 K239:K324">
    <cfRule type="cellIs" dxfId="19" priority="1" operator="equal">
      <formula>TRUE</formula>
    </cfRule>
    <cfRule type="cellIs" dxfId="18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8953-AABB-43FC-BD9C-0255F7277A11}">
  <sheetPr codeName="Planilha38"/>
  <dimension ref="A1:M181"/>
  <sheetViews>
    <sheetView topLeftCell="A153" workbookViewId="0">
      <selection activeCell="C179" sqref="C179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237" t="s">
        <v>366</v>
      </c>
      <c r="B1" s="238"/>
      <c r="C1" s="238"/>
      <c r="D1" s="238"/>
      <c r="E1" s="238"/>
      <c r="F1" s="238"/>
      <c r="G1" s="238"/>
      <c r="H1" s="238"/>
      <c r="I1" s="238"/>
      <c r="J1" s="238"/>
      <c r="K1" s="239"/>
    </row>
    <row r="2" spans="1:11" ht="26.25">
      <c r="A2" s="240" t="s">
        <v>336</v>
      </c>
      <c r="B2" s="241"/>
      <c r="C2" s="241"/>
      <c r="D2" s="241"/>
      <c r="E2" s="241"/>
      <c r="F2" s="241"/>
      <c r="G2" s="241"/>
      <c r="H2" s="241"/>
      <c r="I2" s="241"/>
      <c r="J2" s="241"/>
      <c r="K2" s="242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367</v>
      </c>
      <c r="B8" s="6">
        <v>45053</v>
      </c>
      <c r="C8" s="7">
        <v>0.6</v>
      </c>
      <c r="D8" s="5"/>
      <c r="E8" s="5">
        <v>22.5</v>
      </c>
      <c r="F8" s="5">
        <v>42.1</v>
      </c>
      <c r="G8" s="6">
        <v>45053</v>
      </c>
      <c r="H8" s="5" t="s">
        <v>368</v>
      </c>
      <c r="I8" s="5"/>
      <c r="J8" s="5">
        <f>F8-E8</f>
        <v>19.600000000000001</v>
      </c>
      <c r="K8" s="8" t="b">
        <f>E8=F8</f>
        <v>0</v>
      </c>
    </row>
    <row r="9" spans="1:11">
      <c r="A9" s="5" t="s">
        <v>367</v>
      </c>
      <c r="B9" s="6">
        <v>45056</v>
      </c>
      <c r="C9" s="7">
        <v>0.8</v>
      </c>
      <c r="D9" s="5"/>
      <c r="E9" s="5">
        <v>42.1</v>
      </c>
      <c r="F9" s="5">
        <v>55</v>
      </c>
      <c r="G9" s="6">
        <v>45056</v>
      </c>
      <c r="H9" s="5"/>
      <c r="I9" s="5"/>
      <c r="J9" s="5">
        <f t="shared" ref="J9:J10" si="0">F9-E9</f>
        <v>12.899999999999999</v>
      </c>
      <c r="K9" s="8" t="b">
        <f>E9=F8</f>
        <v>1</v>
      </c>
    </row>
    <row r="10" spans="1:11">
      <c r="A10" s="5" t="s">
        <v>367</v>
      </c>
      <c r="B10" s="6">
        <v>45060</v>
      </c>
      <c r="C10" s="7">
        <v>1</v>
      </c>
      <c r="D10" s="5"/>
      <c r="E10" s="5">
        <v>55</v>
      </c>
      <c r="F10" s="5">
        <v>73</v>
      </c>
      <c r="G10" s="6">
        <v>45060</v>
      </c>
      <c r="H10" s="5"/>
      <c r="I10" s="5"/>
      <c r="J10" s="5">
        <f t="shared" si="0"/>
        <v>18</v>
      </c>
      <c r="K10" s="8" t="b">
        <f t="shared" ref="K10:K32" si="1">E10=F9</f>
        <v>1</v>
      </c>
    </row>
    <row r="11" spans="1:11">
      <c r="A11" s="5" t="s">
        <v>367</v>
      </c>
      <c r="B11" s="6">
        <v>45064</v>
      </c>
      <c r="C11" s="7">
        <v>1</v>
      </c>
      <c r="D11" s="5"/>
      <c r="E11" s="5">
        <v>73</v>
      </c>
      <c r="F11" s="5">
        <v>85.5</v>
      </c>
      <c r="G11" s="6">
        <v>45064</v>
      </c>
      <c r="H11" s="5"/>
      <c r="I11" s="5"/>
      <c r="J11" s="5">
        <f t="shared" ref="J11:J32" si="2">F11-E11</f>
        <v>12.5</v>
      </c>
      <c r="K11" s="8" t="b">
        <f t="shared" si="1"/>
        <v>1</v>
      </c>
    </row>
    <row r="12" spans="1:11">
      <c r="A12" s="5" t="s">
        <v>367</v>
      </c>
      <c r="B12" s="6">
        <v>45066</v>
      </c>
      <c r="C12" s="7">
        <v>1</v>
      </c>
      <c r="D12" s="5"/>
      <c r="E12" s="5">
        <v>0</v>
      </c>
      <c r="F12" s="5">
        <v>11</v>
      </c>
      <c r="G12" s="6">
        <v>45066</v>
      </c>
      <c r="H12" s="5"/>
      <c r="I12" s="5"/>
      <c r="J12" s="5">
        <f t="shared" si="2"/>
        <v>11</v>
      </c>
      <c r="K12" s="8" t="b">
        <f>E12=F11</f>
        <v>0</v>
      </c>
    </row>
    <row r="13" spans="1:11">
      <c r="A13" s="5" t="s">
        <v>367</v>
      </c>
      <c r="B13" s="6" t="s">
        <v>70</v>
      </c>
      <c r="C13" s="7">
        <v>0.4</v>
      </c>
      <c r="D13" s="5"/>
      <c r="E13" s="5">
        <v>11</v>
      </c>
      <c r="F13" s="5">
        <v>39</v>
      </c>
      <c r="G13" s="6" t="s">
        <v>70</v>
      </c>
      <c r="H13" s="5"/>
      <c r="I13" s="5"/>
      <c r="J13" s="5">
        <f t="shared" si="2"/>
        <v>28</v>
      </c>
      <c r="K13" s="8" t="b">
        <f t="shared" si="1"/>
        <v>1</v>
      </c>
    </row>
    <row r="14" spans="1:11">
      <c r="A14" s="5" t="s">
        <v>367</v>
      </c>
      <c r="B14" s="6" t="s">
        <v>71</v>
      </c>
      <c r="C14" s="7">
        <v>1</v>
      </c>
      <c r="D14" s="5"/>
      <c r="E14" s="5">
        <v>39</v>
      </c>
      <c r="F14" s="5">
        <v>49.9</v>
      </c>
      <c r="G14" s="6" t="s">
        <v>71</v>
      </c>
      <c r="H14" s="5"/>
      <c r="I14" s="5"/>
      <c r="J14" s="5">
        <f t="shared" si="2"/>
        <v>10.899999999999999</v>
      </c>
      <c r="K14" s="8" t="b">
        <f t="shared" si="1"/>
        <v>1</v>
      </c>
    </row>
    <row r="15" spans="1:11">
      <c r="A15" s="5" t="s">
        <v>367</v>
      </c>
      <c r="B15" s="6" t="s">
        <v>137</v>
      </c>
      <c r="C15" s="7">
        <v>1</v>
      </c>
      <c r="D15" s="5"/>
      <c r="E15" s="5">
        <v>49.9</v>
      </c>
      <c r="F15" s="5">
        <v>60.8</v>
      </c>
      <c r="G15" s="6" t="s">
        <v>137</v>
      </c>
      <c r="H15" s="5"/>
      <c r="I15" s="5"/>
      <c r="J15" s="5">
        <f t="shared" si="2"/>
        <v>10.899999999999999</v>
      </c>
      <c r="K15" s="8" t="b">
        <f t="shared" si="1"/>
        <v>1</v>
      </c>
    </row>
    <row r="16" spans="1:11">
      <c r="A16" s="5" t="s">
        <v>367</v>
      </c>
      <c r="B16" s="6" t="s">
        <v>138</v>
      </c>
      <c r="C16" s="7">
        <v>1</v>
      </c>
      <c r="D16" s="5"/>
      <c r="E16" s="5">
        <v>60.8</v>
      </c>
      <c r="F16" s="5">
        <v>71.7</v>
      </c>
      <c r="G16" s="6" t="s">
        <v>138</v>
      </c>
      <c r="H16" s="5"/>
      <c r="I16" s="5"/>
      <c r="J16" s="5">
        <f t="shared" si="2"/>
        <v>10.900000000000006</v>
      </c>
      <c r="K16" s="8" t="b">
        <f t="shared" si="1"/>
        <v>1</v>
      </c>
    </row>
    <row r="17" spans="1:13">
      <c r="A17" s="5" t="s">
        <v>367</v>
      </c>
      <c r="B17" s="6" t="s">
        <v>97</v>
      </c>
      <c r="C17" s="7">
        <v>1</v>
      </c>
      <c r="D17" s="5"/>
      <c r="E17" s="5">
        <v>71.7</v>
      </c>
      <c r="F17" s="5">
        <v>82.3</v>
      </c>
      <c r="G17" s="6" t="s">
        <v>97</v>
      </c>
      <c r="H17" s="5"/>
      <c r="I17" s="5"/>
      <c r="J17" s="5">
        <f t="shared" si="2"/>
        <v>10.599999999999994</v>
      </c>
      <c r="K17" s="8" t="b">
        <f t="shared" si="1"/>
        <v>1</v>
      </c>
      <c r="M17" s="76"/>
    </row>
    <row r="18" spans="1:13">
      <c r="A18" s="5" t="s">
        <v>367</v>
      </c>
      <c r="B18" s="6" t="s">
        <v>98</v>
      </c>
      <c r="C18" s="7">
        <v>1</v>
      </c>
      <c r="D18" s="5"/>
      <c r="E18" s="5">
        <v>82.3</v>
      </c>
      <c r="F18" s="5">
        <v>93.5</v>
      </c>
      <c r="G18" s="6" t="s">
        <v>98</v>
      </c>
      <c r="H18" s="5"/>
      <c r="I18" s="5"/>
      <c r="J18" s="5">
        <f t="shared" si="2"/>
        <v>11.200000000000003</v>
      </c>
      <c r="K18" s="8" t="b">
        <f t="shared" si="1"/>
        <v>1</v>
      </c>
    </row>
    <row r="19" spans="1:13">
      <c r="A19" s="5" t="s">
        <v>367</v>
      </c>
      <c r="B19" s="6">
        <v>45077</v>
      </c>
      <c r="C19" s="7">
        <v>1</v>
      </c>
      <c r="D19" s="5"/>
      <c r="E19" s="5">
        <v>93.5</v>
      </c>
      <c r="F19" s="5">
        <v>104.4</v>
      </c>
      <c r="G19" s="6">
        <v>45077</v>
      </c>
      <c r="H19" s="5"/>
      <c r="I19" s="5"/>
      <c r="J19" s="5">
        <f t="shared" si="2"/>
        <v>10.900000000000006</v>
      </c>
      <c r="K19" s="8" t="b">
        <f t="shared" si="1"/>
        <v>1</v>
      </c>
    </row>
    <row r="20" spans="1:13">
      <c r="A20" s="5" t="s">
        <v>367</v>
      </c>
      <c r="B20" s="6">
        <v>45078</v>
      </c>
      <c r="C20" s="7">
        <v>1</v>
      </c>
      <c r="D20" s="5"/>
      <c r="E20" s="5">
        <v>104.4</v>
      </c>
      <c r="F20" s="5">
        <v>115.3</v>
      </c>
      <c r="G20" s="6">
        <v>45078</v>
      </c>
      <c r="H20" s="5"/>
      <c r="I20" s="5"/>
      <c r="J20" s="5">
        <f t="shared" si="2"/>
        <v>10.899999999999991</v>
      </c>
      <c r="K20" s="8" t="b">
        <f t="shared" si="1"/>
        <v>1</v>
      </c>
    </row>
    <row r="21" spans="1:13">
      <c r="A21" s="5" t="s">
        <v>367</v>
      </c>
      <c r="B21" s="6">
        <v>45079</v>
      </c>
      <c r="C21" s="7">
        <v>1</v>
      </c>
      <c r="D21" s="5"/>
      <c r="E21" s="5">
        <v>115.3</v>
      </c>
      <c r="F21" s="5">
        <v>126.2</v>
      </c>
      <c r="G21" s="6">
        <v>45079</v>
      </c>
      <c r="H21" s="5"/>
      <c r="I21" s="5"/>
      <c r="J21" s="5">
        <f t="shared" si="2"/>
        <v>10.900000000000006</v>
      </c>
      <c r="K21" s="8" t="b">
        <f t="shared" si="1"/>
        <v>1</v>
      </c>
    </row>
    <row r="22" spans="1:13">
      <c r="A22" s="5" t="s">
        <v>367</v>
      </c>
      <c r="B22" s="6">
        <v>45080</v>
      </c>
      <c r="C22" s="7">
        <v>1</v>
      </c>
      <c r="D22" s="5"/>
      <c r="E22" s="5">
        <v>126.2</v>
      </c>
      <c r="F22" s="5">
        <v>137.1</v>
      </c>
      <c r="G22" s="6">
        <v>45080</v>
      </c>
      <c r="H22" s="5"/>
      <c r="I22" s="5"/>
      <c r="J22" s="5">
        <f t="shared" si="2"/>
        <v>10.899999999999991</v>
      </c>
      <c r="K22" s="8" t="b">
        <f t="shared" si="1"/>
        <v>1</v>
      </c>
    </row>
    <row r="23" spans="1:13">
      <c r="A23" s="5" t="s">
        <v>367</v>
      </c>
      <c r="B23" s="6">
        <v>45081</v>
      </c>
      <c r="C23" s="7">
        <v>1</v>
      </c>
      <c r="D23" s="5"/>
      <c r="E23" s="5">
        <v>137.1</v>
      </c>
      <c r="F23" s="5">
        <v>150.19999999999999</v>
      </c>
      <c r="G23" s="6">
        <v>45081</v>
      </c>
      <c r="H23" s="5"/>
      <c r="I23" s="5"/>
      <c r="J23" s="5">
        <f t="shared" si="2"/>
        <v>13.099999999999994</v>
      </c>
      <c r="K23" s="8" t="b">
        <f t="shared" si="1"/>
        <v>1</v>
      </c>
    </row>
    <row r="24" spans="1:13">
      <c r="A24" s="5" t="s">
        <v>367</v>
      </c>
      <c r="B24" s="6">
        <v>45082</v>
      </c>
      <c r="C24" s="7">
        <v>1</v>
      </c>
      <c r="D24" s="5"/>
      <c r="E24" s="5">
        <v>150.19999999999999</v>
      </c>
      <c r="F24" s="5">
        <v>162.1</v>
      </c>
      <c r="G24" s="6">
        <v>45082</v>
      </c>
      <c r="H24" s="5"/>
      <c r="I24" s="5"/>
      <c r="J24" s="5">
        <f t="shared" si="2"/>
        <v>11.900000000000006</v>
      </c>
      <c r="K24" s="8" t="b">
        <f t="shared" si="1"/>
        <v>1</v>
      </c>
    </row>
    <row r="25" spans="1:13">
      <c r="A25" s="5" t="s">
        <v>367</v>
      </c>
      <c r="B25" s="6">
        <v>45083</v>
      </c>
      <c r="C25" s="7">
        <v>1</v>
      </c>
      <c r="D25" s="5"/>
      <c r="E25" s="5">
        <v>162.1</v>
      </c>
      <c r="F25" s="5">
        <v>173</v>
      </c>
      <c r="G25" s="6">
        <v>45083</v>
      </c>
      <c r="H25" s="5"/>
      <c r="I25" s="5"/>
      <c r="J25" s="5">
        <f t="shared" si="2"/>
        <v>10.900000000000006</v>
      </c>
      <c r="K25" s="8" t="b">
        <f t="shared" si="1"/>
        <v>1</v>
      </c>
    </row>
    <row r="26" spans="1:13">
      <c r="A26" s="5" t="s">
        <v>367</v>
      </c>
      <c r="B26" s="6">
        <v>45084</v>
      </c>
      <c r="C26" s="7">
        <v>1</v>
      </c>
      <c r="D26" s="5"/>
      <c r="E26" s="5">
        <v>173</v>
      </c>
      <c r="F26" s="5">
        <v>183.8</v>
      </c>
      <c r="G26" s="6">
        <v>45084</v>
      </c>
      <c r="H26" s="5"/>
      <c r="I26" s="5"/>
      <c r="J26" s="5">
        <f t="shared" si="2"/>
        <v>10.800000000000011</v>
      </c>
      <c r="K26" s="8" t="b">
        <f t="shared" si="1"/>
        <v>1</v>
      </c>
    </row>
    <row r="27" spans="1:13">
      <c r="A27" s="49" t="s">
        <v>367</v>
      </c>
      <c r="B27" s="50">
        <v>45085</v>
      </c>
      <c r="C27" s="51">
        <v>1</v>
      </c>
      <c r="D27" s="49"/>
      <c r="E27" s="49">
        <v>183.8</v>
      </c>
      <c r="F27" s="49">
        <v>189.5</v>
      </c>
      <c r="G27" s="50">
        <v>45085</v>
      </c>
      <c r="H27" s="49"/>
      <c r="I27" s="49"/>
      <c r="J27" s="49">
        <f t="shared" si="2"/>
        <v>5.6999999999999886</v>
      </c>
      <c r="K27" s="8" t="b">
        <f t="shared" si="1"/>
        <v>1</v>
      </c>
    </row>
    <row r="28" spans="1:13">
      <c r="A28" s="5" t="s">
        <v>367</v>
      </c>
      <c r="B28" s="6">
        <v>45085</v>
      </c>
      <c r="C28" s="7">
        <v>1</v>
      </c>
      <c r="D28" s="5"/>
      <c r="E28" s="5">
        <v>189.5</v>
      </c>
      <c r="F28" s="5">
        <v>195.2</v>
      </c>
      <c r="G28" s="6">
        <v>45085</v>
      </c>
      <c r="H28" s="5"/>
      <c r="I28" s="5"/>
      <c r="J28" s="5">
        <f t="shared" si="2"/>
        <v>5.6999999999999886</v>
      </c>
      <c r="K28" s="8" t="b">
        <f t="shared" si="1"/>
        <v>1</v>
      </c>
    </row>
    <row r="29" spans="1:13">
      <c r="A29" s="5" t="s">
        <v>367</v>
      </c>
      <c r="B29" s="6">
        <v>45086</v>
      </c>
      <c r="C29" s="7">
        <v>1</v>
      </c>
      <c r="D29" s="5"/>
      <c r="E29" s="5">
        <v>195.2</v>
      </c>
      <c r="F29" s="5">
        <v>208.1</v>
      </c>
      <c r="G29" s="6">
        <v>45086</v>
      </c>
      <c r="H29" s="5"/>
      <c r="I29" s="5"/>
      <c r="J29" s="5">
        <f t="shared" si="2"/>
        <v>12.900000000000006</v>
      </c>
      <c r="K29" s="8" t="b">
        <f t="shared" si="1"/>
        <v>1</v>
      </c>
    </row>
    <row r="30" spans="1:13">
      <c r="A30" s="5" t="s">
        <v>367</v>
      </c>
      <c r="B30" s="6">
        <v>45089</v>
      </c>
      <c r="C30" s="7">
        <v>1</v>
      </c>
      <c r="D30" s="5"/>
      <c r="E30" s="5">
        <v>208.1</v>
      </c>
      <c r="F30" s="5">
        <v>216.9</v>
      </c>
      <c r="G30" s="6">
        <v>45089</v>
      </c>
      <c r="H30" s="5"/>
      <c r="I30" s="5"/>
      <c r="J30" s="5">
        <f t="shared" si="2"/>
        <v>8.8000000000000114</v>
      </c>
      <c r="K30" s="8" t="b">
        <f t="shared" si="1"/>
        <v>1</v>
      </c>
    </row>
    <row r="31" spans="1:13">
      <c r="A31" s="25" t="s">
        <v>367</v>
      </c>
      <c r="B31" s="26">
        <v>45091</v>
      </c>
      <c r="C31" s="27">
        <v>1</v>
      </c>
      <c r="D31" s="25"/>
      <c r="E31" s="25">
        <v>216.9</v>
      </c>
      <c r="F31" s="25">
        <v>228</v>
      </c>
      <c r="G31" s="26">
        <v>45091</v>
      </c>
      <c r="H31" s="25"/>
      <c r="I31" s="25"/>
      <c r="J31" s="25">
        <f t="shared" si="2"/>
        <v>11.099999999999994</v>
      </c>
      <c r="K31" s="8" t="b">
        <f t="shared" si="1"/>
        <v>1</v>
      </c>
    </row>
    <row r="32" spans="1:13">
      <c r="A32" s="5" t="s">
        <v>367</v>
      </c>
      <c r="B32" s="6">
        <v>45001</v>
      </c>
      <c r="C32" s="7">
        <v>1</v>
      </c>
      <c r="D32" s="5"/>
      <c r="E32" s="5">
        <v>228</v>
      </c>
      <c r="F32" s="5">
        <v>240.1</v>
      </c>
      <c r="G32" s="6">
        <v>45001</v>
      </c>
      <c r="H32" s="5"/>
      <c r="I32" s="5"/>
      <c r="J32" s="5">
        <f t="shared" si="2"/>
        <v>12.099999999999994</v>
      </c>
      <c r="K32" s="8" t="b">
        <f t="shared" si="1"/>
        <v>1</v>
      </c>
    </row>
    <row r="33" spans="1:11">
      <c r="A33" s="5" t="s">
        <v>367</v>
      </c>
      <c r="B33" s="6">
        <v>45095</v>
      </c>
      <c r="C33" s="7">
        <v>1</v>
      </c>
      <c r="D33" s="5"/>
      <c r="E33" s="5">
        <v>240.1</v>
      </c>
      <c r="F33" s="5">
        <v>252.8</v>
      </c>
      <c r="G33" s="6">
        <v>45095</v>
      </c>
      <c r="H33" s="5"/>
      <c r="I33" s="5"/>
      <c r="J33" s="5">
        <f t="shared" ref="J33:J46" si="3">F33-E33</f>
        <v>12.700000000000017</v>
      </c>
      <c r="K33" s="8" t="b">
        <f>E33=F32</f>
        <v>1</v>
      </c>
    </row>
    <row r="34" spans="1:11">
      <c r="A34" s="5" t="s">
        <v>367</v>
      </c>
      <c r="B34" s="6">
        <v>45097</v>
      </c>
      <c r="C34" s="7">
        <v>1</v>
      </c>
      <c r="D34" s="5"/>
      <c r="E34" s="5">
        <v>252.8</v>
      </c>
      <c r="F34" s="5">
        <v>263.8</v>
      </c>
      <c r="G34" s="6">
        <v>45097</v>
      </c>
      <c r="H34" s="5"/>
      <c r="I34" s="5"/>
      <c r="J34" s="5">
        <f t="shared" si="3"/>
        <v>11</v>
      </c>
      <c r="K34" s="8" t="b">
        <f t="shared" ref="K34:K46" si="4">E34=F33</f>
        <v>1</v>
      </c>
    </row>
    <row r="35" spans="1:11">
      <c r="A35" s="5" t="s">
        <v>367</v>
      </c>
      <c r="B35" s="6">
        <v>45099</v>
      </c>
      <c r="C35" s="7">
        <v>1</v>
      </c>
      <c r="D35" s="5"/>
      <c r="E35" s="5">
        <v>263.8</v>
      </c>
      <c r="F35" s="5">
        <v>274.8</v>
      </c>
      <c r="G35" s="6">
        <v>45099</v>
      </c>
      <c r="H35" s="5"/>
      <c r="I35" s="5"/>
      <c r="J35" s="5">
        <f t="shared" si="3"/>
        <v>11</v>
      </c>
      <c r="K35" s="8" t="b">
        <f t="shared" si="4"/>
        <v>1</v>
      </c>
    </row>
    <row r="36" spans="1:11">
      <c r="A36" s="25" t="s">
        <v>367</v>
      </c>
      <c r="B36" s="26">
        <v>45100</v>
      </c>
      <c r="C36" s="27">
        <v>1</v>
      </c>
      <c r="D36" s="25"/>
      <c r="E36" s="25">
        <v>274.8</v>
      </c>
      <c r="F36" s="25">
        <v>285.89999999999998</v>
      </c>
      <c r="G36" s="26">
        <v>45100</v>
      </c>
      <c r="H36" s="25"/>
      <c r="I36" s="25"/>
      <c r="J36" s="25">
        <f t="shared" si="3"/>
        <v>11.099999999999966</v>
      </c>
      <c r="K36" s="8" t="b">
        <f t="shared" si="4"/>
        <v>1</v>
      </c>
    </row>
    <row r="37" spans="1:11">
      <c r="A37" s="5" t="s">
        <v>367</v>
      </c>
      <c r="B37" s="6">
        <v>45102</v>
      </c>
      <c r="C37" s="7">
        <v>0.9</v>
      </c>
      <c r="D37" s="5"/>
      <c r="E37" s="5">
        <v>285.89999999999998</v>
      </c>
      <c r="F37" s="5">
        <v>298</v>
      </c>
      <c r="G37" s="6">
        <v>45102</v>
      </c>
      <c r="H37" s="5"/>
      <c r="I37" s="5"/>
      <c r="J37" s="5">
        <f t="shared" si="3"/>
        <v>12.100000000000023</v>
      </c>
      <c r="K37" s="8" t="b">
        <f t="shared" si="4"/>
        <v>1</v>
      </c>
    </row>
    <row r="38" spans="1:11">
      <c r="A38" s="5" t="s">
        <v>367</v>
      </c>
      <c r="B38" s="6">
        <v>45104</v>
      </c>
      <c r="C38" s="7">
        <v>0.8</v>
      </c>
      <c r="D38" s="5"/>
      <c r="E38" s="5">
        <v>298</v>
      </c>
      <c r="F38" s="5">
        <v>309.89999999999998</v>
      </c>
      <c r="G38" s="6">
        <v>45104</v>
      </c>
      <c r="H38" s="5"/>
      <c r="I38" s="5"/>
      <c r="J38" s="5">
        <f t="shared" si="3"/>
        <v>11.899999999999977</v>
      </c>
      <c r="K38" s="8" t="b">
        <f t="shared" si="4"/>
        <v>1</v>
      </c>
    </row>
    <row r="39" spans="1:11">
      <c r="A39" s="5" t="s">
        <v>367</v>
      </c>
      <c r="B39" s="6">
        <v>45106</v>
      </c>
      <c r="C39" s="7">
        <v>0.9</v>
      </c>
      <c r="D39" s="5"/>
      <c r="E39" s="5">
        <v>309.89999999999998</v>
      </c>
      <c r="F39" s="5">
        <v>322</v>
      </c>
      <c r="G39" s="6">
        <v>45106</v>
      </c>
      <c r="H39" s="5"/>
      <c r="I39" s="5"/>
      <c r="J39" s="5">
        <f t="shared" si="3"/>
        <v>12.100000000000023</v>
      </c>
      <c r="K39" s="8" t="b">
        <f t="shared" si="4"/>
        <v>1</v>
      </c>
    </row>
    <row r="40" spans="1:11">
      <c r="A40" s="5" t="s">
        <v>367</v>
      </c>
      <c r="B40" s="6">
        <v>45108</v>
      </c>
      <c r="C40" s="7">
        <v>0.9</v>
      </c>
      <c r="D40" s="5"/>
      <c r="E40" s="5">
        <v>322</v>
      </c>
      <c r="F40" s="5">
        <v>334.2</v>
      </c>
      <c r="G40" s="6">
        <v>45108</v>
      </c>
      <c r="H40" s="5"/>
      <c r="I40" s="5"/>
      <c r="J40" s="5">
        <f t="shared" si="3"/>
        <v>12.199999999999989</v>
      </c>
      <c r="K40" s="8" t="b">
        <f t="shared" si="4"/>
        <v>1</v>
      </c>
    </row>
    <row r="41" spans="1:11">
      <c r="A41" s="39" t="s">
        <v>367</v>
      </c>
      <c r="B41" s="40">
        <v>45110</v>
      </c>
      <c r="C41" s="41">
        <v>1</v>
      </c>
      <c r="D41" s="39"/>
      <c r="E41" s="39">
        <v>334.2</v>
      </c>
      <c r="F41" s="39">
        <v>346.1</v>
      </c>
      <c r="G41" s="40">
        <v>45110</v>
      </c>
      <c r="H41" s="39"/>
      <c r="I41" s="39"/>
      <c r="J41" s="39">
        <f t="shared" si="3"/>
        <v>11.900000000000034</v>
      </c>
      <c r="K41" s="8" t="b">
        <f t="shared" si="4"/>
        <v>1</v>
      </c>
    </row>
    <row r="42" spans="1:11">
      <c r="A42" s="5" t="s">
        <v>367</v>
      </c>
      <c r="B42" s="6">
        <v>45111</v>
      </c>
      <c r="C42" s="7">
        <v>0.9</v>
      </c>
      <c r="D42" s="5"/>
      <c r="E42" s="5">
        <v>346.1</v>
      </c>
      <c r="F42" s="5">
        <v>357.2</v>
      </c>
      <c r="G42" s="6">
        <v>45111</v>
      </c>
      <c r="H42" s="5"/>
      <c r="I42" s="5"/>
      <c r="J42" s="5">
        <f t="shared" si="3"/>
        <v>11.099999999999966</v>
      </c>
      <c r="K42" s="8" t="b">
        <f t="shared" si="4"/>
        <v>1</v>
      </c>
    </row>
    <row r="43" spans="1:11">
      <c r="A43" s="5" t="s">
        <v>367</v>
      </c>
      <c r="B43" s="6">
        <v>45112</v>
      </c>
      <c r="C43" s="7">
        <v>0.9</v>
      </c>
      <c r="D43" s="5"/>
      <c r="E43" s="5">
        <v>357.2</v>
      </c>
      <c r="F43" s="5">
        <v>369.2</v>
      </c>
      <c r="G43" s="6">
        <v>45112</v>
      </c>
      <c r="H43" s="5"/>
      <c r="I43" s="5"/>
      <c r="J43" s="5">
        <f t="shared" si="3"/>
        <v>12</v>
      </c>
      <c r="K43" s="8" t="b">
        <f t="shared" si="4"/>
        <v>1</v>
      </c>
    </row>
    <row r="44" spans="1:11">
      <c r="A44" s="5" t="s">
        <v>367</v>
      </c>
      <c r="B44" s="6">
        <v>45114</v>
      </c>
      <c r="C44" s="7">
        <v>0.9</v>
      </c>
      <c r="D44" s="5"/>
      <c r="E44" s="5">
        <v>369.2</v>
      </c>
      <c r="F44" s="5">
        <v>381.3</v>
      </c>
      <c r="G44" s="6">
        <v>45114</v>
      </c>
      <c r="H44" s="5"/>
      <c r="I44" s="5"/>
      <c r="J44" s="5">
        <f t="shared" si="3"/>
        <v>12.100000000000023</v>
      </c>
      <c r="K44" s="8" t="b">
        <f t="shared" si="4"/>
        <v>1</v>
      </c>
    </row>
    <row r="45" spans="1:11">
      <c r="A45" s="5" t="s">
        <v>367</v>
      </c>
      <c r="B45" s="6">
        <v>45115</v>
      </c>
      <c r="C45" s="7">
        <v>0.9</v>
      </c>
      <c r="D45" s="5"/>
      <c r="E45" s="5">
        <v>381.3</v>
      </c>
      <c r="F45" s="5">
        <v>393.4</v>
      </c>
      <c r="G45" s="6">
        <v>45115</v>
      </c>
      <c r="H45" s="5"/>
      <c r="I45" s="5"/>
      <c r="J45" s="5">
        <f t="shared" si="3"/>
        <v>12.099999999999966</v>
      </c>
      <c r="K45" s="8" t="b">
        <f t="shared" si="4"/>
        <v>1</v>
      </c>
    </row>
    <row r="46" spans="1:11">
      <c r="A46" s="5" t="s">
        <v>367</v>
      </c>
      <c r="B46" s="6">
        <v>45116</v>
      </c>
      <c r="C46" s="7">
        <v>1</v>
      </c>
      <c r="D46" s="5"/>
      <c r="E46" s="5">
        <v>393.4</v>
      </c>
      <c r="F46" s="5">
        <v>404.2</v>
      </c>
      <c r="G46" s="6">
        <v>45116</v>
      </c>
      <c r="H46" s="5"/>
      <c r="I46" s="5"/>
      <c r="J46" s="5">
        <f t="shared" si="3"/>
        <v>10.800000000000011</v>
      </c>
      <c r="K46" s="8" t="b">
        <f t="shared" si="4"/>
        <v>1</v>
      </c>
    </row>
    <row r="47" spans="1:11">
      <c r="A47" s="5" t="s">
        <v>367</v>
      </c>
      <c r="B47" s="6">
        <v>45117</v>
      </c>
      <c r="C47" s="7">
        <v>1</v>
      </c>
      <c r="D47" s="5"/>
      <c r="E47" s="5">
        <v>404.2</v>
      </c>
      <c r="F47" s="5">
        <v>415.1</v>
      </c>
      <c r="G47" s="6">
        <v>45117</v>
      </c>
      <c r="H47" s="5"/>
      <c r="I47" s="5"/>
      <c r="J47" s="5">
        <f t="shared" ref="J47:J62" si="5">F47-E47</f>
        <v>10.900000000000034</v>
      </c>
      <c r="K47" s="8" t="b">
        <f t="shared" ref="K47:K62" si="6">E47=F46</f>
        <v>1</v>
      </c>
    </row>
    <row r="48" spans="1:11">
      <c r="A48" s="5" t="s">
        <v>367</v>
      </c>
      <c r="B48" s="6">
        <v>45118</v>
      </c>
      <c r="C48" s="7">
        <v>1</v>
      </c>
      <c r="D48" s="5"/>
      <c r="E48" s="5">
        <v>415.1</v>
      </c>
      <c r="F48" s="5">
        <v>425.9</v>
      </c>
      <c r="G48" s="6">
        <v>45118</v>
      </c>
      <c r="H48" s="5"/>
      <c r="I48" s="5"/>
      <c r="J48" s="5">
        <f t="shared" si="5"/>
        <v>10.799999999999955</v>
      </c>
      <c r="K48" s="8" t="b">
        <f t="shared" si="6"/>
        <v>1</v>
      </c>
    </row>
    <row r="49" spans="1:11">
      <c r="A49" s="5" t="s">
        <v>367</v>
      </c>
      <c r="B49" s="6">
        <v>45121</v>
      </c>
      <c r="C49" s="7">
        <v>1</v>
      </c>
      <c r="D49" s="5"/>
      <c r="E49" s="5">
        <v>425.9</v>
      </c>
      <c r="F49" s="5">
        <v>436.8</v>
      </c>
      <c r="G49" s="6">
        <v>45121</v>
      </c>
      <c r="H49" s="5"/>
      <c r="I49" s="5"/>
      <c r="J49" s="5">
        <f t="shared" si="5"/>
        <v>10.900000000000034</v>
      </c>
      <c r="K49" s="8" t="b">
        <f t="shared" si="6"/>
        <v>1</v>
      </c>
    </row>
    <row r="50" spans="1:11">
      <c r="A50" s="5" t="s">
        <v>367</v>
      </c>
      <c r="B50" s="6">
        <v>45122</v>
      </c>
      <c r="C50" s="7">
        <v>1</v>
      </c>
      <c r="D50" s="5"/>
      <c r="E50" s="5">
        <v>436.8</v>
      </c>
      <c r="F50" s="5">
        <v>447.4</v>
      </c>
      <c r="G50" s="6">
        <v>45122</v>
      </c>
      <c r="H50" s="5"/>
      <c r="I50" s="5"/>
      <c r="J50" s="5">
        <f t="shared" si="5"/>
        <v>10.599999999999966</v>
      </c>
      <c r="K50" s="8" t="b">
        <f t="shared" si="6"/>
        <v>1</v>
      </c>
    </row>
    <row r="51" spans="1:11">
      <c r="A51" s="5" t="s">
        <v>367</v>
      </c>
      <c r="B51" s="6">
        <v>45124</v>
      </c>
      <c r="C51" s="7">
        <v>0.9</v>
      </c>
      <c r="D51" s="5"/>
      <c r="E51" s="5">
        <v>447.4</v>
      </c>
      <c r="F51" s="5">
        <v>459.7</v>
      </c>
      <c r="G51" s="6">
        <v>45124</v>
      </c>
      <c r="H51" s="5"/>
      <c r="I51" s="5"/>
      <c r="J51" s="5">
        <f t="shared" si="5"/>
        <v>12.300000000000011</v>
      </c>
      <c r="K51" s="8" t="b">
        <f t="shared" si="6"/>
        <v>1</v>
      </c>
    </row>
    <row r="52" spans="1:11">
      <c r="A52" s="5" t="s">
        <v>367</v>
      </c>
      <c r="B52" s="6">
        <v>45126</v>
      </c>
      <c r="C52" s="7">
        <v>0.9</v>
      </c>
      <c r="D52" s="5"/>
      <c r="E52" s="5">
        <v>459.7</v>
      </c>
      <c r="F52" s="5">
        <v>471.8</v>
      </c>
      <c r="G52" s="6">
        <v>45126</v>
      </c>
      <c r="H52" s="5"/>
      <c r="I52" s="5"/>
      <c r="J52" s="5">
        <f t="shared" si="5"/>
        <v>12.100000000000023</v>
      </c>
      <c r="K52" s="8" t="b">
        <f t="shared" si="6"/>
        <v>1</v>
      </c>
    </row>
    <row r="53" spans="1:11">
      <c r="A53" s="5" t="s">
        <v>367</v>
      </c>
      <c r="B53" s="6">
        <v>45129</v>
      </c>
      <c r="C53" s="7">
        <v>0.9</v>
      </c>
      <c r="D53" s="5"/>
      <c r="E53" s="5">
        <v>471.8</v>
      </c>
      <c r="F53" s="5">
        <v>483.8</v>
      </c>
      <c r="G53" s="6">
        <v>45129</v>
      </c>
      <c r="H53" s="5"/>
      <c r="I53" s="5"/>
      <c r="J53" s="5">
        <f t="shared" si="5"/>
        <v>12</v>
      </c>
      <c r="K53" s="8" t="b">
        <f t="shared" si="6"/>
        <v>1</v>
      </c>
    </row>
    <row r="54" spans="1:11">
      <c r="A54" s="5" t="s">
        <v>367</v>
      </c>
      <c r="B54" s="6">
        <v>45131</v>
      </c>
      <c r="C54" s="7">
        <v>0.95</v>
      </c>
      <c r="D54" s="5"/>
      <c r="E54" s="5">
        <v>483.8</v>
      </c>
      <c r="F54" s="5">
        <v>495.3</v>
      </c>
      <c r="G54" s="6">
        <v>45131</v>
      </c>
      <c r="H54" s="5"/>
      <c r="I54" s="5"/>
      <c r="J54" s="5">
        <f t="shared" si="5"/>
        <v>11.5</v>
      </c>
      <c r="K54" s="8" t="b">
        <f t="shared" si="6"/>
        <v>1</v>
      </c>
    </row>
    <row r="55" spans="1:11">
      <c r="A55" s="5" t="s">
        <v>367</v>
      </c>
      <c r="B55" s="6">
        <v>45134</v>
      </c>
      <c r="C55" s="7">
        <v>1</v>
      </c>
      <c r="D55" s="5"/>
      <c r="E55" s="5">
        <v>495.3</v>
      </c>
      <c r="F55" s="5">
        <v>506.1</v>
      </c>
      <c r="G55" s="6">
        <v>45134</v>
      </c>
      <c r="H55" s="5"/>
      <c r="I55" s="5"/>
      <c r="J55" s="5">
        <f t="shared" si="5"/>
        <v>10.800000000000011</v>
      </c>
      <c r="K55" s="8" t="b">
        <f t="shared" si="6"/>
        <v>1</v>
      </c>
    </row>
    <row r="56" spans="1:11">
      <c r="A56" s="5" t="s">
        <v>367</v>
      </c>
      <c r="B56" s="6">
        <v>45136</v>
      </c>
      <c r="C56" s="7">
        <v>0.9</v>
      </c>
      <c r="D56" s="5"/>
      <c r="E56" s="5">
        <v>506.1</v>
      </c>
      <c r="F56" s="5">
        <v>518.20000000000005</v>
      </c>
      <c r="G56" s="6">
        <v>45136</v>
      </c>
      <c r="H56" s="5"/>
      <c r="I56" s="5"/>
      <c r="J56" s="5">
        <f t="shared" si="5"/>
        <v>12.100000000000023</v>
      </c>
      <c r="K56" s="8" t="b">
        <f t="shared" si="6"/>
        <v>1</v>
      </c>
    </row>
    <row r="57" spans="1:11">
      <c r="A57" s="5" t="s">
        <v>367</v>
      </c>
      <c r="B57" s="6">
        <v>45139</v>
      </c>
      <c r="C57" s="7">
        <v>1</v>
      </c>
      <c r="D57" s="5"/>
      <c r="E57" s="5">
        <v>518.20000000000005</v>
      </c>
      <c r="F57" s="5">
        <v>529</v>
      </c>
      <c r="G57" s="6">
        <v>45139</v>
      </c>
      <c r="H57" s="5"/>
      <c r="I57" s="5"/>
      <c r="J57" s="5">
        <f t="shared" si="5"/>
        <v>10.799999999999955</v>
      </c>
      <c r="K57" s="8" t="b">
        <f t="shared" si="6"/>
        <v>1</v>
      </c>
    </row>
    <row r="58" spans="1:11">
      <c r="A58" s="5" t="s">
        <v>367</v>
      </c>
      <c r="B58" s="6">
        <v>45140</v>
      </c>
      <c r="C58" s="7">
        <v>1</v>
      </c>
      <c r="D58" s="5"/>
      <c r="E58" s="5">
        <v>529</v>
      </c>
      <c r="F58" s="5">
        <v>539.9</v>
      </c>
      <c r="G58" s="6">
        <v>45140</v>
      </c>
      <c r="H58" s="5"/>
      <c r="I58" s="5"/>
      <c r="J58" s="5">
        <f t="shared" si="5"/>
        <v>10.899999999999977</v>
      </c>
      <c r="K58" s="8" t="b">
        <f t="shared" si="6"/>
        <v>1</v>
      </c>
    </row>
    <row r="59" spans="1:11">
      <c r="A59" s="80" t="s">
        <v>367</v>
      </c>
      <c r="B59" s="81">
        <v>45141</v>
      </c>
      <c r="C59" s="82">
        <v>1</v>
      </c>
      <c r="D59" s="80"/>
      <c r="E59" s="80">
        <v>539.9</v>
      </c>
      <c r="F59" s="80">
        <v>550.70000000000005</v>
      </c>
      <c r="G59" s="81">
        <v>45141</v>
      </c>
      <c r="H59" s="80"/>
      <c r="I59" s="80"/>
      <c r="J59" s="80">
        <f t="shared" si="5"/>
        <v>10.800000000000068</v>
      </c>
      <c r="K59" s="8" t="b">
        <f t="shared" si="6"/>
        <v>1</v>
      </c>
    </row>
    <row r="60" spans="1:11">
      <c r="A60" s="5" t="s">
        <v>367</v>
      </c>
      <c r="B60" s="6">
        <v>45142</v>
      </c>
      <c r="C60" s="7">
        <v>1</v>
      </c>
      <c r="D60" s="5"/>
      <c r="E60" s="5">
        <v>550.70000000000005</v>
      </c>
      <c r="F60" s="5">
        <v>561.6</v>
      </c>
      <c r="G60" s="6">
        <v>45142</v>
      </c>
      <c r="H60" s="5"/>
      <c r="I60" s="5"/>
      <c r="J60" s="5">
        <f t="shared" si="5"/>
        <v>10.899999999999977</v>
      </c>
      <c r="K60" s="8" t="b">
        <f t="shared" si="6"/>
        <v>1</v>
      </c>
    </row>
    <row r="61" spans="1:11">
      <c r="A61" s="5" t="s">
        <v>367</v>
      </c>
      <c r="B61" s="6">
        <v>45143</v>
      </c>
      <c r="C61" s="7">
        <v>1</v>
      </c>
      <c r="D61" s="5"/>
      <c r="E61" s="5">
        <v>561.6</v>
      </c>
      <c r="F61" s="5">
        <v>572.5</v>
      </c>
      <c r="G61" s="6">
        <v>45143</v>
      </c>
      <c r="H61" s="5"/>
      <c r="I61" s="5"/>
      <c r="J61" s="5">
        <f t="shared" si="5"/>
        <v>10.899999999999977</v>
      </c>
      <c r="K61" s="8" t="b">
        <f t="shared" si="6"/>
        <v>1</v>
      </c>
    </row>
    <row r="62" spans="1:11">
      <c r="A62" s="5" t="s">
        <v>367</v>
      </c>
      <c r="B62" s="6">
        <v>45144</v>
      </c>
      <c r="C62" s="7">
        <v>1</v>
      </c>
      <c r="D62" s="5"/>
      <c r="E62" s="5">
        <v>572.5</v>
      </c>
      <c r="F62" s="5">
        <v>583.4</v>
      </c>
      <c r="G62" s="6">
        <v>45144</v>
      </c>
      <c r="H62" s="5"/>
      <c r="I62" s="5"/>
      <c r="J62" s="5">
        <f t="shared" si="5"/>
        <v>10.899999999999977</v>
      </c>
      <c r="K62" s="8" t="b">
        <f t="shared" si="6"/>
        <v>1</v>
      </c>
    </row>
    <row r="63" spans="1:11">
      <c r="A63" s="5" t="s">
        <v>367</v>
      </c>
      <c r="B63" s="6">
        <v>45146</v>
      </c>
      <c r="C63" s="7">
        <v>0.9</v>
      </c>
      <c r="D63" s="5"/>
      <c r="E63" s="5">
        <v>583.4</v>
      </c>
      <c r="F63" s="5">
        <v>595.5</v>
      </c>
      <c r="G63" s="6">
        <v>45146</v>
      </c>
      <c r="H63" s="5"/>
      <c r="I63" s="5"/>
      <c r="J63" s="5">
        <f t="shared" ref="J63:J68" si="7">F63-E63</f>
        <v>12.100000000000023</v>
      </c>
      <c r="K63" s="8" t="b">
        <f t="shared" ref="K63:K68" si="8">E63=F62</f>
        <v>1</v>
      </c>
    </row>
    <row r="64" spans="1:11">
      <c r="A64" s="5" t="s">
        <v>367</v>
      </c>
      <c r="B64" s="6">
        <v>45147</v>
      </c>
      <c r="C64" s="7">
        <v>0.9</v>
      </c>
      <c r="D64" s="5"/>
      <c r="E64" s="5">
        <v>595.5</v>
      </c>
      <c r="F64" s="5">
        <v>607.6</v>
      </c>
      <c r="G64" s="6">
        <v>45147</v>
      </c>
      <c r="H64" s="5"/>
      <c r="I64" s="5"/>
      <c r="J64" s="5">
        <f t="shared" si="7"/>
        <v>12.100000000000023</v>
      </c>
      <c r="K64" s="8" t="b">
        <f t="shared" si="8"/>
        <v>1</v>
      </c>
    </row>
    <row r="65" spans="1:11">
      <c r="A65" s="5" t="s">
        <v>367</v>
      </c>
      <c r="B65" s="6">
        <v>45150</v>
      </c>
      <c r="C65" s="7">
        <v>0.9</v>
      </c>
      <c r="D65" s="5"/>
      <c r="E65" s="5">
        <v>607.6</v>
      </c>
      <c r="F65" s="5">
        <v>619.70000000000005</v>
      </c>
      <c r="G65" s="6">
        <v>45150</v>
      </c>
      <c r="H65" s="5"/>
      <c r="I65" s="5"/>
      <c r="J65" s="5">
        <f t="shared" si="7"/>
        <v>12.100000000000023</v>
      </c>
      <c r="K65" s="8" t="b">
        <f t="shared" si="8"/>
        <v>1</v>
      </c>
    </row>
    <row r="66" spans="1:11">
      <c r="A66" s="5" t="s">
        <v>367</v>
      </c>
      <c r="B66" s="6">
        <v>45151</v>
      </c>
      <c r="C66" s="7">
        <v>1</v>
      </c>
      <c r="D66" s="5"/>
      <c r="E66" s="5">
        <v>619.70000000000005</v>
      </c>
      <c r="F66" s="5">
        <v>630.70000000000005</v>
      </c>
      <c r="G66" s="6">
        <v>45151</v>
      </c>
      <c r="H66" s="5"/>
      <c r="I66" s="5"/>
      <c r="J66" s="5">
        <f t="shared" si="7"/>
        <v>11</v>
      </c>
      <c r="K66" s="8" t="b">
        <f t="shared" si="8"/>
        <v>1</v>
      </c>
    </row>
    <row r="67" spans="1:11">
      <c r="A67" s="5" t="s">
        <v>367</v>
      </c>
      <c r="B67" s="6">
        <v>45153</v>
      </c>
      <c r="C67" s="7">
        <v>1</v>
      </c>
      <c r="D67" s="5"/>
      <c r="E67" s="5">
        <v>630.70000000000005</v>
      </c>
      <c r="F67" s="5">
        <v>641.1</v>
      </c>
      <c r="G67" s="6">
        <v>45153</v>
      </c>
      <c r="H67" s="5"/>
      <c r="I67" s="5"/>
      <c r="J67" s="5">
        <f t="shared" si="7"/>
        <v>10.399999999999977</v>
      </c>
      <c r="K67" s="8" t="b">
        <f t="shared" si="8"/>
        <v>1</v>
      </c>
    </row>
    <row r="68" spans="1:11">
      <c r="A68" s="5" t="s">
        <v>367</v>
      </c>
      <c r="B68" s="6">
        <v>45156</v>
      </c>
      <c r="C68" s="7">
        <v>1</v>
      </c>
      <c r="D68" s="5"/>
      <c r="E68" s="5">
        <v>641.1</v>
      </c>
      <c r="F68" s="5">
        <v>652.29999999999995</v>
      </c>
      <c r="G68" s="6">
        <v>45156</v>
      </c>
      <c r="H68" s="5"/>
      <c r="I68" s="5"/>
      <c r="J68" s="5">
        <f t="shared" si="7"/>
        <v>11.199999999999932</v>
      </c>
      <c r="K68" s="8" t="b">
        <f t="shared" si="8"/>
        <v>1</v>
      </c>
    </row>
    <row r="69" spans="1:11">
      <c r="A69" s="5" t="s">
        <v>367</v>
      </c>
      <c r="B69" s="6">
        <v>45158</v>
      </c>
      <c r="C69" s="7">
        <v>1</v>
      </c>
      <c r="D69" s="5"/>
      <c r="E69" s="5">
        <v>652.29999999999995</v>
      </c>
      <c r="F69" s="5">
        <v>663.4</v>
      </c>
      <c r="G69" s="6">
        <v>45157</v>
      </c>
      <c r="H69" s="5"/>
      <c r="I69" s="5"/>
      <c r="J69" s="5">
        <f t="shared" ref="J69:J70" si="9">F69-E69</f>
        <v>11.100000000000023</v>
      </c>
      <c r="K69" s="8" t="b">
        <f t="shared" ref="K69" si="10">E69=F68</f>
        <v>1</v>
      </c>
    </row>
    <row r="70" spans="1:11">
      <c r="A70" s="5" t="s">
        <v>367</v>
      </c>
      <c r="B70" s="6">
        <v>45160</v>
      </c>
      <c r="C70" s="7">
        <v>1</v>
      </c>
      <c r="D70" s="5"/>
      <c r="E70" s="5">
        <v>663.4</v>
      </c>
      <c r="F70" s="5">
        <v>674.4</v>
      </c>
      <c r="G70" s="6">
        <v>45160</v>
      </c>
      <c r="H70" s="5"/>
      <c r="I70" s="5"/>
      <c r="J70" s="5">
        <f t="shared" si="9"/>
        <v>11</v>
      </c>
      <c r="K70" s="8" t="b">
        <f>E70=F69</f>
        <v>1</v>
      </c>
    </row>
    <row r="71" spans="1:11">
      <c r="A71" s="5" t="s">
        <v>367</v>
      </c>
      <c r="B71" s="6"/>
      <c r="C71" s="7"/>
      <c r="D71" s="5"/>
      <c r="E71" s="5"/>
      <c r="F71" s="5"/>
      <c r="G71" s="6"/>
      <c r="H71" s="5"/>
      <c r="I71" s="5"/>
      <c r="J71" s="5">
        <f t="shared" ref="J71" si="11">F71-E71</f>
        <v>0</v>
      </c>
      <c r="K71" s="8" t="b">
        <f t="shared" ref="K71" si="12">E71=F70</f>
        <v>0</v>
      </c>
    </row>
    <row r="73" spans="1:11" ht="26.25">
      <c r="A73" s="231" t="s">
        <v>366</v>
      </c>
      <c r="B73" s="232"/>
      <c r="C73" s="232"/>
      <c r="D73" s="232"/>
      <c r="E73" s="232"/>
      <c r="F73" s="232"/>
      <c r="G73" s="232"/>
      <c r="H73" s="232"/>
      <c r="I73" s="232"/>
      <c r="J73" s="232"/>
      <c r="K73" s="233"/>
    </row>
    <row r="74" spans="1:11" ht="26.25">
      <c r="A74" s="234" t="s">
        <v>48</v>
      </c>
      <c r="B74" s="235"/>
      <c r="C74" s="235"/>
      <c r="D74" s="235"/>
      <c r="E74" s="235"/>
      <c r="F74" s="235"/>
      <c r="G74" s="235"/>
      <c r="H74" s="235"/>
      <c r="I74" s="235"/>
      <c r="J74" s="235"/>
      <c r="K74" s="236"/>
    </row>
    <row r="75" spans="1:11" ht="15.75" thickBot="1"/>
    <row r="76" spans="1:11" ht="15.75" thickBot="1">
      <c r="A76" s="132" t="s">
        <v>2</v>
      </c>
      <c r="B76" s="133"/>
      <c r="C76" s="133"/>
      <c r="D76" s="133"/>
      <c r="E76" s="133"/>
      <c r="F76" s="133"/>
      <c r="G76" s="133"/>
      <c r="H76" s="133"/>
      <c r="I76" s="133"/>
      <c r="J76" s="133"/>
      <c r="K76" s="134"/>
    </row>
    <row r="78" spans="1:11" ht="19.5" thickBot="1">
      <c r="A78" s="1" t="s">
        <v>3</v>
      </c>
      <c r="B78" s="1"/>
      <c r="C78" s="1"/>
      <c r="D78" s="1"/>
      <c r="E78" s="1"/>
      <c r="F78" s="1"/>
      <c r="G78" s="1"/>
      <c r="H78" s="1"/>
      <c r="I78" s="1"/>
    </row>
    <row r="79" spans="1:11" ht="30.75" thickBot="1">
      <c r="A79" s="2" t="s">
        <v>4</v>
      </c>
      <c r="B79" s="3" t="s">
        <v>5</v>
      </c>
      <c r="C79" s="3" t="s">
        <v>6</v>
      </c>
      <c r="D79" s="3" t="s">
        <v>7</v>
      </c>
      <c r="E79" s="3" t="s">
        <v>8</v>
      </c>
      <c r="F79" s="3" t="s">
        <v>9</v>
      </c>
      <c r="G79" s="3" t="s">
        <v>10</v>
      </c>
      <c r="H79" s="3" t="s">
        <v>21</v>
      </c>
      <c r="I79" s="4" t="s">
        <v>22</v>
      </c>
      <c r="J79" s="4" t="s">
        <v>11</v>
      </c>
      <c r="K79" s="4" t="s">
        <v>12</v>
      </c>
    </row>
    <row r="80" spans="1:11">
      <c r="A80" s="5" t="s">
        <v>367</v>
      </c>
      <c r="B80" s="6">
        <v>45210</v>
      </c>
      <c r="C80" s="7">
        <v>0.8</v>
      </c>
      <c r="D80" s="5">
        <v>10.029999999999999</v>
      </c>
      <c r="E80" s="5">
        <v>674.4</v>
      </c>
      <c r="F80" s="5">
        <v>688.4</v>
      </c>
      <c r="G80" s="6">
        <v>45210</v>
      </c>
      <c r="H80" s="5"/>
      <c r="I80" s="5"/>
      <c r="J80" s="5">
        <f>F80-E80</f>
        <v>14</v>
      </c>
      <c r="K80" s="8" t="b">
        <f>E80=F80</f>
        <v>0</v>
      </c>
    </row>
    <row r="81" spans="1:11">
      <c r="A81" s="5" t="s">
        <v>367</v>
      </c>
      <c r="B81" s="6">
        <v>45211</v>
      </c>
      <c r="C81" s="7">
        <v>1</v>
      </c>
      <c r="D81" s="5">
        <v>8.02</v>
      </c>
      <c r="E81" s="5">
        <v>688.4</v>
      </c>
      <c r="F81" s="5">
        <v>699.5</v>
      </c>
      <c r="G81" s="6">
        <v>45211</v>
      </c>
      <c r="H81" s="5"/>
      <c r="I81" s="5"/>
      <c r="J81" s="5">
        <f t="shared" ref="J81:J83" si="13">F81-E81</f>
        <v>11.100000000000023</v>
      </c>
      <c r="K81" s="8" t="b">
        <f>E81=F80</f>
        <v>1</v>
      </c>
    </row>
    <row r="82" spans="1:11">
      <c r="A82" s="5" t="s">
        <v>367</v>
      </c>
      <c r="B82" s="6">
        <v>45212</v>
      </c>
      <c r="C82" s="7">
        <v>1</v>
      </c>
      <c r="D82" s="5">
        <v>8.02</v>
      </c>
      <c r="E82" s="5">
        <v>699.5</v>
      </c>
      <c r="F82" s="5">
        <v>710.5</v>
      </c>
      <c r="G82" s="6">
        <v>45212</v>
      </c>
      <c r="H82" s="5"/>
      <c r="I82" s="5"/>
      <c r="J82" s="5">
        <f t="shared" si="13"/>
        <v>11</v>
      </c>
      <c r="K82" s="8" t="b">
        <f t="shared" ref="K82:K83" si="14">E82=F81</f>
        <v>1</v>
      </c>
    </row>
    <row r="83" spans="1:11">
      <c r="A83" s="5" t="s">
        <v>367</v>
      </c>
      <c r="B83" s="6">
        <v>45213</v>
      </c>
      <c r="C83" s="7">
        <v>1</v>
      </c>
      <c r="D83" s="5">
        <v>8.02</v>
      </c>
      <c r="E83" s="5">
        <v>710.5</v>
      </c>
      <c r="F83" s="5">
        <v>721.5</v>
      </c>
      <c r="G83" s="6">
        <v>45213</v>
      </c>
      <c r="H83" s="5"/>
      <c r="I83" s="5"/>
      <c r="J83" s="5">
        <f t="shared" si="13"/>
        <v>11</v>
      </c>
      <c r="K83" s="8" t="b">
        <f t="shared" si="14"/>
        <v>1</v>
      </c>
    </row>
    <row r="84" spans="1:11">
      <c r="A84" s="5" t="s">
        <v>367</v>
      </c>
      <c r="B84" s="6">
        <v>45214</v>
      </c>
      <c r="C84" s="7">
        <v>1</v>
      </c>
      <c r="D84" s="5">
        <v>8.02</v>
      </c>
      <c r="E84" s="5">
        <v>721.5</v>
      </c>
      <c r="F84" s="5">
        <v>732.6</v>
      </c>
      <c r="G84" s="6">
        <v>45214</v>
      </c>
      <c r="H84" s="5"/>
      <c r="I84" s="5"/>
      <c r="J84" s="5">
        <f t="shared" ref="J84:J97" si="15">F84-E84</f>
        <v>11.100000000000023</v>
      </c>
      <c r="K84" s="8" t="b">
        <f t="shared" ref="K84:K97" si="16">E84=F83</f>
        <v>1</v>
      </c>
    </row>
    <row r="85" spans="1:11">
      <c r="A85" s="5" t="s">
        <v>367</v>
      </c>
      <c r="B85" s="6">
        <v>45215</v>
      </c>
      <c r="C85" s="7">
        <v>1</v>
      </c>
      <c r="D85" s="5">
        <v>8.02</v>
      </c>
      <c r="E85" s="5">
        <v>732.6</v>
      </c>
      <c r="F85" s="5">
        <v>743.6</v>
      </c>
      <c r="G85" s="6">
        <v>45215</v>
      </c>
      <c r="H85" s="5"/>
      <c r="I85" s="5"/>
      <c r="J85" s="5">
        <f t="shared" si="15"/>
        <v>11</v>
      </c>
      <c r="K85" s="8" t="b">
        <f t="shared" si="16"/>
        <v>1</v>
      </c>
    </row>
    <row r="86" spans="1:11">
      <c r="A86" s="5" t="s">
        <v>367</v>
      </c>
      <c r="B86" s="6">
        <v>45216</v>
      </c>
      <c r="C86" s="7">
        <v>1</v>
      </c>
      <c r="D86" s="5">
        <v>8.02</v>
      </c>
      <c r="E86" s="5">
        <v>743.6</v>
      </c>
      <c r="F86" s="5">
        <v>754.7</v>
      </c>
      <c r="G86" s="6">
        <v>45216</v>
      </c>
      <c r="H86" s="5"/>
      <c r="I86" s="5"/>
      <c r="J86" s="5">
        <f t="shared" si="15"/>
        <v>11.100000000000023</v>
      </c>
      <c r="K86" s="8" t="b">
        <f t="shared" si="16"/>
        <v>1</v>
      </c>
    </row>
    <row r="87" spans="1:11">
      <c r="A87" s="5" t="s">
        <v>367</v>
      </c>
      <c r="B87" s="6">
        <v>45217</v>
      </c>
      <c r="C87" s="7">
        <v>1</v>
      </c>
      <c r="D87" s="5">
        <v>8.02</v>
      </c>
      <c r="E87" s="5">
        <v>754.7</v>
      </c>
      <c r="F87" s="5">
        <v>765.7</v>
      </c>
      <c r="G87" s="6">
        <v>45217</v>
      </c>
      <c r="H87" s="5"/>
      <c r="I87" s="5"/>
      <c r="J87" s="5">
        <f t="shared" si="15"/>
        <v>11</v>
      </c>
      <c r="K87" s="8" t="b">
        <f t="shared" si="16"/>
        <v>1</v>
      </c>
    </row>
    <row r="88" spans="1:11">
      <c r="A88" s="5" t="s">
        <v>367</v>
      </c>
      <c r="B88" s="6">
        <v>45218</v>
      </c>
      <c r="C88" s="7">
        <v>1</v>
      </c>
      <c r="D88" s="5">
        <v>8.02</v>
      </c>
      <c r="E88" s="5">
        <v>765.7</v>
      </c>
      <c r="F88" s="5">
        <v>778.1</v>
      </c>
      <c r="G88" s="6">
        <v>45218</v>
      </c>
      <c r="H88" s="5"/>
      <c r="I88" s="5"/>
      <c r="J88" s="5">
        <f t="shared" si="15"/>
        <v>12.399999999999977</v>
      </c>
      <c r="K88" s="8" t="b">
        <f t="shared" si="16"/>
        <v>1</v>
      </c>
    </row>
    <row r="89" spans="1:11">
      <c r="A89" s="5" t="s">
        <v>367</v>
      </c>
      <c r="B89" s="6">
        <v>45219</v>
      </c>
      <c r="C89" s="7">
        <v>1</v>
      </c>
      <c r="D89" s="5">
        <v>8.02</v>
      </c>
      <c r="E89" s="5">
        <v>778.1</v>
      </c>
      <c r="F89" s="5">
        <v>789.1</v>
      </c>
      <c r="G89" s="6">
        <v>45219</v>
      </c>
      <c r="H89" s="5"/>
      <c r="I89" s="5"/>
      <c r="J89" s="5">
        <f t="shared" si="15"/>
        <v>11</v>
      </c>
      <c r="K89" s="8" t="b">
        <f t="shared" si="16"/>
        <v>1</v>
      </c>
    </row>
    <row r="90" spans="1:11">
      <c r="A90" s="5" t="s">
        <v>367</v>
      </c>
      <c r="B90" s="6">
        <v>45220</v>
      </c>
      <c r="C90" s="7">
        <v>1</v>
      </c>
      <c r="D90" s="5">
        <v>8.02</v>
      </c>
      <c r="E90" s="5">
        <v>789.1</v>
      </c>
      <c r="F90" s="5">
        <v>800.3</v>
      </c>
      <c r="G90" s="6">
        <v>45220</v>
      </c>
      <c r="H90" s="5"/>
      <c r="I90" s="5"/>
      <c r="J90" s="5">
        <f t="shared" si="15"/>
        <v>11.199999999999932</v>
      </c>
      <c r="K90" s="8" t="b">
        <f t="shared" si="16"/>
        <v>1</v>
      </c>
    </row>
    <row r="91" spans="1:11">
      <c r="A91" s="5" t="s">
        <v>367</v>
      </c>
      <c r="B91" s="6">
        <v>45221</v>
      </c>
      <c r="C91" s="7">
        <v>1</v>
      </c>
      <c r="D91" s="5">
        <v>8.02</v>
      </c>
      <c r="E91" s="5">
        <v>800.3</v>
      </c>
      <c r="F91" s="5">
        <v>811.3</v>
      </c>
      <c r="G91" s="6">
        <v>45221</v>
      </c>
      <c r="H91" s="5"/>
      <c r="I91" s="5"/>
      <c r="J91" s="5">
        <f t="shared" si="15"/>
        <v>11</v>
      </c>
      <c r="K91" s="8" t="b">
        <f t="shared" si="16"/>
        <v>1</v>
      </c>
    </row>
    <row r="92" spans="1:11">
      <c r="A92" s="5" t="s">
        <v>367</v>
      </c>
      <c r="B92" s="6">
        <v>45222</v>
      </c>
      <c r="C92" s="7">
        <v>1</v>
      </c>
      <c r="D92" s="5">
        <v>8.02</v>
      </c>
      <c r="E92" s="5">
        <v>811.3</v>
      </c>
      <c r="F92" s="5">
        <v>822.2</v>
      </c>
      <c r="G92" s="6">
        <v>45222</v>
      </c>
      <c r="H92" s="5"/>
      <c r="I92" s="5"/>
      <c r="J92" s="5">
        <f t="shared" si="15"/>
        <v>10.900000000000091</v>
      </c>
      <c r="K92" s="8" t="b">
        <f t="shared" si="16"/>
        <v>1</v>
      </c>
    </row>
    <row r="93" spans="1:11">
      <c r="A93" s="5" t="s">
        <v>367</v>
      </c>
      <c r="B93" s="6">
        <v>45223</v>
      </c>
      <c r="C93" s="7">
        <v>1</v>
      </c>
      <c r="D93" s="5">
        <v>8.02</v>
      </c>
      <c r="E93" s="5">
        <v>822.2</v>
      </c>
      <c r="F93" s="5">
        <v>833.6</v>
      </c>
      <c r="G93" s="6">
        <v>45223</v>
      </c>
      <c r="H93" s="5"/>
      <c r="I93" s="5"/>
      <c r="J93" s="5">
        <f t="shared" si="15"/>
        <v>11.399999999999977</v>
      </c>
      <c r="K93" s="8" t="b">
        <f t="shared" si="16"/>
        <v>1</v>
      </c>
    </row>
    <row r="94" spans="1:11">
      <c r="A94" s="101" t="s">
        <v>367</v>
      </c>
      <c r="B94" s="102">
        <v>45225</v>
      </c>
      <c r="C94" s="103">
        <v>1</v>
      </c>
      <c r="D94" s="101">
        <v>8.02</v>
      </c>
      <c r="E94" s="101">
        <v>833.6</v>
      </c>
      <c r="F94" s="101">
        <v>841.7</v>
      </c>
      <c r="G94" s="102">
        <v>45225</v>
      </c>
      <c r="H94" s="101"/>
      <c r="I94" s="101"/>
      <c r="J94" s="101">
        <f t="shared" si="15"/>
        <v>8.1000000000000227</v>
      </c>
      <c r="K94" s="8" t="b">
        <f t="shared" si="16"/>
        <v>1</v>
      </c>
    </row>
    <row r="95" spans="1:11">
      <c r="A95" s="5" t="s">
        <v>367</v>
      </c>
      <c r="B95" s="6">
        <v>45228</v>
      </c>
      <c r="C95" s="7">
        <v>1</v>
      </c>
      <c r="D95" s="5">
        <v>8.02</v>
      </c>
      <c r="E95" s="5">
        <v>841.7</v>
      </c>
      <c r="F95" s="5">
        <v>852.6</v>
      </c>
      <c r="G95" s="6">
        <v>45228</v>
      </c>
      <c r="H95" s="5"/>
      <c r="I95" s="5"/>
      <c r="J95" s="5">
        <f t="shared" si="15"/>
        <v>10.899999999999977</v>
      </c>
      <c r="K95" s="8" t="b">
        <f t="shared" si="16"/>
        <v>1</v>
      </c>
    </row>
    <row r="96" spans="1:11">
      <c r="A96" s="5" t="s">
        <v>367</v>
      </c>
      <c r="B96" s="6">
        <v>45230</v>
      </c>
      <c r="C96" s="7">
        <v>1</v>
      </c>
      <c r="D96" s="5">
        <v>8.02</v>
      </c>
      <c r="E96" s="5">
        <v>852.6</v>
      </c>
      <c r="F96" s="5">
        <v>863.7</v>
      </c>
      <c r="G96" s="6">
        <v>45230</v>
      </c>
      <c r="H96" s="5"/>
      <c r="I96" s="5"/>
      <c r="J96" s="5">
        <f t="shared" si="15"/>
        <v>11.100000000000023</v>
      </c>
      <c r="K96" s="8" t="b">
        <f t="shared" si="16"/>
        <v>1</v>
      </c>
    </row>
    <row r="97" spans="1:11">
      <c r="A97" s="5" t="s">
        <v>367</v>
      </c>
      <c r="B97" s="6">
        <v>45232</v>
      </c>
      <c r="C97" s="7">
        <v>1</v>
      </c>
      <c r="D97" s="5">
        <v>8.02</v>
      </c>
      <c r="E97" s="5">
        <v>863.7</v>
      </c>
      <c r="F97" s="5">
        <v>874.7</v>
      </c>
      <c r="G97" s="6">
        <v>45232</v>
      </c>
      <c r="H97" s="5"/>
      <c r="I97" s="5"/>
      <c r="J97" s="5">
        <f t="shared" si="15"/>
        <v>11</v>
      </c>
      <c r="K97" s="8" t="b">
        <f t="shared" si="16"/>
        <v>1</v>
      </c>
    </row>
    <row r="98" spans="1:11">
      <c r="A98" s="5" t="s">
        <v>367</v>
      </c>
      <c r="B98" s="6">
        <v>45237</v>
      </c>
      <c r="C98" s="7">
        <v>1</v>
      </c>
      <c r="D98" s="5">
        <v>8.02</v>
      </c>
      <c r="E98" s="5">
        <v>874.7</v>
      </c>
      <c r="F98" s="5">
        <v>885.6</v>
      </c>
      <c r="G98" s="6">
        <v>45237</v>
      </c>
      <c r="H98" s="5"/>
      <c r="I98" s="5"/>
      <c r="J98" s="5">
        <f t="shared" ref="J98:J105" si="17">F98-E98</f>
        <v>10.899999999999977</v>
      </c>
      <c r="K98" s="8" t="b">
        <f t="shared" ref="K98:K105" si="18">E98=F97</f>
        <v>1</v>
      </c>
    </row>
    <row r="99" spans="1:11">
      <c r="A99" s="80" t="s">
        <v>367</v>
      </c>
      <c r="B99" s="81">
        <v>45238</v>
      </c>
      <c r="C99" s="82">
        <v>1</v>
      </c>
      <c r="D99" s="80">
        <v>8.02</v>
      </c>
      <c r="E99" s="80">
        <v>885.6</v>
      </c>
      <c r="F99" s="80">
        <v>897.6</v>
      </c>
      <c r="G99" s="81">
        <v>45238</v>
      </c>
      <c r="H99" s="80"/>
      <c r="I99" s="80"/>
      <c r="J99" s="80">
        <f t="shared" si="17"/>
        <v>12</v>
      </c>
      <c r="K99" s="8" t="b">
        <f t="shared" si="18"/>
        <v>1</v>
      </c>
    </row>
    <row r="100" spans="1:11">
      <c r="A100" s="5" t="s">
        <v>367</v>
      </c>
      <c r="B100" s="6">
        <v>45239</v>
      </c>
      <c r="C100" s="7">
        <v>1</v>
      </c>
      <c r="D100" s="5">
        <v>8.02</v>
      </c>
      <c r="E100" s="5">
        <v>897.6</v>
      </c>
      <c r="F100" s="5">
        <v>907.5</v>
      </c>
      <c r="G100" s="6">
        <v>45239</v>
      </c>
      <c r="H100" s="5"/>
      <c r="I100" s="5"/>
      <c r="J100" s="5">
        <f t="shared" si="17"/>
        <v>9.8999999999999773</v>
      </c>
      <c r="K100" s="8" t="b">
        <f t="shared" si="18"/>
        <v>1</v>
      </c>
    </row>
    <row r="101" spans="1:11">
      <c r="A101" s="5" t="s">
        <v>367</v>
      </c>
      <c r="B101" s="6">
        <v>45240</v>
      </c>
      <c r="C101" s="7">
        <v>1</v>
      </c>
      <c r="D101" s="5">
        <v>8.02</v>
      </c>
      <c r="E101" s="5">
        <v>907.5</v>
      </c>
      <c r="F101" s="5">
        <v>918.5</v>
      </c>
      <c r="G101" s="6">
        <v>45240</v>
      </c>
      <c r="H101" s="5"/>
      <c r="I101" s="5"/>
      <c r="J101" s="5">
        <f t="shared" si="17"/>
        <v>11</v>
      </c>
      <c r="K101" s="8" t="b">
        <f t="shared" si="18"/>
        <v>1</v>
      </c>
    </row>
    <row r="102" spans="1:11">
      <c r="A102" s="5" t="s">
        <v>367</v>
      </c>
      <c r="B102" s="6">
        <v>45242</v>
      </c>
      <c r="C102" s="7">
        <v>1</v>
      </c>
      <c r="D102" s="5">
        <v>8.02</v>
      </c>
      <c r="E102" s="5">
        <v>918.5</v>
      </c>
      <c r="F102" s="5">
        <v>929.4</v>
      </c>
      <c r="G102" s="6">
        <v>45242</v>
      </c>
      <c r="H102" s="5"/>
      <c r="I102" s="5"/>
      <c r="J102" s="5">
        <f t="shared" si="17"/>
        <v>10.899999999999977</v>
      </c>
      <c r="K102" s="8" t="b">
        <f t="shared" si="18"/>
        <v>1</v>
      </c>
    </row>
    <row r="103" spans="1:11">
      <c r="A103" s="5" t="s">
        <v>367</v>
      </c>
      <c r="B103" s="6">
        <v>45244</v>
      </c>
      <c r="C103" s="7">
        <v>0.6</v>
      </c>
      <c r="D103" s="5">
        <v>13.37</v>
      </c>
      <c r="E103" s="5">
        <v>929.4</v>
      </c>
      <c r="F103" s="5">
        <v>947.9</v>
      </c>
      <c r="G103" s="6">
        <v>45244</v>
      </c>
      <c r="H103" s="5"/>
      <c r="I103" s="5"/>
      <c r="J103" s="5">
        <f t="shared" si="17"/>
        <v>18.5</v>
      </c>
      <c r="K103" s="8" t="b">
        <f t="shared" si="18"/>
        <v>1</v>
      </c>
    </row>
    <row r="104" spans="1:11">
      <c r="A104" s="5" t="s">
        <v>367</v>
      </c>
      <c r="B104" s="6">
        <v>45249</v>
      </c>
      <c r="C104" s="7">
        <v>0.5</v>
      </c>
      <c r="D104" s="5">
        <v>16.04</v>
      </c>
      <c r="E104" s="5">
        <v>947.9</v>
      </c>
      <c r="F104" s="5">
        <v>969.5</v>
      </c>
      <c r="G104" s="6">
        <v>45249</v>
      </c>
      <c r="H104" s="5"/>
      <c r="I104" s="5"/>
      <c r="J104" s="5">
        <f t="shared" si="17"/>
        <v>21.600000000000023</v>
      </c>
      <c r="K104" s="8" t="b">
        <f t="shared" si="18"/>
        <v>1</v>
      </c>
    </row>
    <row r="105" spans="1:11">
      <c r="A105" s="5" t="s">
        <v>367</v>
      </c>
      <c r="B105" s="6">
        <v>45250</v>
      </c>
      <c r="C105" s="7">
        <v>1</v>
      </c>
      <c r="D105" s="5">
        <v>8.02</v>
      </c>
      <c r="E105" s="5">
        <v>969.5</v>
      </c>
      <c r="F105" s="5">
        <v>981.4</v>
      </c>
      <c r="G105" s="6">
        <v>45250</v>
      </c>
      <c r="H105" s="5"/>
      <c r="I105" s="5"/>
      <c r="J105" s="5">
        <f t="shared" si="17"/>
        <v>11.899999999999977</v>
      </c>
      <c r="K105" s="8" t="b">
        <f t="shared" si="18"/>
        <v>1</v>
      </c>
    </row>
    <row r="106" spans="1:11">
      <c r="A106" s="5" t="s">
        <v>367</v>
      </c>
      <c r="B106" s="6">
        <v>45252</v>
      </c>
      <c r="C106" s="7">
        <v>0.5</v>
      </c>
      <c r="D106" s="5">
        <v>16.04</v>
      </c>
      <c r="E106" s="5">
        <v>981.4</v>
      </c>
      <c r="F106" s="5">
        <v>1003.2</v>
      </c>
      <c r="G106" s="6">
        <v>45252</v>
      </c>
      <c r="H106" s="5"/>
      <c r="I106" s="5"/>
      <c r="J106" s="5">
        <f t="shared" ref="J106:J123" si="19">F106-E106</f>
        <v>21.800000000000068</v>
      </c>
      <c r="K106" s="8" t="b">
        <f t="shared" ref="K106:K123" si="20">E106=F105</f>
        <v>1</v>
      </c>
    </row>
    <row r="107" spans="1:11">
      <c r="A107" s="5" t="s">
        <v>367</v>
      </c>
      <c r="B107" s="6">
        <v>45256</v>
      </c>
      <c r="C107" s="7">
        <v>0.5</v>
      </c>
      <c r="D107" s="5">
        <v>16.04</v>
      </c>
      <c r="E107" s="5">
        <v>1003.2</v>
      </c>
      <c r="F107" s="5">
        <v>1025</v>
      </c>
      <c r="G107" s="6">
        <v>45256</v>
      </c>
      <c r="H107" s="5"/>
      <c r="I107" s="5"/>
      <c r="J107" s="5">
        <f t="shared" si="19"/>
        <v>21.799999999999955</v>
      </c>
      <c r="K107" s="8" t="b">
        <f t="shared" si="20"/>
        <v>1</v>
      </c>
    </row>
    <row r="108" spans="1:11">
      <c r="A108" s="5" t="s">
        <v>367</v>
      </c>
      <c r="B108" s="6">
        <v>45259</v>
      </c>
      <c r="C108" s="7">
        <v>0.5</v>
      </c>
      <c r="D108" s="5">
        <v>16.04</v>
      </c>
      <c r="E108" s="5">
        <v>1025</v>
      </c>
      <c r="F108" s="5">
        <v>1046.8</v>
      </c>
      <c r="G108" s="6">
        <v>45259</v>
      </c>
      <c r="H108" s="5"/>
      <c r="I108" s="5"/>
      <c r="J108" s="5">
        <f t="shared" si="19"/>
        <v>21.799999999999955</v>
      </c>
      <c r="K108" s="8" t="b">
        <f t="shared" si="20"/>
        <v>1</v>
      </c>
    </row>
    <row r="109" spans="1:11">
      <c r="A109" s="5" t="s">
        <v>367</v>
      </c>
      <c r="B109" s="6">
        <v>45262</v>
      </c>
      <c r="C109" s="7">
        <v>0.5</v>
      </c>
      <c r="D109" s="5">
        <v>16.04</v>
      </c>
      <c r="E109" s="5">
        <v>1046.8</v>
      </c>
      <c r="F109" s="5">
        <v>1067.9000000000001</v>
      </c>
      <c r="G109" s="6">
        <v>45262</v>
      </c>
      <c r="H109" s="5"/>
      <c r="I109" s="5"/>
      <c r="J109" s="5">
        <f t="shared" si="19"/>
        <v>21.100000000000136</v>
      </c>
      <c r="K109" s="8" t="b">
        <f t="shared" si="20"/>
        <v>1</v>
      </c>
    </row>
    <row r="110" spans="1:11">
      <c r="A110" s="5" t="s">
        <v>367</v>
      </c>
      <c r="B110" s="6">
        <v>45264</v>
      </c>
      <c r="C110" s="7">
        <v>0.8</v>
      </c>
      <c r="D110" s="5">
        <v>10.029999999999999</v>
      </c>
      <c r="E110" s="5">
        <v>1067.9000000000001</v>
      </c>
      <c r="F110" s="5">
        <v>1082.0999999999999</v>
      </c>
      <c r="G110" s="6">
        <v>45264</v>
      </c>
      <c r="H110" s="5"/>
      <c r="I110" s="5"/>
      <c r="J110" s="5">
        <f t="shared" si="19"/>
        <v>14.199999999999818</v>
      </c>
      <c r="K110" s="8" t="b">
        <f t="shared" si="20"/>
        <v>1</v>
      </c>
    </row>
    <row r="111" spans="1:11">
      <c r="A111" s="5" t="s">
        <v>367</v>
      </c>
      <c r="B111" s="6">
        <v>45266</v>
      </c>
      <c r="C111" s="7">
        <v>0.7</v>
      </c>
      <c r="D111" s="5">
        <v>11.46</v>
      </c>
      <c r="E111" s="5">
        <v>1082.0999999999999</v>
      </c>
      <c r="F111" s="5">
        <v>1097.8</v>
      </c>
      <c r="G111" s="6">
        <v>45266</v>
      </c>
      <c r="H111" s="5"/>
      <c r="I111" s="5"/>
      <c r="J111" s="5">
        <f t="shared" si="19"/>
        <v>15.700000000000045</v>
      </c>
      <c r="K111" s="8" t="b">
        <f t="shared" si="20"/>
        <v>1</v>
      </c>
    </row>
    <row r="112" spans="1:11">
      <c r="A112" s="5" t="s">
        <v>367</v>
      </c>
      <c r="B112" s="6">
        <v>45268</v>
      </c>
      <c r="C112" s="7">
        <v>0.7</v>
      </c>
      <c r="D112" s="5">
        <v>11.46</v>
      </c>
      <c r="E112" s="5">
        <v>1097.8</v>
      </c>
      <c r="F112" s="5">
        <v>1113.5999999999999</v>
      </c>
      <c r="G112" s="6">
        <v>45268</v>
      </c>
      <c r="H112" s="5"/>
      <c r="I112" s="5"/>
      <c r="J112" s="5">
        <f t="shared" si="19"/>
        <v>15.799999999999955</v>
      </c>
      <c r="K112" s="8" t="b">
        <f t="shared" si="20"/>
        <v>1</v>
      </c>
    </row>
    <row r="113" spans="1:11">
      <c r="A113" s="5" t="s">
        <v>367</v>
      </c>
      <c r="B113" s="6">
        <v>45270</v>
      </c>
      <c r="C113" s="7">
        <v>0.7</v>
      </c>
      <c r="D113" s="5">
        <v>11.46</v>
      </c>
      <c r="E113" s="5">
        <v>1113.5999999999999</v>
      </c>
      <c r="F113" s="5">
        <v>1129.2</v>
      </c>
      <c r="G113" s="6">
        <v>45270</v>
      </c>
      <c r="H113" s="5"/>
      <c r="I113" s="5"/>
      <c r="J113" s="5">
        <f t="shared" si="19"/>
        <v>15.600000000000136</v>
      </c>
      <c r="K113" s="8" t="b">
        <f t="shared" si="20"/>
        <v>1</v>
      </c>
    </row>
    <row r="114" spans="1:11">
      <c r="A114" s="5" t="s">
        <v>367</v>
      </c>
      <c r="B114" s="6">
        <v>45272</v>
      </c>
      <c r="C114" s="7">
        <v>0.7</v>
      </c>
      <c r="D114" s="5">
        <v>11.46</v>
      </c>
      <c r="E114" s="5">
        <v>1129.2</v>
      </c>
      <c r="F114" s="5">
        <v>1144.7</v>
      </c>
      <c r="G114" s="6">
        <v>45272</v>
      </c>
      <c r="H114" s="5"/>
      <c r="I114" s="5"/>
      <c r="J114" s="5">
        <f t="shared" si="19"/>
        <v>15.5</v>
      </c>
      <c r="K114" s="8" t="b">
        <f t="shared" si="20"/>
        <v>1</v>
      </c>
    </row>
    <row r="115" spans="1:11">
      <c r="A115" s="5" t="s">
        <v>367</v>
      </c>
      <c r="B115" s="6">
        <v>45274</v>
      </c>
      <c r="C115" s="7">
        <v>0.7</v>
      </c>
      <c r="D115" s="5">
        <v>11.46</v>
      </c>
      <c r="E115" s="5">
        <v>1144.7</v>
      </c>
      <c r="F115" s="5">
        <v>1160.3</v>
      </c>
      <c r="G115" s="6">
        <v>45274</v>
      </c>
      <c r="H115" s="5"/>
      <c r="I115" s="5"/>
      <c r="J115" s="5">
        <f t="shared" si="19"/>
        <v>15.599999999999909</v>
      </c>
      <c r="K115" s="8" t="b">
        <f t="shared" si="20"/>
        <v>1</v>
      </c>
    </row>
    <row r="116" spans="1:11">
      <c r="A116" s="5" t="s">
        <v>367</v>
      </c>
      <c r="B116" s="6">
        <v>45276</v>
      </c>
      <c r="C116" s="7">
        <v>0.5</v>
      </c>
      <c r="D116" s="5">
        <v>16.04</v>
      </c>
      <c r="E116" s="5">
        <v>1160.3</v>
      </c>
      <c r="F116" s="5">
        <v>1182.0999999999999</v>
      </c>
      <c r="G116" s="6">
        <v>45276</v>
      </c>
      <c r="H116" s="5"/>
      <c r="I116" s="5"/>
      <c r="J116" s="5">
        <f t="shared" si="19"/>
        <v>21.799999999999955</v>
      </c>
      <c r="K116" s="8" t="b">
        <f t="shared" si="20"/>
        <v>1</v>
      </c>
    </row>
    <row r="117" spans="1:11">
      <c r="A117" s="5" t="s">
        <v>367</v>
      </c>
      <c r="B117" s="6">
        <v>45279</v>
      </c>
      <c r="C117" s="7">
        <v>1</v>
      </c>
      <c r="D117" s="5">
        <v>8.02</v>
      </c>
      <c r="E117" s="5">
        <v>1182.0999999999999</v>
      </c>
      <c r="F117" s="5">
        <v>1193</v>
      </c>
      <c r="G117" s="6">
        <v>45279</v>
      </c>
      <c r="H117" s="5"/>
      <c r="I117" s="5"/>
      <c r="J117" s="5">
        <f t="shared" si="19"/>
        <v>10.900000000000091</v>
      </c>
      <c r="K117" s="8" t="b">
        <f t="shared" si="20"/>
        <v>1</v>
      </c>
    </row>
    <row r="118" spans="1:11">
      <c r="A118" s="101" t="s">
        <v>367</v>
      </c>
      <c r="B118" s="102">
        <v>45282</v>
      </c>
      <c r="C118" s="103">
        <v>1</v>
      </c>
      <c r="D118" s="101">
        <v>8.02</v>
      </c>
      <c r="E118" s="101">
        <v>1193</v>
      </c>
      <c r="F118" s="101">
        <v>1201.0999999999999</v>
      </c>
      <c r="G118" s="102">
        <v>45282</v>
      </c>
      <c r="H118" s="101"/>
      <c r="I118" s="101"/>
      <c r="J118" s="101">
        <f t="shared" si="19"/>
        <v>8.0999999999999091</v>
      </c>
      <c r="K118" s="8" t="b">
        <f t="shared" si="20"/>
        <v>1</v>
      </c>
    </row>
    <row r="119" spans="1:11">
      <c r="A119" s="5" t="s">
        <v>367</v>
      </c>
      <c r="B119" s="6">
        <v>45286</v>
      </c>
      <c r="C119" s="7">
        <v>0.8</v>
      </c>
      <c r="D119" s="5">
        <v>10.029999999999999</v>
      </c>
      <c r="E119" s="5">
        <v>1201.0999999999999</v>
      </c>
      <c r="F119" s="5">
        <v>1214.8</v>
      </c>
      <c r="G119" s="6">
        <v>45286</v>
      </c>
      <c r="H119" s="5"/>
      <c r="I119" s="5"/>
      <c r="J119" s="5">
        <f t="shared" si="19"/>
        <v>13.700000000000045</v>
      </c>
      <c r="K119" s="8" t="b">
        <f t="shared" si="20"/>
        <v>1</v>
      </c>
    </row>
    <row r="120" spans="1:11">
      <c r="A120" s="5" t="s">
        <v>367</v>
      </c>
      <c r="B120" s="6">
        <v>45288</v>
      </c>
      <c r="C120" s="7">
        <v>0.7</v>
      </c>
      <c r="D120" s="5">
        <v>11.46</v>
      </c>
      <c r="E120" s="5">
        <v>1214.8</v>
      </c>
      <c r="F120" s="5">
        <v>1230.3</v>
      </c>
      <c r="G120" s="6">
        <v>45288</v>
      </c>
      <c r="H120" s="5"/>
      <c r="I120" s="5"/>
      <c r="J120" s="5">
        <f t="shared" si="19"/>
        <v>15.5</v>
      </c>
      <c r="K120" s="8" t="b">
        <f t="shared" si="20"/>
        <v>1</v>
      </c>
    </row>
    <row r="121" spans="1:11">
      <c r="A121" s="5" t="s">
        <v>367</v>
      </c>
      <c r="B121" s="6">
        <v>45290</v>
      </c>
      <c r="C121" s="7">
        <v>1</v>
      </c>
      <c r="D121" s="5">
        <v>8.02</v>
      </c>
      <c r="E121" s="5">
        <v>1230.3</v>
      </c>
      <c r="F121" s="5">
        <v>1241.4000000000001</v>
      </c>
      <c r="G121" s="6">
        <v>45290</v>
      </c>
      <c r="H121" s="5"/>
      <c r="I121" s="5"/>
      <c r="J121" s="5">
        <f t="shared" si="19"/>
        <v>11.100000000000136</v>
      </c>
      <c r="K121" s="8" t="b">
        <f t="shared" si="20"/>
        <v>1</v>
      </c>
    </row>
    <row r="122" spans="1:11">
      <c r="A122" s="5" t="s">
        <v>367</v>
      </c>
      <c r="B122" s="6">
        <v>45303</v>
      </c>
      <c r="C122" s="7">
        <v>1</v>
      </c>
      <c r="D122" s="5">
        <v>8.02</v>
      </c>
      <c r="E122" s="5">
        <v>1241.4000000000001</v>
      </c>
      <c r="F122" s="5">
        <v>1252.4000000000001</v>
      </c>
      <c r="G122" s="6">
        <v>45303</v>
      </c>
      <c r="H122" s="5"/>
      <c r="I122" s="5"/>
      <c r="J122" s="5">
        <f t="shared" si="19"/>
        <v>11</v>
      </c>
      <c r="K122" s="8" t="b">
        <f t="shared" si="20"/>
        <v>1</v>
      </c>
    </row>
    <row r="123" spans="1:11">
      <c r="A123" s="5" t="s">
        <v>367</v>
      </c>
      <c r="B123" s="6">
        <v>45305</v>
      </c>
      <c r="C123" s="7">
        <v>0.7</v>
      </c>
      <c r="D123" s="5">
        <v>11.46</v>
      </c>
      <c r="E123" s="5">
        <v>1252.4000000000001</v>
      </c>
      <c r="F123" s="5">
        <v>1267.4000000000001</v>
      </c>
      <c r="G123" s="6">
        <v>45305</v>
      </c>
      <c r="H123" s="5"/>
      <c r="I123" s="5"/>
      <c r="J123" s="5">
        <f t="shared" si="19"/>
        <v>15</v>
      </c>
      <c r="K123" s="8" t="b">
        <f t="shared" si="20"/>
        <v>1</v>
      </c>
    </row>
    <row r="124" spans="1:11">
      <c r="A124" s="5" t="s">
        <v>367</v>
      </c>
      <c r="B124" s="6">
        <v>45308</v>
      </c>
      <c r="C124" s="7">
        <v>0.5</v>
      </c>
      <c r="D124" s="5">
        <v>8.02</v>
      </c>
      <c r="E124" s="5">
        <v>1267.4000000000001</v>
      </c>
      <c r="F124" s="5">
        <v>1289.4000000000001</v>
      </c>
      <c r="G124" s="6">
        <v>45308</v>
      </c>
      <c r="H124" s="5"/>
      <c r="I124" s="5"/>
      <c r="J124" s="5">
        <f t="shared" ref="J124:J129" si="21">F124-E124</f>
        <v>22</v>
      </c>
      <c r="K124" s="8" t="b">
        <f t="shared" ref="K124:K129" si="22">E124=F123</f>
        <v>1</v>
      </c>
    </row>
    <row r="125" spans="1:11">
      <c r="A125" s="5" t="s">
        <v>367</v>
      </c>
      <c r="B125" s="6">
        <v>45311</v>
      </c>
      <c r="C125" s="7">
        <v>0.5</v>
      </c>
      <c r="D125" s="5">
        <v>8.02</v>
      </c>
      <c r="E125" s="5">
        <v>1289.4000000000001</v>
      </c>
      <c r="F125" s="5">
        <v>1311.2</v>
      </c>
      <c r="G125" s="6">
        <v>45311</v>
      </c>
      <c r="H125" s="5"/>
      <c r="I125" s="5"/>
      <c r="J125" s="5">
        <f t="shared" si="21"/>
        <v>21.799999999999955</v>
      </c>
      <c r="K125" s="8" t="b">
        <f t="shared" si="22"/>
        <v>1</v>
      </c>
    </row>
    <row r="126" spans="1:11">
      <c r="A126" s="5" t="s">
        <v>367</v>
      </c>
      <c r="B126" s="6">
        <v>45327</v>
      </c>
      <c r="C126" s="7">
        <v>0.7</v>
      </c>
      <c r="D126" s="5">
        <v>11.46</v>
      </c>
      <c r="E126" s="5">
        <v>1311.2</v>
      </c>
      <c r="F126" s="5">
        <v>1328</v>
      </c>
      <c r="G126" s="6">
        <v>45327</v>
      </c>
      <c r="H126" s="5"/>
      <c r="I126" s="5"/>
      <c r="J126" s="5">
        <f t="shared" si="21"/>
        <v>16.799999999999955</v>
      </c>
      <c r="K126" s="8" t="b">
        <f t="shared" si="22"/>
        <v>1</v>
      </c>
    </row>
    <row r="127" spans="1:11">
      <c r="A127" s="5" t="s">
        <v>367</v>
      </c>
      <c r="B127" s="6">
        <v>45330</v>
      </c>
      <c r="C127" s="7">
        <v>1</v>
      </c>
      <c r="D127" s="5">
        <v>8.02</v>
      </c>
      <c r="E127" s="5">
        <v>1328</v>
      </c>
      <c r="F127" s="5">
        <v>1339.6</v>
      </c>
      <c r="G127" s="6">
        <v>45330</v>
      </c>
      <c r="H127" s="5"/>
      <c r="I127" s="5"/>
      <c r="J127" s="5">
        <f t="shared" si="21"/>
        <v>11.599999999999909</v>
      </c>
      <c r="K127" s="8" t="b">
        <f t="shared" si="22"/>
        <v>1</v>
      </c>
    </row>
    <row r="128" spans="1:11">
      <c r="A128" s="5" t="s">
        <v>367</v>
      </c>
      <c r="B128" s="6"/>
      <c r="C128" s="7"/>
      <c r="D128" s="5"/>
      <c r="E128" s="5"/>
      <c r="F128" s="5"/>
      <c r="G128" s="6"/>
      <c r="H128" s="5"/>
      <c r="I128" s="5"/>
      <c r="J128" s="5">
        <f t="shared" si="21"/>
        <v>0</v>
      </c>
      <c r="K128" s="8" t="b">
        <f t="shared" si="22"/>
        <v>0</v>
      </c>
    </row>
    <row r="129" spans="1:11">
      <c r="A129" s="5" t="s">
        <v>367</v>
      </c>
      <c r="B129" s="6"/>
      <c r="C129" s="7"/>
      <c r="D129" s="5"/>
      <c r="E129" s="5"/>
      <c r="F129" s="5"/>
      <c r="G129" s="6"/>
      <c r="H129" s="5"/>
      <c r="I129" s="5"/>
      <c r="J129" s="5">
        <f t="shared" si="21"/>
        <v>0</v>
      </c>
      <c r="K129" s="8" t="b">
        <f t="shared" si="22"/>
        <v>1</v>
      </c>
    </row>
    <row r="130" spans="1:11" ht="26.25">
      <c r="A130" s="231" t="s">
        <v>366</v>
      </c>
      <c r="B130" s="232"/>
      <c r="C130" s="232"/>
      <c r="D130" s="232"/>
      <c r="E130" s="232"/>
      <c r="F130" s="232"/>
      <c r="G130" s="232"/>
      <c r="H130" s="232"/>
      <c r="I130" s="232"/>
      <c r="J130" s="232"/>
      <c r="K130" s="233"/>
    </row>
    <row r="131" spans="1:11" ht="26.25">
      <c r="A131" s="234" t="s">
        <v>369</v>
      </c>
      <c r="B131" s="235"/>
      <c r="C131" s="235"/>
      <c r="D131" s="235"/>
      <c r="E131" s="235"/>
      <c r="F131" s="235"/>
      <c r="G131" s="235"/>
      <c r="H131" s="235"/>
      <c r="I131" s="235"/>
      <c r="J131" s="235"/>
      <c r="K131" s="236"/>
    </row>
    <row r="132" spans="1:11" ht="15.75" thickBot="1"/>
    <row r="133" spans="1:11" ht="15.75" thickBot="1">
      <c r="A133" s="132" t="s">
        <v>2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4"/>
    </row>
    <row r="135" spans="1:11" ht="19.5" thickBot="1">
      <c r="A135" s="1" t="s">
        <v>3</v>
      </c>
      <c r="B135" s="1"/>
      <c r="C135" s="1"/>
      <c r="D135" s="1"/>
      <c r="E135" s="1"/>
      <c r="F135" s="1"/>
      <c r="G135" s="1"/>
      <c r="H135" s="1"/>
      <c r="I135" s="1"/>
    </row>
    <row r="136" spans="1:11" ht="30.75" thickBot="1">
      <c r="A136" s="2" t="s">
        <v>4</v>
      </c>
      <c r="B136" s="3" t="s">
        <v>5</v>
      </c>
      <c r="C136" s="3" t="s">
        <v>6</v>
      </c>
      <c r="D136" s="115" t="s">
        <v>7</v>
      </c>
      <c r="E136" s="3" t="s">
        <v>8</v>
      </c>
      <c r="F136" s="3" t="s">
        <v>9</v>
      </c>
      <c r="G136" s="3" t="s">
        <v>10</v>
      </c>
      <c r="H136" s="3" t="s">
        <v>21</v>
      </c>
      <c r="I136" s="4" t="s">
        <v>22</v>
      </c>
      <c r="J136" s="117" t="s">
        <v>11</v>
      </c>
      <c r="K136" s="117"/>
    </row>
    <row r="137" spans="1:11">
      <c r="A137" s="5" t="s">
        <v>367</v>
      </c>
      <c r="B137" s="6">
        <v>45357</v>
      </c>
      <c r="C137" s="7">
        <v>1</v>
      </c>
      <c r="D137" s="116">
        <v>7.5</v>
      </c>
      <c r="E137" s="5">
        <v>1339.6</v>
      </c>
      <c r="F137" s="5">
        <v>1351.3</v>
      </c>
      <c r="G137" s="6">
        <v>45357</v>
      </c>
      <c r="H137" s="5"/>
      <c r="I137" s="5"/>
      <c r="J137" s="5">
        <f t="shared" ref="J137" si="23">F137-E137</f>
        <v>11.700000000000045</v>
      </c>
      <c r="K137" s="8" t="b">
        <f>E137=F127</f>
        <v>1</v>
      </c>
    </row>
    <row r="138" spans="1:11">
      <c r="A138" s="5" t="s">
        <v>367</v>
      </c>
      <c r="B138" s="6">
        <v>45358</v>
      </c>
      <c r="C138" s="7">
        <v>1</v>
      </c>
      <c r="D138" s="116">
        <v>7.5</v>
      </c>
      <c r="E138" s="5">
        <v>1351.3</v>
      </c>
      <c r="F138" s="5">
        <v>1362.4</v>
      </c>
      <c r="G138" s="6">
        <v>45358</v>
      </c>
      <c r="H138" s="5"/>
      <c r="I138" s="5"/>
      <c r="J138" s="5">
        <f t="shared" ref="J138" si="24">F138-E138</f>
        <v>11.100000000000136</v>
      </c>
      <c r="K138" s="8" t="b">
        <f>E138=F137</f>
        <v>1</v>
      </c>
    </row>
    <row r="139" spans="1:11">
      <c r="A139" s="5" t="s">
        <v>367</v>
      </c>
      <c r="B139" s="6">
        <v>45359</v>
      </c>
      <c r="C139" s="7">
        <v>1</v>
      </c>
      <c r="D139" s="116">
        <v>7.5</v>
      </c>
      <c r="E139" s="5">
        <v>1362.3</v>
      </c>
      <c r="F139" s="5">
        <v>1373.5</v>
      </c>
      <c r="G139" s="6">
        <v>45359</v>
      </c>
      <c r="H139" s="5"/>
      <c r="I139" s="5"/>
      <c r="J139" s="5">
        <f t="shared" ref="J139:J181" si="25">F139-E139</f>
        <v>11.200000000000045</v>
      </c>
      <c r="K139" s="8" t="b">
        <f t="shared" ref="K139:K181" si="26">E139=F138</f>
        <v>0</v>
      </c>
    </row>
    <row r="140" spans="1:11">
      <c r="A140" s="5" t="s">
        <v>367</v>
      </c>
      <c r="B140" s="6">
        <v>45361</v>
      </c>
      <c r="C140" s="7">
        <v>1</v>
      </c>
      <c r="D140" s="116">
        <v>7.5</v>
      </c>
      <c r="E140" s="5">
        <v>1373.5</v>
      </c>
      <c r="F140" s="5">
        <v>1384.5</v>
      </c>
      <c r="G140" s="6">
        <v>45361</v>
      </c>
      <c r="H140" s="5"/>
      <c r="I140" s="5"/>
      <c r="J140" s="5">
        <f t="shared" si="25"/>
        <v>11</v>
      </c>
      <c r="K140" s="8" t="b">
        <f t="shared" si="26"/>
        <v>1</v>
      </c>
    </row>
    <row r="141" spans="1:11">
      <c r="A141" s="5" t="s">
        <v>367</v>
      </c>
      <c r="B141" s="6">
        <v>45365</v>
      </c>
      <c r="C141" s="7">
        <v>1</v>
      </c>
      <c r="D141" s="116">
        <v>7.5</v>
      </c>
      <c r="E141" s="5">
        <v>1384.5</v>
      </c>
      <c r="F141" s="5">
        <v>1395.5</v>
      </c>
      <c r="G141" s="6">
        <v>45365</v>
      </c>
      <c r="H141" s="5"/>
      <c r="I141" s="5"/>
      <c r="J141" s="5">
        <f t="shared" si="25"/>
        <v>11</v>
      </c>
      <c r="K141" s="8" t="b">
        <f t="shared" si="26"/>
        <v>1</v>
      </c>
    </row>
    <row r="142" spans="1:11">
      <c r="A142" s="5" t="s">
        <v>367</v>
      </c>
      <c r="B142" s="6">
        <v>45368</v>
      </c>
      <c r="C142" s="7">
        <v>1</v>
      </c>
      <c r="D142" s="116">
        <v>7.5</v>
      </c>
      <c r="E142" s="5">
        <v>1395.5</v>
      </c>
      <c r="F142" s="5" t="s">
        <v>370</v>
      </c>
      <c r="G142" s="6">
        <v>45368</v>
      </c>
      <c r="H142" s="5"/>
      <c r="I142" s="5"/>
      <c r="J142" s="5" t="e">
        <f t="shared" si="25"/>
        <v>#VALUE!</v>
      </c>
      <c r="K142" s="8" t="b">
        <f t="shared" si="26"/>
        <v>1</v>
      </c>
    </row>
    <row r="143" spans="1:11">
      <c r="A143" s="5" t="s">
        <v>367</v>
      </c>
      <c r="B143" s="6">
        <v>45369</v>
      </c>
      <c r="C143" s="7">
        <v>1</v>
      </c>
      <c r="D143" s="116">
        <v>7.5</v>
      </c>
      <c r="E143" s="5">
        <v>1395.5</v>
      </c>
      <c r="F143" s="5">
        <v>1406.5</v>
      </c>
      <c r="G143" s="6">
        <v>45369</v>
      </c>
      <c r="H143" s="5"/>
      <c r="I143" s="5"/>
      <c r="J143" s="5">
        <f t="shared" si="25"/>
        <v>11</v>
      </c>
      <c r="K143" s="8" t="b">
        <f t="shared" si="26"/>
        <v>0</v>
      </c>
    </row>
    <row r="144" spans="1:11">
      <c r="A144" s="5" t="s">
        <v>367</v>
      </c>
      <c r="B144" s="6">
        <v>45370</v>
      </c>
      <c r="C144" s="7">
        <v>1</v>
      </c>
      <c r="D144" s="116">
        <v>7.5</v>
      </c>
      <c r="E144" s="5"/>
      <c r="F144" s="5"/>
      <c r="G144" s="6">
        <v>45370</v>
      </c>
      <c r="H144" s="5"/>
      <c r="I144" s="5"/>
      <c r="J144" s="5">
        <f t="shared" si="25"/>
        <v>0</v>
      </c>
      <c r="K144" s="8" t="b">
        <f t="shared" si="26"/>
        <v>0</v>
      </c>
    </row>
    <row r="145" spans="1:11">
      <c r="A145" s="5" t="s">
        <v>367</v>
      </c>
      <c r="B145" s="6">
        <v>45374</v>
      </c>
      <c r="C145" s="7">
        <v>1</v>
      </c>
      <c r="D145" s="116">
        <v>7.5</v>
      </c>
      <c r="E145" s="5">
        <v>1406.5</v>
      </c>
      <c r="F145" s="5">
        <v>1417.3</v>
      </c>
      <c r="G145" s="6">
        <v>45374</v>
      </c>
      <c r="H145" s="5"/>
      <c r="I145" s="5"/>
      <c r="J145" s="5">
        <f t="shared" si="25"/>
        <v>10.799999999999955</v>
      </c>
      <c r="K145" s="8" t="b">
        <f t="shared" si="26"/>
        <v>0</v>
      </c>
    </row>
    <row r="146" spans="1:11">
      <c r="A146" s="5" t="s">
        <v>367</v>
      </c>
      <c r="B146" s="6">
        <v>45377</v>
      </c>
      <c r="C146" s="7">
        <v>1</v>
      </c>
      <c r="D146" s="116">
        <v>7.5</v>
      </c>
      <c r="E146" s="5">
        <v>1417.3</v>
      </c>
      <c r="F146" s="5" t="s">
        <v>157</v>
      </c>
      <c r="G146" s="6">
        <v>45377</v>
      </c>
      <c r="H146" s="5"/>
      <c r="I146" s="5"/>
      <c r="J146" s="5" t="e">
        <f t="shared" si="25"/>
        <v>#VALUE!</v>
      </c>
      <c r="K146" s="8" t="b">
        <f t="shared" si="26"/>
        <v>1</v>
      </c>
    </row>
    <row r="147" spans="1:11">
      <c r="A147" s="5" t="s">
        <v>367</v>
      </c>
      <c r="B147" s="6">
        <v>45383</v>
      </c>
      <c r="C147" s="7">
        <v>0.8</v>
      </c>
      <c r="D147" s="116">
        <v>9.3800000000000008</v>
      </c>
      <c r="E147" s="5">
        <v>1417.3</v>
      </c>
      <c r="F147" s="5">
        <v>1431.6</v>
      </c>
      <c r="G147" s="6">
        <v>45383</v>
      </c>
      <c r="H147" s="5"/>
      <c r="I147" s="5"/>
      <c r="J147" s="5">
        <f t="shared" si="25"/>
        <v>14.299999999999955</v>
      </c>
      <c r="K147" s="8" t="b">
        <f t="shared" si="26"/>
        <v>0</v>
      </c>
    </row>
    <row r="148" spans="1:11">
      <c r="A148" s="5" t="s">
        <v>367</v>
      </c>
      <c r="B148" s="6">
        <v>45385</v>
      </c>
      <c r="C148" s="7">
        <v>1</v>
      </c>
      <c r="D148" s="116">
        <v>7.5</v>
      </c>
      <c r="E148" s="5">
        <v>1431.6</v>
      </c>
      <c r="F148" s="5">
        <v>1442.7</v>
      </c>
      <c r="G148" s="6">
        <v>45385</v>
      </c>
      <c r="H148" s="5"/>
      <c r="I148" s="5"/>
      <c r="J148" s="5">
        <f t="shared" si="25"/>
        <v>11.100000000000136</v>
      </c>
      <c r="K148" s="8" t="b">
        <f t="shared" si="26"/>
        <v>1</v>
      </c>
    </row>
    <row r="149" spans="1:11">
      <c r="A149" s="5" t="s">
        <v>367</v>
      </c>
      <c r="B149" s="6">
        <v>45389</v>
      </c>
      <c r="C149" s="7">
        <v>1</v>
      </c>
      <c r="D149" s="116">
        <v>7.5</v>
      </c>
      <c r="E149" s="5">
        <v>1442.7</v>
      </c>
      <c r="F149" s="5">
        <v>1453.8</v>
      </c>
      <c r="G149" s="6">
        <v>45389</v>
      </c>
      <c r="H149" s="5"/>
      <c r="I149" s="5"/>
      <c r="J149" s="5">
        <f t="shared" si="25"/>
        <v>11.099999999999909</v>
      </c>
      <c r="K149" s="8" t="b">
        <f t="shared" si="26"/>
        <v>1</v>
      </c>
    </row>
    <row r="150" spans="1:11">
      <c r="A150" s="5" t="s">
        <v>367</v>
      </c>
      <c r="B150" s="6">
        <v>45391</v>
      </c>
      <c r="C150" s="7">
        <v>1</v>
      </c>
      <c r="D150" s="116">
        <v>7.5</v>
      </c>
      <c r="E150" s="5">
        <v>1453.8</v>
      </c>
      <c r="F150" s="5">
        <v>1464.9</v>
      </c>
      <c r="G150" s="6">
        <v>45391</v>
      </c>
      <c r="H150" s="5"/>
      <c r="I150" s="5"/>
      <c r="J150" s="5">
        <f t="shared" si="25"/>
        <v>11.100000000000136</v>
      </c>
      <c r="K150" s="8" t="b">
        <f t="shared" si="26"/>
        <v>1</v>
      </c>
    </row>
    <row r="151" spans="1:11">
      <c r="A151" s="5" t="s">
        <v>367</v>
      </c>
      <c r="B151" s="6">
        <v>45393</v>
      </c>
      <c r="C151" s="7">
        <v>1</v>
      </c>
      <c r="D151" s="116">
        <v>7.5</v>
      </c>
      <c r="E151" s="5">
        <v>1464.9</v>
      </c>
      <c r="F151" s="5">
        <v>1469.1</v>
      </c>
      <c r="G151" s="6">
        <v>45393</v>
      </c>
      <c r="H151" s="5"/>
      <c r="I151" s="5"/>
      <c r="J151" s="5">
        <f t="shared" si="25"/>
        <v>4.1999999999998181</v>
      </c>
      <c r="K151" s="8" t="b">
        <f t="shared" si="26"/>
        <v>1</v>
      </c>
    </row>
    <row r="152" spans="1:11">
      <c r="A152" s="5" t="s">
        <v>367</v>
      </c>
      <c r="B152" s="6">
        <v>45398</v>
      </c>
      <c r="C152" s="7">
        <v>1</v>
      </c>
      <c r="D152" s="116">
        <v>7.5</v>
      </c>
      <c r="E152" s="5">
        <v>1469.1</v>
      </c>
      <c r="F152" s="5">
        <v>1480.2</v>
      </c>
      <c r="G152" s="6">
        <v>45398</v>
      </c>
      <c r="H152" s="5"/>
      <c r="I152" s="5"/>
      <c r="J152" s="5">
        <f t="shared" si="25"/>
        <v>11.100000000000136</v>
      </c>
      <c r="K152" s="8" t="b">
        <f t="shared" si="26"/>
        <v>1</v>
      </c>
    </row>
    <row r="153" spans="1:11">
      <c r="A153" s="5" t="s">
        <v>367</v>
      </c>
      <c r="B153" s="6">
        <v>45400</v>
      </c>
      <c r="C153" s="7">
        <v>1</v>
      </c>
      <c r="D153" s="116">
        <v>7.5</v>
      </c>
      <c r="E153" s="5">
        <v>1480.2</v>
      </c>
      <c r="F153" s="5">
        <v>1491.3</v>
      </c>
      <c r="G153" s="6">
        <v>45400</v>
      </c>
      <c r="H153" s="5"/>
      <c r="I153" s="5"/>
      <c r="J153" s="5">
        <f t="shared" si="25"/>
        <v>11.099999999999909</v>
      </c>
      <c r="K153" s="8" t="b">
        <f t="shared" si="26"/>
        <v>1</v>
      </c>
    </row>
    <row r="154" spans="1:11">
      <c r="A154" s="5" t="s">
        <v>367</v>
      </c>
      <c r="B154" s="6">
        <v>45404</v>
      </c>
      <c r="C154" s="7">
        <v>1</v>
      </c>
      <c r="D154" s="116">
        <v>7.5</v>
      </c>
      <c r="E154" s="5">
        <v>1491.3</v>
      </c>
      <c r="F154" s="5">
        <v>1502.4</v>
      </c>
      <c r="G154" s="6">
        <v>45404</v>
      </c>
      <c r="H154" s="5"/>
      <c r="I154" s="5"/>
      <c r="J154" s="5">
        <f t="shared" si="25"/>
        <v>11.100000000000136</v>
      </c>
      <c r="K154" s="8" t="b">
        <f t="shared" si="26"/>
        <v>1</v>
      </c>
    </row>
    <row r="155" spans="1:11">
      <c r="A155" s="5" t="s">
        <v>367</v>
      </c>
      <c r="B155" s="6">
        <v>45406</v>
      </c>
      <c r="C155" s="7">
        <v>1</v>
      </c>
      <c r="D155" s="116">
        <v>7.5</v>
      </c>
      <c r="E155" s="5">
        <v>1502.4</v>
      </c>
      <c r="F155" s="5">
        <v>1513.4</v>
      </c>
      <c r="G155" s="6">
        <v>45406</v>
      </c>
      <c r="H155" s="5"/>
      <c r="I155" s="5"/>
      <c r="J155" s="5">
        <f t="shared" si="25"/>
        <v>11</v>
      </c>
      <c r="K155" s="8" t="b">
        <f t="shared" si="26"/>
        <v>1</v>
      </c>
    </row>
    <row r="156" spans="1:11">
      <c r="A156" s="5" t="s">
        <v>367</v>
      </c>
      <c r="B156" s="6">
        <v>45408</v>
      </c>
      <c r="C156" s="7">
        <v>1</v>
      </c>
      <c r="D156" s="116">
        <v>7.5</v>
      </c>
      <c r="E156" s="5">
        <v>1513.4</v>
      </c>
      <c r="F156" s="5">
        <v>1524.7</v>
      </c>
      <c r="G156" s="6">
        <v>45408</v>
      </c>
      <c r="H156" s="5"/>
      <c r="I156" s="5"/>
      <c r="J156" s="5">
        <f t="shared" si="25"/>
        <v>11.299999999999955</v>
      </c>
      <c r="K156" s="8" t="b">
        <f t="shared" si="26"/>
        <v>1</v>
      </c>
    </row>
    <row r="157" spans="1:11">
      <c r="A157" s="5" t="s">
        <v>367</v>
      </c>
      <c r="B157" s="6">
        <v>45411</v>
      </c>
      <c r="C157" s="7">
        <v>1</v>
      </c>
      <c r="D157" s="116">
        <v>7.5</v>
      </c>
      <c r="E157" s="5">
        <v>1524.7</v>
      </c>
      <c r="F157" s="5">
        <v>1535.8</v>
      </c>
      <c r="G157" s="6">
        <v>45411</v>
      </c>
      <c r="H157" s="5"/>
      <c r="I157" s="5"/>
      <c r="J157" s="5">
        <f t="shared" si="25"/>
        <v>11.099999999999909</v>
      </c>
      <c r="K157" s="8" t="b">
        <f t="shared" si="26"/>
        <v>1</v>
      </c>
    </row>
    <row r="158" spans="1:11">
      <c r="A158" s="5" t="s">
        <v>367</v>
      </c>
      <c r="B158" s="6">
        <v>45416</v>
      </c>
      <c r="C158" s="7">
        <v>1</v>
      </c>
      <c r="D158" s="116">
        <v>7.5</v>
      </c>
      <c r="E158" s="5">
        <v>1535.8</v>
      </c>
      <c r="F158" s="5">
        <v>1548.3</v>
      </c>
      <c r="G158" s="6">
        <v>45416</v>
      </c>
      <c r="H158" s="5"/>
      <c r="I158" s="5"/>
      <c r="J158" s="5">
        <f t="shared" si="25"/>
        <v>12.5</v>
      </c>
      <c r="K158" s="8" t="b">
        <f t="shared" si="26"/>
        <v>1</v>
      </c>
    </row>
    <row r="159" spans="1:11">
      <c r="A159" s="5" t="s">
        <v>367</v>
      </c>
      <c r="B159" s="6">
        <v>45418</v>
      </c>
      <c r="C159" s="7">
        <v>1</v>
      </c>
      <c r="D159" s="116">
        <v>7.5</v>
      </c>
      <c r="E159" s="5">
        <v>1548.3</v>
      </c>
      <c r="F159" s="5">
        <v>1559.4</v>
      </c>
      <c r="G159" s="6">
        <v>45418</v>
      </c>
      <c r="H159" s="5"/>
      <c r="I159" s="5"/>
      <c r="J159" s="5">
        <f t="shared" si="25"/>
        <v>11.100000000000136</v>
      </c>
      <c r="K159" s="8" t="b">
        <f t="shared" si="26"/>
        <v>1</v>
      </c>
    </row>
    <row r="160" spans="1:11">
      <c r="A160" s="5" t="s">
        <v>367</v>
      </c>
      <c r="B160" s="6">
        <v>45420</v>
      </c>
      <c r="C160" s="7">
        <v>1</v>
      </c>
      <c r="D160" s="8">
        <v>7.5</v>
      </c>
      <c r="E160" s="5">
        <v>1559.4</v>
      </c>
      <c r="F160" s="5">
        <v>1570.6</v>
      </c>
      <c r="G160" s="6">
        <v>45420</v>
      </c>
      <c r="H160" s="5"/>
      <c r="I160" s="5"/>
      <c r="J160" s="5">
        <f t="shared" si="25"/>
        <v>11.199999999999818</v>
      </c>
      <c r="K160" s="8" t="b">
        <f t="shared" si="26"/>
        <v>1</v>
      </c>
    </row>
    <row r="161" spans="1:11">
      <c r="A161" s="5" t="s">
        <v>367</v>
      </c>
      <c r="B161" s="6">
        <v>45422</v>
      </c>
      <c r="C161" s="7">
        <v>1</v>
      </c>
      <c r="D161" s="5">
        <v>7.5</v>
      </c>
      <c r="E161" s="5">
        <v>1570.6</v>
      </c>
      <c r="F161" s="5">
        <v>1581.7</v>
      </c>
      <c r="G161" s="6">
        <v>45422</v>
      </c>
      <c r="H161" s="5"/>
      <c r="I161" s="5"/>
      <c r="J161" s="5">
        <f t="shared" si="25"/>
        <v>11.100000000000136</v>
      </c>
      <c r="K161" s="8" t="b">
        <f t="shared" si="26"/>
        <v>1</v>
      </c>
    </row>
    <row r="162" spans="1:11">
      <c r="A162" s="5" t="s">
        <v>367</v>
      </c>
      <c r="B162" s="6">
        <v>45424</v>
      </c>
      <c r="C162" s="7">
        <v>0.8</v>
      </c>
      <c r="D162" s="5">
        <v>9.3800000000000008</v>
      </c>
      <c r="E162" s="5">
        <v>1581.7</v>
      </c>
      <c r="F162" s="5">
        <v>1595.6</v>
      </c>
      <c r="G162" s="6">
        <v>45424</v>
      </c>
      <c r="H162" s="5"/>
      <c r="I162" s="5"/>
      <c r="J162" s="5">
        <f t="shared" si="25"/>
        <v>13.899999999999864</v>
      </c>
      <c r="K162" s="8" t="b">
        <f t="shared" si="26"/>
        <v>1</v>
      </c>
    </row>
    <row r="163" spans="1:11">
      <c r="A163" s="5" t="s">
        <v>367</v>
      </c>
      <c r="B163" s="6">
        <v>45428</v>
      </c>
      <c r="C163" s="7">
        <v>0.8</v>
      </c>
      <c r="D163" s="5">
        <v>9.3800000000000008</v>
      </c>
      <c r="E163" s="5">
        <v>1595.6</v>
      </c>
      <c r="F163" s="5">
        <v>1609.4</v>
      </c>
      <c r="G163" s="6">
        <v>45428</v>
      </c>
      <c r="H163" s="5"/>
      <c r="I163" s="5"/>
      <c r="J163" s="5">
        <f t="shared" si="25"/>
        <v>13.800000000000182</v>
      </c>
      <c r="K163" s="8" t="b">
        <f t="shared" si="26"/>
        <v>1</v>
      </c>
    </row>
    <row r="164" spans="1:11">
      <c r="A164" s="5" t="s">
        <v>367</v>
      </c>
      <c r="B164" s="6">
        <v>45431</v>
      </c>
      <c r="C164" s="7">
        <v>0.8</v>
      </c>
      <c r="D164" s="5">
        <v>9.3800000000000008</v>
      </c>
      <c r="E164" s="5">
        <v>1609.4</v>
      </c>
      <c r="F164" s="5">
        <v>1623.3</v>
      </c>
      <c r="G164" s="6">
        <v>45431</v>
      </c>
      <c r="H164" s="5"/>
      <c r="I164" s="5"/>
      <c r="J164" s="5">
        <f t="shared" si="25"/>
        <v>13.899999999999864</v>
      </c>
      <c r="K164" s="8" t="b">
        <f t="shared" si="26"/>
        <v>1</v>
      </c>
    </row>
    <row r="165" spans="1:11">
      <c r="A165" s="5" t="s">
        <v>367</v>
      </c>
      <c r="B165" s="6">
        <v>45435</v>
      </c>
      <c r="C165" s="7">
        <v>0.8</v>
      </c>
      <c r="D165" s="5">
        <v>9.3800000000000008</v>
      </c>
      <c r="E165" s="5">
        <v>1623.3</v>
      </c>
      <c r="F165" s="5">
        <v>1637.1</v>
      </c>
      <c r="G165" s="6">
        <v>45435</v>
      </c>
      <c r="H165" s="5"/>
      <c r="I165" s="5"/>
      <c r="J165" s="5">
        <f t="shared" si="25"/>
        <v>13.799999999999955</v>
      </c>
      <c r="K165" s="8" t="b">
        <f t="shared" si="26"/>
        <v>1</v>
      </c>
    </row>
    <row r="166" spans="1:11">
      <c r="A166" s="5" t="s">
        <v>367</v>
      </c>
      <c r="B166" s="6">
        <v>45439</v>
      </c>
      <c r="C166" s="7">
        <v>0.8</v>
      </c>
      <c r="D166" s="5">
        <v>9.3800000000000008</v>
      </c>
      <c r="E166" s="5">
        <v>1637.1</v>
      </c>
      <c r="F166" s="5">
        <v>1651</v>
      </c>
      <c r="G166" s="6">
        <v>45439</v>
      </c>
      <c r="H166" s="5"/>
      <c r="I166" s="5"/>
      <c r="J166" s="5">
        <f t="shared" si="25"/>
        <v>13.900000000000091</v>
      </c>
      <c r="K166" s="8" t="b">
        <f t="shared" si="26"/>
        <v>1</v>
      </c>
    </row>
    <row r="167" spans="1:11">
      <c r="A167" s="5" t="s">
        <v>367</v>
      </c>
      <c r="B167" s="6">
        <v>45447</v>
      </c>
      <c r="C167" s="7">
        <v>0.8</v>
      </c>
      <c r="D167" s="5">
        <v>9.3800000000000008</v>
      </c>
      <c r="E167" s="5">
        <v>1651</v>
      </c>
      <c r="F167" s="5">
        <v>1665.1</v>
      </c>
      <c r="G167" s="6">
        <v>45447</v>
      </c>
      <c r="H167" s="5"/>
      <c r="I167" s="5"/>
      <c r="J167" s="5">
        <f t="shared" si="25"/>
        <v>14.099999999999909</v>
      </c>
      <c r="K167" s="8" t="b">
        <f t="shared" si="26"/>
        <v>1</v>
      </c>
    </row>
    <row r="168" spans="1:11">
      <c r="A168" s="5" t="s">
        <v>367</v>
      </c>
      <c r="B168" s="6">
        <v>45450</v>
      </c>
      <c r="C168" s="7">
        <v>0.7</v>
      </c>
      <c r="D168" s="5">
        <v>10.7</v>
      </c>
      <c r="E168" s="5">
        <v>1665.1</v>
      </c>
      <c r="F168" s="5">
        <v>1681</v>
      </c>
      <c r="G168" s="6">
        <v>45450</v>
      </c>
      <c r="H168" s="5"/>
      <c r="I168" s="5"/>
      <c r="J168" s="5">
        <f t="shared" si="25"/>
        <v>15.900000000000091</v>
      </c>
      <c r="K168" s="8" t="b">
        <f t="shared" si="26"/>
        <v>1</v>
      </c>
    </row>
    <row r="169" spans="1:11">
      <c r="A169" s="5" t="s">
        <v>367</v>
      </c>
      <c r="B169" s="6">
        <v>45454</v>
      </c>
      <c r="C169" s="7">
        <v>0.7</v>
      </c>
      <c r="D169" s="5">
        <v>10.7</v>
      </c>
      <c r="E169" s="5">
        <v>1681</v>
      </c>
      <c r="F169" s="5">
        <v>1697.2</v>
      </c>
      <c r="G169" s="6">
        <v>45454</v>
      </c>
      <c r="H169" s="5"/>
      <c r="I169" s="5"/>
      <c r="J169" s="5">
        <f t="shared" si="25"/>
        <v>16.200000000000045</v>
      </c>
      <c r="K169" s="8" t="b">
        <f t="shared" si="26"/>
        <v>1</v>
      </c>
    </row>
    <row r="170" spans="1:11">
      <c r="A170" s="5" t="s">
        <v>367</v>
      </c>
      <c r="B170" s="6">
        <v>45457</v>
      </c>
      <c r="C170" s="7">
        <v>1</v>
      </c>
      <c r="D170" s="5">
        <v>7.5</v>
      </c>
      <c r="E170" s="5">
        <v>1679.2</v>
      </c>
      <c r="F170" s="5">
        <v>1708.7</v>
      </c>
      <c r="G170" s="6">
        <v>45457</v>
      </c>
      <c r="H170" s="5"/>
      <c r="I170" s="5"/>
      <c r="J170" s="5">
        <f t="shared" si="25"/>
        <v>29.5</v>
      </c>
      <c r="K170" s="8" t="b">
        <f t="shared" si="26"/>
        <v>0</v>
      </c>
    </row>
    <row r="171" spans="1:11">
      <c r="A171" s="5" t="s">
        <v>367</v>
      </c>
      <c r="B171" s="6">
        <v>45466</v>
      </c>
      <c r="C171" s="7">
        <v>1</v>
      </c>
      <c r="D171" s="5">
        <v>7.5</v>
      </c>
      <c r="E171" s="5">
        <v>1708.7</v>
      </c>
      <c r="F171" s="5">
        <v>1720.3</v>
      </c>
      <c r="G171" s="6">
        <v>45466</v>
      </c>
      <c r="H171" s="5"/>
      <c r="I171" s="5"/>
      <c r="J171" s="5">
        <f t="shared" si="25"/>
        <v>11.599999999999909</v>
      </c>
      <c r="K171" s="8" t="b">
        <f t="shared" si="26"/>
        <v>1</v>
      </c>
    </row>
    <row r="172" spans="1:11">
      <c r="A172" s="5" t="s">
        <v>367</v>
      </c>
      <c r="B172" s="6">
        <v>45547</v>
      </c>
      <c r="C172" s="7">
        <v>0.65</v>
      </c>
      <c r="D172" s="5">
        <v>11.8</v>
      </c>
      <c r="E172" s="5">
        <v>1720.3</v>
      </c>
      <c r="F172" s="5">
        <v>1723.7</v>
      </c>
      <c r="G172" s="6">
        <v>45547</v>
      </c>
      <c r="H172" s="5"/>
      <c r="I172" s="5"/>
      <c r="J172" s="5">
        <f t="shared" si="25"/>
        <v>3.4000000000000909</v>
      </c>
      <c r="K172" s="8" t="b">
        <f t="shared" si="26"/>
        <v>1</v>
      </c>
    </row>
    <row r="173" spans="1:11">
      <c r="A173" s="5" t="s">
        <v>367</v>
      </c>
      <c r="B173" s="6"/>
      <c r="C173" s="7"/>
      <c r="D173" s="5"/>
      <c r="E173" s="5"/>
      <c r="F173" s="5"/>
      <c r="G173" s="6"/>
      <c r="H173" s="5"/>
      <c r="I173" s="5"/>
      <c r="J173" s="5">
        <f t="shared" si="25"/>
        <v>0</v>
      </c>
      <c r="K173" s="8" t="b">
        <f t="shared" si="26"/>
        <v>0</v>
      </c>
    </row>
    <row r="174" spans="1:11">
      <c r="A174" s="5" t="s">
        <v>367</v>
      </c>
      <c r="B174" s="6"/>
      <c r="C174" s="7"/>
      <c r="D174" s="5"/>
      <c r="E174" s="5"/>
      <c r="F174" s="5"/>
      <c r="G174" s="6"/>
      <c r="H174" s="5"/>
      <c r="I174" s="5"/>
      <c r="J174" s="5">
        <f t="shared" si="25"/>
        <v>0</v>
      </c>
      <c r="K174" s="8" t="b">
        <f t="shared" si="26"/>
        <v>1</v>
      </c>
    </row>
    <row r="175" spans="1:11">
      <c r="A175" s="5" t="s">
        <v>367</v>
      </c>
      <c r="B175" s="6"/>
      <c r="C175" s="7"/>
      <c r="D175" s="5"/>
      <c r="E175" s="5"/>
      <c r="F175" s="5"/>
      <c r="G175" s="6"/>
      <c r="H175" s="5"/>
      <c r="I175" s="5"/>
      <c r="J175" s="5">
        <f t="shared" si="25"/>
        <v>0</v>
      </c>
      <c r="K175" s="8" t="b">
        <f t="shared" si="26"/>
        <v>1</v>
      </c>
    </row>
    <row r="176" spans="1:11">
      <c r="A176" s="5" t="s">
        <v>367</v>
      </c>
      <c r="B176" s="6"/>
      <c r="C176" s="7"/>
      <c r="D176" s="5"/>
      <c r="E176" s="5"/>
      <c r="F176" s="5"/>
      <c r="G176" s="6"/>
      <c r="H176" s="5"/>
      <c r="I176" s="5"/>
      <c r="J176" s="5">
        <f t="shared" si="25"/>
        <v>0</v>
      </c>
      <c r="K176" s="8" t="b">
        <f t="shared" si="26"/>
        <v>1</v>
      </c>
    </row>
    <row r="177" spans="1:11">
      <c r="A177" s="5" t="s">
        <v>367</v>
      </c>
      <c r="B177" s="6"/>
      <c r="C177" s="7"/>
      <c r="D177" s="5"/>
      <c r="E177" s="5"/>
      <c r="F177" s="5"/>
      <c r="G177" s="6"/>
      <c r="H177" s="5"/>
      <c r="I177" s="5"/>
      <c r="J177" s="5">
        <f t="shared" si="25"/>
        <v>0</v>
      </c>
      <c r="K177" s="8" t="b">
        <f t="shared" si="26"/>
        <v>1</v>
      </c>
    </row>
    <row r="178" spans="1:11">
      <c r="A178" s="5" t="s">
        <v>367</v>
      </c>
      <c r="B178" s="6"/>
      <c r="C178" s="7"/>
      <c r="D178" s="5"/>
      <c r="E178" s="5"/>
      <c r="F178" s="5"/>
      <c r="G178" s="6"/>
      <c r="H178" s="5"/>
      <c r="I178" s="5"/>
      <c r="J178" s="5">
        <f t="shared" si="25"/>
        <v>0</v>
      </c>
      <c r="K178" s="8" t="b">
        <f t="shared" si="26"/>
        <v>1</v>
      </c>
    </row>
    <row r="179" spans="1:11">
      <c r="A179" s="5" t="s">
        <v>367</v>
      </c>
      <c r="B179" s="6"/>
      <c r="C179" s="7"/>
      <c r="D179" s="5"/>
      <c r="E179" s="5"/>
      <c r="F179" s="5"/>
      <c r="G179" s="6"/>
      <c r="H179" s="5"/>
      <c r="I179" s="5"/>
      <c r="J179" s="5">
        <f t="shared" si="25"/>
        <v>0</v>
      </c>
      <c r="K179" s="8" t="b">
        <f t="shared" si="26"/>
        <v>1</v>
      </c>
    </row>
    <row r="180" spans="1:11">
      <c r="A180" s="5" t="s">
        <v>367</v>
      </c>
      <c r="B180" s="6"/>
      <c r="C180" s="7"/>
      <c r="D180" s="5"/>
      <c r="E180" s="5"/>
      <c r="F180" s="5"/>
      <c r="G180" s="6"/>
      <c r="H180" s="5"/>
      <c r="I180" s="5"/>
      <c r="J180" s="5">
        <f t="shared" si="25"/>
        <v>0</v>
      </c>
      <c r="K180" s="8" t="b">
        <f t="shared" si="26"/>
        <v>1</v>
      </c>
    </row>
    <row r="181" spans="1:11">
      <c r="A181" s="5" t="s">
        <v>367</v>
      </c>
      <c r="B181" s="6"/>
      <c r="C181" s="7"/>
      <c r="D181" s="5"/>
      <c r="E181" s="5"/>
      <c r="F181" s="5"/>
      <c r="G181" s="6"/>
      <c r="H181" s="5"/>
      <c r="I181" s="5"/>
      <c r="J181" s="5">
        <f t="shared" si="25"/>
        <v>0</v>
      </c>
      <c r="K181" s="8" t="b">
        <f t="shared" si="26"/>
        <v>1</v>
      </c>
    </row>
  </sheetData>
  <autoFilter ref="A136:K181" xr:uid="{55318953-AABB-43FC-BD9C-0255F7277A11}"/>
  <mergeCells count="9">
    <mergeCell ref="A130:K130"/>
    <mergeCell ref="A131:K131"/>
    <mergeCell ref="A133:K133"/>
    <mergeCell ref="A76:K76"/>
    <mergeCell ref="A1:K1"/>
    <mergeCell ref="A2:K2"/>
    <mergeCell ref="A4:K4"/>
    <mergeCell ref="A73:K73"/>
    <mergeCell ref="A74:K74"/>
  </mergeCells>
  <conditionalFormatting sqref="K1:K2 K4 K7:K71">
    <cfRule type="cellIs" dxfId="17" priority="6" operator="equal">
      <formula>TRUE</formula>
    </cfRule>
    <cfRule type="cellIs" dxfId="16" priority="7" operator="equal">
      <formula>FALSE</formula>
    </cfRule>
  </conditionalFormatting>
  <conditionalFormatting sqref="K73:K74 K76 K79:K131 K133">
    <cfRule type="cellIs" dxfId="15" priority="4" operator="equal">
      <formula>TRUE</formula>
    </cfRule>
    <cfRule type="cellIs" dxfId="14" priority="5" operator="equal">
      <formula>FALSE</formula>
    </cfRule>
  </conditionalFormatting>
  <conditionalFormatting sqref="K137:K181">
    <cfRule type="cellIs" dxfId="13" priority="1" operator="equal">
      <formula>TRUE</formula>
    </cfRule>
    <cfRule type="cellIs" dxfId="12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3C08-47BF-4B47-B410-B1BF915C4CE3}">
  <sheetPr codeName="Planilha39" filterMode="1"/>
  <dimension ref="A1:K109"/>
  <sheetViews>
    <sheetView topLeftCell="A57" workbookViewId="0">
      <selection activeCell="D90" sqref="D90:D95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231" t="s">
        <v>371</v>
      </c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ht="26.25">
      <c r="A2" s="234" t="s">
        <v>48</v>
      </c>
      <c r="B2" s="235"/>
      <c r="C2" s="235"/>
      <c r="D2" s="235"/>
      <c r="E2" s="235"/>
      <c r="F2" s="235"/>
      <c r="G2" s="235"/>
      <c r="H2" s="235"/>
      <c r="I2" s="235"/>
      <c r="J2" s="235"/>
      <c r="K2" s="236"/>
    </row>
    <row r="4" spans="1:1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8.7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372</v>
      </c>
      <c r="B8" s="6">
        <v>45211</v>
      </c>
      <c r="C8" s="7">
        <v>0.8</v>
      </c>
      <c r="D8" s="5">
        <v>10.029999999999999</v>
      </c>
      <c r="E8" s="5">
        <v>24.6</v>
      </c>
      <c r="F8" s="5">
        <v>39.200000000000003</v>
      </c>
      <c r="G8" s="6">
        <v>45211</v>
      </c>
      <c r="H8" s="5"/>
      <c r="I8" s="5"/>
      <c r="J8" s="5">
        <f>F8-E8</f>
        <v>14.600000000000001</v>
      </c>
      <c r="K8" s="8" t="b">
        <f>E8=F8</f>
        <v>0</v>
      </c>
    </row>
    <row r="9" spans="1:11">
      <c r="A9" s="5" t="s">
        <v>372</v>
      </c>
      <c r="B9" s="6">
        <v>45212</v>
      </c>
      <c r="C9" s="7">
        <v>0.8</v>
      </c>
      <c r="D9" s="5">
        <v>10.029999999999999</v>
      </c>
      <c r="E9" s="5">
        <v>39.200000000000003</v>
      </c>
      <c r="F9" s="5">
        <v>50.4</v>
      </c>
      <c r="G9" s="6">
        <v>45212</v>
      </c>
      <c r="H9" s="5"/>
      <c r="I9" s="5"/>
      <c r="J9" s="5">
        <f t="shared" ref="J9:J11" si="0">F9-E9</f>
        <v>11.199999999999996</v>
      </c>
      <c r="K9" s="8" t="b">
        <f>E9=F8</f>
        <v>1</v>
      </c>
    </row>
    <row r="10" spans="1:11">
      <c r="A10" s="5" t="s">
        <v>372</v>
      </c>
      <c r="B10" s="6">
        <v>45213</v>
      </c>
      <c r="C10" s="7">
        <v>1</v>
      </c>
      <c r="D10" s="5">
        <v>8.02</v>
      </c>
      <c r="E10" s="5">
        <v>50.4</v>
      </c>
      <c r="F10" s="5">
        <v>62.1</v>
      </c>
      <c r="G10" s="6">
        <v>45213</v>
      </c>
      <c r="H10" s="5"/>
      <c r="I10" s="5"/>
      <c r="J10" s="5">
        <f t="shared" si="0"/>
        <v>11.700000000000003</v>
      </c>
      <c r="K10" s="8" t="b">
        <f t="shared" ref="K10:K11" si="1">E10=F9</f>
        <v>1</v>
      </c>
    </row>
    <row r="11" spans="1:11">
      <c r="A11" s="5" t="s">
        <v>372</v>
      </c>
      <c r="B11" s="6">
        <v>45214</v>
      </c>
      <c r="C11" s="7">
        <v>1</v>
      </c>
      <c r="D11" s="5">
        <v>8.02</v>
      </c>
      <c r="E11" s="5">
        <v>62.1</v>
      </c>
      <c r="F11" s="5">
        <v>73.5</v>
      </c>
      <c r="G11" s="6">
        <v>45214</v>
      </c>
      <c r="H11" s="5"/>
      <c r="I11" s="5"/>
      <c r="J11" s="5">
        <f t="shared" si="0"/>
        <v>11.399999999999999</v>
      </c>
      <c r="K11" s="8" t="b">
        <f t="shared" si="1"/>
        <v>1</v>
      </c>
    </row>
    <row r="12" spans="1:11">
      <c r="A12" s="5" t="s">
        <v>372</v>
      </c>
      <c r="B12" s="6">
        <v>45215</v>
      </c>
      <c r="C12" s="7">
        <v>1</v>
      </c>
      <c r="D12" s="5">
        <v>8.02</v>
      </c>
      <c r="E12" s="5">
        <v>73.5</v>
      </c>
      <c r="F12" s="5">
        <v>85.3</v>
      </c>
      <c r="G12" s="6">
        <v>45215</v>
      </c>
      <c r="H12" s="5"/>
      <c r="I12" s="5"/>
      <c r="J12" s="5">
        <f t="shared" ref="J12:J29" si="2">F12-E12</f>
        <v>11.799999999999997</v>
      </c>
      <c r="K12" s="8" t="b">
        <f t="shared" ref="K12:K40" si="3">E12=F11</f>
        <v>1</v>
      </c>
    </row>
    <row r="13" spans="1:11">
      <c r="A13" s="5" t="s">
        <v>372</v>
      </c>
      <c r="B13" s="6">
        <v>45216</v>
      </c>
      <c r="C13" s="7">
        <v>1</v>
      </c>
      <c r="D13" s="5">
        <v>8.02</v>
      </c>
      <c r="E13" s="5">
        <v>85.3</v>
      </c>
      <c r="F13" s="5">
        <v>97.2</v>
      </c>
      <c r="G13" s="6">
        <v>45216</v>
      </c>
      <c r="H13" s="5"/>
      <c r="I13" s="5"/>
      <c r="J13" s="5">
        <f t="shared" si="2"/>
        <v>11.900000000000006</v>
      </c>
      <c r="K13" s="8" t="b">
        <f t="shared" si="3"/>
        <v>1</v>
      </c>
    </row>
    <row r="14" spans="1:11">
      <c r="A14" s="5" t="s">
        <v>372</v>
      </c>
      <c r="B14" s="6">
        <v>45217</v>
      </c>
      <c r="C14" s="7">
        <v>1</v>
      </c>
      <c r="D14" s="5">
        <v>8.02</v>
      </c>
      <c r="E14" s="5">
        <v>97.2</v>
      </c>
      <c r="F14" s="5">
        <v>108.3</v>
      </c>
      <c r="G14" s="6">
        <v>45217</v>
      </c>
      <c r="H14" s="5"/>
      <c r="I14" s="5"/>
      <c r="J14" s="5">
        <f t="shared" si="2"/>
        <v>11.099999999999994</v>
      </c>
      <c r="K14" s="8" t="b">
        <f t="shared" si="3"/>
        <v>1</v>
      </c>
    </row>
    <row r="15" spans="1:11">
      <c r="A15" s="5" t="s">
        <v>372</v>
      </c>
      <c r="B15" s="6">
        <v>45218</v>
      </c>
      <c r="C15" s="7">
        <v>1</v>
      </c>
      <c r="D15" s="5">
        <v>8.02</v>
      </c>
      <c r="E15" s="5">
        <v>108.3</v>
      </c>
      <c r="F15" s="5">
        <v>121.2</v>
      </c>
      <c r="G15" s="6">
        <v>45218</v>
      </c>
      <c r="H15" s="5"/>
      <c r="I15" s="5"/>
      <c r="J15" s="5">
        <f t="shared" si="2"/>
        <v>12.900000000000006</v>
      </c>
      <c r="K15" s="8" t="b">
        <f t="shared" si="3"/>
        <v>1</v>
      </c>
    </row>
    <row r="16" spans="1:11">
      <c r="A16" s="5" t="s">
        <v>372</v>
      </c>
      <c r="B16" s="6">
        <v>45219</v>
      </c>
      <c r="C16" s="7">
        <v>0.95</v>
      </c>
      <c r="D16" s="5">
        <v>8.44</v>
      </c>
      <c r="E16" s="5">
        <v>121.2</v>
      </c>
      <c r="F16" s="5">
        <v>132.9</v>
      </c>
      <c r="G16" s="6">
        <v>45219</v>
      </c>
      <c r="H16" s="5"/>
      <c r="I16" s="5"/>
      <c r="J16" s="5">
        <f t="shared" si="2"/>
        <v>11.700000000000003</v>
      </c>
      <c r="K16" s="8" t="b">
        <f t="shared" si="3"/>
        <v>1</v>
      </c>
    </row>
    <row r="17" spans="1:11">
      <c r="A17" s="5" t="s">
        <v>372</v>
      </c>
      <c r="B17" s="6">
        <v>45220</v>
      </c>
      <c r="C17" s="7">
        <v>1</v>
      </c>
      <c r="D17" s="5">
        <v>8.02</v>
      </c>
      <c r="E17" s="5">
        <v>132.9</v>
      </c>
      <c r="F17" s="5">
        <v>144.30000000000001</v>
      </c>
      <c r="G17" s="6">
        <v>45220</v>
      </c>
      <c r="H17" s="5"/>
      <c r="I17" s="5"/>
      <c r="J17" s="5">
        <f t="shared" si="2"/>
        <v>11.400000000000006</v>
      </c>
      <c r="K17" s="8" t="b">
        <f t="shared" si="3"/>
        <v>1</v>
      </c>
    </row>
    <row r="18" spans="1:11">
      <c r="A18" s="5" t="s">
        <v>372</v>
      </c>
      <c r="B18" s="6">
        <v>45221</v>
      </c>
      <c r="C18" s="7">
        <v>0.95</v>
      </c>
      <c r="D18" s="5">
        <v>8.44</v>
      </c>
      <c r="E18" s="5">
        <v>144.30000000000001</v>
      </c>
      <c r="F18" s="5">
        <v>155.9</v>
      </c>
      <c r="G18" s="6">
        <v>45221</v>
      </c>
      <c r="H18" s="5"/>
      <c r="I18" s="5"/>
      <c r="J18" s="5">
        <f t="shared" si="2"/>
        <v>11.599999999999994</v>
      </c>
      <c r="K18" s="8" t="b">
        <f t="shared" si="3"/>
        <v>1</v>
      </c>
    </row>
    <row r="19" spans="1:11">
      <c r="A19" s="5" t="s">
        <v>372</v>
      </c>
      <c r="B19" s="6">
        <v>45222</v>
      </c>
      <c r="C19" s="7">
        <v>0.95</v>
      </c>
      <c r="D19" s="5">
        <v>8.44</v>
      </c>
      <c r="E19" s="5">
        <v>155.9</v>
      </c>
      <c r="F19" s="5">
        <v>167.5</v>
      </c>
      <c r="G19" s="6">
        <v>45222</v>
      </c>
      <c r="H19" s="5"/>
      <c r="I19" s="5"/>
      <c r="J19" s="5">
        <f t="shared" si="2"/>
        <v>11.599999999999994</v>
      </c>
      <c r="K19" s="8" t="b">
        <f t="shared" si="3"/>
        <v>1</v>
      </c>
    </row>
    <row r="20" spans="1:11">
      <c r="A20" s="5" t="s">
        <v>372</v>
      </c>
      <c r="B20" s="6">
        <v>45224</v>
      </c>
      <c r="C20" s="7">
        <v>1</v>
      </c>
      <c r="D20" s="5">
        <v>8.02</v>
      </c>
      <c r="E20" s="5">
        <v>167.5</v>
      </c>
      <c r="F20" s="5">
        <v>178.6</v>
      </c>
      <c r="G20" s="6">
        <v>45224</v>
      </c>
      <c r="H20" s="5"/>
      <c r="I20" s="5"/>
      <c r="J20" s="5">
        <f t="shared" si="2"/>
        <v>11.099999999999994</v>
      </c>
      <c r="K20" s="8" t="b">
        <f t="shared" si="3"/>
        <v>1</v>
      </c>
    </row>
    <row r="21" spans="1:11">
      <c r="A21" s="5" t="s">
        <v>372</v>
      </c>
      <c r="B21" s="6">
        <v>45227</v>
      </c>
      <c r="C21" s="7">
        <v>1</v>
      </c>
      <c r="D21" s="5">
        <v>8.02</v>
      </c>
      <c r="E21" s="5">
        <v>178.6</v>
      </c>
      <c r="F21" s="5">
        <v>189.6</v>
      </c>
      <c r="G21" s="6">
        <v>45227</v>
      </c>
      <c r="H21" s="5"/>
      <c r="I21" s="5"/>
      <c r="J21" s="5">
        <f t="shared" si="2"/>
        <v>11</v>
      </c>
      <c r="K21" s="8" t="b">
        <f t="shared" si="3"/>
        <v>1</v>
      </c>
    </row>
    <row r="22" spans="1:11">
      <c r="A22" s="5" t="s">
        <v>372</v>
      </c>
      <c r="B22" s="6">
        <v>45229</v>
      </c>
      <c r="C22" s="7">
        <v>1</v>
      </c>
      <c r="D22" s="5">
        <v>8.02</v>
      </c>
      <c r="E22" s="5">
        <v>189.6</v>
      </c>
      <c r="F22" s="5">
        <v>200.7</v>
      </c>
      <c r="G22" s="6">
        <v>45229</v>
      </c>
      <c r="H22" s="5"/>
      <c r="I22" s="5"/>
      <c r="J22" s="5">
        <f t="shared" si="2"/>
        <v>11.099999999999994</v>
      </c>
      <c r="K22" s="8" t="b">
        <f t="shared" si="3"/>
        <v>1</v>
      </c>
    </row>
    <row r="23" spans="1:11">
      <c r="A23" s="5" t="s">
        <v>372</v>
      </c>
      <c r="B23" s="6">
        <v>45231</v>
      </c>
      <c r="C23" s="7">
        <v>1</v>
      </c>
      <c r="D23" s="5">
        <v>8.02</v>
      </c>
      <c r="E23" s="5">
        <v>200.7</v>
      </c>
      <c r="F23" s="5">
        <v>211.8</v>
      </c>
      <c r="G23" s="6">
        <v>45231</v>
      </c>
      <c r="H23" s="5"/>
      <c r="I23" s="5"/>
      <c r="J23" s="5">
        <f t="shared" si="2"/>
        <v>11.100000000000023</v>
      </c>
      <c r="K23" s="8" t="b">
        <f t="shared" si="3"/>
        <v>1</v>
      </c>
    </row>
    <row r="24" spans="1:11">
      <c r="A24" s="101" t="s">
        <v>372</v>
      </c>
      <c r="B24" s="102">
        <v>45234</v>
      </c>
      <c r="C24" s="103">
        <v>1</v>
      </c>
      <c r="D24" s="101">
        <v>8.02</v>
      </c>
      <c r="E24" s="101">
        <v>211.8</v>
      </c>
      <c r="F24" s="101">
        <v>217.1</v>
      </c>
      <c r="G24" s="102">
        <v>45234</v>
      </c>
      <c r="H24" s="101"/>
      <c r="I24" s="101"/>
      <c r="J24" s="101">
        <f t="shared" si="2"/>
        <v>5.2999999999999829</v>
      </c>
      <c r="K24" s="8" t="b">
        <f t="shared" si="3"/>
        <v>1</v>
      </c>
    </row>
    <row r="25" spans="1:11">
      <c r="A25" s="80" t="s">
        <v>372</v>
      </c>
      <c r="B25" s="81">
        <v>45238</v>
      </c>
      <c r="C25" s="82">
        <v>1</v>
      </c>
      <c r="D25" s="80">
        <v>8.02</v>
      </c>
      <c r="E25" s="80">
        <v>217.1</v>
      </c>
      <c r="F25" s="80">
        <v>228.6</v>
      </c>
      <c r="G25" s="81">
        <v>45238</v>
      </c>
      <c r="H25" s="80"/>
      <c r="I25" s="80"/>
      <c r="J25" s="80">
        <f t="shared" si="2"/>
        <v>11.5</v>
      </c>
      <c r="K25" s="8" t="b">
        <f t="shared" si="3"/>
        <v>1</v>
      </c>
    </row>
    <row r="26" spans="1:11">
      <c r="A26" s="5" t="s">
        <v>372</v>
      </c>
      <c r="B26" s="6">
        <v>45240</v>
      </c>
      <c r="C26" s="7">
        <v>1</v>
      </c>
      <c r="D26" s="5">
        <v>8.02</v>
      </c>
      <c r="E26" s="5">
        <v>228.6</v>
      </c>
      <c r="F26" s="5">
        <v>239.6</v>
      </c>
      <c r="G26" s="6">
        <v>45240</v>
      </c>
      <c r="H26" s="5"/>
      <c r="I26" s="5"/>
      <c r="J26" s="5">
        <f t="shared" si="2"/>
        <v>11</v>
      </c>
      <c r="K26" s="8" t="b">
        <f t="shared" si="3"/>
        <v>1</v>
      </c>
    </row>
    <row r="27" spans="1:11">
      <c r="A27" s="5" t="s">
        <v>372</v>
      </c>
      <c r="B27" s="6">
        <v>45241</v>
      </c>
      <c r="C27" s="7">
        <v>1</v>
      </c>
      <c r="D27" s="5">
        <v>8.02</v>
      </c>
      <c r="E27" s="5">
        <v>239.6</v>
      </c>
      <c r="F27" s="5">
        <v>250.6</v>
      </c>
      <c r="G27" s="6">
        <v>45241</v>
      </c>
      <c r="H27" s="5"/>
      <c r="I27" s="5"/>
      <c r="J27" s="5">
        <f t="shared" si="2"/>
        <v>11</v>
      </c>
      <c r="K27" s="8" t="b">
        <f t="shared" si="3"/>
        <v>1</v>
      </c>
    </row>
    <row r="28" spans="1:11">
      <c r="A28" s="5" t="s">
        <v>372</v>
      </c>
      <c r="B28" s="6">
        <v>45243</v>
      </c>
      <c r="C28" s="7">
        <v>1</v>
      </c>
      <c r="D28" s="5">
        <v>8.02</v>
      </c>
      <c r="E28" s="5">
        <v>250.6</v>
      </c>
      <c r="F28" s="5">
        <v>261.60000000000002</v>
      </c>
      <c r="G28" s="6">
        <v>45243</v>
      </c>
      <c r="H28" s="5"/>
      <c r="I28" s="5"/>
      <c r="J28" s="5">
        <f t="shared" si="2"/>
        <v>11.000000000000028</v>
      </c>
      <c r="K28" s="8" t="b">
        <f t="shared" si="3"/>
        <v>1</v>
      </c>
    </row>
    <row r="29" spans="1:11">
      <c r="A29" s="5" t="s">
        <v>372</v>
      </c>
      <c r="B29" s="6">
        <v>45245</v>
      </c>
      <c r="C29" s="7">
        <v>0.6</v>
      </c>
      <c r="D29" s="5">
        <v>13.37</v>
      </c>
      <c r="E29" s="5">
        <v>261.60000000000002</v>
      </c>
      <c r="F29" s="5">
        <v>280.10000000000002</v>
      </c>
      <c r="G29" s="6">
        <v>45245</v>
      </c>
      <c r="H29" s="5"/>
      <c r="I29" s="5"/>
      <c r="J29" s="5">
        <f t="shared" si="2"/>
        <v>18.5</v>
      </c>
      <c r="K29" s="8" t="b">
        <f>E29=F28</f>
        <v>1</v>
      </c>
    </row>
    <row r="30" spans="1:11">
      <c r="A30" s="5" t="s">
        <v>372</v>
      </c>
      <c r="B30" s="6">
        <v>45248</v>
      </c>
      <c r="C30" s="7">
        <v>0.5</v>
      </c>
      <c r="D30" s="5">
        <v>16.04</v>
      </c>
      <c r="E30" s="5">
        <v>280.10000000000002</v>
      </c>
      <c r="F30" s="5">
        <v>301.60000000000002</v>
      </c>
      <c r="G30" s="6">
        <v>45248</v>
      </c>
      <c r="H30" s="5"/>
      <c r="I30" s="5"/>
      <c r="J30" s="5">
        <f t="shared" ref="J30:J40" si="4">F30-E30</f>
        <v>21.5</v>
      </c>
      <c r="K30" s="8" t="b">
        <f t="shared" si="3"/>
        <v>1</v>
      </c>
    </row>
    <row r="31" spans="1:11">
      <c r="A31" s="5" t="s">
        <v>372</v>
      </c>
      <c r="B31" s="6">
        <v>45250</v>
      </c>
      <c r="C31" s="7">
        <v>1</v>
      </c>
      <c r="D31" s="5">
        <v>8.02</v>
      </c>
      <c r="E31" s="5">
        <v>301.60000000000002</v>
      </c>
      <c r="F31" s="5">
        <v>312.60000000000002</v>
      </c>
      <c r="G31" s="6">
        <v>45250</v>
      </c>
      <c r="H31" s="5"/>
      <c r="I31" s="5"/>
      <c r="J31" s="5">
        <f t="shared" si="4"/>
        <v>11</v>
      </c>
      <c r="K31" s="8" t="b">
        <f t="shared" si="3"/>
        <v>1</v>
      </c>
    </row>
    <row r="32" spans="1:11">
      <c r="A32" s="5" t="s">
        <v>372</v>
      </c>
      <c r="B32" s="6">
        <v>45251</v>
      </c>
      <c r="C32" s="7">
        <v>0.6</v>
      </c>
      <c r="D32" s="5">
        <v>13.37</v>
      </c>
      <c r="E32" s="5">
        <v>312.60000000000002</v>
      </c>
      <c r="F32" s="5">
        <v>330.7</v>
      </c>
      <c r="G32" s="6">
        <v>45251</v>
      </c>
      <c r="H32" s="5"/>
      <c r="I32" s="5"/>
      <c r="J32" s="5">
        <f t="shared" si="4"/>
        <v>18.099999999999966</v>
      </c>
      <c r="K32" s="8" t="b">
        <f t="shared" si="3"/>
        <v>1</v>
      </c>
    </row>
    <row r="33" spans="1:11">
      <c r="A33" s="5" t="s">
        <v>372</v>
      </c>
      <c r="B33" s="6">
        <v>45255</v>
      </c>
      <c r="C33" s="7">
        <v>0.5</v>
      </c>
      <c r="D33" s="5">
        <v>16.04</v>
      </c>
      <c r="E33" s="5">
        <v>330.7</v>
      </c>
      <c r="F33" s="5">
        <v>352.3</v>
      </c>
      <c r="G33" s="6">
        <v>45255</v>
      </c>
      <c r="H33" s="5"/>
      <c r="I33" s="5"/>
      <c r="J33" s="5">
        <f t="shared" si="4"/>
        <v>21.600000000000023</v>
      </c>
      <c r="K33" s="8" t="b">
        <f t="shared" si="3"/>
        <v>1</v>
      </c>
    </row>
    <row r="34" spans="1:11">
      <c r="A34" s="5" t="s">
        <v>372</v>
      </c>
      <c r="B34" s="6">
        <v>45258</v>
      </c>
      <c r="C34" s="7">
        <v>0.5</v>
      </c>
      <c r="D34" s="5">
        <v>16.04</v>
      </c>
      <c r="E34" s="5">
        <v>352.3</v>
      </c>
      <c r="F34" s="5">
        <v>374.1</v>
      </c>
      <c r="G34" s="6">
        <v>45258</v>
      </c>
      <c r="H34" s="5"/>
      <c r="I34" s="5"/>
      <c r="J34" s="5">
        <f t="shared" si="4"/>
        <v>21.800000000000011</v>
      </c>
      <c r="K34" s="8" t="b">
        <f t="shared" si="3"/>
        <v>1</v>
      </c>
    </row>
    <row r="35" spans="1:11">
      <c r="A35" s="5" t="s">
        <v>372</v>
      </c>
      <c r="B35" s="6">
        <v>45261</v>
      </c>
      <c r="C35" s="7">
        <v>0.5</v>
      </c>
      <c r="D35" s="5">
        <v>16.04</v>
      </c>
      <c r="E35" s="5">
        <v>374.1</v>
      </c>
      <c r="F35" s="5">
        <v>395</v>
      </c>
      <c r="G35" s="6">
        <v>45261</v>
      </c>
      <c r="H35" s="5"/>
      <c r="I35" s="5"/>
      <c r="J35" s="5">
        <f t="shared" si="4"/>
        <v>20.899999999999977</v>
      </c>
      <c r="K35" s="8" t="b">
        <f t="shared" si="3"/>
        <v>1</v>
      </c>
    </row>
    <row r="36" spans="1:11">
      <c r="A36" s="5" t="s">
        <v>372</v>
      </c>
      <c r="B36" s="6">
        <v>45264</v>
      </c>
      <c r="C36" s="7">
        <v>0.8</v>
      </c>
      <c r="D36" s="5">
        <v>10.029999999999999</v>
      </c>
      <c r="E36" s="5">
        <v>395</v>
      </c>
      <c r="F36" s="5">
        <v>409.3</v>
      </c>
      <c r="G36" s="6">
        <v>45264</v>
      </c>
      <c r="H36" s="5"/>
      <c r="I36" s="5"/>
      <c r="J36" s="5">
        <f t="shared" si="4"/>
        <v>14.300000000000011</v>
      </c>
      <c r="K36" s="8" t="b">
        <f t="shared" si="3"/>
        <v>1</v>
      </c>
    </row>
    <row r="37" spans="1:11">
      <c r="A37" s="5" t="s">
        <v>372</v>
      </c>
      <c r="B37" s="6">
        <v>45266</v>
      </c>
      <c r="C37" s="7">
        <v>0.7</v>
      </c>
      <c r="D37" s="5">
        <v>11.46</v>
      </c>
      <c r="E37" s="5">
        <v>409.3</v>
      </c>
      <c r="F37" s="5">
        <v>424.9</v>
      </c>
      <c r="G37" s="6">
        <v>45266</v>
      </c>
      <c r="H37" s="5"/>
      <c r="I37" s="5"/>
      <c r="J37" s="5">
        <f t="shared" si="4"/>
        <v>15.599999999999966</v>
      </c>
      <c r="K37" s="8" t="b">
        <f t="shared" si="3"/>
        <v>1</v>
      </c>
    </row>
    <row r="38" spans="1:11">
      <c r="A38" s="5" t="s">
        <v>372</v>
      </c>
      <c r="B38" s="6">
        <v>45268</v>
      </c>
      <c r="C38" s="7">
        <v>0.7</v>
      </c>
      <c r="D38" s="5">
        <v>11.46</v>
      </c>
      <c r="E38" s="5">
        <v>424.9</v>
      </c>
      <c r="F38" s="5">
        <v>440.3</v>
      </c>
      <c r="G38" s="6">
        <v>45268</v>
      </c>
      <c r="H38" s="5"/>
      <c r="I38" s="5"/>
      <c r="J38" s="5">
        <f t="shared" si="4"/>
        <v>15.400000000000034</v>
      </c>
      <c r="K38" s="8" t="b">
        <f t="shared" si="3"/>
        <v>1</v>
      </c>
    </row>
    <row r="39" spans="1:11">
      <c r="A39" s="5" t="s">
        <v>372</v>
      </c>
      <c r="B39" s="6">
        <v>45270</v>
      </c>
      <c r="C39" s="7">
        <v>0.7</v>
      </c>
      <c r="D39" s="5">
        <v>11.46</v>
      </c>
      <c r="E39" s="5">
        <v>440.3</v>
      </c>
      <c r="F39" s="5">
        <v>455.8</v>
      </c>
      <c r="G39" s="6">
        <v>45270</v>
      </c>
      <c r="H39" s="5"/>
      <c r="I39" s="5"/>
      <c r="J39" s="5">
        <f t="shared" si="4"/>
        <v>15.5</v>
      </c>
      <c r="K39" s="8" t="b">
        <f t="shared" si="3"/>
        <v>1</v>
      </c>
    </row>
    <row r="40" spans="1:11">
      <c r="A40" s="5" t="s">
        <v>372</v>
      </c>
      <c r="B40" s="6">
        <v>45272</v>
      </c>
      <c r="C40" s="7">
        <v>0.7</v>
      </c>
      <c r="D40" s="5">
        <v>11.46</v>
      </c>
      <c r="E40" s="5">
        <v>455.8</v>
      </c>
      <c r="F40" s="5">
        <v>471.3</v>
      </c>
      <c r="G40" s="6">
        <v>45272</v>
      </c>
      <c r="H40" s="5"/>
      <c r="I40" s="5"/>
      <c r="J40" s="5">
        <f t="shared" si="4"/>
        <v>15.5</v>
      </c>
      <c r="K40" s="8" t="b">
        <f t="shared" si="3"/>
        <v>1</v>
      </c>
    </row>
    <row r="41" spans="1:11">
      <c r="A41" s="5" t="s">
        <v>372</v>
      </c>
      <c r="B41" s="6">
        <v>45273</v>
      </c>
      <c r="C41" s="7">
        <v>1</v>
      </c>
      <c r="D41" s="5">
        <v>8.02</v>
      </c>
      <c r="E41" s="5">
        <v>471.3</v>
      </c>
      <c r="F41" s="5">
        <v>482.2</v>
      </c>
      <c r="G41" s="6">
        <v>45273</v>
      </c>
      <c r="H41" s="5"/>
      <c r="I41" s="5"/>
      <c r="J41" s="5">
        <f t="shared" ref="J41:J78" si="5">F41-E41</f>
        <v>10.899999999999977</v>
      </c>
      <c r="K41" s="8" t="b">
        <f t="shared" ref="K41:K78" si="6">E41=F40</f>
        <v>1</v>
      </c>
    </row>
    <row r="42" spans="1:11">
      <c r="A42" s="5" t="s">
        <v>372</v>
      </c>
      <c r="B42" s="6">
        <v>45275</v>
      </c>
      <c r="C42" s="7">
        <v>0.6</v>
      </c>
      <c r="D42" s="5">
        <v>13.37</v>
      </c>
      <c r="E42" s="5">
        <v>482.2</v>
      </c>
      <c r="F42" s="5">
        <v>500.3</v>
      </c>
      <c r="G42" s="6">
        <v>45275</v>
      </c>
      <c r="H42" s="5"/>
      <c r="I42" s="5"/>
      <c r="J42" s="5">
        <f t="shared" si="5"/>
        <v>18.100000000000023</v>
      </c>
      <c r="K42" s="8" t="b">
        <f t="shared" si="6"/>
        <v>1</v>
      </c>
    </row>
    <row r="43" spans="1:11">
      <c r="A43" s="5" t="s">
        <v>372</v>
      </c>
      <c r="B43" s="6">
        <v>45277</v>
      </c>
      <c r="C43" s="7">
        <v>0.7</v>
      </c>
      <c r="D43" s="5">
        <v>11.46</v>
      </c>
      <c r="E43" s="5">
        <v>500.3</v>
      </c>
      <c r="F43" s="5">
        <v>515.9</v>
      </c>
      <c r="G43" s="6">
        <v>45277</v>
      </c>
      <c r="H43" s="5"/>
      <c r="I43" s="5"/>
      <c r="J43" s="5">
        <f t="shared" si="5"/>
        <v>15.599999999999966</v>
      </c>
      <c r="K43" s="8" t="b">
        <f t="shared" si="6"/>
        <v>1</v>
      </c>
    </row>
    <row r="44" spans="1:11">
      <c r="A44" s="5" t="s">
        <v>372</v>
      </c>
      <c r="B44" s="6">
        <v>45280</v>
      </c>
      <c r="C44" s="7">
        <v>0.8</v>
      </c>
      <c r="D44" s="5">
        <v>10.029999999999999</v>
      </c>
      <c r="E44" s="5">
        <v>515.9</v>
      </c>
      <c r="F44" s="5">
        <v>529.4</v>
      </c>
      <c r="G44" s="6">
        <v>45280</v>
      </c>
      <c r="H44" s="5"/>
      <c r="I44" s="5"/>
      <c r="J44" s="5">
        <f t="shared" si="5"/>
        <v>13.5</v>
      </c>
      <c r="K44" s="8" t="b">
        <f t="shared" si="6"/>
        <v>1</v>
      </c>
    </row>
    <row r="45" spans="1:11">
      <c r="A45" s="101" t="s">
        <v>372</v>
      </c>
      <c r="B45" s="102">
        <v>45282</v>
      </c>
      <c r="C45" s="103">
        <v>1</v>
      </c>
      <c r="D45" s="101">
        <v>8.02</v>
      </c>
      <c r="E45" s="101">
        <v>529.4</v>
      </c>
      <c r="F45" s="101">
        <v>537.6</v>
      </c>
      <c r="G45" s="102">
        <v>45282</v>
      </c>
      <c r="H45" s="101"/>
      <c r="I45" s="101"/>
      <c r="J45" s="101">
        <f t="shared" si="5"/>
        <v>8.2000000000000455</v>
      </c>
      <c r="K45" s="8" t="b">
        <f t="shared" si="6"/>
        <v>1</v>
      </c>
    </row>
    <row r="46" spans="1:11">
      <c r="A46" s="5" t="s">
        <v>372</v>
      </c>
      <c r="B46" s="6">
        <v>45285</v>
      </c>
      <c r="C46" s="7">
        <v>0.8</v>
      </c>
      <c r="D46" s="5">
        <v>8.02</v>
      </c>
      <c r="E46" s="5">
        <v>537.6</v>
      </c>
      <c r="F46" s="5">
        <v>551.20000000000005</v>
      </c>
      <c r="G46" s="6">
        <v>45285</v>
      </c>
      <c r="H46" s="5"/>
      <c r="I46" s="5"/>
      <c r="J46" s="5">
        <f t="shared" si="5"/>
        <v>13.600000000000023</v>
      </c>
      <c r="K46" s="8" t="b">
        <f t="shared" si="6"/>
        <v>1</v>
      </c>
    </row>
    <row r="47" spans="1:11">
      <c r="A47" s="5" t="s">
        <v>372</v>
      </c>
      <c r="B47" s="6">
        <v>45287</v>
      </c>
      <c r="C47" s="7">
        <v>0.9</v>
      </c>
      <c r="D47" s="5">
        <v>8.91</v>
      </c>
      <c r="E47" s="5">
        <v>551.20000000000005</v>
      </c>
      <c r="F47" s="5">
        <v>563.1</v>
      </c>
      <c r="G47" s="6">
        <v>45287</v>
      </c>
      <c r="H47" s="5"/>
      <c r="I47" s="5"/>
      <c r="J47" s="5">
        <f t="shared" si="5"/>
        <v>11.899999999999977</v>
      </c>
      <c r="K47" s="8" t="b">
        <f t="shared" si="6"/>
        <v>1</v>
      </c>
    </row>
    <row r="48" spans="1:11">
      <c r="A48" s="5" t="s">
        <v>372</v>
      </c>
      <c r="B48" s="6">
        <v>45289</v>
      </c>
      <c r="C48" s="7">
        <v>0.7</v>
      </c>
      <c r="D48" s="5">
        <v>11.46</v>
      </c>
      <c r="E48" s="5">
        <v>563.1</v>
      </c>
      <c r="F48" s="5">
        <v>578.6</v>
      </c>
      <c r="G48" s="6">
        <v>45289</v>
      </c>
      <c r="H48" s="5"/>
      <c r="I48" s="5"/>
      <c r="J48" s="5">
        <f t="shared" si="5"/>
        <v>15.5</v>
      </c>
      <c r="K48" s="8" t="b">
        <f t="shared" si="6"/>
        <v>1</v>
      </c>
    </row>
    <row r="49" spans="1:11">
      <c r="A49" s="101" t="s">
        <v>372</v>
      </c>
      <c r="B49" s="102">
        <v>45291</v>
      </c>
      <c r="C49" s="103">
        <v>0.7</v>
      </c>
      <c r="D49" s="101">
        <v>11.46</v>
      </c>
      <c r="E49" s="101">
        <v>578.6</v>
      </c>
      <c r="F49" s="101">
        <v>578.5</v>
      </c>
      <c r="G49" s="102">
        <v>45291</v>
      </c>
      <c r="H49" s="101"/>
      <c r="I49" s="101"/>
      <c r="J49" s="101">
        <f t="shared" si="5"/>
        <v>-0.10000000000002274</v>
      </c>
      <c r="K49" s="8" t="b">
        <f t="shared" si="6"/>
        <v>1</v>
      </c>
    </row>
    <row r="50" spans="1:11">
      <c r="A50" s="5" t="s">
        <v>372</v>
      </c>
      <c r="B50" s="6">
        <v>45304</v>
      </c>
      <c r="C50" s="7">
        <v>0.8</v>
      </c>
      <c r="D50" s="5">
        <v>10.029999999999999</v>
      </c>
      <c r="E50" s="5">
        <v>578.5</v>
      </c>
      <c r="F50" s="5">
        <v>593.20000000000005</v>
      </c>
      <c r="G50" s="6">
        <v>45304</v>
      </c>
      <c r="H50" s="5"/>
      <c r="I50" s="5"/>
      <c r="J50" s="5">
        <f t="shared" si="5"/>
        <v>14.700000000000045</v>
      </c>
      <c r="K50" s="8" t="b">
        <f t="shared" si="6"/>
        <v>1</v>
      </c>
    </row>
    <row r="51" spans="1:11">
      <c r="A51" s="5" t="s">
        <v>372</v>
      </c>
      <c r="B51" s="6">
        <v>45309</v>
      </c>
      <c r="C51" s="7">
        <v>0.5</v>
      </c>
      <c r="D51" s="5">
        <v>16.04</v>
      </c>
      <c r="E51" s="5">
        <v>593.20000000000005</v>
      </c>
      <c r="F51" s="5">
        <v>617.20000000000005</v>
      </c>
      <c r="G51" s="6">
        <v>45309</v>
      </c>
      <c r="H51" s="5"/>
      <c r="I51" s="5"/>
      <c r="J51" s="5">
        <f t="shared" si="5"/>
        <v>24</v>
      </c>
      <c r="K51" s="8" t="b">
        <f t="shared" si="6"/>
        <v>1</v>
      </c>
    </row>
    <row r="52" spans="1:11">
      <c r="A52" s="5" t="s">
        <v>372</v>
      </c>
      <c r="B52" s="6">
        <v>45312</v>
      </c>
      <c r="C52" s="7">
        <v>1</v>
      </c>
      <c r="D52" s="5">
        <v>8.02</v>
      </c>
      <c r="E52" s="5">
        <v>617.20000000000005</v>
      </c>
      <c r="F52" s="5">
        <v>625.9</v>
      </c>
      <c r="G52" s="6">
        <v>45312</v>
      </c>
      <c r="H52" s="5"/>
      <c r="I52" s="5"/>
      <c r="J52" s="5">
        <f t="shared" si="5"/>
        <v>8.6999999999999318</v>
      </c>
      <c r="K52" s="8" t="b">
        <f t="shared" si="6"/>
        <v>1</v>
      </c>
    </row>
    <row r="53" spans="1:11">
      <c r="A53" s="101" t="s">
        <v>372</v>
      </c>
      <c r="B53" s="102">
        <v>45313</v>
      </c>
      <c r="C53" s="103">
        <v>1</v>
      </c>
      <c r="D53" s="101">
        <v>8.02</v>
      </c>
      <c r="E53" s="101">
        <v>625.9</v>
      </c>
      <c r="F53" s="101">
        <v>627.20000000000005</v>
      </c>
      <c r="G53" s="102">
        <v>45313</v>
      </c>
      <c r="H53" s="101"/>
      <c r="I53" s="101"/>
      <c r="J53" s="101">
        <f t="shared" si="5"/>
        <v>1.3000000000000682</v>
      </c>
      <c r="K53" s="8" t="b">
        <f t="shared" si="6"/>
        <v>1</v>
      </c>
    </row>
    <row r="54" spans="1:11">
      <c r="A54" s="5" t="s">
        <v>372</v>
      </c>
      <c r="B54" s="6"/>
      <c r="C54" s="7"/>
      <c r="D54" s="5"/>
      <c r="E54" s="5"/>
      <c r="F54" s="5"/>
      <c r="G54" s="6"/>
      <c r="H54" s="5"/>
      <c r="I54" s="5"/>
      <c r="J54" s="5">
        <f t="shared" si="5"/>
        <v>0</v>
      </c>
      <c r="K54" s="8" t="b">
        <f t="shared" si="6"/>
        <v>0</v>
      </c>
    </row>
    <row r="55" spans="1:11">
      <c r="A55" s="5" t="s">
        <v>372</v>
      </c>
      <c r="B55" s="6"/>
      <c r="C55" s="7"/>
      <c r="D55" s="5"/>
      <c r="E55" s="5"/>
      <c r="F55" s="5"/>
      <c r="G55" s="6"/>
      <c r="H55" s="5"/>
      <c r="I55" s="5"/>
      <c r="J55" s="5">
        <f t="shared" si="5"/>
        <v>0</v>
      </c>
      <c r="K55" s="8" t="b">
        <f t="shared" si="6"/>
        <v>1</v>
      </c>
    </row>
    <row r="56" spans="1:11">
      <c r="A56" s="5" t="s">
        <v>372</v>
      </c>
      <c r="B56" s="6"/>
      <c r="C56" s="7"/>
      <c r="D56" s="5"/>
      <c r="E56" s="5"/>
      <c r="F56" s="5"/>
      <c r="G56" s="6"/>
      <c r="H56" s="5"/>
      <c r="I56" s="5"/>
      <c r="J56" s="5">
        <f t="shared" si="5"/>
        <v>0</v>
      </c>
      <c r="K56" s="8" t="b">
        <f t="shared" si="6"/>
        <v>1</v>
      </c>
    </row>
    <row r="57" spans="1:11">
      <c r="A57" s="5" t="s">
        <v>372</v>
      </c>
      <c r="B57" s="6"/>
      <c r="C57" s="7"/>
      <c r="D57" s="5"/>
      <c r="E57" s="5"/>
      <c r="F57" s="5"/>
      <c r="G57" s="6"/>
      <c r="H57" s="5"/>
      <c r="I57" s="5"/>
      <c r="J57" s="5">
        <f t="shared" si="5"/>
        <v>0</v>
      </c>
      <c r="K57" s="8" t="b">
        <f t="shared" si="6"/>
        <v>1</v>
      </c>
    </row>
    <row r="58" spans="1:11" ht="26.25">
      <c r="A58" s="231" t="s">
        <v>371</v>
      </c>
      <c r="B58" s="232"/>
      <c r="C58" s="232"/>
      <c r="D58" s="232"/>
      <c r="E58" s="232"/>
      <c r="F58" s="232"/>
      <c r="G58" s="232"/>
      <c r="H58" s="232"/>
      <c r="I58" s="232"/>
      <c r="J58" s="232"/>
      <c r="K58" s="233"/>
    </row>
    <row r="59" spans="1:11" ht="26.25">
      <c r="A59" s="234" t="s">
        <v>369</v>
      </c>
      <c r="B59" s="235"/>
      <c r="C59" s="235"/>
      <c r="D59" s="235"/>
      <c r="E59" s="235"/>
      <c r="F59" s="235"/>
      <c r="G59" s="235"/>
      <c r="H59" s="235"/>
      <c r="I59" s="235"/>
      <c r="J59" s="235"/>
      <c r="K59" s="236"/>
    </row>
    <row r="60" spans="1:11" ht="15.75" thickBot="1"/>
    <row r="61" spans="1:11" ht="15.75" thickBot="1">
      <c r="A61" s="132" t="s">
        <v>2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4"/>
    </row>
    <row r="63" spans="1:11" ht="19.5" thickBot="1">
      <c r="A63" s="1" t="s">
        <v>3</v>
      </c>
      <c r="B63" s="1"/>
      <c r="C63" s="1"/>
      <c r="D63" s="1"/>
      <c r="E63" s="1"/>
      <c r="F63" s="1"/>
      <c r="G63" s="1"/>
      <c r="H63" s="1"/>
      <c r="I63" s="1"/>
    </row>
    <row r="64" spans="1:11" ht="30.75" thickBot="1">
      <c r="A64" s="2" t="s">
        <v>4</v>
      </c>
      <c r="B64" s="3" t="s">
        <v>5</v>
      </c>
      <c r="C64" s="3" t="s">
        <v>6</v>
      </c>
      <c r="D64" s="3" t="s">
        <v>7</v>
      </c>
      <c r="E64" s="3" t="s">
        <v>8</v>
      </c>
      <c r="F64" s="3" t="s">
        <v>9</v>
      </c>
      <c r="G64" s="3" t="s">
        <v>10</v>
      </c>
      <c r="H64" s="3" t="s">
        <v>21</v>
      </c>
      <c r="I64" s="4" t="s">
        <v>22</v>
      </c>
      <c r="J64" s="4" t="s">
        <v>11</v>
      </c>
      <c r="K64" s="4" t="s">
        <v>12</v>
      </c>
    </row>
    <row r="65" spans="1:11" hidden="1">
      <c r="A65" s="5" t="s">
        <v>372</v>
      </c>
      <c r="B65" s="6">
        <v>45328</v>
      </c>
      <c r="C65" s="7">
        <v>0.7</v>
      </c>
      <c r="D65" s="5">
        <v>11.1</v>
      </c>
      <c r="E65" s="5">
        <v>627.20000000000005</v>
      </c>
      <c r="F65" s="5">
        <v>642.79999999999995</v>
      </c>
      <c r="G65" s="6">
        <v>45328</v>
      </c>
      <c r="H65" s="5"/>
      <c r="I65" s="5"/>
      <c r="J65" s="5">
        <f>F65-E65</f>
        <v>15.599999999999909</v>
      </c>
      <c r="K65" s="8" t="b">
        <f>E65=F65</f>
        <v>0</v>
      </c>
    </row>
    <row r="66" spans="1:11" hidden="1">
      <c r="A66" s="5" t="s">
        <v>372</v>
      </c>
      <c r="B66" s="6">
        <v>45358</v>
      </c>
      <c r="C66" s="7">
        <v>1</v>
      </c>
      <c r="D66" s="5">
        <v>7.77</v>
      </c>
      <c r="E66" s="5">
        <v>642.79999999999995</v>
      </c>
      <c r="F66" s="5">
        <v>654.1</v>
      </c>
      <c r="G66" s="6">
        <v>45358</v>
      </c>
      <c r="H66" s="5"/>
      <c r="I66" s="5"/>
      <c r="J66" s="5">
        <f t="shared" si="5"/>
        <v>11.300000000000068</v>
      </c>
      <c r="K66" s="8" t="b">
        <f t="shared" si="6"/>
        <v>1</v>
      </c>
    </row>
    <row r="67" spans="1:11" hidden="1">
      <c r="A67" s="5" t="s">
        <v>372</v>
      </c>
      <c r="B67" s="6">
        <v>45359</v>
      </c>
      <c r="C67" s="7">
        <v>1</v>
      </c>
      <c r="D67" s="5">
        <v>7.77</v>
      </c>
      <c r="E67" s="5">
        <v>654.1</v>
      </c>
      <c r="F67" s="5">
        <v>666.4</v>
      </c>
      <c r="G67" s="6">
        <v>45359</v>
      </c>
      <c r="H67" s="5"/>
      <c r="I67" s="5"/>
      <c r="J67" s="5">
        <f t="shared" si="5"/>
        <v>12.299999999999955</v>
      </c>
      <c r="K67" s="8" t="b">
        <f t="shared" si="6"/>
        <v>1</v>
      </c>
    </row>
    <row r="68" spans="1:11" hidden="1">
      <c r="A68" s="5" t="s">
        <v>372</v>
      </c>
      <c r="B68" s="6">
        <v>45360</v>
      </c>
      <c r="C68" s="7">
        <v>1</v>
      </c>
      <c r="D68" s="5">
        <v>7.77</v>
      </c>
      <c r="E68" s="5">
        <v>666.4</v>
      </c>
      <c r="F68" s="5">
        <v>676</v>
      </c>
      <c r="G68" s="6">
        <v>45360</v>
      </c>
      <c r="H68" s="5"/>
      <c r="I68" s="5"/>
      <c r="J68" s="5">
        <f t="shared" si="5"/>
        <v>9.6000000000000227</v>
      </c>
      <c r="K68" s="8" t="b">
        <f t="shared" si="6"/>
        <v>1</v>
      </c>
    </row>
    <row r="69" spans="1:11" hidden="1">
      <c r="A69" s="5" t="s">
        <v>372</v>
      </c>
      <c r="B69" s="6">
        <v>45361</v>
      </c>
      <c r="C69" s="7">
        <v>1</v>
      </c>
      <c r="D69" s="5">
        <v>7.77</v>
      </c>
      <c r="E69" s="5">
        <v>676</v>
      </c>
      <c r="F69" s="5">
        <v>687.6</v>
      </c>
      <c r="G69" s="6">
        <v>45361</v>
      </c>
      <c r="H69" s="5"/>
      <c r="I69" s="5"/>
      <c r="J69" s="5">
        <f t="shared" si="5"/>
        <v>11.600000000000023</v>
      </c>
      <c r="K69" s="8" t="b">
        <f t="shared" si="6"/>
        <v>1</v>
      </c>
    </row>
    <row r="70" spans="1:11" hidden="1">
      <c r="A70" s="5" t="s">
        <v>372</v>
      </c>
      <c r="B70" s="6">
        <v>45366</v>
      </c>
      <c r="C70" s="7">
        <v>1</v>
      </c>
      <c r="D70" s="5">
        <v>7.77</v>
      </c>
      <c r="E70" s="5">
        <v>687.6</v>
      </c>
      <c r="F70" s="5">
        <v>698.5</v>
      </c>
      <c r="G70" s="6">
        <v>45366</v>
      </c>
      <c r="H70" s="5"/>
      <c r="I70" s="5"/>
      <c r="J70" s="5">
        <f t="shared" si="5"/>
        <v>10.899999999999977</v>
      </c>
      <c r="K70" s="8" t="b">
        <f t="shared" si="6"/>
        <v>1</v>
      </c>
    </row>
    <row r="71" spans="1:11" hidden="1">
      <c r="A71" s="5" t="s">
        <v>372</v>
      </c>
      <c r="B71" s="6">
        <v>45371</v>
      </c>
      <c r="C71" s="7">
        <v>0.7</v>
      </c>
      <c r="D71" s="5">
        <v>11.1</v>
      </c>
      <c r="E71" s="5">
        <v>698.5</v>
      </c>
      <c r="F71" s="5">
        <v>717.5</v>
      </c>
      <c r="G71" s="6">
        <v>45371</v>
      </c>
      <c r="H71" s="5"/>
      <c r="I71" s="5"/>
      <c r="J71" s="5">
        <f t="shared" si="5"/>
        <v>19</v>
      </c>
      <c r="K71" s="8" t="b">
        <f t="shared" si="6"/>
        <v>1</v>
      </c>
    </row>
    <row r="72" spans="1:11" hidden="1">
      <c r="A72" s="5" t="s">
        <v>372</v>
      </c>
      <c r="B72" s="6">
        <v>45378</v>
      </c>
      <c r="C72" s="7">
        <v>1</v>
      </c>
      <c r="D72" s="5">
        <v>7.77</v>
      </c>
      <c r="E72" s="5">
        <v>717.5</v>
      </c>
      <c r="F72" s="5">
        <v>728.5</v>
      </c>
      <c r="G72" s="6">
        <v>45378</v>
      </c>
      <c r="H72" s="5"/>
      <c r="I72" s="5"/>
      <c r="J72" s="5">
        <f t="shared" si="5"/>
        <v>11</v>
      </c>
      <c r="K72" s="8" t="b">
        <f t="shared" si="6"/>
        <v>1</v>
      </c>
    </row>
    <row r="73" spans="1:11" hidden="1">
      <c r="A73" s="5" t="s">
        <v>372</v>
      </c>
      <c r="B73" s="6">
        <v>45384</v>
      </c>
      <c r="C73" s="7">
        <v>1</v>
      </c>
      <c r="D73" s="5">
        <v>7.77</v>
      </c>
      <c r="E73" s="5">
        <v>728.5</v>
      </c>
      <c r="F73" s="5">
        <v>740.4</v>
      </c>
      <c r="G73" s="6">
        <v>45384</v>
      </c>
      <c r="H73" s="5"/>
      <c r="I73" s="5"/>
      <c r="J73" s="5">
        <f t="shared" si="5"/>
        <v>11.899999999999977</v>
      </c>
      <c r="K73" s="8" t="b">
        <f t="shared" si="6"/>
        <v>1</v>
      </c>
    </row>
    <row r="74" spans="1:11" hidden="1">
      <c r="A74" s="5" t="s">
        <v>372</v>
      </c>
      <c r="B74" s="6">
        <v>45390</v>
      </c>
      <c r="C74" s="7">
        <v>1</v>
      </c>
      <c r="D74" s="5">
        <v>7.77</v>
      </c>
      <c r="E74" s="5">
        <v>740.4</v>
      </c>
      <c r="F74" s="5">
        <v>751.3</v>
      </c>
      <c r="G74" s="6">
        <v>45390</v>
      </c>
      <c r="H74" s="5"/>
      <c r="I74" s="5"/>
      <c r="J74" s="5">
        <f t="shared" si="5"/>
        <v>10.899999999999977</v>
      </c>
      <c r="K74" s="8" t="b">
        <f t="shared" si="6"/>
        <v>1</v>
      </c>
    </row>
    <row r="75" spans="1:11" hidden="1">
      <c r="A75" s="5" t="s">
        <v>372</v>
      </c>
      <c r="B75" s="6">
        <v>45392</v>
      </c>
      <c r="C75" s="7">
        <v>0.7</v>
      </c>
      <c r="D75" s="5">
        <v>11.1</v>
      </c>
      <c r="E75" s="5">
        <v>751.3</v>
      </c>
      <c r="F75" s="5">
        <v>763.1</v>
      </c>
      <c r="G75" s="6">
        <v>45392</v>
      </c>
      <c r="H75" s="5"/>
      <c r="I75" s="5"/>
      <c r="J75" s="5">
        <f t="shared" si="5"/>
        <v>11.800000000000068</v>
      </c>
      <c r="K75" s="8" t="b">
        <f t="shared" si="6"/>
        <v>1</v>
      </c>
    </row>
    <row r="76" spans="1:11" hidden="1">
      <c r="A76" s="5" t="s">
        <v>372</v>
      </c>
      <c r="B76" s="6">
        <v>45399</v>
      </c>
      <c r="C76" s="7">
        <v>1</v>
      </c>
      <c r="D76" s="5">
        <v>7.77</v>
      </c>
      <c r="E76" s="5">
        <v>763.1</v>
      </c>
      <c r="F76" s="5">
        <v>774.1</v>
      </c>
      <c r="G76" s="6">
        <v>45399</v>
      </c>
      <c r="H76" s="5"/>
      <c r="I76" s="5"/>
      <c r="J76" s="5">
        <f t="shared" si="5"/>
        <v>11</v>
      </c>
      <c r="K76" s="8" t="b">
        <f t="shared" si="6"/>
        <v>1</v>
      </c>
    </row>
    <row r="77" spans="1:11" hidden="1">
      <c r="A77" s="5" t="s">
        <v>372</v>
      </c>
      <c r="B77" s="6">
        <v>45403</v>
      </c>
      <c r="C77" s="7">
        <v>1</v>
      </c>
      <c r="D77" s="5">
        <v>7.77</v>
      </c>
      <c r="E77" s="5">
        <v>774.1</v>
      </c>
      <c r="F77" s="5">
        <v>785</v>
      </c>
      <c r="G77" s="6">
        <v>45403</v>
      </c>
      <c r="H77" s="5"/>
      <c r="I77" s="5"/>
      <c r="J77" s="5">
        <f t="shared" si="5"/>
        <v>10.899999999999977</v>
      </c>
      <c r="K77" s="8" t="b">
        <f t="shared" si="6"/>
        <v>1</v>
      </c>
    </row>
    <row r="78" spans="1:11" hidden="1">
      <c r="A78" s="5" t="s">
        <v>372</v>
      </c>
      <c r="B78" s="6">
        <v>45407</v>
      </c>
      <c r="C78" s="7">
        <v>1</v>
      </c>
      <c r="D78" s="5">
        <v>7.77</v>
      </c>
      <c r="E78" s="5">
        <v>785</v>
      </c>
      <c r="F78" s="5">
        <v>796</v>
      </c>
      <c r="G78" s="6">
        <v>45407</v>
      </c>
      <c r="H78" s="5"/>
      <c r="I78" s="5"/>
      <c r="J78" s="5">
        <f t="shared" si="5"/>
        <v>11</v>
      </c>
      <c r="K78" s="8" t="b">
        <f t="shared" si="6"/>
        <v>1</v>
      </c>
    </row>
    <row r="79" spans="1:11" hidden="1">
      <c r="A79" s="5" t="s">
        <v>372</v>
      </c>
      <c r="B79" s="6">
        <v>45409</v>
      </c>
      <c r="C79" s="7">
        <v>1</v>
      </c>
      <c r="D79" s="5">
        <v>7.77</v>
      </c>
      <c r="E79" s="5">
        <v>796</v>
      </c>
      <c r="F79" s="5">
        <v>807</v>
      </c>
      <c r="G79" s="6">
        <v>45409</v>
      </c>
      <c r="H79" s="5"/>
      <c r="I79" s="5"/>
      <c r="J79" s="5">
        <f t="shared" ref="J79:J109" si="7">F79-E79</f>
        <v>11</v>
      </c>
      <c r="K79" s="8" t="b">
        <f t="shared" ref="K79:K109" si="8">E79=F78</f>
        <v>1</v>
      </c>
    </row>
    <row r="80" spans="1:11" hidden="1">
      <c r="A80" s="5" t="s">
        <v>372</v>
      </c>
      <c r="B80" s="6">
        <v>45410</v>
      </c>
      <c r="C80" s="7">
        <v>1</v>
      </c>
      <c r="D80" s="5">
        <v>7.77</v>
      </c>
      <c r="E80" s="5">
        <v>807</v>
      </c>
      <c r="F80" s="5">
        <v>817.9</v>
      </c>
      <c r="G80" s="6">
        <v>45410</v>
      </c>
      <c r="H80" s="5"/>
      <c r="I80" s="5"/>
      <c r="J80" s="5">
        <f t="shared" si="7"/>
        <v>10.899999999999977</v>
      </c>
      <c r="K80" s="8" t="b">
        <f t="shared" si="8"/>
        <v>1</v>
      </c>
    </row>
    <row r="81" spans="1:11" hidden="1">
      <c r="A81" s="5" t="s">
        <v>372</v>
      </c>
      <c r="B81" s="6">
        <v>45414</v>
      </c>
      <c r="C81" s="7">
        <v>1</v>
      </c>
      <c r="D81" s="5">
        <v>7.77</v>
      </c>
      <c r="E81" s="5">
        <v>817.9</v>
      </c>
      <c r="F81" s="5">
        <v>828.8</v>
      </c>
      <c r="G81" s="6">
        <v>45414</v>
      </c>
      <c r="H81" s="5"/>
      <c r="I81" s="5"/>
      <c r="J81" s="5">
        <f t="shared" si="7"/>
        <v>10.899999999999977</v>
      </c>
      <c r="K81" s="8" t="b">
        <f t="shared" si="8"/>
        <v>1</v>
      </c>
    </row>
    <row r="82" spans="1:11" hidden="1">
      <c r="A82" s="5" t="s">
        <v>372</v>
      </c>
      <c r="B82" s="6">
        <v>45415</v>
      </c>
      <c r="C82" s="7">
        <v>1</v>
      </c>
      <c r="D82" s="5">
        <v>7.77</v>
      </c>
      <c r="E82" s="5">
        <v>828.8</v>
      </c>
      <c r="F82" s="5">
        <v>839.8</v>
      </c>
      <c r="G82" s="6">
        <v>45415</v>
      </c>
      <c r="H82" s="5"/>
      <c r="I82" s="5"/>
      <c r="J82" s="5">
        <f t="shared" si="7"/>
        <v>11</v>
      </c>
      <c r="K82" s="8" t="b">
        <f t="shared" si="8"/>
        <v>1</v>
      </c>
    </row>
    <row r="83" spans="1:11" hidden="1">
      <c r="A83" s="5" t="s">
        <v>372</v>
      </c>
      <c r="B83" s="6">
        <v>45417</v>
      </c>
      <c r="C83" s="7">
        <v>1</v>
      </c>
      <c r="D83" s="5">
        <v>7.77</v>
      </c>
      <c r="E83" s="5">
        <v>839.8</v>
      </c>
      <c r="F83" s="5">
        <v>850.7</v>
      </c>
      <c r="G83" s="6">
        <v>45417</v>
      </c>
      <c r="H83" s="5"/>
      <c r="I83" s="5"/>
      <c r="J83" s="5">
        <f t="shared" si="7"/>
        <v>10.900000000000091</v>
      </c>
      <c r="K83" s="8" t="b">
        <f t="shared" si="8"/>
        <v>1</v>
      </c>
    </row>
    <row r="84" spans="1:11" hidden="1">
      <c r="A84" s="5" t="s">
        <v>372</v>
      </c>
      <c r="B84" s="6">
        <v>45421</v>
      </c>
      <c r="C84" s="7">
        <v>1</v>
      </c>
      <c r="D84" s="5">
        <v>7.77</v>
      </c>
      <c r="E84" s="5">
        <v>850.9</v>
      </c>
      <c r="F84" s="5">
        <v>861.7</v>
      </c>
      <c r="G84" s="6">
        <v>45421</v>
      </c>
      <c r="H84" s="5"/>
      <c r="I84" s="5"/>
      <c r="J84" s="5">
        <f t="shared" si="7"/>
        <v>10.800000000000068</v>
      </c>
      <c r="K84" s="8" t="b">
        <f t="shared" si="8"/>
        <v>0</v>
      </c>
    </row>
    <row r="85" spans="1:11" hidden="1">
      <c r="A85" s="5" t="s">
        <v>372</v>
      </c>
      <c r="B85" s="6">
        <v>45423</v>
      </c>
      <c r="C85" s="7">
        <v>0.8</v>
      </c>
      <c r="D85" s="5">
        <v>9.7100000000000009</v>
      </c>
      <c r="E85" s="5">
        <v>861.7</v>
      </c>
      <c r="F85" s="5">
        <v>875.3</v>
      </c>
      <c r="G85" s="6">
        <v>45423</v>
      </c>
      <c r="H85" s="5"/>
      <c r="I85" s="5"/>
      <c r="J85" s="5">
        <f t="shared" si="7"/>
        <v>13.599999999999909</v>
      </c>
      <c r="K85" s="8" t="b">
        <f t="shared" si="8"/>
        <v>1</v>
      </c>
    </row>
    <row r="86" spans="1:11" hidden="1">
      <c r="A86" s="5" t="s">
        <v>372</v>
      </c>
      <c r="B86" s="6">
        <v>45427</v>
      </c>
      <c r="C86" s="7">
        <v>0.8</v>
      </c>
      <c r="D86" s="5">
        <v>9.7100000000000009</v>
      </c>
      <c r="E86" s="5">
        <v>875.3</v>
      </c>
      <c r="F86" s="5">
        <v>888.9</v>
      </c>
      <c r="G86" s="6">
        <v>45427</v>
      </c>
      <c r="H86" s="5"/>
      <c r="I86" s="5"/>
      <c r="J86" s="5">
        <f t="shared" si="7"/>
        <v>13.600000000000023</v>
      </c>
      <c r="K86" s="8" t="b">
        <f t="shared" si="8"/>
        <v>1</v>
      </c>
    </row>
    <row r="87" spans="1:11" hidden="1">
      <c r="A87" s="5" t="s">
        <v>372</v>
      </c>
      <c r="B87" s="6">
        <v>45434</v>
      </c>
      <c r="C87" s="7">
        <v>0.8</v>
      </c>
      <c r="D87" s="5">
        <v>9.7100000000000009</v>
      </c>
      <c r="E87" s="5">
        <v>888.9</v>
      </c>
      <c r="F87" s="5">
        <v>903.3</v>
      </c>
      <c r="G87" s="6">
        <v>45434</v>
      </c>
      <c r="H87" s="5"/>
      <c r="I87" s="5"/>
      <c r="J87" s="5">
        <f t="shared" si="7"/>
        <v>14.399999999999977</v>
      </c>
      <c r="K87" s="8" t="b">
        <f t="shared" si="8"/>
        <v>1</v>
      </c>
    </row>
    <row r="88" spans="1:11" hidden="1">
      <c r="A88" s="5" t="s">
        <v>372</v>
      </c>
      <c r="B88" s="6">
        <v>45437</v>
      </c>
      <c r="C88" s="7">
        <v>0.8</v>
      </c>
      <c r="D88" s="5">
        <v>9.7100000000000009</v>
      </c>
      <c r="E88" s="5">
        <v>903.3</v>
      </c>
      <c r="F88" s="5">
        <v>916.9</v>
      </c>
      <c r="G88" s="6">
        <v>45437</v>
      </c>
      <c r="H88" s="5"/>
      <c r="I88" s="5"/>
      <c r="J88" s="5">
        <f t="shared" si="7"/>
        <v>13.600000000000023</v>
      </c>
      <c r="K88" s="8" t="b">
        <f t="shared" si="8"/>
        <v>1</v>
      </c>
    </row>
    <row r="89" spans="1:11" hidden="1">
      <c r="A89" s="5" t="s">
        <v>372</v>
      </c>
      <c r="B89" s="6">
        <v>45441</v>
      </c>
      <c r="C89" s="7">
        <v>0.8</v>
      </c>
      <c r="D89" s="5">
        <v>9.7100000000000009</v>
      </c>
      <c r="E89" s="5">
        <v>916.9</v>
      </c>
      <c r="F89" s="5">
        <v>930.5</v>
      </c>
      <c r="G89" s="6">
        <v>45441</v>
      </c>
      <c r="H89" s="5"/>
      <c r="I89" s="5"/>
      <c r="J89" s="5">
        <f t="shared" si="7"/>
        <v>13.600000000000023</v>
      </c>
      <c r="K89" s="8" t="b">
        <f t="shared" si="8"/>
        <v>1</v>
      </c>
    </row>
    <row r="90" spans="1:11">
      <c r="A90" s="5" t="s">
        <v>372</v>
      </c>
      <c r="B90" s="6">
        <v>45444</v>
      </c>
      <c r="C90" s="7">
        <v>0.8</v>
      </c>
      <c r="D90" s="5">
        <v>9.7100000000000009</v>
      </c>
      <c r="E90" s="5">
        <v>930.5</v>
      </c>
      <c r="F90" s="5">
        <v>943.9</v>
      </c>
      <c r="G90" s="6">
        <v>45444</v>
      </c>
      <c r="H90" s="5"/>
      <c r="I90" s="5"/>
      <c r="J90" s="5">
        <f t="shared" si="7"/>
        <v>13.399999999999977</v>
      </c>
      <c r="K90" s="8" t="b">
        <f t="shared" si="8"/>
        <v>1</v>
      </c>
    </row>
    <row r="91" spans="1:11">
      <c r="A91" s="5" t="s">
        <v>372</v>
      </c>
      <c r="B91" s="6">
        <v>45448</v>
      </c>
      <c r="C91" s="7">
        <v>0.8</v>
      </c>
      <c r="D91" s="5">
        <v>9.7100000000000009</v>
      </c>
      <c r="E91" s="5">
        <v>943.9</v>
      </c>
      <c r="F91" s="5">
        <v>957.5</v>
      </c>
      <c r="G91" s="6">
        <v>45448</v>
      </c>
      <c r="H91" s="5"/>
      <c r="I91" s="5"/>
      <c r="J91" s="5">
        <f t="shared" si="7"/>
        <v>13.600000000000023</v>
      </c>
      <c r="K91" s="8" t="b">
        <f t="shared" si="8"/>
        <v>1</v>
      </c>
    </row>
    <row r="92" spans="1:11">
      <c r="A92" s="5" t="s">
        <v>372</v>
      </c>
      <c r="B92" s="6">
        <v>45452</v>
      </c>
      <c r="C92" s="7">
        <v>0.8</v>
      </c>
      <c r="D92" s="5">
        <v>9.7100000000000009</v>
      </c>
      <c r="E92" s="5">
        <v>957.5</v>
      </c>
      <c r="F92" s="5">
        <v>971.2</v>
      </c>
      <c r="G92" s="6">
        <v>45452</v>
      </c>
      <c r="H92" s="5"/>
      <c r="I92" s="5"/>
      <c r="J92" s="5">
        <f t="shared" si="7"/>
        <v>13.700000000000045</v>
      </c>
      <c r="K92" s="8" t="b">
        <f t="shared" si="8"/>
        <v>1</v>
      </c>
    </row>
    <row r="93" spans="1:11">
      <c r="A93" s="5" t="s">
        <v>372</v>
      </c>
      <c r="B93" s="6">
        <v>45456</v>
      </c>
      <c r="C93" s="7">
        <v>0.8</v>
      </c>
      <c r="D93" s="5">
        <v>9.7100000000000009</v>
      </c>
      <c r="E93" s="5">
        <v>971.2</v>
      </c>
      <c r="F93" s="5">
        <v>984.8</v>
      </c>
      <c r="G93" s="6">
        <v>45456</v>
      </c>
      <c r="H93" s="5"/>
      <c r="I93" s="5"/>
      <c r="J93" s="5">
        <f t="shared" si="7"/>
        <v>13.599999999999909</v>
      </c>
      <c r="K93" s="8" t="b">
        <f t="shared" si="8"/>
        <v>1</v>
      </c>
    </row>
    <row r="94" spans="1:11">
      <c r="A94" s="5" t="s">
        <v>372</v>
      </c>
      <c r="B94" s="6">
        <v>45459</v>
      </c>
      <c r="C94" s="7">
        <v>0.7</v>
      </c>
      <c r="D94" s="5">
        <v>11.1</v>
      </c>
      <c r="E94" s="5">
        <v>984.8</v>
      </c>
      <c r="F94" s="5">
        <v>1000.4</v>
      </c>
      <c r="G94" s="6">
        <v>45459</v>
      </c>
      <c r="H94" s="5"/>
      <c r="I94" s="5"/>
      <c r="J94" s="5">
        <f t="shared" si="7"/>
        <v>15.600000000000023</v>
      </c>
      <c r="K94" s="8" t="b">
        <f t="shared" si="8"/>
        <v>1</v>
      </c>
    </row>
    <row r="95" spans="1:11">
      <c r="A95" s="5" t="s">
        <v>372</v>
      </c>
      <c r="B95" s="6">
        <v>45466</v>
      </c>
      <c r="C95" s="7">
        <v>1</v>
      </c>
      <c r="D95" s="5">
        <v>7.77</v>
      </c>
      <c r="E95" s="5">
        <v>1000.4</v>
      </c>
      <c r="F95" s="5">
        <v>1012.4</v>
      </c>
      <c r="G95" s="6">
        <v>45466</v>
      </c>
      <c r="H95" s="5"/>
      <c r="I95" s="5"/>
      <c r="J95" s="5">
        <f t="shared" si="7"/>
        <v>12</v>
      </c>
      <c r="K95" s="8" t="b">
        <f t="shared" si="8"/>
        <v>1</v>
      </c>
    </row>
    <row r="96" spans="1:11" hidden="1">
      <c r="A96" s="5" t="s">
        <v>372</v>
      </c>
      <c r="B96" s="6"/>
      <c r="C96" s="7"/>
      <c r="D96" s="5"/>
      <c r="E96" s="5"/>
      <c r="F96" s="5"/>
      <c r="G96" s="6"/>
      <c r="H96" s="5"/>
      <c r="I96" s="5"/>
      <c r="J96" s="5">
        <f t="shared" si="7"/>
        <v>0</v>
      </c>
      <c r="K96" s="8" t="b">
        <f t="shared" si="8"/>
        <v>0</v>
      </c>
    </row>
    <row r="97" spans="1:11" hidden="1">
      <c r="A97" s="5" t="s">
        <v>372</v>
      </c>
      <c r="B97" s="6"/>
      <c r="C97" s="7"/>
      <c r="D97" s="5"/>
      <c r="E97" s="5"/>
      <c r="F97" s="5"/>
      <c r="G97" s="6"/>
      <c r="H97" s="5"/>
      <c r="I97" s="5"/>
      <c r="J97" s="5">
        <f t="shared" si="7"/>
        <v>0</v>
      </c>
      <c r="K97" s="8" t="b">
        <f t="shared" si="8"/>
        <v>1</v>
      </c>
    </row>
    <row r="98" spans="1:11" hidden="1">
      <c r="A98" s="5" t="s">
        <v>372</v>
      </c>
      <c r="B98" s="6"/>
      <c r="C98" s="7"/>
      <c r="D98" s="5"/>
      <c r="E98" s="5"/>
      <c r="F98" s="5"/>
      <c r="G98" s="6"/>
      <c r="H98" s="5"/>
      <c r="I98" s="5"/>
      <c r="J98" s="5">
        <f t="shared" si="7"/>
        <v>0</v>
      </c>
      <c r="K98" s="8" t="b">
        <f t="shared" si="8"/>
        <v>1</v>
      </c>
    </row>
    <row r="99" spans="1:11" hidden="1">
      <c r="A99" s="5" t="s">
        <v>372</v>
      </c>
      <c r="B99" s="6"/>
      <c r="C99" s="7"/>
      <c r="D99" s="5"/>
      <c r="E99" s="5"/>
      <c r="F99" s="5"/>
      <c r="G99" s="6"/>
      <c r="H99" s="5"/>
      <c r="I99" s="5"/>
      <c r="J99" s="5">
        <f t="shared" si="7"/>
        <v>0</v>
      </c>
      <c r="K99" s="8" t="b">
        <f t="shared" si="8"/>
        <v>1</v>
      </c>
    </row>
    <row r="100" spans="1:11" hidden="1">
      <c r="A100" s="5" t="s">
        <v>372</v>
      </c>
      <c r="B100" s="6"/>
      <c r="C100" s="7"/>
      <c r="D100" s="5"/>
      <c r="E100" s="5"/>
      <c r="F100" s="5"/>
      <c r="G100" s="6"/>
      <c r="H100" s="5"/>
      <c r="I100" s="5"/>
      <c r="J100" s="5">
        <f t="shared" si="7"/>
        <v>0</v>
      </c>
      <c r="K100" s="8" t="b">
        <f t="shared" si="8"/>
        <v>1</v>
      </c>
    </row>
    <row r="101" spans="1:11" hidden="1">
      <c r="A101" s="5" t="s">
        <v>372</v>
      </c>
      <c r="B101" s="6"/>
      <c r="C101" s="7"/>
      <c r="D101" s="5"/>
      <c r="E101" s="5"/>
      <c r="F101" s="5"/>
      <c r="G101" s="6"/>
      <c r="H101" s="5"/>
      <c r="I101" s="5"/>
      <c r="J101" s="5">
        <f t="shared" si="7"/>
        <v>0</v>
      </c>
      <c r="K101" s="8" t="b">
        <f t="shared" si="8"/>
        <v>1</v>
      </c>
    </row>
    <row r="102" spans="1:11" hidden="1">
      <c r="A102" s="5" t="s">
        <v>372</v>
      </c>
      <c r="B102" s="6"/>
      <c r="C102" s="7"/>
      <c r="D102" s="5"/>
      <c r="E102" s="5"/>
      <c r="F102" s="5"/>
      <c r="G102" s="6"/>
      <c r="H102" s="5"/>
      <c r="I102" s="5"/>
      <c r="J102" s="5">
        <f t="shared" si="7"/>
        <v>0</v>
      </c>
      <c r="K102" s="8" t="b">
        <f t="shared" si="8"/>
        <v>1</v>
      </c>
    </row>
    <row r="103" spans="1:11" hidden="1">
      <c r="A103" s="5" t="s">
        <v>372</v>
      </c>
      <c r="B103" s="6"/>
      <c r="C103" s="7"/>
      <c r="D103" s="5"/>
      <c r="E103" s="5"/>
      <c r="F103" s="5"/>
      <c r="G103" s="6"/>
      <c r="H103" s="5"/>
      <c r="I103" s="5"/>
      <c r="J103" s="5">
        <f t="shared" si="7"/>
        <v>0</v>
      </c>
      <c r="K103" s="8" t="b">
        <f t="shared" si="8"/>
        <v>1</v>
      </c>
    </row>
    <row r="104" spans="1:11" hidden="1">
      <c r="A104" s="5" t="s">
        <v>372</v>
      </c>
      <c r="B104" s="6"/>
      <c r="C104" s="7"/>
      <c r="D104" s="5"/>
      <c r="E104" s="5"/>
      <c r="F104" s="5"/>
      <c r="G104" s="6"/>
      <c r="H104" s="5"/>
      <c r="I104" s="5"/>
      <c r="J104" s="5">
        <f t="shared" si="7"/>
        <v>0</v>
      </c>
      <c r="K104" s="8" t="b">
        <f t="shared" si="8"/>
        <v>1</v>
      </c>
    </row>
    <row r="105" spans="1:11" hidden="1">
      <c r="A105" s="5" t="s">
        <v>372</v>
      </c>
      <c r="B105" s="6"/>
      <c r="C105" s="7"/>
      <c r="D105" s="5"/>
      <c r="E105" s="5"/>
      <c r="F105" s="5"/>
      <c r="G105" s="6"/>
      <c r="H105" s="5"/>
      <c r="I105" s="5"/>
      <c r="J105" s="5">
        <f t="shared" si="7"/>
        <v>0</v>
      </c>
      <c r="K105" s="8" t="b">
        <f t="shared" si="8"/>
        <v>1</v>
      </c>
    </row>
    <row r="106" spans="1:11" hidden="1">
      <c r="A106" s="5" t="s">
        <v>372</v>
      </c>
      <c r="B106" s="6"/>
      <c r="C106" s="7"/>
      <c r="D106" s="5"/>
      <c r="E106" s="5"/>
      <c r="F106" s="5"/>
      <c r="G106" s="6"/>
      <c r="H106" s="5"/>
      <c r="I106" s="5"/>
      <c r="J106" s="5">
        <f t="shared" si="7"/>
        <v>0</v>
      </c>
      <c r="K106" s="8" t="b">
        <f t="shared" si="8"/>
        <v>1</v>
      </c>
    </row>
    <row r="107" spans="1:11" hidden="1">
      <c r="A107" s="5" t="s">
        <v>372</v>
      </c>
      <c r="B107" s="6"/>
      <c r="C107" s="7"/>
      <c r="D107" s="5"/>
      <c r="E107" s="5"/>
      <c r="F107" s="5"/>
      <c r="G107" s="6"/>
      <c r="H107" s="5"/>
      <c r="I107" s="5"/>
      <c r="J107" s="5">
        <f t="shared" si="7"/>
        <v>0</v>
      </c>
      <c r="K107" s="8" t="b">
        <f t="shared" si="8"/>
        <v>1</v>
      </c>
    </row>
    <row r="108" spans="1:11" hidden="1">
      <c r="A108" s="5" t="s">
        <v>372</v>
      </c>
      <c r="B108" s="6"/>
      <c r="C108" s="7"/>
      <c r="D108" s="5"/>
      <c r="E108" s="5"/>
      <c r="F108" s="5"/>
      <c r="G108" s="6"/>
      <c r="H108" s="5"/>
      <c r="I108" s="5"/>
      <c r="J108" s="5">
        <f t="shared" si="7"/>
        <v>0</v>
      </c>
      <c r="K108" s="8" t="b">
        <f t="shared" si="8"/>
        <v>1</v>
      </c>
    </row>
    <row r="109" spans="1:11" hidden="1">
      <c r="A109" s="5" t="s">
        <v>372</v>
      </c>
      <c r="B109" s="6"/>
      <c r="C109" s="7"/>
      <c r="D109" s="5"/>
      <c r="E109" s="5"/>
      <c r="F109" s="5"/>
      <c r="G109" s="6"/>
      <c r="H109" s="5"/>
      <c r="I109" s="5"/>
      <c r="J109" s="5">
        <f t="shared" si="7"/>
        <v>0</v>
      </c>
      <c r="K109" s="8" t="b">
        <f t="shared" si="8"/>
        <v>1</v>
      </c>
    </row>
  </sheetData>
  <autoFilter ref="A64:K109" xr:uid="{E3043C08-47BF-4B47-B410-B1BF915C4CE3}">
    <filterColumn colId="1">
      <filters>
        <dateGroupItem year="2024" month="6" dateTimeGrouping="month"/>
      </filters>
    </filterColumn>
  </autoFilter>
  <mergeCells count="6">
    <mergeCell ref="A61:K61"/>
    <mergeCell ref="A1:K1"/>
    <mergeCell ref="A2:K2"/>
    <mergeCell ref="A4:K4"/>
    <mergeCell ref="A58:K58"/>
    <mergeCell ref="A59:K59"/>
  </mergeCells>
  <conditionalFormatting sqref="K1:K2 K4 K7:K59 K61 K64:K109">
    <cfRule type="cellIs" dxfId="11" priority="1" operator="equal">
      <formula>TRUE</formula>
    </cfRule>
    <cfRule type="cellIs" dxfId="10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EBF2-FA13-40A3-8FC4-39E17228C786}">
  <sheetPr codeName="Planilha34"/>
  <dimension ref="A1:K258"/>
  <sheetViews>
    <sheetView tabSelected="1" topLeftCell="A225" workbookViewId="0">
      <selection activeCell="G233" sqref="G233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hidden="1" customWidth="1"/>
    <col min="9" max="9" width="18.7109375" hidden="1" customWidth="1"/>
    <col min="10" max="10" width="6" customWidth="1"/>
    <col min="11" max="11" width="12.42578125" bestFit="1" customWidth="1"/>
  </cols>
  <sheetData>
    <row r="1" spans="1:11" ht="26.25">
      <c r="A1" s="199" t="s">
        <v>373</v>
      </c>
      <c r="B1" s="200"/>
      <c r="C1" s="200"/>
      <c r="D1" s="200"/>
      <c r="E1" s="200"/>
      <c r="F1" s="200"/>
      <c r="G1" s="200"/>
      <c r="H1" s="200"/>
      <c r="I1" s="200"/>
      <c r="J1" s="200"/>
      <c r="K1" s="201"/>
    </row>
    <row r="2" spans="1:11" ht="26.25">
      <c r="A2" s="202" t="s">
        <v>191</v>
      </c>
      <c r="B2" s="203"/>
      <c r="C2" s="203"/>
      <c r="D2" s="203"/>
      <c r="E2" s="203"/>
      <c r="F2" s="203"/>
      <c r="G2" s="203"/>
      <c r="H2" s="203"/>
      <c r="I2" s="203"/>
      <c r="J2" s="203"/>
      <c r="K2" s="204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 t="s">
        <v>374</v>
      </c>
      <c r="B8" s="6">
        <v>44728</v>
      </c>
      <c r="C8" s="7">
        <v>0.7</v>
      </c>
      <c r="D8" s="5">
        <v>9.2899999999999991</v>
      </c>
      <c r="E8" s="5">
        <v>187.9</v>
      </c>
      <c r="F8" s="5">
        <v>204.1</v>
      </c>
      <c r="G8" s="6">
        <v>44728</v>
      </c>
      <c r="H8" s="5"/>
      <c r="I8" s="5"/>
      <c r="J8" s="5">
        <f>F8-E8</f>
        <v>16.199999999999989</v>
      </c>
      <c r="K8" s="8" t="b">
        <f>E8=F8</f>
        <v>0</v>
      </c>
    </row>
    <row r="9" spans="1:11">
      <c r="A9" s="5" t="s">
        <v>374</v>
      </c>
      <c r="B9" s="6">
        <v>44729</v>
      </c>
      <c r="C9" s="7">
        <v>0.7</v>
      </c>
      <c r="D9" s="5">
        <v>9.2899999999999991</v>
      </c>
      <c r="E9" s="5">
        <v>204.1</v>
      </c>
      <c r="F9" s="5">
        <v>218.6</v>
      </c>
      <c r="G9" s="6">
        <v>44729</v>
      </c>
      <c r="H9" s="5"/>
      <c r="I9" s="5"/>
      <c r="J9" s="5">
        <f t="shared" ref="J9:J37" si="0">F9-E9</f>
        <v>14.5</v>
      </c>
      <c r="K9" s="8" t="b">
        <f>E9=F8</f>
        <v>1</v>
      </c>
    </row>
    <row r="10" spans="1:11">
      <c r="A10" s="5" t="s">
        <v>374</v>
      </c>
      <c r="B10" s="6">
        <v>44730</v>
      </c>
      <c r="C10" s="7">
        <v>1</v>
      </c>
      <c r="D10" s="5">
        <v>5.8</v>
      </c>
      <c r="E10" s="5">
        <v>218.8</v>
      </c>
      <c r="F10" s="5">
        <v>231.9</v>
      </c>
      <c r="G10" s="6">
        <v>44730</v>
      </c>
      <c r="H10" s="5"/>
      <c r="I10" s="5"/>
      <c r="J10" s="5">
        <f t="shared" si="0"/>
        <v>13.099999999999994</v>
      </c>
      <c r="K10" s="8" t="b">
        <f t="shared" ref="K10:K37" si="1">E10=F9</f>
        <v>0</v>
      </c>
    </row>
    <row r="11" spans="1:11">
      <c r="A11" s="5" t="s">
        <v>374</v>
      </c>
      <c r="B11" s="6">
        <v>44731</v>
      </c>
      <c r="C11" s="7">
        <v>1</v>
      </c>
      <c r="D11" s="5">
        <v>5.8</v>
      </c>
      <c r="E11" s="5">
        <v>231.9</v>
      </c>
      <c r="F11" s="5">
        <v>243.8</v>
      </c>
      <c r="G11" s="6">
        <v>44731</v>
      </c>
      <c r="H11" s="5"/>
      <c r="I11" s="5"/>
      <c r="J11" s="5">
        <f t="shared" si="0"/>
        <v>11.900000000000006</v>
      </c>
      <c r="K11" s="8" t="b">
        <f t="shared" si="1"/>
        <v>1</v>
      </c>
    </row>
    <row r="12" spans="1:11">
      <c r="A12" s="5" t="s">
        <v>374</v>
      </c>
      <c r="B12" s="6">
        <v>44732</v>
      </c>
      <c r="C12" s="7">
        <v>1</v>
      </c>
      <c r="D12" s="5">
        <v>5.8</v>
      </c>
      <c r="E12" s="5">
        <v>243.8</v>
      </c>
      <c r="F12" s="5">
        <v>256</v>
      </c>
      <c r="G12" s="6">
        <v>44732</v>
      </c>
      <c r="H12" s="5"/>
      <c r="I12" s="5"/>
      <c r="J12" s="5">
        <f t="shared" si="0"/>
        <v>12.199999999999989</v>
      </c>
      <c r="K12" s="8" t="b">
        <f t="shared" si="1"/>
        <v>1</v>
      </c>
    </row>
    <row r="13" spans="1:11">
      <c r="A13" s="5" t="s">
        <v>374</v>
      </c>
      <c r="B13" s="6">
        <v>44733</v>
      </c>
      <c r="C13" s="7">
        <v>1</v>
      </c>
      <c r="D13" s="5">
        <v>5.8</v>
      </c>
      <c r="E13" s="5">
        <v>256</v>
      </c>
      <c r="F13" s="5">
        <v>267.89999999999998</v>
      </c>
      <c r="G13" s="6">
        <v>44733</v>
      </c>
      <c r="H13" s="5"/>
      <c r="I13" s="5"/>
      <c r="J13" s="5">
        <f t="shared" si="0"/>
        <v>11.899999999999977</v>
      </c>
      <c r="K13" s="8" t="b">
        <f t="shared" si="1"/>
        <v>1</v>
      </c>
    </row>
    <row r="14" spans="1:11">
      <c r="A14" s="5" t="s">
        <v>374</v>
      </c>
      <c r="B14" s="6">
        <v>44734</v>
      </c>
      <c r="C14" s="7">
        <v>1</v>
      </c>
      <c r="D14" s="5">
        <v>5.8</v>
      </c>
      <c r="E14" s="5">
        <v>267.89999999999998</v>
      </c>
      <c r="F14" s="5">
        <v>280.7</v>
      </c>
      <c r="G14" s="6">
        <v>44734</v>
      </c>
      <c r="H14" s="5"/>
      <c r="I14" s="5"/>
      <c r="J14" s="5">
        <f t="shared" si="0"/>
        <v>12.800000000000011</v>
      </c>
      <c r="K14" s="8" t="b">
        <f t="shared" si="1"/>
        <v>1</v>
      </c>
    </row>
    <row r="15" spans="1:11">
      <c r="A15" s="5" t="s">
        <v>374</v>
      </c>
      <c r="B15" s="6">
        <v>44735</v>
      </c>
      <c r="C15" s="7">
        <v>1</v>
      </c>
      <c r="D15" s="5">
        <v>5.8</v>
      </c>
      <c r="E15" s="5">
        <v>280.7</v>
      </c>
      <c r="F15" s="5">
        <v>292.10000000000002</v>
      </c>
      <c r="G15" s="6">
        <v>44735</v>
      </c>
      <c r="H15" s="5"/>
      <c r="I15" s="5"/>
      <c r="J15" s="5">
        <f t="shared" si="0"/>
        <v>11.400000000000034</v>
      </c>
      <c r="K15" s="8" t="b">
        <f t="shared" si="1"/>
        <v>1</v>
      </c>
    </row>
    <row r="16" spans="1:11">
      <c r="A16" s="5" t="s">
        <v>374</v>
      </c>
      <c r="B16" s="6">
        <v>44736</v>
      </c>
      <c r="C16" s="7">
        <v>1</v>
      </c>
      <c r="D16" s="5">
        <v>5.8</v>
      </c>
      <c r="E16" s="5">
        <v>292.10000000000002</v>
      </c>
      <c r="F16" s="5">
        <v>304.10000000000002</v>
      </c>
      <c r="G16" s="6">
        <v>44736</v>
      </c>
      <c r="H16" s="5"/>
      <c r="I16" s="5"/>
      <c r="J16" s="5">
        <f t="shared" si="0"/>
        <v>12</v>
      </c>
      <c r="K16" s="8" t="b">
        <f t="shared" si="1"/>
        <v>1</v>
      </c>
    </row>
    <row r="17" spans="1:11">
      <c r="A17" s="5" t="s">
        <v>374</v>
      </c>
      <c r="B17" s="6">
        <v>44737</v>
      </c>
      <c r="C17" s="7">
        <v>1</v>
      </c>
      <c r="D17" s="5">
        <v>5.8</v>
      </c>
      <c r="E17" s="5">
        <v>304.10000000000002</v>
      </c>
      <c r="F17" s="5">
        <v>328.7</v>
      </c>
      <c r="G17" s="6">
        <v>44706</v>
      </c>
      <c r="H17" s="5"/>
      <c r="I17" s="5"/>
      <c r="J17" s="5">
        <f t="shared" si="0"/>
        <v>24.599999999999966</v>
      </c>
      <c r="K17" s="8" t="b">
        <f t="shared" si="1"/>
        <v>1</v>
      </c>
    </row>
    <row r="18" spans="1:11">
      <c r="A18" s="5" t="s">
        <v>375</v>
      </c>
      <c r="B18" s="6">
        <v>44738</v>
      </c>
      <c r="C18" s="7">
        <v>1</v>
      </c>
      <c r="D18" s="5">
        <v>5.8</v>
      </c>
      <c r="E18" s="5">
        <v>328.7</v>
      </c>
      <c r="F18" s="5">
        <v>334.4</v>
      </c>
      <c r="G18" s="6">
        <v>44738</v>
      </c>
      <c r="H18" s="5"/>
      <c r="I18" s="5"/>
      <c r="J18" s="5">
        <f t="shared" si="0"/>
        <v>5.6999999999999886</v>
      </c>
      <c r="K18" s="8" t="b">
        <f t="shared" si="1"/>
        <v>1</v>
      </c>
    </row>
    <row r="19" spans="1:11">
      <c r="A19" s="5" t="s">
        <v>374</v>
      </c>
      <c r="B19" s="6">
        <v>44739</v>
      </c>
      <c r="C19" s="7">
        <v>1</v>
      </c>
      <c r="D19" s="5">
        <v>5.8</v>
      </c>
      <c r="E19" s="5">
        <v>334.4</v>
      </c>
      <c r="F19" s="5">
        <v>346.5</v>
      </c>
      <c r="G19" s="6">
        <v>44739</v>
      </c>
      <c r="H19" s="5"/>
      <c r="I19" s="5"/>
      <c r="J19" s="5">
        <f t="shared" si="0"/>
        <v>12.100000000000023</v>
      </c>
      <c r="K19" s="8" t="b">
        <f t="shared" si="1"/>
        <v>1</v>
      </c>
    </row>
    <row r="20" spans="1:11">
      <c r="A20" s="5" t="s">
        <v>374</v>
      </c>
      <c r="B20" s="6">
        <v>44740</v>
      </c>
      <c r="C20" s="7">
        <v>1</v>
      </c>
      <c r="D20" s="5">
        <v>5.8</v>
      </c>
      <c r="E20" s="5">
        <v>346.5</v>
      </c>
      <c r="F20" s="5">
        <v>358.9</v>
      </c>
      <c r="G20" s="6">
        <v>44740</v>
      </c>
      <c r="H20" s="5"/>
      <c r="I20" s="5"/>
      <c r="J20" s="5">
        <f t="shared" si="0"/>
        <v>12.399999999999977</v>
      </c>
      <c r="K20" s="8" t="b">
        <f t="shared" si="1"/>
        <v>1</v>
      </c>
    </row>
    <row r="21" spans="1:11">
      <c r="A21" s="5" t="s">
        <v>374</v>
      </c>
      <c r="B21" s="6">
        <v>44741</v>
      </c>
      <c r="C21" s="7">
        <v>1</v>
      </c>
      <c r="D21" s="5">
        <v>5.8</v>
      </c>
      <c r="E21" s="5">
        <v>358.9</v>
      </c>
      <c r="F21" s="5">
        <v>371.3</v>
      </c>
      <c r="G21" s="6">
        <v>44741</v>
      </c>
      <c r="H21" s="5"/>
      <c r="I21" s="5"/>
      <c r="J21" s="5">
        <f t="shared" si="0"/>
        <v>12.400000000000034</v>
      </c>
      <c r="K21" s="8" t="b">
        <f t="shared" si="1"/>
        <v>1</v>
      </c>
    </row>
    <row r="22" spans="1:11">
      <c r="A22" s="5" t="s">
        <v>374</v>
      </c>
      <c r="B22" s="6">
        <v>44742</v>
      </c>
      <c r="C22" s="7">
        <v>1</v>
      </c>
      <c r="D22" s="5">
        <v>5.8</v>
      </c>
      <c r="E22" s="5">
        <v>371.3</v>
      </c>
      <c r="F22" s="5">
        <v>383.1</v>
      </c>
      <c r="G22" s="6">
        <v>44742</v>
      </c>
      <c r="H22" s="5"/>
      <c r="I22" s="5"/>
      <c r="J22" s="5">
        <f t="shared" si="0"/>
        <v>11.800000000000011</v>
      </c>
      <c r="K22" s="8" t="b">
        <f t="shared" si="1"/>
        <v>1</v>
      </c>
    </row>
    <row r="23" spans="1:11">
      <c r="A23" s="5" t="s">
        <v>374</v>
      </c>
      <c r="B23" s="6">
        <v>44743</v>
      </c>
      <c r="C23" s="7">
        <v>1</v>
      </c>
      <c r="D23" s="5">
        <v>5.8</v>
      </c>
      <c r="E23" s="5">
        <v>383.1</v>
      </c>
      <c r="F23" s="5">
        <v>395.4</v>
      </c>
      <c r="G23" s="6">
        <v>44743</v>
      </c>
      <c r="H23" s="5"/>
      <c r="I23" s="5"/>
      <c r="J23" s="5">
        <f t="shared" si="0"/>
        <v>12.299999999999955</v>
      </c>
      <c r="K23" s="8" t="b">
        <f>E23=F22</f>
        <v>1</v>
      </c>
    </row>
    <row r="24" spans="1:11">
      <c r="A24" s="5" t="s">
        <v>374</v>
      </c>
      <c r="B24" s="6">
        <v>44744</v>
      </c>
      <c r="C24" s="7">
        <v>1</v>
      </c>
      <c r="D24" s="5">
        <v>5.8</v>
      </c>
      <c r="E24" s="5">
        <v>395.4</v>
      </c>
      <c r="F24" s="5">
        <v>407.7</v>
      </c>
      <c r="G24" s="6">
        <v>44744</v>
      </c>
      <c r="H24" s="5"/>
      <c r="I24" s="5"/>
      <c r="J24" s="5">
        <f t="shared" si="0"/>
        <v>12.300000000000011</v>
      </c>
      <c r="K24" s="8" t="b">
        <f t="shared" si="1"/>
        <v>1</v>
      </c>
    </row>
    <row r="25" spans="1:11">
      <c r="A25" s="5" t="s">
        <v>374</v>
      </c>
      <c r="B25" s="6">
        <v>44745</v>
      </c>
      <c r="C25" s="7">
        <v>1</v>
      </c>
      <c r="D25" s="5">
        <v>5.8</v>
      </c>
      <c r="E25" s="5">
        <v>407.7</v>
      </c>
      <c r="F25" s="5">
        <v>419.4</v>
      </c>
      <c r="G25" s="6">
        <v>44745</v>
      </c>
      <c r="H25" s="5"/>
      <c r="I25" s="5"/>
      <c r="J25" s="5">
        <f t="shared" si="0"/>
        <v>11.699999999999989</v>
      </c>
      <c r="K25" s="8" t="b">
        <f>E25=F24</f>
        <v>1</v>
      </c>
    </row>
    <row r="26" spans="1:11">
      <c r="A26" s="5" t="s">
        <v>374</v>
      </c>
      <c r="B26" s="6">
        <v>44746</v>
      </c>
      <c r="C26" s="7">
        <v>1</v>
      </c>
      <c r="D26" s="5">
        <v>5.8</v>
      </c>
      <c r="E26" s="5">
        <v>419.4</v>
      </c>
      <c r="F26" s="5">
        <v>433.2</v>
      </c>
      <c r="G26" s="6">
        <v>44746</v>
      </c>
      <c r="H26" s="5"/>
      <c r="I26" s="5"/>
      <c r="J26" s="5">
        <f t="shared" si="0"/>
        <v>13.800000000000011</v>
      </c>
      <c r="K26" s="8" t="b">
        <f t="shared" si="1"/>
        <v>1</v>
      </c>
    </row>
    <row r="27" spans="1:11">
      <c r="A27" s="25" t="s">
        <v>374</v>
      </c>
      <c r="B27" s="26">
        <v>44747</v>
      </c>
      <c r="C27" s="27">
        <v>1</v>
      </c>
      <c r="D27" s="25">
        <v>5.8</v>
      </c>
      <c r="E27" s="25">
        <v>433.2</v>
      </c>
      <c r="F27" s="25">
        <v>445.4</v>
      </c>
      <c r="G27" s="26">
        <v>44747</v>
      </c>
      <c r="H27" s="25"/>
      <c r="I27" s="25"/>
      <c r="J27" s="25">
        <f t="shared" si="0"/>
        <v>12.199999999999989</v>
      </c>
      <c r="K27" s="8" t="b">
        <f>E27=F26</f>
        <v>1</v>
      </c>
    </row>
    <row r="28" spans="1:11">
      <c r="A28" s="5" t="s">
        <v>374</v>
      </c>
      <c r="B28" s="6">
        <v>44750</v>
      </c>
      <c r="C28" s="7">
        <v>1</v>
      </c>
      <c r="D28" s="5">
        <v>5.8</v>
      </c>
      <c r="E28" s="5">
        <v>445.4</v>
      </c>
      <c r="F28" s="5">
        <v>457.7</v>
      </c>
      <c r="G28" s="6">
        <v>44750</v>
      </c>
      <c r="H28" s="5"/>
      <c r="I28" s="5"/>
      <c r="J28" s="5">
        <f t="shared" si="0"/>
        <v>12.300000000000011</v>
      </c>
      <c r="K28" s="8" t="b">
        <f t="shared" si="1"/>
        <v>1</v>
      </c>
    </row>
    <row r="29" spans="1:11">
      <c r="A29" s="5" t="s">
        <v>374</v>
      </c>
      <c r="B29" s="6">
        <v>44752</v>
      </c>
      <c r="C29" s="7">
        <v>1</v>
      </c>
      <c r="D29" s="5">
        <v>5.8</v>
      </c>
      <c r="E29" s="5">
        <v>457.7</v>
      </c>
      <c r="F29" s="5">
        <v>468.9</v>
      </c>
      <c r="G29" s="6">
        <v>44752</v>
      </c>
      <c r="H29" s="5"/>
      <c r="I29" s="5"/>
      <c r="J29" s="5">
        <f t="shared" si="0"/>
        <v>11.199999999999989</v>
      </c>
      <c r="K29" s="8" t="b">
        <f t="shared" si="1"/>
        <v>1</v>
      </c>
    </row>
    <row r="30" spans="1:11">
      <c r="A30" s="5" t="s">
        <v>374</v>
      </c>
      <c r="B30" s="6">
        <v>44754</v>
      </c>
      <c r="C30" s="7">
        <v>1</v>
      </c>
      <c r="D30" s="5">
        <v>5.8</v>
      </c>
      <c r="E30" s="5">
        <v>468.9</v>
      </c>
      <c r="F30" s="5">
        <v>482.1</v>
      </c>
      <c r="G30" s="6">
        <v>44754</v>
      </c>
      <c r="H30" s="5"/>
      <c r="I30" s="5"/>
      <c r="J30" s="5">
        <f t="shared" si="0"/>
        <v>13.200000000000045</v>
      </c>
      <c r="K30" s="8" t="b">
        <f t="shared" si="1"/>
        <v>1</v>
      </c>
    </row>
    <row r="31" spans="1:11">
      <c r="A31" s="5" t="s">
        <v>374</v>
      </c>
      <c r="B31" s="6">
        <v>44756</v>
      </c>
      <c r="C31" s="7">
        <v>1</v>
      </c>
      <c r="D31" s="5">
        <v>5.8</v>
      </c>
      <c r="E31" s="5">
        <v>482.1</v>
      </c>
      <c r="F31" s="5">
        <v>495.3</v>
      </c>
      <c r="G31" s="6">
        <v>44756</v>
      </c>
      <c r="H31" s="5"/>
      <c r="I31" s="5"/>
      <c r="J31" s="5">
        <f t="shared" si="0"/>
        <v>13.199999999999989</v>
      </c>
      <c r="K31" s="8" t="b">
        <f t="shared" si="1"/>
        <v>1</v>
      </c>
    </row>
    <row r="32" spans="1:11">
      <c r="A32" s="5" t="s">
        <v>374</v>
      </c>
      <c r="B32" s="6">
        <v>44759</v>
      </c>
      <c r="C32" s="7">
        <v>1</v>
      </c>
      <c r="D32" s="5">
        <v>5.8</v>
      </c>
      <c r="E32" s="5">
        <v>495.3</v>
      </c>
      <c r="F32" s="5">
        <v>507.2</v>
      </c>
      <c r="G32" s="6">
        <v>44759</v>
      </c>
      <c r="H32" s="5"/>
      <c r="I32" s="5"/>
      <c r="J32" s="5">
        <f t="shared" si="0"/>
        <v>11.899999999999977</v>
      </c>
      <c r="K32" s="8" t="b">
        <f t="shared" si="1"/>
        <v>1</v>
      </c>
    </row>
    <row r="33" spans="1:11">
      <c r="A33" s="25" t="s">
        <v>374</v>
      </c>
      <c r="B33" s="26">
        <v>44760</v>
      </c>
      <c r="C33" s="27">
        <v>1</v>
      </c>
      <c r="D33" s="25">
        <v>5.8</v>
      </c>
      <c r="E33" s="25">
        <v>507.2</v>
      </c>
      <c r="F33" s="25">
        <v>519</v>
      </c>
      <c r="G33" s="26">
        <v>44760</v>
      </c>
      <c r="H33" s="25"/>
      <c r="I33" s="25"/>
      <c r="J33" s="25">
        <f t="shared" si="0"/>
        <v>11.800000000000011</v>
      </c>
      <c r="K33" s="8" t="b">
        <f t="shared" si="1"/>
        <v>1</v>
      </c>
    </row>
    <row r="34" spans="1:11">
      <c r="A34" s="5" t="s">
        <v>374</v>
      </c>
      <c r="B34" s="6">
        <v>44763</v>
      </c>
      <c r="C34" s="7">
        <v>1</v>
      </c>
      <c r="D34" s="5">
        <v>5.8</v>
      </c>
      <c r="E34" s="5">
        <v>519</v>
      </c>
      <c r="F34" s="5">
        <v>531.9</v>
      </c>
      <c r="G34" s="6">
        <v>44763</v>
      </c>
      <c r="H34" s="5"/>
      <c r="I34" s="5"/>
      <c r="J34" s="5">
        <f t="shared" si="0"/>
        <v>12.899999999999977</v>
      </c>
      <c r="K34" s="8" t="b">
        <f t="shared" si="1"/>
        <v>1</v>
      </c>
    </row>
    <row r="35" spans="1:11">
      <c r="A35" s="5" t="s">
        <v>374</v>
      </c>
      <c r="B35" s="6">
        <v>44766</v>
      </c>
      <c r="C35" s="7">
        <v>1</v>
      </c>
      <c r="D35" s="5">
        <v>5.8</v>
      </c>
      <c r="E35" s="5">
        <v>531.9</v>
      </c>
      <c r="F35" s="5">
        <v>542.20000000000005</v>
      </c>
      <c r="G35" s="6">
        <v>44766</v>
      </c>
      <c r="H35" s="5"/>
      <c r="I35" s="5"/>
      <c r="J35" s="5">
        <f t="shared" si="0"/>
        <v>10.300000000000068</v>
      </c>
      <c r="K35" s="8" t="b">
        <f t="shared" si="1"/>
        <v>1</v>
      </c>
    </row>
    <row r="36" spans="1:11">
      <c r="A36" s="5" t="s">
        <v>374</v>
      </c>
      <c r="B36" s="6">
        <v>44768</v>
      </c>
      <c r="C36" s="7">
        <v>1</v>
      </c>
      <c r="D36" s="5">
        <v>5.8</v>
      </c>
      <c r="E36" s="5">
        <v>542.20000000000005</v>
      </c>
      <c r="F36" s="5">
        <v>554.9</v>
      </c>
      <c r="G36" s="6">
        <v>44770</v>
      </c>
      <c r="H36" s="5"/>
      <c r="I36" s="5"/>
      <c r="J36" s="5">
        <f t="shared" si="0"/>
        <v>12.699999999999932</v>
      </c>
      <c r="K36" s="8" t="b">
        <f t="shared" si="1"/>
        <v>1</v>
      </c>
    </row>
    <row r="37" spans="1:11">
      <c r="A37" s="25" t="s">
        <v>374</v>
      </c>
      <c r="B37" s="26">
        <v>44770</v>
      </c>
      <c r="C37" s="27">
        <v>1</v>
      </c>
      <c r="D37" s="25">
        <v>5.8</v>
      </c>
      <c r="E37" s="25">
        <v>554.9</v>
      </c>
      <c r="F37" s="25">
        <v>573</v>
      </c>
      <c r="G37" s="26">
        <v>44770</v>
      </c>
      <c r="H37" s="25"/>
      <c r="I37" s="25"/>
      <c r="J37" s="25">
        <f t="shared" si="0"/>
        <v>18.100000000000023</v>
      </c>
      <c r="K37" s="8" t="b">
        <f t="shared" si="1"/>
        <v>1</v>
      </c>
    </row>
    <row r="38" spans="1:11">
      <c r="A38" s="5" t="s">
        <v>374</v>
      </c>
      <c r="B38" s="6">
        <v>44772</v>
      </c>
      <c r="C38" s="7">
        <v>0.6</v>
      </c>
      <c r="D38" s="5">
        <v>9.67</v>
      </c>
      <c r="E38" s="5">
        <v>573</v>
      </c>
      <c r="F38" s="5">
        <v>592.5</v>
      </c>
      <c r="G38" s="6">
        <v>44772</v>
      </c>
      <c r="H38" s="5"/>
      <c r="I38" s="5"/>
      <c r="J38" s="5">
        <f>F38-E38</f>
        <v>19.5</v>
      </c>
      <c r="K38" s="8" t="b">
        <f>E38=F8</f>
        <v>0</v>
      </c>
    </row>
    <row r="39" spans="1:11">
      <c r="A39" s="5" t="s">
        <v>374</v>
      </c>
      <c r="B39" s="6">
        <v>44774</v>
      </c>
      <c r="C39" s="7">
        <v>0.7</v>
      </c>
      <c r="D39" s="5">
        <v>8.2899999999999991</v>
      </c>
      <c r="E39" s="5">
        <v>592.5</v>
      </c>
      <c r="F39" s="5">
        <v>608.9</v>
      </c>
      <c r="G39" s="6">
        <v>44774</v>
      </c>
      <c r="H39" s="5"/>
      <c r="I39" s="5"/>
      <c r="J39" s="5">
        <f>F39-E39</f>
        <v>16.399999999999977</v>
      </c>
      <c r="K39" s="8" t="b">
        <f t="shared" ref="K39:K87" si="2">E39=F38</f>
        <v>1</v>
      </c>
    </row>
    <row r="40" spans="1:11">
      <c r="A40" s="5" t="s">
        <v>374</v>
      </c>
      <c r="B40" s="6">
        <v>44776</v>
      </c>
      <c r="C40" s="7">
        <v>1</v>
      </c>
      <c r="D40" s="5">
        <v>5.8</v>
      </c>
      <c r="E40" s="5">
        <v>608.9</v>
      </c>
      <c r="F40" s="5">
        <v>621.1</v>
      </c>
      <c r="G40" s="6">
        <v>44776</v>
      </c>
      <c r="H40" s="5"/>
      <c r="I40" s="5"/>
      <c r="J40" s="5">
        <f>F40-E40</f>
        <v>12.200000000000045</v>
      </c>
      <c r="K40" s="8" t="b">
        <f t="shared" si="2"/>
        <v>1</v>
      </c>
    </row>
    <row r="41" spans="1:11">
      <c r="A41" s="5" t="s">
        <v>374</v>
      </c>
      <c r="B41" s="6">
        <v>44778</v>
      </c>
      <c r="C41" s="7">
        <v>0.7</v>
      </c>
      <c r="D41" s="5">
        <v>8.2899999999999991</v>
      </c>
      <c r="E41" s="5">
        <v>621.1</v>
      </c>
      <c r="F41" s="5">
        <v>646.6</v>
      </c>
      <c r="G41" s="6">
        <v>44778</v>
      </c>
      <c r="H41" s="5"/>
      <c r="I41" s="5"/>
      <c r="J41" s="5">
        <f t="shared" ref="J41:J53" si="3">F41-E41</f>
        <v>25.5</v>
      </c>
      <c r="K41" s="8" t="b">
        <f t="shared" si="2"/>
        <v>1</v>
      </c>
    </row>
    <row r="42" spans="1:11">
      <c r="A42" s="5" t="s">
        <v>374</v>
      </c>
      <c r="B42" s="6">
        <v>44782</v>
      </c>
      <c r="C42" s="7">
        <v>1</v>
      </c>
      <c r="D42" s="5">
        <v>5.8</v>
      </c>
      <c r="E42" s="5">
        <v>646.6</v>
      </c>
      <c r="F42" s="5">
        <v>658.1</v>
      </c>
      <c r="G42" s="6">
        <v>44782</v>
      </c>
      <c r="H42" s="5"/>
      <c r="I42" s="5"/>
      <c r="J42" s="5">
        <f t="shared" si="3"/>
        <v>11.5</v>
      </c>
      <c r="K42" s="8" t="b">
        <f t="shared" si="2"/>
        <v>1</v>
      </c>
    </row>
    <row r="43" spans="1:11">
      <c r="A43" s="5" t="s">
        <v>374</v>
      </c>
      <c r="B43" s="6">
        <v>44783</v>
      </c>
      <c r="C43" s="7">
        <v>1</v>
      </c>
      <c r="D43" s="5">
        <v>5.8</v>
      </c>
      <c r="E43" s="5">
        <v>658.1</v>
      </c>
      <c r="F43" s="5">
        <v>670</v>
      </c>
      <c r="G43" s="6">
        <v>44783</v>
      </c>
      <c r="H43" s="5"/>
      <c r="I43" s="5"/>
      <c r="J43" s="5">
        <f t="shared" si="3"/>
        <v>11.899999999999977</v>
      </c>
      <c r="K43" s="8" t="b">
        <f t="shared" si="2"/>
        <v>1</v>
      </c>
    </row>
    <row r="44" spans="1:11">
      <c r="A44" s="5" t="s">
        <v>374</v>
      </c>
      <c r="B44" s="6">
        <v>44784</v>
      </c>
      <c r="C44" s="7">
        <v>1</v>
      </c>
      <c r="D44" s="5">
        <v>5.8</v>
      </c>
      <c r="E44" s="5">
        <v>670</v>
      </c>
      <c r="F44" s="5">
        <v>681.8</v>
      </c>
      <c r="G44" s="6">
        <v>44784</v>
      </c>
      <c r="H44" s="5"/>
      <c r="I44" s="5"/>
      <c r="J44" s="5">
        <f t="shared" si="3"/>
        <v>11.799999999999955</v>
      </c>
      <c r="K44" s="8" t="b">
        <f t="shared" si="2"/>
        <v>1</v>
      </c>
    </row>
    <row r="45" spans="1:11">
      <c r="A45" s="5" t="s">
        <v>374</v>
      </c>
      <c r="B45" s="6">
        <v>44785</v>
      </c>
      <c r="C45" s="7">
        <v>1</v>
      </c>
      <c r="D45" s="5">
        <v>5.8</v>
      </c>
      <c r="E45" s="5">
        <v>681.8</v>
      </c>
      <c r="F45" s="5">
        <v>693.3</v>
      </c>
      <c r="G45" s="6">
        <v>44785</v>
      </c>
      <c r="H45" s="5"/>
      <c r="I45" s="5"/>
      <c r="J45" s="5">
        <f t="shared" si="3"/>
        <v>11.5</v>
      </c>
      <c r="K45" s="8" t="b">
        <f t="shared" si="2"/>
        <v>1</v>
      </c>
    </row>
    <row r="46" spans="1:11">
      <c r="A46" s="5" t="s">
        <v>374</v>
      </c>
      <c r="B46" s="6">
        <v>44786</v>
      </c>
      <c r="C46" s="7">
        <v>0.6</v>
      </c>
      <c r="D46" s="5">
        <v>9.67</v>
      </c>
      <c r="E46" s="5">
        <v>693.3</v>
      </c>
      <c r="F46" s="5">
        <v>714.2</v>
      </c>
      <c r="G46" s="6">
        <v>44786</v>
      </c>
      <c r="H46" s="5"/>
      <c r="I46" s="5"/>
      <c r="J46" s="5">
        <f t="shared" si="3"/>
        <v>20.900000000000091</v>
      </c>
      <c r="K46" s="8" t="b">
        <f t="shared" si="2"/>
        <v>1</v>
      </c>
    </row>
    <row r="47" spans="1:11">
      <c r="A47" s="5" t="s">
        <v>374</v>
      </c>
      <c r="B47" s="6">
        <v>44787</v>
      </c>
      <c r="C47" s="7">
        <v>0.6</v>
      </c>
      <c r="D47" s="5">
        <v>9.67</v>
      </c>
      <c r="E47" s="5">
        <v>714.2</v>
      </c>
      <c r="F47" s="5">
        <v>726.4</v>
      </c>
      <c r="G47" s="6">
        <v>44787</v>
      </c>
      <c r="H47" s="5"/>
      <c r="I47" s="5"/>
      <c r="J47" s="5">
        <f t="shared" si="3"/>
        <v>12.199999999999932</v>
      </c>
      <c r="K47" s="8" t="b">
        <f t="shared" si="2"/>
        <v>1</v>
      </c>
    </row>
    <row r="48" spans="1:11">
      <c r="A48" s="5" t="s">
        <v>374</v>
      </c>
      <c r="B48" s="6">
        <v>44791</v>
      </c>
      <c r="C48" s="7">
        <v>0.6</v>
      </c>
      <c r="D48" s="5">
        <v>9.67</v>
      </c>
      <c r="E48" s="5">
        <v>726.4</v>
      </c>
      <c r="F48" s="5">
        <v>751.9</v>
      </c>
      <c r="G48" s="6">
        <v>44791</v>
      </c>
      <c r="H48" s="5"/>
      <c r="I48" s="5"/>
      <c r="J48" s="5">
        <f t="shared" si="3"/>
        <v>25.5</v>
      </c>
      <c r="K48" s="8" t="b">
        <f t="shared" si="2"/>
        <v>1</v>
      </c>
    </row>
    <row r="49" spans="1:11">
      <c r="A49" s="5" t="s">
        <v>374</v>
      </c>
      <c r="B49" s="6">
        <v>44792</v>
      </c>
      <c r="C49" s="7">
        <v>1</v>
      </c>
      <c r="D49" s="5">
        <v>5.8</v>
      </c>
      <c r="E49" s="5">
        <v>751.9</v>
      </c>
      <c r="F49" s="5">
        <v>765.5</v>
      </c>
      <c r="G49" s="6">
        <v>44792</v>
      </c>
      <c r="H49" s="5"/>
      <c r="I49" s="5"/>
      <c r="J49" s="5">
        <f t="shared" si="3"/>
        <v>13.600000000000023</v>
      </c>
      <c r="K49" s="8" t="b">
        <f t="shared" si="2"/>
        <v>1</v>
      </c>
    </row>
    <row r="50" spans="1:11">
      <c r="A50" s="5" t="s">
        <v>374</v>
      </c>
      <c r="B50" s="6">
        <v>44793</v>
      </c>
      <c r="C50" s="7">
        <v>0.7</v>
      </c>
      <c r="D50" s="5">
        <v>8.2899999999999991</v>
      </c>
      <c r="E50" s="5">
        <v>765.5</v>
      </c>
      <c r="F50" s="5">
        <v>778.5</v>
      </c>
      <c r="G50" s="6">
        <v>44793</v>
      </c>
      <c r="H50" s="5"/>
      <c r="I50" s="5"/>
      <c r="J50" s="5">
        <f t="shared" si="3"/>
        <v>13</v>
      </c>
      <c r="K50" s="8" t="b">
        <f t="shared" si="2"/>
        <v>1</v>
      </c>
    </row>
    <row r="51" spans="1:11">
      <c r="A51" s="5" t="s">
        <v>374</v>
      </c>
      <c r="B51" s="6">
        <v>44795</v>
      </c>
      <c r="C51" s="7">
        <v>0.5</v>
      </c>
      <c r="D51" s="5">
        <v>11.6</v>
      </c>
      <c r="E51" s="5">
        <v>778.5</v>
      </c>
      <c r="F51" s="5">
        <v>807.9</v>
      </c>
      <c r="G51" s="6">
        <v>44795</v>
      </c>
      <c r="H51" s="5"/>
      <c r="I51" s="5"/>
      <c r="J51" s="5">
        <f t="shared" si="3"/>
        <v>29.399999999999977</v>
      </c>
      <c r="K51" s="8" t="b">
        <f t="shared" si="2"/>
        <v>1</v>
      </c>
    </row>
    <row r="52" spans="1:11">
      <c r="A52" s="5" t="s">
        <v>376</v>
      </c>
      <c r="B52" s="6">
        <v>44796</v>
      </c>
      <c r="C52" s="7">
        <v>0.5</v>
      </c>
      <c r="D52" s="5">
        <v>11.6</v>
      </c>
      <c r="E52" s="5">
        <v>807.9</v>
      </c>
      <c r="F52" s="5">
        <v>821</v>
      </c>
      <c r="G52" s="6">
        <v>44796</v>
      </c>
      <c r="H52" s="5"/>
      <c r="I52" s="5"/>
      <c r="J52" s="5">
        <f t="shared" si="3"/>
        <v>13.100000000000023</v>
      </c>
      <c r="K52" s="8" t="b">
        <f t="shared" si="2"/>
        <v>1</v>
      </c>
    </row>
    <row r="53" spans="1:11">
      <c r="A53" s="5" t="s">
        <v>374</v>
      </c>
      <c r="B53" s="6">
        <v>44797</v>
      </c>
      <c r="C53" s="7">
        <v>1</v>
      </c>
      <c r="D53" s="5">
        <v>5.8</v>
      </c>
      <c r="E53" s="5">
        <v>821</v>
      </c>
      <c r="F53" s="5">
        <v>833.7</v>
      </c>
      <c r="G53" s="6">
        <v>44797</v>
      </c>
      <c r="H53" s="5"/>
      <c r="I53" s="5"/>
      <c r="J53" s="5">
        <f t="shared" si="3"/>
        <v>12.700000000000045</v>
      </c>
      <c r="K53" s="8" t="b">
        <f t="shared" si="2"/>
        <v>1</v>
      </c>
    </row>
    <row r="54" spans="1:11">
      <c r="A54" s="5" t="s">
        <v>375</v>
      </c>
      <c r="B54" s="6">
        <v>44798</v>
      </c>
      <c r="C54" s="7">
        <v>0.5</v>
      </c>
      <c r="D54" s="5">
        <v>11.6</v>
      </c>
      <c r="E54" s="5">
        <v>833.7</v>
      </c>
      <c r="F54" s="5">
        <v>845.3</v>
      </c>
      <c r="G54" s="6">
        <v>44798</v>
      </c>
      <c r="H54" s="5"/>
      <c r="I54" s="5"/>
      <c r="J54" s="5">
        <f t="shared" ref="J54:J59" si="4">F54-E54</f>
        <v>11.599999999999909</v>
      </c>
      <c r="K54" s="8" t="b">
        <f t="shared" si="2"/>
        <v>1</v>
      </c>
    </row>
    <row r="55" spans="1:11">
      <c r="A55" s="5" t="s">
        <v>376</v>
      </c>
      <c r="B55" s="6">
        <v>44799</v>
      </c>
      <c r="C55" s="7">
        <v>0.5</v>
      </c>
      <c r="D55" s="5">
        <v>11.6</v>
      </c>
      <c r="E55" s="5">
        <v>845.3</v>
      </c>
      <c r="F55" s="5">
        <v>857</v>
      </c>
      <c r="G55" s="6">
        <v>44799</v>
      </c>
      <c r="H55" s="5"/>
      <c r="I55" s="5"/>
      <c r="J55" s="5">
        <f t="shared" si="4"/>
        <v>11.700000000000045</v>
      </c>
      <c r="K55" s="8" t="b">
        <f t="shared" si="2"/>
        <v>1</v>
      </c>
    </row>
    <row r="56" spans="1:11">
      <c r="A56" s="5" t="s">
        <v>375</v>
      </c>
      <c r="B56" s="6">
        <v>44800</v>
      </c>
      <c r="C56" s="7">
        <v>0.5</v>
      </c>
      <c r="D56" s="5">
        <v>11.6</v>
      </c>
      <c r="E56" s="5">
        <v>857</v>
      </c>
      <c r="F56" s="5">
        <v>868.8</v>
      </c>
      <c r="G56" s="6">
        <v>44800</v>
      </c>
      <c r="H56" s="5"/>
      <c r="I56" s="5"/>
      <c r="J56" s="5">
        <f t="shared" si="4"/>
        <v>11.799999999999955</v>
      </c>
      <c r="K56" s="8" t="b">
        <f t="shared" si="2"/>
        <v>1</v>
      </c>
    </row>
    <row r="57" spans="1:11">
      <c r="A57" s="5" t="s">
        <v>376</v>
      </c>
      <c r="B57" s="6">
        <v>44801</v>
      </c>
      <c r="C57" s="7">
        <v>0.5</v>
      </c>
      <c r="D57" s="5">
        <v>11.6</v>
      </c>
      <c r="E57" s="5">
        <v>868.8</v>
      </c>
      <c r="F57" s="5">
        <v>880.6</v>
      </c>
      <c r="G57" s="6">
        <v>44801</v>
      </c>
      <c r="H57" s="5"/>
      <c r="I57" s="5"/>
      <c r="J57" s="5">
        <f t="shared" si="4"/>
        <v>11.800000000000068</v>
      </c>
      <c r="K57" s="8" t="b">
        <f t="shared" si="2"/>
        <v>1</v>
      </c>
    </row>
    <row r="58" spans="1:11">
      <c r="A58" s="5" t="s">
        <v>374</v>
      </c>
      <c r="B58" s="6">
        <v>44803</v>
      </c>
      <c r="C58" s="7">
        <v>0.6</v>
      </c>
      <c r="D58" s="5">
        <v>9.67</v>
      </c>
      <c r="E58" s="5">
        <v>880.6</v>
      </c>
      <c r="F58" s="5">
        <v>900.1</v>
      </c>
      <c r="G58" s="6">
        <v>44803</v>
      </c>
      <c r="H58" s="5"/>
      <c r="I58" s="5"/>
      <c r="J58" s="5">
        <f t="shared" si="4"/>
        <v>19.5</v>
      </c>
      <c r="K58" s="8" t="b">
        <f t="shared" si="2"/>
        <v>1</v>
      </c>
    </row>
    <row r="59" spans="1:11">
      <c r="A59" s="5" t="s">
        <v>374</v>
      </c>
      <c r="B59" s="6">
        <v>44805</v>
      </c>
      <c r="C59" s="7">
        <v>0.6</v>
      </c>
      <c r="D59" s="5">
        <v>9.67</v>
      </c>
      <c r="E59" s="5">
        <v>900.1</v>
      </c>
      <c r="F59" s="5">
        <v>919.4</v>
      </c>
      <c r="G59" s="6">
        <v>44805</v>
      </c>
      <c r="H59" s="5"/>
      <c r="I59" s="5"/>
      <c r="J59" s="5">
        <f t="shared" si="4"/>
        <v>19.299999999999955</v>
      </c>
      <c r="K59" s="8" t="b">
        <f t="shared" si="2"/>
        <v>1</v>
      </c>
    </row>
    <row r="60" spans="1:11">
      <c r="A60" s="5" t="s">
        <v>374</v>
      </c>
      <c r="B60" s="6">
        <v>44806</v>
      </c>
      <c r="C60" s="7">
        <v>0.6</v>
      </c>
      <c r="D60" s="5">
        <v>9.67</v>
      </c>
      <c r="E60" s="5">
        <v>919.4</v>
      </c>
      <c r="F60" s="5">
        <v>939</v>
      </c>
      <c r="G60" s="6">
        <v>44806</v>
      </c>
      <c r="H60" s="5"/>
      <c r="I60" s="5"/>
      <c r="J60" s="5">
        <f t="shared" ref="J60:J73" si="5">F60-E60</f>
        <v>19.600000000000023</v>
      </c>
      <c r="K60" s="8" t="b">
        <f t="shared" si="2"/>
        <v>1</v>
      </c>
    </row>
    <row r="61" spans="1:11">
      <c r="A61" s="5" t="s">
        <v>374</v>
      </c>
      <c r="B61" s="6">
        <v>44808</v>
      </c>
      <c r="C61" s="7">
        <v>0.6</v>
      </c>
      <c r="D61" s="5">
        <v>9.67</v>
      </c>
      <c r="E61" s="5">
        <v>939</v>
      </c>
      <c r="F61" s="5">
        <v>959.6</v>
      </c>
      <c r="G61" s="6">
        <v>44808</v>
      </c>
      <c r="H61" s="5"/>
      <c r="I61" s="5"/>
      <c r="J61" s="5">
        <f t="shared" si="5"/>
        <v>20.600000000000023</v>
      </c>
      <c r="K61" s="8" t="b">
        <f t="shared" si="2"/>
        <v>1</v>
      </c>
    </row>
    <row r="62" spans="1:11">
      <c r="A62" s="5" t="s">
        <v>374</v>
      </c>
      <c r="B62" s="6">
        <v>44810</v>
      </c>
      <c r="C62" s="7">
        <v>0.6</v>
      </c>
      <c r="D62" s="5">
        <v>9.67</v>
      </c>
      <c r="E62" s="5">
        <v>959.6</v>
      </c>
      <c r="F62" s="5">
        <v>979.4</v>
      </c>
      <c r="G62" s="6">
        <v>44810</v>
      </c>
      <c r="H62" s="5"/>
      <c r="I62" s="5"/>
      <c r="J62" s="5">
        <f t="shared" si="5"/>
        <v>19.799999999999955</v>
      </c>
      <c r="K62" s="8" t="b">
        <f t="shared" si="2"/>
        <v>1</v>
      </c>
    </row>
    <row r="63" spans="1:11">
      <c r="A63" s="5" t="s">
        <v>375</v>
      </c>
      <c r="B63" s="6">
        <v>44815</v>
      </c>
      <c r="C63" s="7">
        <v>0.6</v>
      </c>
      <c r="D63" s="5">
        <v>9.67</v>
      </c>
      <c r="E63" s="5">
        <v>979.4</v>
      </c>
      <c r="F63" s="5">
        <v>989.4</v>
      </c>
      <c r="G63" s="6">
        <v>44815</v>
      </c>
      <c r="H63" s="5"/>
      <c r="I63" s="5"/>
      <c r="J63" s="5">
        <f t="shared" si="5"/>
        <v>10</v>
      </c>
      <c r="K63" s="8" t="b">
        <f t="shared" si="2"/>
        <v>1</v>
      </c>
    </row>
    <row r="64" spans="1:11">
      <c r="A64" s="5" t="s">
        <v>376</v>
      </c>
      <c r="B64" s="6">
        <v>44816</v>
      </c>
      <c r="C64" s="7">
        <v>0.5</v>
      </c>
      <c r="D64" s="5">
        <v>11.6</v>
      </c>
      <c r="E64" s="5">
        <v>989.4</v>
      </c>
      <c r="F64" s="5">
        <v>1001.2</v>
      </c>
      <c r="G64" s="6">
        <v>44816</v>
      </c>
      <c r="H64" s="5"/>
      <c r="I64" s="5"/>
      <c r="J64" s="5">
        <f t="shared" si="5"/>
        <v>11.800000000000068</v>
      </c>
      <c r="K64" s="8" t="b">
        <f t="shared" si="2"/>
        <v>1</v>
      </c>
    </row>
    <row r="65" spans="1:11">
      <c r="A65" s="5" t="s">
        <v>375</v>
      </c>
      <c r="B65" s="6">
        <v>44817</v>
      </c>
      <c r="C65" s="7">
        <v>0.5</v>
      </c>
      <c r="D65" s="5">
        <v>11.6</v>
      </c>
      <c r="E65" s="5">
        <v>1001.2</v>
      </c>
      <c r="F65" s="5">
        <v>1012.8</v>
      </c>
      <c r="G65" s="6">
        <v>44817</v>
      </c>
      <c r="H65" s="5"/>
      <c r="I65" s="5"/>
      <c r="J65" s="5">
        <f t="shared" si="5"/>
        <v>11.599999999999909</v>
      </c>
      <c r="K65" s="8" t="b">
        <f t="shared" si="2"/>
        <v>1</v>
      </c>
    </row>
    <row r="66" spans="1:11">
      <c r="A66" s="5" t="s">
        <v>376</v>
      </c>
      <c r="B66" s="6">
        <v>44818</v>
      </c>
      <c r="C66" s="7">
        <v>0.5</v>
      </c>
      <c r="D66" s="5">
        <v>11.6</v>
      </c>
      <c r="E66" s="5">
        <v>1012.8</v>
      </c>
      <c r="F66" s="5">
        <v>1024.5999999999999</v>
      </c>
      <c r="G66" s="6">
        <v>44818</v>
      </c>
      <c r="H66" s="5"/>
      <c r="I66" s="5"/>
      <c r="J66" s="5">
        <f t="shared" si="5"/>
        <v>11.799999999999955</v>
      </c>
      <c r="K66" s="8" t="b">
        <f t="shared" si="2"/>
        <v>1</v>
      </c>
    </row>
    <row r="67" spans="1:11">
      <c r="A67" s="5" t="s">
        <v>375</v>
      </c>
      <c r="B67" s="6">
        <v>44819</v>
      </c>
      <c r="C67" s="7">
        <v>0.5</v>
      </c>
      <c r="D67" s="5">
        <v>11.6</v>
      </c>
      <c r="E67" s="5">
        <v>1024.5999999999999</v>
      </c>
      <c r="F67" s="5">
        <v>1036.7</v>
      </c>
      <c r="G67" s="6">
        <v>44819</v>
      </c>
      <c r="H67" s="5"/>
      <c r="I67" s="5"/>
      <c r="J67" s="5">
        <f t="shared" si="5"/>
        <v>12.100000000000136</v>
      </c>
      <c r="K67" s="8" t="b">
        <f t="shared" si="2"/>
        <v>1</v>
      </c>
    </row>
    <row r="68" spans="1:11">
      <c r="A68" s="5" t="s">
        <v>377</v>
      </c>
      <c r="B68" s="6">
        <v>44820</v>
      </c>
      <c r="C68" s="7">
        <v>0.5</v>
      </c>
      <c r="D68" s="5">
        <v>11.6</v>
      </c>
      <c r="E68" s="5">
        <v>1036.7</v>
      </c>
      <c r="F68" s="5">
        <v>1042.7</v>
      </c>
      <c r="G68" s="6">
        <v>44820</v>
      </c>
      <c r="H68" s="5"/>
      <c r="I68" s="5"/>
      <c r="J68" s="5">
        <f t="shared" si="5"/>
        <v>6</v>
      </c>
      <c r="K68" s="8" t="b">
        <f t="shared" si="2"/>
        <v>1</v>
      </c>
    </row>
    <row r="69" spans="1:11">
      <c r="A69" s="5" t="s">
        <v>378</v>
      </c>
      <c r="B69" s="6">
        <v>44821</v>
      </c>
      <c r="C69" s="7">
        <v>0.6</v>
      </c>
      <c r="D69" s="5">
        <v>9.67</v>
      </c>
      <c r="E69" s="5">
        <v>1042.7</v>
      </c>
      <c r="F69" s="5">
        <v>1057.4000000000001</v>
      </c>
      <c r="G69" s="6">
        <v>44821</v>
      </c>
      <c r="H69" s="5"/>
      <c r="I69" s="5"/>
      <c r="J69" s="5">
        <f t="shared" si="5"/>
        <v>14.700000000000045</v>
      </c>
      <c r="K69" s="8" t="b">
        <f t="shared" si="2"/>
        <v>1</v>
      </c>
    </row>
    <row r="70" spans="1:11">
      <c r="A70" s="5" t="s">
        <v>379</v>
      </c>
      <c r="B70" s="6">
        <v>44822</v>
      </c>
      <c r="C70" s="7">
        <v>0.5</v>
      </c>
      <c r="D70" s="5">
        <v>11.6</v>
      </c>
      <c r="E70" s="5">
        <v>1057.4000000000001</v>
      </c>
      <c r="F70" s="5">
        <v>1069.2</v>
      </c>
      <c r="G70" s="6">
        <v>44822</v>
      </c>
      <c r="H70" s="5"/>
      <c r="I70" s="5"/>
      <c r="J70" s="5">
        <f t="shared" si="5"/>
        <v>11.799999999999955</v>
      </c>
      <c r="K70" s="8" t="b">
        <f t="shared" si="2"/>
        <v>1</v>
      </c>
    </row>
    <row r="71" spans="1:11">
      <c r="A71" s="5" t="s">
        <v>380</v>
      </c>
      <c r="B71" s="6">
        <v>44823</v>
      </c>
      <c r="C71" s="7">
        <v>0.5</v>
      </c>
      <c r="D71" s="5">
        <v>11.6</v>
      </c>
      <c r="E71" s="5">
        <v>1069.2</v>
      </c>
      <c r="F71" s="5">
        <v>1080.7</v>
      </c>
      <c r="G71" s="6">
        <v>44823</v>
      </c>
      <c r="H71" s="5"/>
      <c r="I71" s="5"/>
      <c r="J71" s="5">
        <f t="shared" si="5"/>
        <v>11.5</v>
      </c>
      <c r="K71" s="8" t="b">
        <f t="shared" si="2"/>
        <v>1</v>
      </c>
    </row>
    <row r="72" spans="1:11">
      <c r="A72" s="5" t="s">
        <v>380</v>
      </c>
      <c r="B72" s="6">
        <v>44824</v>
      </c>
      <c r="C72" s="7">
        <v>0.5</v>
      </c>
      <c r="D72" s="5">
        <v>11.6</v>
      </c>
      <c r="E72" s="5">
        <v>1080.7</v>
      </c>
      <c r="F72" s="5">
        <v>1092.2</v>
      </c>
      <c r="G72" s="6">
        <v>44824</v>
      </c>
      <c r="H72" s="5"/>
      <c r="I72" s="5"/>
      <c r="J72" s="5">
        <f t="shared" si="5"/>
        <v>11.5</v>
      </c>
      <c r="K72" s="8" t="b">
        <f t="shared" si="2"/>
        <v>1</v>
      </c>
    </row>
    <row r="73" spans="1:11">
      <c r="A73" s="5" t="s">
        <v>374</v>
      </c>
      <c r="B73" s="6">
        <v>44827</v>
      </c>
      <c r="C73" s="7">
        <v>1</v>
      </c>
      <c r="D73" s="5">
        <v>5.8</v>
      </c>
      <c r="E73" s="5">
        <v>1092.2</v>
      </c>
      <c r="F73" s="5">
        <v>1104.0999999999999</v>
      </c>
      <c r="G73" s="6">
        <v>44827</v>
      </c>
      <c r="H73" s="5"/>
      <c r="I73" s="5"/>
      <c r="J73" s="5">
        <f t="shared" si="5"/>
        <v>11.899999999999864</v>
      </c>
      <c r="K73" s="8" t="b">
        <f t="shared" si="2"/>
        <v>1</v>
      </c>
    </row>
    <row r="74" spans="1:11">
      <c r="A74" s="5" t="s">
        <v>380</v>
      </c>
      <c r="B74" s="6">
        <v>44830</v>
      </c>
      <c r="C74" s="7">
        <v>0.8</v>
      </c>
      <c r="D74" s="5">
        <v>7.34</v>
      </c>
      <c r="E74" s="5">
        <v>1104.0999999999999</v>
      </c>
      <c r="F74" s="5">
        <v>1112.7</v>
      </c>
      <c r="G74" s="6">
        <v>44830</v>
      </c>
      <c r="H74" s="5"/>
      <c r="I74" s="5"/>
      <c r="J74" s="5">
        <f t="shared" ref="J74:J81" si="6">F74-E74</f>
        <v>8.6000000000001364</v>
      </c>
      <c r="K74" s="8" t="b">
        <f t="shared" si="2"/>
        <v>1</v>
      </c>
    </row>
    <row r="75" spans="1:11">
      <c r="A75" s="5" t="s">
        <v>379</v>
      </c>
      <c r="B75" s="6">
        <v>44831</v>
      </c>
      <c r="C75" s="7">
        <v>0.8</v>
      </c>
      <c r="D75" s="5">
        <v>7.34</v>
      </c>
      <c r="E75" s="5">
        <v>1112.7</v>
      </c>
      <c r="F75" s="5">
        <v>1121.3</v>
      </c>
      <c r="G75" s="6">
        <v>44831</v>
      </c>
      <c r="H75" s="5"/>
      <c r="I75" s="5"/>
      <c r="J75" s="5">
        <f t="shared" si="6"/>
        <v>8.5999999999999091</v>
      </c>
      <c r="K75" s="8" t="b">
        <f t="shared" si="2"/>
        <v>1</v>
      </c>
    </row>
    <row r="76" spans="1:11">
      <c r="A76" s="5" t="s">
        <v>380</v>
      </c>
      <c r="B76" s="6">
        <v>44833</v>
      </c>
      <c r="C76" s="7">
        <v>0.7</v>
      </c>
      <c r="D76" s="5">
        <v>8.2899999999999991</v>
      </c>
      <c r="E76" s="5">
        <v>1121.3</v>
      </c>
      <c r="F76" s="5">
        <v>1128.7</v>
      </c>
      <c r="G76" s="6">
        <v>44833</v>
      </c>
      <c r="H76" s="5"/>
      <c r="I76" s="5"/>
      <c r="J76" s="5">
        <f t="shared" si="6"/>
        <v>7.4000000000000909</v>
      </c>
      <c r="K76" s="8" t="b">
        <f t="shared" si="2"/>
        <v>1</v>
      </c>
    </row>
    <row r="77" spans="1:11">
      <c r="A77" s="5" t="s">
        <v>374</v>
      </c>
      <c r="B77" s="6">
        <v>44834</v>
      </c>
      <c r="C77" s="7">
        <v>0.8</v>
      </c>
      <c r="D77" s="5">
        <v>7.34</v>
      </c>
      <c r="E77" s="5">
        <v>1128.7</v>
      </c>
      <c r="F77" s="5">
        <v>1145.3</v>
      </c>
      <c r="G77" s="6">
        <v>44834</v>
      </c>
      <c r="H77" s="5"/>
      <c r="I77" s="5"/>
      <c r="J77" s="5">
        <f t="shared" si="6"/>
        <v>16.599999999999909</v>
      </c>
      <c r="K77" s="8" t="b">
        <f t="shared" si="2"/>
        <v>1</v>
      </c>
    </row>
    <row r="78" spans="1:11">
      <c r="A78" s="5" t="s">
        <v>379</v>
      </c>
      <c r="B78" s="6">
        <v>44837</v>
      </c>
      <c r="C78" s="7">
        <v>0.6</v>
      </c>
      <c r="D78" s="5">
        <v>9.67</v>
      </c>
      <c r="E78" s="5">
        <v>1145.3</v>
      </c>
      <c r="F78" s="5">
        <v>1154.8</v>
      </c>
      <c r="G78" s="6">
        <v>44837</v>
      </c>
      <c r="H78" s="5"/>
      <c r="I78" s="5"/>
      <c r="J78" s="5">
        <f t="shared" si="6"/>
        <v>9.5</v>
      </c>
      <c r="K78" s="8" t="b">
        <f t="shared" si="2"/>
        <v>1</v>
      </c>
    </row>
    <row r="79" spans="1:11">
      <c r="A79" s="5" t="s">
        <v>380</v>
      </c>
      <c r="B79" s="6">
        <v>44838</v>
      </c>
      <c r="C79" s="7">
        <v>0.6</v>
      </c>
      <c r="D79" s="5">
        <v>9.67</v>
      </c>
      <c r="E79" s="5">
        <v>1154.8</v>
      </c>
      <c r="F79" s="5">
        <v>1164.3</v>
      </c>
      <c r="G79" s="6">
        <v>44838</v>
      </c>
      <c r="H79" s="5"/>
      <c r="I79" s="5"/>
      <c r="J79" s="5">
        <f t="shared" si="6"/>
        <v>9.5</v>
      </c>
      <c r="K79" s="8" t="b">
        <f t="shared" si="2"/>
        <v>1</v>
      </c>
    </row>
    <row r="80" spans="1:11">
      <c r="A80" s="5" t="s">
        <v>379</v>
      </c>
      <c r="B80" s="6">
        <v>44840</v>
      </c>
      <c r="C80" s="7">
        <v>0.6</v>
      </c>
      <c r="D80" s="5">
        <v>9.67</v>
      </c>
      <c r="E80" s="5">
        <v>1164.3</v>
      </c>
      <c r="F80" s="5">
        <v>1175.2</v>
      </c>
      <c r="G80" s="6">
        <v>44840</v>
      </c>
      <c r="H80" s="5"/>
      <c r="I80" s="5"/>
      <c r="J80" s="5">
        <f t="shared" si="6"/>
        <v>10.900000000000091</v>
      </c>
      <c r="K80" s="8" t="b">
        <f t="shared" si="2"/>
        <v>1</v>
      </c>
    </row>
    <row r="81" spans="1:11">
      <c r="A81" s="5" t="s">
        <v>380</v>
      </c>
      <c r="B81" s="6">
        <v>44841</v>
      </c>
      <c r="C81" s="7">
        <v>0.6</v>
      </c>
      <c r="D81" s="5">
        <v>9.67</v>
      </c>
      <c r="E81" s="5">
        <v>1175.2</v>
      </c>
      <c r="F81" s="5">
        <v>1185.5</v>
      </c>
      <c r="G81" s="6">
        <v>44841</v>
      </c>
      <c r="H81" s="5"/>
      <c r="I81" s="5"/>
      <c r="J81" s="5">
        <f t="shared" si="6"/>
        <v>10.299999999999955</v>
      </c>
      <c r="K81" s="8" t="b">
        <f t="shared" si="2"/>
        <v>1</v>
      </c>
    </row>
    <row r="82" spans="1:11">
      <c r="A82" s="5" t="s">
        <v>374</v>
      </c>
      <c r="B82" s="6">
        <v>44842</v>
      </c>
      <c r="C82" s="7">
        <v>1</v>
      </c>
      <c r="D82" s="5">
        <v>5.8</v>
      </c>
      <c r="E82" s="5">
        <v>1185.5</v>
      </c>
      <c r="F82" s="5">
        <v>1197.2</v>
      </c>
      <c r="G82" s="6">
        <v>44842</v>
      </c>
      <c r="H82" s="5"/>
      <c r="I82" s="5"/>
      <c r="J82" s="5">
        <f t="shared" ref="J82:J87" si="7">F82-E82</f>
        <v>11.700000000000045</v>
      </c>
      <c r="K82" s="8" t="b">
        <f t="shared" si="2"/>
        <v>1</v>
      </c>
    </row>
    <row r="83" spans="1:11">
      <c r="A83" s="5" t="s">
        <v>374</v>
      </c>
      <c r="B83" s="6">
        <v>44845</v>
      </c>
      <c r="C83" s="7">
        <v>1</v>
      </c>
      <c r="D83" s="5">
        <v>5.8</v>
      </c>
      <c r="E83" s="5">
        <v>1197.2</v>
      </c>
      <c r="F83" s="5">
        <v>1210.0999999999999</v>
      </c>
      <c r="G83" s="6">
        <v>44845</v>
      </c>
      <c r="H83" s="5"/>
      <c r="I83" s="5"/>
      <c r="J83" s="5">
        <f t="shared" si="7"/>
        <v>12.899999999999864</v>
      </c>
      <c r="K83" s="8" t="b">
        <f t="shared" si="2"/>
        <v>1</v>
      </c>
    </row>
    <row r="84" spans="1:11">
      <c r="A84" s="5" t="s">
        <v>374</v>
      </c>
      <c r="B84" s="6">
        <v>44848</v>
      </c>
      <c r="C84" s="7">
        <v>1</v>
      </c>
      <c r="D84" s="5">
        <v>5.8</v>
      </c>
      <c r="E84" s="5">
        <v>1210.0999999999999</v>
      </c>
      <c r="F84" s="5">
        <v>1220.3</v>
      </c>
      <c r="G84" s="6">
        <v>44848</v>
      </c>
      <c r="H84" s="5"/>
      <c r="I84" s="5"/>
      <c r="J84" s="5">
        <f t="shared" si="7"/>
        <v>10.200000000000045</v>
      </c>
      <c r="K84" s="8" t="b">
        <f t="shared" si="2"/>
        <v>1</v>
      </c>
    </row>
    <row r="85" spans="1:11">
      <c r="A85" s="5" t="s">
        <v>374</v>
      </c>
      <c r="B85" s="6">
        <v>44850</v>
      </c>
      <c r="C85" s="7">
        <v>0.8</v>
      </c>
      <c r="D85" s="5">
        <v>7.34</v>
      </c>
      <c r="E85" s="5">
        <v>1220.3</v>
      </c>
      <c r="F85" s="5">
        <v>1235.4000000000001</v>
      </c>
      <c r="G85" s="6">
        <v>44850</v>
      </c>
      <c r="H85" s="5"/>
      <c r="I85" s="5"/>
      <c r="J85" s="5">
        <f t="shared" si="7"/>
        <v>15.100000000000136</v>
      </c>
      <c r="K85" s="8" t="b">
        <f t="shared" si="2"/>
        <v>1</v>
      </c>
    </row>
    <row r="86" spans="1:11">
      <c r="A86" s="5" t="s">
        <v>374</v>
      </c>
      <c r="B86" s="6"/>
      <c r="C86" s="7"/>
      <c r="D86" s="5"/>
      <c r="E86" s="5"/>
      <c r="F86" s="5"/>
      <c r="G86" s="6"/>
      <c r="H86" s="5"/>
      <c r="I86" s="5"/>
      <c r="J86" s="5">
        <f t="shared" si="7"/>
        <v>0</v>
      </c>
      <c r="K86" s="8" t="b">
        <f t="shared" si="2"/>
        <v>0</v>
      </c>
    </row>
    <row r="87" spans="1:11">
      <c r="A87" s="5" t="s">
        <v>374</v>
      </c>
      <c r="B87" s="6"/>
      <c r="C87" s="7"/>
      <c r="D87" s="5"/>
      <c r="E87" s="5"/>
      <c r="F87" s="5"/>
      <c r="G87" s="6"/>
      <c r="H87" s="5"/>
      <c r="I87" s="5"/>
      <c r="J87" s="5">
        <f t="shared" si="7"/>
        <v>0</v>
      </c>
      <c r="K87" s="8" t="b">
        <f t="shared" si="2"/>
        <v>1</v>
      </c>
    </row>
    <row r="89" spans="1:11" ht="26.25">
      <c r="A89" s="231" t="s">
        <v>373</v>
      </c>
      <c r="B89" s="232"/>
      <c r="C89" s="232"/>
      <c r="D89" s="232"/>
      <c r="E89" s="232"/>
      <c r="F89" s="232"/>
      <c r="G89" s="232"/>
      <c r="H89" s="232"/>
      <c r="I89" s="232"/>
      <c r="J89" s="232"/>
      <c r="K89" s="233"/>
    </row>
    <row r="90" spans="1:11" ht="26.25">
      <c r="A90" s="234" t="s">
        <v>17</v>
      </c>
      <c r="B90" s="235"/>
      <c r="C90" s="235"/>
      <c r="D90" s="235"/>
      <c r="E90" s="235"/>
      <c r="F90" s="235"/>
      <c r="G90" s="235"/>
      <c r="H90" s="235"/>
      <c r="I90" s="235"/>
      <c r="J90" s="235"/>
      <c r="K90" s="236"/>
    </row>
    <row r="91" spans="1:11" ht="15.75" thickBot="1"/>
    <row r="92" spans="1:11" ht="15.75" thickBot="1">
      <c r="A92" s="132" t="s">
        <v>2</v>
      </c>
      <c r="B92" s="133"/>
      <c r="C92" s="133"/>
      <c r="D92" s="133"/>
      <c r="E92" s="133"/>
      <c r="F92" s="133"/>
      <c r="G92" s="133"/>
      <c r="H92" s="133"/>
      <c r="I92" s="133"/>
      <c r="J92" s="133"/>
      <c r="K92" s="134"/>
    </row>
    <row r="94" spans="1:11" ht="19.5" thickBot="1">
      <c r="A94" s="1" t="s">
        <v>3</v>
      </c>
      <c r="B94" s="1"/>
      <c r="C94" s="1"/>
      <c r="D94" s="1"/>
      <c r="E94" s="1"/>
      <c r="F94" s="1"/>
      <c r="G94" s="1"/>
      <c r="H94" s="1"/>
      <c r="I94" s="1"/>
    </row>
    <row r="95" spans="1:11" ht="30.75" thickBot="1">
      <c r="A95" s="2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3" t="s">
        <v>21</v>
      </c>
      <c r="I95" s="4" t="s">
        <v>22</v>
      </c>
      <c r="J95" s="4" t="s">
        <v>11</v>
      </c>
      <c r="K95" s="4" t="s">
        <v>12</v>
      </c>
    </row>
    <row r="96" spans="1:11">
      <c r="A96" s="5">
        <v>133</v>
      </c>
      <c r="B96" s="6">
        <v>44943</v>
      </c>
      <c r="C96" s="7">
        <v>0.8</v>
      </c>
      <c r="D96" s="5">
        <v>7.34</v>
      </c>
      <c r="E96" s="5">
        <v>0</v>
      </c>
      <c r="F96" s="5">
        <v>18.100000000000001</v>
      </c>
      <c r="G96" s="6">
        <v>44943</v>
      </c>
      <c r="H96" s="5"/>
      <c r="I96" s="5"/>
      <c r="J96" s="5">
        <f>F96-E96</f>
        <v>18.100000000000001</v>
      </c>
      <c r="K96" s="8" t="b">
        <f>E96=F96</f>
        <v>0</v>
      </c>
    </row>
    <row r="97" spans="1:11">
      <c r="A97" s="5">
        <v>133</v>
      </c>
      <c r="B97" s="6">
        <v>44944</v>
      </c>
      <c r="C97" s="7">
        <v>1</v>
      </c>
      <c r="D97" s="5">
        <v>5.8</v>
      </c>
      <c r="E97" s="5">
        <v>18.100000000000001</v>
      </c>
      <c r="F97" s="5">
        <v>31</v>
      </c>
      <c r="G97" s="6">
        <v>44944</v>
      </c>
      <c r="H97" s="5"/>
      <c r="I97" s="5"/>
      <c r="J97" s="5">
        <f t="shared" ref="J97:J100" si="8">F97-E97</f>
        <v>12.899999999999999</v>
      </c>
      <c r="K97" s="8" t="b">
        <f>E97=F96</f>
        <v>1</v>
      </c>
    </row>
    <row r="98" spans="1:11">
      <c r="A98" s="5">
        <v>133</v>
      </c>
      <c r="B98" s="6">
        <v>44945</v>
      </c>
      <c r="C98" s="7">
        <v>1</v>
      </c>
      <c r="D98" s="5">
        <v>5.8</v>
      </c>
      <c r="E98" s="5">
        <v>31</v>
      </c>
      <c r="F98" s="5">
        <v>40.299999999999997</v>
      </c>
      <c r="G98" s="6">
        <v>44945</v>
      </c>
      <c r="H98" s="5"/>
      <c r="I98" s="5"/>
      <c r="J98" s="5">
        <f t="shared" si="8"/>
        <v>9.2999999999999972</v>
      </c>
      <c r="K98" s="8" t="b">
        <f t="shared" ref="K98:K101" si="9">E98=F97</f>
        <v>1</v>
      </c>
    </row>
    <row r="99" spans="1:11">
      <c r="A99" s="5">
        <v>133</v>
      </c>
      <c r="B99" s="6">
        <v>44946</v>
      </c>
      <c r="C99" s="7">
        <v>1</v>
      </c>
      <c r="D99" s="5">
        <v>5.8</v>
      </c>
      <c r="E99" s="5">
        <v>40.299999999999997</v>
      </c>
      <c r="F99" s="5">
        <v>54.1</v>
      </c>
      <c r="G99" s="6">
        <v>44946</v>
      </c>
      <c r="H99" s="5"/>
      <c r="I99" s="5"/>
      <c r="J99" s="5">
        <f>F99-E99</f>
        <v>13.800000000000004</v>
      </c>
      <c r="K99" s="8" t="b">
        <f t="shared" si="9"/>
        <v>1</v>
      </c>
    </row>
    <row r="100" spans="1:11">
      <c r="A100" s="5">
        <v>133</v>
      </c>
      <c r="B100" s="6">
        <v>44947</v>
      </c>
      <c r="C100" s="7">
        <v>1</v>
      </c>
      <c r="D100" s="5">
        <v>5.8</v>
      </c>
      <c r="E100" s="5">
        <v>54.1</v>
      </c>
      <c r="F100" s="5">
        <v>68.8</v>
      </c>
      <c r="G100" s="6">
        <v>44947</v>
      </c>
      <c r="H100" s="5"/>
      <c r="I100" s="5"/>
      <c r="J100" s="5">
        <f t="shared" si="8"/>
        <v>14.699999999999996</v>
      </c>
      <c r="K100" s="8" t="b">
        <f t="shared" si="9"/>
        <v>1</v>
      </c>
    </row>
    <row r="101" spans="1:11" ht="21" customHeight="1">
      <c r="A101" s="5">
        <v>133</v>
      </c>
      <c r="B101" s="6">
        <v>44965</v>
      </c>
      <c r="C101" s="7">
        <v>0.7</v>
      </c>
      <c r="D101" s="5">
        <v>7.86</v>
      </c>
      <c r="E101" s="5">
        <v>68.8</v>
      </c>
      <c r="F101" s="5">
        <v>83.6</v>
      </c>
      <c r="G101" s="6">
        <v>44965</v>
      </c>
      <c r="H101" s="5"/>
      <c r="I101" s="5"/>
      <c r="J101" s="5">
        <f t="shared" ref="J101:J109" si="10">F101-E101</f>
        <v>14.799999999999997</v>
      </c>
      <c r="K101" s="8" t="b">
        <f t="shared" si="9"/>
        <v>1</v>
      </c>
    </row>
    <row r="102" spans="1:11" ht="26.25">
      <c r="A102" s="231" t="s">
        <v>373</v>
      </c>
      <c r="B102" s="232"/>
      <c r="C102" s="232"/>
      <c r="D102" s="232"/>
      <c r="E102" s="232"/>
      <c r="F102" s="232"/>
      <c r="G102" s="232"/>
      <c r="H102" s="232"/>
      <c r="I102" s="232"/>
      <c r="J102" s="232"/>
      <c r="K102" s="233"/>
    </row>
    <row r="103" spans="1:11" ht="26.25">
      <c r="A103" s="234" t="s">
        <v>274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6"/>
    </row>
    <row r="104" spans="1:11" ht="15.75" thickBot="1"/>
    <row r="105" spans="1:11" ht="15.75" thickBot="1">
      <c r="A105" s="132" t="s">
        <v>2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4"/>
    </row>
    <row r="107" spans="1:11" ht="19.5" thickBot="1">
      <c r="A107" s="1" t="s">
        <v>3</v>
      </c>
      <c r="B107" s="1"/>
      <c r="C107" s="1"/>
      <c r="D107" s="1"/>
      <c r="E107" s="1"/>
      <c r="F107" s="1"/>
      <c r="G107" s="1"/>
      <c r="H107" s="1"/>
      <c r="I107" s="1"/>
    </row>
    <row r="108" spans="1:11" ht="30.75" thickBot="1">
      <c r="A108" s="2" t="s">
        <v>4</v>
      </c>
      <c r="B108" s="3" t="s">
        <v>5</v>
      </c>
      <c r="C108" s="3" t="s">
        <v>6</v>
      </c>
      <c r="D108" s="3" t="s">
        <v>7</v>
      </c>
      <c r="E108" s="3" t="s">
        <v>8</v>
      </c>
      <c r="F108" s="3" t="s">
        <v>9</v>
      </c>
      <c r="G108" s="3" t="s">
        <v>10</v>
      </c>
      <c r="H108" s="3" t="s">
        <v>21</v>
      </c>
      <c r="I108" s="4" t="s">
        <v>22</v>
      </c>
      <c r="J108" s="4" t="s">
        <v>11</v>
      </c>
      <c r="K108" s="4" t="s">
        <v>12</v>
      </c>
    </row>
    <row r="109" spans="1:11">
      <c r="A109" s="5">
        <v>133</v>
      </c>
      <c r="B109" s="6">
        <v>45239</v>
      </c>
      <c r="C109" s="7">
        <v>0.9</v>
      </c>
      <c r="D109" s="5">
        <v>6.93</v>
      </c>
      <c r="E109" s="5">
        <v>91.3</v>
      </c>
      <c r="F109" s="5">
        <v>104.1</v>
      </c>
      <c r="G109" s="6">
        <v>45239</v>
      </c>
      <c r="H109" s="5"/>
      <c r="I109" s="5"/>
      <c r="J109" s="5">
        <f t="shared" si="10"/>
        <v>12.799999999999997</v>
      </c>
      <c r="K109" s="8" t="b">
        <f>E109=F101</f>
        <v>0</v>
      </c>
    </row>
    <row r="110" spans="1:11">
      <c r="A110" s="5">
        <v>133</v>
      </c>
      <c r="B110" s="6">
        <v>45241</v>
      </c>
      <c r="C110" s="7">
        <v>1</v>
      </c>
      <c r="D110" s="5">
        <v>6.58</v>
      </c>
      <c r="E110" s="5">
        <v>104.1</v>
      </c>
      <c r="F110" s="5">
        <v>116.6</v>
      </c>
      <c r="G110" s="6">
        <v>45241</v>
      </c>
      <c r="H110" s="5"/>
      <c r="I110" s="5"/>
      <c r="J110" s="5">
        <f t="shared" ref="J110:J136" si="11">F110-E110</f>
        <v>12.5</v>
      </c>
      <c r="K110" s="8" t="b">
        <f t="shared" ref="K110:K136" si="12">E110=F109</f>
        <v>1</v>
      </c>
    </row>
    <row r="111" spans="1:11">
      <c r="A111" s="5">
        <v>133</v>
      </c>
      <c r="B111" s="6">
        <v>45242</v>
      </c>
      <c r="C111" s="7">
        <v>1</v>
      </c>
      <c r="D111" s="5">
        <v>6.58</v>
      </c>
      <c r="E111" s="5">
        <v>116.6</v>
      </c>
      <c r="F111" s="5">
        <v>128.30000000000001</v>
      </c>
      <c r="G111" s="6">
        <v>45242</v>
      </c>
      <c r="H111" s="5"/>
      <c r="I111" s="5"/>
      <c r="J111" s="5">
        <f t="shared" si="11"/>
        <v>11.700000000000017</v>
      </c>
      <c r="K111" s="8" t="b">
        <f t="shared" si="12"/>
        <v>1</v>
      </c>
    </row>
    <row r="112" spans="1:11">
      <c r="A112" s="5">
        <v>133</v>
      </c>
      <c r="B112" s="6">
        <v>45243</v>
      </c>
      <c r="C112" s="7">
        <v>1</v>
      </c>
      <c r="D112" s="5">
        <v>6.58</v>
      </c>
      <c r="E112" s="5">
        <v>128.30000000000001</v>
      </c>
      <c r="F112" s="5">
        <v>140.80000000000001</v>
      </c>
      <c r="G112" s="6">
        <v>45243</v>
      </c>
      <c r="H112" s="5"/>
      <c r="I112" s="5"/>
      <c r="J112" s="5">
        <f t="shared" si="11"/>
        <v>12.5</v>
      </c>
      <c r="K112" s="8" t="b">
        <f t="shared" si="12"/>
        <v>1</v>
      </c>
    </row>
    <row r="113" spans="1:11">
      <c r="A113" s="5">
        <v>133</v>
      </c>
      <c r="B113" s="6">
        <v>45244</v>
      </c>
      <c r="C113" s="7">
        <v>1</v>
      </c>
      <c r="D113" s="5">
        <v>6.58</v>
      </c>
      <c r="E113" s="5">
        <v>140.80000000000001</v>
      </c>
      <c r="F113" s="5">
        <v>153.69999999999999</v>
      </c>
      <c r="G113" s="6">
        <v>45244</v>
      </c>
      <c r="H113" s="5"/>
      <c r="I113" s="5"/>
      <c r="J113" s="5">
        <f t="shared" si="11"/>
        <v>12.899999999999977</v>
      </c>
      <c r="K113" s="8" t="b">
        <f t="shared" si="12"/>
        <v>1</v>
      </c>
    </row>
    <row r="114" spans="1:11">
      <c r="A114" s="5">
        <v>133</v>
      </c>
      <c r="B114" s="6">
        <v>45246</v>
      </c>
      <c r="C114" s="7">
        <v>1</v>
      </c>
      <c r="D114" s="5">
        <v>6.58</v>
      </c>
      <c r="E114" s="5">
        <v>153.69999999999999</v>
      </c>
      <c r="F114" s="5">
        <v>165.4</v>
      </c>
      <c r="G114" s="6">
        <v>45246</v>
      </c>
      <c r="H114" s="5"/>
      <c r="I114" s="5"/>
      <c r="J114" s="5">
        <f t="shared" si="11"/>
        <v>11.700000000000017</v>
      </c>
      <c r="K114" s="8" t="b">
        <f t="shared" si="12"/>
        <v>1</v>
      </c>
    </row>
    <row r="115" spans="1:11">
      <c r="A115" s="5">
        <v>133</v>
      </c>
      <c r="B115" s="6">
        <v>45248</v>
      </c>
      <c r="C115" s="7">
        <v>1</v>
      </c>
      <c r="D115" s="5">
        <v>6.58</v>
      </c>
      <c r="E115" s="5">
        <v>165.4</v>
      </c>
      <c r="F115" s="5">
        <v>177.2</v>
      </c>
      <c r="G115" s="6">
        <v>45248</v>
      </c>
      <c r="H115" s="5"/>
      <c r="I115" s="5"/>
      <c r="J115" s="5">
        <f t="shared" si="11"/>
        <v>11.799999999999983</v>
      </c>
      <c r="K115" s="8" t="b">
        <f t="shared" si="12"/>
        <v>1</v>
      </c>
    </row>
    <row r="116" spans="1:11">
      <c r="A116" s="5">
        <v>133</v>
      </c>
      <c r="B116" s="6">
        <v>45250</v>
      </c>
      <c r="C116" s="7">
        <v>1</v>
      </c>
      <c r="D116" s="5">
        <v>6.58</v>
      </c>
      <c r="E116" s="5">
        <v>177.2</v>
      </c>
      <c r="F116" s="5"/>
      <c r="G116" s="6">
        <v>45250</v>
      </c>
      <c r="H116" s="5"/>
      <c r="I116" s="5"/>
      <c r="J116" s="5">
        <f t="shared" si="11"/>
        <v>-177.2</v>
      </c>
      <c r="K116" s="8" t="b">
        <f t="shared" si="12"/>
        <v>1</v>
      </c>
    </row>
    <row r="117" spans="1:11">
      <c r="A117" s="5">
        <v>133</v>
      </c>
      <c r="B117" s="6">
        <v>45252</v>
      </c>
      <c r="C117" s="7">
        <v>1</v>
      </c>
      <c r="D117" s="5">
        <v>6.58</v>
      </c>
      <c r="E117" s="5"/>
      <c r="F117" s="5"/>
      <c r="G117" s="6">
        <v>45252</v>
      </c>
      <c r="H117" s="5"/>
      <c r="I117" s="5"/>
      <c r="J117" s="5">
        <f t="shared" si="11"/>
        <v>0</v>
      </c>
      <c r="K117" s="8" t="b">
        <f t="shared" si="12"/>
        <v>1</v>
      </c>
    </row>
    <row r="118" spans="1:11">
      <c r="A118" s="5">
        <v>133</v>
      </c>
      <c r="B118" s="6">
        <v>45254</v>
      </c>
      <c r="C118" s="7">
        <v>1</v>
      </c>
      <c r="D118" s="5">
        <v>6.58</v>
      </c>
      <c r="E118" s="5"/>
      <c r="F118" s="5"/>
      <c r="G118" s="6">
        <v>45254</v>
      </c>
      <c r="H118" s="5"/>
      <c r="I118" s="5"/>
      <c r="J118" s="5">
        <f t="shared" si="11"/>
        <v>0</v>
      </c>
      <c r="K118" s="8" t="b">
        <f t="shared" si="12"/>
        <v>1</v>
      </c>
    </row>
    <row r="119" spans="1:11">
      <c r="A119" s="5">
        <v>133</v>
      </c>
      <c r="B119" s="6">
        <v>45255</v>
      </c>
      <c r="C119" s="7">
        <v>0.8</v>
      </c>
      <c r="D119" s="5">
        <v>7.34</v>
      </c>
      <c r="E119" s="5">
        <v>190</v>
      </c>
      <c r="F119" s="5">
        <v>204.7</v>
      </c>
      <c r="G119" s="6">
        <v>45255</v>
      </c>
      <c r="H119" s="5"/>
      <c r="I119" s="5"/>
      <c r="J119" s="5">
        <f t="shared" si="11"/>
        <v>14.699999999999989</v>
      </c>
      <c r="K119" s="8" t="b">
        <f t="shared" si="12"/>
        <v>0</v>
      </c>
    </row>
    <row r="120" spans="1:11">
      <c r="A120" s="5">
        <v>133</v>
      </c>
      <c r="B120" s="6">
        <v>45256</v>
      </c>
      <c r="C120" s="7">
        <v>1</v>
      </c>
      <c r="D120" s="5">
        <v>6.58</v>
      </c>
      <c r="E120" s="5">
        <v>204.7</v>
      </c>
      <c r="F120" s="5">
        <v>216.3</v>
      </c>
      <c r="G120" s="6">
        <v>45256</v>
      </c>
      <c r="H120" s="5"/>
      <c r="I120" s="5"/>
      <c r="J120" s="5">
        <f t="shared" si="11"/>
        <v>11.600000000000023</v>
      </c>
      <c r="K120" s="8" t="b">
        <f t="shared" si="12"/>
        <v>1</v>
      </c>
    </row>
    <row r="121" spans="1:11">
      <c r="A121" s="5">
        <v>133</v>
      </c>
      <c r="B121" s="6">
        <v>45258</v>
      </c>
      <c r="C121" s="7">
        <v>1</v>
      </c>
      <c r="D121" s="5">
        <v>6.58</v>
      </c>
      <c r="E121" s="5">
        <v>216.3</v>
      </c>
      <c r="F121" s="5">
        <v>228.5</v>
      </c>
      <c r="G121" s="6">
        <v>45258</v>
      </c>
      <c r="H121" s="5"/>
      <c r="I121" s="5"/>
      <c r="J121" s="5">
        <f t="shared" si="11"/>
        <v>12.199999999999989</v>
      </c>
      <c r="K121" s="8" t="b">
        <f t="shared" si="12"/>
        <v>1</v>
      </c>
    </row>
    <row r="122" spans="1:11">
      <c r="A122" s="5">
        <v>133</v>
      </c>
      <c r="B122" s="6">
        <v>45260</v>
      </c>
      <c r="C122" s="7">
        <v>1</v>
      </c>
      <c r="D122" s="5">
        <v>6.58</v>
      </c>
      <c r="E122" s="5">
        <v>228.5</v>
      </c>
      <c r="F122" s="5">
        <v>240.3</v>
      </c>
      <c r="G122" s="6">
        <v>45260</v>
      </c>
      <c r="H122" s="5"/>
      <c r="I122" s="5"/>
      <c r="J122" s="5">
        <f t="shared" si="11"/>
        <v>11.800000000000011</v>
      </c>
      <c r="K122" s="8" t="b">
        <f t="shared" si="12"/>
        <v>1</v>
      </c>
    </row>
    <row r="123" spans="1:11">
      <c r="A123" s="5">
        <v>133</v>
      </c>
      <c r="B123" s="6">
        <v>45262</v>
      </c>
      <c r="C123" s="7">
        <v>1</v>
      </c>
      <c r="D123" s="5">
        <v>6.58</v>
      </c>
      <c r="E123" s="5">
        <v>240.3</v>
      </c>
      <c r="F123" s="5">
        <v>252.3</v>
      </c>
      <c r="G123" s="6">
        <v>45262</v>
      </c>
      <c r="H123" s="5"/>
      <c r="I123" s="5"/>
      <c r="J123" s="5">
        <f t="shared" si="11"/>
        <v>12</v>
      </c>
      <c r="K123" s="8" t="b">
        <f>E123=F122</f>
        <v>1</v>
      </c>
    </row>
    <row r="124" spans="1:11">
      <c r="A124" s="80">
        <v>133</v>
      </c>
      <c r="B124" s="81">
        <v>45265</v>
      </c>
      <c r="C124" s="82">
        <v>1</v>
      </c>
      <c r="D124" s="80">
        <v>6.58</v>
      </c>
      <c r="E124" s="80">
        <v>252.3</v>
      </c>
      <c r="F124" s="80">
        <v>264.10000000000002</v>
      </c>
      <c r="G124" s="81">
        <v>45264</v>
      </c>
      <c r="H124" s="80"/>
      <c r="I124" s="80"/>
      <c r="J124" s="80">
        <f t="shared" si="11"/>
        <v>11.800000000000011</v>
      </c>
      <c r="K124" s="8" t="b">
        <f t="shared" si="12"/>
        <v>1</v>
      </c>
    </row>
    <row r="125" spans="1:11">
      <c r="A125" s="5">
        <v>133</v>
      </c>
      <c r="B125" s="6">
        <v>45267</v>
      </c>
      <c r="C125" s="7">
        <v>0.8</v>
      </c>
      <c r="D125" s="5">
        <v>7.34</v>
      </c>
      <c r="E125" s="5">
        <v>264.10000000000002</v>
      </c>
      <c r="F125" s="5">
        <v>279.60000000000002</v>
      </c>
      <c r="G125" s="6">
        <v>45267</v>
      </c>
      <c r="H125" s="5"/>
      <c r="I125" s="5"/>
      <c r="J125" s="5">
        <f t="shared" si="11"/>
        <v>15.5</v>
      </c>
      <c r="K125" s="8" t="b">
        <f t="shared" si="12"/>
        <v>1</v>
      </c>
    </row>
    <row r="126" spans="1:11">
      <c r="A126" s="5">
        <v>133</v>
      </c>
      <c r="B126" s="6">
        <v>45269</v>
      </c>
      <c r="C126" s="7">
        <v>0.8</v>
      </c>
      <c r="D126" s="5">
        <v>7.34</v>
      </c>
      <c r="E126" s="5">
        <v>279.60000000000002</v>
      </c>
      <c r="F126" s="5">
        <v>294.2</v>
      </c>
      <c r="G126" s="6">
        <v>45269</v>
      </c>
      <c r="H126" s="5"/>
      <c r="I126" s="5"/>
      <c r="J126" s="5">
        <f t="shared" si="11"/>
        <v>14.599999999999966</v>
      </c>
      <c r="K126" s="8" t="b">
        <f t="shared" si="12"/>
        <v>1</v>
      </c>
    </row>
    <row r="127" spans="1:11">
      <c r="A127" s="5">
        <v>133</v>
      </c>
      <c r="B127" s="6">
        <v>45271</v>
      </c>
      <c r="C127" s="7">
        <v>0.8</v>
      </c>
      <c r="D127" s="5">
        <v>7.34</v>
      </c>
      <c r="E127" s="5">
        <v>294.2</v>
      </c>
      <c r="F127" s="5">
        <v>310.39999999999998</v>
      </c>
      <c r="G127" s="6">
        <v>45271</v>
      </c>
      <c r="H127" s="5"/>
      <c r="I127" s="5"/>
      <c r="J127" s="5">
        <f t="shared" si="11"/>
        <v>16.199999999999989</v>
      </c>
      <c r="K127" s="8" t="b">
        <f t="shared" si="12"/>
        <v>1</v>
      </c>
    </row>
    <row r="128" spans="1:11">
      <c r="A128" s="5">
        <v>133</v>
      </c>
      <c r="B128" s="6">
        <v>45273</v>
      </c>
      <c r="C128" s="7">
        <v>0.8</v>
      </c>
      <c r="D128" s="5">
        <v>7.34</v>
      </c>
      <c r="E128" s="5">
        <v>310.39999999999998</v>
      </c>
      <c r="F128" s="5">
        <v>324.60000000000002</v>
      </c>
      <c r="G128" s="6">
        <v>45273</v>
      </c>
      <c r="H128" s="5"/>
      <c r="I128" s="5"/>
      <c r="J128" s="5">
        <f t="shared" si="11"/>
        <v>14.200000000000045</v>
      </c>
      <c r="K128" s="8" t="b">
        <f t="shared" si="12"/>
        <v>1</v>
      </c>
    </row>
    <row r="129" spans="1:11">
      <c r="A129" s="5">
        <v>133</v>
      </c>
      <c r="B129" s="6">
        <v>45275</v>
      </c>
      <c r="C129" s="7">
        <v>0.7</v>
      </c>
      <c r="D129" s="5">
        <v>7.86</v>
      </c>
      <c r="E129" s="5">
        <v>324.60000000000002</v>
      </c>
      <c r="F129" s="5">
        <v>341.4</v>
      </c>
      <c r="G129" s="6">
        <v>45275</v>
      </c>
      <c r="H129" s="5"/>
      <c r="I129" s="5"/>
      <c r="J129" s="5">
        <f t="shared" si="11"/>
        <v>16.799999999999955</v>
      </c>
      <c r="K129" s="8" t="b">
        <f t="shared" si="12"/>
        <v>1</v>
      </c>
    </row>
    <row r="130" spans="1:11">
      <c r="A130" s="5">
        <v>133</v>
      </c>
      <c r="B130" s="6">
        <v>45277</v>
      </c>
      <c r="C130" s="7">
        <v>0.6</v>
      </c>
      <c r="D130" s="5">
        <v>9.67</v>
      </c>
      <c r="E130" s="5">
        <v>341.4</v>
      </c>
      <c r="F130" s="5">
        <v>360.5</v>
      </c>
      <c r="G130" s="6">
        <v>45277</v>
      </c>
      <c r="H130" s="5"/>
      <c r="I130" s="5"/>
      <c r="J130" s="5">
        <f t="shared" si="11"/>
        <v>19.100000000000023</v>
      </c>
      <c r="K130" s="8" t="b">
        <f t="shared" si="12"/>
        <v>1</v>
      </c>
    </row>
    <row r="131" spans="1:11">
      <c r="A131" s="80">
        <v>133</v>
      </c>
      <c r="B131" s="81">
        <v>45280</v>
      </c>
      <c r="C131" s="82">
        <v>1</v>
      </c>
      <c r="D131" s="80">
        <v>6.58</v>
      </c>
      <c r="E131" s="80">
        <v>360.5</v>
      </c>
      <c r="F131" s="80"/>
      <c r="G131" s="81"/>
      <c r="H131" s="80"/>
      <c r="I131" s="80"/>
      <c r="J131" s="80">
        <f t="shared" si="11"/>
        <v>-360.5</v>
      </c>
      <c r="K131" s="8" t="b">
        <f t="shared" si="12"/>
        <v>1</v>
      </c>
    </row>
    <row r="132" spans="1:11">
      <c r="A132" s="80">
        <v>133</v>
      </c>
      <c r="B132" s="81">
        <v>45281</v>
      </c>
      <c r="C132" s="82">
        <v>1</v>
      </c>
      <c r="D132" s="80">
        <v>6.58</v>
      </c>
      <c r="E132" s="80">
        <v>360.5</v>
      </c>
      <c r="F132" s="80">
        <v>372.7</v>
      </c>
      <c r="G132" s="81">
        <v>45281</v>
      </c>
      <c r="H132" s="80"/>
      <c r="I132" s="80"/>
      <c r="J132" s="80">
        <f t="shared" si="11"/>
        <v>12.199999999999989</v>
      </c>
      <c r="K132" s="8" t="b">
        <f t="shared" si="12"/>
        <v>0</v>
      </c>
    </row>
    <row r="133" spans="1:11">
      <c r="A133" s="5">
        <v>133</v>
      </c>
      <c r="B133" s="6">
        <v>45285</v>
      </c>
      <c r="C133" s="7">
        <v>1</v>
      </c>
      <c r="D133" s="5">
        <v>6.58</v>
      </c>
      <c r="E133" s="5">
        <v>372.7</v>
      </c>
      <c r="F133" s="5">
        <v>384.4</v>
      </c>
      <c r="G133" s="6">
        <v>45285</v>
      </c>
      <c r="H133" s="5"/>
      <c r="I133" s="5"/>
      <c r="J133" s="5">
        <f t="shared" si="11"/>
        <v>11.699999999999989</v>
      </c>
      <c r="K133" s="8" t="b">
        <f t="shared" si="12"/>
        <v>1</v>
      </c>
    </row>
    <row r="134" spans="1:11">
      <c r="A134" s="5">
        <v>133</v>
      </c>
      <c r="B134" s="6">
        <v>45287</v>
      </c>
      <c r="C134" s="7">
        <v>1</v>
      </c>
      <c r="D134" s="5">
        <v>6.58</v>
      </c>
      <c r="E134" s="5">
        <v>384.4</v>
      </c>
      <c r="F134" s="5">
        <v>396.7</v>
      </c>
      <c r="G134" s="6">
        <v>45287</v>
      </c>
      <c r="H134" s="5"/>
      <c r="I134" s="5"/>
      <c r="J134" s="5">
        <f t="shared" si="11"/>
        <v>12.300000000000011</v>
      </c>
      <c r="K134" s="8" t="b">
        <f t="shared" si="12"/>
        <v>1</v>
      </c>
    </row>
    <row r="135" spans="1:11">
      <c r="A135" s="5">
        <v>133</v>
      </c>
      <c r="B135" s="6">
        <v>45289</v>
      </c>
      <c r="C135" s="7">
        <v>0.6</v>
      </c>
      <c r="D135" s="5">
        <v>9.67</v>
      </c>
      <c r="E135" s="5">
        <v>396.7</v>
      </c>
      <c r="F135" s="5">
        <v>416</v>
      </c>
      <c r="G135" s="6">
        <v>45289</v>
      </c>
      <c r="H135" s="5"/>
      <c r="I135" s="5"/>
      <c r="J135" s="5">
        <f t="shared" si="11"/>
        <v>19.300000000000011</v>
      </c>
      <c r="K135" s="8" t="b">
        <f t="shared" si="12"/>
        <v>1</v>
      </c>
    </row>
    <row r="136" spans="1:11">
      <c r="A136" s="101">
        <v>133</v>
      </c>
      <c r="B136" s="102">
        <v>45291</v>
      </c>
      <c r="C136" s="103">
        <v>0.6</v>
      </c>
      <c r="D136" s="101">
        <v>9.67</v>
      </c>
      <c r="E136" s="101">
        <v>416</v>
      </c>
      <c r="F136" s="101">
        <v>424.1</v>
      </c>
      <c r="G136" s="102">
        <v>45291</v>
      </c>
      <c r="H136" s="101"/>
      <c r="I136" s="101"/>
      <c r="J136" s="101">
        <f t="shared" si="11"/>
        <v>8.1000000000000227</v>
      </c>
      <c r="K136" s="8" t="b">
        <f t="shared" si="12"/>
        <v>1</v>
      </c>
    </row>
    <row r="137" spans="1:11">
      <c r="A137" s="5">
        <v>133</v>
      </c>
      <c r="B137" s="6">
        <v>45309</v>
      </c>
      <c r="C137" s="7">
        <v>0.8</v>
      </c>
      <c r="D137" s="5">
        <v>7.34</v>
      </c>
      <c r="E137" s="5">
        <v>451.2</v>
      </c>
      <c r="F137" s="5">
        <v>465.3</v>
      </c>
      <c r="G137" s="6">
        <v>45309</v>
      </c>
      <c r="H137" s="5"/>
      <c r="I137" s="5"/>
      <c r="J137" s="5">
        <f t="shared" ref="J137:J145" si="13">F137-E137</f>
        <v>14.100000000000023</v>
      </c>
      <c r="K137" s="8" t="b">
        <f t="shared" ref="K137:K145" si="14">E137=F136</f>
        <v>0</v>
      </c>
    </row>
    <row r="138" spans="1:11">
      <c r="A138" s="5">
        <v>133</v>
      </c>
      <c r="B138" s="6">
        <v>45312</v>
      </c>
      <c r="C138" s="7">
        <v>1</v>
      </c>
      <c r="D138" s="5">
        <v>6.58</v>
      </c>
      <c r="E138" s="5">
        <v>465.7</v>
      </c>
      <c r="F138" s="5">
        <v>477.4</v>
      </c>
      <c r="G138" s="6">
        <v>45312</v>
      </c>
      <c r="H138" s="5"/>
      <c r="I138" s="5"/>
      <c r="J138" s="5">
        <f t="shared" si="13"/>
        <v>11.699999999999989</v>
      </c>
      <c r="K138" s="8" t="b">
        <f t="shared" si="14"/>
        <v>0</v>
      </c>
    </row>
    <row r="139" spans="1:11">
      <c r="A139" s="101">
        <v>133</v>
      </c>
      <c r="B139" s="102">
        <v>45313</v>
      </c>
      <c r="C139" s="103">
        <v>1</v>
      </c>
      <c r="D139" s="101">
        <v>6.58</v>
      </c>
      <c r="E139" s="101">
        <v>477.4</v>
      </c>
      <c r="F139" s="101">
        <v>481</v>
      </c>
      <c r="G139" s="102">
        <v>45313</v>
      </c>
      <c r="H139" s="101"/>
      <c r="I139" s="101"/>
      <c r="J139" s="101">
        <f t="shared" si="13"/>
        <v>3.6000000000000227</v>
      </c>
      <c r="K139" s="8" t="b">
        <f t="shared" si="14"/>
        <v>1</v>
      </c>
    </row>
    <row r="140" spans="1:11">
      <c r="A140" s="80">
        <v>133</v>
      </c>
      <c r="B140" s="81">
        <v>45316</v>
      </c>
      <c r="C140" s="82">
        <v>1</v>
      </c>
      <c r="D140" s="80">
        <v>6.58</v>
      </c>
      <c r="E140" s="80">
        <v>481</v>
      </c>
      <c r="F140" s="80">
        <v>494.8</v>
      </c>
      <c r="G140" s="81">
        <v>45316</v>
      </c>
      <c r="H140" s="80"/>
      <c r="I140" s="80"/>
      <c r="J140" s="80">
        <f t="shared" si="13"/>
        <v>13.800000000000011</v>
      </c>
      <c r="K140" s="8" t="b">
        <f t="shared" si="14"/>
        <v>1</v>
      </c>
    </row>
    <row r="141" spans="1:11">
      <c r="A141" s="5">
        <v>133</v>
      </c>
      <c r="B141" s="6">
        <v>45320</v>
      </c>
      <c r="C141" s="7">
        <v>1</v>
      </c>
      <c r="D141" s="5">
        <v>6.58</v>
      </c>
      <c r="E141" s="5">
        <v>494.8</v>
      </c>
      <c r="F141" s="5">
        <v>507.4</v>
      </c>
      <c r="G141" s="6">
        <v>45320</v>
      </c>
      <c r="H141" s="5"/>
      <c r="I141" s="5"/>
      <c r="J141" s="5">
        <f t="shared" si="13"/>
        <v>12.599999999999966</v>
      </c>
      <c r="K141" s="8" t="b">
        <f t="shared" si="14"/>
        <v>1</v>
      </c>
    </row>
    <row r="142" spans="1:11">
      <c r="A142" s="5">
        <v>133</v>
      </c>
      <c r="B142" s="6">
        <v>45327</v>
      </c>
      <c r="C142" s="7">
        <v>0.7</v>
      </c>
      <c r="D142" s="5">
        <v>7.86</v>
      </c>
      <c r="E142" s="5">
        <v>507.4</v>
      </c>
      <c r="F142" s="5">
        <v>523.9</v>
      </c>
      <c r="G142" s="6">
        <v>45327</v>
      </c>
      <c r="H142" s="5"/>
      <c r="I142" s="5"/>
      <c r="J142" s="5">
        <f t="shared" si="13"/>
        <v>16.5</v>
      </c>
      <c r="K142" s="8" t="b">
        <f t="shared" si="14"/>
        <v>1</v>
      </c>
    </row>
    <row r="143" spans="1:11">
      <c r="A143" s="5">
        <v>133</v>
      </c>
      <c r="B143" s="6">
        <v>45336</v>
      </c>
      <c r="C143" s="7">
        <v>1</v>
      </c>
      <c r="D143" s="5">
        <v>6.58</v>
      </c>
      <c r="E143" s="5">
        <v>523.9</v>
      </c>
      <c r="F143" s="5">
        <v>537.6</v>
      </c>
      <c r="G143" s="6">
        <v>45336</v>
      </c>
      <c r="H143" s="5"/>
      <c r="I143" s="5"/>
      <c r="J143" s="5">
        <f t="shared" si="13"/>
        <v>13.700000000000045</v>
      </c>
      <c r="K143" s="8" t="b">
        <f t="shared" si="14"/>
        <v>1</v>
      </c>
    </row>
    <row r="144" spans="1:11">
      <c r="A144" s="5">
        <v>133</v>
      </c>
      <c r="B144" s="6">
        <v>45348</v>
      </c>
      <c r="C144" s="7">
        <v>1</v>
      </c>
      <c r="D144" s="5">
        <v>6.58</v>
      </c>
      <c r="E144" s="5">
        <v>537.6</v>
      </c>
      <c r="F144" s="5">
        <v>552.9</v>
      </c>
      <c r="G144" s="6">
        <v>45348</v>
      </c>
      <c r="H144" s="5"/>
      <c r="I144" s="5"/>
      <c r="J144" s="5">
        <f t="shared" si="13"/>
        <v>15.299999999999955</v>
      </c>
      <c r="K144" s="8" t="b">
        <f t="shared" si="14"/>
        <v>1</v>
      </c>
    </row>
    <row r="145" spans="1:11">
      <c r="A145" s="5">
        <v>133</v>
      </c>
      <c r="B145" s="6">
        <v>45352</v>
      </c>
      <c r="C145" s="7">
        <v>0.7</v>
      </c>
      <c r="D145" s="5">
        <v>7.86</v>
      </c>
      <c r="E145" s="5">
        <v>552.9</v>
      </c>
      <c r="F145" s="5">
        <v>567.20000000000005</v>
      </c>
      <c r="G145" s="6">
        <v>45352</v>
      </c>
      <c r="H145" s="5"/>
      <c r="I145" s="5"/>
      <c r="J145" s="5">
        <f t="shared" si="13"/>
        <v>14.300000000000068</v>
      </c>
      <c r="K145" s="8" t="b">
        <f t="shared" si="14"/>
        <v>1</v>
      </c>
    </row>
    <row r="146" spans="1:11">
      <c r="A146" s="5">
        <v>133</v>
      </c>
      <c r="B146" s="6">
        <v>45353</v>
      </c>
      <c r="C146" s="7">
        <v>0.7</v>
      </c>
      <c r="D146" s="5">
        <v>7.86</v>
      </c>
      <c r="E146" s="5">
        <v>567.20000000000005</v>
      </c>
      <c r="F146" s="5">
        <v>586.29999999999995</v>
      </c>
      <c r="G146" s="6">
        <v>45353</v>
      </c>
      <c r="H146" s="5"/>
      <c r="I146" s="5"/>
      <c r="J146" s="5">
        <f t="shared" ref="J146:J151" si="15">F146-E146</f>
        <v>19.099999999999909</v>
      </c>
      <c r="K146" s="8" t="b">
        <f t="shared" ref="K146:K151" si="16">E146=F145</f>
        <v>1</v>
      </c>
    </row>
    <row r="147" spans="1:11">
      <c r="A147" s="5">
        <v>133</v>
      </c>
      <c r="B147" s="6">
        <v>45360</v>
      </c>
      <c r="C147" s="7">
        <v>1</v>
      </c>
      <c r="D147" s="5">
        <v>6.58</v>
      </c>
      <c r="E147" s="5">
        <v>586.29999999999995</v>
      </c>
      <c r="F147" s="5">
        <v>598</v>
      </c>
      <c r="G147" s="6">
        <v>45360</v>
      </c>
      <c r="H147" s="5"/>
      <c r="I147" s="5"/>
      <c r="J147" s="5">
        <f t="shared" si="15"/>
        <v>11.700000000000045</v>
      </c>
      <c r="K147" s="8" t="b">
        <f t="shared" si="16"/>
        <v>1</v>
      </c>
    </row>
    <row r="148" spans="1:11">
      <c r="A148" s="5">
        <v>133</v>
      </c>
      <c r="B148" s="6">
        <v>45365</v>
      </c>
      <c r="C148" s="7">
        <v>1</v>
      </c>
      <c r="D148" s="5">
        <v>6.58</v>
      </c>
      <c r="E148" s="5">
        <v>598</v>
      </c>
      <c r="F148" s="5" t="s">
        <v>157</v>
      </c>
      <c r="G148" s="6">
        <v>45365</v>
      </c>
      <c r="H148" s="5"/>
      <c r="I148" s="5"/>
      <c r="J148" s="5" t="e">
        <f t="shared" si="15"/>
        <v>#VALUE!</v>
      </c>
      <c r="K148" s="8" t="b">
        <f t="shared" si="16"/>
        <v>1</v>
      </c>
    </row>
    <row r="149" spans="1:11">
      <c r="A149" s="5">
        <v>133</v>
      </c>
      <c r="B149" s="6">
        <v>45369</v>
      </c>
      <c r="C149" s="7">
        <v>1</v>
      </c>
      <c r="D149" s="5">
        <v>6.58</v>
      </c>
      <c r="E149" s="5">
        <v>598</v>
      </c>
      <c r="F149" s="5">
        <v>607</v>
      </c>
      <c r="G149" s="6">
        <v>45369</v>
      </c>
      <c r="H149" s="5"/>
      <c r="I149" s="5"/>
      <c r="J149" s="5">
        <f t="shared" si="15"/>
        <v>9</v>
      </c>
      <c r="K149" s="8" t="b">
        <f t="shared" si="16"/>
        <v>0</v>
      </c>
    </row>
    <row r="150" spans="1:11">
      <c r="A150" s="5">
        <v>133</v>
      </c>
      <c r="B150" s="6">
        <v>45406</v>
      </c>
      <c r="C150" s="7">
        <v>1</v>
      </c>
      <c r="D150" s="5">
        <v>6.58</v>
      </c>
      <c r="E150" s="5">
        <v>607</v>
      </c>
      <c r="F150" s="5">
        <v>618.79999999999995</v>
      </c>
      <c r="G150" s="6">
        <v>45406</v>
      </c>
      <c r="H150" s="5"/>
      <c r="I150" s="5"/>
      <c r="J150" s="5">
        <f t="shared" si="15"/>
        <v>11.799999999999955</v>
      </c>
      <c r="K150" s="8" t="b">
        <f t="shared" si="16"/>
        <v>1</v>
      </c>
    </row>
    <row r="151" spans="1:11">
      <c r="A151" s="5">
        <v>133</v>
      </c>
      <c r="B151" s="6">
        <v>45410</v>
      </c>
      <c r="C151" s="7">
        <v>1</v>
      </c>
      <c r="D151" s="5">
        <v>6.58</v>
      </c>
      <c r="E151" s="5">
        <v>618.79999999999995</v>
      </c>
      <c r="F151" s="5">
        <v>631.20000000000005</v>
      </c>
      <c r="G151" s="6">
        <v>45410</v>
      </c>
      <c r="H151" s="5"/>
      <c r="I151" s="5"/>
      <c r="J151" s="5">
        <f t="shared" si="15"/>
        <v>12.400000000000091</v>
      </c>
      <c r="K151" s="8" t="b">
        <f t="shared" si="16"/>
        <v>1</v>
      </c>
    </row>
    <row r="152" spans="1:11" ht="26.25">
      <c r="A152" s="231" t="s">
        <v>373</v>
      </c>
      <c r="B152" s="232"/>
      <c r="C152" s="232"/>
      <c r="D152" s="232"/>
      <c r="E152" s="232"/>
      <c r="F152" s="232"/>
      <c r="G152" s="232"/>
      <c r="H152" s="232"/>
      <c r="I152" s="232"/>
      <c r="J152" s="232"/>
      <c r="K152" s="233"/>
    </row>
    <row r="153" spans="1:11" ht="26.25">
      <c r="A153" s="234" t="s">
        <v>381</v>
      </c>
      <c r="B153" s="235"/>
      <c r="C153" s="235"/>
      <c r="D153" s="235"/>
      <c r="E153" s="235"/>
      <c r="F153" s="235"/>
      <c r="G153" s="235"/>
      <c r="H153" s="235"/>
      <c r="I153" s="235"/>
      <c r="J153" s="235"/>
      <c r="K153" s="236"/>
    </row>
    <row r="154" spans="1:11" ht="15.75" thickBot="1"/>
    <row r="155" spans="1:11" ht="15.75" thickBot="1">
      <c r="A155" s="132" t="s">
        <v>2</v>
      </c>
      <c r="B155" s="133"/>
      <c r="C155" s="133"/>
      <c r="D155" s="133"/>
      <c r="E155" s="133"/>
      <c r="F155" s="133"/>
      <c r="G155" s="133"/>
      <c r="H155" s="133"/>
      <c r="I155" s="133"/>
      <c r="J155" s="133"/>
      <c r="K155" s="134"/>
    </row>
    <row r="157" spans="1:11" ht="19.5" thickBot="1">
      <c r="A157" s="1" t="s">
        <v>3</v>
      </c>
      <c r="B157" s="1"/>
      <c r="C157" s="1"/>
      <c r="D157" s="1"/>
      <c r="E157" s="1"/>
      <c r="F157" s="1"/>
      <c r="G157" s="1"/>
      <c r="H157" s="1"/>
      <c r="I157" s="1"/>
    </row>
    <row r="158" spans="1:11" ht="30.75" thickBot="1">
      <c r="A158" s="2" t="s">
        <v>4</v>
      </c>
      <c r="B158" s="3" t="s">
        <v>5</v>
      </c>
      <c r="C158" s="3" t="s">
        <v>6</v>
      </c>
      <c r="D158" s="3" t="s">
        <v>7</v>
      </c>
      <c r="E158" s="3" t="s">
        <v>8</v>
      </c>
      <c r="F158" s="3" t="s">
        <v>9</v>
      </c>
      <c r="G158" s="3" t="s">
        <v>10</v>
      </c>
      <c r="H158" s="3" t="s">
        <v>21</v>
      </c>
      <c r="I158" s="4" t="s">
        <v>22</v>
      </c>
      <c r="J158" s="4" t="s">
        <v>11</v>
      </c>
      <c r="K158" s="4" t="s">
        <v>12</v>
      </c>
    </row>
    <row r="159" spans="1:11">
      <c r="A159" s="5">
        <v>133</v>
      </c>
      <c r="B159" s="6">
        <v>45406</v>
      </c>
      <c r="C159" s="7">
        <v>1</v>
      </c>
      <c r="D159" s="5">
        <v>6.58</v>
      </c>
      <c r="E159" s="5">
        <v>607</v>
      </c>
      <c r="F159" s="5">
        <v>618.79999999999995</v>
      </c>
      <c r="G159" s="6">
        <v>45406</v>
      </c>
      <c r="H159" s="5"/>
      <c r="I159" s="5"/>
      <c r="J159" s="5">
        <f t="shared" ref="J159:J160" si="17">F159-E159</f>
        <v>11.799999999999955</v>
      </c>
      <c r="K159" s="8" t="b">
        <f>E159=F151</f>
        <v>0</v>
      </c>
    </row>
    <row r="160" spans="1:11">
      <c r="A160" s="5">
        <v>133</v>
      </c>
      <c r="B160" s="6">
        <v>45410</v>
      </c>
      <c r="C160" s="7">
        <v>1</v>
      </c>
      <c r="D160" s="5">
        <v>6.58</v>
      </c>
      <c r="E160" s="5">
        <v>618.79999999999995</v>
      </c>
      <c r="F160" s="5">
        <v>631.20000000000005</v>
      </c>
      <c r="G160" s="6">
        <v>45410</v>
      </c>
      <c r="H160" s="5"/>
      <c r="I160" s="5"/>
      <c r="J160" s="5">
        <f t="shared" si="17"/>
        <v>12.400000000000091</v>
      </c>
      <c r="K160" s="8" t="b">
        <f t="shared" ref="K160" si="18">E160=F159</f>
        <v>1</v>
      </c>
    </row>
    <row r="161" spans="1:11">
      <c r="A161" s="5">
        <v>133</v>
      </c>
      <c r="B161" s="6">
        <v>45423</v>
      </c>
      <c r="C161" s="7">
        <v>0.5</v>
      </c>
      <c r="D161" s="5">
        <v>13.16</v>
      </c>
      <c r="E161" s="5">
        <v>631.20000000000005</v>
      </c>
      <c r="F161" s="5">
        <v>655.4</v>
      </c>
      <c r="G161" s="6">
        <v>45423</v>
      </c>
      <c r="H161" s="5"/>
      <c r="I161" s="5"/>
      <c r="J161" s="5">
        <f t="shared" ref="J161:J197" si="19">F161-E161</f>
        <v>24.199999999999932</v>
      </c>
      <c r="K161" s="8" t="b">
        <f t="shared" ref="K161:K197" si="20">E161=F160</f>
        <v>1</v>
      </c>
    </row>
    <row r="162" spans="1:11">
      <c r="A162" s="5">
        <v>133</v>
      </c>
      <c r="B162" s="6">
        <v>45426</v>
      </c>
      <c r="C162" s="7">
        <v>1</v>
      </c>
      <c r="D162" s="5">
        <v>6.58</v>
      </c>
      <c r="E162" s="5">
        <v>655.4</v>
      </c>
      <c r="F162" s="5">
        <v>661.2</v>
      </c>
      <c r="G162" s="6">
        <v>45426</v>
      </c>
      <c r="H162" s="5"/>
      <c r="I162" s="5"/>
      <c r="J162" s="5">
        <f t="shared" si="19"/>
        <v>5.8000000000000682</v>
      </c>
      <c r="K162" s="8" t="b">
        <f t="shared" si="20"/>
        <v>1</v>
      </c>
    </row>
    <row r="163" spans="1:11">
      <c r="A163" s="5">
        <v>133</v>
      </c>
      <c r="B163" s="6">
        <v>45427</v>
      </c>
      <c r="C163" s="7">
        <v>1</v>
      </c>
      <c r="D163" s="5">
        <v>6.58</v>
      </c>
      <c r="E163" s="5">
        <v>661.2</v>
      </c>
      <c r="F163" s="5">
        <v>673.9</v>
      </c>
      <c r="G163" s="6">
        <v>45427</v>
      </c>
      <c r="H163" s="5"/>
      <c r="I163" s="5"/>
      <c r="J163" s="5">
        <f t="shared" si="19"/>
        <v>12.699999999999932</v>
      </c>
      <c r="K163" s="8" t="b">
        <f t="shared" si="20"/>
        <v>1</v>
      </c>
    </row>
    <row r="164" spans="1:11">
      <c r="A164" s="5">
        <v>133</v>
      </c>
      <c r="B164" s="6">
        <v>45428</v>
      </c>
      <c r="C164" s="7">
        <v>1</v>
      </c>
      <c r="D164" s="5">
        <v>6.58</v>
      </c>
      <c r="E164" s="5">
        <v>673.9</v>
      </c>
      <c r="F164" s="5">
        <v>697.7</v>
      </c>
      <c r="G164" s="6">
        <v>45428</v>
      </c>
      <c r="H164" s="5"/>
      <c r="I164" s="5"/>
      <c r="J164" s="5">
        <f t="shared" si="19"/>
        <v>23.800000000000068</v>
      </c>
      <c r="K164" s="8" t="b">
        <f t="shared" si="20"/>
        <v>1</v>
      </c>
    </row>
    <row r="165" spans="1:11">
      <c r="A165" s="5">
        <v>133</v>
      </c>
      <c r="B165" s="6">
        <v>45429</v>
      </c>
      <c r="C165" s="7">
        <v>1</v>
      </c>
      <c r="D165" s="5">
        <v>6.58</v>
      </c>
      <c r="E165" s="5">
        <v>697.7</v>
      </c>
      <c r="F165" s="5">
        <v>709.8</v>
      </c>
      <c r="G165" s="6">
        <v>45429</v>
      </c>
      <c r="H165" s="5"/>
      <c r="I165" s="5"/>
      <c r="J165" s="5">
        <f t="shared" si="19"/>
        <v>12.099999999999909</v>
      </c>
      <c r="K165" s="8" t="b">
        <f t="shared" si="20"/>
        <v>1</v>
      </c>
    </row>
    <row r="166" spans="1:11">
      <c r="A166" s="5">
        <v>133</v>
      </c>
      <c r="B166" s="6">
        <v>45430</v>
      </c>
      <c r="C166" s="7">
        <v>1</v>
      </c>
      <c r="D166" s="5">
        <v>6.58</v>
      </c>
      <c r="E166" s="5">
        <v>709.8</v>
      </c>
      <c r="F166" s="5">
        <v>721.7</v>
      </c>
      <c r="G166" s="6">
        <v>45430</v>
      </c>
      <c r="H166" s="5"/>
      <c r="I166" s="5"/>
      <c r="J166" s="5">
        <f t="shared" si="19"/>
        <v>11.900000000000091</v>
      </c>
      <c r="K166" s="8" t="b">
        <f t="shared" si="20"/>
        <v>1</v>
      </c>
    </row>
    <row r="167" spans="1:11">
      <c r="A167" s="5">
        <v>133</v>
      </c>
      <c r="B167" s="6">
        <v>45431</v>
      </c>
      <c r="C167" s="7">
        <v>1</v>
      </c>
      <c r="D167" s="5">
        <v>6.58</v>
      </c>
      <c r="E167" s="5">
        <v>721.7</v>
      </c>
      <c r="F167" s="5">
        <v>745.2</v>
      </c>
      <c r="G167" s="6">
        <v>45431</v>
      </c>
      <c r="H167" s="5"/>
      <c r="I167" s="5"/>
      <c r="J167" s="5">
        <f t="shared" si="19"/>
        <v>23.5</v>
      </c>
      <c r="K167" s="8" t="b">
        <f t="shared" si="20"/>
        <v>1</v>
      </c>
    </row>
    <row r="168" spans="1:11">
      <c r="A168" s="5">
        <v>133</v>
      </c>
      <c r="B168" s="6">
        <v>45432</v>
      </c>
      <c r="C168" s="7">
        <v>1</v>
      </c>
      <c r="D168" s="5">
        <v>6.58</v>
      </c>
      <c r="E168" s="5">
        <v>745.2</v>
      </c>
      <c r="F168" s="5">
        <v>757</v>
      </c>
      <c r="G168" s="6">
        <v>45432</v>
      </c>
      <c r="H168" s="5"/>
      <c r="I168" s="5"/>
      <c r="J168" s="5">
        <f t="shared" si="19"/>
        <v>11.799999999999955</v>
      </c>
      <c r="K168" s="8" t="b">
        <f t="shared" si="20"/>
        <v>1</v>
      </c>
    </row>
    <row r="169" spans="1:11">
      <c r="A169" s="5">
        <v>133</v>
      </c>
      <c r="B169" s="6">
        <v>45433</v>
      </c>
      <c r="C169" s="7">
        <v>1</v>
      </c>
      <c r="D169" s="5">
        <v>6.58</v>
      </c>
      <c r="E169" s="5">
        <v>757</v>
      </c>
      <c r="F169" s="5">
        <v>780.4</v>
      </c>
      <c r="G169" s="6">
        <v>45433</v>
      </c>
      <c r="H169" s="5"/>
      <c r="I169" s="5"/>
      <c r="J169" s="5">
        <f t="shared" si="19"/>
        <v>23.399999999999977</v>
      </c>
      <c r="K169" s="8" t="b">
        <f t="shared" si="20"/>
        <v>1</v>
      </c>
    </row>
    <row r="170" spans="1:11">
      <c r="A170" s="5">
        <v>133</v>
      </c>
      <c r="B170" s="6">
        <v>45434</v>
      </c>
      <c r="C170" s="7">
        <v>1</v>
      </c>
      <c r="D170" s="5">
        <v>6.58</v>
      </c>
      <c r="E170" s="5">
        <v>780.4</v>
      </c>
      <c r="F170" s="5">
        <v>793.1</v>
      </c>
      <c r="G170" s="6">
        <v>45434</v>
      </c>
      <c r="H170" s="5"/>
      <c r="I170" s="5"/>
      <c r="J170" s="5">
        <f t="shared" si="19"/>
        <v>12.700000000000045</v>
      </c>
      <c r="K170" s="8" t="b">
        <f t="shared" si="20"/>
        <v>1</v>
      </c>
    </row>
    <row r="171" spans="1:11">
      <c r="A171" s="5">
        <v>133</v>
      </c>
      <c r="B171" s="6">
        <v>45435</v>
      </c>
      <c r="C171" s="7">
        <v>1</v>
      </c>
      <c r="D171" s="5">
        <v>6.58</v>
      </c>
      <c r="E171" s="5">
        <v>793.1</v>
      </c>
      <c r="F171" s="5">
        <v>805.2</v>
      </c>
      <c r="G171" s="6">
        <v>45435</v>
      </c>
      <c r="H171" s="5"/>
      <c r="I171" s="5"/>
      <c r="J171" s="5">
        <f t="shared" si="19"/>
        <v>12.100000000000023</v>
      </c>
      <c r="K171" s="8" t="b">
        <f t="shared" si="20"/>
        <v>1</v>
      </c>
    </row>
    <row r="172" spans="1:11">
      <c r="A172" s="5">
        <v>133</v>
      </c>
      <c r="B172" s="6">
        <v>45442</v>
      </c>
      <c r="C172" s="7">
        <v>0.8</v>
      </c>
      <c r="D172" s="5">
        <v>8.23</v>
      </c>
      <c r="E172" s="5">
        <v>805.2</v>
      </c>
      <c r="F172" s="5">
        <v>821.2</v>
      </c>
      <c r="G172" s="6">
        <v>45442</v>
      </c>
      <c r="H172" s="5" t="s">
        <v>31</v>
      </c>
      <c r="I172" s="5"/>
      <c r="J172" s="5">
        <f t="shared" si="19"/>
        <v>16</v>
      </c>
      <c r="K172" s="8" t="b">
        <f t="shared" si="20"/>
        <v>1</v>
      </c>
    </row>
    <row r="173" spans="1:11">
      <c r="A173" s="5">
        <v>133</v>
      </c>
      <c r="B173" s="6">
        <v>45444</v>
      </c>
      <c r="C173" s="7">
        <v>1</v>
      </c>
      <c r="D173" s="5">
        <v>5.25</v>
      </c>
      <c r="E173" s="5">
        <v>821.2</v>
      </c>
      <c r="F173" s="5">
        <v>834.2</v>
      </c>
      <c r="G173" s="6">
        <v>45444</v>
      </c>
      <c r="H173" s="5"/>
      <c r="I173" s="5"/>
      <c r="J173" s="5">
        <f t="shared" si="19"/>
        <v>13</v>
      </c>
      <c r="K173" s="8" t="b">
        <f t="shared" si="20"/>
        <v>1</v>
      </c>
    </row>
    <row r="174" spans="1:11">
      <c r="A174" s="5">
        <v>133</v>
      </c>
      <c r="B174" s="6">
        <v>45446</v>
      </c>
      <c r="C174" s="7">
        <v>1</v>
      </c>
      <c r="D174" s="5">
        <v>5.25</v>
      </c>
      <c r="E174" s="5">
        <v>834.2</v>
      </c>
      <c r="F174" s="5">
        <v>844.2</v>
      </c>
      <c r="G174" s="6">
        <v>45446</v>
      </c>
      <c r="H174" s="5"/>
      <c r="I174" s="5"/>
      <c r="J174" s="5">
        <f t="shared" si="19"/>
        <v>10</v>
      </c>
      <c r="K174" s="8" t="b">
        <f t="shared" si="20"/>
        <v>1</v>
      </c>
    </row>
    <row r="175" spans="1:11">
      <c r="A175" s="5">
        <v>133</v>
      </c>
      <c r="B175" s="6">
        <v>45448</v>
      </c>
      <c r="C175" s="7">
        <v>1</v>
      </c>
      <c r="D175" s="5">
        <v>5.25</v>
      </c>
      <c r="E175" s="5">
        <v>844.2</v>
      </c>
      <c r="F175" s="5">
        <v>857</v>
      </c>
      <c r="G175" s="6">
        <v>45448</v>
      </c>
      <c r="H175" s="5"/>
      <c r="I175" s="5"/>
      <c r="J175" s="5">
        <f t="shared" si="19"/>
        <v>12.799999999999955</v>
      </c>
      <c r="K175" s="8" t="b">
        <f t="shared" si="20"/>
        <v>1</v>
      </c>
    </row>
    <row r="176" spans="1:11">
      <c r="A176" s="5">
        <v>133</v>
      </c>
      <c r="B176" s="6">
        <v>45450</v>
      </c>
      <c r="C176" s="7">
        <v>1</v>
      </c>
      <c r="D176" s="5">
        <v>5.25</v>
      </c>
      <c r="E176" s="5">
        <v>857</v>
      </c>
      <c r="F176" s="5">
        <v>869</v>
      </c>
      <c r="G176" s="6">
        <v>45450</v>
      </c>
      <c r="H176" s="5"/>
      <c r="I176" s="5"/>
      <c r="J176" s="5">
        <f t="shared" si="19"/>
        <v>12</v>
      </c>
      <c r="K176" s="8" t="b">
        <f t="shared" si="20"/>
        <v>1</v>
      </c>
    </row>
    <row r="177" spans="1:11">
      <c r="A177" s="5">
        <v>133</v>
      </c>
      <c r="B177" s="6">
        <v>45455</v>
      </c>
      <c r="C177" s="7">
        <v>0.9</v>
      </c>
      <c r="D177" s="5">
        <v>5.83</v>
      </c>
      <c r="E177" s="5">
        <v>869</v>
      </c>
      <c r="F177" s="5">
        <v>883.5</v>
      </c>
      <c r="G177" s="6">
        <v>45455</v>
      </c>
      <c r="H177" s="5"/>
      <c r="I177" s="5"/>
      <c r="J177" s="5">
        <f t="shared" si="19"/>
        <v>14.5</v>
      </c>
      <c r="K177" s="8" t="b">
        <f t="shared" si="20"/>
        <v>1</v>
      </c>
    </row>
    <row r="178" spans="1:11">
      <c r="A178" s="5">
        <v>133</v>
      </c>
      <c r="B178" s="6">
        <v>45457</v>
      </c>
      <c r="C178" s="7">
        <v>1</v>
      </c>
      <c r="D178" s="5">
        <v>5.25</v>
      </c>
      <c r="E178" s="5">
        <v>883.5</v>
      </c>
      <c r="F178" s="5">
        <v>895.6</v>
      </c>
      <c r="G178" s="6">
        <v>45457</v>
      </c>
      <c r="H178" s="5"/>
      <c r="I178" s="5"/>
      <c r="J178" s="5">
        <f t="shared" si="19"/>
        <v>12.100000000000023</v>
      </c>
      <c r="K178" s="8" t="b">
        <f t="shared" si="20"/>
        <v>1</v>
      </c>
    </row>
    <row r="179" spans="1:11">
      <c r="A179" s="5">
        <v>133</v>
      </c>
      <c r="B179" s="6">
        <v>45459</v>
      </c>
      <c r="C179" s="7">
        <v>0.8</v>
      </c>
      <c r="D179" s="5">
        <v>6.56</v>
      </c>
      <c r="E179" s="5">
        <v>895.6</v>
      </c>
      <c r="F179" s="5">
        <v>912</v>
      </c>
      <c r="G179" s="6">
        <v>45459</v>
      </c>
      <c r="H179" s="5"/>
      <c r="I179" s="5"/>
      <c r="J179" s="5">
        <f t="shared" si="19"/>
        <v>16.399999999999977</v>
      </c>
      <c r="K179" s="8" t="b">
        <f t="shared" si="20"/>
        <v>1</v>
      </c>
    </row>
    <row r="180" spans="1:11">
      <c r="A180" s="5">
        <v>133</v>
      </c>
      <c r="B180" s="6">
        <v>45461</v>
      </c>
      <c r="C180" s="7">
        <v>0.6</v>
      </c>
      <c r="D180" s="5">
        <v>8.74</v>
      </c>
      <c r="E180" s="5">
        <v>912</v>
      </c>
      <c r="F180" s="5">
        <v>926.8</v>
      </c>
      <c r="G180" s="6">
        <v>45461</v>
      </c>
      <c r="H180" s="5"/>
      <c r="I180" s="5"/>
      <c r="J180" s="5">
        <f t="shared" si="19"/>
        <v>14.799999999999955</v>
      </c>
      <c r="K180" s="8" t="b">
        <f t="shared" si="20"/>
        <v>1</v>
      </c>
    </row>
    <row r="181" spans="1:11">
      <c r="A181" s="5">
        <v>133</v>
      </c>
      <c r="B181" s="6">
        <v>45462</v>
      </c>
      <c r="C181" s="7">
        <v>1</v>
      </c>
      <c r="D181" s="5">
        <v>5.25</v>
      </c>
      <c r="E181" s="5">
        <v>926.8</v>
      </c>
      <c r="F181" s="5">
        <v>941.4</v>
      </c>
      <c r="G181" s="6">
        <v>45462</v>
      </c>
      <c r="H181" s="5"/>
      <c r="I181" s="5"/>
      <c r="J181" s="5">
        <f t="shared" si="19"/>
        <v>14.600000000000023</v>
      </c>
      <c r="K181" s="8" t="b">
        <f t="shared" si="20"/>
        <v>1</v>
      </c>
    </row>
    <row r="182" spans="1:11">
      <c r="A182" s="5">
        <v>133</v>
      </c>
      <c r="B182" s="6">
        <v>45463</v>
      </c>
      <c r="C182" s="7">
        <v>0.6</v>
      </c>
      <c r="D182" s="5">
        <v>8.74</v>
      </c>
      <c r="E182" s="5">
        <v>941.4</v>
      </c>
      <c r="F182" s="5">
        <v>956.2</v>
      </c>
      <c r="G182" s="6">
        <v>45463</v>
      </c>
      <c r="H182" s="5"/>
      <c r="I182" s="5"/>
      <c r="J182" s="5">
        <f t="shared" si="19"/>
        <v>14.800000000000068</v>
      </c>
      <c r="K182" s="8" t="b">
        <f t="shared" si="20"/>
        <v>1</v>
      </c>
    </row>
    <row r="183" spans="1:11">
      <c r="A183" s="5">
        <v>133</v>
      </c>
      <c r="B183" s="6">
        <v>45464</v>
      </c>
      <c r="C183" s="7">
        <v>1</v>
      </c>
      <c r="D183" s="5">
        <v>5.25</v>
      </c>
      <c r="E183" s="5">
        <v>956.2</v>
      </c>
      <c r="F183" s="5">
        <v>968.5</v>
      </c>
      <c r="G183" s="6">
        <v>45464</v>
      </c>
      <c r="H183" s="5"/>
      <c r="I183" s="5"/>
      <c r="J183" s="5">
        <f t="shared" si="19"/>
        <v>12.299999999999955</v>
      </c>
      <c r="K183" s="8" t="b">
        <f t="shared" si="20"/>
        <v>1</v>
      </c>
    </row>
    <row r="184" spans="1:11">
      <c r="A184" s="5">
        <v>133</v>
      </c>
      <c r="B184" s="6">
        <v>45466</v>
      </c>
      <c r="C184" s="7">
        <v>0.6</v>
      </c>
      <c r="D184" s="5">
        <v>8.74</v>
      </c>
      <c r="E184" s="5">
        <v>968.5</v>
      </c>
      <c r="F184" s="5">
        <v>988.7</v>
      </c>
      <c r="G184" s="6">
        <v>45466</v>
      </c>
      <c r="H184" s="5"/>
      <c r="I184" s="5"/>
      <c r="J184" s="5">
        <f t="shared" si="19"/>
        <v>20.200000000000045</v>
      </c>
      <c r="K184" s="8" t="b">
        <f t="shared" si="20"/>
        <v>1</v>
      </c>
    </row>
    <row r="185" spans="1:11">
      <c r="A185" s="5">
        <v>133</v>
      </c>
      <c r="B185" s="6">
        <v>45468</v>
      </c>
      <c r="C185" s="7">
        <v>0.6</v>
      </c>
      <c r="D185" s="5">
        <v>8.74</v>
      </c>
      <c r="E185" s="5">
        <v>988.7</v>
      </c>
      <c r="F185" s="5">
        <v>1007.4</v>
      </c>
      <c r="G185" s="6">
        <v>45468</v>
      </c>
      <c r="H185" s="5"/>
      <c r="I185" s="5"/>
      <c r="J185" s="5">
        <f t="shared" si="19"/>
        <v>18.699999999999932</v>
      </c>
      <c r="K185" s="8" t="b">
        <f t="shared" si="20"/>
        <v>1</v>
      </c>
    </row>
    <row r="186" spans="1:11">
      <c r="A186" s="5">
        <v>133</v>
      </c>
      <c r="B186" s="6">
        <v>45470</v>
      </c>
      <c r="C186" s="7">
        <v>1</v>
      </c>
      <c r="D186" s="5">
        <v>5.25</v>
      </c>
      <c r="E186" s="5">
        <v>1007.4</v>
      </c>
      <c r="F186" s="5">
        <v>1019.4</v>
      </c>
      <c r="G186" s="6">
        <v>45470</v>
      </c>
      <c r="H186" s="5"/>
      <c r="I186" s="5"/>
      <c r="J186" s="5">
        <f t="shared" si="19"/>
        <v>12</v>
      </c>
      <c r="K186" s="8" t="b">
        <f t="shared" si="20"/>
        <v>1</v>
      </c>
    </row>
    <row r="187" spans="1:11">
      <c r="A187" s="5">
        <v>133</v>
      </c>
      <c r="B187" s="6">
        <v>45472</v>
      </c>
      <c r="C187" s="7">
        <v>0.6</v>
      </c>
      <c r="D187" s="5">
        <v>8.74</v>
      </c>
      <c r="E187" s="5">
        <v>1019.4</v>
      </c>
      <c r="F187" s="5">
        <v>1039.0999999999999</v>
      </c>
      <c r="G187" s="6">
        <v>45472</v>
      </c>
      <c r="H187" s="5"/>
      <c r="I187" s="5"/>
      <c r="J187" s="5">
        <f t="shared" si="19"/>
        <v>19.699999999999932</v>
      </c>
      <c r="K187" s="8" t="b">
        <f t="shared" si="20"/>
        <v>1</v>
      </c>
    </row>
    <row r="188" spans="1:11">
      <c r="A188" s="5">
        <v>133</v>
      </c>
      <c r="B188" s="6">
        <v>45474</v>
      </c>
      <c r="C188" s="7">
        <v>0.6</v>
      </c>
      <c r="D188" s="5">
        <v>8.74</v>
      </c>
      <c r="E188" s="5">
        <v>1039.0999999999999</v>
      </c>
      <c r="F188" s="5">
        <v>1059.5999999999999</v>
      </c>
      <c r="G188" s="6">
        <v>45474</v>
      </c>
      <c r="H188" s="5"/>
      <c r="I188" s="5"/>
      <c r="J188" s="5">
        <f t="shared" si="19"/>
        <v>20.5</v>
      </c>
      <c r="K188" s="8" t="b">
        <f t="shared" si="20"/>
        <v>1</v>
      </c>
    </row>
    <row r="189" spans="1:11">
      <c r="A189" s="5">
        <v>133</v>
      </c>
      <c r="B189" s="6">
        <v>45476</v>
      </c>
      <c r="C189" s="7">
        <v>0.6</v>
      </c>
      <c r="D189" s="5">
        <v>8.74</v>
      </c>
      <c r="E189" s="5">
        <v>1059.5999999999999</v>
      </c>
      <c r="F189" s="5">
        <v>1079.0999999999999</v>
      </c>
      <c r="G189" s="6">
        <v>45476</v>
      </c>
      <c r="H189" s="5"/>
      <c r="I189" s="5"/>
      <c r="J189" s="5">
        <f t="shared" si="19"/>
        <v>19.5</v>
      </c>
      <c r="K189" s="8" t="b">
        <f t="shared" si="20"/>
        <v>1</v>
      </c>
    </row>
    <row r="190" spans="1:11">
      <c r="A190" s="5">
        <v>133</v>
      </c>
      <c r="B190" s="6">
        <v>45478</v>
      </c>
      <c r="C190" s="7">
        <v>0.6</v>
      </c>
      <c r="D190" s="5">
        <v>8.74</v>
      </c>
      <c r="E190" s="5">
        <v>1079.0999999999999</v>
      </c>
      <c r="F190" s="5">
        <v>1098.4000000000001</v>
      </c>
      <c r="G190" s="6">
        <v>45478</v>
      </c>
      <c r="H190" s="5"/>
      <c r="I190" s="5"/>
      <c r="J190" s="5">
        <f t="shared" si="19"/>
        <v>19.300000000000182</v>
      </c>
      <c r="K190" s="8" t="b">
        <f t="shared" si="20"/>
        <v>1</v>
      </c>
    </row>
    <row r="191" spans="1:11">
      <c r="A191" s="5">
        <v>133</v>
      </c>
      <c r="B191" s="6">
        <v>45480</v>
      </c>
      <c r="C191" s="7">
        <v>0.6</v>
      </c>
      <c r="D191" s="5">
        <v>8.74</v>
      </c>
      <c r="E191" s="5">
        <v>1098.4000000000001</v>
      </c>
      <c r="F191" s="5">
        <v>1117.5</v>
      </c>
      <c r="G191" s="6">
        <v>45480</v>
      </c>
      <c r="H191" s="5"/>
      <c r="I191" s="5"/>
      <c r="J191" s="5">
        <f t="shared" si="19"/>
        <v>19.099999999999909</v>
      </c>
      <c r="K191" s="8" t="b">
        <f t="shared" si="20"/>
        <v>1</v>
      </c>
    </row>
    <row r="192" spans="1:11">
      <c r="A192" s="5">
        <v>133</v>
      </c>
      <c r="B192" s="6">
        <v>45482</v>
      </c>
      <c r="C192" s="7">
        <v>0.6</v>
      </c>
      <c r="D192" s="5">
        <v>8.74</v>
      </c>
      <c r="E192" s="5">
        <v>1117.5</v>
      </c>
      <c r="F192" s="5">
        <v>1137.2</v>
      </c>
      <c r="G192" s="6">
        <v>45482</v>
      </c>
      <c r="H192" s="5"/>
      <c r="I192" s="5"/>
      <c r="J192" s="5">
        <f t="shared" si="19"/>
        <v>19.700000000000045</v>
      </c>
      <c r="K192" s="8" t="b">
        <f t="shared" si="20"/>
        <v>1</v>
      </c>
    </row>
    <row r="193" spans="1:11">
      <c r="A193" s="5">
        <v>133</v>
      </c>
      <c r="B193" s="6">
        <v>45484</v>
      </c>
      <c r="C193" s="7">
        <v>0.75</v>
      </c>
      <c r="D193" s="5">
        <v>6.99</v>
      </c>
      <c r="E193" s="5">
        <v>1137.2</v>
      </c>
      <c r="F193" s="5">
        <v>1155.0999999999999</v>
      </c>
      <c r="G193" s="6">
        <v>45484</v>
      </c>
      <c r="H193" s="5"/>
      <c r="I193" s="5"/>
      <c r="J193" s="5">
        <f t="shared" si="19"/>
        <v>17.899999999999864</v>
      </c>
      <c r="K193" s="8" t="b">
        <f t="shared" si="20"/>
        <v>1</v>
      </c>
    </row>
    <row r="194" spans="1:11">
      <c r="A194" s="5">
        <v>133</v>
      </c>
      <c r="B194" s="6">
        <v>45486</v>
      </c>
      <c r="C194" s="7">
        <v>0.6</v>
      </c>
      <c r="D194" s="5">
        <v>8.74</v>
      </c>
      <c r="E194" s="5">
        <v>1155.0999999999999</v>
      </c>
      <c r="F194" s="5">
        <v>1174.5</v>
      </c>
      <c r="G194" s="6">
        <v>45486</v>
      </c>
      <c r="H194" s="5"/>
      <c r="I194" s="5"/>
      <c r="J194" s="5">
        <f t="shared" si="19"/>
        <v>19.400000000000091</v>
      </c>
      <c r="K194" s="8" t="b">
        <f t="shared" si="20"/>
        <v>1</v>
      </c>
    </row>
    <row r="195" spans="1:11">
      <c r="A195" s="5">
        <v>133</v>
      </c>
      <c r="B195" s="6">
        <v>45488</v>
      </c>
      <c r="C195" s="7">
        <v>1</v>
      </c>
      <c r="D195" s="5">
        <v>5.25</v>
      </c>
      <c r="E195" s="5">
        <v>1174.5</v>
      </c>
      <c r="F195" s="5">
        <v>1186.9000000000001</v>
      </c>
      <c r="G195" s="6">
        <v>45488</v>
      </c>
      <c r="H195" s="5"/>
      <c r="I195" s="5"/>
      <c r="J195" s="5">
        <f t="shared" si="19"/>
        <v>12.400000000000091</v>
      </c>
      <c r="K195" s="8" t="b">
        <f t="shared" si="20"/>
        <v>1</v>
      </c>
    </row>
    <row r="196" spans="1:11">
      <c r="A196" s="5">
        <v>133</v>
      </c>
      <c r="B196" s="6">
        <v>45489</v>
      </c>
      <c r="C196" s="7">
        <v>1</v>
      </c>
      <c r="D196" s="5">
        <v>5.25</v>
      </c>
      <c r="E196" s="5">
        <v>1186.9000000000001</v>
      </c>
      <c r="F196" s="5">
        <v>1198.9000000000001</v>
      </c>
      <c r="G196" s="6">
        <v>45489</v>
      </c>
      <c r="H196" s="5"/>
      <c r="I196" s="5"/>
      <c r="J196" s="5">
        <f t="shared" si="19"/>
        <v>12</v>
      </c>
      <c r="K196" s="8" t="b">
        <f t="shared" si="20"/>
        <v>1</v>
      </c>
    </row>
    <row r="197" spans="1:11">
      <c r="A197" s="5">
        <v>133</v>
      </c>
      <c r="B197" s="6">
        <v>45490</v>
      </c>
      <c r="C197" s="7">
        <v>1</v>
      </c>
      <c r="D197" s="5">
        <v>5.25</v>
      </c>
      <c r="E197" s="5">
        <v>1198.9000000000001</v>
      </c>
      <c r="F197" s="5">
        <v>1210.3</v>
      </c>
      <c r="G197" s="6">
        <v>45490</v>
      </c>
      <c r="H197" s="5"/>
      <c r="I197" s="5"/>
      <c r="J197" s="5">
        <f t="shared" si="19"/>
        <v>11.399999999999864</v>
      </c>
      <c r="K197" s="8" t="b">
        <f t="shared" si="20"/>
        <v>1</v>
      </c>
    </row>
    <row r="198" spans="1:11">
      <c r="A198" s="5">
        <v>133</v>
      </c>
      <c r="B198" s="6">
        <v>45492</v>
      </c>
      <c r="C198" s="7">
        <v>1</v>
      </c>
      <c r="D198" s="5">
        <v>5.25</v>
      </c>
      <c r="E198" s="5">
        <v>1210.3</v>
      </c>
      <c r="F198" s="5">
        <v>1222.7</v>
      </c>
      <c r="G198" s="6">
        <v>45492</v>
      </c>
      <c r="H198" s="5"/>
      <c r="I198" s="5"/>
      <c r="J198" s="5">
        <f t="shared" ref="J198:J220" si="21">F198-E198</f>
        <v>12.400000000000091</v>
      </c>
      <c r="K198" s="8" t="b">
        <f t="shared" ref="K198:K220" si="22">E198=F197</f>
        <v>1</v>
      </c>
    </row>
    <row r="199" spans="1:11">
      <c r="A199" s="5">
        <v>133</v>
      </c>
      <c r="B199" s="6">
        <v>45493</v>
      </c>
      <c r="C199" s="7">
        <v>1</v>
      </c>
      <c r="D199" s="5">
        <v>5.25</v>
      </c>
      <c r="E199" s="5">
        <v>1222.7</v>
      </c>
      <c r="F199" s="5">
        <v>1235.0999999999999</v>
      </c>
      <c r="G199" s="6">
        <v>45493</v>
      </c>
      <c r="H199" s="5"/>
      <c r="I199" s="5"/>
      <c r="J199" s="5">
        <f t="shared" si="21"/>
        <v>12.399999999999864</v>
      </c>
      <c r="K199" s="8" t="b">
        <f t="shared" si="22"/>
        <v>1</v>
      </c>
    </row>
    <row r="200" spans="1:11">
      <c r="A200" s="5">
        <v>133</v>
      </c>
      <c r="B200" s="6">
        <v>45495</v>
      </c>
      <c r="C200" s="7">
        <v>0.6</v>
      </c>
      <c r="D200" s="5">
        <v>8.74</v>
      </c>
      <c r="E200" s="5">
        <v>1235.0999999999999</v>
      </c>
      <c r="F200" s="5">
        <v>1254.0999999999999</v>
      </c>
      <c r="G200" s="6">
        <v>45495</v>
      </c>
      <c r="H200" s="5"/>
      <c r="I200" s="5"/>
      <c r="J200" s="5">
        <f t="shared" si="21"/>
        <v>19</v>
      </c>
      <c r="K200" s="8" t="b">
        <f t="shared" si="22"/>
        <v>1</v>
      </c>
    </row>
    <row r="201" spans="1:11">
      <c r="A201" s="5">
        <v>133</v>
      </c>
      <c r="B201" s="6">
        <v>45497</v>
      </c>
      <c r="C201" s="7">
        <v>1</v>
      </c>
      <c r="D201" s="5">
        <v>5.25</v>
      </c>
      <c r="E201" s="5">
        <v>1254.0999999999999</v>
      </c>
      <c r="F201" s="5">
        <v>1266.2</v>
      </c>
      <c r="G201" s="6">
        <v>45497</v>
      </c>
      <c r="H201" s="5"/>
      <c r="I201" s="5"/>
      <c r="J201" s="5">
        <f t="shared" si="21"/>
        <v>12.100000000000136</v>
      </c>
      <c r="K201" s="8" t="b">
        <f t="shared" si="22"/>
        <v>1</v>
      </c>
    </row>
    <row r="202" spans="1:11">
      <c r="A202" s="5">
        <v>133</v>
      </c>
      <c r="B202" s="6">
        <v>45498</v>
      </c>
      <c r="C202" s="7">
        <v>1</v>
      </c>
      <c r="D202" s="5">
        <v>5.25</v>
      </c>
      <c r="E202" s="5">
        <v>1266.2</v>
      </c>
      <c r="F202" s="5">
        <v>1277.5</v>
      </c>
      <c r="G202" s="6">
        <v>45498</v>
      </c>
      <c r="H202" s="5"/>
      <c r="I202" s="5"/>
      <c r="J202" s="5">
        <f t="shared" si="21"/>
        <v>11.299999999999955</v>
      </c>
      <c r="K202" s="8" t="b">
        <f t="shared" si="22"/>
        <v>1</v>
      </c>
    </row>
    <row r="203" spans="1:11">
      <c r="A203" s="5">
        <v>133</v>
      </c>
      <c r="B203" s="6">
        <v>45500</v>
      </c>
      <c r="C203" s="7">
        <v>1</v>
      </c>
      <c r="D203" s="5">
        <v>10.5</v>
      </c>
      <c r="E203" s="5">
        <v>1277.5</v>
      </c>
      <c r="F203" s="5">
        <v>1305.5</v>
      </c>
      <c r="G203" s="6">
        <v>45500</v>
      </c>
      <c r="H203" s="5"/>
      <c r="I203" s="5"/>
      <c r="J203" s="5">
        <f t="shared" si="21"/>
        <v>28</v>
      </c>
      <c r="K203" s="8" t="b">
        <f t="shared" si="22"/>
        <v>1</v>
      </c>
    </row>
    <row r="204" spans="1:11">
      <c r="A204" s="5">
        <v>133</v>
      </c>
      <c r="B204" s="6">
        <v>45502</v>
      </c>
      <c r="C204" s="7">
        <v>1</v>
      </c>
      <c r="D204" s="5">
        <v>5.25</v>
      </c>
      <c r="E204" s="5">
        <v>1305.5</v>
      </c>
      <c r="F204" s="5">
        <v>1313</v>
      </c>
      <c r="G204" s="6">
        <v>45502</v>
      </c>
      <c r="H204" s="5"/>
      <c r="I204" s="5"/>
      <c r="J204" s="5">
        <f t="shared" si="21"/>
        <v>7.5</v>
      </c>
      <c r="K204" s="8" t="b">
        <f t="shared" si="22"/>
        <v>1</v>
      </c>
    </row>
    <row r="205" spans="1:11">
      <c r="A205" s="5">
        <v>133</v>
      </c>
      <c r="B205" s="6">
        <v>45503</v>
      </c>
      <c r="C205" s="7">
        <v>1</v>
      </c>
      <c r="D205" s="5">
        <v>5.25</v>
      </c>
      <c r="E205" s="5">
        <v>1313</v>
      </c>
      <c r="F205" s="5">
        <v>1324.6</v>
      </c>
      <c r="G205" s="6">
        <v>45503</v>
      </c>
      <c r="H205" s="5"/>
      <c r="I205" s="5"/>
      <c r="J205" s="5">
        <f t="shared" si="21"/>
        <v>11.599999999999909</v>
      </c>
      <c r="K205" s="8" t="b">
        <f t="shared" si="22"/>
        <v>1</v>
      </c>
    </row>
    <row r="206" spans="1:11">
      <c r="A206" s="5">
        <v>133</v>
      </c>
      <c r="B206" s="6">
        <v>45504</v>
      </c>
      <c r="C206" s="7">
        <v>1</v>
      </c>
      <c r="D206" s="5">
        <v>5.25</v>
      </c>
      <c r="E206" s="5">
        <v>1324.6</v>
      </c>
      <c r="F206" s="5">
        <v>1336.3</v>
      </c>
      <c r="G206" s="6">
        <v>45504</v>
      </c>
      <c r="H206" s="5"/>
      <c r="I206" s="5"/>
      <c r="J206" s="5">
        <f t="shared" si="21"/>
        <v>11.700000000000045</v>
      </c>
      <c r="K206" s="8" t="b">
        <f t="shared" si="22"/>
        <v>1</v>
      </c>
    </row>
    <row r="207" spans="1:11">
      <c r="A207" s="5">
        <v>133</v>
      </c>
      <c r="B207" s="6">
        <v>45505</v>
      </c>
      <c r="C207" s="7">
        <v>1</v>
      </c>
      <c r="D207" s="5">
        <v>6.58</v>
      </c>
      <c r="E207" s="5">
        <v>1336.3</v>
      </c>
      <c r="F207" s="5">
        <v>1348.1</v>
      </c>
      <c r="G207" s="6">
        <v>45505</v>
      </c>
      <c r="H207" s="5"/>
      <c r="I207" s="5"/>
      <c r="J207" s="5">
        <f t="shared" si="21"/>
        <v>11.799999999999955</v>
      </c>
      <c r="K207" s="8" t="b">
        <f t="shared" si="22"/>
        <v>1</v>
      </c>
    </row>
    <row r="208" spans="1:11">
      <c r="A208" s="5">
        <v>133</v>
      </c>
      <c r="B208" s="6">
        <v>45506</v>
      </c>
      <c r="C208" s="7">
        <v>1</v>
      </c>
      <c r="D208" s="5">
        <v>6.58</v>
      </c>
      <c r="E208" s="5">
        <v>1348.1</v>
      </c>
      <c r="F208" s="5">
        <v>1362.7</v>
      </c>
      <c r="G208" s="6">
        <v>45506</v>
      </c>
      <c r="H208" s="5"/>
      <c r="I208" s="5"/>
      <c r="J208" s="5">
        <f t="shared" si="21"/>
        <v>14.600000000000136</v>
      </c>
      <c r="K208" s="8" t="b">
        <f t="shared" si="22"/>
        <v>1</v>
      </c>
    </row>
    <row r="209" spans="1:11">
      <c r="A209" s="5">
        <v>133</v>
      </c>
      <c r="B209" s="6">
        <v>45507</v>
      </c>
      <c r="C209" s="7">
        <v>1</v>
      </c>
      <c r="D209" s="5">
        <v>6.58</v>
      </c>
      <c r="E209" s="5">
        <v>1362.7</v>
      </c>
      <c r="F209" s="5">
        <v>1374.5</v>
      </c>
      <c r="G209" s="6">
        <v>45507</v>
      </c>
      <c r="H209" s="5"/>
      <c r="I209" s="5"/>
      <c r="J209" s="5">
        <f t="shared" si="21"/>
        <v>11.799999999999955</v>
      </c>
      <c r="K209" s="8" t="b">
        <f t="shared" si="22"/>
        <v>1</v>
      </c>
    </row>
    <row r="210" spans="1:11">
      <c r="A210" s="5">
        <v>133</v>
      </c>
      <c r="B210" s="6">
        <v>45508</v>
      </c>
      <c r="C210" s="7">
        <v>1</v>
      </c>
      <c r="D210" s="5">
        <v>6.58</v>
      </c>
      <c r="E210" s="5">
        <v>1374.5</v>
      </c>
      <c r="F210" s="5">
        <v>1386.5</v>
      </c>
      <c r="G210" s="6">
        <v>45508</v>
      </c>
      <c r="H210" s="5"/>
      <c r="I210" s="5"/>
      <c r="J210" s="5">
        <f t="shared" si="21"/>
        <v>12</v>
      </c>
      <c r="K210" s="8" t="b">
        <f t="shared" si="22"/>
        <v>1</v>
      </c>
    </row>
    <row r="211" spans="1:11">
      <c r="A211" s="5">
        <v>133</v>
      </c>
      <c r="B211" s="6">
        <v>45509</v>
      </c>
      <c r="C211" s="7">
        <v>1</v>
      </c>
      <c r="D211" s="5">
        <v>6.58</v>
      </c>
      <c r="E211" s="5">
        <v>1386.5</v>
      </c>
      <c r="F211" s="5">
        <v>1397.5</v>
      </c>
      <c r="G211" s="6">
        <v>45509</v>
      </c>
      <c r="H211" s="5"/>
      <c r="I211" s="5"/>
      <c r="J211" s="5">
        <f t="shared" si="21"/>
        <v>11</v>
      </c>
      <c r="K211" s="8" t="b">
        <f t="shared" si="22"/>
        <v>1</v>
      </c>
    </row>
    <row r="212" spans="1:11">
      <c r="A212" s="5">
        <v>133</v>
      </c>
      <c r="B212" s="6">
        <v>45510</v>
      </c>
      <c r="C212" s="7">
        <v>1</v>
      </c>
      <c r="D212" s="5">
        <v>6.58</v>
      </c>
      <c r="E212" s="5">
        <v>1397.5</v>
      </c>
      <c r="F212" s="5">
        <v>1409.2</v>
      </c>
      <c r="G212" s="6">
        <v>45510</v>
      </c>
      <c r="H212" s="5"/>
      <c r="I212" s="5"/>
      <c r="J212" s="5">
        <f t="shared" si="21"/>
        <v>11.700000000000045</v>
      </c>
      <c r="K212" s="8" t="b">
        <f t="shared" si="22"/>
        <v>1</v>
      </c>
    </row>
    <row r="213" spans="1:11">
      <c r="A213" s="5">
        <v>133</v>
      </c>
      <c r="B213" s="6">
        <v>45511</v>
      </c>
      <c r="C213" s="7">
        <v>1</v>
      </c>
      <c r="D213" s="5">
        <v>6.58</v>
      </c>
      <c r="E213" s="5">
        <v>1409.2</v>
      </c>
      <c r="F213" s="5">
        <v>1420.9</v>
      </c>
      <c r="G213" s="6">
        <v>45511</v>
      </c>
      <c r="H213" s="5"/>
      <c r="I213" s="5"/>
      <c r="J213" s="5">
        <f t="shared" si="21"/>
        <v>11.700000000000045</v>
      </c>
      <c r="K213" s="8" t="b">
        <f t="shared" si="22"/>
        <v>1</v>
      </c>
    </row>
    <row r="214" spans="1:11">
      <c r="A214" s="5">
        <v>133</v>
      </c>
      <c r="B214" s="6">
        <v>45512</v>
      </c>
      <c r="C214" s="7">
        <v>1</v>
      </c>
      <c r="D214" s="5">
        <v>6.58</v>
      </c>
      <c r="E214" s="5">
        <v>1420.9</v>
      </c>
      <c r="F214" s="5">
        <v>1432.6</v>
      </c>
      <c r="G214" s="6">
        <v>45512</v>
      </c>
      <c r="H214" s="5"/>
      <c r="I214" s="5"/>
      <c r="J214" s="5">
        <f t="shared" si="21"/>
        <v>11.699999999999818</v>
      </c>
      <c r="K214" s="8" t="b">
        <f t="shared" si="22"/>
        <v>1</v>
      </c>
    </row>
    <row r="215" spans="1:11">
      <c r="A215" s="5">
        <v>133</v>
      </c>
      <c r="B215" s="6">
        <v>45515</v>
      </c>
      <c r="C215" s="7">
        <v>1</v>
      </c>
      <c r="D215" s="5">
        <v>6.58</v>
      </c>
      <c r="E215" s="5">
        <v>1432.6</v>
      </c>
      <c r="F215" s="5">
        <v>1444.7</v>
      </c>
      <c r="G215" s="6">
        <v>45515</v>
      </c>
      <c r="H215" s="5"/>
      <c r="I215" s="5"/>
      <c r="J215" s="5">
        <f t="shared" si="21"/>
        <v>12.100000000000136</v>
      </c>
      <c r="K215" s="8" t="b">
        <f t="shared" si="22"/>
        <v>1</v>
      </c>
    </row>
    <row r="216" spans="1:11">
      <c r="A216" s="5">
        <v>133</v>
      </c>
      <c r="B216" s="6">
        <v>45518</v>
      </c>
      <c r="C216" s="7">
        <v>1</v>
      </c>
      <c r="D216" s="5">
        <v>6.58</v>
      </c>
      <c r="E216" s="5">
        <v>1444.7</v>
      </c>
      <c r="F216" s="5">
        <v>1456.8</v>
      </c>
      <c r="G216" s="6">
        <v>45518</v>
      </c>
      <c r="H216" s="5"/>
      <c r="I216" s="5"/>
      <c r="J216" s="5">
        <f t="shared" si="21"/>
        <v>12.099999999999909</v>
      </c>
      <c r="K216" s="8" t="b">
        <f t="shared" si="22"/>
        <v>1</v>
      </c>
    </row>
    <row r="217" spans="1:11">
      <c r="A217" s="5">
        <v>133</v>
      </c>
      <c r="B217" s="6">
        <v>45519</v>
      </c>
      <c r="C217" s="7">
        <v>1</v>
      </c>
      <c r="D217" s="5">
        <v>6.58</v>
      </c>
      <c r="E217" s="5">
        <v>1456.8</v>
      </c>
      <c r="F217" s="5">
        <v>1468.5</v>
      </c>
      <c r="G217" s="6">
        <v>45519</v>
      </c>
      <c r="H217" s="5"/>
      <c r="I217" s="5"/>
      <c r="J217" s="5">
        <f t="shared" si="21"/>
        <v>11.700000000000045</v>
      </c>
      <c r="K217" s="8" t="b">
        <f t="shared" si="22"/>
        <v>1</v>
      </c>
    </row>
    <row r="218" spans="1:11">
      <c r="A218" s="5">
        <v>133</v>
      </c>
      <c r="B218" s="6">
        <v>45522</v>
      </c>
      <c r="C218" s="7">
        <v>1</v>
      </c>
      <c r="D218" s="5">
        <v>6.58</v>
      </c>
      <c r="E218" s="5">
        <v>1468.5</v>
      </c>
      <c r="F218" s="5">
        <v>1480.2</v>
      </c>
      <c r="G218" s="6">
        <v>45522</v>
      </c>
      <c r="H218" s="5"/>
      <c r="I218" s="5"/>
      <c r="J218" s="5">
        <f t="shared" si="21"/>
        <v>11.700000000000045</v>
      </c>
      <c r="K218" s="8" t="b">
        <f t="shared" si="22"/>
        <v>1</v>
      </c>
    </row>
    <row r="219" spans="1:11">
      <c r="A219" s="5">
        <v>133</v>
      </c>
      <c r="B219" s="6">
        <v>45524</v>
      </c>
      <c r="C219" s="7">
        <v>1</v>
      </c>
      <c r="D219" s="5">
        <v>6.58</v>
      </c>
      <c r="E219" s="5">
        <v>1480.2</v>
      </c>
      <c r="F219" s="5">
        <v>1492.5</v>
      </c>
      <c r="G219" s="6">
        <v>45524</v>
      </c>
      <c r="H219" s="5"/>
      <c r="I219" s="5"/>
      <c r="J219" s="5">
        <f t="shared" si="21"/>
        <v>12.299999999999955</v>
      </c>
      <c r="K219" s="8" t="b">
        <f t="shared" si="22"/>
        <v>1</v>
      </c>
    </row>
    <row r="220" spans="1:11">
      <c r="A220" s="5">
        <v>133</v>
      </c>
      <c r="B220" s="6"/>
      <c r="C220" s="7"/>
      <c r="D220" s="5"/>
      <c r="E220" s="5"/>
      <c r="F220" s="5"/>
      <c r="G220" s="6"/>
      <c r="H220" s="5"/>
      <c r="I220" s="5"/>
      <c r="J220" s="5">
        <f t="shared" si="21"/>
        <v>0</v>
      </c>
      <c r="K220" s="8" t="b">
        <f t="shared" si="22"/>
        <v>0</v>
      </c>
    </row>
    <row r="221" spans="1:11" ht="26.25">
      <c r="A221" s="231" t="s">
        <v>373</v>
      </c>
      <c r="B221" s="232"/>
      <c r="C221" s="232"/>
      <c r="D221" s="232"/>
      <c r="E221" s="232"/>
      <c r="F221" s="232"/>
      <c r="G221" s="232"/>
      <c r="H221" s="232"/>
      <c r="I221" s="232"/>
      <c r="J221" s="232"/>
      <c r="K221" s="233"/>
    </row>
    <row r="222" spans="1:11" ht="26.25">
      <c r="A222" s="234" t="s">
        <v>48</v>
      </c>
      <c r="B222" s="235"/>
      <c r="C222" s="235"/>
      <c r="D222" s="235"/>
      <c r="E222" s="235"/>
      <c r="F222" s="235"/>
      <c r="G222" s="235"/>
      <c r="H222" s="235"/>
      <c r="I222" s="235"/>
      <c r="J222" s="235"/>
      <c r="K222" s="236"/>
    </row>
    <row r="223" spans="1:11" ht="15.75" thickBot="1"/>
    <row r="224" spans="1:11" ht="15.75" thickBot="1">
      <c r="A224" s="132" t="s">
        <v>2</v>
      </c>
      <c r="B224" s="133"/>
      <c r="C224" s="133"/>
      <c r="D224" s="133"/>
      <c r="E224" s="133"/>
      <c r="F224" s="133"/>
      <c r="G224" s="133"/>
      <c r="H224" s="133"/>
      <c r="I224" s="133"/>
      <c r="J224" s="133"/>
      <c r="K224" s="134"/>
    </row>
    <row r="226" spans="1:11" ht="19.5" thickBot="1">
      <c r="A226" s="1" t="s">
        <v>3</v>
      </c>
      <c r="B226" s="1"/>
      <c r="C226" s="1"/>
      <c r="D226" s="1"/>
      <c r="E226" s="1"/>
      <c r="F226" s="1"/>
      <c r="G226" s="1"/>
      <c r="H226" s="1"/>
      <c r="I226" s="1"/>
    </row>
    <row r="227" spans="1:11" ht="30.75" thickBot="1">
      <c r="A227" s="2" t="s">
        <v>4</v>
      </c>
      <c r="B227" s="3" t="s">
        <v>5</v>
      </c>
      <c r="C227" s="3" t="s">
        <v>6</v>
      </c>
      <c r="D227" s="3" t="s">
        <v>7</v>
      </c>
      <c r="E227" s="3" t="s">
        <v>8</v>
      </c>
      <c r="F227" s="3" t="s">
        <v>9</v>
      </c>
      <c r="G227" s="3" t="s">
        <v>10</v>
      </c>
      <c r="H227" s="3" t="s">
        <v>21</v>
      </c>
      <c r="I227" s="4" t="s">
        <v>22</v>
      </c>
      <c r="J227" s="4" t="s">
        <v>11</v>
      </c>
      <c r="K227" s="4" t="s">
        <v>12</v>
      </c>
    </row>
    <row r="228" spans="1:11">
      <c r="A228" s="5">
        <v>133</v>
      </c>
      <c r="B228" s="6">
        <v>45574</v>
      </c>
      <c r="C228" s="7">
        <v>0.6</v>
      </c>
      <c r="D228" s="5">
        <v>8.58</v>
      </c>
      <c r="E228" s="5">
        <v>1492.9</v>
      </c>
      <c r="F228" s="5">
        <v>1513</v>
      </c>
      <c r="G228" s="6">
        <v>45574</v>
      </c>
      <c r="H228" s="5"/>
      <c r="I228" s="5"/>
      <c r="J228" s="5">
        <f t="shared" ref="J228:J229" si="23">F228-E228</f>
        <v>20.099999999999909</v>
      </c>
      <c r="K228" s="8" t="b">
        <f>E228=F227</f>
        <v>0</v>
      </c>
    </row>
    <row r="229" spans="1:11">
      <c r="A229" s="5">
        <v>133</v>
      </c>
      <c r="B229" s="6">
        <v>45576</v>
      </c>
      <c r="C229" s="7">
        <v>0.9</v>
      </c>
      <c r="D229" s="5">
        <v>5.72</v>
      </c>
      <c r="E229" s="5">
        <v>1513</v>
      </c>
      <c r="F229" s="5">
        <v>1526</v>
      </c>
      <c r="G229" s="6">
        <v>45576</v>
      </c>
      <c r="H229" s="5"/>
      <c r="I229" s="5"/>
      <c r="J229" s="5">
        <f t="shared" si="23"/>
        <v>13</v>
      </c>
      <c r="K229" s="8" t="b">
        <f>E229=F228</f>
        <v>1</v>
      </c>
    </row>
    <row r="230" spans="1:11">
      <c r="A230" s="5">
        <v>133</v>
      </c>
      <c r="B230" s="6">
        <v>45578</v>
      </c>
      <c r="C230" s="7">
        <v>1</v>
      </c>
      <c r="D230" s="5">
        <v>5.15</v>
      </c>
      <c r="E230" s="5">
        <v>1526</v>
      </c>
      <c r="F230" s="5">
        <v>1537.7</v>
      </c>
      <c r="G230" s="6">
        <v>45578</v>
      </c>
      <c r="H230" s="5"/>
      <c r="I230" s="5"/>
      <c r="J230" s="5">
        <f t="shared" ref="J230:J258" si="24">F230-E230</f>
        <v>11.700000000000045</v>
      </c>
      <c r="K230" s="8" t="b">
        <f>E230=F229</f>
        <v>1</v>
      </c>
    </row>
    <row r="231" spans="1:11">
      <c r="A231" s="5">
        <v>133</v>
      </c>
      <c r="B231" s="6">
        <v>45579</v>
      </c>
      <c r="C231" s="7">
        <v>1</v>
      </c>
      <c r="D231" s="5">
        <v>5.15</v>
      </c>
      <c r="E231" s="5">
        <v>1537.7</v>
      </c>
      <c r="F231" s="5">
        <v>1561</v>
      </c>
      <c r="G231" s="6">
        <v>45579</v>
      </c>
      <c r="H231" s="5"/>
      <c r="I231" s="5"/>
      <c r="J231" s="5">
        <f t="shared" si="24"/>
        <v>23.299999999999955</v>
      </c>
      <c r="K231" s="8" t="b">
        <f t="shared" ref="K231:K258" si="25">E231=F230</f>
        <v>1</v>
      </c>
    </row>
    <row r="232" spans="1:11">
      <c r="A232" s="5">
        <v>133</v>
      </c>
      <c r="B232" s="6">
        <v>45580</v>
      </c>
      <c r="C232" s="7">
        <v>1</v>
      </c>
      <c r="D232" s="5">
        <v>5.15</v>
      </c>
      <c r="E232" s="5">
        <v>1561</v>
      </c>
      <c r="F232" s="5">
        <v>1572.7</v>
      </c>
      <c r="G232" s="6">
        <v>45580</v>
      </c>
      <c r="H232" s="5"/>
      <c r="I232" s="5"/>
      <c r="J232" s="5">
        <f t="shared" si="24"/>
        <v>11.700000000000045</v>
      </c>
      <c r="K232" s="8" t="b">
        <f t="shared" si="25"/>
        <v>1</v>
      </c>
    </row>
    <row r="233" spans="1:11">
      <c r="A233" s="5">
        <v>133</v>
      </c>
      <c r="B233" s="6"/>
      <c r="C233" s="7"/>
      <c r="D233" s="5"/>
      <c r="E233" s="5"/>
      <c r="F233" s="5"/>
      <c r="G233" s="6"/>
      <c r="H233" s="5"/>
      <c r="I233" s="5"/>
      <c r="J233" s="5">
        <f t="shared" si="24"/>
        <v>0</v>
      </c>
      <c r="K233" s="8" t="b">
        <f t="shared" si="25"/>
        <v>0</v>
      </c>
    </row>
    <row r="234" spans="1:11">
      <c r="A234" s="5">
        <v>133</v>
      </c>
      <c r="B234" s="6"/>
      <c r="C234" s="7"/>
      <c r="D234" s="5"/>
      <c r="E234" s="5"/>
      <c r="F234" s="5"/>
      <c r="G234" s="6"/>
      <c r="H234" s="5"/>
      <c r="I234" s="5"/>
      <c r="J234" s="5">
        <f t="shared" si="24"/>
        <v>0</v>
      </c>
      <c r="K234" s="8" t="b">
        <f t="shared" si="25"/>
        <v>1</v>
      </c>
    </row>
    <row r="235" spans="1:11">
      <c r="A235" s="5">
        <v>133</v>
      </c>
      <c r="B235" s="6"/>
      <c r="C235" s="7"/>
      <c r="D235" s="5"/>
      <c r="E235" s="5"/>
      <c r="F235" s="5"/>
      <c r="G235" s="6"/>
      <c r="H235" s="5"/>
      <c r="I235" s="5"/>
      <c r="J235" s="5">
        <f t="shared" si="24"/>
        <v>0</v>
      </c>
      <c r="K235" s="8" t="b">
        <f t="shared" si="25"/>
        <v>1</v>
      </c>
    </row>
    <row r="236" spans="1:11">
      <c r="A236" s="5">
        <v>133</v>
      </c>
      <c r="B236" s="6"/>
      <c r="C236" s="7"/>
      <c r="D236" s="5"/>
      <c r="E236" s="5"/>
      <c r="F236" s="5"/>
      <c r="G236" s="6"/>
      <c r="H236" s="5"/>
      <c r="I236" s="5"/>
      <c r="J236" s="5">
        <f t="shared" si="24"/>
        <v>0</v>
      </c>
      <c r="K236" s="8" t="b">
        <f t="shared" si="25"/>
        <v>1</v>
      </c>
    </row>
    <row r="237" spans="1:11">
      <c r="A237" s="5">
        <v>133</v>
      </c>
      <c r="B237" s="6"/>
      <c r="C237" s="7"/>
      <c r="D237" s="5"/>
      <c r="E237" s="5"/>
      <c r="F237" s="5"/>
      <c r="G237" s="6"/>
      <c r="H237" s="5"/>
      <c r="I237" s="5"/>
      <c r="J237" s="5">
        <f t="shared" si="24"/>
        <v>0</v>
      </c>
      <c r="K237" s="8" t="b">
        <f t="shared" si="25"/>
        <v>1</v>
      </c>
    </row>
    <row r="238" spans="1:11">
      <c r="A238" s="5">
        <v>133</v>
      </c>
      <c r="B238" s="6"/>
      <c r="C238" s="7"/>
      <c r="D238" s="5"/>
      <c r="E238" s="5"/>
      <c r="F238" s="5"/>
      <c r="G238" s="6"/>
      <c r="H238" s="5"/>
      <c r="I238" s="5"/>
      <c r="J238" s="5">
        <f t="shared" si="24"/>
        <v>0</v>
      </c>
      <c r="K238" s="8" t="b">
        <f t="shared" si="25"/>
        <v>1</v>
      </c>
    </row>
    <row r="239" spans="1:11">
      <c r="A239" s="5">
        <v>133</v>
      </c>
      <c r="B239" s="6"/>
      <c r="C239" s="7"/>
      <c r="D239" s="5"/>
      <c r="E239" s="5"/>
      <c r="F239" s="5"/>
      <c r="G239" s="6"/>
      <c r="H239" s="5"/>
      <c r="I239" s="5"/>
      <c r="J239" s="5">
        <f t="shared" si="24"/>
        <v>0</v>
      </c>
      <c r="K239" s="8" t="b">
        <f t="shared" si="25"/>
        <v>1</v>
      </c>
    </row>
    <row r="240" spans="1:11">
      <c r="A240" s="5">
        <v>133</v>
      </c>
      <c r="B240" s="6"/>
      <c r="C240" s="7"/>
      <c r="D240" s="5"/>
      <c r="E240" s="5"/>
      <c r="F240" s="5"/>
      <c r="G240" s="6"/>
      <c r="H240" s="5"/>
      <c r="I240" s="5"/>
      <c r="J240" s="5">
        <f t="shared" si="24"/>
        <v>0</v>
      </c>
      <c r="K240" s="8" t="b">
        <f t="shared" si="25"/>
        <v>1</v>
      </c>
    </row>
    <row r="241" spans="1:11">
      <c r="A241" s="5">
        <v>133</v>
      </c>
      <c r="B241" s="6"/>
      <c r="C241" s="7"/>
      <c r="D241" s="5"/>
      <c r="E241" s="5"/>
      <c r="F241" s="5"/>
      <c r="G241" s="6"/>
      <c r="H241" s="5"/>
      <c r="I241" s="5"/>
      <c r="J241" s="5">
        <f t="shared" si="24"/>
        <v>0</v>
      </c>
      <c r="K241" s="8" t="b">
        <f t="shared" si="25"/>
        <v>1</v>
      </c>
    </row>
    <row r="242" spans="1:11">
      <c r="A242" s="5">
        <v>133</v>
      </c>
      <c r="B242" s="6"/>
      <c r="C242" s="7"/>
      <c r="D242" s="5"/>
      <c r="E242" s="5"/>
      <c r="F242" s="5"/>
      <c r="G242" s="6"/>
      <c r="H242" s="5"/>
      <c r="I242" s="5"/>
      <c r="J242" s="5">
        <f t="shared" si="24"/>
        <v>0</v>
      </c>
      <c r="K242" s="8" t="b">
        <f t="shared" si="25"/>
        <v>1</v>
      </c>
    </row>
    <row r="243" spans="1:11">
      <c r="A243" s="5">
        <v>133</v>
      </c>
      <c r="B243" s="6"/>
      <c r="C243" s="7"/>
      <c r="D243" s="5"/>
      <c r="E243" s="5"/>
      <c r="F243" s="5"/>
      <c r="G243" s="6"/>
      <c r="H243" s="5"/>
      <c r="I243" s="5"/>
      <c r="J243" s="5">
        <f t="shared" si="24"/>
        <v>0</v>
      </c>
      <c r="K243" s="8" t="b">
        <f t="shared" si="25"/>
        <v>1</v>
      </c>
    </row>
    <row r="244" spans="1:11">
      <c r="A244" s="5">
        <v>133</v>
      </c>
      <c r="B244" s="6"/>
      <c r="C244" s="7"/>
      <c r="D244" s="5"/>
      <c r="E244" s="5"/>
      <c r="F244" s="5"/>
      <c r="G244" s="6"/>
      <c r="H244" s="5"/>
      <c r="I244" s="5"/>
      <c r="J244" s="5">
        <f t="shared" si="24"/>
        <v>0</v>
      </c>
      <c r="K244" s="8" t="b">
        <f t="shared" si="25"/>
        <v>1</v>
      </c>
    </row>
    <row r="245" spans="1:11">
      <c r="A245" s="5">
        <v>133</v>
      </c>
      <c r="B245" s="6"/>
      <c r="C245" s="7"/>
      <c r="D245" s="5"/>
      <c r="E245" s="5"/>
      <c r="F245" s="5"/>
      <c r="G245" s="6"/>
      <c r="H245" s="5"/>
      <c r="I245" s="5"/>
      <c r="J245" s="5">
        <f t="shared" si="24"/>
        <v>0</v>
      </c>
      <c r="K245" s="8" t="b">
        <f t="shared" si="25"/>
        <v>1</v>
      </c>
    </row>
    <row r="246" spans="1:11">
      <c r="A246" s="5">
        <v>133</v>
      </c>
      <c r="B246" s="6"/>
      <c r="C246" s="7"/>
      <c r="D246" s="5"/>
      <c r="E246" s="5"/>
      <c r="F246" s="5"/>
      <c r="G246" s="6"/>
      <c r="H246" s="5"/>
      <c r="I246" s="5"/>
      <c r="J246" s="5">
        <f t="shared" si="24"/>
        <v>0</v>
      </c>
      <c r="K246" s="8" t="b">
        <f t="shared" si="25"/>
        <v>1</v>
      </c>
    </row>
    <row r="247" spans="1:11">
      <c r="A247" s="5">
        <v>133</v>
      </c>
      <c r="B247" s="6"/>
      <c r="C247" s="7"/>
      <c r="D247" s="5"/>
      <c r="E247" s="5"/>
      <c r="F247" s="5"/>
      <c r="G247" s="6"/>
      <c r="H247" s="5"/>
      <c r="I247" s="5"/>
      <c r="J247" s="5">
        <f t="shared" si="24"/>
        <v>0</v>
      </c>
      <c r="K247" s="8" t="b">
        <f t="shared" si="25"/>
        <v>1</v>
      </c>
    </row>
    <row r="248" spans="1:11">
      <c r="A248" s="5">
        <v>133</v>
      </c>
      <c r="B248" s="6"/>
      <c r="C248" s="7"/>
      <c r="D248" s="5"/>
      <c r="E248" s="5"/>
      <c r="F248" s="5"/>
      <c r="G248" s="6"/>
      <c r="H248" s="5"/>
      <c r="I248" s="5"/>
      <c r="J248" s="5">
        <f t="shared" si="24"/>
        <v>0</v>
      </c>
      <c r="K248" s="8" t="b">
        <f t="shared" si="25"/>
        <v>1</v>
      </c>
    </row>
    <row r="249" spans="1:11">
      <c r="A249" s="5">
        <v>133</v>
      </c>
      <c r="B249" s="6"/>
      <c r="C249" s="7"/>
      <c r="D249" s="5"/>
      <c r="E249" s="5"/>
      <c r="F249" s="5"/>
      <c r="G249" s="6"/>
      <c r="H249" s="5"/>
      <c r="I249" s="5"/>
      <c r="J249" s="5">
        <f t="shared" si="24"/>
        <v>0</v>
      </c>
      <c r="K249" s="8" t="b">
        <f t="shared" si="25"/>
        <v>1</v>
      </c>
    </row>
    <row r="250" spans="1:11">
      <c r="A250" s="5">
        <v>133</v>
      </c>
      <c r="B250" s="6"/>
      <c r="C250" s="7"/>
      <c r="D250" s="5"/>
      <c r="E250" s="5"/>
      <c r="F250" s="5"/>
      <c r="G250" s="6"/>
      <c r="H250" s="5"/>
      <c r="I250" s="5"/>
      <c r="J250" s="5">
        <f t="shared" si="24"/>
        <v>0</v>
      </c>
      <c r="K250" s="8" t="b">
        <f t="shared" si="25"/>
        <v>1</v>
      </c>
    </row>
    <row r="251" spans="1:11">
      <c r="A251" s="5">
        <v>133</v>
      </c>
      <c r="B251" s="6"/>
      <c r="C251" s="7"/>
      <c r="D251" s="5"/>
      <c r="E251" s="5"/>
      <c r="F251" s="5"/>
      <c r="G251" s="6"/>
      <c r="H251" s="5"/>
      <c r="I251" s="5"/>
      <c r="J251" s="5">
        <f t="shared" si="24"/>
        <v>0</v>
      </c>
      <c r="K251" s="8" t="b">
        <f t="shared" si="25"/>
        <v>1</v>
      </c>
    </row>
    <row r="252" spans="1:11">
      <c r="A252" s="5">
        <v>133</v>
      </c>
      <c r="B252" s="6"/>
      <c r="C252" s="7"/>
      <c r="D252" s="5"/>
      <c r="E252" s="5"/>
      <c r="F252" s="5"/>
      <c r="G252" s="6"/>
      <c r="H252" s="5"/>
      <c r="I252" s="5"/>
      <c r="J252" s="5">
        <f t="shared" si="24"/>
        <v>0</v>
      </c>
      <c r="K252" s="8" t="b">
        <f t="shared" si="25"/>
        <v>1</v>
      </c>
    </row>
    <row r="253" spans="1:11">
      <c r="A253" s="5">
        <v>133</v>
      </c>
      <c r="B253" s="6"/>
      <c r="C253" s="7"/>
      <c r="D253" s="5"/>
      <c r="E253" s="5"/>
      <c r="F253" s="5"/>
      <c r="G253" s="6"/>
      <c r="H253" s="5"/>
      <c r="I253" s="5"/>
      <c r="J253" s="5">
        <f t="shared" si="24"/>
        <v>0</v>
      </c>
      <c r="K253" s="8" t="b">
        <f t="shared" si="25"/>
        <v>1</v>
      </c>
    </row>
    <row r="254" spans="1:11">
      <c r="A254" s="5">
        <v>133</v>
      </c>
      <c r="B254" s="6"/>
      <c r="C254" s="7"/>
      <c r="D254" s="5"/>
      <c r="E254" s="5"/>
      <c r="F254" s="5"/>
      <c r="G254" s="6"/>
      <c r="H254" s="5"/>
      <c r="I254" s="5"/>
      <c r="J254" s="5">
        <f t="shared" si="24"/>
        <v>0</v>
      </c>
      <c r="K254" s="8" t="b">
        <f t="shared" si="25"/>
        <v>1</v>
      </c>
    </row>
    <row r="255" spans="1:11">
      <c r="A255" s="5">
        <v>133</v>
      </c>
      <c r="B255" s="6"/>
      <c r="C255" s="7"/>
      <c r="D255" s="5"/>
      <c r="E255" s="5"/>
      <c r="F255" s="5"/>
      <c r="G255" s="6"/>
      <c r="H255" s="5"/>
      <c r="I255" s="5"/>
      <c r="J255" s="5">
        <f t="shared" si="24"/>
        <v>0</v>
      </c>
      <c r="K255" s="8" t="b">
        <f t="shared" si="25"/>
        <v>1</v>
      </c>
    </row>
    <row r="256" spans="1:11">
      <c r="A256" s="5">
        <v>133</v>
      </c>
      <c r="B256" s="6"/>
      <c r="C256" s="7"/>
      <c r="D256" s="5"/>
      <c r="E256" s="5"/>
      <c r="F256" s="5"/>
      <c r="G256" s="6"/>
      <c r="H256" s="5"/>
      <c r="I256" s="5"/>
      <c r="J256" s="5">
        <f t="shared" si="24"/>
        <v>0</v>
      </c>
      <c r="K256" s="8" t="b">
        <f t="shared" si="25"/>
        <v>1</v>
      </c>
    </row>
    <row r="257" spans="1:11">
      <c r="A257" s="5">
        <v>133</v>
      </c>
      <c r="B257" s="6"/>
      <c r="C257" s="7"/>
      <c r="D257" s="5"/>
      <c r="E257" s="5"/>
      <c r="F257" s="5"/>
      <c r="G257" s="6"/>
      <c r="H257" s="5"/>
      <c r="I257" s="5"/>
      <c r="J257" s="5">
        <f t="shared" si="24"/>
        <v>0</v>
      </c>
      <c r="K257" s="8" t="b">
        <f t="shared" si="25"/>
        <v>1</v>
      </c>
    </row>
    <row r="258" spans="1:11">
      <c r="A258" s="5">
        <v>133</v>
      </c>
      <c r="B258" s="6"/>
      <c r="C258" s="7"/>
      <c r="D258" s="5"/>
      <c r="E258" s="5"/>
      <c r="F258" s="5"/>
      <c r="G258" s="6"/>
      <c r="H258" s="5"/>
      <c r="I258" s="5"/>
      <c r="J258" s="5">
        <f t="shared" si="24"/>
        <v>0</v>
      </c>
      <c r="K258" s="8" t="b">
        <f t="shared" si="25"/>
        <v>1</v>
      </c>
    </row>
  </sheetData>
  <autoFilter ref="A158:K220" xr:uid="{F47FEBF2-FA13-40A3-8FC4-39E17228C786}"/>
  <mergeCells count="15">
    <mergeCell ref="A102:K102"/>
    <mergeCell ref="A103:K103"/>
    <mergeCell ref="A105:K105"/>
    <mergeCell ref="A92:K92"/>
    <mergeCell ref="A1:K1"/>
    <mergeCell ref="A2:K2"/>
    <mergeCell ref="A4:K4"/>
    <mergeCell ref="A89:K89"/>
    <mergeCell ref="A90:K90"/>
    <mergeCell ref="A221:K221"/>
    <mergeCell ref="A222:K222"/>
    <mergeCell ref="A224:K224"/>
    <mergeCell ref="A152:K152"/>
    <mergeCell ref="A153:K153"/>
    <mergeCell ref="A155:K155"/>
  </mergeCells>
  <conditionalFormatting sqref="K1:K2 K4 K7:K87 K158:K220 K227:K258">
    <cfRule type="cellIs" dxfId="9" priority="9" operator="equal">
      <formula>TRUE</formula>
    </cfRule>
    <cfRule type="cellIs" dxfId="8" priority="10" operator="equal">
      <formula>FALSE</formula>
    </cfRule>
  </conditionalFormatting>
  <conditionalFormatting sqref="K89:K90 K92">
    <cfRule type="cellIs" dxfId="7" priority="7" operator="equal">
      <formula>TRUE</formula>
    </cfRule>
    <cfRule type="cellIs" dxfId="6" priority="8" operator="equal">
      <formula>FALSE</formula>
    </cfRule>
  </conditionalFormatting>
  <conditionalFormatting sqref="K95:K103 K105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K108:K153 K155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K221:K222 K224">
    <cfRule type="cellIs" dxfId="1" priority="1" operator="equal">
      <formula>TRUE</formula>
    </cfRule>
    <cfRule type="cellIs" dxfId="0" priority="2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0D83-D941-4044-A581-620C32EE6F10}">
  <sheetPr codeName="Planilha11"/>
  <dimension ref="A1:K146"/>
  <sheetViews>
    <sheetView topLeftCell="A127" workbookViewId="0">
      <selection activeCell="O156" sqref="O156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382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201</v>
      </c>
      <c r="B8" s="6">
        <v>43754</v>
      </c>
      <c r="C8" s="7">
        <v>0.9</v>
      </c>
      <c r="D8" s="5">
        <v>6.52</v>
      </c>
      <c r="E8" s="5">
        <v>78</v>
      </c>
      <c r="F8" s="5">
        <v>91.5</v>
      </c>
      <c r="G8" s="6">
        <v>43754</v>
      </c>
      <c r="H8" s="5" t="s">
        <v>56</v>
      </c>
      <c r="I8" s="5" t="s">
        <v>57</v>
      </c>
      <c r="J8" s="5">
        <f t="shared" ref="J8:J32" si="0">F8-E8</f>
        <v>13.5</v>
      </c>
      <c r="K8" s="8" t="b">
        <f t="shared" ref="K8:K15" si="1">F8=E9</f>
        <v>1</v>
      </c>
    </row>
    <row r="9" spans="1:11">
      <c r="A9" s="5">
        <v>201</v>
      </c>
      <c r="B9" s="6">
        <v>43760</v>
      </c>
      <c r="C9" s="7">
        <v>1</v>
      </c>
      <c r="D9" s="5">
        <v>5.87</v>
      </c>
      <c r="E9" s="5">
        <v>91.5</v>
      </c>
      <c r="F9" s="5">
        <v>100.6</v>
      </c>
      <c r="G9" s="6">
        <v>43760</v>
      </c>
      <c r="H9" s="5" t="s">
        <v>56</v>
      </c>
      <c r="I9" s="5" t="s">
        <v>57</v>
      </c>
      <c r="J9" s="5">
        <f t="shared" si="0"/>
        <v>9.0999999999999943</v>
      </c>
      <c r="K9" s="8" t="b">
        <f t="shared" si="1"/>
        <v>1</v>
      </c>
    </row>
    <row r="10" spans="1:11">
      <c r="A10" s="5">
        <v>201</v>
      </c>
      <c r="B10" s="6">
        <v>43765</v>
      </c>
      <c r="C10" s="7">
        <v>1</v>
      </c>
      <c r="D10" s="5">
        <v>5.87</v>
      </c>
      <c r="E10" s="5">
        <v>100.6</v>
      </c>
      <c r="F10" s="5">
        <v>112.3</v>
      </c>
      <c r="G10" s="6">
        <v>43765</v>
      </c>
      <c r="H10" s="5" t="s">
        <v>58</v>
      </c>
      <c r="I10" s="5" t="s">
        <v>57</v>
      </c>
      <c r="J10" s="5">
        <f t="shared" si="0"/>
        <v>11.700000000000003</v>
      </c>
      <c r="K10" s="8" t="b">
        <f t="shared" si="1"/>
        <v>1</v>
      </c>
    </row>
    <row r="11" spans="1:11">
      <c r="A11" s="5">
        <v>201</v>
      </c>
      <c r="B11" s="6">
        <v>43767</v>
      </c>
      <c r="C11" s="7">
        <v>0.8</v>
      </c>
      <c r="D11" s="5">
        <v>7.34</v>
      </c>
      <c r="E11" s="5">
        <v>112.3</v>
      </c>
      <c r="F11" s="5">
        <v>127.2</v>
      </c>
      <c r="G11" s="6">
        <v>43767</v>
      </c>
      <c r="H11" s="5" t="s">
        <v>56</v>
      </c>
      <c r="I11" s="5" t="s">
        <v>57</v>
      </c>
      <c r="J11" s="5">
        <f t="shared" si="0"/>
        <v>14.900000000000006</v>
      </c>
      <c r="K11" s="8" t="b">
        <f t="shared" si="1"/>
        <v>1</v>
      </c>
    </row>
    <row r="12" spans="1:11">
      <c r="A12" s="5">
        <v>201</v>
      </c>
      <c r="B12" s="6">
        <v>43769</v>
      </c>
      <c r="C12" s="7">
        <v>0.8</v>
      </c>
      <c r="D12" s="5">
        <v>7.34</v>
      </c>
      <c r="E12" s="5">
        <v>127.2</v>
      </c>
      <c r="F12" s="5">
        <v>143.9</v>
      </c>
      <c r="G12" s="6">
        <v>43769</v>
      </c>
      <c r="H12" s="5" t="s">
        <v>58</v>
      </c>
      <c r="I12" s="5" t="s">
        <v>57</v>
      </c>
      <c r="J12" s="5">
        <f t="shared" si="0"/>
        <v>16.700000000000003</v>
      </c>
      <c r="K12" s="8" t="b">
        <f t="shared" si="1"/>
        <v>1</v>
      </c>
    </row>
    <row r="13" spans="1:11">
      <c r="A13" s="5">
        <v>201</v>
      </c>
      <c r="B13" s="6">
        <v>43771</v>
      </c>
      <c r="C13" s="7">
        <v>0.8</v>
      </c>
      <c r="D13" s="5">
        <v>7.34</v>
      </c>
      <c r="E13" s="5">
        <v>143.9</v>
      </c>
      <c r="F13" s="5">
        <v>159.80000000000001</v>
      </c>
      <c r="G13" s="6">
        <v>43771</v>
      </c>
      <c r="H13" s="5" t="s">
        <v>58</v>
      </c>
      <c r="I13" s="5" t="s">
        <v>57</v>
      </c>
      <c r="J13" s="5">
        <f t="shared" si="0"/>
        <v>15.900000000000006</v>
      </c>
      <c r="K13" s="8" t="b">
        <f t="shared" si="1"/>
        <v>1</v>
      </c>
    </row>
    <row r="14" spans="1:11">
      <c r="A14" s="5">
        <v>201</v>
      </c>
      <c r="B14" s="6">
        <v>43773</v>
      </c>
      <c r="C14" s="7">
        <v>0.8</v>
      </c>
      <c r="D14" s="5">
        <v>7.34</v>
      </c>
      <c r="E14" s="5">
        <v>159.80000000000001</v>
      </c>
      <c r="F14" s="5">
        <v>175</v>
      </c>
      <c r="G14" s="6">
        <v>43773</v>
      </c>
      <c r="H14" s="5" t="s">
        <v>58</v>
      </c>
      <c r="I14" s="5" t="s">
        <v>57</v>
      </c>
      <c r="J14" s="5">
        <f t="shared" si="0"/>
        <v>15.199999999999989</v>
      </c>
      <c r="K14" s="8" t="b">
        <f t="shared" si="1"/>
        <v>1</v>
      </c>
    </row>
    <row r="15" spans="1:11">
      <c r="A15" s="5">
        <v>201</v>
      </c>
      <c r="B15" s="6">
        <v>43777</v>
      </c>
      <c r="C15" s="7">
        <v>0.8</v>
      </c>
      <c r="D15" s="5">
        <v>7.34</v>
      </c>
      <c r="E15" s="5">
        <v>175</v>
      </c>
      <c r="F15" s="5">
        <v>191.4</v>
      </c>
      <c r="G15" s="6">
        <v>43777</v>
      </c>
      <c r="H15" s="5" t="s">
        <v>59</v>
      </c>
      <c r="I15" s="5" t="s">
        <v>57</v>
      </c>
      <c r="J15" s="5">
        <f t="shared" si="0"/>
        <v>16.400000000000006</v>
      </c>
      <c r="K15" s="8" t="b">
        <f t="shared" si="1"/>
        <v>1</v>
      </c>
    </row>
    <row r="16" spans="1:11">
      <c r="A16" s="5">
        <v>201</v>
      </c>
      <c r="B16" s="6">
        <v>43778</v>
      </c>
      <c r="C16" s="7">
        <v>0.8</v>
      </c>
      <c r="D16" s="5">
        <v>7.34</v>
      </c>
      <c r="E16" s="5">
        <v>191.4</v>
      </c>
      <c r="F16" s="5">
        <v>206.6</v>
      </c>
      <c r="G16" s="6">
        <v>43778</v>
      </c>
      <c r="H16" s="5" t="s">
        <v>59</v>
      </c>
      <c r="I16" s="5" t="s">
        <v>57</v>
      </c>
      <c r="J16" s="5">
        <f t="shared" si="0"/>
        <v>15.199999999999989</v>
      </c>
      <c r="K16" s="8" t="b">
        <f t="shared" ref="K16:K21" si="2">F16=E17</f>
        <v>1</v>
      </c>
    </row>
    <row r="17" spans="1:11">
      <c r="A17" s="5">
        <v>201</v>
      </c>
      <c r="B17" s="6">
        <v>43779</v>
      </c>
      <c r="C17" s="7">
        <v>0.7</v>
      </c>
      <c r="D17" s="5">
        <v>8.39</v>
      </c>
      <c r="E17" s="5">
        <v>206.6</v>
      </c>
      <c r="F17" s="5">
        <v>223.5</v>
      </c>
      <c r="G17" s="6">
        <v>43779</v>
      </c>
      <c r="H17" s="5" t="s">
        <v>59</v>
      </c>
      <c r="I17" s="5" t="s">
        <v>57</v>
      </c>
      <c r="J17" s="5">
        <f t="shared" si="0"/>
        <v>16.900000000000006</v>
      </c>
      <c r="K17" s="8" t="b">
        <f t="shared" si="2"/>
        <v>1</v>
      </c>
    </row>
    <row r="18" spans="1:11">
      <c r="A18" s="5">
        <v>201</v>
      </c>
      <c r="B18" s="6">
        <v>43781</v>
      </c>
      <c r="C18" s="7">
        <v>1</v>
      </c>
      <c r="D18" s="5">
        <v>5.87</v>
      </c>
      <c r="E18" s="5">
        <v>223.5</v>
      </c>
      <c r="F18" s="5">
        <v>236.4</v>
      </c>
      <c r="G18" s="6">
        <v>43781</v>
      </c>
      <c r="H18" s="5" t="s">
        <v>60</v>
      </c>
      <c r="I18" s="5" t="s">
        <v>57</v>
      </c>
      <c r="J18" s="5">
        <f t="shared" si="0"/>
        <v>12.900000000000006</v>
      </c>
      <c r="K18" s="8" t="b">
        <f t="shared" si="2"/>
        <v>1</v>
      </c>
    </row>
    <row r="19" spans="1:11">
      <c r="A19" s="5">
        <v>201</v>
      </c>
      <c r="B19" s="6">
        <v>43784</v>
      </c>
      <c r="C19" s="7">
        <v>0.7</v>
      </c>
      <c r="D19" s="5">
        <v>8.39</v>
      </c>
      <c r="E19" s="5">
        <v>236.4</v>
      </c>
      <c r="F19" s="5">
        <v>255</v>
      </c>
      <c r="G19" s="6">
        <v>43784</v>
      </c>
      <c r="H19" s="5" t="s">
        <v>61</v>
      </c>
      <c r="I19" s="5" t="s">
        <v>57</v>
      </c>
      <c r="J19" s="5">
        <f t="shared" si="0"/>
        <v>18.599999999999994</v>
      </c>
      <c r="K19" s="8" t="b">
        <f t="shared" si="2"/>
        <v>1</v>
      </c>
    </row>
    <row r="20" spans="1:11">
      <c r="A20" s="5">
        <v>201</v>
      </c>
      <c r="B20" s="6">
        <v>43789</v>
      </c>
      <c r="C20" s="7">
        <v>0.8</v>
      </c>
      <c r="D20" s="5">
        <v>7.34</v>
      </c>
      <c r="E20" s="5">
        <v>255</v>
      </c>
      <c r="F20" s="5">
        <v>270</v>
      </c>
      <c r="G20" s="6">
        <v>43789</v>
      </c>
      <c r="H20" s="5" t="s">
        <v>60</v>
      </c>
      <c r="I20" s="5" t="s">
        <v>57</v>
      </c>
      <c r="J20" s="5">
        <f t="shared" si="0"/>
        <v>15</v>
      </c>
      <c r="K20" s="8" t="b">
        <f t="shared" si="2"/>
        <v>1</v>
      </c>
    </row>
    <row r="21" spans="1:11">
      <c r="A21" s="5">
        <v>201</v>
      </c>
      <c r="B21" s="6">
        <v>43791</v>
      </c>
      <c r="C21" s="7">
        <v>0.7</v>
      </c>
      <c r="D21" s="5">
        <v>8.39</v>
      </c>
      <c r="E21" s="5">
        <v>270</v>
      </c>
      <c r="F21" s="5">
        <v>286.10000000000002</v>
      </c>
      <c r="G21" s="6">
        <v>43791</v>
      </c>
      <c r="H21" s="5" t="s">
        <v>61</v>
      </c>
      <c r="I21" s="5" t="s">
        <v>57</v>
      </c>
      <c r="J21" s="5">
        <f t="shared" si="0"/>
        <v>16.100000000000023</v>
      </c>
      <c r="K21" s="8" t="b">
        <f t="shared" si="2"/>
        <v>1</v>
      </c>
    </row>
    <row r="22" spans="1:11">
      <c r="A22" s="5">
        <v>201</v>
      </c>
      <c r="B22" s="6">
        <v>43792</v>
      </c>
      <c r="C22" s="7">
        <v>0.8</v>
      </c>
      <c r="D22" s="5">
        <v>7.34</v>
      </c>
      <c r="E22" s="5">
        <v>286.10000000000002</v>
      </c>
      <c r="F22" s="5">
        <v>303.5</v>
      </c>
      <c r="G22" s="6">
        <v>43792</v>
      </c>
      <c r="H22" s="5" t="s">
        <v>59</v>
      </c>
      <c r="I22" s="5" t="s">
        <v>57</v>
      </c>
      <c r="J22" s="5">
        <f t="shared" si="0"/>
        <v>17.399999999999977</v>
      </c>
      <c r="K22" s="8" t="b">
        <f t="shared" ref="K22:K32" si="3">F22=E23</f>
        <v>1</v>
      </c>
    </row>
    <row r="23" spans="1:11">
      <c r="A23" s="5">
        <v>201</v>
      </c>
      <c r="B23" s="6">
        <v>43793</v>
      </c>
      <c r="C23" s="7">
        <v>0.7</v>
      </c>
      <c r="D23" s="5">
        <v>8.39</v>
      </c>
      <c r="E23" s="5">
        <v>303.5</v>
      </c>
      <c r="F23" s="5">
        <v>321.3</v>
      </c>
      <c r="G23" s="6">
        <v>43793</v>
      </c>
      <c r="H23" s="5" t="s">
        <v>61</v>
      </c>
      <c r="I23" s="5" t="s">
        <v>57</v>
      </c>
      <c r="J23" s="5">
        <f t="shared" si="0"/>
        <v>17.800000000000011</v>
      </c>
      <c r="K23" s="8" t="b">
        <f t="shared" si="3"/>
        <v>1</v>
      </c>
    </row>
    <row r="24" spans="1:11">
      <c r="A24" s="5">
        <v>201</v>
      </c>
      <c r="B24" s="6">
        <v>43797</v>
      </c>
      <c r="C24" s="7">
        <v>0.8</v>
      </c>
      <c r="D24" s="5">
        <v>7.34</v>
      </c>
      <c r="E24" s="5">
        <v>321.3</v>
      </c>
      <c r="F24" s="5">
        <v>335</v>
      </c>
      <c r="G24" s="6">
        <v>43797</v>
      </c>
      <c r="H24" s="5" t="s">
        <v>59</v>
      </c>
      <c r="I24" s="5" t="s">
        <v>57</v>
      </c>
      <c r="J24" s="5">
        <f t="shared" si="0"/>
        <v>13.699999999999989</v>
      </c>
      <c r="K24" s="8" t="b">
        <f t="shared" si="3"/>
        <v>1</v>
      </c>
    </row>
    <row r="25" spans="1:11">
      <c r="A25" s="5">
        <v>201</v>
      </c>
      <c r="B25" s="6">
        <v>43800</v>
      </c>
      <c r="C25" s="7">
        <v>1</v>
      </c>
      <c r="D25" s="5">
        <v>5.87</v>
      </c>
      <c r="E25" s="5">
        <v>335</v>
      </c>
      <c r="F25" s="5">
        <v>350.5</v>
      </c>
      <c r="G25" s="6">
        <v>43800</v>
      </c>
      <c r="H25" s="5" t="s">
        <v>59</v>
      </c>
      <c r="I25" s="5" t="s">
        <v>57</v>
      </c>
      <c r="J25" s="5">
        <f t="shared" si="0"/>
        <v>15.5</v>
      </c>
      <c r="K25" s="8" t="b">
        <f t="shared" si="3"/>
        <v>1</v>
      </c>
    </row>
    <row r="26" spans="1:11">
      <c r="A26" s="5">
        <v>201</v>
      </c>
      <c r="B26" s="6">
        <v>43802</v>
      </c>
      <c r="C26" s="7">
        <v>1</v>
      </c>
      <c r="D26" s="5">
        <v>5.87</v>
      </c>
      <c r="E26" s="5">
        <v>350.5</v>
      </c>
      <c r="F26" s="5">
        <v>354.2</v>
      </c>
      <c r="G26" s="6">
        <v>43802</v>
      </c>
      <c r="H26" s="5" t="s">
        <v>59</v>
      </c>
      <c r="I26" s="5" t="s">
        <v>57</v>
      </c>
      <c r="J26" s="5">
        <f t="shared" si="0"/>
        <v>3.6999999999999886</v>
      </c>
      <c r="K26" s="8" t="b">
        <f t="shared" si="3"/>
        <v>1</v>
      </c>
    </row>
    <row r="27" spans="1:11">
      <c r="A27" s="5">
        <v>201</v>
      </c>
      <c r="B27" s="6">
        <v>43805</v>
      </c>
      <c r="C27" s="7">
        <v>0.7</v>
      </c>
      <c r="D27" s="5">
        <v>8.39</v>
      </c>
      <c r="E27" s="5">
        <v>354.2</v>
      </c>
      <c r="F27" s="5">
        <v>366.8</v>
      </c>
      <c r="G27" s="6">
        <v>43805</v>
      </c>
      <c r="H27" s="5" t="s">
        <v>59</v>
      </c>
      <c r="I27" s="5" t="s">
        <v>57</v>
      </c>
      <c r="J27" s="5">
        <f t="shared" si="0"/>
        <v>12.600000000000023</v>
      </c>
      <c r="K27" s="8" t="b">
        <f t="shared" si="3"/>
        <v>1</v>
      </c>
    </row>
    <row r="28" spans="1:11">
      <c r="A28" s="5">
        <v>201</v>
      </c>
      <c r="B28" s="6">
        <v>43809</v>
      </c>
      <c r="C28" s="7">
        <v>0.7</v>
      </c>
      <c r="D28" s="5">
        <v>8.39</v>
      </c>
      <c r="E28" s="5">
        <v>366.8</v>
      </c>
      <c r="F28" s="5">
        <v>385.7</v>
      </c>
      <c r="G28" s="6">
        <v>43809</v>
      </c>
      <c r="H28" s="5" t="s">
        <v>62</v>
      </c>
      <c r="I28" s="5" t="s">
        <v>57</v>
      </c>
      <c r="J28" s="5">
        <f t="shared" si="0"/>
        <v>18.899999999999977</v>
      </c>
      <c r="K28" s="8" t="b">
        <f t="shared" si="3"/>
        <v>1</v>
      </c>
    </row>
    <row r="29" spans="1:11">
      <c r="A29" s="5">
        <v>201</v>
      </c>
      <c r="B29" s="6">
        <v>43811</v>
      </c>
      <c r="C29" s="7">
        <v>0.7</v>
      </c>
      <c r="D29" s="5">
        <v>8.39</v>
      </c>
      <c r="E29" s="5">
        <v>385.7</v>
      </c>
      <c r="F29" s="5">
        <v>399.6</v>
      </c>
      <c r="G29" s="6">
        <v>43811</v>
      </c>
      <c r="H29" s="5" t="s">
        <v>62</v>
      </c>
      <c r="I29" s="5" t="s">
        <v>57</v>
      </c>
      <c r="J29" s="5">
        <f t="shared" si="0"/>
        <v>13.900000000000034</v>
      </c>
      <c r="K29" s="8" t="b">
        <f t="shared" si="3"/>
        <v>1</v>
      </c>
    </row>
    <row r="30" spans="1:11">
      <c r="A30" s="5">
        <v>201</v>
      </c>
      <c r="B30" s="6">
        <v>43813</v>
      </c>
      <c r="C30" s="7">
        <v>0.8</v>
      </c>
      <c r="D30" s="5">
        <v>7.34</v>
      </c>
      <c r="E30" s="5">
        <v>399.6</v>
      </c>
      <c r="F30" s="5">
        <v>419.8</v>
      </c>
      <c r="G30" s="6">
        <v>43813</v>
      </c>
      <c r="H30" s="5"/>
      <c r="I30" s="5"/>
      <c r="J30" s="5">
        <f t="shared" si="0"/>
        <v>20.199999999999989</v>
      </c>
      <c r="K30" s="8" t="b">
        <f t="shared" si="3"/>
        <v>1</v>
      </c>
    </row>
    <row r="31" spans="1:11">
      <c r="A31" s="5">
        <v>201</v>
      </c>
      <c r="B31" s="6">
        <v>43815</v>
      </c>
      <c r="C31" s="7">
        <v>0.6</v>
      </c>
      <c r="D31" s="5">
        <v>9.7799999999999994</v>
      </c>
      <c r="E31" s="5">
        <v>419.8</v>
      </c>
      <c r="F31" s="5">
        <v>438.2</v>
      </c>
      <c r="G31" s="6">
        <v>43815</v>
      </c>
      <c r="H31" s="5"/>
      <c r="I31" s="5"/>
      <c r="J31" s="5">
        <f t="shared" si="0"/>
        <v>18.399999999999977</v>
      </c>
      <c r="K31" s="8" t="b">
        <f t="shared" si="3"/>
        <v>1</v>
      </c>
    </row>
    <row r="32" spans="1:11">
      <c r="A32" s="5">
        <v>201</v>
      </c>
      <c r="B32" s="6">
        <v>43817</v>
      </c>
      <c r="C32" s="7">
        <v>0.7</v>
      </c>
      <c r="D32" s="5">
        <v>8.39</v>
      </c>
      <c r="E32" s="5">
        <v>438.2</v>
      </c>
      <c r="F32" s="5">
        <v>452.7</v>
      </c>
      <c r="G32" s="6">
        <v>43817</v>
      </c>
      <c r="H32" s="5"/>
      <c r="I32" s="5"/>
      <c r="J32" s="5">
        <f t="shared" si="0"/>
        <v>14.5</v>
      </c>
      <c r="K32" s="8" t="b">
        <f t="shared" si="3"/>
        <v>1</v>
      </c>
    </row>
    <row r="33" spans="1:11">
      <c r="A33" s="5">
        <v>201</v>
      </c>
      <c r="B33" s="6">
        <v>43818</v>
      </c>
      <c r="C33" s="7">
        <v>0.8</v>
      </c>
      <c r="D33" s="5">
        <v>7.34</v>
      </c>
      <c r="E33" s="5">
        <v>452.7</v>
      </c>
      <c r="F33" s="5">
        <v>467.3</v>
      </c>
      <c r="G33" s="6">
        <v>43818</v>
      </c>
      <c r="H33" s="5"/>
      <c r="I33" s="5"/>
      <c r="J33" s="5">
        <f t="shared" ref="J33:J38" si="4">F33-E33</f>
        <v>14.600000000000023</v>
      </c>
      <c r="K33" s="8" t="b">
        <f t="shared" ref="K33:K43" si="5">F33=E34</f>
        <v>1</v>
      </c>
    </row>
    <row r="34" spans="1:11">
      <c r="A34" s="5">
        <v>201</v>
      </c>
      <c r="B34" s="6">
        <v>43819</v>
      </c>
      <c r="C34" s="7">
        <v>0.8</v>
      </c>
      <c r="D34" s="5">
        <v>7.34</v>
      </c>
      <c r="E34" s="5">
        <v>467.3</v>
      </c>
      <c r="F34" s="5">
        <v>485.6</v>
      </c>
      <c r="G34" s="6">
        <v>43819</v>
      </c>
      <c r="H34" s="5"/>
      <c r="I34" s="5"/>
      <c r="J34" s="5">
        <f t="shared" si="4"/>
        <v>18.300000000000011</v>
      </c>
      <c r="K34" s="8" t="b">
        <f t="shared" si="5"/>
        <v>1</v>
      </c>
    </row>
    <row r="35" spans="1:11">
      <c r="A35" s="5">
        <v>201</v>
      </c>
      <c r="B35" s="6">
        <v>43820</v>
      </c>
      <c r="C35" s="7">
        <v>0.8</v>
      </c>
      <c r="D35" s="5">
        <v>7.34</v>
      </c>
      <c r="E35" s="5">
        <v>485.6</v>
      </c>
      <c r="F35" s="5">
        <v>498</v>
      </c>
      <c r="G35" s="6">
        <v>43820</v>
      </c>
      <c r="H35" s="5"/>
      <c r="I35" s="5"/>
      <c r="J35" s="5">
        <f t="shared" si="4"/>
        <v>12.399999999999977</v>
      </c>
      <c r="K35" s="8" t="b">
        <f t="shared" si="5"/>
        <v>1</v>
      </c>
    </row>
    <row r="36" spans="1:11">
      <c r="A36" s="5">
        <v>201</v>
      </c>
      <c r="B36" s="6">
        <v>43823</v>
      </c>
      <c r="C36" s="7">
        <v>0.8</v>
      </c>
      <c r="D36" s="5">
        <v>7.34</v>
      </c>
      <c r="E36" s="5">
        <v>498</v>
      </c>
      <c r="F36" s="5">
        <v>513</v>
      </c>
      <c r="G36" s="6">
        <v>43823</v>
      </c>
      <c r="H36" s="5"/>
      <c r="I36" s="5"/>
      <c r="J36" s="5">
        <f t="shared" si="4"/>
        <v>15</v>
      </c>
      <c r="K36" s="8" t="b">
        <f t="shared" si="5"/>
        <v>1</v>
      </c>
    </row>
    <row r="37" spans="1:11">
      <c r="A37" s="5">
        <v>201</v>
      </c>
      <c r="B37" s="6">
        <v>43825</v>
      </c>
      <c r="C37" s="7">
        <v>0.8</v>
      </c>
      <c r="D37" s="5">
        <v>7.34</v>
      </c>
      <c r="E37" s="5">
        <v>513</v>
      </c>
      <c r="F37" s="5">
        <v>515</v>
      </c>
      <c r="G37" s="6">
        <v>43825</v>
      </c>
      <c r="H37" s="5"/>
      <c r="I37" s="5"/>
      <c r="J37" s="5">
        <f t="shared" si="4"/>
        <v>2</v>
      </c>
      <c r="K37" s="8" t="b">
        <f t="shared" si="5"/>
        <v>1</v>
      </c>
    </row>
    <row r="38" spans="1:11">
      <c r="A38" s="5">
        <v>201</v>
      </c>
      <c r="B38" s="6">
        <v>43827</v>
      </c>
      <c r="C38" s="7">
        <v>0.8</v>
      </c>
      <c r="D38" s="5">
        <v>7.34</v>
      </c>
      <c r="E38" s="5">
        <v>515</v>
      </c>
      <c r="F38" s="5">
        <v>533.4</v>
      </c>
      <c r="G38" s="6">
        <v>43827</v>
      </c>
      <c r="H38" s="5"/>
      <c r="I38" s="5"/>
      <c r="J38" s="5">
        <f t="shared" si="4"/>
        <v>18.399999999999977</v>
      </c>
      <c r="K38" s="8" t="b">
        <f t="shared" si="5"/>
        <v>1</v>
      </c>
    </row>
    <row r="39" spans="1:11">
      <c r="A39" s="5">
        <v>201</v>
      </c>
      <c r="B39" s="6">
        <v>43828</v>
      </c>
      <c r="C39" s="7">
        <v>1</v>
      </c>
      <c r="D39" s="5">
        <v>5.87</v>
      </c>
      <c r="E39" s="5">
        <v>533.4</v>
      </c>
      <c r="F39" s="5">
        <v>546.6</v>
      </c>
      <c r="G39" s="6">
        <v>43828</v>
      </c>
      <c r="H39" s="5"/>
      <c r="I39" s="5"/>
      <c r="J39" s="5">
        <f t="shared" ref="J39:J45" si="6">F39-E39</f>
        <v>13.200000000000045</v>
      </c>
      <c r="K39" s="8" t="b">
        <f t="shared" si="5"/>
        <v>1</v>
      </c>
    </row>
    <row r="40" spans="1:11">
      <c r="A40" s="5">
        <v>201</v>
      </c>
      <c r="B40" s="6">
        <v>43829</v>
      </c>
      <c r="C40" s="7">
        <v>0.8</v>
      </c>
      <c r="D40" s="5">
        <v>7.34</v>
      </c>
      <c r="E40" s="5">
        <v>546.6</v>
      </c>
      <c r="F40" s="5">
        <v>560.1</v>
      </c>
      <c r="G40" s="6">
        <v>43829</v>
      </c>
      <c r="H40" s="5"/>
      <c r="I40" s="5"/>
      <c r="J40" s="5">
        <f t="shared" si="6"/>
        <v>13.5</v>
      </c>
      <c r="K40" s="8" t="b">
        <f t="shared" si="5"/>
        <v>1</v>
      </c>
    </row>
    <row r="41" spans="1:11">
      <c r="A41" s="5">
        <v>201</v>
      </c>
      <c r="B41" s="6">
        <v>43830</v>
      </c>
      <c r="C41" s="7">
        <v>0.8</v>
      </c>
      <c r="D41" s="5">
        <v>7.34</v>
      </c>
      <c r="E41" s="5">
        <v>560.1</v>
      </c>
      <c r="F41" s="5">
        <v>587.6</v>
      </c>
      <c r="G41" s="6">
        <v>43830</v>
      </c>
      <c r="H41" s="5"/>
      <c r="I41" s="5"/>
      <c r="J41" s="5">
        <f t="shared" si="6"/>
        <v>27.5</v>
      </c>
      <c r="K41" s="8" t="b">
        <f t="shared" si="5"/>
        <v>1</v>
      </c>
    </row>
    <row r="42" spans="1:11">
      <c r="A42" s="5">
        <v>201</v>
      </c>
      <c r="B42" s="6">
        <v>43831</v>
      </c>
      <c r="C42" s="7">
        <v>0.8</v>
      </c>
      <c r="D42" s="5">
        <v>7.34</v>
      </c>
      <c r="E42" s="5">
        <v>587.6</v>
      </c>
      <c r="F42" s="5">
        <v>605.1</v>
      </c>
      <c r="G42" s="6">
        <v>43832</v>
      </c>
      <c r="H42" s="5"/>
      <c r="I42" s="5"/>
      <c r="J42" s="5">
        <f t="shared" si="6"/>
        <v>17.5</v>
      </c>
      <c r="K42" s="8" t="b">
        <f t="shared" si="5"/>
        <v>1</v>
      </c>
    </row>
    <row r="43" spans="1:11">
      <c r="A43" s="5">
        <v>201</v>
      </c>
      <c r="B43" s="6">
        <v>43842</v>
      </c>
      <c r="C43" s="7">
        <v>1</v>
      </c>
      <c r="D43" s="5">
        <v>5.87</v>
      </c>
      <c r="E43" s="5">
        <v>605.1</v>
      </c>
      <c r="F43" s="5">
        <v>617.20000000000005</v>
      </c>
      <c r="G43" s="6">
        <v>43833</v>
      </c>
      <c r="H43" s="5"/>
      <c r="I43" s="5"/>
      <c r="J43" s="5">
        <f t="shared" si="6"/>
        <v>12.100000000000023</v>
      </c>
      <c r="K43" s="8" t="b">
        <f t="shared" si="5"/>
        <v>1</v>
      </c>
    </row>
    <row r="44" spans="1:11">
      <c r="A44" s="5">
        <v>201</v>
      </c>
      <c r="B44" s="6">
        <v>43843</v>
      </c>
      <c r="C44" s="7">
        <v>0.8</v>
      </c>
      <c r="D44" s="5">
        <v>7.34</v>
      </c>
      <c r="E44" s="5">
        <v>617.20000000000005</v>
      </c>
      <c r="F44" s="5">
        <v>632</v>
      </c>
      <c r="G44" s="6">
        <v>43478</v>
      </c>
      <c r="H44" s="5"/>
      <c r="I44" s="5"/>
      <c r="J44" s="5">
        <f t="shared" si="6"/>
        <v>14.799999999999955</v>
      </c>
      <c r="K44" s="8" t="b">
        <f t="shared" ref="K44:K50" si="7">F44=E45</f>
        <v>1</v>
      </c>
    </row>
    <row r="45" spans="1:11">
      <c r="A45" s="5">
        <v>201</v>
      </c>
      <c r="B45" s="6">
        <v>43844</v>
      </c>
      <c r="C45" s="7">
        <v>0.8</v>
      </c>
      <c r="D45" s="5">
        <v>7.34</v>
      </c>
      <c r="E45" s="5">
        <v>632</v>
      </c>
      <c r="F45" s="5">
        <v>646.1</v>
      </c>
      <c r="G45" s="6">
        <v>43479</v>
      </c>
      <c r="H45" s="5"/>
      <c r="I45" s="5"/>
      <c r="J45" s="5">
        <f t="shared" si="6"/>
        <v>14.100000000000023</v>
      </c>
      <c r="K45" s="8" t="b">
        <f t="shared" si="7"/>
        <v>1</v>
      </c>
    </row>
    <row r="46" spans="1:11">
      <c r="A46" s="5">
        <v>201</v>
      </c>
      <c r="B46" s="6">
        <v>43845</v>
      </c>
      <c r="C46" s="7">
        <v>0.8</v>
      </c>
      <c r="D46" s="5">
        <v>7.34</v>
      </c>
      <c r="E46" s="5">
        <v>646.1</v>
      </c>
      <c r="F46" s="5">
        <v>661</v>
      </c>
      <c r="G46" s="6">
        <v>43480</v>
      </c>
      <c r="H46" s="5"/>
      <c r="I46" s="5"/>
      <c r="J46" s="5">
        <f t="shared" ref="J46:J51" si="8">F46-E46</f>
        <v>14.899999999999977</v>
      </c>
      <c r="K46" s="8" t="b">
        <f t="shared" si="7"/>
        <v>0</v>
      </c>
    </row>
    <row r="47" spans="1:11">
      <c r="A47" s="5">
        <v>201</v>
      </c>
      <c r="B47" s="6">
        <v>43846</v>
      </c>
      <c r="C47" s="7">
        <v>0.8</v>
      </c>
      <c r="D47" s="5">
        <v>7.34</v>
      </c>
      <c r="E47" s="5">
        <v>0</v>
      </c>
      <c r="F47" s="5">
        <v>24.1</v>
      </c>
      <c r="G47" s="6">
        <v>43846</v>
      </c>
      <c r="H47" s="5"/>
      <c r="I47" s="5"/>
      <c r="J47" s="5">
        <f t="shared" si="8"/>
        <v>24.1</v>
      </c>
      <c r="K47" s="8" t="b">
        <f t="shared" si="7"/>
        <v>1</v>
      </c>
    </row>
    <row r="48" spans="1:11">
      <c r="A48" s="5">
        <v>201</v>
      </c>
      <c r="B48" s="6">
        <v>43847</v>
      </c>
      <c r="C48" s="7">
        <v>0.8</v>
      </c>
      <c r="D48" s="5">
        <v>7.34</v>
      </c>
      <c r="E48" s="5">
        <v>24.1</v>
      </c>
      <c r="F48" s="5">
        <v>37</v>
      </c>
      <c r="G48" s="6">
        <v>43837</v>
      </c>
      <c r="H48" s="5"/>
      <c r="I48" s="5"/>
      <c r="J48" s="5">
        <f t="shared" si="8"/>
        <v>12.899999999999999</v>
      </c>
      <c r="K48" s="8" t="b">
        <f t="shared" si="7"/>
        <v>1</v>
      </c>
    </row>
    <row r="49" spans="1:11">
      <c r="A49" s="5">
        <v>201</v>
      </c>
      <c r="B49" s="6">
        <v>43848</v>
      </c>
      <c r="C49" s="7">
        <v>0.8</v>
      </c>
      <c r="D49" s="5">
        <v>7.34</v>
      </c>
      <c r="E49" s="5">
        <v>37</v>
      </c>
      <c r="F49" s="5">
        <v>41</v>
      </c>
      <c r="G49" s="6">
        <v>43848</v>
      </c>
      <c r="H49" s="5"/>
      <c r="I49" s="5"/>
      <c r="J49" s="5">
        <f t="shared" si="8"/>
        <v>4</v>
      </c>
      <c r="K49" s="8" t="b">
        <f t="shared" si="7"/>
        <v>1</v>
      </c>
    </row>
    <row r="50" spans="1:11">
      <c r="A50" s="5">
        <v>201</v>
      </c>
      <c r="B50" s="6">
        <v>43850</v>
      </c>
      <c r="C50" s="7">
        <v>0.8</v>
      </c>
      <c r="D50" s="5">
        <v>7.34</v>
      </c>
      <c r="E50" s="5">
        <v>41</v>
      </c>
      <c r="F50" s="5">
        <v>55.5</v>
      </c>
      <c r="G50" s="6">
        <v>43850</v>
      </c>
      <c r="H50" s="5"/>
      <c r="I50" s="5"/>
      <c r="J50" s="5">
        <f t="shared" si="8"/>
        <v>14.5</v>
      </c>
      <c r="K50" s="8" t="b">
        <f t="shared" si="7"/>
        <v>1</v>
      </c>
    </row>
    <row r="51" spans="1:11">
      <c r="A51" s="5">
        <v>201</v>
      </c>
      <c r="B51" s="6">
        <v>43851</v>
      </c>
      <c r="C51" s="7">
        <v>0.8</v>
      </c>
      <c r="D51" s="5">
        <v>7.34</v>
      </c>
      <c r="E51" s="5">
        <v>55.5</v>
      </c>
      <c r="F51" s="5">
        <v>67.7</v>
      </c>
      <c r="G51" s="6">
        <v>43851</v>
      </c>
      <c r="H51" s="5"/>
      <c r="I51" s="5"/>
      <c r="J51" s="5">
        <f t="shared" si="8"/>
        <v>12.200000000000003</v>
      </c>
      <c r="K51" s="8" t="b">
        <f>F51=E55</f>
        <v>0</v>
      </c>
    </row>
    <row r="52" spans="1:11">
      <c r="A52" s="5"/>
      <c r="B52" s="6"/>
      <c r="C52" s="7"/>
      <c r="D52" s="5"/>
      <c r="E52" s="5"/>
      <c r="F52" s="5"/>
      <c r="G52" s="6"/>
      <c r="H52" s="5"/>
      <c r="I52" s="5"/>
      <c r="J52" s="5"/>
      <c r="K52" s="8"/>
    </row>
    <row r="53" spans="1:11" ht="26.25">
      <c r="A53" s="144" t="s">
        <v>382</v>
      </c>
      <c r="B53" s="166"/>
      <c r="C53" s="166"/>
      <c r="D53" s="166"/>
      <c r="E53" s="166"/>
      <c r="F53" s="166"/>
      <c r="G53" s="166"/>
      <c r="H53" s="166"/>
      <c r="I53" s="166"/>
      <c r="J53" s="166"/>
      <c r="K53" s="167"/>
    </row>
    <row r="54" spans="1:11" ht="26.25">
      <c r="A54" s="144" t="s">
        <v>51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7"/>
    </row>
    <row r="55" spans="1:11" ht="15.75" thickBot="1"/>
    <row r="56" spans="1:11" ht="15.75" thickBot="1">
      <c r="A56" s="132" t="s">
        <v>2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4"/>
    </row>
    <row r="58" spans="1:11" ht="19.5" thickBot="1">
      <c r="A58" s="1" t="s">
        <v>3</v>
      </c>
      <c r="B58" s="1"/>
      <c r="C58" s="1"/>
      <c r="D58" s="1"/>
      <c r="E58" s="1"/>
      <c r="F58" s="1"/>
      <c r="G58" s="1"/>
      <c r="H58" s="1"/>
      <c r="I58" s="1"/>
    </row>
    <row r="59" spans="1:11" ht="30.75" thickBot="1">
      <c r="A59" s="2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21</v>
      </c>
      <c r="I59" s="4" t="s">
        <v>22</v>
      </c>
      <c r="J59" s="4" t="s">
        <v>11</v>
      </c>
      <c r="K59" s="4" t="s">
        <v>12</v>
      </c>
    </row>
    <row r="60" spans="1:11">
      <c r="A60" s="5">
        <v>201</v>
      </c>
      <c r="B60" s="6">
        <v>43912</v>
      </c>
      <c r="C60" s="7">
        <v>0.8</v>
      </c>
      <c r="D60" s="5">
        <v>7.34</v>
      </c>
      <c r="E60" s="5">
        <v>133.30000000000001</v>
      </c>
      <c r="F60" s="5">
        <v>148.1</v>
      </c>
      <c r="G60" s="6">
        <v>43912</v>
      </c>
      <c r="H60" s="5"/>
      <c r="I60" s="5"/>
      <c r="J60" s="5">
        <f t="shared" ref="J60:J72" si="9">F60-E60</f>
        <v>14.799999999999983</v>
      </c>
      <c r="K60" s="8" t="b">
        <f t="shared" ref="K60:K72" si="10">F60=E61</f>
        <v>1</v>
      </c>
    </row>
    <row r="61" spans="1:11">
      <c r="A61" s="5">
        <v>201</v>
      </c>
      <c r="B61" s="6">
        <v>43914</v>
      </c>
      <c r="C61" s="7">
        <v>1</v>
      </c>
      <c r="D61" s="5">
        <v>5.87</v>
      </c>
      <c r="E61" s="5">
        <v>148.1</v>
      </c>
      <c r="F61" s="5">
        <v>160.1</v>
      </c>
      <c r="G61" s="6">
        <v>43914</v>
      </c>
      <c r="H61" s="5"/>
      <c r="I61" s="5"/>
      <c r="J61" s="5">
        <f t="shared" si="9"/>
        <v>12</v>
      </c>
      <c r="K61" s="8" t="b">
        <f t="shared" si="10"/>
        <v>1</v>
      </c>
    </row>
    <row r="62" spans="1:11">
      <c r="A62" s="5">
        <v>201</v>
      </c>
      <c r="B62" s="6">
        <v>43922</v>
      </c>
      <c r="C62" s="7">
        <v>0.8</v>
      </c>
      <c r="D62" s="5">
        <v>7.34</v>
      </c>
      <c r="E62" s="5">
        <v>160.1</v>
      </c>
      <c r="F62" s="5">
        <v>175.9</v>
      </c>
      <c r="G62" s="6">
        <v>43922</v>
      </c>
      <c r="H62" s="5"/>
      <c r="I62" s="5"/>
      <c r="J62" s="5">
        <f t="shared" si="9"/>
        <v>15.800000000000011</v>
      </c>
      <c r="K62" s="8" t="b">
        <f t="shared" si="10"/>
        <v>1</v>
      </c>
    </row>
    <row r="63" spans="1:11">
      <c r="A63" s="5">
        <v>201</v>
      </c>
      <c r="B63" s="6">
        <v>43924</v>
      </c>
      <c r="C63" s="7">
        <v>0.8</v>
      </c>
      <c r="D63" s="5">
        <v>7.34</v>
      </c>
      <c r="E63" s="5">
        <v>175.9</v>
      </c>
      <c r="F63" s="5">
        <v>191</v>
      </c>
      <c r="G63" s="6">
        <v>43924</v>
      </c>
      <c r="H63" s="5"/>
      <c r="I63" s="5"/>
      <c r="J63" s="5">
        <f t="shared" si="9"/>
        <v>15.099999999999994</v>
      </c>
      <c r="K63" s="8" t="b">
        <f t="shared" si="10"/>
        <v>0</v>
      </c>
    </row>
    <row r="64" spans="1:11">
      <c r="A64" s="5">
        <v>201</v>
      </c>
      <c r="B64" s="6">
        <v>43935</v>
      </c>
      <c r="C64" s="7">
        <v>0.8</v>
      </c>
      <c r="D64" s="5">
        <v>7.34</v>
      </c>
      <c r="E64" s="5">
        <v>208</v>
      </c>
      <c r="F64" s="5">
        <v>224</v>
      </c>
      <c r="G64" s="6">
        <v>43935</v>
      </c>
      <c r="H64" s="5"/>
      <c r="I64" s="5"/>
      <c r="J64" s="5">
        <f t="shared" si="9"/>
        <v>16</v>
      </c>
      <c r="K64" s="8" t="b">
        <f t="shared" si="10"/>
        <v>0</v>
      </c>
    </row>
    <row r="65" spans="1:11">
      <c r="A65" s="5">
        <v>201</v>
      </c>
      <c r="B65" s="6">
        <v>43942</v>
      </c>
      <c r="C65" s="7">
        <v>0.8</v>
      </c>
      <c r="D65" s="5">
        <v>7.34</v>
      </c>
      <c r="E65" s="5">
        <v>238</v>
      </c>
      <c r="F65" s="5">
        <v>241</v>
      </c>
      <c r="G65" s="6">
        <v>43942</v>
      </c>
      <c r="H65" s="5"/>
      <c r="I65" s="5"/>
      <c r="J65" s="5">
        <f t="shared" si="9"/>
        <v>3</v>
      </c>
      <c r="K65" s="8" t="b">
        <f t="shared" si="10"/>
        <v>1</v>
      </c>
    </row>
    <row r="66" spans="1:11">
      <c r="A66" s="5">
        <v>201</v>
      </c>
      <c r="B66" s="6">
        <v>43948</v>
      </c>
      <c r="C66" s="7">
        <v>0.8</v>
      </c>
      <c r="D66" s="5">
        <v>7.34</v>
      </c>
      <c r="E66" s="5">
        <v>241</v>
      </c>
      <c r="F66" s="5">
        <v>256</v>
      </c>
      <c r="G66" s="6">
        <v>43948</v>
      </c>
      <c r="H66" s="5"/>
      <c r="I66" s="5"/>
      <c r="J66" s="5">
        <f t="shared" si="9"/>
        <v>15</v>
      </c>
      <c r="K66" s="8" t="b">
        <f t="shared" si="10"/>
        <v>1</v>
      </c>
    </row>
    <row r="67" spans="1:11">
      <c r="A67" s="5">
        <v>201</v>
      </c>
      <c r="B67" s="6">
        <v>43949</v>
      </c>
      <c r="C67" s="7">
        <v>0.8</v>
      </c>
      <c r="D67" s="5">
        <v>7.34</v>
      </c>
      <c r="E67" s="5">
        <v>256</v>
      </c>
      <c r="F67" s="5">
        <v>271</v>
      </c>
      <c r="G67" s="6">
        <v>43949</v>
      </c>
      <c r="H67" s="5"/>
      <c r="I67" s="5"/>
      <c r="J67" s="5">
        <f t="shared" si="9"/>
        <v>15</v>
      </c>
      <c r="K67" s="8" t="b">
        <f t="shared" si="10"/>
        <v>0</v>
      </c>
    </row>
    <row r="68" spans="1:11">
      <c r="A68" s="5">
        <v>201</v>
      </c>
      <c r="B68" s="6">
        <v>43956</v>
      </c>
      <c r="C68" s="7">
        <v>0.7</v>
      </c>
      <c r="D68" s="5">
        <v>8.39</v>
      </c>
      <c r="E68" s="5">
        <v>317</v>
      </c>
      <c r="F68" s="5">
        <v>334</v>
      </c>
      <c r="G68" s="6">
        <v>43956</v>
      </c>
      <c r="H68" s="5"/>
      <c r="I68" s="5"/>
      <c r="J68" s="5">
        <f t="shared" si="9"/>
        <v>17</v>
      </c>
      <c r="K68" s="8" t="b">
        <f t="shared" si="10"/>
        <v>1</v>
      </c>
    </row>
    <row r="69" spans="1:11">
      <c r="A69" s="5">
        <v>201</v>
      </c>
      <c r="B69" s="6">
        <v>43964</v>
      </c>
      <c r="C69" s="7">
        <v>1</v>
      </c>
      <c r="D69" s="5">
        <v>5.87</v>
      </c>
      <c r="E69" s="5">
        <v>334</v>
      </c>
      <c r="F69" s="5">
        <v>348.3</v>
      </c>
      <c r="G69" s="6">
        <v>43964</v>
      </c>
      <c r="H69" s="5"/>
      <c r="I69" s="5"/>
      <c r="J69" s="5">
        <f t="shared" si="9"/>
        <v>14.300000000000011</v>
      </c>
      <c r="K69" s="8" t="b">
        <f t="shared" si="10"/>
        <v>1</v>
      </c>
    </row>
    <row r="70" spans="1:11">
      <c r="A70" s="5">
        <v>201</v>
      </c>
      <c r="B70" s="6">
        <v>43966</v>
      </c>
      <c r="C70" s="7">
        <v>0.7</v>
      </c>
      <c r="D70" s="5">
        <v>8.39</v>
      </c>
      <c r="E70" s="5">
        <v>348.3</v>
      </c>
      <c r="F70" s="5">
        <v>365.6</v>
      </c>
      <c r="G70" s="6">
        <v>43966</v>
      </c>
      <c r="H70" s="5"/>
      <c r="I70" s="5"/>
      <c r="J70" s="5">
        <f t="shared" si="9"/>
        <v>17.300000000000011</v>
      </c>
      <c r="K70" s="8" t="b">
        <f t="shared" si="10"/>
        <v>1</v>
      </c>
    </row>
    <row r="71" spans="1:11">
      <c r="A71" s="5">
        <v>201</v>
      </c>
      <c r="B71" s="6">
        <v>43968</v>
      </c>
      <c r="C71" s="7">
        <v>0.7</v>
      </c>
      <c r="D71" s="5">
        <v>8.39</v>
      </c>
      <c r="E71" s="5">
        <v>365.6</v>
      </c>
      <c r="F71" s="5">
        <v>368.2</v>
      </c>
      <c r="G71" s="6">
        <v>43968</v>
      </c>
      <c r="H71" s="5"/>
      <c r="I71" s="5"/>
      <c r="J71" s="5">
        <f t="shared" si="9"/>
        <v>2.5999999999999659</v>
      </c>
      <c r="K71" s="8" t="b">
        <f t="shared" si="10"/>
        <v>1</v>
      </c>
    </row>
    <row r="72" spans="1:11">
      <c r="A72" s="5">
        <v>201</v>
      </c>
      <c r="B72" s="6">
        <v>43970</v>
      </c>
      <c r="C72" s="7">
        <v>0.8</v>
      </c>
      <c r="D72" s="5">
        <v>7.34</v>
      </c>
      <c r="E72" s="5">
        <v>368.2</v>
      </c>
      <c r="F72" s="5">
        <v>383.9</v>
      </c>
      <c r="G72" s="6">
        <v>43970</v>
      </c>
      <c r="H72" s="5"/>
      <c r="I72" s="5"/>
      <c r="J72" s="5">
        <f t="shared" si="9"/>
        <v>15.699999999999989</v>
      </c>
      <c r="K72" s="8" t="b">
        <f t="shared" si="10"/>
        <v>1</v>
      </c>
    </row>
    <row r="73" spans="1:11">
      <c r="A73" s="5">
        <v>201</v>
      </c>
      <c r="B73" s="6">
        <v>43972</v>
      </c>
      <c r="C73" s="7">
        <v>0.7</v>
      </c>
      <c r="D73" s="5">
        <v>8.39</v>
      </c>
      <c r="E73" s="5">
        <v>383.9</v>
      </c>
      <c r="F73" s="5">
        <v>399.2</v>
      </c>
      <c r="G73" s="6">
        <v>43972</v>
      </c>
      <c r="H73" s="5"/>
      <c r="I73" s="5"/>
      <c r="J73" s="5">
        <f>F73-E73</f>
        <v>15.300000000000011</v>
      </c>
      <c r="K73" s="8" t="b">
        <f>F73=E74</f>
        <v>1</v>
      </c>
    </row>
    <row r="74" spans="1:11">
      <c r="A74" s="5">
        <v>201</v>
      </c>
      <c r="B74" s="6">
        <v>43974</v>
      </c>
      <c r="C74" s="7">
        <v>0.7</v>
      </c>
      <c r="D74" s="5">
        <v>8.39</v>
      </c>
      <c r="E74" s="5">
        <v>399.2</v>
      </c>
      <c r="F74" s="5">
        <v>417.8</v>
      </c>
      <c r="G74" s="6">
        <v>43974</v>
      </c>
      <c r="H74" s="5"/>
      <c r="I74" s="5"/>
      <c r="J74" s="5">
        <f>F74-E74</f>
        <v>18.600000000000023</v>
      </c>
      <c r="K74" s="8" t="b">
        <f>F74=E75</f>
        <v>1</v>
      </c>
    </row>
    <row r="75" spans="1:11">
      <c r="A75" s="5">
        <v>201</v>
      </c>
      <c r="B75" s="6">
        <v>43976</v>
      </c>
      <c r="C75" s="7">
        <v>0.8</v>
      </c>
      <c r="D75" s="5">
        <v>7.34</v>
      </c>
      <c r="E75" s="5">
        <v>417.8</v>
      </c>
      <c r="F75" s="5">
        <v>434.3</v>
      </c>
      <c r="G75" s="6">
        <v>43976</v>
      </c>
      <c r="H75" s="5"/>
      <c r="I75" s="5"/>
      <c r="J75" s="5">
        <f>F75-E75</f>
        <v>16.5</v>
      </c>
      <c r="K75" s="8" t="b">
        <f>F75=E76</f>
        <v>1</v>
      </c>
    </row>
    <row r="76" spans="1:11">
      <c r="A76" s="5">
        <v>201</v>
      </c>
      <c r="B76" s="6">
        <v>43978</v>
      </c>
      <c r="C76" s="7">
        <v>0.8</v>
      </c>
      <c r="D76" s="5">
        <v>7.34</v>
      </c>
      <c r="E76" s="5">
        <v>434.3</v>
      </c>
      <c r="F76" s="5">
        <v>449.1</v>
      </c>
      <c r="G76" s="6">
        <v>43978</v>
      </c>
      <c r="H76" s="5"/>
      <c r="I76" s="5"/>
      <c r="J76" s="5">
        <f>F76-E76</f>
        <v>14.800000000000011</v>
      </c>
      <c r="K76" s="8" t="b">
        <f>F76=E77</f>
        <v>1</v>
      </c>
    </row>
    <row r="77" spans="1:11">
      <c r="A77" s="5">
        <v>201</v>
      </c>
      <c r="B77" s="6">
        <v>43980</v>
      </c>
      <c r="C77" s="7">
        <v>0.7</v>
      </c>
      <c r="D77" s="5">
        <v>8.39</v>
      </c>
      <c r="E77" s="5">
        <v>449.1</v>
      </c>
      <c r="F77" s="5">
        <v>467.1</v>
      </c>
      <c r="G77" s="6">
        <v>43980</v>
      </c>
      <c r="H77" s="5"/>
      <c r="I77" s="5"/>
      <c r="J77" s="5">
        <f t="shared" ref="J77:J82" si="11">F77-E77</f>
        <v>18</v>
      </c>
      <c r="K77" s="8" t="b">
        <f t="shared" ref="K77:K82" si="12">F77=E78</f>
        <v>1</v>
      </c>
    </row>
    <row r="78" spans="1:11">
      <c r="A78" s="5">
        <v>201</v>
      </c>
      <c r="B78" s="6">
        <v>43981</v>
      </c>
      <c r="C78" s="7">
        <v>0.7</v>
      </c>
      <c r="D78" s="5">
        <v>8.39</v>
      </c>
      <c r="E78" s="5">
        <v>467.1</v>
      </c>
      <c r="F78" s="5">
        <v>484.5</v>
      </c>
      <c r="G78" s="6">
        <v>43981</v>
      </c>
      <c r="H78" s="5"/>
      <c r="I78" s="5"/>
      <c r="J78" s="5">
        <f t="shared" si="11"/>
        <v>17.399999999999977</v>
      </c>
      <c r="K78" s="8" t="b">
        <f t="shared" si="12"/>
        <v>1</v>
      </c>
    </row>
    <row r="79" spans="1:11">
      <c r="A79" s="5">
        <v>201</v>
      </c>
      <c r="B79" s="6">
        <v>43984</v>
      </c>
      <c r="C79" s="7">
        <v>0.8</v>
      </c>
      <c r="D79" s="5">
        <v>7.34</v>
      </c>
      <c r="E79" s="5">
        <v>484.5</v>
      </c>
      <c r="F79" s="5">
        <v>499.3</v>
      </c>
      <c r="G79" s="6">
        <v>43984</v>
      </c>
      <c r="H79" s="5"/>
      <c r="I79" s="5"/>
      <c r="J79" s="5">
        <f t="shared" si="11"/>
        <v>14.800000000000011</v>
      </c>
      <c r="K79" s="8" t="b">
        <f t="shared" si="12"/>
        <v>1</v>
      </c>
    </row>
    <row r="80" spans="1:11">
      <c r="A80" s="5">
        <v>201</v>
      </c>
      <c r="B80" s="6">
        <v>43986</v>
      </c>
      <c r="C80" s="7">
        <v>0.8</v>
      </c>
      <c r="D80" s="5">
        <v>7.34</v>
      </c>
      <c r="E80" s="5">
        <v>499.3</v>
      </c>
      <c r="F80" s="5">
        <v>514.29999999999995</v>
      </c>
      <c r="G80" s="6">
        <v>43986</v>
      </c>
      <c r="H80" s="5"/>
      <c r="I80" s="5"/>
      <c r="J80" s="5">
        <f t="shared" si="11"/>
        <v>14.999999999999943</v>
      </c>
      <c r="K80" s="8" t="b">
        <f t="shared" si="12"/>
        <v>1</v>
      </c>
    </row>
    <row r="81" spans="1:11">
      <c r="A81" s="5">
        <v>201</v>
      </c>
      <c r="B81" s="6">
        <v>43990</v>
      </c>
      <c r="C81" s="7">
        <v>0.8</v>
      </c>
      <c r="D81" s="5">
        <v>7.34</v>
      </c>
      <c r="E81" s="5">
        <v>514.29999999999995</v>
      </c>
      <c r="F81" s="5">
        <v>532</v>
      </c>
      <c r="G81" s="6">
        <v>43990</v>
      </c>
      <c r="H81" s="5"/>
      <c r="I81" s="5"/>
      <c r="J81" s="5">
        <f t="shared" si="11"/>
        <v>17.700000000000045</v>
      </c>
      <c r="K81" s="8" t="b">
        <f t="shared" si="12"/>
        <v>1</v>
      </c>
    </row>
    <row r="82" spans="1:11">
      <c r="A82" s="5">
        <v>201</v>
      </c>
      <c r="B82" s="6">
        <v>43993</v>
      </c>
      <c r="C82" s="7">
        <v>0.7</v>
      </c>
      <c r="D82" s="5">
        <v>8.39</v>
      </c>
      <c r="E82" s="5">
        <v>532</v>
      </c>
      <c r="F82" s="5">
        <v>549</v>
      </c>
      <c r="G82" s="6">
        <v>43993</v>
      </c>
      <c r="H82" s="5"/>
      <c r="I82" s="5"/>
      <c r="J82" s="5">
        <f t="shared" si="11"/>
        <v>17</v>
      </c>
      <c r="K82" s="8" t="b">
        <f t="shared" si="12"/>
        <v>1</v>
      </c>
    </row>
    <row r="83" spans="1:11">
      <c r="A83" s="5">
        <v>201</v>
      </c>
      <c r="B83" s="6">
        <v>43996</v>
      </c>
      <c r="C83" s="7">
        <v>0.7</v>
      </c>
      <c r="D83" s="5">
        <v>8.39</v>
      </c>
      <c r="E83" s="5">
        <v>549</v>
      </c>
      <c r="F83" s="5">
        <v>567</v>
      </c>
      <c r="G83" s="6" t="s">
        <v>383</v>
      </c>
      <c r="H83" s="5"/>
      <c r="I83" s="5"/>
      <c r="J83" s="5">
        <f t="shared" ref="J83:J88" si="13">F83-E83</f>
        <v>18</v>
      </c>
      <c r="K83" s="8" t="b">
        <f t="shared" ref="K83:K88" si="14">F83=E84</f>
        <v>1</v>
      </c>
    </row>
    <row r="84" spans="1:11">
      <c r="A84" s="5">
        <v>201</v>
      </c>
      <c r="B84" s="6">
        <v>43999</v>
      </c>
      <c r="C84" s="7">
        <v>0.7</v>
      </c>
      <c r="D84" s="5">
        <v>8.39</v>
      </c>
      <c r="E84" s="5">
        <v>567</v>
      </c>
      <c r="F84" s="5">
        <v>583</v>
      </c>
      <c r="G84" s="6">
        <v>43999</v>
      </c>
      <c r="H84" s="5"/>
      <c r="I84" s="5"/>
      <c r="J84" s="5">
        <f t="shared" si="13"/>
        <v>16</v>
      </c>
      <c r="K84" s="8" t="b">
        <f t="shared" si="14"/>
        <v>1</v>
      </c>
    </row>
    <row r="85" spans="1:11">
      <c r="A85" s="5">
        <v>201</v>
      </c>
      <c r="B85" s="6">
        <v>44002</v>
      </c>
      <c r="C85" s="7">
        <v>0.7</v>
      </c>
      <c r="D85" s="5">
        <v>8.39</v>
      </c>
      <c r="E85" s="5">
        <v>583</v>
      </c>
      <c r="F85" s="5">
        <v>600.4</v>
      </c>
      <c r="G85" s="6">
        <v>44002</v>
      </c>
      <c r="H85" s="5"/>
      <c r="I85" s="5"/>
      <c r="J85" s="5">
        <f t="shared" si="13"/>
        <v>17.399999999999977</v>
      </c>
      <c r="K85" s="8" t="b">
        <f t="shared" si="14"/>
        <v>1</v>
      </c>
    </row>
    <row r="86" spans="1:11">
      <c r="A86" s="5">
        <v>201</v>
      </c>
      <c r="B86" s="6">
        <v>44005</v>
      </c>
      <c r="C86" s="7">
        <v>0.7</v>
      </c>
      <c r="D86" s="5">
        <v>8.39</v>
      </c>
      <c r="E86" s="5">
        <v>600.4</v>
      </c>
      <c r="F86" s="5">
        <v>617.1</v>
      </c>
      <c r="G86" s="6">
        <v>44005</v>
      </c>
      <c r="H86" s="5"/>
      <c r="I86" s="5"/>
      <c r="J86" s="5">
        <f t="shared" si="13"/>
        <v>16.700000000000045</v>
      </c>
      <c r="K86" s="8" t="b">
        <f t="shared" si="14"/>
        <v>0</v>
      </c>
    </row>
    <row r="87" spans="1:11">
      <c r="A87" s="5">
        <v>201</v>
      </c>
      <c r="B87" s="6">
        <v>44008</v>
      </c>
      <c r="C87" s="7">
        <v>0.7</v>
      </c>
      <c r="D87" s="5">
        <v>8.39</v>
      </c>
      <c r="E87" s="5">
        <v>0</v>
      </c>
      <c r="F87" s="5">
        <v>17.5</v>
      </c>
      <c r="G87" s="6">
        <v>44008</v>
      </c>
      <c r="H87" s="5"/>
      <c r="I87" s="5"/>
      <c r="J87" s="5">
        <f t="shared" si="13"/>
        <v>17.5</v>
      </c>
      <c r="K87" s="8" t="b">
        <f t="shared" si="14"/>
        <v>1</v>
      </c>
    </row>
    <row r="88" spans="1:11">
      <c r="A88" s="5">
        <v>201</v>
      </c>
      <c r="B88" s="6">
        <v>44011</v>
      </c>
      <c r="C88" s="7">
        <v>0.7</v>
      </c>
      <c r="D88" s="5">
        <v>8.39</v>
      </c>
      <c r="E88" s="5">
        <v>17.5</v>
      </c>
      <c r="F88" s="5">
        <v>34.6</v>
      </c>
      <c r="G88" s="6">
        <v>44011</v>
      </c>
      <c r="H88" s="5"/>
      <c r="I88" s="5"/>
      <c r="J88" s="5">
        <f t="shared" si="13"/>
        <v>17.100000000000001</v>
      </c>
      <c r="K88" s="8" t="b">
        <f t="shared" si="14"/>
        <v>1</v>
      </c>
    </row>
    <row r="89" spans="1:11">
      <c r="A89" s="5">
        <v>201</v>
      </c>
      <c r="B89" s="6">
        <v>44014</v>
      </c>
      <c r="C89" s="7">
        <v>0.7</v>
      </c>
      <c r="D89" s="5">
        <v>8.39</v>
      </c>
      <c r="E89" s="5">
        <v>34.6</v>
      </c>
      <c r="F89" s="5">
        <v>51.8</v>
      </c>
      <c r="G89" s="6">
        <v>44014</v>
      </c>
      <c r="H89" s="5"/>
      <c r="I89" s="5"/>
      <c r="J89" s="5">
        <f t="shared" ref="J89:J94" si="15">F89-E89</f>
        <v>17.199999999999996</v>
      </c>
      <c r="K89" s="8" t="b">
        <f t="shared" ref="K89:K94" si="16">F89=E90</f>
        <v>1</v>
      </c>
    </row>
    <row r="90" spans="1:11">
      <c r="A90" s="5">
        <v>201</v>
      </c>
      <c r="B90" s="6">
        <v>44016</v>
      </c>
      <c r="C90" s="7">
        <v>0.7</v>
      </c>
      <c r="D90" s="5">
        <v>8.39</v>
      </c>
      <c r="E90" s="5">
        <v>51.8</v>
      </c>
      <c r="F90" s="5">
        <v>69.5</v>
      </c>
      <c r="G90" s="6">
        <v>44016</v>
      </c>
      <c r="H90" s="5"/>
      <c r="I90" s="5"/>
      <c r="J90" s="5">
        <f t="shared" si="15"/>
        <v>17.700000000000003</v>
      </c>
      <c r="K90" s="8" t="b">
        <f t="shared" si="16"/>
        <v>1</v>
      </c>
    </row>
    <row r="91" spans="1:11">
      <c r="A91" s="5">
        <v>201</v>
      </c>
      <c r="B91" s="6">
        <v>44020</v>
      </c>
      <c r="C91" s="7">
        <v>0.7</v>
      </c>
      <c r="D91" s="5">
        <v>8.39</v>
      </c>
      <c r="E91" s="5">
        <v>69.5</v>
      </c>
      <c r="F91" s="5">
        <v>87</v>
      </c>
      <c r="G91" s="6">
        <v>44020</v>
      </c>
      <c r="H91" s="5"/>
      <c r="I91" s="5"/>
      <c r="J91" s="5">
        <f t="shared" si="15"/>
        <v>17.5</v>
      </c>
      <c r="K91" s="8" t="b">
        <f t="shared" si="16"/>
        <v>1</v>
      </c>
    </row>
    <row r="92" spans="1:11">
      <c r="A92" s="5">
        <v>201</v>
      </c>
      <c r="B92" s="6">
        <v>44024</v>
      </c>
      <c r="C92" s="7">
        <v>0.7</v>
      </c>
      <c r="D92" s="5">
        <v>8.39</v>
      </c>
      <c r="E92" s="5">
        <v>87</v>
      </c>
      <c r="F92" s="5">
        <v>104</v>
      </c>
      <c r="G92" s="6">
        <v>44024</v>
      </c>
      <c r="H92" s="5"/>
      <c r="I92" s="5"/>
      <c r="J92" s="5">
        <f t="shared" si="15"/>
        <v>17</v>
      </c>
      <c r="K92" s="8" t="b">
        <f t="shared" si="16"/>
        <v>1</v>
      </c>
    </row>
    <row r="93" spans="1:11">
      <c r="A93" s="5">
        <v>201</v>
      </c>
      <c r="B93" s="6">
        <v>44028</v>
      </c>
      <c r="C93" s="7">
        <v>0.7</v>
      </c>
      <c r="D93" s="5">
        <v>8.39</v>
      </c>
      <c r="E93" s="5">
        <v>104</v>
      </c>
      <c r="F93" s="5">
        <v>121</v>
      </c>
      <c r="G93" s="6">
        <v>44028</v>
      </c>
      <c r="H93" s="5"/>
      <c r="I93" s="5"/>
      <c r="J93" s="5">
        <f t="shared" si="15"/>
        <v>17</v>
      </c>
      <c r="K93" s="8" t="b">
        <f t="shared" si="16"/>
        <v>1</v>
      </c>
    </row>
    <row r="94" spans="1:11">
      <c r="A94" s="5">
        <v>201</v>
      </c>
      <c r="B94" s="6">
        <v>44032</v>
      </c>
      <c r="C94" s="7">
        <v>0.7</v>
      </c>
      <c r="D94" s="5">
        <v>8.39</v>
      </c>
      <c r="E94" s="5">
        <v>121</v>
      </c>
      <c r="F94" s="5">
        <v>133</v>
      </c>
      <c r="G94" s="6">
        <v>44032</v>
      </c>
      <c r="H94" s="5"/>
      <c r="I94" s="5"/>
      <c r="J94" s="5">
        <f t="shared" si="15"/>
        <v>12</v>
      </c>
      <c r="K94" s="8" t="b">
        <f t="shared" si="16"/>
        <v>1</v>
      </c>
    </row>
    <row r="95" spans="1:11">
      <c r="A95" s="5">
        <v>201</v>
      </c>
      <c r="B95" s="6">
        <v>44036</v>
      </c>
      <c r="C95" s="7">
        <v>0.7</v>
      </c>
      <c r="D95" s="5">
        <v>8.39</v>
      </c>
      <c r="E95" s="5">
        <v>133</v>
      </c>
      <c r="F95" s="5">
        <v>156</v>
      </c>
      <c r="G95" s="6">
        <v>44036</v>
      </c>
      <c r="H95" s="5"/>
      <c r="I95" s="5"/>
      <c r="J95" s="5">
        <f t="shared" ref="J95:J105" si="17">F95-E95</f>
        <v>23</v>
      </c>
      <c r="K95" s="8" t="b">
        <f t="shared" ref="K95:K105" si="18">F95=E96</f>
        <v>1</v>
      </c>
    </row>
    <row r="96" spans="1:11">
      <c r="A96" s="5">
        <v>201</v>
      </c>
      <c r="B96" s="6">
        <v>44040</v>
      </c>
      <c r="C96" s="7">
        <v>0.7</v>
      </c>
      <c r="D96" s="5">
        <v>8.39</v>
      </c>
      <c r="E96" s="5">
        <v>156</v>
      </c>
      <c r="F96" s="5">
        <v>173</v>
      </c>
      <c r="G96" s="6">
        <v>44040</v>
      </c>
      <c r="H96" s="5"/>
      <c r="I96" s="5"/>
      <c r="J96" s="5">
        <f t="shared" si="17"/>
        <v>17</v>
      </c>
      <c r="K96" s="8" t="b">
        <f t="shared" si="18"/>
        <v>1</v>
      </c>
    </row>
    <row r="97" spans="1:11">
      <c r="A97" s="5">
        <v>201</v>
      </c>
      <c r="B97" s="6">
        <v>44044</v>
      </c>
      <c r="C97" s="7">
        <v>0.4</v>
      </c>
      <c r="D97" s="5">
        <v>5.87</v>
      </c>
      <c r="E97" s="5">
        <v>173</v>
      </c>
      <c r="F97" s="5">
        <v>189</v>
      </c>
      <c r="G97" s="6">
        <v>44044</v>
      </c>
      <c r="H97" s="5"/>
      <c r="I97" s="5"/>
      <c r="J97" s="5">
        <f t="shared" si="17"/>
        <v>16</v>
      </c>
      <c r="K97" s="8" t="b">
        <f t="shared" si="18"/>
        <v>1</v>
      </c>
    </row>
    <row r="98" spans="1:11">
      <c r="A98" s="5">
        <v>201</v>
      </c>
      <c r="B98" s="6">
        <v>44050</v>
      </c>
      <c r="C98" s="7">
        <v>0.7</v>
      </c>
      <c r="D98" s="5">
        <v>8.39</v>
      </c>
      <c r="E98" s="5">
        <v>189</v>
      </c>
      <c r="F98" s="5">
        <v>199</v>
      </c>
      <c r="G98" s="6" t="s">
        <v>384</v>
      </c>
      <c r="H98" s="5"/>
      <c r="I98" s="5"/>
      <c r="J98" s="5">
        <f t="shared" si="17"/>
        <v>10</v>
      </c>
      <c r="K98" s="8" t="b">
        <f t="shared" si="18"/>
        <v>1</v>
      </c>
    </row>
    <row r="99" spans="1:11">
      <c r="A99" s="5">
        <v>201</v>
      </c>
      <c r="B99" s="6">
        <v>44106</v>
      </c>
      <c r="C99" s="7">
        <v>0.4</v>
      </c>
      <c r="D99" s="5">
        <v>5.87</v>
      </c>
      <c r="E99" s="5">
        <v>199</v>
      </c>
      <c r="F99" s="5"/>
      <c r="G99" s="6"/>
      <c r="H99" s="5"/>
      <c r="I99" s="5"/>
      <c r="J99" s="5">
        <f t="shared" si="17"/>
        <v>-199</v>
      </c>
      <c r="K99" s="8" t="b">
        <f t="shared" si="18"/>
        <v>0</v>
      </c>
    </row>
    <row r="100" spans="1:11">
      <c r="A100" s="5">
        <v>201</v>
      </c>
      <c r="B100" s="6">
        <v>44107</v>
      </c>
      <c r="C100" s="7">
        <v>0.4</v>
      </c>
      <c r="D100" s="5">
        <v>5.87</v>
      </c>
      <c r="E100" s="5">
        <v>112</v>
      </c>
      <c r="F100" s="5">
        <v>127</v>
      </c>
      <c r="G100" s="6">
        <v>44107</v>
      </c>
      <c r="H100" s="5"/>
      <c r="I100" s="5"/>
      <c r="J100" s="5">
        <f t="shared" si="17"/>
        <v>15</v>
      </c>
      <c r="K100" s="8" t="b">
        <f t="shared" si="18"/>
        <v>1</v>
      </c>
    </row>
    <row r="101" spans="1:11">
      <c r="A101" s="5">
        <v>201</v>
      </c>
      <c r="B101" s="6">
        <v>44108</v>
      </c>
      <c r="C101" s="7">
        <v>0.4</v>
      </c>
      <c r="D101" s="5">
        <v>5.87</v>
      </c>
      <c r="E101" s="5">
        <v>127</v>
      </c>
      <c r="F101" s="5">
        <v>242</v>
      </c>
      <c r="G101" s="6">
        <v>44108</v>
      </c>
      <c r="H101" s="5"/>
      <c r="I101" s="5"/>
      <c r="J101" s="5">
        <f t="shared" si="17"/>
        <v>115</v>
      </c>
      <c r="K101" s="8" t="b">
        <f t="shared" si="18"/>
        <v>1</v>
      </c>
    </row>
    <row r="102" spans="1:11">
      <c r="A102" s="5">
        <v>201</v>
      </c>
      <c r="B102" s="6">
        <v>44109</v>
      </c>
      <c r="C102" s="7">
        <v>0.4</v>
      </c>
      <c r="D102" s="5">
        <v>5.87</v>
      </c>
      <c r="E102" s="5">
        <v>242</v>
      </c>
      <c r="F102" s="5">
        <v>262</v>
      </c>
      <c r="G102" s="6">
        <v>44109</v>
      </c>
      <c r="H102" s="5"/>
      <c r="I102" s="5"/>
      <c r="J102" s="5">
        <f t="shared" si="17"/>
        <v>20</v>
      </c>
      <c r="K102" s="8" t="b">
        <f t="shared" si="18"/>
        <v>0</v>
      </c>
    </row>
    <row r="103" spans="1:11">
      <c r="A103" s="5">
        <v>201</v>
      </c>
      <c r="B103" s="6">
        <v>44199</v>
      </c>
      <c r="C103" s="7">
        <v>0.6</v>
      </c>
      <c r="D103" s="5">
        <v>9.7799999999999994</v>
      </c>
      <c r="E103" s="5">
        <v>75.3</v>
      </c>
      <c r="F103" s="5">
        <v>95.4</v>
      </c>
      <c r="G103" s="6">
        <v>44199</v>
      </c>
      <c r="H103" s="5"/>
      <c r="I103" s="5"/>
      <c r="J103" s="5">
        <f t="shared" si="17"/>
        <v>20.100000000000009</v>
      </c>
      <c r="K103" s="8" t="b">
        <f t="shared" si="18"/>
        <v>1</v>
      </c>
    </row>
    <row r="104" spans="1:11">
      <c r="A104" s="5">
        <v>201</v>
      </c>
      <c r="B104" s="6">
        <v>44201</v>
      </c>
      <c r="C104" s="7">
        <v>0.6</v>
      </c>
      <c r="D104" s="5">
        <v>9.7799999999999994</v>
      </c>
      <c r="E104" s="5">
        <v>95.4</v>
      </c>
      <c r="F104" s="5">
        <v>115.2</v>
      </c>
      <c r="G104" s="6">
        <v>44201</v>
      </c>
      <c r="H104" s="5"/>
      <c r="I104" s="5"/>
      <c r="J104" s="5">
        <f t="shared" si="17"/>
        <v>19.799999999999997</v>
      </c>
      <c r="K104" s="8" t="b">
        <f t="shared" si="18"/>
        <v>1</v>
      </c>
    </row>
    <row r="105" spans="1:11">
      <c r="A105" s="5">
        <v>201</v>
      </c>
      <c r="B105" s="6">
        <v>44203</v>
      </c>
      <c r="C105" s="7">
        <v>0.75</v>
      </c>
      <c r="D105" s="5">
        <v>7.83</v>
      </c>
      <c r="E105" s="5">
        <v>115.2</v>
      </c>
      <c r="F105" s="5">
        <v>130.6</v>
      </c>
      <c r="G105" s="6">
        <v>44203</v>
      </c>
      <c r="H105" s="5"/>
      <c r="I105" s="5"/>
      <c r="J105" s="5">
        <f t="shared" si="17"/>
        <v>15.399999999999991</v>
      </c>
      <c r="K105" s="8" t="b">
        <f t="shared" si="18"/>
        <v>1</v>
      </c>
    </row>
    <row r="106" spans="1:11">
      <c r="A106" s="5">
        <v>201</v>
      </c>
      <c r="B106" s="6">
        <v>44218</v>
      </c>
      <c r="C106" s="7">
        <v>0.7</v>
      </c>
      <c r="D106" s="5">
        <v>8.39</v>
      </c>
      <c r="E106" s="5">
        <v>130.6</v>
      </c>
      <c r="F106" s="5">
        <v>150.1</v>
      </c>
      <c r="G106" s="6">
        <v>44218</v>
      </c>
      <c r="H106" s="5"/>
      <c r="I106" s="5"/>
      <c r="J106" s="5">
        <f t="shared" ref="J106:J113" si="19">F106-E106</f>
        <v>19.5</v>
      </c>
      <c r="K106" s="8" t="b">
        <f t="shared" ref="K106:K113" si="20">F106=E107</f>
        <v>1</v>
      </c>
    </row>
    <row r="107" spans="1:11">
      <c r="A107" s="5">
        <v>201</v>
      </c>
      <c r="B107" s="6">
        <v>44220</v>
      </c>
      <c r="C107" s="7">
        <v>0.7</v>
      </c>
      <c r="D107" s="5">
        <v>8.39</v>
      </c>
      <c r="E107" s="5">
        <v>150.1</v>
      </c>
      <c r="F107" s="5">
        <v>158.1</v>
      </c>
      <c r="G107" s="6">
        <v>44220</v>
      </c>
      <c r="H107" s="5"/>
      <c r="I107" s="5"/>
      <c r="J107" s="5">
        <f t="shared" si="19"/>
        <v>8</v>
      </c>
      <c r="K107" s="8" t="b">
        <f t="shared" si="20"/>
        <v>0</v>
      </c>
    </row>
    <row r="108" spans="1:11">
      <c r="A108" s="5">
        <v>201</v>
      </c>
      <c r="B108" s="6">
        <v>44242</v>
      </c>
      <c r="C108" s="7">
        <v>1</v>
      </c>
      <c r="D108" s="5">
        <v>5.87</v>
      </c>
      <c r="E108" s="5">
        <v>999</v>
      </c>
      <c r="F108" s="5">
        <v>1011</v>
      </c>
      <c r="G108" s="6">
        <v>44242</v>
      </c>
      <c r="H108" s="5"/>
      <c r="I108" s="5"/>
      <c r="J108" s="5">
        <f t="shared" si="19"/>
        <v>12</v>
      </c>
      <c r="K108" s="8" t="b">
        <f t="shared" si="20"/>
        <v>0</v>
      </c>
    </row>
    <row r="109" spans="1:11">
      <c r="A109" s="5">
        <v>201</v>
      </c>
      <c r="B109" s="6">
        <v>44259</v>
      </c>
      <c r="C109" s="7">
        <v>0.7</v>
      </c>
      <c r="D109" s="5">
        <v>8.39</v>
      </c>
      <c r="E109" s="5">
        <v>1014</v>
      </c>
      <c r="F109" s="5">
        <v>1030</v>
      </c>
      <c r="G109" s="6">
        <v>44259</v>
      </c>
      <c r="H109" s="5"/>
      <c r="I109" s="5"/>
      <c r="J109" s="5">
        <f t="shared" si="19"/>
        <v>16</v>
      </c>
      <c r="K109" s="8" t="b">
        <f t="shared" si="20"/>
        <v>1</v>
      </c>
    </row>
    <row r="110" spans="1:11">
      <c r="A110" s="5">
        <v>201</v>
      </c>
      <c r="B110" s="6">
        <v>44261</v>
      </c>
      <c r="C110" s="7">
        <v>0.7</v>
      </c>
      <c r="D110" s="5">
        <v>8.39</v>
      </c>
      <c r="E110" s="5">
        <v>1030</v>
      </c>
      <c r="F110" s="5">
        <v>1045</v>
      </c>
      <c r="G110" s="6">
        <v>44261</v>
      </c>
      <c r="H110" s="5"/>
      <c r="I110" s="5"/>
      <c r="J110" s="5">
        <f t="shared" si="19"/>
        <v>15</v>
      </c>
      <c r="K110" s="8" t="b">
        <f t="shared" si="20"/>
        <v>1</v>
      </c>
    </row>
    <row r="111" spans="1:11">
      <c r="A111" s="5">
        <v>201</v>
      </c>
      <c r="B111" s="6">
        <v>44270</v>
      </c>
      <c r="C111" s="7">
        <v>0.7</v>
      </c>
      <c r="D111" s="5">
        <v>8.39</v>
      </c>
      <c r="E111" s="5">
        <v>1045</v>
      </c>
      <c r="F111" s="5">
        <v>1062</v>
      </c>
      <c r="G111" s="6">
        <v>44270</v>
      </c>
      <c r="H111" s="5"/>
      <c r="I111" s="5"/>
      <c r="J111" s="5">
        <f t="shared" si="19"/>
        <v>17</v>
      </c>
      <c r="K111" s="8" t="b">
        <f t="shared" si="20"/>
        <v>1</v>
      </c>
    </row>
    <row r="112" spans="1:11">
      <c r="A112" s="5">
        <v>201</v>
      </c>
      <c r="B112" s="6">
        <v>44272</v>
      </c>
      <c r="C112" s="7">
        <v>0.7</v>
      </c>
      <c r="D112" s="5">
        <v>8.39</v>
      </c>
      <c r="E112" s="5">
        <v>1062</v>
      </c>
      <c r="F112" s="5">
        <v>1080</v>
      </c>
      <c r="G112" s="6">
        <v>44272</v>
      </c>
      <c r="H112" s="5"/>
      <c r="I112" s="5"/>
      <c r="J112" s="5">
        <f t="shared" si="19"/>
        <v>18</v>
      </c>
      <c r="K112" s="8" t="b">
        <f t="shared" si="20"/>
        <v>1</v>
      </c>
    </row>
    <row r="113" spans="1:11">
      <c r="A113" s="5">
        <v>201</v>
      </c>
      <c r="B113" s="6">
        <v>44274</v>
      </c>
      <c r="C113" s="7">
        <v>0.7</v>
      </c>
      <c r="D113" s="5">
        <v>8.39</v>
      </c>
      <c r="E113" s="5">
        <v>1080</v>
      </c>
      <c r="F113" s="5">
        <v>1098</v>
      </c>
      <c r="G113" s="6">
        <v>44274</v>
      </c>
      <c r="H113" s="5"/>
      <c r="I113" s="5"/>
      <c r="J113" s="5">
        <f t="shared" si="19"/>
        <v>18</v>
      </c>
      <c r="K113" s="8" t="b">
        <f t="shared" si="20"/>
        <v>0</v>
      </c>
    </row>
    <row r="114" spans="1:11">
      <c r="A114" s="5">
        <v>201</v>
      </c>
      <c r="B114" s="6">
        <v>44276</v>
      </c>
      <c r="C114" s="7">
        <v>0.7</v>
      </c>
      <c r="D114" s="5">
        <v>8.39</v>
      </c>
      <c r="E114" s="5">
        <v>1095</v>
      </c>
      <c r="F114" s="5">
        <v>1113</v>
      </c>
      <c r="G114" s="6">
        <v>44276</v>
      </c>
      <c r="H114" s="5"/>
      <c r="I114" s="5"/>
      <c r="J114" s="5">
        <f t="shared" ref="J114:J125" si="21">F114-E114</f>
        <v>18</v>
      </c>
      <c r="K114" s="8" t="b">
        <f t="shared" ref="K114:K125" si="22">F114=E115</f>
        <v>0</v>
      </c>
    </row>
    <row r="115" spans="1:11">
      <c r="A115" s="5">
        <v>201</v>
      </c>
      <c r="B115" s="6">
        <v>44280</v>
      </c>
      <c r="C115" s="7">
        <v>0.7</v>
      </c>
      <c r="D115" s="5">
        <v>8.39</v>
      </c>
      <c r="E115" s="5">
        <v>1115</v>
      </c>
      <c r="F115" s="5">
        <v>1125</v>
      </c>
      <c r="G115" s="6">
        <v>44280</v>
      </c>
      <c r="H115" s="5"/>
      <c r="I115" s="5"/>
      <c r="J115" s="5">
        <f t="shared" si="21"/>
        <v>10</v>
      </c>
      <c r="K115" s="8" t="b">
        <f t="shared" si="22"/>
        <v>1</v>
      </c>
    </row>
    <row r="116" spans="1:11">
      <c r="A116" s="5">
        <v>201</v>
      </c>
      <c r="B116" s="6">
        <v>44282</v>
      </c>
      <c r="C116" s="7">
        <v>0.7</v>
      </c>
      <c r="D116" s="5">
        <v>8.39</v>
      </c>
      <c r="E116" s="5">
        <v>1125</v>
      </c>
      <c r="F116" s="5">
        <v>1142</v>
      </c>
      <c r="G116" s="6">
        <v>44282</v>
      </c>
      <c r="H116" s="5"/>
      <c r="I116" s="5"/>
      <c r="J116" s="5">
        <f t="shared" si="21"/>
        <v>17</v>
      </c>
      <c r="K116" s="8" t="b">
        <f t="shared" si="22"/>
        <v>1</v>
      </c>
    </row>
    <row r="117" spans="1:11">
      <c r="A117" s="5">
        <v>201</v>
      </c>
      <c r="B117" s="6">
        <v>44284</v>
      </c>
      <c r="C117" s="7">
        <v>0.7</v>
      </c>
      <c r="D117" s="5">
        <v>8.39</v>
      </c>
      <c r="E117" s="5">
        <v>1142</v>
      </c>
      <c r="F117" s="5">
        <v>1160</v>
      </c>
      <c r="G117" s="6">
        <v>44284</v>
      </c>
      <c r="H117" s="5"/>
      <c r="I117" s="5"/>
      <c r="J117" s="5">
        <f t="shared" si="21"/>
        <v>18</v>
      </c>
      <c r="K117" s="8" t="b">
        <f t="shared" si="22"/>
        <v>1</v>
      </c>
    </row>
    <row r="118" spans="1:11">
      <c r="A118" s="5">
        <v>201</v>
      </c>
      <c r="B118" s="6">
        <v>44286</v>
      </c>
      <c r="C118" s="7">
        <v>0.7</v>
      </c>
      <c r="D118" s="5">
        <v>8.39</v>
      </c>
      <c r="E118" s="5">
        <v>1160</v>
      </c>
      <c r="F118" s="5">
        <v>1176</v>
      </c>
      <c r="G118" s="6">
        <v>44286</v>
      </c>
      <c r="H118" s="5"/>
      <c r="I118" s="5"/>
      <c r="J118" s="5">
        <f t="shared" si="21"/>
        <v>16</v>
      </c>
      <c r="K118" s="8" t="b">
        <f t="shared" si="22"/>
        <v>1</v>
      </c>
    </row>
    <row r="119" spans="1:11">
      <c r="A119" s="5">
        <v>201</v>
      </c>
      <c r="B119" s="6">
        <v>44288</v>
      </c>
      <c r="C119" s="7">
        <v>0.7</v>
      </c>
      <c r="D119" s="5">
        <v>8.39</v>
      </c>
      <c r="E119" s="5">
        <v>1176</v>
      </c>
      <c r="F119" s="5">
        <v>1195</v>
      </c>
      <c r="G119" s="6">
        <v>44288</v>
      </c>
      <c r="H119" s="5"/>
      <c r="I119" s="5"/>
      <c r="J119" s="5">
        <f t="shared" si="21"/>
        <v>19</v>
      </c>
      <c r="K119" s="8" t="b">
        <f t="shared" si="22"/>
        <v>0</v>
      </c>
    </row>
    <row r="120" spans="1:11">
      <c r="A120" s="5">
        <v>201</v>
      </c>
      <c r="B120" s="6">
        <v>44290</v>
      </c>
      <c r="C120" s="7">
        <v>0.7</v>
      </c>
      <c r="D120" s="5">
        <v>8.39</v>
      </c>
      <c r="E120" s="5">
        <v>1193</v>
      </c>
      <c r="F120" s="5">
        <v>1211.5</v>
      </c>
      <c r="G120" s="6">
        <v>44290</v>
      </c>
      <c r="H120" s="5"/>
      <c r="I120" s="5"/>
      <c r="J120" s="5">
        <f t="shared" si="21"/>
        <v>18.5</v>
      </c>
      <c r="K120" s="8" t="b">
        <f t="shared" si="22"/>
        <v>0</v>
      </c>
    </row>
    <row r="121" spans="1:11">
      <c r="A121" s="5">
        <v>201</v>
      </c>
      <c r="B121" s="6">
        <v>44293</v>
      </c>
      <c r="C121" s="7">
        <v>0.7</v>
      </c>
      <c r="D121" s="5">
        <v>8.39</v>
      </c>
      <c r="E121" s="5">
        <v>1209</v>
      </c>
      <c r="F121" s="5">
        <v>1227</v>
      </c>
      <c r="G121" s="6">
        <v>44293</v>
      </c>
      <c r="H121" s="5"/>
      <c r="I121" s="5"/>
      <c r="J121" s="5">
        <f t="shared" si="21"/>
        <v>18</v>
      </c>
      <c r="K121" s="8" t="b">
        <f t="shared" si="22"/>
        <v>1</v>
      </c>
    </row>
    <row r="122" spans="1:11">
      <c r="A122" s="5">
        <v>201</v>
      </c>
      <c r="B122" s="6">
        <v>44295</v>
      </c>
      <c r="C122" s="7">
        <v>0.7</v>
      </c>
      <c r="D122" s="5">
        <v>8.39</v>
      </c>
      <c r="E122" s="5">
        <v>1227</v>
      </c>
      <c r="F122" s="5">
        <v>1243</v>
      </c>
      <c r="G122" s="6">
        <v>44295</v>
      </c>
      <c r="H122" s="5"/>
      <c r="I122" s="5"/>
      <c r="J122" s="5">
        <f t="shared" si="21"/>
        <v>16</v>
      </c>
      <c r="K122" s="8" t="b">
        <f t="shared" si="22"/>
        <v>1</v>
      </c>
    </row>
    <row r="123" spans="1:11">
      <c r="A123" s="5">
        <v>201</v>
      </c>
      <c r="B123" s="6">
        <v>44297</v>
      </c>
      <c r="C123" s="7">
        <v>0.7</v>
      </c>
      <c r="D123" s="5">
        <v>8.39</v>
      </c>
      <c r="E123" s="5">
        <v>1243</v>
      </c>
      <c r="F123" s="5">
        <v>1258</v>
      </c>
      <c r="G123" s="6">
        <v>44297</v>
      </c>
      <c r="H123" s="5"/>
      <c r="I123" s="5"/>
      <c r="J123" s="5">
        <f t="shared" si="21"/>
        <v>15</v>
      </c>
      <c r="K123" s="8" t="b">
        <f t="shared" si="22"/>
        <v>1</v>
      </c>
    </row>
    <row r="124" spans="1:11">
      <c r="A124" s="5">
        <v>201</v>
      </c>
      <c r="B124" s="6">
        <v>44299</v>
      </c>
      <c r="C124" s="7">
        <v>0.7</v>
      </c>
      <c r="D124" s="5">
        <v>8.39</v>
      </c>
      <c r="E124" s="5">
        <v>1258</v>
      </c>
      <c r="F124" s="5">
        <v>1275</v>
      </c>
      <c r="G124" s="6">
        <v>44299</v>
      </c>
      <c r="H124" s="5"/>
      <c r="I124" s="5"/>
      <c r="J124" s="5">
        <f t="shared" si="21"/>
        <v>17</v>
      </c>
      <c r="K124" s="8" t="b">
        <f t="shared" si="22"/>
        <v>1</v>
      </c>
    </row>
    <row r="125" spans="1:11">
      <c r="A125" s="5">
        <v>201</v>
      </c>
      <c r="B125" s="6">
        <v>44301</v>
      </c>
      <c r="C125" s="7">
        <v>0.7</v>
      </c>
      <c r="D125" s="5">
        <v>8.39</v>
      </c>
      <c r="E125" s="5">
        <v>1275</v>
      </c>
      <c r="F125" s="5">
        <v>1292</v>
      </c>
      <c r="G125" s="6">
        <v>44301</v>
      </c>
      <c r="H125" s="5"/>
      <c r="I125" s="5"/>
      <c r="J125" s="5">
        <f t="shared" si="21"/>
        <v>17</v>
      </c>
      <c r="K125" s="8" t="b">
        <f t="shared" si="22"/>
        <v>0</v>
      </c>
    </row>
    <row r="126" spans="1:11">
      <c r="A126" s="5">
        <v>201</v>
      </c>
      <c r="B126" s="6">
        <v>44316</v>
      </c>
      <c r="C126" s="7">
        <v>0.7</v>
      </c>
      <c r="D126" s="5">
        <v>8.39</v>
      </c>
      <c r="E126" s="5">
        <v>1295</v>
      </c>
      <c r="F126" s="5">
        <v>1312</v>
      </c>
      <c r="G126" s="6">
        <v>44316</v>
      </c>
      <c r="H126" s="5"/>
      <c r="I126" s="5"/>
      <c r="J126" s="5">
        <f>F126-E126</f>
        <v>17</v>
      </c>
      <c r="K126" s="8" t="b">
        <f>F126=E127</f>
        <v>1</v>
      </c>
    </row>
    <row r="127" spans="1:11">
      <c r="A127" s="5">
        <v>201</v>
      </c>
      <c r="B127" s="6">
        <v>44319</v>
      </c>
      <c r="C127" s="7">
        <v>0.7</v>
      </c>
      <c r="D127" s="5">
        <v>8.39</v>
      </c>
      <c r="E127" s="5">
        <v>1312</v>
      </c>
      <c r="F127" s="5">
        <v>1324</v>
      </c>
      <c r="G127" s="6">
        <v>44319</v>
      </c>
      <c r="H127" s="5"/>
      <c r="I127" s="5"/>
      <c r="J127" s="5">
        <f>F127-E127</f>
        <v>12</v>
      </c>
      <c r="K127" s="8" t="b">
        <f>F127=E128</f>
        <v>0</v>
      </c>
    </row>
    <row r="128" spans="1:11">
      <c r="A128" s="5">
        <v>201</v>
      </c>
      <c r="B128" s="6"/>
      <c r="C128" s="7"/>
      <c r="D128" s="5"/>
      <c r="E128" s="5"/>
      <c r="F128" s="5"/>
      <c r="G128" s="6"/>
      <c r="H128" s="5"/>
      <c r="I128" s="5"/>
      <c r="J128" s="5">
        <f>F128-E128</f>
        <v>0</v>
      </c>
      <c r="K128" s="8" t="b">
        <f>F128=E129</f>
        <v>1</v>
      </c>
    </row>
    <row r="129" spans="1:11">
      <c r="A129" s="5">
        <v>201</v>
      </c>
      <c r="B129" s="6"/>
      <c r="C129" s="7"/>
      <c r="D129" s="5"/>
      <c r="E129" s="5"/>
      <c r="F129" s="5"/>
      <c r="G129" s="6"/>
      <c r="H129" s="5"/>
      <c r="I129" s="5"/>
      <c r="J129" s="5">
        <f>F129-E129</f>
        <v>0</v>
      </c>
      <c r="K129" s="8" t="b">
        <f>F129=E130</f>
        <v>1</v>
      </c>
    </row>
    <row r="130" spans="1:11">
      <c r="A130" s="5">
        <v>201</v>
      </c>
      <c r="B130" s="6"/>
      <c r="C130" s="7"/>
      <c r="D130" s="5"/>
      <c r="E130" s="5"/>
      <c r="F130" s="5"/>
      <c r="G130" s="6"/>
      <c r="H130" s="5"/>
      <c r="I130" s="5"/>
      <c r="J130" s="5">
        <f>F130-E130</f>
        <v>0</v>
      </c>
      <c r="K130" s="8" t="b">
        <f>F130=E131</f>
        <v>1</v>
      </c>
    </row>
    <row r="134" spans="1:11" ht="26.25">
      <c r="A134" s="144" t="s">
        <v>382</v>
      </c>
      <c r="B134" s="166"/>
      <c r="C134" s="166"/>
      <c r="D134" s="166"/>
      <c r="E134" s="166"/>
      <c r="F134" s="166"/>
      <c r="G134" s="166"/>
      <c r="H134" s="166"/>
      <c r="I134" s="166"/>
      <c r="J134" s="166"/>
      <c r="K134" s="167"/>
    </row>
    <row r="135" spans="1:11" ht="26.25">
      <c r="A135" s="144" t="s">
        <v>14</v>
      </c>
      <c r="B135" s="166"/>
      <c r="C135" s="166"/>
      <c r="D135" s="166"/>
      <c r="E135" s="166"/>
      <c r="F135" s="166"/>
      <c r="G135" s="166"/>
      <c r="H135" s="166"/>
      <c r="I135" s="166"/>
      <c r="J135" s="166"/>
      <c r="K135" s="167"/>
    </row>
    <row r="136" spans="1:11" ht="15.75" thickBot="1"/>
    <row r="137" spans="1:11" ht="15.75" thickBot="1">
      <c r="A137" s="132" t="s">
        <v>2</v>
      </c>
      <c r="B137" s="133"/>
      <c r="C137" s="133"/>
      <c r="D137" s="133"/>
      <c r="E137" s="133"/>
      <c r="F137" s="133"/>
      <c r="G137" s="133"/>
      <c r="H137" s="133"/>
      <c r="I137" s="133"/>
      <c r="J137" s="133"/>
      <c r="K137" s="134"/>
    </row>
    <row r="139" spans="1:11" ht="19.5" thickBot="1">
      <c r="A139" s="1" t="s">
        <v>3</v>
      </c>
      <c r="B139" s="1"/>
      <c r="C139" s="1"/>
      <c r="D139" s="1"/>
      <c r="E139" s="1"/>
      <c r="F139" s="1"/>
      <c r="G139" s="1"/>
      <c r="H139" s="1"/>
      <c r="I139" s="1"/>
    </row>
    <row r="140" spans="1:11" ht="30.75" thickBot="1">
      <c r="A140" s="2" t="s">
        <v>4</v>
      </c>
      <c r="B140" s="3" t="s">
        <v>5</v>
      </c>
      <c r="C140" s="3" t="s">
        <v>6</v>
      </c>
      <c r="D140" s="3" t="s">
        <v>7</v>
      </c>
      <c r="E140" s="3" t="s">
        <v>8</v>
      </c>
      <c r="F140" s="3" t="s">
        <v>9</v>
      </c>
      <c r="G140" s="3" t="s">
        <v>10</v>
      </c>
      <c r="H140" s="3" t="s">
        <v>21</v>
      </c>
      <c r="I140" s="4" t="s">
        <v>22</v>
      </c>
      <c r="J140" s="4" t="s">
        <v>11</v>
      </c>
      <c r="K140" s="4" t="s">
        <v>12</v>
      </c>
    </row>
    <row r="141" spans="1:11">
      <c r="A141" s="5"/>
      <c r="B141" s="6"/>
      <c r="C141" s="7"/>
      <c r="D141" s="5"/>
      <c r="E141" s="5"/>
      <c r="F141" s="5"/>
      <c r="G141" s="6"/>
      <c r="H141" s="5"/>
      <c r="I141" s="5"/>
      <c r="J141" s="5">
        <f t="shared" ref="J141:J146" si="23">F141-E141</f>
        <v>0</v>
      </c>
      <c r="K141" s="8" t="b">
        <f>F141=E142</f>
        <v>1</v>
      </c>
    </row>
    <row r="142" spans="1:11">
      <c r="A142" s="5"/>
      <c r="B142" s="6"/>
      <c r="C142" s="7"/>
      <c r="D142" s="5"/>
      <c r="E142" s="5"/>
      <c r="F142" s="5"/>
      <c r="G142" s="6"/>
      <c r="H142" s="5"/>
      <c r="I142" s="5"/>
      <c r="J142" s="5">
        <f t="shared" si="23"/>
        <v>0</v>
      </c>
      <c r="K142" s="8" t="b">
        <f>F142=E143</f>
        <v>1</v>
      </c>
    </row>
    <row r="143" spans="1:11">
      <c r="A143" s="5"/>
      <c r="B143" s="6"/>
      <c r="C143" s="7"/>
      <c r="D143" s="5"/>
      <c r="E143" s="5"/>
      <c r="F143" s="5"/>
      <c r="G143" s="6"/>
      <c r="H143" s="5"/>
      <c r="I143" s="5"/>
      <c r="J143" s="5">
        <f t="shared" si="23"/>
        <v>0</v>
      </c>
      <c r="K143" s="8" t="b">
        <f>F143=E144</f>
        <v>1</v>
      </c>
    </row>
    <row r="144" spans="1:11">
      <c r="A144" s="5"/>
      <c r="B144" s="6"/>
      <c r="C144" s="7"/>
      <c r="D144" s="5"/>
      <c r="E144" s="5"/>
      <c r="F144" s="5"/>
      <c r="G144" s="6"/>
      <c r="H144" s="5"/>
      <c r="I144" s="5"/>
      <c r="J144" s="5">
        <f t="shared" si="23"/>
        <v>0</v>
      </c>
      <c r="K144" s="8" t="b">
        <f>F144=E145</f>
        <v>1</v>
      </c>
    </row>
    <row r="145" spans="1:11">
      <c r="A145" s="5"/>
      <c r="B145" s="6"/>
      <c r="C145" s="7"/>
      <c r="D145" s="5"/>
      <c r="E145" s="5"/>
      <c r="F145" s="5"/>
      <c r="G145" s="6"/>
      <c r="H145" s="5"/>
      <c r="I145" s="5"/>
      <c r="J145" s="5">
        <f t="shared" si="23"/>
        <v>0</v>
      </c>
      <c r="K145" s="8" t="b">
        <f>F145=E146</f>
        <v>1</v>
      </c>
    </row>
    <row r="146" spans="1:11">
      <c r="A146" s="5"/>
      <c r="B146" s="6"/>
      <c r="C146" s="7"/>
      <c r="D146" s="5"/>
      <c r="E146" s="5"/>
      <c r="F146" s="5"/>
      <c r="G146" s="6"/>
      <c r="H146" s="5"/>
      <c r="I146" s="5"/>
      <c r="J146" s="5">
        <f t="shared" si="23"/>
        <v>0</v>
      </c>
      <c r="K146" s="8" t="b">
        <f>F146=E130</f>
        <v>1</v>
      </c>
    </row>
  </sheetData>
  <mergeCells count="9">
    <mergeCell ref="A134:K134"/>
    <mergeCell ref="A135:K135"/>
    <mergeCell ref="A137:K137"/>
    <mergeCell ref="A56:K56"/>
    <mergeCell ref="A1:K1"/>
    <mergeCell ref="A2:K2"/>
    <mergeCell ref="A4:K4"/>
    <mergeCell ref="A53:K53"/>
    <mergeCell ref="A54:K5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226E-F801-4CDC-948A-D843BAA04A5F}">
  <sheetPr codeName="Planilha12"/>
  <dimension ref="A1:K141"/>
  <sheetViews>
    <sheetView topLeftCell="A128" workbookViewId="0">
      <selection activeCell="H148" sqref="H148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385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202</v>
      </c>
      <c r="B8" s="6">
        <v>43753</v>
      </c>
      <c r="C8" s="7">
        <v>1</v>
      </c>
      <c r="D8" s="5">
        <v>5.87</v>
      </c>
      <c r="E8" s="5">
        <v>71.3</v>
      </c>
      <c r="F8" s="5">
        <v>84.9</v>
      </c>
      <c r="G8" s="6">
        <v>43753</v>
      </c>
      <c r="H8" s="5" t="s">
        <v>56</v>
      </c>
      <c r="I8" s="5" t="s">
        <v>57</v>
      </c>
      <c r="J8" s="5">
        <f t="shared" ref="J8:J39" si="0">F8-E8</f>
        <v>13.600000000000009</v>
      </c>
      <c r="K8" s="8" t="b">
        <f t="shared" ref="K8:K39" si="1">F8=E9</f>
        <v>1</v>
      </c>
    </row>
    <row r="9" spans="1:11">
      <c r="A9" s="5">
        <v>202</v>
      </c>
      <c r="B9" s="6">
        <v>43766</v>
      </c>
      <c r="C9" s="7">
        <v>1</v>
      </c>
      <c r="D9" s="5">
        <v>5.87</v>
      </c>
      <c r="E9" s="5">
        <v>84.9</v>
      </c>
      <c r="F9" s="5">
        <v>97</v>
      </c>
      <c r="G9" s="6">
        <v>43766</v>
      </c>
      <c r="H9" s="5" t="s">
        <v>58</v>
      </c>
      <c r="I9" s="5" t="s">
        <v>57</v>
      </c>
      <c r="J9" s="5">
        <f t="shared" si="0"/>
        <v>12.099999999999994</v>
      </c>
      <c r="K9" s="8" t="b">
        <f t="shared" si="1"/>
        <v>1</v>
      </c>
    </row>
    <row r="10" spans="1:11">
      <c r="A10" s="5">
        <v>202</v>
      </c>
      <c r="B10" s="6">
        <v>43768</v>
      </c>
      <c r="C10" s="7">
        <v>0.8</v>
      </c>
      <c r="D10" s="5">
        <v>7.34</v>
      </c>
      <c r="E10" s="5">
        <v>97</v>
      </c>
      <c r="F10" s="5">
        <v>112</v>
      </c>
      <c r="G10" s="6">
        <v>43768</v>
      </c>
      <c r="H10" s="5" t="s">
        <v>59</v>
      </c>
      <c r="I10" s="5" t="s">
        <v>57</v>
      </c>
      <c r="J10" s="5">
        <f t="shared" si="0"/>
        <v>15</v>
      </c>
      <c r="K10" s="8" t="b">
        <f t="shared" si="1"/>
        <v>1</v>
      </c>
    </row>
    <row r="11" spans="1:11">
      <c r="A11" s="5">
        <v>202</v>
      </c>
      <c r="B11" s="6">
        <v>43769</v>
      </c>
      <c r="C11" s="7">
        <v>0.8</v>
      </c>
      <c r="D11" s="5">
        <v>7.34</v>
      </c>
      <c r="E11" s="5">
        <v>112</v>
      </c>
      <c r="F11" s="5">
        <v>126.8</v>
      </c>
      <c r="G11" s="6">
        <v>43769</v>
      </c>
      <c r="H11" s="5" t="s">
        <v>58</v>
      </c>
      <c r="I11" s="5" t="s">
        <v>57</v>
      </c>
      <c r="J11" s="5">
        <f t="shared" si="0"/>
        <v>14.799999999999997</v>
      </c>
      <c r="K11" s="8" t="b">
        <f t="shared" si="1"/>
        <v>1</v>
      </c>
    </row>
    <row r="12" spans="1:11">
      <c r="A12" s="5">
        <v>202</v>
      </c>
      <c r="B12" s="6">
        <v>43770</v>
      </c>
      <c r="C12" s="7">
        <v>0.8</v>
      </c>
      <c r="D12" s="5">
        <v>7.34</v>
      </c>
      <c r="E12" s="5">
        <v>126.8</v>
      </c>
      <c r="F12" s="5">
        <v>141.5</v>
      </c>
      <c r="G12" s="6">
        <v>43770</v>
      </c>
      <c r="H12" s="5" t="s">
        <v>60</v>
      </c>
      <c r="I12" s="5" t="s">
        <v>57</v>
      </c>
      <c r="J12" s="5">
        <f t="shared" si="0"/>
        <v>14.700000000000003</v>
      </c>
      <c r="K12" s="8" t="b">
        <f t="shared" si="1"/>
        <v>1</v>
      </c>
    </row>
    <row r="13" spans="1:11">
      <c r="A13" s="5">
        <v>202</v>
      </c>
      <c r="B13" s="6">
        <v>43771</v>
      </c>
      <c r="C13" s="7">
        <v>0.8</v>
      </c>
      <c r="D13" s="5">
        <v>7.34</v>
      </c>
      <c r="E13" s="5">
        <v>141.5</v>
      </c>
      <c r="F13" s="5">
        <v>154.6</v>
      </c>
      <c r="G13" s="6">
        <v>43771</v>
      </c>
      <c r="H13" s="5" t="s">
        <v>60</v>
      </c>
      <c r="I13" s="5" t="s">
        <v>57</v>
      </c>
      <c r="J13" s="5">
        <f t="shared" si="0"/>
        <v>13.099999999999994</v>
      </c>
      <c r="K13" s="8" t="b">
        <f t="shared" si="1"/>
        <v>1</v>
      </c>
    </row>
    <row r="14" spans="1:11">
      <c r="A14" s="5">
        <v>202</v>
      </c>
      <c r="B14" s="6">
        <v>43772</v>
      </c>
      <c r="C14" s="7">
        <v>0.8</v>
      </c>
      <c r="D14" s="5">
        <v>7.34</v>
      </c>
      <c r="E14" s="5">
        <v>154.6</v>
      </c>
      <c r="F14" s="5">
        <v>167.9</v>
      </c>
      <c r="G14" s="6">
        <v>43772</v>
      </c>
      <c r="H14" s="5" t="s">
        <v>60</v>
      </c>
      <c r="I14" s="5" t="s">
        <v>57</v>
      </c>
      <c r="J14" s="5">
        <f t="shared" si="0"/>
        <v>13.300000000000011</v>
      </c>
      <c r="K14" s="8" t="b">
        <f t="shared" si="1"/>
        <v>1</v>
      </c>
    </row>
    <row r="15" spans="1:11">
      <c r="A15" s="5">
        <v>202</v>
      </c>
      <c r="B15" s="6">
        <v>43773</v>
      </c>
      <c r="C15" s="7">
        <v>0.8</v>
      </c>
      <c r="D15" s="5">
        <v>7.34</v>
      </c>
      <c r="E15" s="5">
        <v>167.9</v>
      </c>
      <c r="F15" s="5">
        <v>182.9</v>
      </c>
      <c r="G15" s="6">
        <v>43773</v>
      </c>
      <c r="H15" s="5" t="s">
        <v>58</v>
      </c>
      <c r="I15" s="5" t="s">
        <v>57</v>
      </c>
      <c r="J15" s="5">
        <f t="shared" si="0"/>
        <v>15</v>
      </c>
      <c r="K15" s="8" t="b">
        <f t="shared" si="1"/>
        <v>1</v>
      </c>
    </row>
    <row r="16" spans="1:11">
      <c r="A16" s="5">
        <v>202</v>
      </c>
      <c r="B16" s="6">
        <v>43774</v>
      </c>
      <c r="C16" s="7">
        <v>0.8</v>
      </c>
      <c r="D16" s="5">
        <v>7.34</v>
      </c>
      <c r="E16" s="5">
        <v>182.9</v>
      </c>
      <c r="F16" s="5">
        <v>189.3</v>
      </c>
      <c r="G16" s="6">
        <v>43774</v>
      </c>
      <c r="H16" s="5" t="s">
        <v>58</v>
      </c>
      <c r="I16" s="5" t="s">
        <v>57</v>
      </c>
      <c r="J16" s="5">
        <f t="shared" si="0"/>
        <v>6.4000000000000057</v>
      </c>
      <c r="K16" s="8" t="b">
        <f t="shared" si="1"/>
        <v>1</v>
      </c>
    </row>
    <row r="17" spans="1:11">
      <c r="A17" s="5">
        <v>202</v>
      </c>
      <c r="B17" s="6">
        <v>43778</v>
      </c>
      <c r="C17" s="7">
        <v>0.7</v>
      </c>
      <c r="D17" s="5">
        <v>8.39</v>
      </c>
      <c r="E17" s="5">
        <v>189.3</v>
      </c>
      <c r="F17" s="5">
        <v>206.3</v>
      </c>
      <c r="G17" s="6">
        <v>43778</v>
      </c>
      <c r="H17" s="5" t="s">
        <v>60</v>
      </c>
      <c r="I17" s="5" t="s">
        <v>57</v>
      </c>
      <c r="J17" s="5">
        <f t="shared" si="0"/>
        <v>17</v>
      </c>
      <c r="K17" s="8" t="b">
        <f t="shared" si="1"/>
        <v>1</v>
      </c>
    </row>
    <row r="18" spans="1:11">
      <c r="A18" s="5">
        <v>202</v>
      </c>
      <c r="B18" s="6">
        <v>43779</v>
      </c>
      <c r="C18" s="7">
        <v>0.7</v>
      </c>
      <c r="D18" s="5">
        <v>8.39</v>
      </c>
      <c r="E18" s="5">
        <v>206.3</v>
      </c>
      <c r="F18" s="5">
        <v>223.5</v>
      </c>
      <c r="G18" s="6">
        <v>43779</v>
      </c>
      <c r="H18" s="5" t="s">
        <v>56</v>
      </c>
      <c r="I18" s="5" t="s">
        <v>57</v>
      </c>
      <c r="J18" s="5">
        <f t="shared" si="0"/>
        <v>17.199999999999989</v>
      </c>
      <c r="K18" s="8" t="b">
        <f t="shared" si="1"/>
        <v>1</v>
      </c>
    </row>
    <row r="19" spans="1:11">
      <c r="A19" s="5">
        <v>202</v>
      </c>
      <c r="B19" s="6">
        <v>43782</v>
      </c>
      <c r="C19" s="7">
        <v>0.7</v>
      </c>
      <c r="D19" s="5">
        <v>8.39</v>
      </c>
      <c r="E19" s="5">
        <v>223.5</v>
      </c>
      <c r="F19" s="5">
        <v>235</v>
      </c>
      <c r="G19" s="6">
        <v>43782</v>
      </c>
      <c r="H19" s="5" t="s">
        <v>60</v>
      </c>
      <c r="I19" s="5" t="s">
        <v>57</v>
      </c>
      <c r="J19" s="5">
        <f t="shared" si="0"/>
        <v>11.5</v>
      </c>
      <c r="K19" s="8" t="b">
        <f t="shared" si="1"/>
        <v>1</v>
      </c>
    </row>
    <row r="20" spans="1:11">
      <c r="A20" s="5">
        <v>202</v>
      </c>
      <c r="B20" s="6">
        <v>43783</v>
      </c>
      <c r="C20" s="7">
        <v>1</v>
      </c>
      <c r="D20" s="5">
        <v>5.87</v>
      </c>
      <c r="E20" s="5">
        <v>235</v>
      </c>
      <c r="F20" s="5">
        <v>247</v>
      </c>
      <c r="G20" s="6">
        <v>43783</v>
      </c>
      <c r="H20" s="5" t="s">
        <v>59</v>
      </c>
      <c r="I20" s="5" t="s">
        <v>57</v>
      </c>
      <c r="J20" s="5">
        <f t="shared" si="0"/>
        <v>12</v>
      </c>
      <c r="K20" s="8" t="b">
        <f t="shared" si="1"/>
        <v>1</v>
      </c>
    </row>
    <row r="21" spans="1:11">
      <c r="A21" s="5">
        <v>202</v>
      </c>
      <c r="B21" s="6">
        <v>43785</v>
      </c>
      <c r="C21" s="7">
        <v>0.7</v>
      </c>
      <c r="D21" s="5">
        <v>8.39</v>
      </c>
      <c r="E21" s="5">
        <v>247</v>
      </c>
      <c r="F21" s="5">
        <v>256.7</v>
      </c>
      <c r="G21" s="6">
        <v>43785</v>
      </c>
      <c r="H21" s="5" t="s">
        <v>59</v>
      </c>
      <c r="I21" s="5" t="s">
        <v>57</v>
      </c>
      <c r="J21" s="5">
        <f t="shared" si="0"/>
        <v>9.6999999999999886</v>
      </c>
      <c r="K21" s="8" t="b">
        <f t="shared" si="1"/>
        <v>1</v>
      </c>
    </row>
    <row r="22" spans="1:11">
      <c r="A22" s="5">
        <v>202</v>
      </c>
      <c r="B22" s="6">
        <v>43789</v>
      </c>
      <c r="C22" s="7">
        <v>0.8</v>
      </c>
      <c r="D22" s="5">
        <v>7.34</v>
      </c>
      <c r="E22" s="5">
        <v>256.7</v>
      </c>
      <c r="F22" s="5">
        <v>271.3</v>
      </c>
      <c r="G22" s="6">
        <v>43789</v>
      </c>
      <c r="H22" s="5" t="s">
        <v>60</v>
      </c>
      <c r="I22" s="5" t="s">
        <v>57</v>
      </c>
      <c r="J22" s="5">
        <f t="shared" si="0"/>
        <v>14.600000000000023</v>
      </c>
      <c r="K22" s="8" t="b">
        <f t="shared" si="1"/>
        <v>1</v>
      </c>
    </row>
    <row r="23" spans="1:11">
      <c r="A23" s="5">
        <v>202</v>
      </c>
      <c r="B23" s="6">
        <v>43791</v>
      </c>
      <c r="C23" s="7">
        <v>0.7</v>
      </c>
      <c r="D23" s="5">
        <v>8.39</v>
      </c>
      <c r="E23" s="5">
        <v>271.3</v>
      </c>
      <c r="F23" s="5">
        <v>288.3</v>
      </c>
      <c r="G23" s="6">
        <v>43791</v>
      </c>
      <c r="H23" s="5" t="s">
        <v>61</v>
      </c>
      <c r="I23" s="5" t="s">
        <v>57</v>
      </c>
      <c r="J23" s="5">
        <f t="shared" si="0"/>
        <v>17</v>
      </c>
      <c r="K23" s="8" t="b">
        <f t="shared" si="1"/>
        <v>1</v>
      </c>
    </row>
    <row r="24" spans="1:11">
      <c r="A24" s="5">
        <v>202</v>
      </c>
      <c r="B24" s="6">
        <v>43793</v>
      </c>
      <c r="C24" s="7">
        <v>0.7</v>
      </c>
      <c r="D24" s="5">
        <v>8.39</v>
      </c>
      <c r="E24" s="5">
        <v>288.3</v>
      </c>
      <c r="F24" s="5">
        <v>303.5</v>
      </c>
      <c r="G24" s="6">
        <v>43793</v>
      </c>
      <c r="H24" s="5" t="s">
        <v>61</v>
      </c>
      <c r="I24" s="5" t="s">
        <v>57</v>
      </c>
      <c r="J24" s="5">
        <f t="shared" si="0"/>
        <v>15.199999999999989</v>
      </c>
      <c r="K24" s="8" t="b">
        <f t="shared" si="1"/>
        <v>1</v>
      </c>
    </row>
    <row r="25" spans="1:11">
      <c r="A25" s="5">
        <v>202</v>
      </c>
      <c r="B25" s="6">
        <v>43801</v>
      </c>
      <c r="C25" s="7">
        <v>1</v>
      </c>
      <c r="D25" s="5">
        <v>5.87</v>
      </c>
      <c r="E25" s="5">
        <v>303.5</v>
      </c>
      <c r="F25" s="5">
        <v>316.2</v>
      </c>
      <c r="G25" s="6">
        <v>43801</v>
      </c>
      <c r="H25" s="5" t="s">
        <v>59</v>
      </c>
      <c r="I25" s="5" t="s">
        <v>57</v>
      </c>
      <c r="J25" s="5">
        <f t="shared" si="0"/>
        <v>12.699999999999989</v>
      </c>
      <c r="K25" s="8" t="b">
        <f t="shared" si="1"/>
        <v>1</v>
      </c>
    </row>
    <row r="26" spans="1:11">
      <c r="A26" s="5">
        <v>202</v>
      </c>
      <c r="B26" s="6">
        <v>43802</v>
      </c>
      <c r="C26" s="7">
        <v>1</v>
      </c>
      <c r="D26" s="5">
        <v>5.87</v>
      </c>
      <c r="E26" s="5">
        <v>316.2</v>
      </c>
      <c r="F26" s="5">
        <v>328.5</v>
      </c>
      <c r="G26" s="6">
        <v>43802</v>
      </c>
      <c r="H26" s="5" t="s">
        <v>59</v>
      </c>
      <c r="I26" s="5" t="s">
        <v>57</v>
      </c>
      <c r="J26" s="5">
        <f t="shared" si="0"/>
        <v>12.300000000000011</v>
      </c>
      <c r="K26" s="8" t="b">
        <f t="shared" si="1"/>
        <v>1</v>
      </c>
    </row>
    <row r="27" spans="1:11">
      <c r="A27" s="5">
        <v>202</v>
      </c>
      <c r="B27" s="6">
        <v>43808</v>
      </c>
      <c r="C27" s="7">
        <v>0.7</v>
      </c>
      <c r="D27" s="5">
        <v>8.39</v>
      </c>
      <c r="E27" s="5">
        <v>328.5</v>
      </c>
      <c r="F27" s="5">
        <v>335.9</v>
      </c>
      <c r="G27" s="6">
        <v>43808</v>
      </c>
      <c r="H27" s="5" t="s">
        <v>62</v>
      </c>
      <c r="I27" s="5" t="s">
        <v>57</v>
      </c>
      <c r="J27" s="5">
        <f t="shared" si="0"/>
        <v>7.3999999999999773</v>
      </c>
      <c r="K27" s="8" t="b">
        <f t="shared" si="1"/>
        <v>1</v>
      </c>
    </row>
    <row r="28" spans="1:11">
      <c r="A28" s="5">
        <v>202</v>
      </c>
      <c r="B28" s="6">
        <v>43810</v>
      </c>
      <c r="C28" s="7">
        <v>0.7</v>
      </c>
      <c r="D28" s="5">
        <v>8.39</v>
      </c>
      <c r="E28" s="5">
        <v>335.9</v>
      </c>
      <c r="F28" s="5">
        <v>346.1</v>
      </c>
      <c r="G28" s="6">
        <v>43810</v>
      </c>
      <c r="H28" s="5" t="s">
        <v>62</v>
      </c>
      <c r="I28" s="5" t="s">
        <v>57</v>
      </c>
      <c r="J28" s="5">
        <f t="shared" si="0"/>
        <v>10.200000000000045</v>
      </c>
      <c r="K28" s="8" t="b">
        <f t="shared" si="1"/>
        <v>1</v>
      </c>
    </row>
    <row r="29" spans="1:11">
      <c r="A29" s="5">
        <v>202</v>
      </c>
      <c r="B29" s="6">
        <v>43811</v>
      </c>
      <c r="C29" s="7">
        <v>0.7</v>
      </c>
      <c r="D29" s="5">
        <v>8.39</v>
      </c>
      <c r="E29" s="5">
        <v>346.1</v>
      </c>
      <c r="F29" s="5">
        <v>363.1</v>
      </c>
      <c r="G29" s="6">
        <v>43811</v>
      </c>
      <c r="H29" s="5" t="s">
        <v>62</v>
      </c>
      <c r="I29" s="5" t="s">
        <v>57</v>
      </c>
      <c r="J29" s="5">
        <f t="shared" si="0"/>
        <v>17</v>
      </c>
      <c r="K29" s="8" t="b">
        <f t="shared" si="1"/>
        <v>1</v>
      </c>
    </row>
    <row r="30" spans="1:11">
      <c r="A30" s="5">
        <v>202</v>
      </c>
      <c r="B30" s="6">
        <v>43812</v>
      </c>
      <c r="C30" s="7">
        <v>0.6</v>
      </c>
      <c r="D30" s="5">
        <v>9.7799999999999994</v>
      </c>
      <c r="E30" s="5">
        <v>363.1</v>
      </c>
      <c r="F30" s="5">
        <v>383</v>
      </c>
      <c r="G30" s="6">
        <v>43812</v>
      </c>
      <c r="H30" s="5" t="s">
        <v>62</v>
      </c>
      <c r="I30" s="5" t="s">
        <v>65</v>
      </c>
      <c r="J30" s="5">
        <f t="shared" si="0"/>
        <v>19.899999999999977</v>
      </c>
      <c r="K30" s="8" t="b">
        <f t="shared" si="1"/>
        <v>1</v>
      </c>
    </row>
    <row r="31" spans="1:11">
      <c r="A31" s="5">
        <v>202</v>
      </c>
      <c r="B31" s="6">
        <v>43814</v>
      </c>
      <c r="C31" s="7">
        <v>0.6</v>
      </c>
      <c r="D31" s="5">
        <v>9.7799999999999994</v>
      </c>
      <c r="E31" s="5">
        <v>383</v>
      </c>
      <c r="F31" s="5">
        <v>402.9</v>
      </c>
      <c r="G31" s="6">
        <v>43814</v>
      </c>
      <c r="H31" s="5" t="s">
        <v>62</v>
      </c>
      <c r="I31" s="5" t="s">
        <v>65</v>
      </c>
      <c r="J31" s="5">
        <f t="shared" si="0"/>
        <v>19.899999999999977</v>
      </c>
      <c r="K31" s="8" t="b">
        <f t="shared" si="1"/>
        <v>1</v>
      </c>
    </row>
    <row r="32" spans="1:11">
      <c r="A32" s="5">
        <v>202</v>
      </c>
      <c r="B32" s="6">
        <v>43817</v>
      </c>
      <c r="C32" s="7">
        <v>0.6</v>
      </c>
      <c r="D32" s="5">
        <v>9.7799999999999994</v>
      </c>
      <c r="E32" s="5">
        <v>402.9</v>
      </c>
      <c r="F32" s="5">
        <v>427.7</v>
      </c>
      <c r="G32" s="6">
        <v>43817</v>
      </c>
      <c r="H32" s="5" t="s">
        <v>62</v>
      </c>
      <c r="I32" s="5" t="s">
        <v>65</v>
      </c>
      <c r="J32" s="5">
        <f t="shared" si="0"/>
        <v>24.800000000000011</v>
      </c>
      <c r="K32" s="8" t="b">
        <f t="shared" si="1"/>
        <v>1</v>
      </c>
    </row>
    <row r="33" spans="1:11">
      <c r="A33" s="5">
        <v>202</v>
      </c>
      <c r="B33" s="6">
        <v>43818</v>
      </c>
      <c r="C33" s="7">
        <v>0.8</v>
      </c>
      <c r="D33" s="5">
        <v>7.34</v>
      </c>
      <c r="E33" s="5">
        <v>427.7</v>
      </c>
      <c r="F33" s="5">
        <v>437.6</v>
      </c>
      <c r="G33" s="6">
        <v>43818</v>
      </c>
      <c r="H33" s="5" t="s">
        <v>62</v>
      </c>
      <c r="I33" s="5" t="s">
        <v>65</v>
      </c>
      <c r="J33" s="5">
        <f t="shared" si="0"/>
        <v>9.9000000000000341</v>
      </c>
      <c r="K33" s="8" t="b">
        <f t="shared" si="1"/>
        <v>1</v>
      </c>
    </row>
    <row r="34" spans="1:11">
      <c r="A34" s="5">
        <v>202</v>
      </c>
      <c r="B34" s="6">
        <v>43819</v>
      </c>
      <c r="C34" s="7">
        <v>0.8</v>
      </c>
      <c r="D34" s="5">
        <v>7.34</v>
      </c>
      <c r="E34" s="5">
        <v>437.6</v>
      </c>
      <c r="F34" s="5">
        <v>452.8</v>
      </c>
      <c r="G34" s="6">
        <v>43819</v>
      </c>
      <c r="H34" s="5" t="s">
        <v>62</v>
      </c>
      <c r="I34" s="5" t="s">
        <v>65</v>
      </c>
      <c r="J34" s="5">
        <f t="shared" si="0"/>
        <v>15.199999999999989</v>
      </c>
      <c r="K34" s="8" t="b">
        <f t="shared" si="1"/>
        <v>1</v>
      </c>
    </row>
    <row r="35" spans="1:11">
      <c r="A35" s="5">
        <v>202</v>
      </c>
      <c r="B35" s="6">
        <v>43820</v>
      </c>
      <c r="C35" s="7">
        <v>0.8</v>
      </c>
      <c r="D35" s="5">
        <v>7.34</v>
      </c>
      <c r="E35" s="5">
        <v>452.8</v>
      </c>
      <c r="F35" s="5">
        <v>470</v>
      </c>
      <c r="G35" s="6">
        <v>43820</v>
      </c>
      <c r="H35" s="5" t="s">
        <v>62</v>
      </c>
      <c r="I35" s="5" t="s">
        <v>65</v>
      </c>
      <c r="J35" s="5">
        <f t="shared" si="0"/>
        <v>17.199999999999989</v>
      </c>
      <c r="K35" s="8" t="b">
        <f t="shared" si="1"/>
        <v>1</v>
      </c>
    </row>
    <row r="36" spans="1:11">
      <c r="A36" s="5">
        <v>202</v>
      </c>
      <c r="B36" s="6">
        <v>43823</v>
      </c>
      <c r="C36" s="7">
        <v>0.8</v>
      </c>
      <c r="D36" s="5">
        <v>7.34</v>
      </c>
      <c r="E36" s="5">
        <v>470</v>
      </c>
      <c r="F36" s="5">
        <v>489</v>
      </c>
      <c r="G36" s="6">
        <v>43823</v>
      </c>
      <c r="H36" s="5" t="s">
        <v>62</v>
      </c>
      <c r="I36" s="5" t="s">
        <v>65</v>
      </c>
      <c r="J36" s="5">
        <f t="shared" si="0"/>
        <v>19</v>
      </c>
      <c r="K36" s="8" t="b">
        <f t="shared" si="1"/>
        <v>1</v>
      </c>
    </row>
    <row r="37" spans="1:11">
      <c r="A37" s="5">
        <v>202</v>
      </c>
      <c r="B37" s="6">
        <v>43824</v>
      </c>
      <c r="C37" s="7">
        <v>0.8</v>
      </c>
      <c r="D37" s="5">
        <v>7.34</v>
      </c>
      <c r="E37" s="5">
        <v>489</v>
      </c>
      <c r="F37" s="5">
        <v>496</v>
      </c>
      <c r="G37" s="6">
        <v>43824</v>
      </c>
      <c r="H37" s="5" t="s">
        <v>62</v>
      </c>
      <c r="I37" s="5" t="s">
        <v>65</v>
      </c>
      <c r="J37" s="5">
        <f t="shared" si="0"/>
        <v>7</v>
      </c>
      <c r="K37" s="8" t="b">
        <f t="shared" si="1"/>
        <v>1</v>
      </c>
    </row>
    <row r="38" spans="1:11">
      <c r="A38" s="5">
        <v>202</v>
      </c>
      <c r="B38" s="6">
        <v>43825</v>
      </c>
      <c r="C38" s="7">
        <v>0.8</v>
      </c>
      <c r="D38" s="5">
        <v>7.34</v>
      </c>
      <c r="E38" s="5">
        <v>496</v>
      </c>
      <c r="F38" s="5">
        <v>511</v>
      </c>
      <c r="G38" s="6">
        <v>43825</v>
      </c>
      <c r="H38" s="5" t="s">
        <v>62</v>
      </c>
      <c r="I38" s="5" t="s">
        <v>65</v>
      </c>
      <c r="J38" s="5">
        <f t="shared" si="0"/>
        <v>15</v>
      </c>
      <c r="K38" s="8" t="b">
        <f t="shared" si="1"/>
        <v>1</v>
      </c>
    </row>
    <row r="39" spans="1:11">
      <c r="A39" s="5">
        <v>202</v>
      </c>
      <c r="B39" s="6">
        <v>43826</v>
      </c>
      <c r="C39" s="7">
        <v>0.8</v>
      </c>
      <c r="D39" s="5">
        <v>7.34</v>
      </c>
      <c r="E39" s="5">
        <v>511</v>
      </c>
      <c r="F39" s="5">
        <v>526.5</v>
      </c>
      <c r="G39" s="6">
        <v>43826</v>
      </c>
      <c r="H39" s="5" t="s">
        <v>62</v>
      </c>
      <c r="I39" s="5" t="s">
        <v>65</v>
      </c>
      <c r="J39" s="5">
        <f t="shared" si="0"/>
        <v>15.5</v>
      </c>
      <c r="K39" s="8" t="b">
        <f t="shared" si="1"/>
        <v>0</v>
      </c>
    </row>
    <row r="40" spans="1:11">
      <c r="A40" s="5">
        <v>202</v>
      </c>
      <c r="B40" s="6">
        <v>43827</v>
      </c>
      <c r="C40" s="7">
        <v>1</v>
      </c>
      <c r="D40" s="5">
        <v>5.87</v>
      </c>
      <c r="E40" s="5">
        <v>0</v>
      </c>
      <c r="F40" s="5">
        <v>12.6</v>
      </c>
      <c r="G40" s="6">
        <v>43827</v>
      </c>
      <c r="H40" s="5"/>
      <c r="I40" s="5"/>
      <c r="J40" s="5">
        <f t="shared" ref="J40:J47" si="2">F40-E40</f>
        <v>12.6</v>
      </c>
      <c r="K40" s="8" t="b">
        <f t="shared" ref="K40:K47" si="3">F40=E41</f>
        <v>1</v>
      </c>
    </row>
    <row r="41" spans="1:11">
      <c r="A41" s="5">
        <v>202</v>
      </c>
      <c r="B41" s="6">
        <v>43828</v>
      </c>
      <c r="C41" s="7">
        <v>0.8</v>
      </c>
      <c r="D41" s="5">
        <v>7.34</v>
      </c>
      <c r="E41" s="5">
        <v>12.6</v>
      </c>
      <c r="F41" s="5">
        <v>24.6</v>
      </c>
      <c r="G41" s="6">
        <v>43828</v>
      </c>
      <c r="H41" s="5"/>
      <c r="I41" s="5"/>
      <c r="J41" s="5">
        <f t="shared" si="2"/>
        <v>12.000000000000002</v>
      </c>
      <c r="K41" s="8" t="b">
        <f t="shared" si="3"/>
        <v>1</v>
      </c>
    </row>
    <row r="42" spans="1:11">
      <c r="A42" s="5">
        <v>202</v>
      </c>
      <c r="B42" s="6">
        <v>43829</v>
      </c>
      <c r="C42" s="7">
        <v>0.8</v>
      </c>
      <c r="D42" s="5">
        <v>7.34</v>
      </c>
      <c r="E42" s="5">
        <v>24.6</v>
      </c>
      <c r="F42" s="5">
        <v>39.6</v>
      </c>
      <c r="G42" s="6">
        <v>43829</v>
      </c>
      <c r="H42" s="5"/>
      <c r="I42" s="5"/>
      <c r="J42" s="5">
        <f t="shared" si="2"/>
        <v>15</v>
      </c>
      <c r="K42" s="8" t="b">
        <f t="shared" si="3"/>
        <v>1</v>
      </c>
    </row>
    <row r="43" spans="1:11">
      <c r="A43" s="5">
        <v>202</v>
      </c>
      <c r="B43" s="6">
        <v>43830</v>
      </c>
      <c r="C43" s="7">
        <v>0.8</v>
      </c>
      <c r="D43" s="5">
        <v>7.34</v>
      </c>
      <c r="E43" s="5">
        <v>39.6</v>
      </c>
      <c r="F43" s="5">
        <v>54.3</v>
      </c>
      <c r="G43" s="6">
        <v>43830</v>
      </c>
      <c r="H43" s="5"/>
      <c r="I43" s="5"/>
      <c r="J43" s="5">
        <f t="shared" si="2"/>
        <v>14.699999999999996</v>
      </c>
      <c r="K43" s="8" t="b">
        <f t="shared" si="3"/>
        <v>1</v>
      </c>
    </row>
    <row r="44" spans="1:11">
      <c r="A44" s="5">
        <v>202</v>
      </c>
      <c r="B44" s="6">
        <v>43831</v>
      </c>
      <c r="C44" s="7">
        <v>0.8</v>
      </c>
      <c r="D44" s="5">
        <v>7.34</v>
      </c>
      <c r="E44" s="5">
        <v>54.3</v>
      </c>
      <c r="F44" s="5">
        <v>69.2</v>
      </c>
      <c r="G44" s="6">
        <v>43831</v>
      </c>
      <c r="H44" s="5"/>
      <c r="I44" s="5"/>
      <c r="J44" s="5">
        <f t="shared" si="2"/>
        <v>14.900000000000006</v>
      </c>
      <c r="K44" s="8" t="b">
        <f t="shared" si="3"/>
        <v>1</v>
      </c>
    </row>
    <row r="45" spans="1:11">
      <c r="A45" s="5">
        <v>202</v>
      </c>
      <c r="B45" s="6">
        <v>43842</v>
      </c>
      <c r="C45" s="7">
        <v>1</v>
      </c>
      <c r="D45" s="5">
        <v>5.87</v>
      </c>
      <c r="E45" s="5">
        <v>69.2</v>
      </c>
      <c r="F45" s="5">
        <v>82.1</v>
      </c>
      <c r="G45" s="6">
        <v>43842</v>
      </c>
      <c r="H45" s="5"/>
      <c r="I45" s="5"/>
      <c r="J45" s="5">
        <f t="shared" si="2"/>
        <v>12.899999999999991</v>
      </c>
      <c r="K45" s="8" t="b">
        <f t="shared" si="3"/>
        <v>1</v>
      </c>
    </row>
    <row r="46" spans="1:11">
      <c r="A46" s="5">
        <v>202</v>
      </c>
      <c r="B46" s="6">
        <v>43843</v>
      </c>
      <c r="C46" s="7">
        <v>0.8</v>
      </c>
      <c r="D46" s="5">
        <v>7.34</v>
      </c>
      <c r="E46" s="5">
        <v>82.1</v>
      </c>
      <c r="F46" s="5">
        <v>97</v>
      </c>
      <c r="G46" s="6">
        <v>43844</v>
      </c>
      <c r="H46" s="5"/>
      <c r="I46" s="5"/>
      <c r="J46" s="5">
        <f t="shared" si="2"/>
        <v>14.900000000000006</v>
      </c>
      <c r="K46" s="8" t="b">
        <f t="shared" si="3"/>
        <v>1</v>
      </c>
    </row>
    <row r="47" spans="1:11">
      <c r="A47" s="5">
        <v>202</v>
      </c>
      <c r="B47" s="6">
        <v>43845</v>
      </c>
      <c r="C47" s="7">
        <v>0.8</v>
      </c>
      <c r="D47" s="5">
        <v>7.34</v>
      </c>
      <c r="E47" s="5">
        <v>97</v>
      </c>
      <c r="F47" s="5">
        <v>108.6</v>
      </c>
      <c r="G47" s="6">
        <v>43845</v>
      </c>
      <c r="H47" s="5"/>
      <c r="I47" s="5"/>
      <c r="J47" s="5">
        <f t="shared" si="2"/>
        <v>11.599999999999994</v>
      </c>
      <c r="K47" s="8" t="b">
        <f t="shared" si="3"/>
        <v>1</v>
      </c>
    </row>
    <row r="48" spans="1:11">
      <c r="A48" s="5">
        <v>202</v>
      </c>
      <c r="B48" s="6">
        <v>43846</v>
      </c>
      <c r="C48" s="7">
        <v>0.8</v>
      </c>
      <c r="D48" s="5">
        <v>7.34</v>
      </c>
      <c r="E48" s="5">
        <v>108.6</v>
      </c>
      <c r="F48" s="5">
        <v>124.9</v>
      </c>
      <c r="G48" s="6">
        <v>43846</v>
      </c>
      <c r="H48" s="5"/>
      <c r="I48" s="5"/>
      <c r="J48" s="5">
        <f>F48-E48</f>
        <v>16.300000000000011</v>
      </c>
      <c r="K48" s="8" t="b">
        <f>F48=E49</f>
        <v>1</v>
      </c>
    </row>
    <row r="49" spans="1:11">
      <c r="A49" s="5">
        <v>202</v>
      </c>
      <c r="B49" s="6">
        <v>43847</v>
      </c>
      <c r="C49" s="7">
        <v>0.8</v>
      </c>
      <c r="D49" s="5">
        <v>7.34</v>
      </c>
      <c r="E49" s="5">
        <v>124.9</v>
      </c>
      <c r="F49" s="5">
        <v>139.9</v>
      </c>
      <c r="G49" s="6">
        <v>43847</v>
      </c>
      <c r="H49" s="5"/>
      <c r="I49" s="5"/>
      <c r="J49" s="5">
        <f>F49-E49</f>
        <v>15</v>
      </c>
      <c r="K49" s="8" t="b">
        <f>F49=E50</f>
        <v>1</v>
      </c>
    </row>
    <row r="50" spans="1:11">
      <c r="A50" s="5">
        <v>202</v>
      </c>
      <c r="B50" s="6">
        <v>43848</v>
      </c>
      <c r="C50" s="7">
        <v>0.8</v>
      </c>
      <c r="D50" s="5">
        <v>7.34</v>
      </c>
      <c r="E50" s="5">
        <v>139.9</v>
      </c>
      <c r="F50" s="5">
        <v>143</v>
      </c>
      <c r="G50" s="6">
        <v>43848</v>
      </c>
      <c r="H50" s="5"/>
      <c r="I50" s="5"/>
      <c r="J50" s="5">
        <f>F50-E50</f>
        <v>3.0999999999999943</v>
      </c>
      <c r="K50" s="8" t="b">
        <f>F50=E51</f>
        <v>1</v>
      </c>
    </row>
    <row r="51" spans="1:11">
      <c r="A51" s="5">
        <v>202</v>
      </c>
      <c r="B51" s="6">
        <v>43850</v>
      </c>
      <c r="C51" s="7">
        <v>0.8</v>
      </c>
      <c r="D51" s="5">
        <v>7.34</v>
      </c>
      <c r="E51" s="5">
        <v>143</v>
      </c>
      <c r="F51" s="5">
        <v>159.1</v>
      </c>
      <c r="G51" s="6">
        <v>43850</v>
      </c>
      <c r="H51" s="5"/>
      <c r="I51" s="5"/>
      <c r="J51" s="5">
        <f>F51-E51</f>
        <v>16.099999999999994</v>
      </c>
      <c r="K51" s="8" t="b">
        <f>F51=E52</f>
        <v>1</v>
      </c>
    </row>
    <row r="52" spans="1:11">
      <c r="A52" s="5">
        <v>202</v>
      </c>
      <c r="B52" s="6">
        <v>43851</v>
      </c>
      <c r="C52" s="7">
        <v>0.8</v>
      </c>
      <c r="D52" s="5">
        <v>7.34</v>
      </c>
      <c r="E52" s="5">
        <v>159.1</v>
      </c>
      <c r="F52" s="5">
        <v>170.2</v>
      </c>
      <c r="G52" s="6">
        <v>43851</v>
      </c>
      <c r="H52" s="5"/>
      <c r="I52" s="5"/>
      <c r="J52" s="5">
        <f>F52-E52</f>
        <v>11.099999999999994</v>
      </c>
      <c r="K52" s="8" t="b">
        <f>F52=E56</f>
        <v>0</v>
      </c>
    </row>
    <row r="53" spans="1:11">
      <c r="A53" s="5"/>
      <c r="B53" s="6"/>
      <c r="C53" s="7"/>
      <c r="D53" s="5"/>
      <c r="E53" s="5"/>
      <c r="F53" s="5"/>
      <c r="G53" s="6"/>
      <c r="H53" s="5"/>
      <c r="I53" s="5"/>
      <c r="J53" s="5"/>
      <c r="K53" s="8"/>
    </row>
    <row r="54" spans="1:11" ht="26.25">
      <c r="A54" s="144" t="s">
        <v>385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7"/>
    </row>
    <row r="55" spans="1:11" ht="26.25">
      <c r="A55" s="144" t="s">
        <v>51</v>
      </c>
      <c r="B55" s="166"/>
      <c r="C55" s="166"/>
      <c r="D55" s="166"/>
      <c r="E55" s="166"/>
      <c r="F55" s="166"/>
      <c r="G55" s="166"/>
      <c r="H55" s="166"/>
      <c r="I55" s="166"/>
      <c r="J55" s="166"/>
      <c r="K55" s="167"/>
    </row>
    <row r="56" spans="1:11" ht="15.75" thickBot="1"/>
    <row r="57" spans="1:11" ht="15.75" thickBot="1">
      <c r="A57" s="132" t="s">
        <v>2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4"/>
    </row>
    <row r="59" spans="1:11" ht="19.5" thickBot="1">
      <c r="A59" s="1" t="s">
        <v>3</v>
      </c>
      <c r="B59" s="1"/>
      <c r="C59" s="1"/>
      <c r="D59" s="1"/>
      <c r="E59" s="1"/>
      <c r="F59" s="1"/>
      <c r="G59" s="1"/>
      <c r="H59" s="1"/>
      <c r="I59" s="1"/>
    </row>
    <row r="60" spans="1:11" ht="30.75" thickBot="1">
      <c r="A60" s="2" t="s">
        <v>4</v>
      </c>
      <c r="B60" s="3" t="s">
        <v>5</v>
      </c>
      <c r="C60" s="3" t="s">
        <v>6</v>
      </c>
      <c r="D60" s="3" t="s">
        <v>7</v>
      </c>
      <c r="E60" s="3" t="s">
        <v>8</v>
      </c>
      <c r="F60" s="3" t="s">
        <v>9</v>
      </c>
      <c r="G60" s="3" t="s">
        <v>10</v>
      </c>
      <c r="H60" s="3" t="s">
        <v>21</v>
      </c>
      <c r="I60" s="4" t="s">
        <v>22</v>
      </c>
      <c r="J60" s="4" t="s">
        <v>11</v>
      </c>
      <c r="K60" s="4" t="s">
        <v>12</v>
      </c>
    </row>
    <row r="61" spans="1:11">
      <c r="A61" s="5">
        <v>202</v>
      </c>
      <c r="B61" s="6">
        <v>43912</v>
      </c>
      <c r="C61" s="7">
        <v>0.8</v>
      </c>
      <c r="D61" s="5">
        <v>7.34</v>
      </c>
      <c r="E61" s="5">
        <v>233.5</v>
      </c>
      <c r="F61" s="5">
        <v>248.4</v>
      </c>
      <c r="G61" s="6">
        <v>43912</v>
      </c>
      <c r="H61" s="5"/>
      <c r="I61" s="5"/>
      <c r="J61" s="5">
        <f>F61-E61</f>
        <v>14.900000000000006</v>
      </c>
      <c r="K61" s="8" t="b">
        <f>F61=E62</f>
        <v>1</v>
      </c>
    </row>
    <row r="62" spans="1:11">
      <c r="A62" s="5">
        <v>202</v>
      </c>
      <c r="B62" s="6">
        <v>43915</v>
      </c>
      <c r="C62" s="7">
        <v>1</v>
      </c>
      <c r="D62" s="5">
        <v>5.87</v>
      </c>
      <c r="E62" s="5">
        <v>248.4</v>
      </c>
      <c r="F62" s="5">
        <v>252.8</v>
      </c>
      <c r="G62" s="6">
        <v>43915</v>
      </c>
      <c r="H62" s="5"/>
      <c r="I62" s="5"/>
      <c r="J62" s="5">
        <f>F62-E62</f>
        <v>4.4000000000000057</v>
      </c>
      <c r="K62" s="8" t="b">
        <f>F62=E63</f>
        <v>1</v>
      </c>
    </row>
    <row r="63" spans="1:11">
      <c r="A63" s="5">
        <v>202</v>
      </c>
      <c r="B63" s="6">
        <v>43922</v>
      </c>
      <c r="C63" s="7">
        <v>0.8</v>
      </c>
      <c r="D63" s="5">
        <v>7.34</v>
      </c>
      <c r="E63" s="5">
        <v>252.8</v>
      </c>
      <c r="F63" s="5">
        <v>267.8</v>
      </c>
      <c r="G63" s="6">
        <v>43922</v>
      </c>
      <c r="H63" s="5"/>
      <c r="I63" s="5"/>
      <c r="J63" s="5">
        <f>F63-E63</f>
        <v>15</v>
      </c>
      <c r="K63" s="8" t="b">
        <f>F63=E64</f>
        <v>1</v>
      </c>
    </row>
    <row r="64" spans="1:11">
      <c r="A64" s="5">
        <v>202</v>
      </c>
      <c r="B64" s="6">
        <v>43924</v>
      </c>
      <c r="C64" s="7">
        <v>0.8</v>
      </c>
      <c r="D64" s="5">
        <v>7.34</v>
      </c>
      <c r="E64" s="5">
        <v>267.8</v>
      </c>
      <c r="F64" s="5">
        <v>282.8</v>
      </c>
      <c r="G64" s="6">
        <v>43924</v>
      </c>
      <c r="H64" s="5"/>
      <c r="I64" s="5"/>
      <c r="J64" s="5">
        <f>F64-E64</f>
        <v>15</v>
      </c>
      <c r="K64" s="8" t="b">
        <f>F64=E65</f>
        <v>1</v>
      </c>
    </row>
    <row r="65" spans="1:11">
      <c r="A65" s="5">
        <v>202</v>
      </c>
      <c r="B65" s="6">
        <v>43926</v>
      </c>
      <c r="C65" s="7">
        <v>0.8</v>
      </c>
      <c r="D65" s="5">
        <v>7.34</v>
      </c>
      <c r="E65" s="5">
        <v>282.8</v>
      </c>
      <c r="F65" s="5">
        <v>287.5</v>
      </c>
      <c r="G65" s="6">
        <v>43926</v>
      </c>
      <c r="H65" s="5"/>
      <c r="I65" s="5"/>
      <c r="J65" s="5">
        <f>F65-E65</f>
        <v>4.6999999999999886</v>
      </c>
      <c r="K65" s="8" t="b">
        <f>F65=E66</f>
        <v>1</v>
      </c>
    </row>
    <row r="66" spans="1:11">
      <c r="A66" s="5">
        <v>202</v>
      </c>
      <c r="B66" s="6">
        <v>43928</v>
      </c>
      <c r="C66" s="7">
        <v>0.8</v>
      </c>
      <c r="D66" s="5">
        <v>7.34</v>
      </c>
      <c r="E66" s="5">
        <v>287.5</v>
      </c>
      <c r="F66" s="5">
        <v>300</v>
      </c>
      <c r="G66" s="6">
        <v>43928</v>
      </c>
      <c r="H66" s="5"/>
      <c r="I66" s="5"/>
      <c r="J66" s="5">
        <f t="shared" ref="J66:J73" si="4">F66-E66</f>
        <v>12.5</v>
      </c>
      <c r="K66" s="8" t="b">
        <f t="shared" ref="K66:K73" si="5">F66=E67</f>
        <v>1</v>
      </c>
    </row>
    <row r="67" spans="1:11">
      <c r="A67" s="5">
        <v>202</v>
      </c>
      <c r="B67" s="6">
        <v>43932</v>
      </c>
      <c r="C67" s="7">
        <v>0.8</v>
      </c>
      <c r="D67" s="5">
        <v>7.34</v>
      </c>
      <c r="E67" s="5">
        <v>300</v>
      </c>
      <c r="F67" s="5">
        <v>314</v>
      </c>
      <c r="G67" s="6">
        <v>43932</v>
      </c>
      <c r="H67" s="5"/>
      <c r="I67" s="5"/>
      <c r="J67" s="5">
        <f t="shared" si="4"/>
        <v>14</v>
      </c>
      <c r="K67" s="8" t="b">
        <f t="shared" si="5"/>
        <v>0</v>
      </c>
    </row>
    <row r="68" spans="1:11">
      <c r="A68" s="5">
        <v>202</v>
      </c>
      <c r="B68" s="6">
        <v>43943</v>
      </c>
      <c r="C68" s="7">
        <v>0.8</v>
      </c>
      <c r="D68" s="5">
        <v>7.34</v>
      </c>
      <c r="E68" s="5">
        <v>342</v>
      </c>
      <c r="F68" s="5">
        <v>357</v>
      </c>
      <c r="G68" s="6">
        <v>43943</v>
      </c>
      <c r="H68" s="5"/>
      <c r="I68" s="5"/>
      <c r="J68" s="5">
        <f t="shared" si="4"/>
        <v>15</v>
      </c>
      <c r="K68" s="8" t="b">
        <f t="shared" si="5"/>
        <v>1</v>
      </c>
    </row>
    <row r="69" spans="1:11">
      <c r="A69" s="5">
        <v>202</v>
      </c>
      <c r="B69" s="6">
        <v>43948</v>
      </c>
      <c r="C69" s="7">
        <v>0.8</v>
      </c>
      <c r="D69" s="5">
        <v>7.34</v>
      </c>
      <c r="E69" s="5">
        <v>357</v>
      </c>
      <c r="F69" s="5">
        <v>370</v>
      </c>
      <c r="G69" s="6">
        <v>43948</v>
      </c>
      <c r="H69" s="5"/>
      <c r="I69" s="5"/>
      <c r="J69" s="5">
        <f t="shared" si="4"/>
        <v>13</v>
      </c>
      <c r="K69" s="8" t="b">
        <f t="shared" si="5"/>
        <v>1</v>
      </c>
    </row>
    <row r="70" spans="1:11">
      <c r="A70" s="5">
        <v>202</v>
      </c>
      <c r="B70" s="6">
        <v>43957</v>
      </c>
      <c r="C70" s="7">
        <v>0.8</v>
      </c>
      <c r="D70" s="5">
        <v>7.34</v>
      </c>
      <c r="E70" s="5">
        <v>370</v>
      </c>
      <c r="F70" s="5">
        <v>429</v>
      </c>
      <c r="G70" s="6">
        <v>43957</v>
      </c>
      <c r="H70" s="5"/>
      <c r="I70" s="5"/>
      <c r="J70" s="5">
        <f t="shared" si="4"/>
        <v>59</v>
      </c>
      <c r="K70" s="8" t="b">
        <f t="shared" si="5"/>
        <v>1</v>
      </c>
    </row>
    <row r="71" spans="1:11">
      <c r="A71" s="5">
        <v>202</v>
      </c>
      <c r="B71" s="6">
        <v>43964</v>
      </c>
      <c r="C71" s="7">
        <v>1</v>
      </c>
      <c r="D71" s="5">
        <v>5.87</v>
      </c>
      <c r="E71" s="5">
        <v>429</v>
      </c>
      <c r="F71" s="5">
        <v>435.4</v>
      </c>
      <c r="G71" s="6">
        <v>43964</v>
      </c>
      <c r="H71" s="5"/>
      <c r="I71" s="5"/>
      <c r="J71" s="5">
        <f t="shared" si="4"/>
        <v>6.3999999999999773</v>
      </c>
      <c r="K71" s="8" t="b">
        <f t="shared" si="5"/>
        <v>1</v>
      </c>
    </row>
    <row r="72" spans="1:11">
      <c r="A72" s="5">
        <v>202</v>
      </c>
      <c r="B72" s="6">
        <v>43965</v>
      </c>
      <c r="C72" s="7">
        <v>1</v>
      </c>
      <c r="D72" s="5">
        <v>5.87</v>
      </c>
      <c r="E72" s="5">
        <v>435.4</v>
      </c>
      <c r="F72" s="5">
        <v>441.5</v>
      </c>
      <c r="G72" s="6">
        <v>43965</v>
      </c>
      <c r="H72" s="5"/>
      <c r="I72" s="5"/>
      <c r="J72" s="5">
        <f t="shared" si="4"/>
        <v>6.1000000000000227</v>
      </c>
      <c r="K72" s="8" t="b">
        <f t="shared" si="5"/>
        <v>1</v>
      </c>
    </row>
    <row r="73" spans="1:11">
      <c r="A73" s="5">
        <v>202</v>
      </c>
      <c r="B73" s="6">
        <v>43966</v>
      </c>
      <c r="C73" s="7">
        <v>0.7</v>
      </c>
      <c r="D73" s="5">
        <v>8.39</v>
      </c>
      <c r="E73" s="5">
        <v>441.5</v>
      </c>
      <c r="F73" s="5">
        <v>457.2</v>
      </c>
      <c r="G73" s="6">
        <v>43966</v>
      </c>
      <c r="H73" s="5"/>
      <c r="I73" s="5"/>
      <c r="J73" s="5">
        <f t="shared" si="4"/>
        <v>15.699999999999989</v>
      </c>
      <c r="K73" s="8" t="b">
        <f t="shared" si="5"/>
        <v>1</v>
      </c>
    </row>
    <row r="74" spans="1:11">
      <c r="A74" s="5">
        <v>202</v>
      </c>
      <c r="B74" s="6">
        <v>43967</v>
      </c>
      <c r="C74" s="7">
        <v>0.7</v>
      </c>
      <c r="D74" s="5">
        <v>8.39</v>
      </c>
      <c r="E74" s="5">
        <v>457.2</v>
      </c>
      <c r="F74" s="5">
        <v>474.2</v>
      </c>
      <c r="G74" s="6">
        <v>43967</v>
      </c>
      <c r="H74" s="5"/>
      <c r="I74" s="5"/>
      <c r="J74" s="5">
        <f>F74-E74</f>
        <v>17</v>
      </c>
      <c r="K74" s="8" t="b">
        <f>F74=E75</f>
        <v>1</v>
      </c>
    </row>
    <row r="75" spans="1:11">
      <c r="A75" s="5">
        <v>202</v>
      </c>
      <c r="B75" s="6">
        <v>43971</v>
      </c>
      <c r="C75" s="7">
        <v>0.8</v>
      </c>
      <c r="D75" s="5">
        <v>7.34</v>
      </c>
      <c r="E75" s="5">
        <v>474.2</v>
      </c>
      <c r="F75" s="5">
        <v>491.5</v>
      </c>
      <c r="G75" s="6">
        <v>43971</v>
      </c>
      <c r="H75" s="5"/>
      <c r="I75" s="5"/>
      <c r="J75" s="5">
        <f>F75-E75</f>
        <v>17.300000000000011</v>
      </c>
      <c r="K75" s="8" t="b">
        <f>F75=E76</f>
        <v>1</v>
      </c>
    </row>
    <row r="76" spans="1:11">
      <c r="A76" s="5">
        <v>202</v>
      </c>
      <c r="B76" s="6">
        <v>43973</v>
      </c>
      <c r="C76" s="7">
        <v>0.8</v>
      </c>
      <c r="D76" s="5">
        <v>7.34</v>
      </c>
      <c r="E76" s="5">
        <v>491.5</v>
      </c>
      <c r="F76" s="5">
        <v>506.3</v>
      </c>
      <c r="G76" s="6">
        <v>43973</v>
      </c>
      <c r="H76" s="5"/>
      <c r="I76" s="5"/>
      <c r="J76" s="5">
        <f>F76-E76</f>
        <v>14.800000000000011</v>
      </c>
      <c r="K76" s="8" t="b">
        <f>F76=E77</f>
        <v>1</v>
      </c>
    </row>
    <row r="77" spans="1:11">
      <c r="A77" s="5">
        <v>202</v>
      </c>
      <c r="B77" s="6">
        <v>43975</v>
      </c>
      <c r="C77" s="7">
        <v>0.7</v>
      </c>
      <c r="D77" s="5">
        <v>8.39</v>
      </c>
      <c r="E77" s="5">
        <v>506.3</v>
      </c>
      <c r="F77" s="5">
        <v>523.1</v>
      </c>
      <c r="G77" s="6">
        <v>43975</v>
      </c>
      <c r="H77" s="5"/>
      <c r="I77" s="5"/>
      <c r="J77" s="5">
        <f t="shared" ref="J77:J82" si="6">F77-E77</f>
        <v>16.800000000000011</v>
      </c>
      <c r="K77" s="8" t="b">
        <f t="shared" ref="K77:K82" si="7">F77=E78</f>
        <v>1</v>
      </c>
    </row>
    <row r="78" spans="1:11">
      <c r="A78" s="5">
        <v>202</v>
      </c>
      <c r="B78" s="6">
        <v>43977</v>
      </c>
      <c r="C78" s="7">
        <v>0.8</v>
      </c>
      <c r="D78" s="5">
        <v>7.34</v>
      </c>
      <c r="E78" s="5">
        <v>523.1</v>
      </c>
      <c r="F78" s="5">
        <v>537</v>
      </c>
      <c r="G78" s="6">
        <v>43977</v>
      </c>
      <c r="H78" s="5"/>
      <c r="I78" s="5"/>
      <c r="J78" s="5">
        <f t="shared" si="6"/>
        <v>13.899999999999977</v>
      </c>
      <c r="K78" s="8" t="b">
        <f t="shared" si="7"/>
        <v>1</v>
      </c>
    </row>
    <row r="79" spans="1:11">
      <c r="A79" s="5">
        <v>202</v>
      </c>
      <c r="B79" s="6">
        <v>43979</v>
      </c>
      <c r="C79" s="7">
        <v>0.8</v>
      </c>
      <c r="D79" s="5">
        <v>7.34</v>
      </c>
      <c r="E79" s="5">
        <v>537</v>
      </c>
      <c r="F79" s="5">
        <v>552.70000000000005</v>
      </c>
      <c r="G79" s="6">
        <v>43979</v>
      </c>
      <c r="H79" s="5"/>
      <c r="I79" s="5"/>
      <c r="J79" s="5">
        <f t="shared" si="6"/>
        <v>15.700000000000045</v>
      </c>
      <c r="K79" s="8" t="b">
        <f t="shared" si="7"/>
        <v>1</v>
      </c>
    </row>
    <row r="80" spans="1:11">
      <c r="A80" s="5">
        <v>202</v>
      </c>
      <c r="B80" s="6">
        <v>43981</v>
      </c>
      <c r="C80" s="7">
        <v>0.7</v>
      </c>
      <c r="D80" s="5">
        <v>8.39</v>
      </c>
      <c r="E80" s="5">
        <v>552.70000000000005</v>
      </c>
      <c r="F80" s="5">
        <v>569.6</v>
      </c>
      <c r="G80" s="6">
        <v>43981</v>
      </c>
      <c r="H80" s="5"/>
      <c r="I80" s="5"/>
      <c r="J80" s="5">
        <f t="shared" si="6"/>
        <v>16.899999999999977</v>
      </c>
      <c r="K80" s="8" t="b">
        <f t="shared" si="7"/>
        <v>1</v>
      </c>
    </row>
    <row r="81" spans="1:11">
      <c r="A81" s="5">
        <v>202</v>
      </c>
      <c r="B81" s="6">
        <v>43983</v>
      </c>
      <c r="C81" s="7">
        <v>0.8</v>
      </c>
      <c r="D81" s="5">
        <v>7.34</v>
      </c>
      <c r="E81" s="5">
        <v>569.6</v>
      </c>
      <c r="F81" s="5">
        <v>584.29999999999995</v>
      </c>
      <c r="G81" s="6">
        <v>43983</v>
      </c>
      <c r="H81" s="5"/>
      <c r="I81" s="5"/>
      <c r="J81" s="5">
        <f t="shared" si="6"/>
        <v>14.699999999999932</v>
      </c>
      <c r="K81" s="8" t="b">
        <f t="shared" si="7"/>
        <v>1</v>
      </c>
    </row>
    <row r="82" spans="1:11">
      <c r="A82" s="5">
        <v>202</v>
      </c>
      <c r="B82" s="6">
        <v>43985</v>
      </c>
      <c r="C82" s="7">
        <v>0.8</v>
      </c>
      <c r="D82" s="5">
        <v>7.34</v>
      </c>
      <c r="E82" s="5">
        <v>584.29999999999995</v>
      </c>
      <c r="F82" s="5">
        <v>599.20000000000005</v>
      </c>
      <c r="G82" s="6">
        <v>43985</v>
      </c>
      <c r="H82" s="5"/>
      <c r="I82" s="5"/>
      <c r="J82" s="5">
        <f t="shared" si="6"/>
        <v>14.900000000000091</v>
      </c>
      <c r="K82" s="8" t="b">
        <f t="shared" si="7"/>
        <v>1</v>
      </c>
    </row>
    <row r="83" spans="1:11">
      <c r="A83" s="5">
        <v>202</v>
      </c>
      <c r="B83" s="6">
        <v>43987</v>
      </c>
      <c r="C83" s="7">
        <v>0.8</v>
      </c>
      <c r="D83" s="5">
        <v>7.34</v>
      </c>
      <c r="E83" s="5">
        <v>599.20000000000005</v>
      </c>
      <c r="F83" s="5">
        <v>613.9</v>
      </c>
      <c r="G83" s="6">
        <v>43987</v>
      </c>
      <c r="H83" s="5"/>
      <c r="I83" s="5"/>
      <c r="J83" s="5">
        <f>F83-E83</f>
        <v>14.699999999999932</v>
      </c>
      <c r="K83" s="8" t="b">
        <f>F83=E84</f>
        <v>1</v>
      </c>
    </row>
    <row r="84" spans="1:11">
      <c r="A84" s="5">
        <v>202</v>
      </c>
      <c r="B84" s="6">
        <v>43991</v>
      </c>
      <c r="C84" s="7">
        <v>0.7</v>
      </c>
      <c r="D84" s="5">
        <v>8.39</v>
      </c>
      <c r="E84" s="5">
        <v>613.9</v>
      </c>
      <c r="F84" s="5">
        <v>630</v>
      </c>
      <c r="G84" s="6">
        <v>43991</v>
      </c>
      <c r="H84" s="5"/>
      <c r="I84" s="5"/>
      <c r="J84" s="5">
        <f>F84-E84</f>
        <v>16.100000000000023</v>
      </c>
      <c r="K84" s="8" t="b">
        <f>F84=E85</f>
        <v>1</v>
      </c>
    </row>
    <row r="85" spans="1:11">
      <c r="A85" s="5">
        <v>202</v>
      </c>
      <c r="B85" s="6">
        <v>43994</v>
      </c>
      <c r="C85" s="7">
        <v>0.7</v>
      </c>
      <c r="D85" s="5">
        <v>8.39</v>
      </c>
      <c r="E85" s="5">
        <v>630</v>
      </c>
      <c r="F85" s="5">
        <v>647</v>
      </c>
      <c r="G85" s="6">
        <v>43993</v>
      </c>
      <c r="H85" s="5"/>
      <c r="I85" s="5"/>
      <c r="J85" s="5">
        <f>F85-E85</f>
        <v>17</v>
      </c>
      <c r="K85" s="8" t="b">
        <f>F85=E86</f>
        <v>1</v>
      </c>
    </row>
    <row r="86" spans="1:11">
      <c r="A86" s="5">
        <v>202</v>
      </c>
      <c r="B86" s="6">
        <v>43997</v>
      </c>
      <c r="C86" s="7">
        <v>0.7</v>
      </c>
      <c r="D86" s="5">
        <v>8.39</v>
      </c>
      <c r="E86" s="5">
        <v>647</v>
      </c>
      <c r="F86" s="5">
        <v>664</v>
      </c>
      <c r="G86" s="6">
        <v>43997</v>
      </c>
      <c r="H86" s="5"/>
      <c r="I86" s="5"/>
      <c r="J86" s="5">
        <f>F86-E86</f>
        <v>17</v>
      </c>
      <c r="K86" s="8" t="b">
        <f>F86=E87</f>
        <v>1</v>
      </c>
    </row>
    <row r="87" spans="1:11">
      <c r="A87" s="5">
        <v>202</v>
      </c>
      <c r="B87" s="6">
        <v>44002</v>
      </c>
      <c r="C87" s="7">
        <v>0.7</v>
      </c>
      <c r="D87" s="5">
        <v>8.39</v>
      </c>
      <c r="E87" s="5">
        <v>664</v>
      </c>
      <c r="F87" s="5">
        <v>681.5</v>
      </c>
      <c r="G87" s="6">
        <v>44002</v>
      </c>
      <c r="H87" s="5"/>
      <c r="I87" s="5"/>
      <c r="J87" s="5">
        <f>F87-E87</f>
        <v>17.5</v>
      </c>
      <c r="K87" s="8" t="b">
        <f>F87=E88</f>
        <v>1</v>
      </c>
    </row>
    <row r="88" spans="1:11">
      <c r="A88" s="5">
        <v>202</v>
      </c>
      <c r="B88" s="6">
        <v>44003</v>
      </c>
      <c r="C88" s="7">
        <v>0.7</v>
      </c>
      <c r="D88" s="5">
        <v>8.39</v>
      </c>
      <c r="E88" s="5">
        <v>681.5</v>
      </c>
      <c r="F88" s="5">
        <v>699</v>
      </c>
      <c r="G88" s="6">
        <v>44003</v>
      </c>
      <c r="H88" s="5"/>
      <c r="I88" s="5"/>
      <c r="J88" s="5">
        <f t="shared" ref="J88:J94" si="8">F88-E88</f>
        <v>17.5</v>
      </c>
      <c r="K88" s="8" t="b">
        <f t="shared" ref="K88:K94" si="9">F88=E89</f>
        <v>1</v>
      </c>
    </row>
    <row r="89" spans="1:11">
      <c r="A89" s="5">
        <v>202</v>
      </c>
      <c r="B89" s="6">
        <v>44006</v>
      </c>
      <c r="C89" s="7">
        <v>0.7</v>
      </c>
      <c r="D89" s="5">
        <v>8.39</v>
      </c>
      <c r="E89" s="5">
        <v>699</v>
      </c>
      <c r="F89" s="5">
        <v>713.9</v>
      </c>
      <c r="G89" s="6">
        <v>44006</v>
      </c>
      <c r="H89" s="5"/>
      <c r="I89" s="5"/>
      <c r="J89" s="5">
        <f t="shared" si="8"/>
        <v>14.899999999999977</v>
      </c>
      <c r="K89" s="8" t="b">
        <f t="shared" si="9"/>
        <v>1</v>
      </c>
    </row>
    <row r="90" spans="1:11">
      <c r="A90" s="5">
        <v>202</v>
      </c>
      <c r="B90" s="6">
        <v>44009</v>
      </c>
      <c r="C90" s="7">
        <v>0.7</v>
      </c>
      <c r="D90" s="5">
        <v>8.39</v>
      </c>
      <c r="E90" s="5">
        <v>713.9</v>
      </c>
      <c r="F90" s="5">
        <v>732.9</v>
      </c>
      <c r="G90" s="6">
        <v>44009</v>
      </c>
      <c r="H90" s="5"/>
      <c r="I90" s="5"/>
      <c r="J90" s="5">
        <f t="shared" si="8"/>
        <v>19</v>
      </c>
      <c r="K90" s="8" t="b">
        <f t="shared" si="9"/>
        <v>1</v>
      </c>
    </row>
    <row r="91" spans="1:11">
      <c r="A91" s="5">
        <v>202</v>
      </c>
      <c r="B91" s="6">
        <v>44015</v>
      </c>
      <c r="C91" s="7">
        <v>0.7</v>
      </c>
      <c r="D91" s="5">
        <v>8.39</v>
      </c>
      <c r="E91" s="5">
        <v>732.9</v>
      </c>
      <c r="F91" s="5">
        <v>766</v>
      </c>
      <c r="G91" s="6"/>
      <c r="H91" s="5"/>
      <c r="I91" s="5"/>
      <c r="J91" s="5">
        <f t="shared" si="8"/>
        <v>33.100000000000023</v>
      </c>
      <c r="K91" s="8" t="b">
        <f t="shared" si="9"/>
        <v>1</v>
      </c>
    </row>
    <row r="92" spans="1:11">
      <c r="A92" s="5">
        <v>202</v>
      </c>
      <c r="B92" s="6">
        <v>44017</v>
      </c>
      <c r="C92" s="7">
        <v>0.7</v>
      </c>
      <c r="D92" s="5">
        <v>8.39</v>
      </c>
      <c r="E92" s="5">
        <v>766</v>
      </c>
      <c r="F92" s="5">
        <v>783</v>
      </c>
      <c r="G92" s="6"/>
      <c r="H92" s="5"/>
      <c r="I92" s="5"/>
      <c r="J92" s="5">
        <f t="shared" si="8"/>
        <v>17</v>
      </c>
      <c r="K92" s="8" t="b">
        <f t="shared" si="9"/>
        <v>1</v>
      </c>
    </row>
    <row r="93" spans="1:11">
      <c r="A93" s="5">
        <v>202</v>
      </c>
      <c r="B93" s="6">
        <v>44021</v>
      </c>
      <c r="C93" s="7">
        <v>0.7</v>
      </c>
      <c r="D93" s="5">
        <v>8.39</v>
      </c>
      <c r="E93" s="5">
        <v>783</v>
      </c>
      <c r="F93" s="5">
        <v>800</v>
      </c>
      <c r="G93" s="6"/>
      <c r="H93" s="5"/>
      <c r="I93" s="5"/>
      <c r="J93" s="5">
        <f t="shared" si="8"/>
        <v>17</v>
      </c>
      <c r="K93" s="8" t="b">
        <f t="shared" si="9"/>
        <v>1</v>
      </c>
    </row>
    <row r="94" spans="1:11">
      <c r="A94" s="5">
        <v>202</v>
      </c>
      <c r="B94" s="6">
        <v>44025</v>
      </c>
      <c r="C94" s="7">
        <v>0.4</v>
      </c>
      <c r="D94" s="5"/>
      <c r="E94" s="5">
        <v>800</v>
      </c>
      <c r="F94" s="5">
        <v>817</v>
      </c>
      <c r="G94" s="6"/>
      <c r="H94" s="5"/>
      <c r="I94" s="5"/>
      <c r="J94" s="5">
        <f t="shared" si="8"/>
        <v>17</v>
      </c>
      <c r="K94" s="8" t="b">
        <f t="shared" si="9"/>
        <v>1</v>
      </c>
    </row>
    <row r="95" spans="1:11">
      <c r="A95" s="5">
        <v>202</v>
      </c>
      <c r="B95" s="6">
        <v>44029</v>
      </c>
      <c r="C95" s="7">
        <v>0.7</v>
      </c>
      <c r="D95" s="5">
        <v>8.39</v>
      </c>
      <c r="E95" s="5">
        <v>817</v>
      </c>
      <c r="F95" s="5">
        <v>834</v>
      </c>
      <c r="G95" s="6"/>
      <c r="H95" s="5"/>
      <c r="I95" s="5"/>
      <c r="J95" s="5">
        <f>F95-E95</f>
        <v>17</v>
      </c>
      <c r="K95" s="8" t="b">
        <f t="shared" ref="K95:K104" si="10">F95=E96</f>
        <v>1</v>
      </c>
    </row>
    <row r="96" spans="1:11">
      <c r="A96" s="5">
        <v>202</v>
      </c>
      <c r="B96" s="6">
        <v>44033</v>
      </c>
      <c r="C96" s="7">
        <v>0.7</v>
      </c>
      <c r="D96" s="5">
        <v>8.39</v>
      </c>
      <c r="E96" s="5">
        <v>834</v>
      </c>
      <c r="F96" s="5">
        <v>851.6</v>
      </c>
      <c r="G96" s="6">
        <v>44033</v>
      </c>
      <c r="H96" s="5"/>
      <c r="I96" s="5"/>
      <c r="J96" s="5">
        <f>F96-E96</f>
        <v>17.600000000000023</v>
      </c>
      <c r="K96" s="8" t="b">
        <f t="shared" si="10"/>
        <v>1</v>
      </c>
    </row>
    <row r="97" spans="1:11">
      <c r="A97" s="5">
        <v>202</v>
      </c>
      <c r="B97" s="6">
        <v>44037</v>
      </c>
      <c r="C97" s="7">
        <v>0.4</v>
      </c>
      <c r="D97" s="5"/>
      <c r="E97" s="5">
        <v>851.6</v>
      </c>
      <c r="F97" s="5">
        <v>868</v>
      </c>
      <c r="G97" s="6">
        <v>44037</v>
      </c>
      <c r="H97" s="5"/>
      <c r="I97" s="5"/>
      <c r="J97" s="5">
        <f>F97-E97</f>
        <v>16.399999999999977</v>
      </c>
      <c r="K97" s="8" t="b">
        <f t="shared" si="10"/>
        <v>0</v>
      </c>
    </row>
    <row r="98" spans="1:11">
      <c r="A98" s="5">
        <v>202</v>
      </c>
      <c r="B98" s="6">
        <v>44041</v>
      </c>
      <c r="C98" s="7"/>
      <c r="D98" s="5"/>
      <c r="E98" s="5"/>
      <c r="F98" s="5"/>
      <c r="G98" s="6"/>
      <c r="H98" s="5"/>
      <c r="I98" s="5"/>
      <c r="J98" s="5">
        <f>F98-E98</f>
        <v>0</v>
      </c>
      <c r="K98" s="8" t="b">
        <f t="shared" si="10"/>
        <v>1</v>
      </c>
    </row>
    <row r="99" spans="1:11">
      <c r="A99" s="5">
        <v>202</v>
      </c>
      <c r="B99" s="6">
        <v>44047</v>
      </c>
      <c r="C99" s="7"/>
      <c r="D99" s="5"/>
      <c r="E99" s="5"/>
      <c r="F99" s="5"/>
      <c r="G99" s="6"/>
      <c r="H99" s="5"/>
      <c r="I99" s="5"/>
      <c r="J99" s="5">
        <f t="shared" ref="J99:J116" si="11">F99-E99</f>
        <v>0</v>
      </c>
      <c r="K99" s="8" t="b">
        <f t="shared" si="10"/>
        <v>0</v>
      </c>
    </row>
    <row r="100" spans="1:11">
      <c r="A100" s="5">
        <v>202</v>
      </c>
      <c r="B100" s="6">
        <v>44132</v>
      </c>
      <c r="C100" s="7">
        <v>0.8</v>
      </c>
      <c r="D100" s="5">
        <v>7.34</v>
      </c>
      <c r="E100" s="5">
        <v>897</v>
      </c>
      <c r="F100" s="5">
        <v>912</v>
      </c>
      <c r="G100" s="6">
        <v>44132</v>
      </c>
      <c r="H100" s="5"/>
      <c r="I100" s="5"/>
      <c r="J100" s="5">
        <f t="shared" si="11"/>
        <v>15</v>
      </c>
      <c r="K100" s="8" t="b">
        <f t="shared" si="10"/>
        <v>0</v>
      </c>
    </row>
    <row r="101" spans="1:11">
      <c r="A101" s="5">
        <v>202</v>
      </c>
      <c r="B101" s="6">
        <v>44198</v>
      </c>
      <c r="C101" s="7">
        <v>0.6</v>
      </c>
      <c r="D101" s="5">
        <v>9.7799999999999994</v>
      </c>
      <c r="E101" s="5">
        <v>1002.6</v>
      </c>
      <c r="F101" s="5">
        <v>1024.3</v>
      </c>
      <c r="G101" s="6">
        <v>44198</v>
      </c>
      <c r="H101" s="5"/>
      <c r="I101" s="5"/>
      <c r="J101" s="5">
        <f t="shared" si="11"/>
        <v>21.699999999999932</v>
      </c>
      <c r="K101" s="8" t="b">
        <f t="shared" si="10"/>
        <v>1</v>
      </c>
    </row>
    <row r="102" spans="1:11">
      <c r="A102" s="5">
        <v>202</v>
      </c>
      <c r="B102" s="6">
        <v>44200</v>
      </c>
      <c r="C102" s="7">
        <v>0.6</v>
      </c>
      <c r="D102" s="5">
        <v>9.7799999999999994</v>
      </c>
      <c r="E102" s="5">
        <v>1024.3</v>
      </c>
      <c r="F102" s="5">
        <v>1044.4000000000001</v>
      </c>
      <c r="G102" s="6">
        <v>44200</v>
      </c>
      <c r="H102" s="5"/>
      <c r="I102" s="5"/>
      <c r="J102" s="5">
        <f t="shared" si="11"/>
        <v>20.100000000000136</v>
      </c>
      <c r="K102" s="8" t="b">
        <f t="shared" si="10"/>
        <v>0</v>
      </c>
    </row>
    <row r="103" spans="1:11">
      <c r="A103" s="5">
        <v>202</v>
      </c>
      <c r="B103" s="6">
        <v>44201</v>
      </c>
      <c r="C103" s="7">
        <v>0.75</v>
      </c>
      <c r="D103" s="5">
        <v>7.83</v>
      </c>
      <c r="E103" s="5">
        <v>1063.3</v>
      </c>
      <c r="F103" s="5">
        <v>1079.2</v>
      </c>
      <c r="G103" s="6">
        <v>44201</v>
      </c>
      <c r="H103" s="5"/>
      <c r="I103" s="5"/>
      <c r="J103" s="5">
        <f t="shared" si="11"/>
        <v>15.900000000000091</v>
      </c>
      <c r="K103" s="8" t="b">
        <f t="shared" si="10"/>
        <v>0</v>
      </c>
    </row>
    <row r="104" spans="1:11">
      <c r="A104" s="5">
        <v>202</v>
      </c>
      <c r="B104" s="6">
        <v>44217</v>
      </c>
      <c r="C104" s="7">
        <v>1</v>
      </c>
      <c r="D104" s="5">
        <v>5.87</v>
      </c>
      <c r="E104" s="5">
        <v>1079</v>
      </c>
      <c r="F104" s="5">
        <v>1091.5</v>
      </c>
      <c r="G104" s="6">
        <v>44217</v>
      </c>
      <c r="H104" s="5"/>
      <c r="I104" s="5"/>
      <c r="J104" s="5">
        <f t="shared" si="11"/>
        <v>12.5</v>
      </c>
      <c r="K104" s="8" t="b">
        <f t="shared" si="10"/>
        <v>1</v>
      </c>
    </row>
    <row r="105" spans="1:11">
      <c r="A105" s="5">
        <v>202</v>
      </c>
      <c r="B105" s="6">
        <v>44219</v>
      </c>
      <c r="C105" s="7">
        <v>0.7</v>
      </c>
      <c r="D105" s="5">
        <v>8.39</v>
      </c>
      <c r="E105" s="5">
        <v>1091.5</v>
      </c>
      <c r="F105" s="5">
        <v>1109.8</v>
      </c>
      <c r="G105" s="6">
        <v>44219</v>
      </c>
      <c r="H105" s="5"/>
      <c r="I105" s="5"/>
      <c r="J105" s="5">
        <f t="shared" si="11"/>
        <v>18.299999999999955</v>
      </c>
      <c r="K105" s="8" t="b">
        <f>F105=E114</f>
        <v>0</v>
      </c>
    </row>
    <row r="106" spans="1:11">
      <c r="A106" s="5">
        <v>202</v>
      </c>
      <c r="B106" s="6">
        <v>44221</v>
      </c>
      <c r="C106" s="7">
        <v>0.7</v>
      </c>
      <c r="D106" s="5">
        <v>8.39</v>
      </c>
      <c r="E106" s="5">
        <v>1109.8</v>
      </c>
      <c r="F106" s="5">
        <v>1125.9000000000001</v>
      </c>
      <c r="G106" s="6">
        <v>44221</v>
      </c>
      <c r="H106" s="5"/>
      <c r="I106" s="5"/>
      <c r="J106" s="5">
        <f t="shared" ref="J106:J114" si="12">F106-E106</f>
        <v>16.100000000000136</v>
      </c>
      <c r="K106" s="8" t="b">
        <f>F106=E107</f>
        <v>0</v>
      </c>
    </row>
    <row r="107" spans="1:11">
      <c r="A107" s="5">
        <v>202</v>
      </c>
      <c r="B107" s="6">
        <v>44225</v>
      </c>
      <c r="C107" s="7">
        <v>0.7</v>
      </c>
      <c r="D107" s="5">
        <v>8.39</v>
      </c>
      <c r="E107" s="5">
        <v>253</v>
      </c>
      <c r="F107" s="5">
        <v>270</v>
      </c>
      <c r="G107" s="6">
        <v>44225</v>
      </c>
      <c r="H107" s="5"/>
      <c r="I107" s="5"/>
      <c r="J107" s="5">
        <f t="shared" si="12"/>
        <v>17</v>
      </c>
      <c r="K107" s="8" t="b">
        <f>F107=E116</f>
        <v>0</v>
      </c>
    </row>
    <row r="108" spans="1:11">
      <c r="A108" s="5">
        <v>202</v>
      </c>
      <c r="B108" s="6">
        <v>44226</v>
      </c>
      <c r="C108" s="7">
        <v>0.7</v>
      </c>
      <c r="D108" s="5">
        <v>8.39</v>
      </c>
      <c r="E108" s="5">
        <v>270</v>
      </c>
      <c r="F108" s="5">
        <v>286.7</v>
      </c>
      <c r="G108" s="6">
        <v>44226</v>
      </c>
      <c r="H108" s="5"/>
      <c r="I108" s="5"/>
      <c r="J108" s="5">
        <f t="shared" si="12"/>
        <v>16.699999999999989</v>
      </c>
      <c r="K108" s="8" t="b">
        <f>F108=E109</f>
        <v>1</v>
      </c>
    </row>
    <row r="109" spans="1:11">
      <c r="A109" s="5">
        <v>202</v>
      </c>
      <c r="B109" s="6">
        <v>44228</v>
      </c>
      <c r="C109" s="7">
        <v>0.7</v>
      </c>
      <c r="D109" s="5">
        <v>8.39</v>
      </c>
      <c r="E109" s="5">
        <v>286.7</v>
      </c>
      <c r="F109" s="5">
        <v>303.7</v>
      </c>
      <c r="G109" s="6">
        <v>44228</v>
      </c>
      <c r="H109" s="5"/>
      <c r="I109" s="5"/>
      <c r="J109" s="5">
        <f t="shared" si="12"/>
        <v>17</v>
      </c>
      <c r="K109" s="8" t="b">
        <f>F109=E132</f>
        <v>0</v>
      </c>
    </row>
    <row r="110" spans="1:11">
      <c r="A110" s="5">
        <v>202</v>
      </c>
      <c r="B110" s="6">
        <v>44232</v>
      </c>
      <c r="C110" s="7">
        <v>1</v>
      </c>
      <c r="D110" s="5">
        <v>5.87</v>
      </c>
      <c r="E110" s="5">
        <v>303.7</v>
      </c>
      <c r="F110" s="5">
        <v>318.10000000000002</v>
      </c>
      <c r="G110" s="6">
        <v>44232</v>
      </c>
      <c r="H110" s="5"/>
      <c r="I110" s="5"/>
      <c r="J110" s="5">
        <f t="shared" si="12"/>
        <v>14.400000000000034</v>
      </c>
      <c r="K110" s="8" t="b">
        <f>F110=E111</f>
        <v>0</v>
      </c>
    </row>
    <row r="111" spans="1:11">
      <c r="A111" s="5">
        <v>202</v>
      </c>
      <c r="B111" s="6">
        <v>44243</v>
      </c>
      <c r="C111" s="7">
        <v>1</v>
      </c>
      <c r="D111" s="5">
        <v>5.87</v>
      </c>
      <c r="E111" s="5">
        <v>318</v>
      </c>
      <c r="F111" s="5">
        <v>330</v>
      </c>
      <c r="G111" s="6">
        <v>44243</v>
      </c>
      <c r="H111" s="5"/>
      <c r="I111" s="5"/>
      <c r="J111" s="5">
        <f t="shared" si="12"/>
        <v>12</v>
      </c>
      <c r="K111" s="8" t="b">
        <f>F111=E134</f>
        <v>0</v>
      </c>
    </row>
    <row r="112" spans="1:11">
      <c r="A112" s="5">
        <v>202</v>
      </c>
      <c r="B112" s="6">
        <v>44253</v>
      </c>
      <c r="C112" s="7">
        <v>1</v>
      </c>
      <c r="D112" s="5">
        <v>5.87</v>
      </c>
      <c r="E112" s="5">
        <v>331.9</v>
      </c>
      <c r="F112" s="5">
        <v>343.6</v>
      </c>
      <c r="G112" s="6">
        <v>44253</v>
      </c>
      <c r="H112" s="5"/>
      <c r="I112" s="5"/>
      <c r="J112" s="5">
        <f t="shared" si="12"/>
        <v>11.700000000000045</v>
      </c>
      <c r="K112" s="8" t="b">
        <f>F112=E113</f>
        <v>0</v>
      </c>
    </row>
    <row r="113" spans="1:11">
      <c r="A113" s="5">
        <v>202</v>
      </c>
      <c r="B113" s="6">
        <v>44260</v>
      </c>
      <c r="C113" s="7">
        <v>0.7</v>
      </c>
      <c r="D113" s="5">
        <v>8.39</v>
      </c>
      <c r="E113" s="5">
        <v>343.1</v>
      </c>
      <c r="F113" s="5">
        <v>360.7</v>
      </c>
      <c r="G113" s="6">
        <v>44260</v>
      </c>
      <c r="H113" s="5"/>
      <c r="I113" s="5"/>
      <c r="J113" s="5">
        <f t="shared" si="12"/>
        <v>17.599999999999966</v>
      </c>
      <c r="K113" s="8" t="b">
        <f>F113=E136</f>
        <v>0</v>
      </c>
    </row>
    <row r="114" spans="1:11">
      <c r="A114" s="5">
        <v>202</v>
      </c>
      <c r="B114" s="6">
        <v>44261</v>
      </c>
      <c r="C114" s="7">
        <v>0.7</v>
      </c>
      <c r="D114" s="5">
        <v>8.39</v>
      </c>
      <c r="E114" s="5">
        <v>360.7</v>
      </c>
      <c r="F114" s="5">
        <v>366.1</v>
      </c>
      <c r="G114" s="6">
        <v>44261</v>
      </c>
      <c r="H114" s="5"/>
      <c r="I114" s="5"/>
      <c r="J114" s="5">
        <f t="shared" si="12"/>
        <v>5.4000000000000341</v>
      </c>
      <c r="K114" s="8" t="b">
        <f t="shared" ref="K114:K119" si="13">F114=E115</f>
        <v>0</v>
      </c>
    </row>
    <row r="115" spans="1:11">
      <c r="A115" s="5">
        <v>202</v>
      </c>
      <c r="B115" s="6">
        <v>44271</v>
      </c>
      <c r="C115" s="7">
        <v>0.7</v>
      </c>
      <c r="D115" s="5">
        <v>8.39</v>
      </c>
      <c r="E115" s="5">
        <v>567</v>
      </c>
      <c r="F115" s="5">
        <v>384.1</v>
      </c>
      <c r="G115" s="6">
        <v>44271</v>
      </c>
      <c r="H115" s="5"/>
      <c r="I115" s="5"/>
      <c r="J115" s="5">
        <f t="shared" si="11"/>
        <v>-182.89999999999998</v>
      </c>
      <c r="K115" s="8" t="b">
        <f t="shared" si="13"/>
        <v>0</v>
      </c>
    </row>
    <row r="116" spans="1:11">
      <c r="A116" s="5">
        <v>202</v>
      </c>
      <c r="B116" s="6">
        <v>44273</v>
      </c>
      <c r="C116" s="7">
        <v>0.7</v>
      </c>
      <c r="D116" s="5">
        <v>8.39</v>
      </c>
      <c r="E116" s="5">
        <v>384</v>
      </c>
      <c r="F116" s="5">
        <v>400</v>
      </c>
      <c r="G116" s="6">
        <v>44273</v>
      </c>
      <c r="H116" s="5"/>
      <c r="I116" s="5"/>
      <c r="J116" s="5">
        <f t="shared" si="11"/>
        <v>16</v>
      </c>
      <c r="K116" s="8" t="b">
        <f t="shared" si="13"/>
        <v>0</v>
      </c>
    </row>
    <row r="117" spans="1:11">
      <c r="A117" s="5">
        <v>202</v>
      </c>
      <c r="B117" s="6">
        <v>44278</v>
      </c>
      <c r="C117" s="7">
        <v>0.7</v>
      </c>
      <c r="D117" s="5">
        <v>8.39</v>
      </c>
      <c r="E117" s="5">
        <v>400.7</v>
      </c>
      <c r="F117" s="5">
        <v>419.4</v>
      </c>
      <c r="G117" s="6">
        <v>44278</v>
      </c>
      <c r="H117" s="5"/>
      <c r="I117" s="5"/>
      <c r="J117" s="5">
        <f>F117-E117</f>
        <v>18.699999999999989</v>
      </c>
      <c r="K117" s="8" t="b">
        <f t="shared" si="13"/>
        <v>0</v>
      </c>
    </row>
    <row r="118" spans="1:11">
      <c r="A118" s="5">
        <v>202</v>
      </c>
      <c r="B118" s="6">
        <v>44281</v>
      </c>
      <c r="C118" s="7">
        <v>0.7</v>
      </c>
      <c r="D118" s="5">
        <v>8.39</v>
      </c>
      <c r="E118" s="5">
        <v>419.7</v>
      </c>
      <c r="F118" s="5">
        <v>436.8</v>
      </c>
      <c r="G118" s="6">
        <v>44281</v>
      </c>
      <c r="H118" s="5"/>
      <c r="I118" s="5"/>
      <c r="J118" s="5">
        <f>F118-E118</f>
        <v>17.100000000000023</v>
      </c>
      <c r="K118" s="8" t="b">
        <f t="shared" si="13"/>
        <v>1</v>
      </c>
    </row>
    <row r="119" spans="1:11">
      <c r="A119" s="5">
        <v>202</v>
      </c>
      <c r="B119" s="6">
        <v>44283</v>
      </c>
      <c r="C119" s="7">
        <v>0.7</v>
      </c>
      <c r="D119" s="5">
        <v>8.39</v>
      </c>
      <c r="E119" s="5">
        <v>436.8</v>
      </c>
      <c r="F119" s="5">
        <v>454.5</v>
      </c>
      <c r="G119" s="6">
        <v>44283</v>
      </c>
      <c r="H119" s="5"/>
      <c r="I119" s="5"/>
      <c r="J119" s="5">
        <f>F119-E119</f>
        <v>17.699999999999989</v>
      </c>
      <c r="K119" s="8" t="b">
        <f t="shared" si="13"/>
        <v>1</v>
      </c>
    </row>
    <row r="120" spans="1:11">
      <c r="A120" s="5">
        <v>202</v>
      </c>
      <c r="B120" s="6">
        <v>44285</v>
      </c>
      <c r="C120" s="7">
        <v>0.7</v>
      </c>
      <c r="D120" s="5">
        <v>8.39</v>
      </c>
      <c r="E120" s="5">
        <v>454.5</v>
      </c>
      <c r="F120" s="5">
        <v>471</v>
      </c>
      <c r="G120" s="6">
        <v>44285</v>
      </c>
      <c r="H120" s="5"/>
      <c r="I120" s="5"/>
      <c r="J120" s="5">
        <f>F120-E120</f>
        <v>16.5</v>
      </c>
      <c r="K120" s="8" t="b">
        <f t="shared" ref="K120:K127" si="14">F120=E131</f>
        <v>0</v>
      </c>
    </row>
    <row r="121" spans="1:11">
      <c r="A121" s="5">
        <v>202</v>
      </c>
      <c r="B121" s="6">
        <v>44287</v>
      </c>
      <c r="C121" s="7">
        <v>0.7</v>
      </c>
      <c r="D121" s="5">
        <v>8.39</v>
      </c>
      <c r="E121" s="5">
        <v>471.1</v>
      </c>
      <c r="F121" s="5">
        <v>488.4</v>
      </c>
      <c r="G121" s="6">
        <v>44287</v>
      </c>
      <c r="H121" s="5"/>
      <c r="I121" s="5"/>
      <c r="J121" s="5">
        <f t="shared" ref="J121:J131" si="15">F121-E121</f>
        <v>17.299999999999955</v>
      </c>
      <c r="K121" s="8" t="b">
        <f t="shared" si="14"/>
        <v>0</v>
      </c>
    </row>
    <row r="122" spans="1:11">
      <c r="A122" s="5">
        <v>202</v>
      </c>
      <c r="B122" s="6">
        <v>44289</v>
      </c>
      <c r="C122" s="7">
        <v>0.7</v>
      </c>
      <c r="D122" s="5">
        <v>8.39</v>
      </c>
      <c r="E122" s="5">
        <v>488.4</v>
      </c>
      <c r="F122" s="5">
        <v>505.5</v>
      </c>
      <c r="G122" s="6">
        <v>44289</v>
      </c>
      <c r="H122" s="5"/>
      <c r="I122" s="5"/>
      <c r="J122" s="5">
        <f t="shared" si="15"/>
        <v>17.100000000000023</v>
      </c>
      <c r="K122" s="8" t="b">
        <f t="shared" si="14"/>
        <v>0</v>
      </c>
    </row>
    <row r="123" spans="1:11">
      <c r="A123" s="5">
        <v>202</v>
      </c>
      <c r="B123" s="6">
        <v>44292</v>
      </c>
      <c r="C123" s="7">
        <v>0.7</v>
      </c>
      <c r="D123" s="5">
        <v>8.39</v>
      </c>
      <c r="E123" s="5">
        <v>505.7</v>
      </c>
      <c r="F123" s="5">
        <v>522.70000000000005</v>
      </c>
      <c r="G123" s="6">
        <v>44292</v>
      </c>
      <c r="H123" s="5"/>
      <c r="I123" s="5"/>
      <c r="J123" s="5">
        <f t="shared" si="15"/>
        <v>17.000000000000057</v>
      </c>
      <c r="K123" s="8" t="b">
        <f t="shared" si="14"/>
        <v>0</v>
      </c>
    </row>
    <row r="124" spans="1:11">
      <c r="A124" s="5">
        <v>202</v>
      </c>
      <c r="B124" s="6">
        <v>44294</v>
      </c>
      <c r="C124" s="7">
        <v>0.7</v>
      </c>
      <c r="D124" s="5">
        <v>8.39</v>
      </c>
      <c r="E124" s="5">
        <v>522.70000000000005</v>
      </c>
      <c r="F124" s="5">
        <v>539.79999999999995</v>
      </c>
      <c r="G124" s="6">
        <v>44294</v>
      </c>
      <c r="H124" s="5"/>
      <c r="I124" s="5"/>
      <c r="J124" s="5">
        <f t="shared" si="15"/>
        <v>17.099999999999909</v>
      </c>
      <c r="K124" s="8" t="b">
        <f t="shared" si="14"/>
        <v>0</v>
      </c>
    </row>
    <row r="125" spans="1:11">
      <c r="A125" s="5">
        <v>202</v>
      </c>
      <c r="B125" s="6">
        <v>44296</v>
      </c>
      <c r="C125" s="7">
        <v>0.7</v>
      </c>
      <c r="D125" s="5">
        <v>8.39</v>
      </c>
      <c r="E125" s="5">
        <v>539.79999999999995</v>
      </c>
      <c r="F125" s="5">
        <v>556.4</v>
      </c>
      <c r="G125" s="6">
        <v>44296</v>
      </c>
      <c r="H125" s="5"/>
      <c r="I125" s="5"/>
      <c r="J125" s="5">
        <f t="shared" si="15"/>
        <v>16.600000000000023</v>
      </c>
      <c r="K125" s="8" t="b">
        <f t="shared" si="14"/>
        <v>0</v>
      </c>
    </row>
    <row r="126" spans="1:11">
      <c r="A126" s="5">
        <v>202</v>
      </c>
      <c r="B126" s="6">
        <v>44300</v>
      </c>
      <c r="C126" s="7">
        <v>0.7</v>
      </c>
      <c r="D126" s="5">
        <v>8.39</v>
      </c>
      <c r="E126" s="5">
        <v>556.4</v>
      </c>
      <c r="F126" s="5">
        <v>573.79999999999995</v>
      </c>
      <c r="G126" s="6">
        <v>44300</v>
      </c>
      <c r="H126" s="5"/>
      <c r="I126" s="5"/>
      <c r="J126" s="5">
        <f t="shared" si="15"/>
        <v>17.399999999999977</v>
      </c>
      <c r="K126" s="8" t="b">
        <f t="shared" si="14"/>
        <v>0</v>
      </c>
    </row>
    <row r="127" spans="1:11">
      <c r="A127" s="5">
        <v>202</v>
      </c>
      <c r="B127" s="6">
        <v>44302</v>
      </c>
      <c r="C127" s="7">
        <v>0.7</v>
      </c>
      <c r="D127" s="5">
        <v>8.39</v>
      </c>
      <c r="E127" s="5">
        <v>573.79999999999995</v>
      </c>
      <c r="F127" s="5">
        <v>591.1</v>
      </c>
      <c r="G127" s="6">
        <v>44302</v>
      </c>
      <c r="H127" s="5"/>
      <c r="I127" s="5"/>
      <c r="J127" s="5">
        <f t="shared" si="15"/>
        <v>17.300000000000068</v>
      </c>
      <c r="K127" s="8" t="b">
        <f t="shared" si="14"/>
        <v>0</v>
      </c>
    </row>
    <row r="128" spans="1:11">
      <c r="A128" s="5">
        <v>202</v>
      </c>
      <c r="B128" s="6">
        <v>44311</v>
      </c>
      <c r="C128" s="7">
        <v>0.7</v>
      </c>
      <c r="D128" s="5">
        <v>8.2899999999999991</v>
      </c>
      <c r="E128" s="5">
        <v>591</v>
      </c>
      <c r="F128" s="5">
        <v>606</v>
      </c>
      <c r="G128" s="6">
        <v>44311</v>
      </c>
      <c r="H128" s="5"/>
      <c r="I128" s="5"/>
      <c r="J128" s="5">
        <f t="shared" si="15"/>
        <v>15</v>
      </c>
      <c r="K128" s="8" t="b">
        <f>F128=E139</f>
        <v>0</v>
      </c>
    </row>
    <row r="129" spans="1:11">
      <c r="A129" s="5">
        <v>202</v>
      </c>
      <c r="B129" s="6">
        <v>44317</v>
      </c>
      <c r="C129" s="7">
        <v>0.7</v>
      </c>
      <c r="D129" s="5">
        <v>8.2899999999999991</v>
      </c>
      <c r="E129" s="5">
        <v>606</v>
      </c>
      <c r="F129" s="5">
        <v>623</v>
      </c>
      <c r="G129" s="6">
        <v>44317</v>
      </c>
      <c r="H129" s="5"/>
      <c r="I129" s="5"/>
      <c r="J129" s="5">
        <f t="shared" si="15"/>
        <v>17</v>
      </c>
      <c r="K129" s="8" t="b">
        <f>F129=E140</f>
        <v>0</v>
      </c>
    </row>
    <row r="130" spans="1:11">
      <c r="A130" s="5">
        <v>202</v>
      </c>
      <c r="B130" s="6"/>
      <c r="C130" s="7"/>
      <c r="D130" s="5"/>
      <c r="E130" s="5"/>
      <c r="F130" s="5"/>
      <c r="G130" s="6"/>
      <c r="H130" s="5"/>
      <c r="I130" s="5"/>
      <c r="J130" s="5">
        <f t="shared" si="15"/>
        <v>0</v>
      </c>
      <c r="K130" s="8" t="b">
        <f>F130=E141</f>
        <v>1</v>
      </c>
    </row>
    <row r="131" spans="1:11">
      <c r="A131" s="5">
        <v>202</v>
      </c>
      <c r="B131" s="6"/>
      <c r="C131" s="7"/>
      <c r="D131" s="5"/>
      <c r="E131" s="5"/>
      <c r="F131" s="5"/>
      <c r="G131" s="6"/>
      <c r="H131" s="5"/>
      <c r="I131" s="5"/>
      <c r="J131" s="5">
        <f t="shared" si="15"/>
        <v>0</v>
      </c>
      <c r="K131" s="8" t="b">
        <f>F131=E142</f>
        <v>1</v>
      </c>
    </row>
    <row r="132" spans="1:11" ht="26.25">
      <c r="A132" s="144" t="s">
        <v>385</v>
      </c>
      <c r="B132" s="166"/>
      <c r="C132" s="166"/>
      <c r="D132" s="166"/>
      <c r="E132" s="166"/>
      <c r="F132" s="166"/>
      <c r="G132" s="166"/>
      <c r="H132" s="166"/>
      <c r="I132" s="166"/>
      <c r="J132" s="166"/>
      <c r="K132" s="167"/>
    </row>
    <row r="133" spans="1:11" ht="26.25">
      <c r="A133" s="144" t="s">
        <v>14</v>
      </c>
      <c r="B133" s="166"/>
      <c r="C133" s="166"/>
      <c r="D133" s="166"/>
      <c r="E133" s="166"/>
      <c r="F133" s="166"/>
      <c r="G133" s="166"/>
      <c r="H133" s="166"/>
      <c r="I133" s="166"/>
      <c r="J133" s="166"/>
      <c r="K133" s="167"/>
    </row>
    <row r="134" spans="1:11" ht="15.75" thickBot="1"/>
    <row r="135" spans="1:11" ht="15.75" thickBot="1">
      <c r="A135" s="132" t="s">
        <v>2</v>
      </c>
      <c r="B135" s="133"/>
      <c r="C135" s="133"/>
      <c r="D135" s="133"/>
      <c r="E135" s="133"/>
      <c r="F135" s="133"/>
      <c r="G135" s="133"/>
      <c r="H135" s="133"/>
      <c r="I135" s="133"/>
      <c r="J135" s="133"/>
      <c r="K135" s="134"/>
    </row>
    <row r="137" spans="1:11" ht="19.5" thickBot="1">
      <c r="A137" s="1" t="s">
        <v>3</v>
      </c>
      <c r="B137" s="1"/>
      <c r="C137" s="1"/>
      <c r="D137" s="1"/>
      <c r="E137" s="1"/>
      <c r="F137" s="1"/>
      <c r="G137" s="1"/>
      <c r="H137" s="1"/>
      <c r="I137" s="1"/>
    </row>
    <row r="138" spans="1:11" ht="30.75" thickBot="1">
      <c r="A138" s="2" t="s">
        <v>4</v>
      </c>
      <c r="B138" s="3" t="s">
        <v>5</v>
      </c>
      <c r="C138" s="3" t="s">
        <v>6</v>
      </c>
      <c r="D138" s="3" t="s">
        <v>7</v>
      </c>
      <c r="E138" s="3" t="s">
        <v>8</v>
      </c>
      <c r="F138" s="3" t="s">
        <v>9</v>
      </c>
      <c r="G138" s="3" t="s">
        <v>10</v>
      </c>
      <c r="H138" s="3" t="s">
        <v>21</v>
      </c>
      <c r="I138" s="4" t="s">
        <v>22</v>
      </c>
      <c r="J138" s="4" t="s">
        <v>11</v>
      </c>
      <c r="K138" s="4" t="s">
        <v>12</v>
      </c>
    </row>
    <row r="139" spans="1:11">
      <c r="A139" s="5"/>
      <c r="B139" s="6"/>
      <c r="C139" s="7"/>
      <c r="D139" s="5"/>
      <c r="E139" s="5"/>
      <c r="F139" s="5"/>
      <c r="G139" s="6"/>
      <c r="H139" s="5"/>
      <c r="I139" s="5"/>
      <c r="J139" s="5">
        <f>F139-E139</f>
        <v>0</v>
      </c>
      <c r="K139" s="8" t="b">
        <f>F139=E140</f>
        <v>1</v>
      </c>
    </row>
    <row r="140" spans="1:11">
      <c r="A140" s="5"/>
      <c r="B140" s="6"/>
      <c r="C140" s="7"/>
      <c r="D140" s="5"/>
      <c r="E140" s="5"/>
      <c r="F140" s="5"/>
      <c r="G140" s="6"/>
      <c r="H140" s="5"/>
      <c r="I140" s="5"/>
      <c r="J140" s="5">
        <f>F140-E140</f>
        <v>0</v>
      </c>
      <c r="K140" s="8" t="b">
        <f>F140=E141</f>
        <v>1</v>
      </c>
    </row>
    <row r="141" spans="1:11">
      <c r="A141" s="5"/>
      <c r="B141" s="6"/>
      <c r="C141" s="7"/>
      <c r="D141" s="5"/>
      <c r="E141" s="5"/>
      <c r="F141" s="5"/>
      <c r="G141" s="6"/>
      <c r="H141" s="5"/>
      <c r="I141" s="5"/>
      <c r="J141" s="5">
        <f>F141-E141</f>
        <v>0</v>
      </c>
      <c r="K141" s="8" t="e">
        <f>F141=#REF!</f>
        <v>#REF!</v>
      </c>
    </row>
  </sheetData>
  <mergeCells count="9">
    <mergeCell ref="A132:K132"/>
    <mergeCell ref="A133:K133"/>
    <mergeCell ref="A135:K135"/>
    <mergeCell ref="A57:K57"/>
    <mergeCell ref="A1:K1"/>
    <mergeCell ref="A2:K2"/>
    <mergeCell ref="A4:K4"/>
    <mergeCell ref="A54:K54"/>
    <mergeCell ref="A55:K5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3128-2548-4C60-923C-D3DD5269BD6F}">
  <sheetPr codeName="Planilha13"/>
  <dimension ref="A1:K147"/>
  <sheetViews>
    <sheetView topLeftCell="A122" workbookViewId="0">
      <selection activeCell="H133" sqref="H133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386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203</v>
      </c>
      <c r="B8" s="6">
        <v>43767</v>
      </c>
      <c r="C8" s="7">
        <v>0.8</v>
      </c>
      <c r="D8" s="5">
        <v>7.34</v>
      </c>
      <c r="E8" s="5">
        <v>208.9</v>
      </c>
      <c r="F8" s="5">
        <v>223.9</v>
      </c>
      <c r="G8" s="6">
        <v>43767</v>
      </c>
      <c r="H8" s="5" t="s">
        <v>56</v>
      </c>
      <c r="I8" s="5" t="s">
        <v>57</v>
      </c>
      <c r="J8" s="5">
        <f t="shared" ref="J8:J20" si="0">F8-E8</f>
        <v>15</v>
      </c>
      <c r="K8" s="8" t="b">
        <f t="shared" ref="K8:K20" si="1">F8=E9</f>
        <v>1</v>
      </c>
    </row>
    <row r="9" spans="1:11">
      <c r="A9" s="5">
        <v>203</v>
      </c>
      <c r="B9" s="6">
        <v>43768</v>
      </c>
      <c r="C9" s="7">
        <v>0.8</v>
      </c>
      <c r="D9" s="5">
        <v>7.34</v>
      </c>
      <c r="E9" s="5">
        <v>223.9</v>
      </c>
      <c r="F9" s="5">
        <v>239.9</v>
      </c>
      <c r="G9" s="6">
        <v>43768</v>
      </c>
      <c r="H9" s="5" t="s">
        <v>59</v>
      </c>
      <c r="I9" s="5" t="s">
        <v>57</v>
      </c>
      <c r="J9" s="5">
        <f t="shared" si="0"/>
        <v>16</v>
      </c>
      <c r="K9" s="8" t="b">
        <f t="shared" si="1"/>
        <v>1</v>
      </c>
    </row>
    <row r="10" spans="1:11">
      <c r="A10" s="5">
        <v>203</v>
      </c>
      <c r="B10" s="6">
        <v>43769</v>
      </c>
      <c r="C10" s="7">
        <v>0.8</v>
      </c>
      <c r="D10" s="5">
        <v>7.34</v>
      </c>
      <c r="E10" s="5">
        <v>239.9</v>
      </c>
      <c r="F10" s="5">
        <v>255.5</v>
      </c>
      <c r="G10" s="6">
        <v>43769</v>
      </c>
      <c r="H10" s="5" t="s">
        <v>58</v>
      </c>
      <c r="I10" s="5" t="s">
        <v>57</v>
      </c>
      <c r="J10" s="5">
        <f t="shared" si="0"/>
        <v>15.599999999999994</v>
      </c>
      <c r="K10" s="8" t="b">
        <f t="shared" si="1"/>
        <v>1</v>
      </c>
    </row>
    <row r="11" spans="1:11">
      <c r="A11" s="5">
        <v>203</v>
      </c>
      <c r="B11" s="6">
        <v>43770</v>
      </c>
      <c r="C11" s="7">
        <v>1</v>
      </c>
      <c r="D11" s="5">
        <v>5.87</v>
      </c>
      <c r="E11" s="5">
        <v>255.5</v>
      </c>
      <c r="F11" s="5">
        <v>268.2</v>
      </c>
      <c r="G11" s="6">
        <v>43770</v>
      </c>
      <c r="H11" s="5" t="s">
        <v>60</v>
      </c>
      <c r="I11" s="5" t="s">
        <v>57</v>
      </c>
      <c r="J11" s="5">
        <f t="shared" si="0"/>
        <v>12.699999999999989</v>
      </c>
      <c r="K11" s="8" t="b">
        <f t="shared" si="1"/>
        <v>1</v>
      </c>
    </row>
    <row r="12" spans="1:11">
      <c r="A12" s="5">
        <v>203</v>
      </c>
      <c r="B12" s="6">
        <v>43771</v>
      </c>
      <c r="C12" s="7">
        <v>1</v>
      </c>
      <c r="D12" s="5">
        <v>5.87</v>
      </c>
      <c r="E12" s="5">
        <v>268.2</v>
      </c>
      <c r="F12" s="5">
        <v>278.7</v>
      </c>
      <c r="G12" s="6">
        <v>43771</v>
      </c>
      <c r="H12" s="5" t="s">
        <v>60</v>
      </c>
      <c r="I12" s="5" t="s">
        <v>57</v>
      </c>
      <c r="J12" s="5">
        <f t="shared" si="0"/>
        <v>10.5</v>
      </c>
      <c r="K12" s="8" t="b">
        <f t="shared" si="1"/>
        <v>1</v>
      </c>
    </row>
    <row r="13" spans="1:11">
      <c r="A13" s="5">
        <v>203</v>
      </c>
      <c r="B13" s="6">
        <v>43772</v>
      </c>
      <c r="C13" s="7">
        <v>1</v>
      </c>
      <c r="D13" s="5">
        <v>5.87</v>
      </c>
      <c r="E13" s="5">
        <v>278.7</v>
      </c>
      <c r="F13" s="5">
        <v>292.39999999999998</v>
      </c>
      <c r="G13" s="6">
        <v>43772</v>
      </c>
      <c r="H13" s="5" t="s">
        <v>60</v>
      </c>
      <c r="I13" s="5" t="s">
        <v>57</v>
      </c>
      <c r="J13" s="5">
        <f t="shared" si="0"/>
        <v>13.699999999999989</v>
      </c>
      <c r="K13" s="8" t="b">
        <f t="shared" si="1"/>
        <v>1</v>
      </c>
    </row>
    <row r="14" spans="1:11">
      <c r="A14" s="5">
        <v>203</v>
      </c>
      <c r="B14" s="6">
        <v>43774</v>
      </c>
      <c r="C14" s="7">
        <v>0.8</v>
      </c>
      <c r="D14" s="5">
        <v>7.34</v>
      </c>
      <c r="E14" s="5">
        <v>292.39999999999998</v>
      </c>
      <c r="F14" s="5">
        <v>312.60000000000002</v>
      </c>
      <c r="G14" s="6">
        <v>43774</v>
      </c>
      <c r="H14" s="5" t="s">
        <v>60</v>
      </c>
      <c r="I14" s="5" t="s">
        <v>57</v>
      </c>
      <c r="J14" s="5">
        <f t="shared" si="0"/>
        <v>20.200000000000045</v>
      </c>
      <c r="K14" s="8" t="b">
        <f t="shared" si="1"/>
        <v>1</v>
      </c>
    </row>
    <row r="15" spans="1:11">
      <c r="A15" s="5">
        <v>203</v>
      </c>
      <c r="B15" s="6">
        <v>43776</v>
      </c>
      <c r="C15" s="7">
        <v>0.8</v>
      </c>
      <c r="D15" s="5">
        <v>7.34</v>
      </c>
      <c r="E15" s="5">
        <v>312.60000000000002</v>
      </c>
      <c r="F15" s="5">
        <v>323.39999999999998</v>
      </c>
      <c r="G15" s="6">
        <v>43776</v>
      </c>
      <c r="H15" s="5" t="s">
        <v>59</v>
      </c>
      <c r="I15" s="5" t="s">
        <v>57</v>
      </c>
      <c r="J15" s="5">
        <f t="shared" si="0"/>
        <v>10.799999999999955</v>
      </c>
      <c r="K15" s="8" t="b">
        <f t="shared" si="1"/>
        <v>1</v>
      </c>
    </row>
    <row r="16" spans="1:11">
      <c r="A16" s="5">
        <v>203</v>
      </c>
      <c r="B16" s="6">
        <v>43778</v>
      </c>
      <c r="C16" s="7">
        <v>0.7</v>
      </c>
      <c r="D16" s="5">
        <v>8.39</v>
      </c>
      <c r="E16" s="5">
        <v>323.39999999999998</v>
      </c>
      <c r="F16" s="5">
        <v>342.1</v>
      </c>
      <c r="G16" s="6">
        <v>43778</v>
      </c>
      <c r="H16" s="5" t="s">
        <v>60</v>
      </c>
      <c r="I16" s="5" t="s">
        <v>57</v>
      </c>
      <c r="J16" s="5">
        <f t="shared" si="0"/>
        <v>18.700000000000045</v>
      </c>
      <c r="K16" s="8" t="b">
        <f t="shared" si="1"/>
        <v>1</v>
      </c>
    </row>
    <row r="17" spans="1:11">
      <c r="A17" s="5">
        <v>203</v>
      </c>
      <c r="B17" s="6">
        <v>43780</v>
      </c>
      <c r="C17" s="7">
        <v>0.7</v>
      </c>
      <c r="D17" s="5">
        <v>8.39</v>
      </c>
      <c r="E17" s="5">
        <v>342.1</v>
      </c>
      <c r="F17" s="5">
        <v>366.6</v>
      </c>
      <c r="G17" s="6">
        <v>43780</v>
      </c>
      <c r="H17" s="5" t="s">
        <v>56</v>
      </c>
      <c r="I17" s="5" t="s">
        <v>57</v>
      </c>
      <c r="J17" s="5">
        <f t="shared" si="0"/>
        <v>24.5</v>
      </c>
      <c r="K17" s="8" t="b">
        <f t="shared" si="1"/>
        <v>1</v>
      </c>
    </row>
    <row r="18" spans="1:11">
      <c r="A18" s="5">
        <v>203</v>
      </c>
      <c r="B18" s="6">
        <v>43784</v>
      </c>
      <c r="C18" s="7">
        <v>0.7</v>
      </c>
      <c r="D18" s="5">
        <v>8.39</v>
      </c>
      <c r="E18" s="5">
        <v>366.6</v>
      </c>
      <c r="F18" s="5">
        <v>385.2</v>
      </c>
      <c r="G18" s="6">
        <v>43784</v>
      </c>
      <c r="H18" s="5" t="s">
        <v>61</v>
      </c>
      <c r="I18" s="5" t="s">
        <v>57</v>
      </c>
      <c r="J18" s="5">
        <f t="shared" si="0"/>
        <v>18.599999999999966</v>
      </c>
      <c r="K18" s="8" t="b">
        <f t="shared" si="1"/>
        <v>1</v>
      </c>
    </row>
    <row r="19" spans="1:11">
      <c r="A19" s="5">
        <v>203</v>
      </c>
      <c r="B19" s="6">
        <v>43785</v>
      </c>
      <c r="C19" s="7">
        <v>0.7</v>
      </c>
      <c r="D19" s="5">
        <v>8.39</v>
      </c>
      <c r="E19" s="5">
        <v>385.2</v>
      </c>
      <c r="F19" s="5">
        <v>393.6</v>
      </c>
      <c r="G19" s="6">
        <v>43785</v>
      </c>
      <c r="H19" s="5" t="s">
        <v>59</v>
      </c>
      <c r="I19" s="5" t="s">
        <v>57</v>
      </c>
      <c r="J19" s="5">
        <f t="shared" si="0"/>
        <v>8.4000000000000341</v>
      </c>
      <c r="K19" s="8" t="b">
        <f t="shared" si="1"/>
        <v>1</v>
      </c>
    </row>
    <row r="20" spans="1:11">
      <c r="A20" s="5">
        <v>203</v>
      </c>
      <c r="B20" s="6">
        <v>43787</v>
      </c>
      <c r="C20" s="7">
        <v>1</v>
      </c>
      <c r="D20" s="5">
        <v>5.87</v>
      </c>
      <c r="E20" s="5">
        <v>393.6</v>
      </c>
      <c r="F20" s="5">
        <v>406.1</v>
      </c>
      <c r="G20" s="6">
        <v>43787</v>
      </c>
      <c r="H20" s="5" t="s">
        <v>59</v>
      </c>
      <c r="I20" s="5" t="s">
        <v>57</v>
      </c>
      <c r="J20" s="5">
        <f t="shared" si="0"/>
        <v>12.5</v>
      </c>
      <c r="K20" s="8" t="b">
        <f t="shared" si="1"/>
        <v>1</v>
      </c>
    </row>
    <row r="21" spans="1:11">
      <c r="A21" s="5">
        <v>203</v>
      </c>
      <c r="B21" s="6">
        <v>43789</v>
      </c>
      <c r="C21" s="7">
        <v>0.8</v>
      </c>
      <c r="D21" s="5">
        <v>7.34</v>
      </c>
      <c r="E21" s="5">
        <v>406.1</v>
      </c>
      <c r="F21" s="5">
        <v>422</v>
      </c>
      <c r="G21" s="6">
        <v>43789</v>
      </c>
      <c r="H21" s="5" t="s">
        <v>60</v>
      </c>
      <c r="I21" s="5" t="s">
        <v>57</v>
      </c>
      <c r="J21" s="5">
        <f t="shared" ref="J21:J26" si="2">F21-E21</f>
        <v>15.899999999999977</v>
      </c>
      <c r="K21" s="8" t="b">
        <f t="shared" ref="K21:K26" si="3">F21=E22</f>
        <v>1</v>
      </c>
    </row>
    <row r="22" spans="1:11">
      <c r="A22" s="5">
        <v>203</v>
      </c>
      <c r="B22" s="6">
        <v>43791</v>
      </c>
      <c r="C22" s="7">
        <v>0.7</v>
      </c>
      <c r="D22" s="5">
        <v>8.39</v>
      </c>
      <c r="E22" s="5">
        <v>422</v>
      </c>
      <c r="F22" s="5">
        <v>440</v>
      </c>
      <c r="G22" s="6">
        <v>43791</v>
      </c>
      <c r="H22" s="5" t="s">
        <v>61</v>
      </c>
      <c r="I22" s="5" t="s">
        <v>57</v>
      </c>
      <c r="J22" s="5">
        <f t="shared" si="2"/>
        <v>18</v>
      </c>
      <c r="K22" s="8" t="b">
        <f t="shared" si="3"/>
        <v>1</v>
      </c>
    </row>
    <row r="23" spans="1:11">
      <c r="A23" s="5">
        <v>203</v>
      </c>
      <c r="B23" s="6">
        <v>43793</v>
      </c>
      <c r="C23" s="7">
        <v>0.7</v>
      </c>
      <c r="D23" s="5">
        <v>8.39</v>
      </c>
      <c r="E23" s="5">
        <v>440</v>
      </c>
      <c r="F23" s="5">
        <v>446.5</v>
      </c>
      <c r="G23" s="6">
        <v>43793</v>
      </c>
      <c r="H23" s="5" t="s">
        <v>61</v>
      </c>
      <c r="I23" s="5" t="s">
        <v>57</v>
      </c>
      <c r="J23" s="5">
        <f t="shared" si="2"/>
        <v>6.5</v>
      </c>
      <c r="K23" s="8" t="b">
        <f t="shared" si="3"/>
        <v>1</v>
      </c>
    </row>
    <row r="24" spans="1:11">
      <c r="A24" s="5">
        <v>203</v>
      </c>
      <c r="B24" s="6">
        <v>43802</v>
      </c>
      <c r="C24" s="7">
        <v>1</v>
      </c>
      <c r="D24" s="5">
        <v>5.87</v>
      </c>
      <c r="E24" s="5">
        <v>446.5</v>
      </c>
      <c r="F24" s="5">
        <v>468.4</v>
      </c>
      <c r="G24" s="6">
        <v>43802</v>
      </c>
      <c r="H24" s="5" t="s">
        <v>59</v>
      </c>
      <c r="I24" s="5" t="s">
        <v>57</v>
      </c>
      <c r="J24" s="5">
        <f t="shared" si="2"/>
        <v>21.899999999999977</v>
      </c>
      <c r="K24" s="8" t="b">
        <f t="shared" si="3"/>
        <v>1</v>
      </c>
    </row>
    <row r="25" spans="1:11">
      <c r="A25" s="5">
        <v>203</v>
      </c>
      <c r="B25" s="6">
        <v>43809</v>
      </c>
      <c r="C25" s="7">
        <v>0.7</v>
      </c>
      <c r="D25" s="5">
        <v>8.39</v>
      </c>
      <c r="E25" s="5">
        <v>468.4</v>
      </c>
      <c r="F25" s="5">
        <v>486.1</v>
      </c>
      <c r="G25" s="6">
        <v>43809</v>
      </c>
      <c r="H25" s="5" t="s">
        <v>62</v>
      </c>
      <c r="I25" s="5" t="s">
        <v>57</v>
      </c>
      <c r="J25" s="5">
        <f t="shared" si="2"/>
        <v>17.700000000000045</v>
      </c>
      <c r="K25" s="8" t="b">
        <f t="shared" si="3"/>
        <v>1</v>
      </c>
    </row>
    <row r="26" spans="1:11">
      <c r="A26" s="5">
        <v>203</v>
      </c>
      <c r="B26" s="6">
        <v>43811</v>
      </c>
      <c r="C26" s="7">
        <v>0.7</v>
      </c>
      <c r="D26" s="5">
        <v>8.39</v>
      </c>
      <c r="E26" s="5">
        <v>486.1</v>
      </c>
      <c r="F26" s="5">
        <v>503.8</v>
      </c>
      <c r="G26" s="6">
        <v>43811</v>
      </c>
      <c r="H26" s="5" t="s">
        <v>62</v>
      </c>
      <c r="I26" s="5" t="s">
        <v>57</v>
      </c>
      <c r="J26" s="5">
        <f t="shared" si="2"/>
        <v>17.699999999999989</v>
      </c>
      <c r="K26" s="8" t="b">
        <f t="shared" si="3"/>
        <v>1</v>
      </c>
    </row>
    <row r="27" spans="1:11">
      <c r="A27" s="5">
        <v>203</v>
      </c>
      <c r="B27" s="6">
        <v>43813</v>
      </c>
      <c r="C27" s="7">
        <v>0.6</v>
      </c>
      <c r="D27" s="5">
        <v>9.7799999999999994</v>
      </c>
      <c r="E27" s="5">
        <v>503.8</v>
      </c>
      <c r="F27" s="5">
        <v>524.5</v>
      </c>
      <c r="G27" s="6">
        <v>43813</v>
      </c>
      <c r="H27" s="5" t="s">
        <v>62</v>
      </c>
      <c r="I27" s="5" t="s">
        <v>65</v>
      </c>
      <c r="J27" s="5">
        <f>F27-E27</f>
        <v>20.699999999999989</v>
      </c>
      <c r="K27" s="8" t="b">
        <f>F27=E28</f>
        <v>1</v>
      </c>
    </row>
    <row r="28" spans="1:11">
      <c r="A28" s="5">
        <v>203</v>
      </c>
      <c r="B28" s="6">
        <v>43815</v>
      </c>
      <c r="C28" s="7">
        <v>0.6</v>
      </c>
      <c r="D28" s="5">
        <v>9.7799999999999994</v>
      </c>
      <c r="E28" s="5">
        <v>524.5</v>
      </c>
      <c r="F28" s="5">
        <v>543.1</v>
      </c>
      <c r="G28" s="6">
        <v>43815</v>
      </c>
      <c r="H28" s="5" t="s">
        <v>62</v>
      </c>
      <c r="I28" s="5" t="s">
        <v>65</v>
      </c>
      <c r="J28" s="5">
        <f>F28-E28</f>
        <v>18.600000000000023</v>
      </c>
      <c r="K28" s="8" t="b">
        <f>F28=E29</f>
        <v>1</v>
      </c>
    </row>
    <row r="29" spans="1:11">
      <c r="A29" s="5">
        <v>203</v>
      </c>
      <c r="B29" s="6">
        <v>43817</v>
      </c>
      <c r="C29" s="7">
        <v>0.7</v>
      </c>
      <c r="D29" s="5">
        <v>8.39</v>
      </c>
      <c r="E29" s="5">
        <v>543.1</v>
      </c>
      <c r="F29" s="5">
        <v>549.20000000000005</v>
      </c>
      <c r="G29" s="6">
        <v>43817</v>
      </c>
      <c r="H29" s="5" t="s">
        <v>62</v>
      </c>
      <c r="I29" s="5" t="s">
        <v>65</v>
      </c>
      <c r="J29" s="5">
        <f>F29-E29</f>
        <v>6.1000000000000227</v>
      </c>
      <c r="K29" s="8" t="b">
        <f>F29=E30</f>
        <v>1</v>
      </c>
    </row>
    <row r="30" spans="1:11">
      <c r="A30" s="5">
        <v>203</v>
      </c>
      <c r="B30" s="6">
        <v>43818</v>
      </c>
      <c r="C30" s="7">
        <v>0.8</v>
      </c>
      <c r="D30" s="5">
        <v>7.34</v>
      </c>
      <c r="E30" s="5">
        <v>549.20000000000005</v>
      </c>
      <c r="F30" s="5">
        <v>564.29999999999995</v>
      </c>
      <c r="G30" s="6">
        <v>43818</v>
      </c>
      <c r="H30" s="5" t="s">
        <v>62</v>
      </c>
      <c r="I30" s="5" t="s">
        <v>65</v>
      </c>
      <c r="J30" s="5">
        <f>F30-E30</f>
        <v>15.099999999999909</v>
      </c>
      <c r="K30" s="8" t="b">
        <f>F30=E31</f>
        <v>1</v>
      </c>
    </row>
    <row r="31" spans="1:11">
      <c r="A31" s="5">
        <v>203</v>
      </c>
      <c r="B31" s="6">
        <v>43819</v>
      </c>
      <c r="C31" s="7">
        <v>0.8</v>
      </c>
      <c r="D31" s="5">
        <v>7.34</v>
      </c>
      <c r="E31" s="5">
        <v>564.29999999999995</v>
      </c>
      <c r="F31" s="5">
        <v>578.70000000000005</v>
      </c>
      <c r="G31" s="6">
        <v>43819</v>
      </c>
      <c r="H31" s="5" t="s">
        <v>62</v>
      </c>
      <c r="I31" s="5" t="s">
        <v>65</v>
      </c>
      <c r="J31" s="5">
        <f>F31-E31</f>
        <v>14.400000000000091</v>
      </c>
      <c r="K31" s="8" t="b">
        <f>F31=E32</f>
        <v>1</v>
      </c>
    </row>
    <row r="32" spans="1:11">
      <c r="A32" s="5">
        <v>203</v>
      </c>
      <c r="B32" s="6">
        <v>43820</v>
      </c>
      <c r="C32" s="7">
        <v>0.8</v>
      </c>
      <c r="D32" s="5">
        <v>7.34</v>
      </c>
      <c r="E32" s="5">
        <v>578.70000000000005</v>
      </c>
      <c r="F32" s="5">
        <v>593</v>
      </c>
      <c r="G32" s="6">
        <v>43820</v>
      </c>
      <c r="H32" s="5" t="s">
        <v>62</v>
      </c>
      <c r="I32" s="5" t="s">
        <v>65</v>
      </c>
      <c r="J32" s="5">
        <f t="shared" ref="J32:J37" si="4">F32-E32</f>
        <v>14.299999999999955</v>
      </c>
      <c r="K32" s="8" t="b">
        <f t="shared" ref="K32:K37" si="5">F32=E33</f>
        <v>1</v>
      </c>
    </row>
    <row r="33" spans="1:11">
      <c r="A33" s="5">
        <v>203</v>
      </c>
      <c r="B33" s="6">
        <v>43821</v>
      </c>
      <c r="C33" s="7">
        <v>0.8</v>
      </c>
      <c r="D33" s="5">
        <v>7.34</v>
      </c>
      <c r="E33" s="5">
        <v>593</v>
      </c>
      <c r="F33" s="5">
        <v>609</v>
      </c>
      <c r="G33" s="6">
        <v>43823</v>
      </c>
      <c r="H33" s="5" t="s">
        <v>62</v>
      </c>
      <c r="I33" s="5" t="s">
        <v>65</v>
      </c>
      <c r="J33" s="5">
        <f t="shared" si="4"/>
        <v>16</v>
      </c>
      <c r="K33" s="8" t="b">
        <f t="shared" si="5"/>
        <v>1</v>
      </c>
    </row>
    <row r="34" spans="1:11">
      <c r="A34" s="5">
        <v>203</v>
      </c>
      <c r="B34" s="6">
        <v>43824</v>
      </c>
      <c r="C34" s="7">
        <v>0.8</v>
      </c>
      <c r="D34" s="5">
        <v>7.34</v>
      </c>
      <c r="E34" s="5">
        <v>609</v>
      </c>
      <c r="F34" s="5">
        <v>623</v>
      </c>
      <c r="G34" s="6">
        <v>43824</v>
      </c>
      <c r="H34" s="5" t="s">
        <v>62</v>
      </c>
      <c r="I34" s="5" t="s">
        <v>65</v>
      </c>
      <c r="J34" s="5">
        <f t="shared" si="4"/>
        <v>14</v>
      </c>
      <c r="K34" s="8" t="b">
        <f t="shared" si="5"/>
        <v>1</v>
      </c>
    </row>
    <row r="35" spans="1:11">
      <c r="A35" s="5">
        <v>203</v>
      </c>
      <c r="B35" s="6">
        <v>43825</v>
      </c>
      <c r="C35" s="7">
        <v>0.8</v>
      </c>
      <c r="D35" s="5">
        <v>7.34</v>
      </c>
      <c r="E35" s="5">
        <v>623</v>
      </c>
      <c r="F35" s="5">
        <v>638</v>
      </c>
      <c r="G35" s="6">
        <v>43825</v>
      </c>
      <c r="H35" s="5" t="s">
        <v>62</v>
      </c>
      <c r="I35" s="5" t="s">
        <v>65</v>
      </c>
      <c r="J35" s="5">
        <f t="shared" si="4"/>
        <v>15</v>
      </c>
      <c r="K35" s="8" t="b">
        <f t="shared" si="5"/>
        <v>1</v>
      </c>
    </row>
    <row r="36" spans="1:11">
      <c r="A36" s="5">
        <v>203</v>
      </c>
      <c r="B36" s="6">
        <v>43826</v>
      </c>
      <c r="C36" s="7">
        <v>0.8</v>
      </c>
      <c r="D36" s="5">
        <v>7.34</v>
      </c>
      <c r="E36" s="5">
        <v>638</v>
      </c>
      <c r="F36" s="5">
        <v>653</v>
      </c>
      <c r="G36" s="6">
        <v>43826</v>
      </c>
      <c r="H36" s="5" t="s">
        <v>62</v>
      </c>
      <c r="I36" s="5" t="s">
        <v>65</v>
      </c>
      <c r="J36" s="5">
        <f t="shared" si="4"/>
        <v>15</v>
      </c>
      <c r="K36" s="8" t="b">
        <f t="shared" si="5"/>
        <v>1</v>
      </c>
    </row>
    <row r="37" spans="1:11">
      <c r="A37" s="5">
        <v>203</v>
      </c>
      <c r="B37" s="6">
        <v>43827</v>
      </c>
      <c r="C37" s="7">
        <v>0.8</v>
      </c>
      <c r="D37" s="5">
        <v>7.34</v>
      </c>
      <c r="E37" s="5">
        <v>653</v>
      </c>
      <c r="F37" s="5">
        <v>665</v>
      </c>
      <c r="G37" s="6">
        <v>43827</v>
      </c>
      <c r="H37" s="5"/>
      <c r="I37" s="5"/>
      <c r="J37" s="5">
        <f t="shared" si="4"/>
        <v>12</v>
      </c>
      <c r="K37" s="8" t="b">
        <f t="shared" si="5"/>
        <v>1</v>
      </c>
    </row>
    <row r="38" spans="1:11">
      <c r="A38" s="5">
        <v>203</v>
      </c>
      <c r="B38" s="6">
        <v>43829</v>
      </c>
      <c r="C38" s="7">
        <v>0.8</v>
      </c>
      <c r="D38" s="5">
        <v>7.34</v>
      </c>
      <c r="E38" s="5">
        <v>665</v>
      </c>
      <c r="F38" s="5">
        <v>680.4</v>
      </c>
      <c r="G38" s="6">
        <v>43829</v>
      </c>
      <c r="H38" s="5"/>
      <c r="I38" s="5"/>
      <c r="J38" s="5">
        <f t="shared" ref="J38:J48" si="6">F38-E38</f>
        <v>15.399999999999977</v>
      </c>
      <c r="K38" s="8" t="b">
        <f t="shared" ref="K38:K48" si="7">F38=E39</f>
        <v>1</v>
      </c>
    </row>
    <row r="39" spans="1:11">
      <c r="A39" s="5">
        <v>203</v>
      </c>
      <c r="B39" s="6">
        <v>43830</v>
      </c>
      <c r="C39" s="7">
        <v>0.8</v>
      </c>
      <c r="D39" s="5">
        <v>7.34</v>
      </c>
      <c r="E39" s="5">
        <v>680.4</v>
      </c>
      <c r="F39" s="5">
        <v>696</v>
      </c>
      <c r="G39" s="6">
        <v>43830</v>
      </c>
      <c r="H39" s="5"/>
      <c r="I39" s="5"/>
      <c r="J39" s="5">
        <f t="shared" si="6"/>
        <v>15.600000000000023</v>
      </c>
      <c r="K39" s="8" t="b">
        <f t="shared" si="7"/>
        <v>1</v>
      </c>
    </row>
    <row r="40" spans="1:11">
      <c r="A40" s="5">
        <v>203</v>
      </c>
      <c r="B40" s="6">
        <v>43831</v>
      </c>
      <c r="C40" s="7">
        <v>0.8</v>
      </c>
      <c r="D40" s="5">
        <v>7.34</v>
      </c>
      <c r="E40" s="5">
        <v>696</v>
      </c>
      <c r="F40" s="5">
        <v>711.4</v>
      </c>
      <c r="G40" s="6">
        <v>43831</v>
      </c>
      <c r="H40" s="5"/>
      <c r="I40" s="5"/>
      <c r="J40" s="5">
        <f t="shared" si="6"/>
        <v>15.399999999999977</v>
      </c>
      <c r="K40" s="8" t="b">
        <f t="shared" si="7"/>
        <v>1</v>
      </c>
    </row>
    <row r="41" spans="1:11">
      <c r="A41" s="5">
        <v>203</v>
      </c>
      <c r="B41" s="6">
        <v>43838</v>
      </c>
      <c r="C41" s="7">
        <v>1</v>
      </c>
      <c r="D41" s="5">
        <v>5.87</v>
      </c>
      <c r="E41" s="5">
        <v>711.4</v>
      </c>
      <c r="F41" s="5">
        <v>721.6</v>
      </c>
      <c r="G41" s="6">
        <v>43838</v>
      </c>
      <c r="H41" s="5"/>
      <c r="I41" s="5"/>
      <c r="J41" s="5">
        <f t="shared" si="6"/>
        <v>10.200000000000045</v>
      </c>
      <c r="K41" s="8" t="b">
        <f t="shared" si="7"/>
        <v>1</v>
      </c>
    </row>
    <row r="42" spans="1:11">
      <c r="A42" s="5">
        <v>203</v>
      </c>
      <c r="B42" s="6">
        <v>43842</v>
      </c>
      <c r="C42" s="7">
        <v>1</v>
      </c>
      <c r="D42" s="5">
        <v>5.87</v>
      </c>
      <c r="E42" s="5">
        <v>721.6</v>
      </c>
      <c r="F42" s="5">
        <v>733.7</v>
      </c>
      <c r="G42" s="6">
        <v>43842</v>
      </c>
      <c r="H42" s="5"/>
      <c r="I42" s="5"/>
      <c r="J42" s="5">
        <f t="shared" si="6"/>
        <v>12.100000000000023</v>
      </c>
      <c r="K42" s="8" t="b">
        <f t="shared" si="7"/>
        <v>1</v>
      </c>
    </row>
    <row r="43" spans="1:11">
      <c r="A43" s="5">
        <v>203</v>
      </c>
      <c r="B43" s="6">
        <v>43478</v>
      </c>
      <c r="C43" s="7">
        <v>0.8</v>
      </c>
      <c r="D43" s="5">
        <v>7.34</v>
      </c>
      <c r="E43" s="5">
        <v>733.7</v>
      </c>
      <c r="F43" s="5">
        <v>749</v>
      </c>
      <c r="G43" s="6">
        <v>43843</v>
      </c>
      <c r="H43" s="5"/>
      <c r="I43" s="5"/>
      <c r="J43" s="5">
        <f t="shared" si="6"/>
        <v>15.299999999999955</v>
      </c>
      <c r="K43" s="8" t="b">
        <f t="shared" si="7"/>
        <v>1</v>
      </c>
    </row>
    <row r="44" spans="1:11">
      <c r="A44" s="5">
        <v>203</v>
      </c>
      <c r="B44" s="6">
        <v>43479</v>
      </c>
      <c r="C44" s="7">
        <v>0.8</v>
      </c>
      <c r="D44" s="5">
        <v>7.34</v>
      </c>
      <c r="E44" s="5">
        <v>749</v>
      </c>
      <c r="F44" s="5">
        <v>765.8</v>
      </c>
      <c r="G44" s="6">
        <v>43844</v>
      </c>
      <c r="H44" s="5"/>
      <c r="I44" s="5"/>
      <c r="J44" s="5">
        <f t="shared" si="6"/>
        <v>16.799999999999955</v>
      </c>
      <c r="K44" s="8" t="b">
        <f t="shared" si="7"/>
        <v>1</v>
      </c>
    </row>
    <row r="45" spans="1:11">
      <c r="A45" s="5">
        <v>203</v>
      </c>
      <c r="B45" s="6">
        <v>43845</v>
      </c>
      <c r="C45" s="7">
        <v>0.8</v>
      </c>
      <c r="D45" s="5">
        <v>7.34</v>
      </c>
      <c r="E45" s="5">
        <v>765.8</v>
      </c>
      <c r="F45" s="5">
        <v>778.7</v>
      </c>
      <c r="G45" s="6">
        <v>43845</v>
      </c>
      <c r="H45" s="5"/>
      <c r="I45" s="5"/>
      <c r="J45" s="5">
        <f t="shared" si="6"/>
        <v>12.900000000000091</v>
      </c>
      <c r="K45" s="8" t="b">
        <f t="shared" si="7"/>
        <v>1</v>
      </c>
    </row>
    <row r="46" spans="1:11">
      <c r="A46" s="5">
        <v>203</v>
      </c>
      <c r="B46" s="6">
        <v>43846</v>
      </c>
      <c r="C46" s="7">
        <v>0.8</v>
      </c>
      <c r="D46" s="5">
        <v>7.34</v>
      </c>
      <c r="E46" s="5">
        <v>778.7</v>
      </c>
      <c r="F46" s="5">
        <v>794</v>
      </c>
      <c r="G46" s="6">
        <v>43846</v>
      </c>
      <c r="H46" s="5"/>
      <c r="I46" s="5"/>
      <c r="J46" s="5">
        <f t="shared" si="6"/>
        <v>15.299999999999955</v>
      </c>
      <c r="K46" s="8" t="b">
        <f t="shared" si="7"/>
        <v>1</v>
      </c>
    </row>
    <row r="47" spans="1:11">
      <c r="A47" s="5">
        <v>203</v>
      </c>
      <c r="B47" s="6">
        <v>43847</v>
      </c>
      <c r="C47" s="7">
        <v>0.8</v>
      </c>
      <c r="D47" s="5">
        <v>7.34</v>
      </c>
      <c r="E47" s="5">
        <v>794</v>
      </c>
      <c r="F47" s="5">
        <v>807</v>
      </c>
      <c r="G47" s="6">
        <v>43847</v>
      </c>
      <c r="H47" s="5"/>
      <c r="I47" s="5"/>
      <c r="J47" s="5">
        <f t="shared" si="6"/>
        <v>13</v>
      </c>
      <c r="K47" s="8" t="b">
        <f t="shared" si="7"/>
        <v>1</v>
      </c>
    </row>
    <row r="48" spans="1:11">
      <c r="A48" s="5">
        <v>203</v>
      </c>
      <c r="B48" s="6">
        <v>43850</v>
      </c>
      <c r="C48" s="7">
        <v>0.8</v>
      </c>
      <c r="D48" s="5">
        <v>7.34</v>
      </c>
      <c r="E48" s="5">
        <v>807</v>
      </c>
      <c r="F48" s="5">
        <v>823.2</v>
      </c>
      <c r="G48" s="6">
        <v>43850</v>
      </c>
      <c r="H48" s="5"/>
      <c r="I48" s="5"/>
      <c r="J48" s="5">
        <f t="shared" si="6"/>
        <v>16.200000000000045</v>
      </c>
      <c r="K48" s="8" t="b">
        <f t="shared" si="7"/>
        <v>1</v>
      </c>
    </row>
    <row r="49" spans="1:11">
      <c r="A49" s="5">
        <v>203</v>
      </c>
      <c r="B49" s="6">
        <v>43851</v>
      </c>
      <c r="C49" s="7">
        <v>0.8</v>
      </c>
      <c r="D49" s="5">
        <v>7.34</v>
      </c>
      <c r="E49" s="5">
        <v>823.2</v>
      </c>
      <c r="F49" s="5">
        <v>835.7</v>
      </c>
      <c r="G49" s="6">
        <v>43851</v>
      </c>
      <c r="H49" s="5"/>
      <c r="I49" s="5"/>
      <c r="J49" s="5">
        <f t="shared" ref="J49:J65" si="8">F49-E49</f>
        <v>12.5</v>
      </c>
      <c r="K49" s="8" t="b">
        <f>F49=E54</f>
        <v>0</v>
      </c>
    </row>
    <row r="50" spans="1:11">
      <c r="A50" s="5"/>
      <c r="B50" s="6"/>
      <c r="C50" s="7"/>
      <c r="D50" s="5"/>
      <c r="E50" s="5"/>
      <c r="F50" s="5"/>
      <c r="G50" s="6"/>
      <c r="H50" s="5"/>
      <c r="I50" s="5"/>
      <c r="J50" s="5"/>
      <c r="K50" s="8"/>
    </row>
    <row r="51" spans="1:11" ht="26.25">
      <c r="A51" s="144" t="s">
        <v>386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7"/>
    </row>
    <row r="52" spans="1:11" ht="26.25">
      <c r="A52" s="144" t="s">
        <v>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7"/>
    </row>
    <row r="53" spans="1:11" ht="15.75" thickBot="1"/>
    <row r="54" spans="1:11" ht="15.75" thickBot="1">
      <c r="A54" s="132" t="s">
        <v>2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4"/>
    </row>
    <row r="56" spans="1:11" ht="19.5" thickBot="1">
      <c r="A56" s="1" t="s">
        <v>3</v>
      </c>
      <c r="B56" s="1"/>
      <c r="C56" s="1"/>
      <c r="D56" s="1"/>
      <c r="E56" s="1"/>
      <c r="F56" s="1"/>
      <c r="G56" s="1"/>
      <c r="H56" s="1"/>
      <c r="I56" s="1"/>
    </row>
    <row r="57" spans="1:11" ht="30.75" thickBot="1">
      <c r="A57" s="2" t="s">
        <v>4</v>
      </c>
      <c r="B57" s="3" t="s">
        <v>5</v>
      </c>
      <c r="C57" s="3" t="s">
        <v>6</v>
      </c>
      <c r="D57" s="3" t="s">
        <v>7</v>
      </c>
      <c r="E57" s="3" t="s">
        <v>8</v>
      </c>
      <c r="F57" s="3" t="s">
        <v>9</v>
      </c>
      <c r="G57" s="3" t="s">
        <v>10</v>
      </c>
      <c r="H57" s="3" t="s">
        <v>21</v>
      </c>
      <c r="I57" s="4" t="s">
        <v>22</v>
      </c>
      <c r="J57" s="4" t="s">
        <v>11</v>
      </c>
      <c r="K57" s="4" t="s">
        <v>12</v>
      </c>
    </row>
    <row r="58" spans="1:11">
      <c r="A58" s="5">
        <v>203</v>
      </c>
      <c r="B58" s="6">
        <v>43921</v>
      </c>
      <c r="C58" s="7">
        <v>1</v>
      </c>
      <c r="D58" s="5">
        <v>5.87</v>
      </c>
      <c r="E58" s="5">
        <v>893.7</v>
      </c>
      <c r="F58" s="5">
        <v>908.9</v>
      </c>
      <c r="G58" s="6">
        <v>43921</v>
      </c>
      <c r="H58" s="5"/>
      <c r="I58" s="5"/>
      <c r="J58" s="5">
        <f t="shared" si="8"/>
        <v>15.199999999999932</v>
      </c>
      <c r="K58" s="8" t="b">
        <f t="shared" ref="K58:K65" si="9">F58=E59</f>
        <v>1</v>
      </c>
    </row>
    <row r="59" spans="1:11">
      <c r="A59" s="5">
        <v>203</v>
      </c>
      <c r="B59" s="6">
        <v>43922</v>
      </c>
      <c r="C59" s="7">
        <v>1</v>
      </c>
      <c r="D59" s="5">
        <v>5.87</v>
      </c>
      <c r="E59" s="5">
        <v>908.9</v>
      </c>
      <c r="F59" s="5">
        <v>928.7</v>
      </c>
      <c r="G59" s="6">
        <v>43922</v>
      </c>
      <c r="H59" s="5"/>
      <c r="I59" s="5"/>
      <c r="J59" s="5">
        <f t="shared" si="8"/>
        <v>19.800000000000068</v>
      </c>
      <c r="K59" s="8" t="b">
        <f t="shared" si="9"/>
        <v>1</v>
      </c>
    </row>
    <row r="60" spans="1:11">
      <c r="A60" s="5">
        <v>203</v>
      </c>
      <c r="B60" s="6">
        <v>43923</v>
      </c>
      <c r="C60" s="7">
        <v>1</v>
      </c>
      <c r="D60" s="5">
        <v>5.87</v>
      </c>
      <c r="E60" s="5">
        <v>928.7</v>
      </c>
      <c r="F60" s="5">
        <v>947</v>
      </c>
      <c r="G60" s="6">
        <v>43923</v>
      </c>
      <c r="H60" s="5"/>
      <c r="I60" s="5"/>
      <c r="J60" s="5">
        <f t="shared" si="8"/>
        <v>18.299999999999955</v>
      </c>
      <c r="K60" s="8" t="b">
        <f t="shared" si="9"/>
        <v>1</v>
      </c>
    </row>
    <row r="61" spans="1:11">
      <c r="A61" s="5">
        <v>203</v>
      </c>
      <c r="B61" s="6">
        <v>43925</v>
      </c>
      <c r="C61" s="7">
        <v>1</v>
      </c>
      <c r="D61" s="5">
        <v>5.87</v>
      </c>
      <c r="E61" s="5">
        <v>947</v>
      </c>
      <c r="F61" s="5">
        <v>960</v>
      </c>
      <c r="G61" s="6">
        <v>43925</v>
      </c>
      <c r="H61" s="5"/>
      <c r="I61" s="5"/>
      <c r="J61" s="5">
        <f t="shared" si="8"/>
        <v>13</v>
      </c>
      <c r="K61" s="8" t="b">
        <f t="shared" si="9"/>
        <v>0</v>
      </c>
    </row>
    <row r="62" spans="1:11">
      <c r="A62" s="5">
        <v>203</v>
      </c>
      <c r="B62" s="6">
        <v>43932</v>
      </c>
      <c r="C62" s="7">
        <v>1</v>
      </c>
      <c r="D62" s="5">
        <v>5.87</v>
      </c>
      <c r="E62" s="5">
        <v>976</v>
      </c>
      <c r="F62" s="5">
        <v>989</v>
      </c>
      <c r="G62" s="6">
        <v>43932</v>
      </c>
      <c r="H62" s="5"/>
      <c r="I62" s="5"/>
      <c r="J62" s="5">
        <f t="shared" si="8"/>
        <v>13</v>
      </c>
      <c r="K62" s="8" t="b">
        <f t="shared" si="9"/>
        <v>1</v>
      </c>
    </row>
    <row r="63" spans="1:11">
      <c r="A63" s="5">
        <v>203</v>
      </c>
      <c r="B63" s="6">
        <v>43935</v>
      </c>
      <c r="C63" s="7">
        <v>1</v>
      </c>
      <c r="D63" s="5">
        <v>5.87</v>
      </c>
      <c r="E63" s="5">
        <v>989</v>
      </c>
      <c r="F63" s="5">
        <v>1000</v>
      </c>
      <c r="G63" s="6">
        <v>43935</v>
      </c>
      <c r="H63" s="5"/>
      <c r="I63" s="5"/>
      <c r="J63" s="5">
        <f t="shared" si="8"/>
        <v>11</v>
      </c>
      <c r="K63" s="8" t="b">
        <f t="shared" si="9"/>
        <v>1</v>
      </c>
    </row>
    <row r="64" spans="1:11">
      <c r="A64" s="5">
        <v>203</v>
      </c>
      <c r="B64" s="6">
        <v>43936</v>
      </c>
      <c r="C64" s="7">
        <v>1</v>
      </c>
      <c r="D64" s="5">
        <v>5.87</v>
      </c>
      <c r="E64" s="5">
        <v>1000</v>
      </c>
      <c r="F64" s="5">
        <v>1014</v>
      </c>
      <c r="G64" s="6">
        <v>43936</v>
      </c>
      <c r="H64" s="5"/>
      <c r="I64" s="5"/>
      <c r="J64" s="5">
        <f t="shared" si="8"/>
        <v>14</v>
      </c>
      <c r="K64" s="8" t="b">
        <f t="shared" si="9"/>
        <v>1</v>
      </c>
    </row>
    <row r="65" spans="1:11">
      <c r="A65" s="5">
        <v>203</v>
      </c>
      <c r="B65" s="6">
        <v>43942</v>
      </c>
      <c r="C65" s="7">
        <v>1</v>
      </c>
      <c r="D65" s="5">
        <v>5.87</v>
      </c>
      <c r="E65" s="5">
        <v>1014</v>
      </c>
      <c r="F65" s="5">
        <v>1018</v>
      </c>
      <c r="G65" s="6">
        <v>43942</v>
      </c>
      <c r="H65" s="5"/>
      <c r="I65" s="5"/>
      <c r="J65" s="5">
        <f t="shared" si="8"/>
        <v>4</v>
      </c>
      <c r="K65" s="8" t="b">
        <f t="shared" si="9"/>
        <v>1</v>
      </c>
    </row>
    <row r="66" spans="1:11">
      <c r="A66" s="5">
        <v>203</v>
      </c>
      <c r="B66" s="6">
        <v>43949</v>
      </c>
      <c r="C66" s="7">
        <v>0.8</v>
      </c>
      <c r="D66" s="5">
        <v>7.34</v>
      </c>
      <c r="E66" s="5">
        <v>1018</v>
      </c>
      <c r="F66" s="5">
        <v>1034</v>
      </c>
      <c r="G66" s="6">
        <v>43949</v>
      </c>
      <c r="H66" s="5"/>
      <c r="I66" s="5"/>
      <c r="J66" s="5">
        <f t="shared" ref="J66:J81" si="10">F66-E66</f>
        <v>16</v>
      </c>
      <c r="K66" s="8" t="b">
        <f t="shared" ref="K66:K81" si="11">F66=E67</f>
        <v>0</v>
      </c>
    </row>
    <row r="67" spans="1:11">
      <c r="A67" s="5">
        <v>203</v>
      </c>
      <c r="B67" s="6">
        <v>43956</v>
      </c>
      <c r="C67" s="7">
        <v>0.7</v>
      </c>
      <c r="D67" s="5">
        <v>8.39</v>
      </c>
      <c r="E67" s="5">
        <v>1074</v>
      </c>
      <c r="F67" s="5">
        <v>1096</v>
      </c>
      <c r="G67" s="6">
        <v>43956</v>
      </c>
      <c r="H67" s="5"/>
      <c r="I67" s="5"/>
      <c r="J67" s="5">
        <f t="shared" si="10"/>
        <v>22</v>
      </c>
      <c r="K67" s="8" t="b">
        <f t="shared" si="11"/>
        <v>1</v>
      </c>
    </row>
    <row r="68" spans="1:11">
      <c r="A68" s="5">
        <v>203</v>
      </c>
      <c r="B68" s="6">
        <v>43960</v>
      </c>
      <c r="C68" s="7">
        <v>1</v>
      </c>
      <c r="D68" s="5">
        <v>5.87</v>
      </c>
      <c r="E68" s="5">
        <v>1096</v>
      </c>
      <c r="F68" s="5">
        <v>1103</v>
      </c>
      <c r="G68" s="6">
        <v>43960</v>
      </c>
      <c r="H68" s="5"/>
      <c r="I68" s="5"/>
      <c r="J68" s="5">
        <f t="shared" si="10"/>
        <v>7</v>
      </c>
      <c r="K68" s="8" t="b">
        <f t="shared" si="11"/>
        <v>1</v>
      </c>
    </row>
    <row r="69" spans="1:11">
      <c r="A69" s="5">
        <v>203</v>
      </c>
      <c r="B69" s="6">
        <v>43965</v>
      </c>
      <c r="C69" s="7">
        <v>1</v>
      </c>
      <c r="D69" s="5">
        <v>5.87</v>
      </c>
      <c r="E69" s="5">
        <v>1103</v>
      </c>
      <c r="F69" s="5">
        <v>1115</v>
      </c>
      <c r="G69" s="6">
        <v>43965</v>
      </c>
      <c r="H69" s="5"/>
      <c r="I69" s="5"/>
      <c r="J69" s="5">
        <f t="shared" si="10"/>
        <v>12</v>
      </c>
      <c r="K69" s="8" t="b">
        <f t="shared" si="11"/>
        <v>1</v>
      </c>
    </row>
    <row r="70" spans="1:11">
      <c r="A70" s="5">
        <v>203</v>
      </c>
      <c r="B70" s="6">
        <v>43966</v>
      </c>
      <c r="C70" s="7">
        <v>0.7</v>
      </c>
      <c r="D70" s="5">
        <v>8.39</v>
      </c>
      <c r="E70" s="5">
        <v>1115</v>
      </c>
      <c r="F70" s="5">
        <v>1132.8</v>
      </c>
      <c r="G70" s="6">
        <v>43966</v>
      </c>
      <c r="H70" s="5"/>
      <c r="I70" s="5"/>
      <c r="J70" s="5">
        <f t="shared" si="10"/>
        <v>17.799999999999955</v>
      </c>
      <c r="K70" s="8" t="b">
        <f t="shared" si="11"/>
        <v>1</v>
      </c>
    </row>
    <row r="71" spans="1:11">
      <c r="A71" s="5">
        <v>203</v>
      </c>
      <c r="B71" s="6">
        <v>43968</v>
      </c>
      <c r="C71" s="7">
        <v>0.7</v>
      </c>
      <c r="D71" s="5">
        <v>8.39</v>
      </c>
      <c r="E71" s="5">
        <v>1132.8</v>
      </c>
      <c r="F71" s="5">
        <v>1137.8</v>
      </c>
      <c r="G71" s="6">
        <v>43968</v>
      </c>
      <c r="H71" s="5"/>
      <c r="I71" s="5"/>
      <c r="J71" s="5">
        <f t="shared" si="10"/>
        <v>5</v>
      </c>
      <c r="K71" s="8" t="b">
        <f t="shared" si="11"/>
        <v>1</v>
      </c>
    </row>
    <row r="72" spans="1:11">
      <c r="A72" s="5">
        <v>203</v>
      </c>
      <c r="B72" s="6">
        <v>43970</v>
      </c>
      <c r="C72" s="7">
        <v>0.7</v>
      </c>
      <c r="D72" s="5">
        <v>8.39</v>
      </c>
      <c r="E72" s="5">
        <v>1137.8</v>
      </c>
      <c r="F72" s="5">
        <v>1154</v>
      </c>
      <c r="G72" s="6">
        <v>43970</v>
      </c>
      <c r="H72" s="5"/>
      <c r="I72" s="5"/>
      <c r="J72" s="5">
        <f t="shared" si="10"/>
        <v>16.200000000000045</v>
      </c>
      <c r="K72" s="8" t="b">
        <f t="shared" si="11"/>
        <v>1</v>
      </c>
    </row>
    <row r="73" spans="1:11">
      <c r="A73" s="5">
        <v>203</v>
      </c>
      <c r="B73" s="6">
        <v>43972</v>
      </c>
      <c r="C73" s="7">
        <v>0.8</v>
      </c>
      <c r="D73" s="5">
        <v>7.34</v>
      </c>
      <c r="E73" s="5">
        <v>1154</v>
      </c>
      <c r="F73" s="5">
        <v>1169</v>
      </c>
      <c r="G73" s="6">
        <v>43972</v>
      </c>
      <c r="H73" s="5"/>
      <c r="I73" s="5"/>
      <c r="J73" s="5">
        <f t="shared" si="10"/>
        <v>15</v>
      </c>
      <c r="K73" s="8" t="b">
        <f t="shared" si="11"/>
        <v>1</v>
      </c>
    </row>
    <row r="74" spans="1:11">
      <c r="A74" s="5">
        <v>203</v>
      </c>
      <c r="B74" s="6">
        <v>43974</v>
      </c>
      <c r="C74" s="7">
        <v>0.7</v>
      </c>
      <c r="D74" s="5">
        <v>8.39</v>
      </c>
      <c r="E74" s="5">
        <v>1169</v>
      </c>
      <c r="F74" s="5">
        <v>1187.4000000000001</v>
      </c>
      <c r="G74" s="6">
        <v>43974</v>
      </c>
      <c r="H74" s="5"/>
      <c r="I74" s="5"/>
      <c r="J74" s="5">
        <f t="shared" si="10"/>
        <v>18.400000000000091</v>
      </c>
      <c r="K74" s="8" t="b">
        <f t="shared" si="11"/>
        <v>1</v>
      </c>
    </row>
    <row r="75" spans="1:11">
      <c r="A75" s="5">
        <v>203</v>
      </c>
      <c r="B75" s="6">
        <v>43976</v>
      </c>
      <c r="C75" s="7">
        <v>0.8</v>
      </c>
      <c r="D75" s="5">
        <v>7.34</v>
      </c>
      <c r="E75" s="5">
        <v>1187.4000000000001</v>
      </c>
      <c r="F75" s="5">
        <v>1203.8</v>
      </c>
      <c r="G75" s="6">
        <v>43976</v>
      </c>
      <c r="H75" s="5"/>
      <c r="I75" s="5"/>
      <c r="J75" s="5">
        <f t="shared" si="10"/>
        <v>16.399999999999864</v>
      </c>
      <c r="K75" s="8" t="b">
        <f t="shared" si="11"/>
        <v>1</v>
      </c>
    </row>
    <row r="76" spans="1:11">
      <c r="A76" s="5">
        <v>203</v>
      </c>
      <c r="B76" s="6">
        <v>43978</v>
      </c>
      <c r="C76" s="7">
        <v>0.8</v>
      </c>
      <c r="D76" s="5">
        <v>7.34</v>
      </c>
      <c r="E76" s="5">
        <v>1203.8</v>
      </c>
      <c r="F76" s="5">
        <v>1217.5</v>
      </c>
      <c r="G76" s="6">
        <v>43978</v>
      </c>
      <c r="H76" s="5"/>
      <c r="I76" s="5"/>
      <c r="J76" s="5">
        <f t="shared" si="10"/>
        <v>13.700000000000045</v>
      </c>
      <c r="K76" s="8" t="b">
        <f t="shared" si="11"/>
        <v>1</v>
      </c>
    </row>
    <row r="77" spans="1:11">
      <c r="A77" s="5">
        <v>203</v>
      </c>
      <c r="B77" s="6">
        <v>43980</v>
      </c>
      <c r="C77" s="7">
        <v>0.7</v>
      </c>
      <c r="D77" s="5">
        <v>8.39</v>
      </c>
      <c r="E77" s="5">
        <v>1217.5</v>
      </c>
      <c r="F77" s="5">
        <v>1235.4000000000001</v>
      </c>
      <c r="G77" s="6">
        <v>43980</v>
      </c>
      <c r="H77" s="5"/>
      <c r="I77" s="5"/>
      <c r="J77" s="5">
        <f t="shared" si="10"/>
        <v>17.900000000000091</v>
      </c>
      <c r="K77" s="8" t="b">
        <f t="shared" si="11"/>
        <v>1</v>
      </c>
    </row>
    <row r="78" spans="1:11">
      <c r="A78" s="5">
        <v>203</v>
      </c>
      <c r="B78" s="6">
        <v>43981</v>
      </c>
      <c r="C78" s="7">
        <v>0.7</v>
      </c>
      <c r="D78" s="5">
        <v>8.39</v>
      </c>
      <c r="E78" s="5">
        <v>1235.4000000000001</v>
      </c>
      <c r="F78" s="5">
        <v>1255.0999999999999</v>
      </c>
      <c r="G78" s="6">
        <v>43981</v>
      </c>
      <c r="H78" s="5"/>
      <c r="I78" s="5"/>
      <c r="J78" s="5">
        <f t="shared" si="10"/>
        <v>19.699999999999818</v>
      </c>
      <c r="K78" s="8" t="b">
        <f t="shared" si="11"/>
        <v>1</v>
      </c>
    </row>
    <row r="79" spans="1:11">
      <c r="A79" s="5">
        <v>203</v>
      </c>
      <c r="B79" s="6">
        <v>43984</v>
      </c>
      <c r="C79" s="7">
        <v>0.8</v>
      </c>
      <c r="D79" s="5">
        <v>7.34</v>
      </c>
      <c r="E79" s="5">
        <v>1255.0999999999999</v>
      </c>
      <c r="F79" s="5">
        <v>1269.9000000000001</v>
      </c>
      <c r="G79" s="6">
        <v>43984</v>
      </c>
      <c r="H79" s="5"/>
      <c r="I79" s="5"/>
      <c r="J79" s="5">
        <f t="shared" si="10"/>
        <v>14.800000000000182</v>
      </c>
      <c r="K79" s="8" t="b">
        <f t="shared" si="11"/>
        <v>1</v>
      </c>
    </row>
    <row r="80" spans="1:11">
      <c r="A80" s="5">
        <v>203</v>
      </c>
      <c r="B80" s="6">
        <v>43986</v>
      </c>
      <c r="C80" s="7">
        <v>0.8</v>
      </c>
      <c r="D80" s="5">
        <v>7.34</v>
      </c>
      <c r="E80" s="5">
        <v>1269.9000000000001</v>
      </c>
      <c r="F80" s="5">
        <v>1284.7</v>
      </c>
      <c r="G80" s="6">
        <v>43986</v>
      </c>
      <c r="H80" s="5"/>
      <c r="I80" s="5"/>
      <c r="J80" s="5">
        <f t="shared" si="10"/>
        <v>14.799999999999955</v>
      </c>
      <c r="K80" s="8" t="b">
        <f t="shared" si="11"/>
        <v>0</v>
      </c>
    </row>
    <row r="81" spans="1:11">
      <c r="A81" s="5">
        <v>203</v>
      </c>
      <c r="B81" s="6">
        <v>43990</v>
      </c>
      <c r="C81" s="7">
        <v>0.7</v>
      </c>
      <c r="D81" s="5">
        <v>8.39</v>
      </c>
      <c r="E81" s="5">
        <v>1269.9000000000001</v>
      </c>
      <c r="F81" s="5">
        <v>1302.5999999999999</v>
      </c>
      <c r="G81" s="6">
        <v>43990</v>
      </c>
      <c r="H81" s="5"/>
      <c r="I81" s="5"/>
      <c r="J81" s="5">
        <f t="shared" si="10"/>
        <v>32.699999999999818</v>
      </c>
      <c r="K81" s="8" t="b">
        <f t="shared" si="11"/>
        <v>1</v>
      </c>
    </row>
    <row r="82" spans="1:11">
      <c r="A82" s="5">
        <v>203</v>
      </c>
      <c r="B82" s="6">
        <v>43993</v>
      </c>
      <c r="C82" s="7">
        <v>0.7</v>
      </c>
      <c r="D82" s="5">
        <v>8.39</v>
      </c>
      <c r="E82" s="5">
        <v>1302.5999999999999</v>
      </c>
      <c r="F82" s="5">
        <v>1319</v>
      </c>
      <c r="G82" s="6">
        <v>43993</v>
      </c>
      <c r="H82" s="5"/>
      <c r="I82" s="5"/>
      <c r="J82" s="5">
        <f>F82-E82</f>
        <v>16.400000000000091</v>
      </c>
      <c r="K82" s="8" t="b">
        <f>F82=E83</f>
        <v>0</v>
      </c>
    </row>
    <row r="83" spans="1:11">
      <c r="A83" s="5">
        <v>203</v>
      </c>
      <c r="B83" s="6">
        <v>43996</v>
      </c>
      <c r="C83" s="7">
        <v>0.7</v>
      </c>
      <c r="D83" s="5">
        <v>8.39</v>
      </c>
      <c r="E83" s="5">
        <v>0</v>
      </c>
      <c r="F83" s="5">
        <v>17</v>
      </c>
      <c r="G83" s="6">
        <v>43996</v>
      </c>
      <c r="H83" s="5"/>
      <c r="I83" s="5"/>
      <c r="J83" s="5">
        <f>F83-E83</f>
        <v>17</v>
      </c>
      <c r="K83" s="8" t="b">
        <f>F83=E84</f>
        <v>1</v>
      </c>
    </row>
    <row r="84" spans="1:11">
      <c r="A84" s="5">
        <v>203</v>
      </c>
      <c r="B84" s="6">
        <v>43999</v>
      </c>
      <c r="C84" s="7">
        <v>0.7</v>
      </c>
      <c r="D84" s="5">
        <v>8.39</v>
      </c>
      <c r="E84" s="5">
        <v>17</v>
      </c>
      <c r="F84" s="5">
        <v>35</v>
      </c>
      <c r="G84" s="6">
        <v>43999</v>
      </c>
      <c r="H84" s="5"/>
      <c r="I84" s="5"/>
      <c r="J84" s="5">
        <f>F84-E84</f>
        <v>18</v>
      </c>
      <c r="K84" s="8" t="b">
        <f>F84=E85</f>
        <v>1</v>
      </c>
    </row>
    <row r="85" spans="1:11">
      <c r="A85" s="5">
        <v>203</v>
      </c>
      <c r="B85" s="6">
        <v>44002</v>
      </c>
      <c r="C85" s="7">
        <v>0.7</v>
      </c>
      <c r="D85" s="5">
        <v>8.39</v>
      </c>
      <c r="E85" s="5">
        <v>35</v>
      </c>
      <c r="F85" s="5">
        <v>52.7</v>
      </c>
      <c r="G85" s="6">
        <v>44002</v>
      </c>
      <c r="H85" s="5"/>
      <c r="I85" s="5"/>
      <c r="J85" s="5">
        <f>F85-E85</f>
        <v>17.700000000000003</v>
      </c>
      <c r="K85" s="8" t="b">
        <f>F85=E86</f>
        <v>1</v>
      </c>
    </row>
    <row r="86" spans="1:11">
      <c r="A86" s="5">
        <v>203</v>
      </c>
      <c r="B86" s="6">
        <v>44004</v>
      </c>
      <c r="C86" s="7">
        <v>0.7</v>
      </c>
      <c r="D86" s="5">
        <v>8.39</v>
      </c>
      <c r="E86" s="5">
        <v>52.7</v>
      </c>
      <c r="F86" s="5">
        <v>62.5</v>
      </c>
      <c r="G86" s="6">
        <v>44004</v>
      </c>
      <c r="H86" s="5"/>
      <c r="I86" s="5"/>
      <c r="J86" s="5">
        <f>F86-E86</f>
        <v>9.7999999999999972</v>
      </c>
      <c r="K86" s="8" t="b">
        <f>F86=E87</f>
        <v>1</v>
      </c>
    </row>
    <row r="87" spans="1:11">
      <c r="A87" s="5">
        <v>203</v>
      </c>
      <c r="B87" s="6">
        <v>44006</v>
      </c>
      <c r="C87" s="7">
        <v>0.7</v>
      </c>
      <c r="D87" s="5">
        <v>8.39</v>
      </c>
      <c r="E87" s="5">
        <v>62.5</v>
      </c>
      <c r="F87" s="5">
        <v>79.3</v>
      </c>
      <c r="G87" s="6">
        <v>44006</v>
      </c>
      <c r="H87" s="5"/>
      <c r="I87" s="5"/>
      <c r="J87" s="5">
        <f t="shared" ref="J87:J97" si="12">F87-E87</f>
        <v>16.799999999999997</v>
      </c>
      <c r="K87" s="8" t="b">
        <f t="shared" ref="K87:K97" si="13">F87=E88</f>
        <v>1</v>
      </c>
    </row>
    <row r="88" spans="1:11">
      <c r="A88" s="5">
        <v>203</v>
      </c>
      <c r="B88" s="6">
        <v>44008</v>
      </c>
      <c r="C88" s="7">
        <v>0.7</v>
      </c>
      <c r="D88" s="5">
        <v>8.39</v>
      </c>
      <c r="E88" s="5">
        <v>79.3</v>
      </c>
      <c r="F88" s="5">
        <v>89.2</v>
      </c>
      <c r="G88" s="6">
        <v>44008</v>
      </c>
      <c r="H88" s="5"/>
      <c r="I88" s="5"/>
      <c r="J88" s="5">
        <f t="shared" si="12"/>
        <v>9.9000000000000057</v>
      </c>
      <c r="K88" s="8" t="b">
        <f t="shared" si="13"/>
        <v>1</v>
      </c>
    </row>
    <row r="89" spans="1:11">
      <c r="A89" s="5">
        <v>203</v>
      </c>
      <c r="B89" s="6">
        <v>44010</v>
      </c>
      <c r="C89" s="7">
        <v>0.7</v>
      </c>
      <c r="D89" s="5">
        <v>8.39</v>
      </c>
      <c r="E89" s="5">
        <v>89.2</v>
      </c>
      <c r="F89" s="5">
        <v>106.6</v>
      </c>
      <c r="G89" s="6">
        <v>44010</v>
      </c>
      <c r="H89" s="5"/>
      <c r="I89" s="5"/>
      <c r="J89" s="5">
        <f t="shared" si="12"/>
        <v>17.399999999999991</v>
      </c>
      <c r="K89" s="8" t="b">
        <f t="shared" si="13"/>
        <v>1</v>
      </c>
    </row>
    <row r="90" spans="1:11">
      <c r="A90" s="5">
        <v>203</v>
      </c>
      <c r="B90" s="6">
        <v>44013</v>
      </c>
      <c r="C90" s="7">
        <v>0.7</v>
      </c>
      <c r="D90" s="5">
        <v>8.39</v>
      </c>
      <c r="E90" s="5">
        <v>106.6</v>
      </c>
      <c r="F90" s="5">
        <v>123</v>
      </c>
      <c r="G90" s="6">
        <v>44013</v>
      </c>
      <c r="H90" s="5"/>
      <c r="I90" s="5"/>
      <c r="J90" s="5">
        <f t="shared" si="12"/>
        <v>16.400000000000006</v>
      </c>
      <c r="K90" s="8" t="b">
        <f t="shared" si="13"/>
        <v>1</v>
      </c>
    </row>
    <row r="91" spans="1:11">
      <c r="A91" s="5">
        <v>203</v>
      </c>
      <c r="B91" s="6">
        <v>44017</v>
      </c>
      <c r="C91" s="7">
        <v>0.7</v>
      </c>
      <c r="D91" s="5">
        <v>8.39</v>
      </c>
      <c r="E91" s="5">
        <v>123</v>
      </c>
      <c r="F91" s="5">
        <v>140</v>
      </c>
      <c r="G91" s="6">
        <v>44017</v>
      </c>
      <c r="H91" s="5"/>
      <c r="I91" s="5"/>
      <c r="J91" s="5">
        <f t="shared" si="12"/>
        <v>17</v>
      </c>
      <c r="K91" s="8" t="b">
        <f t="shared" si="13"/>
        <v>1</v>
      </c>
    </row>
    <row r="92" spans="1:11">
      <c r="A92" s="5">
        <v>203</v>
      </c>
      <c r="B92" s="6">
        <v>44021</v>
      </c>
      <c r="C92" s="7">
        <v>0.7</v>
      </c>
      <c r="D92" s="5">
        <v>8.39</v>
      </c>
      <c r="E92" s="5">
        <v>140</v>
      </c>
      <c r="F92" s="5">
        <v>149</v>
      </c>
      <c r="G92" s="6">
        <v>44021</v>
      </c>
      <c r="H92" s="5"/>
      <c r="I92" s="5"/>
      <c r="J92" s="5">
        <f t="shared" si="12"/>
        <v>9</v>
      </c>
      <c r="K92" s="8" t="b">
        <f t="shared" si="13"/>
        <v>1</v>
      </c>
    </row>
    <row r="93" spans="1:11">
      <c r="A93" s="5">
        <v>203</v>
      </c>
      <c r="B93" s="6">
        <v>44025</v>
      </c>
      <c r="C93" s="7">
        <v>0.7</v>
      </c>
      <c r="D93" s="5">
        <v>8.39</v>
      </c>
      <c r="E93" s="5">
        <v>149</v>
      </c>
      <c r="F93" s="5">
        <v>167</v>
      </c>
      <c r="G93" s="6">
        <v>44025</v>
      </c>
      <c r="H93" s="5"/>
      <c r="I93" s="5"/>
      <c r="J93" s="5">
        <f t="shared" si="12"/>
        <v>18</v>
      </c>
      <c r="K93" s="8" t="b">
        <f t="shared" si="13"/>
        <v>1</v>
      </c>
    </row>
    <row r="94" spans="1:11">
      <c r="A94" s="5">
        <v>203</v>
      </c>
      <c r="B94" s="6">
        <v>44027</v>
      </c>
      <c r="C94" s="7">
        <v>0.7</v>
      </c>
      <c r="D94" s="5">
        <v>8.39</v>
      </c>
      <c r="E94" s="5">
        <v>167</v>
      </c>
      <c r="F94" s="5">
        <v>196</v>
      </c>
      <c r="G94" s="6">
        <v>44027</v>
      </c>
      <c r="H94" s="5"/>
      <c r="I94" s="5"/>
      <c r="J94" s="5">
        <f t="shared" si="12"/>
        <v>29</v>
      </c>
      <c r="K94" s="8" t="b">
        <f t="shared" si="13"/>
        <v>1</v>
      </c>
    </row>
    <row r="95" spans="1:11">
      <c r="A95" s="5">
        <v>203</v>
      </c>
      <c r="B95" s="6">
        <v>44030</v>
      </c>
      <c r="C95" s="7">
        <v>0.7</v>
      </c>
      <c r="D95" s="5">
        <v>8.39</v>
      </c>
      <c r="E95" s="5">
        <v>196</v>
      </c>
      <c r="F95" s="5">
        <v>205.2</v>
      </c>
      <c r="G95" s="6">
        <v>44030</v>
      </c>
      <c r="H95" s="5"/>
      <c r="I95" s="5"/>
      <c r="J95" s="5">
        <f t="shared" si="12"/>
        <v>9.1999999999999886</v>
      </c>
      <c r="K95" s="8" t="b">
        <f t="shared" si="13"/>
        <v>1</v>
      </c>
    </row>
    <row r="96" spans="1:11">
      <c r="A96" s="5">
        <v>203</v>
      </c>
      <c r="B96" s="6">
        <v>44032</v>
      </c>
      <c r="C96" s="7">
        <v>0.7</v>
      </c>
      <c r="D96" s="5">
        <v>8.39</v>
      </c>
      <c r="E96" s="5">
        <v>205.2</v>
      </c>
      <c r="F96" s="5">
        <v>213.8</v>
      </c>
      <c r="G96" s="6">
        <v>44032</v>
      </c>
      <c r="H96" s="5"/>
      <c r="I96" s="5"/>
      <c r="J96" s="5">
        <f t="shared" si="12"/>
        <v>8.6000000000000227</v>
      </c>
      <c r="K96" s="8" t="b">
        <f t="shared" si="13"/>
        <v>1</v>
      </c>
    </row>
    <row r="97" spans="1:11">
      <c r="A97" s="5">
        <v>203</v>
      </c>
      <c r="B97" s="6">
        <v>44033</v>
      </c>
      <c r="C97" s="7">
        <v>0.7</v>
      </c>
      <c r="D97" s="5">
        <v>8.39</v>
      </c>
      <c r="E97" s="5">
        <v>213.8</v>
      </c>
      <c r="F97" s="5">
        <v>223.9</v>
      </c>
      <c r="G97" s="6">
        <v>44033</v>
      </c>
      <c r="H97" s="5"/>
      <c r="I97" s="5"/>
      <c r="J97" s="5">
        <f t="shared" si="12"/>
        <v>10.099999999999994</v>
      </c>
      <c r="K97" s="8" t="b">
        <f t="shared" si="13"/>
        <v>1</v>
      </c>
    </row>
    <row r="98" spans="1:11">
      <c r="A98" s="5">
        <v>203</v>
      </c>
      <c r="B98" s="6">
        <v>44038</v>
      </c>
      <c r="C98" s="7">
        <v>0.7</v>
      </c>
      <c r="D98" s="5">
        <v>8.39</v>
      </c>
      <c r="E98" s="5">
        <v>223.9</v>
      </c>
      <c r="F98" s="5">
        <v>242</v>
      </c>
      <c r="G98" s="6">
        <v>44038</v>
      </c>
      <c r="H98" s="5"/>
      <c r="I98" s="5"/>
      <c r="J98" s="5">
        <f t="shared" ref="J98:J103" si="14">F98-E98</f>
        <v>18.099999999999994</v>
      </c>
      <c r="K98" s="8" t="b">
        <f t="shared" ref="K98:K103" si="15">F98=E99</f>
        <v>1</v>
      </c>
    </row>
    <row r="99" spans="1:11">
      <c r="A99" s="5">
        <v>203</v>
      </c>
      <c r="B99" s="6">
        <v>242</v>
      </c>
      <c r="C99" s="7">
        <v>0.7</v>
      </c>
      <c r="D99" s="5">
        <v>8.39</v>
      </c>
      <c r="E99" s="5">
        <v>242</v>
      </c>
      <c r="F99" s="5">
        <v>252</v>
      </c>
      <c r="G99" s="6">
        <v>44041</v>
      </c>
      <c r="H99" s="5"/>
      <c r="I99" s="5"/>
      <c r="J99" s="5">
        <f t="shared" si="14"/>
        <v>10</v>
      </c>
      <c r="K99" s="8" t="b">
        <f t="shared" si="15"/>
        <v>1</v>
      </c>
    </row>
    <row r="100" spans="1:11">
      <c r="A100" s="5">
        <v>203</v>
      </c>
      <c r="B100" s="6">
        <v>44045</v>
      </c>
      <c r="C100" s="7">
        <v>0.7</v>
      </c>
      <c r="D100" s="5">
        <v>8.39</v>
      </c>
      <c r="E100" s="5">
        <v>252</v>
      </c>
      <c r="F100" s="5">
        <v>261</v>
      </c>
      <c r="G100" s="6">
        <v>44045</v>
      </c>
      <c r="H100" s="5"/>
      <c r="I100" s="5"/>
      <c r="J100" s="5">
        <f t="shared" si="14"/>
        <v>9</v>
      </c>
      <c r="K100" s="8" t="b">
        <f t="shared" si="15"/>
        <v>1</v>
      </c>
    </row>
    <row r="101" spans="1:11">
      <c r="A101" s="5">
        <v>203</v>
      </c>
      <c r="B101" s="6">
        <v>44046</v>
      </c>
      <c r="C101" s="7">
        <v>0.6</v>
      </c>
      <c r="D101" s="5">
        <v>9.7799999999999994</v>
      </c>
      <c r="E101" s="5">
        <v>261</v>
      </c>
      <c r="F101" s="5">
        <v>272</v>
      </c>
      <c r="G101" s="6">
        <v>44046</v>
      </c>
      <c r="H101" s="5"/>
      <c r="I101" s="5"/>
      <c r="J101" s="5">
        <f t="shared" si="14"/>
        <v>11</v>
      </c>
      <c r="K101" s="8" t="b">
        <f t="shared" si="15"/>
        <v>1</v>
      </c>
    </row>
    <row r="102" spans="1:11">
      <c r="A102" s="5">
        <v>203</v>
      </c>
      <c r="B102" s="6">
        <v>44048</v>
      </c>
      <c r="C102" s="7">
        <v>0.7</v>
      </c>
      <c r="D102" s="5">
        <v>8.39</v>
      </c>
      <c r="E102" s="5">
        <v>272</v>
      </c>
      <c r="F102" s="5">
        <v>290</v>
      </c>
      <c r="G102" s="6">
        <v>44048</v>
      </c>
      <c r="H102" s="5"/>
      <c r="I102" s="5"/>
      <c r="J102" s="5">
        <f t="shared" si="14"/>
        <v>18</v>
      </c>
      <c r="K102" s="8" t="b">
        <f t="shared" si="15"/>
        <v>0</v>
      </c>
    </row>
    <row r="103" spans="1:11">
      <c r="A103" s="5">
        <v>203</v>
      </c>
      <c r="B103" s="6">
        <v>44199</v>
      </c>
      <c r="C103" s="7">
        <v>0.6</v>
      </c>
      <c r="D103" s="5">
        <v>9.7799999999999994</v>
      </c>
      <c r="E103" s="5">
        <v>121.4</v>
      </c>
      <c r="F103" s="5">
        <v>141.69999999999999</v>
      </c>
      <c r="G103" s="6">
        <v>44199</v>
      </c>
      <c r="H103" s="5"/>
      <c r="I103" s="5"/>
      <c r="J103" s="5">
        <f t="shared" si="14"/>
        <v>20.299999999999983</v>
      </c>
      <c r="K103" s="8" t="b">
        <f t="shared" si="15"/>
        <v>1</v>
      </c>
    </row>
    <row r="104" spans="1:11">
      <c r="A104" s="5">
        <v>203</v>
      </c>
      <c r="B104" s="6">
        <v>44201</v>
      </c>
      <c r="C104" s="7">
        <v>0.6</v>
      </c>
      <c r="D104" s="5">
        <v>9.7799999999999994</v>
      </c>
      <c r="E104" s="5">
        <v>141.69999999999999</v>
      </c>
      <c r="F104" s="5">
        <v>160.80000000000001</v>
      </c>
      <c r="G104" s="6">
        <v>44201</v>
      </c>
      <c r="H104" s="5"/>
      <c r="I104" s="5"/>
      <c r="J104" s="5">
        <f t="shared" ref="J104:J118" si="16">F104-E104</f>
        <v>19.100000000000023</v>
      </c>
      <c r="K104" s="8" t="b">
        <f t="shared" ref="K104:K118" si="17">F104=E105</f>
        <v>1</v>
      </c>
    </row>
    <row r="105" spans="1:11">
      <c r="A105" s="5">
        <v>203</v>
      </c>
      <c r="B105" s="6">
        <v>44203</v>
      </c>
      <c r="C105" s="7">
        <v>0.75</v>
      </c>
      <c r="D105" s="5">
        <v>7.83</v>
      </c>
      <c r="E105" s="5">
        <v>160.80000000000001</v>
      </c>
      <c r="F105" s="5">
        <v>176.6</v>
      </c>
      <c r="G105" s="6">
        <v>44203</v>
      </c>
      <c r="H105" s="5"/>
      <c r="I105" s="5"/>
      <c r="J105" s="5">
        <f t="shared" si="16"/>
        <v>15.799999999999983</v>
      </c>
      <c r="K105" s="8" t="b">
        <f t="shared" si="17"/>
        <v>1</v>
      </c>
    </row>
    <row r="106" spans="1:11">
      <c r="A106" s="5">
        <v>203</v>
      </c>
      <c r="B106" s="6">
        <v>44205</v>
      </c>
      <c r="C106" s="7">
        <v>0.75</v>
      </c>
      <c r="D106" s="5">
        <v>7.83</v>
      </c>
      <c r="E106" s="5">
        <v>176.6</v>
      </c>
      <c r="F106" s="5">
        <v>191.6</v>
      </c>
      <c r="G106" s="6">
        <v>44205</v>
      </c>
      <c r="H106" s="5"/>
      <c r="I106" s="5"/>
      <c r="J106" s="5">
        <f t="shared" si="16"/>
        <v>15</v>
      </c>
      <c r="K106" s="8" t="b">
        <f t="shared" si="17"/>
        <v>0</v>
      </c>
    </row>
    <row r="107" spans="1:11">
      <c r="A107" s="5">
        <v>203</v>
      </c>
      <c r="B107" s="6">
        <v>44209</v>
      </c>
      <c r="C107" s="7">
        <v>1</v>
      </c>
      <c r="D107" s="5">
        <v>5.87</v>
      </c>
      <c r="E107" s="5">
        <v>208</v>
      </c>
      <c r="F107" s="5">
        <v>213</v>
      </c>
      <c r="G107" s="6">
        <v>44209</v>
      </c>
      <c r="H107" s="5"/>
      <c r="I107" s="5"/>
      <c r="J107" s="5">
        <f t="shared" si="16"/>
        <v>5</v>
      </c>
      <c r="K107" s="8" t="b">
        <f t="shared" si="17"/>
        <v>0</v>
      </c>
    </row>
    <row r="108" spans="1:11">
      <c r="A108" s="5">
        <v>203</v>
      </c>
      <c r="B108" s="6">
        <v>44218</v>
      </c>
      <c r="C108" s="7">
        <v>0.7</v>
      </c>
      <c r="D108" s="5">
        <v>8.39</v>
      </c>
      <c r="E108" s="5">
        <v>133.9</v>
      </c>
      <c r="F108" s="5">
        <v>230.6</v>
      </c>
      <c r="G108" s="6">
        <v>44218</v>
      </c>
      <c r="H108" s="5"/>
      <c r="I108" s="5"/>
      <c r="J108" s="5">
        <f t="shared" si="16"/>
        <v>96.699999999999989</v>
      </c>
      <c r="K108" s="8" t="b">
        <f t="shared" si="17"/>
        <v>0</v>
      </c>
    </row>
    <row r="109" spans="1:11">
      <c r="A109" s="5">
        <v>203</v>
      </c>
      <c r="B109" s="6">
        <v>44220</v>
      </c>
      <c r="C109" s="7">
        <v>0.7</v>
      </c>
      <c r="D109" s="5">
        <v>8.39</v>
      </c>
      <c r="E109" s="5">
        <v>230</v>
      </c>
      <c r="F109" s="5">
        <v>241</v>
      </c>
      <c r="G109" s="6">
        <v>44220</v>
      </c>
      <c r="H109" s="5"/>
      <c r="I109" s="5"/>
      <c r="J109" s="5">
        <f t="shared" si="16"/>
        <v>11</v>
      </c>
      <c r="K109" s="8" t="b">
        <f t="shared" si="17"/>
        <v>0</v>
      </c>
    </row>
    <row r="110" spans="1:11">
      <c r="A110" s="5">
        <v>203</v>
      </c>
      <c r="B110" s="6">
        <v>44222</v>
      </c>
      <c r="C110" s="7">
        <v>0.7</v>
      </c>
      <c r="D110" s="5">
        <v>8.39</v>
      </c>
      <c r="E110" s="5">
        <v>247.9</v>
      </c>
      <c r="F110" s="5">
        <v>264.8</v>
      </c>
      <c r="G110" s="6">
        <v>44222</v>
      </c>
      <c r="H110" s="5"/>
      <c r="I110" s="5"/>
      <c r="J110" s="5">
        <f t="shared" si="16"/>
        <v>16.900000000000006</v>
      </c>
      <c r="K110" s="8" t="b">
        <f t="shared" si="17"/>
        <v>0</v>
      </c>
    </row>
    <row r="111" spans="1:11">
      <c r="A111" s="5">
        <v>203</v>
      </c>
      <c r="B111" s="6">
        <v>44225</v>
      </c>
      <c r="C111" s="7">
        <v>0.7</v>
      </c>
      <c r="D111" s="5">
        <v>8.39</v>
      </c>
      <c r="E111" s="5">
        <v>2393</v>
      </c>
      <c r="F111" s="5">
        <v>2409</v>
      </c>
      <c r="G111" s="6">
        <v>44225</v>
      </c>
      <c r="H111" s="5"/>
      <c r="I111" s="5"/>
      <c r="J111" s="5">
        <f t="shared" si="16"/>
        <v>16</v>
      </c>
      <c r="K111" s="8" t="b">
        <f t="shared" si="17"/>
        <v>1</v>
      </c>
    </row>
    <row r="112" spans="1:11">
      <c r="A112" s="5">
        <v>203</v>
      </c>
      <c r="B112" s="6">
        <v>44227</v>
      </c>
      <c r="C112" s="7">
        <v>0.7</v>
      </c>
      <c r="D112" s="5">
        <v>8.39</v>
      </c>
      <c r="E112" s="5">
        <v>2409</v>
      </c>
      <c r="F112" s="5">
        <v>2426</v>
      </c>
      <c r="G112" s="6">
        <v>44227</v>
      </c>
      <c r="H112" s="5"/>
      <c r="I112" s="5"/>
      <c r="J112" s="5">
        <f t="shared" si="16"/>
        <v>17</v>
      </c>
      <c r="K112" s="8" t="b">
        <f t="shared" si="17"/>
        <v>1</v>
      </c>
    </row>
    <row r="113" spans="1:11">
      <c r="A113" s="5">
        <v>203</v>
      </c>
      <c r="B113" s="6">
        <v>44229</v>
      </c>
      <c r="C113" s="7">
        <v>0.7</v>
      </c>
      <c r="D113" s="5">
        <v>8.39</v>
      </c>
      <c r="E113" s="5">
        <v>2426</v>
      </c>
      <c r="F113" s="5">
        <v>2443</v>
      </c>
      <c r="G113" s="6">
        <v>44229</v>
      </c>
      <c r="H113" s="5"/>
      <c r="I113" s="5"/>
      <c r="J113" s="5">
        <f t="shared" si="16"/>
        <v>17</v>
      </c>
      <c r="K113" s="8" t="b">
        <f>F113=E117</f>
        <v>0</v>
      </c>
    </row>
    <row r="114" spans="1:11">
      <c r="A114" s="5">
        <v>203</v>
      </c>
      <c r="B114" s="6">
        <v>44231</v>
      </c>
      <c r="C114" s="7">
        <v>0.7</v>
      </c>
      <c r="D114" s="5">
        <v>8.39</v>
      </c>
      <c r="E114" s="5">
        <v>2443</v>
      </c>
      <c r="F114" s="5">
        <v>2459</v>
      </c>
      <c r="G114" s="6">
        <v>44231</v>
      </c>
      <c r="H114" s="5"/>
      <c r="I114" s="5"/>
      <c r="J114" s="5">
        <f>F114-E114</f>
        <v>16</v>
      </c>
      <c r="K114" s="8" t="b">
        <f>F114=E118</f>
        <v>0</v>
      </c>
    </row>
    <row r="115" spans="1:11">
      <c r="A115" s="5">
        <v>203</v>
      </c>
      <c r="B115" s="6">
        <v>44244</v>
      </c>
      <c r="C115" s="7">
        <v>1</v>
      </c>
      <c r="D115" s="5">
        <v>5.87</v>
      </c>
      <c r="E115" s="5">
        <v>2473</v>
      </c>
      <c r="F115" s="5">
        <v>2484</v>
      </c>
      <c r="G115" s="6">
        <v>44244</v>
      </c>
      <c r="H115" s="5"/>
      <c r="I115" s="5"/>
      <c r="J115" s="5">
        <f>F115-E115</f>
        <v>11</v>
      </c>
      <c r="K115" s="8" t="b">
        <f>F115=E119</f>
        <v>0</v>
      </c>
    </row>
    <row r="116" spans="1:11">
      <c r="A116" s="5">
        <v>203</v>
      </c>
      <c r="B116" s="6">
        <v>44259</v>
      </c>
      <c r="C116" s="7">
        <v>1</v>
      </c>
      <c r="D116" s="5">
        <v>5.87</v>
      </c>
      <c r="E116" s="5">
        <v>2484</v>
      </c>
      <c r="F116" s="5">
        <v>2490</v>
      </c>
      <c r="G116" s="6">
        <v>44259</v>
      </c>
      <c r="H116" s="5"/>
      <c r="I116" s="5"/>
      <c r="J116" s="5">
        <f>F116-E116</f>
        <v>6</v>
      </c>
      <c r="K116" s="8" t="b">
        <f>F116=E136</f>
        <v>0</v>
      </c>
    </row>
    <row r="117" spans="1:11">
      <c r="A117" s="5">
        <v>203</v>
      </c>
      <c r="B117" s="6">
        <v>44271</v>
      </c>
      <c r="C117" s="7">
        <v>0.7</v>
      </c>
      <c r="D117" s="5">
        <v>8.39</v>
      </c>
      <c r="E117" s="5">
        <v>2516</v>
      </c>
      <c r="F117" s="5">
        <v>2533</v>
      </c>
      <c r="G117" s="6">
        <v>44271</v>
      </c>
      <c r="H117" s="5"/>
      <c r="I117" s="5"/>
      <c r="J117" s="5">
        <f>F117-E117</f>
        <v>17</v>
      </c>
      <c r="K117" s="8" t="b">
        <f>F117=E137</f>
        <v>0</v>
      </c>
    </row>
    <row r="118" spans="1:11">
      <c r="A118" s="5">
        <v>203</v>
      </c>
      <c r="B118" s="6">
        <v>44273</v>
      </c>
      <c r="C118" s="7">
        <v>0.7</v>
      </c>
      <c r="D118" s="5">
        <v>8.2899999999999991</v>
      </c>
      <c r="E118" s="5">
        <v>2533</v>
      </c>
      <c r="F118" s="5">
        <v>2551</v>
      </c>
      <c r="G118" s="6">
        <v>44273</v>
      </c>
      <c r="H118" s="5"/>
      <c r="I118" s="5"/>
      <c r="J118" s="5">
        <f t="shared" si="16"/>
        <v>18</v>
      </c>
      <c r="K118" s="8" t="b">
        <f t="shared" si="17"/>
        <v>1</v>
      </c>
    </row>
    <row r="119" spans="1:11">
      <c r="A119" s="5">
        <v>203</v>
      </c>
      <c r="B119" s="6">
        <v>44275</v>
      </c>
      <c r="C119" s="7">
        <v>0.7</v>
      </c>
      <c r="D119" s="5">
        <v>8.39</v>
      </c>
      <c r="E119" s="5">
        <v>2551</v>
      </c>
      <c r="F119" s="5">
        <v>2568</v>
      </c>
      <c r="G119" s="6">
        <v>44275</v>
      </c>
      <c r="H119" s="5"/>
      <c r="I119" s="5"/>
      <c r="J119" s="5">
        <f t="shared" ref="J119:J124" si="18">F119-E119</f>
        <v>17</v>
      </c>
      <c r="K119" s="8" t="b">
        <f>F119=E120</f>
        <v>1</v>
      </c>
    </row>
    <row r="120" spans="1:11">
      <c r="A120" s="5">
        <v>203</v>
      </c>
      <c r="B120" s="6">
        <v>44277</v>
      </c>
      <c r="C120" s="7">
        <v>0.7</v>
      </c>
      <c r="D120" s="5">
        <v>8.39</v>
      </c>
      <c r="E120" s="5">
        <v>2568</v>
      </c>
      <c r="F120" s="5">
        <v>2582</v>
      </c>
      <c r="G120" s="6">
        <v>44277</v>
      </c>
      <c r="H120" s="5"/>
      <c r="I120" s="5"/>
      <c r="J120" s="5">
        <f t="shared" si="18"/>
        <v>14</v>
      </c>
      <c r="K120" s="8" t="b">
        <f>F120=E121</f>
        <v>1</v>
      </c>
    </row>
    <row r="121" spans="1:11">
      <c r="A121" s="5">
        <v>203</v>
      </c>
      <c r="B121" s="6">
        <v>44281</v>
      </c>
      <c r="C121" s="7">
        <v>0.7</v>
      </c>
      <c r="D121" s="5">
        <v>8.39</v>
      </c>
      <c r="E121" s="5">
        <v>2582</v>
      </c>
      <c r="F121" s="5">
        <v>2599</v>
      </c>
      <c r="G121" s="6">
        <v>44281</v>
      </c>
      <c r="H121" s="5"/>
      <c r="I121" s="5"/>
      <c r="J121" s="5">
        <f t="shared" si="18"/>
        <v>17</v>
      </c>
      <c r="K121" s="8" t="b">
        <f>F121=E122</f>
        <v>1</v>
      </c>
    </row>
    <row r="122" spans="1:11">
      <c r="A122" s="5">
        <v>203</v>
      </c>
      <c r="B122" s="6">
        <v>44283</v>
      </c>
      <c r="C122" s="7">
        <v>0.7</v>
      </c>
      <c r="D122" s="5">
        <v>8.39</v>
      </c>
      <c r="E122" s="5">
        <v>2599</v>
      </c>
      <c r="F122" s="5">
        <v>2616</v>
      </c>
      <c r="G122" s="6">
        <v>44283</v>
      </c>
      <c r="H122" s="5"/>
      <c r="I122" s="5"/>
      <c r="J122" s="5">
        <f t="shared" si="18"/>
        <v>17</v>
      </c>
      <c r="K122" s="8" t="b">
        <f>F122=E123</f>
        <v>0</v>
      </c>
    </row>
    <row r="123" spans="1:11">
      <c r="A123" s="5">
        <v>203</v>
      </c>
      <c r="B123" s="6">
        <v>44285</v>
      </c>
      <c r="C123" s="7">
        <v>0.7</v>
      </c>
      <c r="D123" s="5">
        <v>8.39</v>
      </c>
      <c r="E123" s="5">
        <v>5616</v>
      </c>
      <c r="F123" s="5">
        <v>2633</v>
      </c>
      <c r="G123" s="6">
        <v>44285</v>
      </c>
      <c r="H123" s="5"/>
      <c r="I123" s="5"/>
      <c r="J123" s="5">
        <f t="shared" si="18"/>
        <v>-2983</v>
      </c>
      <c r="K123" s="8" t="b">
        <f>F123=E124</f>
        <v>1</v>
      </c>
    </row>
    <row r="124" spans="1:11">
      <c r="A124" s="5">
        <v>203</v>
      </c>
      <c r="B124" s="6">
        <v>44287</v>
      </c>
      <c r="C124" s="7">
        <v>0.7</v>
      </c>
      <c r="D124" s="5">
        <v>8.39</v>
      </c>
      <c r="E124" s="5">
        <v>2633</v>
      </c>
      <c r="F124" s="5">
        <v>2650</v>
      </c>
      <c r="G124" s="6">
        <v>44287</v>
      </c>
      <c r="H124" s="5"/>
      <c r="I124" s="5"/>
      <c r="J124" s="5">
        <f t="shared" si="18"/>
        <v>17</v>
      </c>
      <c r="K124" s="8" t="b">
        <f t="shared" ref="K124:K131" si="19">F124=E135</f>
        <v>0</v>
      </c>
    </row>
    <row r="125" spans="1:11">
      <c r="A125" s="5">
        <v>203</v>
      </c>
      <c r="B125" s="6">
        <v>44289</v>
      </c>
      <c r="C125" s="7">
        <v>0.7</v>
      </c>
      <c r="D125" s="5">
        <v>8.39</v>
      </c>
      <c r="E125" s="5">
        <v>2650</v>
      </c>
      <c r="F125" s="5">
        <v>2667</v>
      </c>
      <c r="G125" s="6">
        <v>44289</v>
      </c>
      <c r="H125" s="5"/>
      <c r="I125" s="5"/>
      <c r="J125" s="5">
        <f t="shared" ref="J125:J135" si="20">F125-E125</f>
        <v>17</v>
      </c>
      <c r="K125" s="8" t="b">
        <f t="shared" si="19"/>
        <v>0</v>
      </c>
    </row>
    <row r="126" spans="1:11">
      <c r="A126" s="5">
        <v>203</v>
      </c>
      <c r="B126" s="6">
        <v>44293</v>
      </c>
      <c r="C126" s="7">
        <v>0.7</v>
      </c>
      <c r="D126" s="5">
        <v>8.39</v>
      </c>
      <c r="E126" s="5">
        <v>2667</v>
      </c>
      <c r="F126" s="5">
        <v>2684</v>
      </c>
      <c r="G126" s="6">
        <v>44293</v>
      </c>
      <c r="H126" s="5"/>
      <c r="I126" s="5"/>
      <c r="J126" s="5">
        <f t="shared" si="20"/>
        <v>17</v>
      </c>
      <c r="K126" s="8" t="b">
        <f t="shared" si="19"/>
        <v>0</v>
      </c>
    </row>
    <row r="127" spans="1:11">
      <c r="A127" s="5">
        <v>203</v>
      </c>
      <c r="B127" s="6">
        <v>44295</v>
      </c>
      <c r="C127" s="7">
        <v>0.7</v>
      </c>
      <c r="D127" s="5">
        <v>8.39</v>
      </c>
      <c r="E127" s="5">
        <v>2684</v>
      </c>
      <c r="F127" s="5">
        <v>2700</v>
      </c>
      <c r="G127" s="6">
        <v>44295</v>
      </c>
      <c r="H127" s="5"/>
      <c r="I127" s="5"/>
      <c r="J127" s="5">
        <f t="shared" si="20"/>
        <v>16</v>
      </c>
      <c r="K127" s="8" t="b">
        <f t="shared" si="19"/>
        <v>0</v>
      </c>
    </row>
    <row r="128" spans="1:11">
      <c r="A128" s="5">
        <v>203</v>
      </c>
      <c r="B128" s="6">
        <v>44297</v>
      </c>
      <c r="C128" s="7">
        <v>0.7</v>
      </c>
      <c r="D128" s="5">
        <v>8.39</v>
      </c>
      <c r="E128" s="5">
        <v>2700</v>
      </c>
      <c r="F128" s="5">
        <v>2716</v>
      </c>
      <c r="G128" s="6">
        <v>44296</v>
      </c>
      <c r="H128" s="5"/>
      <c r="I128" s="5"/>
      <c r="J128" s="5">
        <f t="shared" si="20"/>
        <v>16</v>
      </c>
      <c r="K128" s="8" t="b">
        <f t="shared" si="19"/>
        <v>0</v>
      </c>
    </row>
    <row r="129" spans="1:11">
      <c r="A129" s="5">
        <v>203</v>
      </c>
      <c r="B129" s="6">
        <v>44299</v>
      </c>
      <c r="C129" s="7">
        <v>0.7</v>
      </c>
      <c r="D129" s="5">
        <v>8.39</v>
      </c>
      <c r="E129" s="5">
        <v>2716</v>
      </c>
      <c r="F129" s="5">
        <v>2732.2</v>
      </c>
      <c r="G129" s="6">
        <v>44299</v>
      </c>
      <c r="H129" s="5"/>
      <c r="I129" s="5"/>
      <c r="J129" s="5">
        <f t="shared" si="20"/>
        <v>16.199999999999818</v>
      </c>
      <c r="K129" s="8" t="b">
        <f t="shared" si="19"/>
        <v>0</v>
      </c>
    </row>
    <row r="130" spans="1:11">
      <c r="A130" s="5">
        <v>203</v>
      </c>
      <c r="B130" s="6">
        <v>44302</v>
      </c>
      <c r="C130" s="7">
        <v>0.7</v>
      </c>
      <c r="D130" s="5">
        <v>8.39</v>
      </c>
      <c r="E130" s="5">
        <v>2732.2</v>
      </c>
      <c r="F130" s="5">
        <v>2750</v>
      </c>
      <c r="G130" s="6">
        <v>44302</v>
      </c>
      <c r="H130" s="5"/>
      <c r="I130" s="5"/>
      <c r="J130" s="5">
        <f t="shared" si="20"/>
        <v>17.800000000000182</v>
      </c>
      <c r="K130" s="8" t="b">
        <f t="shared" si="19"/>
        <v>0</v>
      </c>
    </row>
    <row r="131" spans="1:11">
      <c r="A131" s="5">
        <v>203</v>
      </c>
      <c r="B131" s="6">
        <v>44312</v>
      </c>
      <c r="C131" s="7">
        <v>0.7</v>
      </c>
      <c r="D131" s="5">
        <v>8.39</v>
      </c>
      <c r="E131" s="5">
        <v>2753</v>
      </c>
      <c r="F131" s="5">
        <v>2769</v>
      </c>
      <c r="G131" s="6">
        <v>44312</v>
      </c>
      <c r="H131" s="5"/>
      <c r="I131" s="5"/>
      <c r="J131" s="5">
        <f t="shared" si="20"/>
        <v>16</v>
      </c>
      <c r="K131" s="8" t="b">
        <f t="shared" si="19"/>
        <v>0</v>
      </c>
    </row>
    <row r="132" spans="1:11">
      <c r="A132" s="5">
        <v>203</v>
      </c>
      <c r="B132" s="6">
        <v>44316</v>
      </c>
      <c r="C132" s="7">
        <v>0.7</v>
      </c>
      <c r="D132" s="5">
        <v>8.39</v>
      </c>
      <c r="E132" s="5">
        <v>2769</v>
      </c>
      <c r="F132" s="5">
        <v>2786</v>
      </c>
      <c r="G132" s="6">
        <v>44316</v>
      </c>
      <c r="H132" s="5"/>
      <c r="I132" s="5"/>
      <c r="J132" s="5">
        <f>F132-E132</f>
        <v>17</v>
      </c>
      <c r="K132" s="8" t="b">
        <f>F132=E143</f>
        <v>0</v>
      </c>
    </row>
    <row r="133" spans="1:11">
      <c r="A133" s="5">
        <v>203</v>
      </c>
      <c r="B133" s="6"/>
      <c r="C133" s="7"/>
      <c r="D133" s="5"/>
      <c r="E133" s="5"/>
      <c r="F133" s="5"/>
      <c r="G133" s="6"/>
      <c r="H133" s="5"/>
      <c r="I133" s="5"/>
      <c r="J133" s="5">
        <f>F133-E133</f>
        <v>0</v>
      </c>
      <c r="K133" s="8" t="b">
        <f>F133=E144</f>
        <v>1</v>
      </c>
    </row>
    <row r="134" spans="1:11">
      <c r="A134" s="5">
        <v>203</v>
      </c>
      <c r="B134" s="6"/>
      <c r="C134" s="7"/>
      <c r="D134" s="5"/>
      <c r="E134" s="5"/>
      <c r="F134" s="5"/>
      <c r="G134" s="6"/>
      <c r="H134" s="5"/>
      <c r="I134" s="5"/>
      <c r="J134" s="5">
        <f>F134-E134</f>
        <v>0</v>
      </c>
      <c r="K134" s="8" t="b">
        <f>F134=E145</f>
        <v>1</v>
      </c>
    </row>
    <row r="135" spans="1:11">
      <c r="A135" s="5">
        <v>203</v>
      </c>
      <c r="B135" s="6"/>
      <c r="C135" s="7"/>
      <c r="D135" s="5"/>
      <c r="E135" s="5"/>
      <c r="F135" s="5"/>
      <c r="G135" s="6"/>
      <c r="H135" s="5"/>
      <c r="I135" s="5"/>
      <c r="J135" s="5">
        <f t="shared" si="20"/>
        <v>0</v>
      </c>
      <c r="K135" s="8" t="b">
        <f>F135=E143</f>
        <v>1</v>
      </c>
    </row>
    <row r="136" spans="1:11" ht="26.25">
      <c r="A136" s="144" t="s">
        <v>386</v>
      </c>
      <c r="B136" s="166"/>
      <c r="C136" s="166"/>
      <c r="D136" s="166"/>
      <c r="E136" s="166"/>
      <c r="F136" s="166"/>
      <c r="G136" s="166"/>
      <c r="H136" s="166"/>
      <c r="I136" s="166"/>
      <c r="J136" s="166"/>
      <c r="K136" s="167"/>
    </row>
    <row r="137" spans="1:11" ht="26.25">
      <c r="A137" s="144" t="s">
        <v>14</v>
      </c>
      <c r="B137" s="166"/>
      <c r="C137" s="166"/>
      <c r="D137" s="166"/>
      <c r="E137" s="166"/>
      <c r="F137" s="166"/>
      <c r="G137" s="166"/>
      <c r="H137" s="166"/>
      <c r="I137" s="166"/>
      <c r="J137" s="166"/>
      <c r="K137" s="167"/>
    </row>
    <row r="138" spans="1:11" ht="15.75" thickBot="1"/>
    <row r="139" spans="1:11" ht="15.75" thickBot="1">
      <c r="A139" s="132" t="s">
        <v>2</v>
      </c>
      <c r="B139" s="133"/>
      <c r="C139" s="133"/>
      <c r="D139" s="133"/>
      <c r="E139" s="133"/>
      <c r="F139" s="133"/>
      <c r="G139" s="133"/>
      <c r="H139" s="133"/>
      <c r="I139" s="133"/>
      <c r="J139" s="133"/>
      <c r="K139" s="134"/>
    </row>
    <row r="141" spans="1:11" ht="19.5" thickBot="1">
      <c r="A141" s="1" t="s">
        <v>3</v>
      </c>
      <c r="B141" s="1"/>
      <c r="C141" s="1"/>
      <c r="D141" s="1"/>
      <c r="E141" s="1"/>
      <c r="F141" s="1"/>
      <c r="G141" s="1"/>
      <c r="H141" s="1"/>
      <c r="I141" s="1"/>
    </row>
    <row r="142" spans="1:11" ht="30.75" thickBot="1">
      <c r="A142" s="2" t="s">
        <v>4</v>
      </c>
      <c r="B142" s="3" t="s">
        <v>5</v>
      </c>
      <c r="C142" s="3" t="s">
        <v>6</v>
      </c>
      <c r="D142" s="3" t="s">
        <v>7</v>
      </c>
      <c r="E142" s="3" t="s">
        <v>8</v>
      </c>
      <c r="F142" s="3" t="s">
        <v>9</v>
      </c>
      <c r="G142" s="3" t="s">
        <v>10</v>
      </c>
      <c r="H142" s="3" t="s">
        <v>21</v>
      </c>
      <c r="I142" s="4" t="s">
        <v>22</v>
      </c>
      <c r="J142" s="4" t="s">
        <v>11</v>
      </c>
      <c r="K142" s="4" t="s">
        <v>12</v>
      </c>
    </row>
    <row r="143" spans="1:11">
      <c r="A143" s="5"/>
      <c r="B143" s="6"/>
      <c r="C143" s="7"/>
      <c r="D143" s="5"/>
      <c r="E143" s="5"/>
      <c r="F143" s="5"/>
      <c r="G143" s="6"/>
      <c r="H143" s="5"/>
      <c r="I143" s="5"/>
      <c r="J143" s="5">
        <f>F143-E143</f>
        <v>0</v>
      </c>
      <c r="K143" s="8" t="b">
        <f>F143=E144</f>
        <v>1</v>
      </c>
    </row>
    <row r="144" spans="1:11">
      <c r="A144" s="5"/>
      <c r="B144" s="6"/>
      <c r="C144" s="7"/>
      <c r="D144" s="5"/>
      <c r="E144" s="5"/>
      <c r="F144" s="5"/>
      <c r="G144" s="6"/>
      <c r="H144" s="5"/>
      <c r="I144" s="5"/>
      <c r="J144" s="5">
        <f>F144-E144</f>
        <v>0</v>
      </c>
      <c r="K144" s="8" t="b">
        <f>F144=E145</f>
        <v>1</v>
      </c>
    </row>
    <row r="145" spans="1:11">
      <c r="A145" s="5"/>
      <c r="B145" s="6"/>
      <c r="C145" s="7"/>
      <c r="D145" s="5"/>
      <c r="E145" s="5"/>
      <c r="F145" s="5"/>
      <c r="G145" s="6"/>
      <c r="H145" s="5"/>
      <c r="I145" s="5"/>
      <c r="J145" s="5">
        <f>F145-E145</f>
        <v>0</v>
      </c>
      <c r="K145" s="8" t="b">
        <f>F145=E146</f>
        <v>1</v>
      </c>
    </row>
    <row r="146" spans="1:11">
      <c r="A146" s="5"/>
      <c r="B146" s="6"/>
      <c r="C146" s="7"/>
      <c r="D146" s="5"/>
      <c r="E146" s="5"/>
      <c r="F146" s="5"/>
      <c r="G146" s="6"/>
      <c r="H146" s="5"/>
      <c r="I146" s="5"/>
      <c r="J146" s="5">
        <f>F146-E146</f>
        <v>0</v>
      </c>
      <c r="K146" s="8" t="b">
        <f>F146=E147</f>
        <v>1</v>
      </c>
    </row>
    <row r="147" spans="1:11">
      <c r="A147" s="5"/>
      <c r="B147" s="6"/>
      <c r="C147" s="7"/>
      <c r="D147" s="5"/>
      <c r="E147" s="5"/>
      <c r="F147" s="5"/>
      <c r="G147" s="6"/>
      <c r="H147" s="5"/>
      <c r="I147" s="5"/>
      <c r="J147" s="5">
        <f>F147-E147</f>
        <v>0</v>
      </c>
      <c r="K147" s="8" t="e">
        <f>F147=#REF!</f>
        <v>#REF!</v>
      </c>
    </row>
  </sheetData>
  <mergeCells count="9">
    <mergeCell ref="A136:K136"/>
    <mergeCell ref="A137:K137"/>
    <mergeCell ref="A139:K139"/>
    <mergeCell ref="A54:K54"/>
    <mergeCell ref="A1:K1"/>
    <mergeCell ref="A2:K2"/>
    <mergeCell ref="A4:K4"/>
    <mergeCell ref="A51:K51"/>
    <mergeCell ref="A52:K5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66EF-29FC-493D-8BE1-418894D495B4}">
  <sheetPr codeName="Planilha14"/>
  <dimension ref="A1:K157"/>
  <sheetViews>
    <sheetView topLeftCell="A163" workbookViewId="0">
      <selection activeCell="M84" sqref="M84"/>
    </sheetView>
  </sheetViews>
  <sheetFormatPr defaultRowHeight="15"/>
  <cols>
    <col min="1" max="1" width="10.7109375" bestFit="1" customWidth="1"/>
    <col min="2" max="2" width="11.140625" customWidth="1"/>
    <col min="3" max="3" width="11.42578125" customWidth="1"/>
    <col min="4" max="4" width="10.28515625" customWidth="1"/>
    <col min="5" max="5" width="12.5703125" customWidth="1"/>
    <col min="6" max="6" width="13.28515625" customWidth="1"/>
    <col min="7" max="7" width="14.42578125" customWidth="1"/>
    <col min="8" max="8" width="19.140625" customWidth="1"/>
    <col min="9" max="9" width="18.7109375" customWidth="1"/>
    <col min="10" max="10" width="6" customWidth="1"/>
    <col min="11" max="11" width="12.42578125" bestFit="1" customWidth="1"/>
  </cols>
  <sheetData>
    <row r="1" spans="1:11" ht="26.25">
      <c r="A1" s="144" t="s">
        <v>387</v>
      </c>
      <c r="B1" s="166"/>
      <c r="C1" s="166"/>
      <c r="D1" s="166"/>
      <c r="E1" s="166"/>
      <c r="F1" s="166"/>
      <c r="G1" s="166"/>
      <c r="H1" s="166"/>
      <c r="I1" s="166"/>
      <c r="J1" s="166"/>
      <c r="K1" s="167"/>
    </row>
    <row r="2" spans="1:11" ht="26.25">
      <c r="A2" s="144" t="s">
        <v>50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</row>
    <row r="3" spans="1:11" ht="15.75" thickBot="1"/>
    <row r="4" spans="1:11" ht="15.75" thickBot="1">
      <c r="A4" s="132" t="s">
        <v>2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6" spans="1:11" ht="19.5" thickBot="1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11" ht="30.75" thickBot="1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21</v>
      </c>
      <c r="I7" s="4" t="s">
        <v>22</v>
      </c>
      <c r="J7" s="4" t="s">
        <v>11</v>
      </c>
      <c r="K7" s="4" t="s">
        <v>12</v>
      </c>
    </row>
    <row r="8" spans="1:11">
      <c r="A8" s="5">
        <v>204</v>
      </c>
      <c r="B8" s="6">
        <v>43756</v>
      </c>
      <c r="C8" s="7">
        <v>0.9</v>
      </c>
      <c r="D8" s="5">
        <v>6.44</v>
      </c>
      <c r="E8" s="5">
        <v>51.3</v>
      </c>
      <c r="F8" s="5">
        <v>64.8</v>
      </c>
      <c r="G8" s="6">
        <v>43756</v>
      </c>
      <c r="H8" s="5" t="s">
        <v>56</v>
      </c>
      <c r="I8" s="5" t="s">
        <v>57</v>
      </c>
      <c r="J8" s="5">
        <f t="shared" ref="J8:J35" si="0">F8-E8</f>
        <v>13.5</v>
      </c>
      <c r="K8" s="8" t="b">
        <f t="shared" ref="K8:K23" si="1">F8=E9</f>
        <v>1</v>
      </c>
    </row>
    <row r="9" spans="1:11">
      <c r="A9" s="5">
        <v>204</v>
      </c>
      <c r="B9" s="6">
        <v>43766</v>
      </c>
      <c r="C9" s="7">
        <v>1</v>
      </c>
      <c r="D9" s="5">
        <v>5.8</v>
      </c>
      <c r="E9" s="5">
        <v>64.8</v>
      </c>
      <c r="F9" s="5">
        <v>76.8</v>
      </c>
      <c r="G9" s="6">
        <v>43766</v>
      </c>
      <c r="H9" s="5" t="s">
        <v>58</v>
      </c>
      <c r="I9" s="5" t="s">
        <v>57</v>
      </c>
      <c r="J9" s="5">
        <f t="shared" si="0"/>
        <v>12</v>
      </c>
      <c r="K9" s="8" t="b">
        <f t="shared" si="1"/>
        <v>1</v>
      </c>
    </row>
    <row r="10" spans="1:11">
      <c r="A10" s="5">
        <v>204</v>
      </c>
      <c r="B10" s="6">
        <v>43768</v>
      </c>
      <c r="C10" s="7">
        <v>0.8</v>
      </c>
      <c r="D10" s="5">
        <v>7.25</v>
      </c>
      <c r="E10" s="5">
        <v>76.8</v>
      </c>
      <c r="F10" s="5">
        <v>91.2</v>
      </c>
      <c r="G10" s="6">
        <v>43768</v>
      </c>
      <c r="H10" s="5" t="s">
        <v>59</v>
      </c>
      <c r="I10" s="5" t="s">
        <v>57</v>
      </c>
      <c r="J10" s="5">
        <f t="shared" si="0"/>
        <v>14.400000000000006</v>
      </c>
      <c r="K10" s="8" t="b">
        <f t="shared" si="1"/>
        <v>1</v>
      </c>
    </row>
    <row r="11" spans="1:11">
      <c r="A11" s="5">
        <v>204</v>
      </c>
      <c r="B11" s="6">
        <v>43769</v>
      </c>
      <c r="C11" s="7">
        <v>0.8</v>
      </c>
      <c r="D11" s="5">
        <v>7.25</v>
      </c>
      <c r="E11" s="5">
        <v>91.2</v>
      </c>
      <c r="F11" s="5">
        <v>106.8</v>
      </c>
      <c r="G11" s="6">
        <v>43769</v>
      </c>
      <c r="H11" s="5" t="s">
        <v>58</v>
      </c>
      <c r="I11" s="5" t="s">
        <v>57</v>
      </c>
      <c r="J11" s="5">
        <f t="shared" si="0"/>
        <v>15.599999999999994</v>
      </c>
      <c r="K11" s="8" t="b">
        <f t="shared" si="1"/>
        <v>1</v>
      </c>
    </row>
    <row r="12" spans="1:11">
      <c r="A12" s="5">
        <v>204</v>
      </c>
      <c r="B12" s="6">
        <v>43770</v>
      </c>
      <c r="C12" s="7">
        <v>1</v>
      </c>
      <c r="D12" s="5">
        <v>5.8</v>
      </c>
      <c r="E12" s="5">
        <v>106.8</v>
      </c>
      <c r="F12" s="5">
        <v>120.9</v>
      </c>
      <c r="G12" s="6">
        <v>43770</v>
      </c>
      <c r="H12" s="5" t="s">
        <v>60</v>
      </c>
      <c r="I12" s="5" t="s">
        <v>57</v>
      </c>
      <c r="J12" s="5">
        <f t="shared" si="0"/>
        <v>14.100000000000009</v>
      </c>
      <c r="K12" s="8" t="b">
        <f t="shared" si="1"/>
        <v>1</v>
      </c>
    </row>
    <row r="13" spans="1:11">
      <c r="A13" s="5">
        <v>204</v>
      </c>
      <c r="B13" s="6">
        <v>43771</v>
      </c>
      <c r="C13" s="7">
        <v>1</v>
      </c>
      <c r="D13" s="5">
        <v>5.8</v>
      </c>
      <c r="E13" s="5">
        <v>120.9</v>
      </c>
      <c r="F13" s="5">
        <v>126.9</v>
      </c>
      <c r="G13" s="6">
        <v>43771</v>
      </c>
      <c r="H13" s="5" t="s">
        <v>60</v>
      </c>
      <c r="I13" s="5" t="s">
        <v>57</v>
      </c>
      <c r="J13" s="5">
        <f t="shared" si="0"/>
        <v>6</v>
      </c>
      <c r="K13" s="8" t="b">
        <f t="shared" si="1"/>
        <v>1</v>
      </c>
    </row>
    <row r="14" spans="1:11">
      <c r="A14" s="5">
        <v>204</v>
      </c>
      <c r="B14" s="6">
        <v>43773</v>
      </c>
      <c r="C14" s="7">
        <v>0.8</v>
      </c>
      <c r="D14" s="5">
        <v>7.25</v>
      </c>
      <c r="E14" s="5">
        <v>126.9</v>
      </c>
      <c r="F14" s="5">
        <v>142.19999999999999</v>
      </c>
      <c r="G14" s="6">
        <v>43773</v>
      </c>
      <c r="H14" s="5" t="s">
        <v>58</v>
      </c>
      <c r="I14" s="5" t="s">
        <v>57</v>
      </c>
      <c r="J14" s="5">
        <f t="shared" si="0"/>
        <v>15.299999999999983</v>
      </c>
      <c r="K14" s="8" t="b">
        <f t="shared" si="1"/>
        <v>1</v>
      </c>
    </row>
    <row r="15" spans="1:11">
      <c r="A15" s="5">
        <v>204</v>
      </c>
      <c r="B15" s="6">
        <v>43777</v>
      </c>
      <c r="C15" s="7">
        <v>0.8</v>
      </c>
      <c r="D15" s="5">
        <v>7.25</v>
      </c>
      <c r="E15" s="5">
        <v>142.19999999999999</v>
      </c>
      <c r="F15" s="5">
        <v>157</v>
      </c>
      <c r="G15" s="6">
        <v>43777</v>
      </c>
      <c r="H15" s="5" t="s">
        <v>59</v>
      </c>
      <c r="I15" s="5" t="s">
        <v>57</v>
      </c>
      <c r="J15" s="5">
        <f t="shared" si="0"/>
        <v>14.800000000000011</v>
      </c>
      <c r="K15" s="8" t="b">
        <f t="shared" si="1"/>
        <v>1</v>
      </c>
    </row>
    <row r="16" spans="1:11">
      <c r="A16" s="5">
        <v>204</v>
      </c>
      <c r="B16" s="6">
        <v>43779</v>
      </c>
      <c r="C16" s="7">
        <v>0.7</v>
      </c>
      <c r="D16" s="5">
        <v>8.2899999999999991</v>
      </c>
      <c r="E16" s="5">
        <v>157</v>
      </c>
      <c r="F16" s="5">
        <v>171.5</v>
      </c>
      <c r="G16" s="6">
        <v>43779</v>
      </c>
      <c r="H16" s="5" t="s">
        <v>58</v>
      </c>
      <c r="I16" s="5" t="s">
        <v>57</v>
      </c>
      <c r="J16" s="5">
        <f t="shared" si="0"/>
        <v>14.5</v>
      </c>
      <c r="K16" s="8" t="b">
        <f t="shared" si="1"/>
        <v>1</v>
      </c>
    </row>
    <row r="17" spans="1:11">
      <c r="A17" s="5">
        <v>204</v>
      </c>
      <c r="B17" s="6">
        <v>43781</v>
      </c>
      <c r="C17" s="7">
        <v>0.7</v>
      </c>
      <c r="D17" s="5">
        <v>8.2899999999999991</v>
      </c>
      <c r="E17" s="5">
        <v>171.5</v>
      </c>
      <c r="F17" s="5">
        <v>189.4</v>
      </c>
      <c r="G17" s="6">
        <v>43781</v>
      </c>
      <c r="H17" s="5" t="s">
        <v>60</v>
      </c>
      <c r="I17" s="5" t="s">
        <v>57</v>
      </c>
      <c r="J17" s="5">
        <f t="shared" si="0"/>
        <v>17.900000000000006</v>
      </c>
      <c r="K17" s="8" t="b">
        <f t="shared" si="1"/>
        <v>1</v>
      </c>
    </row>
    <row r="18" spans="1:11">
      <c r="A18" s="5">
        <v>204</v>
      </c>
      <c r="B18" s="6">
        <v>43783</v>
      </c>
      <c r="C18" s="7">
        <v>0.7</v>
      </c>
      <c r="D18" s="5">
        <v>8.2899999999999991</v>
      </c>
      <c r="E18" s="5">
        <v>189.4</v>
      </c>
      <c r="F18" s="5">
        <v>206</v>
      </c>
      <c r="G18" s="6">
        <v>43783</v>
      </c>
      <c r="H18" s="5" t="s">
        <v>60</v>
      </c>
      <c r="I18" s="5" t="s">
        <v>57</v>
      </c>
      <c r="J18" s="5">
        <f t="shared" si="0"/>
        <v>16.599999999999994</v>
      </c>
      <c r="K18" s="8" t="b">
        <f t="shared" si="1"/>
        <v>1</v>
      </c>
    </row>
    <row r="19" spans="1:11">
      <c r="A19" s="5">
        <v>204</v>
      </c>
      <c r="B19" s="6">
        <v>43788</v>
      </c>
      <c r="C19" s="7">
        <v>1</v>
      </c>
      <c r="D19" s="5">
        <v>5.8</v>
      </c>
      <c r="E19" s="5">
        <v>206</v>
      </c>
      <c r="F19" s="5">
        <v>218.3</v>
      </c>
      <c r="G19" s="6">
        <v>43788</v>
      </c>
      <c r="H19" s="5" t="s">
        <v>59</v>
      </c>
      <c r="I19" s="5" t="s">
        <v>57</v>
      </c>
      <c r="J19" s="5">
        <f t="shared" si="0"/>
        <v>12.300000000000011</v>
      </c>
      <c r="K19" s="8" t="b">
        <f t="shared" si="1"/>
        <v>1</v>
      </c>
    </row>
    <row r="20" spans="1:11">
      <c r="A20" s="5">
        <v>204</v>
      </c>
      <c r="B20" s="6">
        <v>43789</v>
      </c>
      <c r="C20" s="7">
        <v>0.8</v>
      </c>
      <c r="D20" s="5">
        <v>7.25</v>
      </c>
      <c r="E20" s="5">
        <v>218.3</v>
      </c>
      <c r="F20" s="5">
        <v>233.8</v>
      </c>
      <c r="G20" s="6">
        <v>43789</v>
      </c>
      <c r="H20" s="5" t="s">
        <v>60</v>
      </c>
      <c r="I20" s="5" t="s">
        <v>57</v>
      </c>
      <c r="J20" s="5">
        <f t="shared" si="0"/>
        <v>15.5</v>
      </c>
      <c r="K20" s="8" t="b">
        <f t="shared" si="1"/>
        <v>1</v>
      </c>
    </row>
    <row r="21" spans="1:11">
      <c r="A21" s="5">
        <v>204</v>
      </c>
      <c r="B21" s="6">
        <v>43791</v>
      </c>
      <c r="C21" s="7">
        <v>0.7</v>
      </c>
      <c r="D21" s="5">
        <v>8.2899999999999991</v>
      </c>
      <c r="E21" s="5">
        <v>233.8</v>
      </c>
      <c r="F21" s="5">
        <v>250.7</v>
      </c>
      <c r="G21" s="6">
        <v>43791</v>
      </c>
      <c r="H21" s="5" t="s">
        <v>61</v>
      </c>
      <c r="I21" s="5" t="s">
        <v>57</v>
      </c>
      <c r="J21" s="5">
        <f t="shared" si="0"/>
        <v>16.899999999999977</v>
      </c>
      <c r="K21" s="8" t="b">
        <f t="shared" si="1"/>
        <v>1</v>
      </c>
    </row>
    <row r="22" spans="1:11">
      <c r="A22" s="5">
        <v>204</v>
      </c>
      <c r="B22" s="6">
        <v>43793</v>
      </c>
      <c r="C22" s="7">
        <v>0.7</v>
      </c>
      <c r="D22" s="5">
        <v>8.2899999999999991</v>
      </c>
      <c r="E22" s="5">
        <v>250.7</v>
      </c>
      <c r="F22" s="5">
        <v>267.3</v>
      </c>
      <c r="G22" s="6">
        <v>43793</v>
      </c>
      <c r="H22" s="5" t="s">
        <v>61</v>
      </c>
      <c r="I22" s="5" t="s">
        <v>57</v>
      </c>
      <c r="J22" s="5">
        <f t="shared" si="0"/>
        <v>16.600000000000023</v>
      </c>
      <c r="K22" s="8" t="b">
        <f t="shared" si="1"/>
        <v>1</v>
      </c>
    </row>
    <row r="23" spans="1:11">
      <c r="A23" s="5">
        <v>204</v>
      </c>
      <c r="B23" s="6">
        <v>43796</v>
      </c>
      <c r="C23" s="7">
        <v>1</v>
      </c>
      <c r="D23" s="5">
        <v>5.8</v>
      </c>
      <c r="E23" s="5">
        <v>267.3</v>
      </c>
      <c r="F23" s="5">
        <v>279.5</v>
      </c>
      <c r="G23" s="6">
        <v>43796</v>
      </c>
      <c r="H23" s="5" t="s">
        <v>61</v>
      </c>
      <c r="I23" s="5" t="s">
        <v>57</v>
      </c>
      <c r="J23" s="5">
        <f t="shared" si="0"/>
        <v>12.199999999999989</v>
      </c>
      <c r="K23" s="8" t="b">
        <f t="shared" si="1"/>
        <v>1</v>
      </c>
    </row>
    <row r="24" spans="1:11">
      <c r="A24" s="5">
        <v>204</v>
      </c>
      <c r="B24" s="6">
        <v>43802</v>
      </c>
      <c r="C24" s="7">
        <v>0.8</v>
      </c>
      <c r="D24" s="5">
        <v>7.25</v>
      </c>
      <c r="E24" s="5">
        <v>279.5</v>
      </c>
      <c r="F24" s="5">
        <v>294.60000000000002</v>
      </c>
      <c r="G24" s="6">
        <v>43802</v>
      </c>
      <c r="H24" s="5" t="s">
        <v>59</v>
      </c>
      <c r="I24" s="5" t="s">
        <v>57</v>
      </c>
      <c r="J24" s="5">
        <f t="shared" si="0"/>
        <v>15.100000000000023</v>
      </c>
      <c r="K24" s="8" t="b">
        <f t="shared" ref="K24:K34" si="2">F24=E25</f>
        <v>1</v>
      </c>
    </row>
    <row r="25" spans="1:11">
      <c r="A25" s="5">
        <v>204</v>
      </c>
      <c r="B25" s="6">
        <v>43805</v>
      </c>
      <c r="C25" s="7">
        <v>0.7</v>
      </c>
      <c r="D25" s="5">
        <v>8.2899999999999991</v>
      </c>
      <c r="E25" s="5">
        <v>294.60000000000002</v>
      </c>
      <c r="F25" s="5">
        <v>310.8</v>
      </c>
      <c r="G25" s="6">
        <v>43805</v>
      </c>
      <c r="H25" s="5" t="s">
        <v>59</v>
      </c>
      <c r="I25" s="5" t="s">
        <v>57</v>
      </c>
      <c r="J25" s="5">
        <f t="shared" si="0"/>
        <v>16.199999999999989</v>
      </c>
      <c r="K25" s="8" t="b">
        <f t="shared" si="2"/>
        <v>1</v>
      </c>
    </row>
    <row r="26" spans="1:11">
      <c r="A26" s="5">
        <v>204</v>
      </c>
      <c r="B26" s="6">
        <v>43808</v>
      </c>
      <c r="C26" s="7">
        <v>0.7</v>
      </c>
      <c r="D26" s="5">
        <v>8.2899999999999991</v>
      </c>
      <c r="E26" s="5">
        <v>310.8</v>
      </c>
      <c r="F26" s="5">
        <v>327.39999999999998</v>
      </c>
      <c r="G26" s="6">
        <v>43808</v>
      </c>
      <c r="H26" s="5" t="s">
        <v>62</v>
      </c>
      <c r="I26" s="5" t="s">
        <v>57</v>
      </c>
      <c r="J26" s="5">
        <f t="shared" si="0"/>
        <v>16.599999999999966</v>
      </c>
      <c r="K26" s="8" t="b">
        <f t="shared" si="2"/>
        <v>1</v>
      </c>
    </row>
    <row r="27" spans="1:11">
      <c r="A27" s="5">
        <v>204</v>
      </c>
      <c r="B27" s="6">
        <v>43810</v>
      </c>
      <c r="C27" s="7">
        <v>0.7</v>
      </c>
      <c r="D27" s="5">
        <v>8.2899999999999991</v>
      </c>
      <c r="E27" s="5">
        <v>327.39999999999998</v>
      </c>
      <c r="F27" s="5">
        <v>343</v>
      </c>
      <c r="G27" s="6">
        <v>43810</v>
      </c>
      <c r="H27" s="5" t="s">
        <v>62</v>
      </c>
      <c r="I27" s="5" t="s">
        <v>57</v>
      </c>
      <c r="J27" s="5">
        <f t="shared" si="0"/>
        <v>15.600000000000023</v>
      </c>
      <c r="K27" s="8" t="b">
        <f t="shared" si="2"/>
        <v>1</v>
      </c>
    </row>
    <row r="28" spans="1:11">
      <c r="A28" s="5">
        <v>204</v>
      </c>
      <c r="B28" s="6">
        <v>43812</v>
      </c>
      <c r="C28" s="7">
        <v>0.6</v>
      </c>
      <c r="D28" s="5">
        <v>9.67</v>
      </c>
      <c r="E28" s="5">
        <v>343</v>
      </c>
      <c r="F28" s="5">
        <v>362.4</v>
      </c>
      <c r="G28" s="6">
        <v>43812</v>
      </c>
      <c r="H28" s="5" t="s">
        <v>62</v>
      </c>
      <c r="I28" s="5" t="s">
        <v>65</v>
      </c>
      <c r="J28" s="5">
        <f t="shared" si="0"/>
        <v>19.399999999999977</v>
      </c>
      <c r="K28" s="8" t="b">
        <f t="shared" si="2"/>
        <v>1</v>
      </c>
    </row>
    <row r="29" spans="1:11">
      <c r="A29" s="5">
        <v>204</v>
      </c>
      <c r="B29" s="6">
        <v>43814</v>
      </c>
      <c r="C29" s="7">
        <v>0.6</v>
      </c>
      <c r="D29" s="5">
        <v>9.67</v>
      </c>
      <c r="E29" s="5">
        <v>362.4</v>
      </c>
      <c r="F29" s="5">
        <v>381.9</v>
      </c>
      <c r="G29" s="6">
        <v>43814</v>
      </c>
      <c r="H29" s="5" t="s">
        <v>62</v>
      </c>
      <c r="I29" s="5" t="s">
        <v>65</v>
      </c>
      <c r="J29" s="5">
        <f t="shared" si="0"/>
        <v>19.5</v>
      </c>
      <c r="K29" s="8" t="b">
        <f t="shared" si="2"/>
        <v>1</v>
      </c>
    </row>
    <row r="30" spans="1:11">
      <c r="A30" s="5">
        <v>204</v>
      </c>
      <c r="B30" s="6">
        <v>43817</v>
      </c>
      <c r="C30" s="7">
        <v>0.7</v>
      </c>
      <c r="D30" s="5">
        <v>8.2899999999999991</v>
      </c>
      <c r="E30" s="5">
        <v>381.9</v>
      </c>
      <c r="F30" s="5">
        <v>401.6</v>
      </c>
      <c r="G30" s="6">
        <v>43817</v>
      </c>
      <c r="H30" s="5" t="s">
        <v>62</v>
      </c>
      <c r="I30" s="5" t="s">
        <v>65</v>
      </c>
      <c r="J30" s="5">
        <f t="shared" si="0"/>
        <v>19.700000000000045</v>
      </c>
      <c r="K30" s="8" t="b">
        <f t="shared" si="2"/>
        <v>1</v>
      </c>
    </row>
    <row r="31" spans="1:11">
      <c r="A31" s="5">
        <v>204</v>
      </c>
      <c r="B31" s="6">
        <v>43819</v>
      </c>
      <c r="C31" s="7">
        <v>0.8</v>
      </c>
      <c r="D31" s="5">
        <v>7.25</v>
      </c>
      <c r="E31" s="5">
        <v>401.6</v>
      </c>
      <c r="F31" s="5">
        <v>416.2</v>
      </c>
      <c r="G31" s="6">
        <v>43819</v>
      </c>
      <c r="H31" s="5" t="s">
        <v>62</v>
      </c>
      <c r="I31" s="5" t="s">
        <v>65</v>
      </c>
      <c r="J31" s="5">
        <f t="shared" si="0"/>
        <v>14.599999999999966</v>
      </c>
      <c r="K31" s="8" t="b">
        <f t="shared" si="2"/>
        <v>1</v>
      </c>
    </row>
    <row r="32" spans="1:11">
      <c r="A32" s="5">
        <v>204</v>
      </c>
      <c r="B32" s="6">
        <v>43820</v>
      </c>
      <c r="C32" s="7">
        <v>0.8</v>
      </c>
      <c r="D32" s="5">
        <v>7.25</v>
      </c>
      <c r="E32" s="5">
        <v>416.2</v>
      </c>
      <c r="F32" s="5">
        <v>433</v>
      </c>
      <c r="G32" s="6">
        <v>43820</v>
      </c>
      <c r="H32" s="5" t="s">
        <v>62</v>
      </c>
      <c r="I32" s="5" t="s">
        <v>65</v>
      </c>
      <c r="J32" s="5">
        <f t="shared" si="0"/>
        <v>16.800000000000011</v>
      </c>
      <c r="K32" s="8" t="b">
        <f t="shared" si="2"/>
        <v>1</v>
      </c>
    </row>
    <row r="33" spans="1:11">
      <c r="A33" s="5">
        <v>204</v>
      </c>
      <c r="B33" s="6">
        <v>43821</v>
      </c>
      <c r="C33" s="7">
        <v>0.8</v>
      </c>
      <c r="D33" s="5">
        <v>7.25</v>
      </c>
      <c r="E33" s="5">
        <v>433</v>
      </c>
      <c r="F33" s="5">
        <v>447</v>
      </c>
      <c r="G33" s="6">
        <v>43821</v>
      </c>
      <c r="H33" s="5" t="s">
        <v>62</v>
      </c>
      <c r="I33" s="5" t="s">
        <v>65</v>
      </c>
      <c r="J33" s="5">
        <f t="shared" si="0"/>
        <v>14</v>
      </c>
      <c r="K33" s="8" t="b">
        <f t="shared" si="2"/>
        <v>1</v>
      </c>
    </row>
    <row r="34" spans="1:11">
      <c r="A34" s="5">
        <v>204</v>
      </c>
      <c r="B34" s="6">
        <v>43823</v>
      </c>
      <c r="C34" s="7">
        <v>0.8</v>
      </c>
      <c r="D34" s="5">
        <v>7.25</v>
      </c>
      <c r="E34" s="5">
        <v>447</v>
      </c>
      <c r="F34" s="5">
        <v>462</v>
      </c>
      <c r="G34" s="6">
        <v>43823</v>
      </c>
      <c r="H34" s="5" t="s">
        <v>62</v>
      </c>
      <c r="I34" s="5" t="s">
        <v>65</v>
      </c>
      <c r="J34" s="5">
        <f t="shared" si="0"/>
        <v>15</v>
      </c>
      <c r="K34" s="8" t="b">
        <f t="shared" si="2"/>
        <v>1</v>
      </c>
    </row>
    <row r="35" spans="1:11">
      <c r="A35" s="5">
        <v>204</v>
      </c>
      <c r="B35" s="6">
        <v>43824</v>
      </c>
      <c r="C35" s="7">
        <v>0.8</v>
      </c>
      <c r="D35" s="5">
        <v>7.25</v>
      </c>
      <c r="E35" s="5">
        <v>462</v>
      </c>
      <c r="F35" s="5">
        <v>474</v>
      </c>
      <c r="G35" s="6">
        <v>43824</v>
      </c>
      <c r="H35" s="5" t="s">
        <v>62</v>
      </c>
      <c r="I35" s="5" t="s">
        <v>65</v>
      </c>
      <c r="J35" s="5">
        <f t="shared" si="0"/>
        <v>12</v>
      </c>
      <c r="K35" s="8" t="b">
        <f>F35=E36</f>
        <v>1</v>
      </c>
    </row>
    <row r="36" spans="1:11">
      <c r="A36" s="5">
        <v>204</v>
      </c>
      <c r="B36" s="6">
        <v>43825</v>
      </c>
      <c r="C36" s="7">
        <v>0.8</v>
      </c>
      <c r="D36" s="5">
        <v>7.25</v>
      </c>
      <c r="E36" s="5">
        <v>474</v>
      </c>
      <c r="F36" s="5">
        <v>489</v>
      </c>
      <c r="G36" s="6">
        <v>43825</v>
      </c>
      <c r="H36" s="5" t="s">
        <v>62</v>
      </c>
      <c r="I36" s="5" t="s">
        <v>65</v>
      </c>
      <c r="J36" s="5">
        <f t="shared" ref="J36:J42" si="3">F36-E36</f>
        <v>15</v>
      </c>
      <c r="K36" s="8" t="b">
        <f t="shared" ref="K36:K42" si="4">F36=E37</f>
        <v>1</v>
      </c>
    </row>
    <row r="37" spans="1:11">
      <c r="A37" s="5">
        <v>204</v>
      </c>
      <c r="B37" s="6">
        <v>43826</v>
      </c>
      <c r="C37" s="7">
        <v>0.8</v>
      </c>
      <c r="D37" s="5">
        <v>7.25</v>
      </c>
      <c r="E37" s="5">
        <v>489</v>
      </c>
      <c r="F37" s="5">
        <v>504</v>
      </c>
      <c r="G37" s="6">
        <v>43826</v>
      </c>
      <c r="H37" s="5" t="s">
        <v>62</v>
      </c>
      <c r="I37" s="5" t="s">
        <v>65</v>
      </c>
      <c r="J37" s="5">
        <f t="shared" si="3"/>
        <v>15</v>
      </c>
      <c r="K37" s="8" t="b">
        <f t="shared" si="4"/>
        <v>1</v>
      </c>
    </row>
    <row r="38" spans="1:11">
      <c r="A38" s="5">
        <v>204</v>
      </c>
      <c r="B38" s="6">
        <v>43827</v>
      </c>
      <c r="C38" s="7">
        <v>0.8</v>
      </c>
      <c r="D38" s="5">
        <v>7.25</v>
      </c>
      <c r="E38" s="5">
        <v>504</v>
      </c>
      <c r="F38" s="5">
        <v>518.79999999999995</v>
      </c>
      <c r="G38" s="6">
        <v>43827</v>
      </c>
      <c r="H38" s="5"/>
      <c r="I38" s="5"/>
      <c r="J38" s="5">
        <f t="shared" si="3"/>
        <v>14.799999999999955</v>
      </c>
      <c r="K38" s="8" t="b">
        <f t="shared" si="4"/>
        <v>1</v>
      </c>
    </row>
    <row r="39" spans="1:11">
      <c r="A39" s="5">
        <v>204</v>
      </c>
      <c r="B39" s="6">
        <v>43829</v>
      </c>
      <c r="C39" s="7">
        <v>0.8</v>
      </c>
      <c r="D39" s="5">
        <v>7.25</v>
      </c>
      <c r="E39" s="5">
        <v>518.79999999999995</v>
      </c>
      <c r="F39" s="5">
        <v>533.5</v>
      </c>
      <c r="G39" s="6">
        <v>43829</v>
      </c>
      <c r="H39" s="5"/>
      <c r="I39" s="5"/>
      <c r="J39" s="5">
        <f t="shared" si="3"/>
        <v>14.700000000000045</v>
      </c>
      <c r="K39" s="8" t="b">
        <f t="shared" si="4"/>
        <v>1</v>
      </c>
    </row>
    <row r="40" spans="1:11">
      <c r="A40" s="5">
        <v>204</v>
      </c>
      <c r="B40" s="6">
        <v>43830</v>
      </c>
      <c r="C40" s="7">
        <v>0.8</v>
      </c>
      <c r="D40" s="5">
        <v>7.25</v>
      </c>
      <c r="E40" s="5">
        <v>533.5</v>
      </c>
      <c r="F40" s="5">
        <v>548.20000000000005</v>
      </c>
      <c r="G40" s="6">
        <v>43830</v>
      </c>
      <c r="H40" s="5"/>
      <c r="I40" s="5"/>
      <c r="J40" s="5">
        <f t="shared" si="3"/>
        <v>14.700000000000045</v>
      </c>
      <c r="K40" s="8" t="b">
        <f t="shared" si="4"/>
        <v>1</v>
      </c>
    </row>
    <row r="41" spans="1:11">
      <c r="A41" s="5">
        <v>204</v>
      </c>
      <c r="B41" s="6">
        <v>43831</v>
      </c>
      <c r="C41" s="7">
        <v>0.8</v>
      </c>
      <c r="D41" s="5">
        <v>7.25</v>
      </c>
      <c r="E41" s="5">
        <v>548.20000000000005</v>
      </c>
      <c r="F41" s="5">
        <v>562.9</v>
      </c>
      <c r="G41" s="6">
        <v>43831</v>
      </c>
      <c r="H41" s="5"/>
      <c r="I41" s="5"/>
      <c r="J41" s="5">
        <f t="shared" si="3"/>
        <v>14.699999999999932</v>
      </c>
      <c r="K41" s="8" t="b">
        <f t="shared" si="4"/>
        <v>1</v>
      </c>
    </row>
    <row r="42" spans="1:11">
      <c r="A42" s="5">
        <v>204</v>
      </c>
      <c r="B42" s="6">
        <v>43836</v>
      </c>
      <c r="C42" s="7">
        <v>1</v>
      </c>
      <c r="D42" s="5">
        <v>5.8</v>
      </c>
      <c r="E42" s="5">
        <v>562.9</v>
      </c>
      <c r="F42" s="5">
        <v>575.1</v>
      </c>
      <c r="G42" s="6">
        <v>43836</v>
      </c>
      <c r="H42" s="5"/>
      <c r="I42" s="5"/>
      <c r="J42" s="5">
        <f t="shared" si="3"/>
        <v>12.200000000000045</v>
      </c>
      <c r="K42" s="8" t="b">
        <f t="shared" si="4"/>
        <v>1</v>
      </c>
    </row>
    <row r="43" spans="1:11">
      <c r="A43" s="5">
        <v>204</v>
      </c>
      <c r="B43" s="6">
        <v>43842</v>
      </c>
      <c r="C43" s="7">
        <v>1</v>
      </c>
      <c r="D43" s="5">
        <v>5.8</v>
      </c>
      <c r="E43" s="5">
        <v>575.1</v>
      </c>
      <c r="F43" s="5">
        <v>587.6</v>
      </c>
      <c r="G43" s="6">
        <v>43842</v>
      </c>
      <c r="H43" s="5"/>
      <c r="I43" s="5"/>
      <c r="J43" s="5">
        <f t="shared" ref="J43:J48" si="5">F43-E43</f>
        <v>12.5</v>
      </c>
      <c r="K43" s="8" t="b">
        <f t="shared" ref="K43:K48" si="6">F43=E44</f>
        <v>1</v>
      </c>
    </row>
    <row r="44" spans="1:11">
      <c r="A44" s="5">
        <v>204</v>
      </c>
      <c r="B44" s="6">
        <v>43843</v>
      </c>
      <c r="C44" s="7">
        <v>0.8</v>
      </c>
      <c r="D44" s="5">
        <v>7.25</v>
      </c>
      <c r="E44" s="5">
        <v>587.6</v>
      </c>
      <c r="F44" s="5">
        <v>601</v>
      </c>
      <c r="G44" s="6">
        <v>43843</v>
      </c>
      <c r="H44" s="5"/>
      <c r="I44" s="5"/>
      <c r="J44" s="5">
        <f t="shared" si="5"/>
        <v>13.399999999999977</v>
      </c>
      <c r="K44" s="8" t="b">
        <f t="shared" si="6"/>
        <v>1</v>
      </c>
    </row>
    <row r="45" spans="1:11">
      <c r="A45" s="5">
        <v>204</v>
      </c>
      <c r="B45" s="6">
        <v>43845</v>
      </c>
      <c r="C45" s="7">
        <v>0.8</v>
      </c>
      <c r="D45" s="5">
        <v>7.25</v>
      </c>
      <c r="E45" s="5">
        <v>601</v>
      </c>
      <c r="F45" s="5">
        <v>616.29999999999995</v>
      </c>
      <c r="G45" s="6">
        <v>43845</v>
      </c>
      <c r="H45" s="5"/>
      <c r="I45" s="5"/>
      <c r="J45" s="5">
        <f t="shared" si="5"/>
        <v>15.299999999999955</v>
      </c>
      <c r="K45" s="8" t="b">
        <f t="shared" si="6"/>
        <v>1</v>
      </c>
    </row>
    <row r="46" spans="1:11">
      <c r="A46" s="5">
        <v>204</v>
      </c>
      <c r="B46" s="6">
        <v>43846</v>
      </c>
      <c r="C46" s="7">
        <v>0.8</v>
      </c>
      <c r="D46" s="5">
        <v>7.25</v>
      </c>
      <c r="E46" s="5">
        <v>616.29999999999995</v>
      </c>
      <c r="F46" s="5">
        <v>630.6</v>
      </c>
      <c r="G46" s="6">
        <v>43846</v>
      </c>
      <c r="H46" s="5"/>
      <c r="I46" s="5"/>
      <c r="J46" s="5">
        <f t="shared" si="5"/>
        <v>14.300000000000068</v>
      </c>
      <c r="K46" s="8" t="b">
        <f t="shared" si="6"/>
        <v>1</v>
      </c>
    </row>
    <row r="47" spans="1:11">
      <c r="A47" s="5">
        <v>204</v>
      </c>
      <c r="B47" s="6">
        <v>43847</v>
      </c>
      <c r="C47" s="7">
        <v>0.8</v>
      </c>
      <c r="D47" s="5">
        <v>7.25</v>
      </c>
      <c r="E47" s="5">
        <v>630.6</v>
      </c>
      <c r="F47" s="5">
        <v>645.4</v>
      </c>
      <c r="G47" s="6">
        <v>43847</v>
      </c>
      <c r="H47" s="5"/>
      <c r="I47" s="5"/>
      <c r="J47" s="5">
        <f t="shared" si="5"/>
        <v>14.799999999999955</v>
      </c>
      <c r="K47" s="8" t="b">
        <f t="shared" si="6"/>
        <v>1</v>
      </c>
    </row>
    <row r="48" spans="1:11">
      <c r="A48" s="5">
        <v>204</v>
      </c>
      <c r="B48" s="6">
        <v>43850</v>
      </c>
      <c r="C48" s="7">
        <v>0.8</v>
      </c>
      <c r="D48" s="5">
        <v>7.25</v>
      </c>
      <c r="E48" s="5">
        <v>645.4</v>
      </c>
      <c r="F48" s="5">
        <v>659.7</v>
      </c>
      <c r="G48" s="6">
        <v>43850</v>
      </c>
      <c r="H48" s="5"/>
      <c r="I48" s="5"/>
      <c r="J48" s="5">
        <f t="shared" si="5"/>
        <v>14.300000000000068</v>
      </c>
      <c r="K48" s="8" t="b">
        <f t="shared" si="6"/>
        <v>1</v>
      </c>
    </row>
    <row r="49" spans="1:11">
      <c r="A49" s="5">
        <v>204</v>
      </c>
      <c r="B49" s="6">
        <v>43851</v>
      </c>
      <c r="C49" s="7">
        <v>0.8</v>
      </c>
      <c r="D49" s="5">
        <v>7.25</v>
      </c>
      <c r="E49" s="5">
        <v>659.7</v>
      </c>
      <c r="F49" s="5">
        <v>672.5</v>
      </c>
      <c r="G49" s="6">
        <v>43851</v>
      </c>
      <c r="H49" s="5"/>
      <c r="I49" s="5"/>
      <c r="J49" s="5">
        <f>F49-E49</f>
        <v>12.799999999999955</v>
      </c>
      <c r="K49" s="8" t="b">
        <f>F49=E53</f>
        <v>0</v>
      </c>
    </row>
    <row r="50" spans="1:11">
      <c r="A50" s="5"/>
      <c r="B50" s="6"/>
      <c r="C50" s="7"/>
      <c r="D50" s="5"/>
      <c r="E50" s="5"/>
      <c r="F50" s="5"/>
      <c r="G50" s="6"/>
      <c r="H50" s="5"/>
      <c r="I50" s="5"/>
      <c r="J50" s="5"/>
      <c r="K50" s="8"/>
    </row>
    <row r="51" spans="1:11" ht="26.25">
      <c r="A51" s="144" t="s">
        <v>387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7"/>
    </row>
    <row r="52" spans="1:11" ht="26.25">
      <c r="A52" s="144" t="s">
        <v>51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7"/>
    </row>
    <row r="53" spans="1:11" ht="15.75" thickBot="1"/>
    <row r="54" spans="1:11" ht="15.75" thickBot="1">
      <c r="A54" s="132" t="s">
        <v>2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4"/>
    </row>
    <row r="56" spans="1:11" ht="19.5" thickBot="1">
      <c r="A56" s="1" t="s">
        <v>3</v>
      </c>
      <c r="B56" s="1"/>
      <c r="C56" s="1"/>
      <c r="D56" s="1"/>
      <c r="E56" s="1"/>
      <c r="F56" s="1"/>
      <c r="G56" s="1"/>
      <c r="H56" s="1"/>
      <c r="I56" s="1"/>
    </row>
    <row r="57" spans="1:11" ht="30.75" thickBot="1">
      <c r="A57" s="2" t="s">
        <v>4</v>
      </c>
      <c r="B57" s="3" t="s">
        <v>5</v>
      </c>
      <c r="C57" s="3" t="s">
        <v>6</v>
      </c>
      <c r="D57" s="3" t="s">
        <v>7</v>
      </c>
      <c r="E57" s="3" t="s">
        <v>8</v>
      </c>
      <c r="F57" s="3" t="s">
        <v>9</v>
      </c>
      <c r="G57" s="3" t="s">
        <v>10</v>
      </c>
      <c r="H57" s="3" t="s">
        <v>21</v>
      </c>
      <c r="I57" s="4" t="s">
        <v>22</v>
      </c>
      <c r="J57" s="4" t="s">
        <v>11</v>
      </c>
      <c r="K57" s="4" t="s">
        <v>12</v>
      </c>
    </row>
    <row r="58" spans="1:11">
      <c r="A58" s="5">
        <v>204</v>
      </c>
      <c r="B58" s="6">
        <v>43923</v>
      </c>
      <c r="C58" s="7">
        <v>0.8</v>
      </c>
      <c r="D58" s="5">
        <v>7.25</v>
      </c>
      <c r="E58" s="5">
        <v>738</v>
      </c>
      <c r="F58" s="5">
        <v>765</v>
      </c>
      <c r="G58" s="6">
        <v>43923</v>
      </c>
      <c r="H58" s="5"/>
      <c r="I58" s="5"/>
      <c r="J58" s="5">
        <f>F58-E58</f>
        <v>27</v>
      </c>
      <c r="K58" s="8" t="b">
        <f t="shared" ref="K58:K73" si="7">F58=E59</f>
        <v>1</v>
      </c>
    </row>
    <row r="59" spans="1:11">
      <c r="A59" s="5">
        <v>204</v>
      </c>
      <c r="B59" s="6">
        <v>43925</v>
      </c>
      <c r="C59" s="7">
        <v>0.8</v>
      </c>
      <c r="D59" s="5">
        <v>7.25</v>
      </c>
      <c r="E59" s="5">
        <v>765</v>
      </c>
      <c r="F59" s="5">
        <v>779</v>
      </c>
      <c r="G59" s="6">
        <v>43925</v>
      </c>
      <c r="H59" s="5"/>
      <c r="I59" s="5"/>
      <c r="J59" s="5">
        <f>F59-E59</f>
        <v>14</v>
      </c>
      <c r="K59" s="8" t="b">
        <f t="shared" si="7"/>
        <v>1</v>
      </c>
    </row>
    <row r="60" spans="1:11">
      <c r="A60" s="5">
        <v>204</v>
      </c>
      <c r="B60" s="6">
        <v>43928</v>
      </c>
      <c r="C60" s="7">
        <v>0.8</v>
      </c>
      <c r="D60" s="5">
        <v>7.25</v>
      </c>
      <c r="E60" s="5">
        <v>779</v>
      </c>
      <c r="F60" s="5">
        <v>795</v>
      </c>
      <c r="G60" s="6">
        <v>43928</v>
      </c>
      <c r="H60" s="5"/>
      <c r="I60" s="5"/>
      <c r="J60" s="5">
        <f>F60-E60</f>
        <v>16</v>
      </c>
      <c r="K60" s="8" t="b">
        <f t="shared" si="7"/>
        <v>1</v>
      </c>
    </row>
    <row r="61" spans="1:11">
      <c r="A61" s="5">
        <v>204</v>
      </c>
      <c r="B61" s="6">
        <v>43936</v>
      </c>
      <c r="C61" s="7">
        <v>1</v>
      </c>
      <c r="D61" s="5">
        <v>5.8</v>
      </c>
      <c r="E61" s="5">
        <v>795</v>
      </c>
      <c r="F61" s="5">
        <v>809</v>
      </c>
      <c r="G61" s="6">
        <v>43936</v>
      </c>
      <c r="H61" s="5"/>
      <c r="I61" s="5"/>
      <c r="J61" s="5">
        <f t="shared" ref="J61:J73" si="8">F61-E61</f>
        <v>14</v>
      </c>
      <c r="K61" s="8" t="b">
        <f t="shared" si="7"/>
        <v>0</v>
      </c>
    </row>
    <row r="62" spans="1:11">
      <c r="A62" s="5">
        <v>204</v>
      </c>
      <c r="B62" s="6">
        <v>43943</v>
      </c>
      <c r="C62" s="7">
        <v>0.8</v>
      </c>
      <c r="D62" s="5">
        <v>7.25</v>
      </c>
      <c r="E62" s="5">
        <v>824</v>
      </c>
      <c r="F62" s="5">
        <v>839</v>
      </c>
      <c r="G62" s="6">
        <v>43943</v>
      </c>
      <c r="H62" s="5"/>
      <c r="I62" s="5"/>
      <c r="J62" s="5">
        <f t="shared" si="8"/>
        <v>15</v>
      </c>
      <c r="K62" s="8" t="b">
        <f t="shared" si="7"/>
        <v>0</v>
      </c>
    </row>
    <row r="63" spans="1:11">
      <c r="A63" s="5">
        <v>204</v>
      </c>
      <c r="B63" s="6">
        <v>43948</v>
      </c>
      <c r="C63" s="7">
        <v>0.8</v>
      </c>
      <c r="D63" s="5">
        <v>7.25</v>
      </c>
      <c r="E63" s="5">
        <v>824</v>
      </c>
      <c r="F63" s="5">
        <v>839</v>
      </c>
      <c r="G63" s="6">
        <v>43948</v>
      </c>
      <c r="H63" s="5"/>
      <c r="I63" s="5"/>
      <c r="J63" s="5">
        <f t="shared" si="8"/>
        <v>15</v>
      </c>
      <c r="K63" s="8" t="b">
        <f t="shared" si="7"/>
        <v>1</v>
      </c>
    </row>
    <row r="64" spans="1:11">
      <c r="A64" s="5">
        <v>204</v>
      </c>
      <c r="B64" s="6">
        <v>43950</v>
      </c>
      <c r="C64" s="7">
        <v>0.8</v>
      </c>
      <c r="D64" s="5">
        <v>7.25</v>
      </c>
      <c r="E64" s="5">
        <v>839</v>
      </c>
      <c r="F64" s="5">
        <v>854</v>
      </c>
      <c r="G64" s="6">
        <v>43950</v>
      </c>
      <c r="H64" s="5"/>
      <c r="I64" s="5"/>
      <c r="J64" s="5">
        <f t="shared" si="8"/>
        <v>15</v>
      </c>
      <c r="K64" s="8" t="b">
        <f t="shared" si="7"/>
        <v>1</v>
      </c>
    </row>
    <row r="65" spans="1:11">
      <c r="A65" s="5">
        <v>204</v>
      </c>
      <c r="B65" s="6">
        <v>43952</v>
      </c>
      <c r="C65" s="7">
        <v>1</v>
      </c>
      <c r="D65" s="5">
        <v>5.8</v>
      </c>
      <c r="E65" s="5">
        <v>854</v>
      </c>
      <c r="F65" s="5">
        <v>869</v>
      </c>
      <c r="G65" s="6">
        <v>43952</v>
      </c>
      <c r="H65" s="5"/>
      <c r="I65" s="5"/>
      <c r="J65" s="5">
        <f t="shared" si="8"/>
        <v>15</v>
      </c>
      <c r="K65" s="8" t="b">
        <f t="shared" si="7"/>
        <v>1</v>
      </c>
    </row>
    <row r="66" spans="1:11">
      <c r="A66" s="5">
        <v>204</v>
      </c>
      <c r="B66" s="6">
        <v>43954</v>
      </c>
      <c r="C66" s="7">
        <v>0.8</v>
      </c>
      <c r="D66" s="5">
        <v>7.25</v>
      </c>
      <c r="E66" s="5">
        <v>869</v>
      </c>
      <c r="F66" s="5">
        <v>884</v>
      </c>
      <c r="G66" s="6">
        <v>43954</v>
      </c>
      <c r="H66" s="5"/>
      <c r="I66" s="5"/>
      <c r="J66" s="5">
        <f t="shared" si="8"/>
        <v>15</v>
      </c>
      <c r="K66" s="8" t="b">
        <f t="shared" si="7"/>
        <v>1</v>
      </c>
    </row>
    <row r="67" spans="1:11">
      <c r="A67" s="5">
        <v>204</v>
      </c>
      <c r="B67" s="6">
        <v>43957</v>
      </c>
      <c r="C67" s="7">
        <v>0.8</v>
      </c>
      <c r="D67" s="5">
        <v>7.25</v>
      </c>
      <c r="E67" s="5">
        <v>884</v>
      </c>
      <c r="F67" s="5">
        <v>905</v>
      </c>
      <c r="G67" s="6">
        <v>43957</v>
      </c>
      <c r="H67" s="5"/>
      <c r="I67" s="5"/>
      <c r="J67" s="5">
        <f t="shared" si="8"/>
        <v>21</v>
      </c>
      <c r="K67" s="8" t="b">
        <f t="shared" si="7"/>
        <v>1</v>
      </c>
    </row>
    <row r="68" spans="1:11">
      <c r="A68" s="5">
        <v>204</v>
      </c>
      <c r="B68" s="6">
        <v>43965</v>
      </c>
      <c r="C68" s="7">
        <v>1</v>
      </c>
      <c r="D68" s="5">
        <v>5.8</v>
      </c>
      <c r="E68" s="5">
        <v>905</v>
      </c>
      <c r="F68" s="5">
        <v>922</v>
      </c>
      <c r="G68" s="6">
        <v>43965</v>
      </c>
      <c r="H68" s="5"/>
      <c r="I68" s="5"/>
      <c r="J68" s="5">
        <f t="shared" si="8"/>
        <v>17</v>
      </c>
      <c r="K68" s="8" t="b">
        <f t="shared" si="7"/>
        <v>1</v>
      </c>
    </row>
    <row r="69" spans="1:11">
      <c r="A69" s="5">
        <v>204</v>
      </c>
      <c r="B69" s="6">
        <v>43966</v>
      </c>
      <c r="C69" s="7">
        <v>0.7</v>
      </c>
      <c r="D69" s="5">
        <v>8.2899999999999991</v>
      </c>
      <c r="E69" s="5">
        <v>922</v>
      </c>
      <c r="F69" s="5">
        <v>941.2</v>
      </c>
      <c r="G69" s="6">
        <v>43966</v>
      </c>
      <c r="H69" s="5"/>
      <c r="I69" s="5"/>
      <c r="J69" s="5">
        <f t="shared" si="8"/>
        <v>19.200000000000045</v>
      </c>
      <c r="K69" s="8" t="b">
        <f t="shared" si="7"/>
        <v>1</v>
      </c>
    </row>
    <row r="70" spans="1:11">
      <c r="A70" s="5">
        <v>204</v>
      </c>
      <c r="B70" s="6">
        <v>43967</v>
      </c>
      <c r="C70" s="7">
        <v>0.7</v>
      </c>
      <c r="D70" s="5">
        <v>8.2899999999999991</v>
      </c>
      <c r="E70" s="5">
        <v>941.2</v>
      </c>
      <c r="F70" s="5">
        <v>958.2</v>
      </c>
      <c r="G70" s="6">
        <v>43967</v>
      </c>
      <c r="H70" s="5"/>
      <c r="I70" s="5"/>
      <c r="J70" s="5">
        <f t="shared" si="8"/>
        <v>17</v>
      </c>
      <c r="K70" s="8" t="b">
        <f t="shared" si="7"/>
        <v>1</v>
      </c>
    </row>
    <row r="71" spans="1:11">
      <c r="A71" s="5">
        <v>204</v>
      </c>
      <c r="B71" s="6">
        <v>43971</v>
      </c>
      <c r="C71" s="7">
        <v>0.8</v>
      </c>
      <c r="D71" s="5">
        <v>7.25</v>
      </c>
      <c r="E71" s="5">
        <v>958.2</v>
      </c>
      <c r="F71" s="5">
        <v>972.4</v>
      </c>
      <c r="G71" s="6">
        <v>43971</v>
      </c>
      <c r="H71" s="5"/>
      <c r="I71" s="5"/>
      <c r="J71" s="5">
        <f t="shared" si="8"/>
        <v>14.199999999999932</v>
      </c>
      <c r="K71" s="8" t="b">
        <f t="shared" si="7"/>
        <v>1</v>
      </c>
    </row>
    <row r="72" spans="1:11">
      <c r="A72" s="5">
        <v>204</v>
      </c>
      <c r="B72" s="6">
        <v>43973</v>
      </c>
      <c r="C72" s="7">
        <v>0.7</v>
      </c>
      <c r="D72" s="5">
        <v>8.2899999999999991</v>
      </c>
      <c r="E72" s="5">
        <v>972.4</v>
      </c>
      <c r="F72" s="5">
        <v>987.1</v>
      </c>
      <c r="G72" s="6">
        <v>43973</v>
      </c>
      <c r="H72" s="5"/>
      <c r="I72" s="5"/>
      <c r="J72" s="5">
        <f t="shared" si="8"/>
        <v>14.700000000000045</v>
      </c>
      <c r="K72" s="8" t="b">
        <f t="shared" si="7"/>
        <v>1</v>
      </c>
    </row>
    <row r="73" spans="1:11">
      <c r="A73" s="5">
        <v>204</v>
      </c>
      <c r="B73" s="6">
        <v>43975</v>
      </c>
      <c r="C73" s="7">
        <v>0.7</v>
      </c>
      <c r="D73" s="5">
        <v>8.2899999999999991</v>
      </c>
      <c r="E73" s="5">
        <v>987.1</v>
      </c>
      <c r="F73" s="5">
        <v>1003.8</v>
      </c>
      <c r="G73" s="6">
        <v>43975</v>
      </c>
      <c r="H73" s="5"/>
      <c r="I73" s="5"/>
      <c r="J73" s="5">
        <f t="shared" si="8"/>
        <v>16.699999999999932</v>
      </c>
      <c r="K73" s="8" t="b">
        <f t="shared" si="7"/>
        <v>1</v>
      </c>
    </row>
    <row r="74" spans="1:11">
      <c r="A74" s="5">
        <v>204</v>
      </c>
      <c r="B74" s="6">
        <v>43977</v>
      </c>
      <c r="C74" s="7">
        <v>0.8</v>
      </c>
      <c r="D74" s="5">
        <v>7.25</v>
      </c>
      <c r="E74" s="5">
        <v>1003.8</v>
      </c>
      <c r="F74" s="5">
        <v>1018.5</v>
      </c>
      <c r="G74" s="6">
        <v>43977</v>
      </c>
      <c r="H74" s="5"/>
      <c r="I74" s="5"/>
      <c r="J74" s="5">
        <f t="shared" ref="J74:J79" si="9">F74-E74</f>
        <v>14.700000000000045</v>
      </c>
      <c r="K74" s="8" t="b">
        <f t="shared" ref="K74:K79" si="10">F74=E75</f>
        <v>1</v>
      </c>
    </row>
    <row r="75" spans="1:11">
      <c r="A75" s="5">
        <v>204</v>
      </c>
      <c r="B75" s="6">
        <v>43979</v>
      </c>
      <c r="C75" s="7">
        <v>0.8</v>
      </c>
      <c r="D75" s="5">
        <v>7.25</v>
      </c>
      <c r="E75" s="5">
        <v>1018.5</v>
      </c>
      <c r="F75" s="5">
        <v>1033.2</v>
      </c>
      <c r="G75" s="6">
        <v>43979</v>
      </c>
      <c r="H75" s="5"/>
      <c r="I75" s="5"/>
      <c r="J75" s="5">
        <f t="shared" si="9"/>
        <v>14.700000000000045</v>
      </c>
      <c r="K75" s="8" t="b">
        <f t="shared" si="10"/>
        <v>1</v>
      </c>
    </row>
    <row r="76" spans="1:11">
      <c r="A76" s="5">
        <v>204</v>
      </c>
      <c r="B76" s="6">
        <v>43981</v>
      </c>
      <c r="C76" s="7">
        <v>0.7</v>
      </c>
      <c r="D76" s="5">
        <v>8.2899999999999991</v>
      </c>
      <c r="E76" s="5">
        <v>1033.2</v>
      </c>
      <c r="F76" s="5">
        <v>1050.0999999999999</v>
      </c>
      <c r="G76" s="6">
        <v>43981</v>
      </c>
      <c r="H76" s="5"/>
      <c r="I76" s="5"/>
      <c r="J76" s="5">
        <f t="shared" si="9"/>
        <v>16.899999999999864</v>
      </c>
      <c r="K76" s="8" t="b">
        <f t="shared" si="10"/>
        <v>1</v>
      </c>
    </row>
    <row r="77" spans="1:11">
      <c r="A77" s="5">
        <v>204</v>
      </c>
      <c r="B77" s="6">
        <v>43983</v>
      </c>
      <c r="C77" s="7">
        <v>0.8</v>
      </c>
      <c r="D77" s="5">
        <v>7.25</v>
      </c>
      <c r="E77" s="5">
        <v>1050.0999999999999</v>
      </c>
      <c r="F77" s="5">
        <v>1065.4000000000001</v>
      </c>
      <c r="G77" s="6">
        <v>43983</v>
      </c>
      <c r="H77" s="5"/>
      <c r="I77" s="5"/>
      <c r="J77" s="5">
        <f t="shared" si="9"/>
        <v>15.300000000000182</v>
      </c>
      <c r="K77" s="8" t="b">
        <f t="shared" si="10"/>
        <v>1</v>
      </c>
    </row>
    <row r="78" spans="1:11">
      <c r="A78" s="5">
        <v>204</v>
      </c>
      <c r="B78" s="6">
        <v>43985</v>
      </c>
      <c r="C78" s="7">
        <v>0.8</v>
      </c>
      <c r="D78" s="5">
        <v>7.25</v>
      </c>
      <c r="E78" s="5">
        <v>1065.4000000000001</v>
      </c>
      <c r="F78" s="5">
        <v>1080</v>
      </c>
      <c r="G78" s="6">
        <v>43985</v>
      </c>
      <c r="H78" s="5"/>
      <c r="I78" s="5"/>
      <c r="J78" s="5">
        <f t="shared" si="9"/>
        <v>14.599999999999909</v>
      </c>
      <c r="K78" s="8" t="b">
        <f t="shared" si="10"/>
        <v>1</v>
      </c>
    </row>
    <row r="79" spans="1:11">
      <c r="A79" s="5">
        <v>204</v>
      </c>
      <c r="B79" s="6">
        <v>43987</v>
      </c>
      <c r="C79" s="7">
        <v>0.8</v>
      </c>
      <c r="D79" s="5">
        <v>7.25</v>
      </c>
      <c r="E79" s="5">
        <v>1080</v>
      </c>
      <c r="F79" s="5">
        <v>1094.7</v>
      </c>
      <c r="G79" s="6">
        <v>43987</v>
      </c>
      <c r="H79" s="5"/>
      <c r="I79" s="5"/>
      <c r="J79" s="5">
        <f t="shared" si="9"/>
        <v>14.700000000000045</v>
      </c>
      <c r="K79" s="8" t="b">
        <f t="shared" si="10"/>
        <v>1</v>
      </c>
    </row>
    <row r="80" spans="1:11">
      <c r="A80" s="5">
        <v>204</v>
      </c>
      <c r="B80" s="6">
        <v>43991</v>
      </c>
      <c r="C80" s="7">
        <v>0.7</v>
      </c>
      <c r="D80" s="5">
        <v>8.2899999999999991</v>
      </c>
      <c r="E80" s="5">
        <v>1094.7</v>
      </c>
      <c r="F80" s="5">
        <v>1111.9000000000001</v>
      </c>
      <c r="G80" s="6">
        <v>43991</v>
      </c>
      <c r="H80" s="5"/>
      <c r="I80" s="5"/>
      <c r="J80" s="5">
        <f>F80-E80</f>
        <v>17.200000000000045</v>
      </c>
      <c r="K80" s="8" t="b">
        <f>F80=E81</f>
        <v>1</v>
      </c>
    </row>
    <row r="81" spans="1:11">
      <c r="A81" s="5">
        <v>204</v>
      </c>
      <c r="B81" s="6">
        <v>43993</v>
      </c>
      <c r="C81" s="7">
        <v>0.7</v>
      </c>
      <c r="D81" s="5">
        <v>8.2899999999999991</v>
      </c>
      <c r="E81" s="5">
        <v>1111.9000000000001</v>
      </c>
      <c r="F81" s="5">
        <v>1128</v>
      </c>
      <c r="G81" s="6">
        <v>43994</v>
      </c>
      <c r="H81" s="5"/>
      <c r="I81" s="5"/>
      <c r="J81" s="5">
        <f>F81-E81</f>
        <v>16.099999999999909</v>
      </c>
      <c r="K81" s="8" t="b">
        <f>F81=E82</f>
        <v>1</v>
      </c>
    </row>
    <row r="82" spans="1:11">
      <c r="A82" s="5">
        <v>204</v>
      </c>
      <c r="B82" s="6">
        <v>43997</v>
      </c>
      <c r="C82" s="7">
        <v>0.7</v>
      </c>
      <c r="D82" s="5">
        <v>8.2899999999999991</v>
      </c>
      <c r="E82" s="5">
        <v>1128</v>
      </c>
      <c r="F82" s="5">
        <v>1145</v>
      </c>
      <c r="G82" s="6">
        <v>43997</v>
      </c>
      <c r="H82" s="5"/>
      <c r="I82" s="5"/>
      <c r="J82" s="5">
        <f t="shared" ref="J82:J88" si="11">F82-E82</f>
        <v>17</v>
      </c>
      <c r="K82" s="8" t="b">
        <f t="shared" ref="K82:K88" si="12">F82=E83</f>
        <v>1</v>
      </c>
    </row>
    <row r="83" spans="1:11">
      <c r="A83" s="5">
        <v>204</v>
      </c>
      <c r="B83" s="6">
        <v>44000</v>
      </c>
      <c r="C83" s="7">
        <v>0.7</v>
      </c>
      <c r="D83" s="5">
        <v>8.2899999999999991</v>
      </c>
      <c r="E83" s="5">
        <v>1145</v>
      </c>
      <c r="F83" s="5">
        <v>1162</v>
      </c>
      <c r="G83" s="6">
        <v>44000</v>
      </c>
      <c r="H83" s="5"/>
      <c r="I83" s="5"/>
      <c r="J83" s="5">
        <f t="shared" si="11"/>
        <v>17</v>
      </c>
      <c r="K83" s="8" t="b">
        <f t="shared" si="12"/>
        <v>1</v>
      </c>
    </row>
    <row r="84" spans="1:11">
      <c r="A84" s="5">
        <v>204</v>
      </c>
      <c r="B84" s="6">
        <v>44003</v>
      </c>
      <c r="C84" s="7">
        <v>0.7</v>
      </c>
      <c r="D84" s="5">
        <v>8.2899999999999991</v>
      </c>
      <c r="E84" s="5">
        <v>1162</v>
      </c>
      <c r="F84" s="5">
        <v>1178.7</v>
      </c>
      <c r="G84" s="6">
        <v>44003</v>
      </c>
      <c r="H84" s="5"/>
      <c r="I84" s="5"/>
      <c r="J84" s="5">
        <f t="shared" si="11"/>
        <v>16.700000000000045</v>
      </c>
      <c r="K84" s="8" t="b">
        <f t="shared" si="12"/>
        <v>1</v>
      </c>
    </row>
    <row r="85" spans="1:11">
      <c r="A85" s="5">
        <v>204</v>
      </c>
      <c r="B85" s="6">
        <v>44005</v>
      </c>
      <c r="C85" s="7">
        <v>0.7</v>
      </c>
      <c r="D85" s="5">
        <v>8.2899999999999991</v>
      </c>
      <c r="E85" s="5">
        <v>1178.7</v>
      </c>
      <c r="F85" s="5">
        <v>1188.0999999999999</v>
      </c>
      <c r="G85" s="6">
        <v>44005</v>
      </c>
      <c r="H85" s="5"/>
      <c r="I85" s="5"/>
      <c r="J85" s="5">
        <f t="shared" si="11"/>
        <v>9.3999999999998636</v>
      </c>
      <c r="K85" s="8" t="b">
        <f t="shared" si="12"/>
        <v>1</v>
      </c>
    </row>
    <row r="86" spans="1:11">
      <c r="A86" s="5">
        <v>204</v>
      </c>
      <c r="B86" s="6">
        <v>44007</v>
      </c>
      <c r="C86" s="7">
        <v>0.7</v>
      </c>
      <c r="D86" s="5">
        <v>8.2899999999999991</v>
      </c>
      <c r="E86" s="5">
        <v>1188.0999999999999</v>
      </c>
      <c r="F86" s="5">
        <v>1204.8</v>
      </c>
      <c r="G86" s="6">
        <v>44007</v>
      </c>
      <c r="H86" s="5"/>
      <c r="I86" s="5"/>
      <c r="J86" s="5">
        <f t="shared" si="11"/>
        <v>16.700000000000045</v>
      </c>
      <c r="K86" s="8" t="b">
        <f t="shared" si="12"/>
        <v>1</v>
      </c>
    </row>
    <row r="87" spans="1:11">
      <c r="A87" s="5">
        <v>204</v>
      </c>
      <c r="B87" s="6">
        <v>44009</v>
      </c>
      <c r="C87" s="7">
        <v>0.7</v>
      </c>
      <c r="D87" s="5">
        <v>8.2899999999999991</v>
      </c>
      <c r="E87" s="5">
        <v>1204.8</v>
      </c>
      <c r="F87" s="5">
        <v>1213.5999999999999</v>
      </c>
      <c r="G87" s="6">
        <v>44009</v>
      </c>
      <c r="H87" s="5"/>
      <c r="I87" s="5"/>
      <c r="J87" s="5">
        <f t="shared" si="11"/>
        <v>8.7999999999999545</v>
      </c>
      <c r="K87" s="8" t="b">
        <f t="shared" si="12"/>
        <v>1</v>
      </c>
    </row>
    <row r="88" spans="1:11">
      <c r="A88" s="5">
        <v>204</v>
      </c>
      <c r="B88" s="6">
        <v>44011</v>
      </c>
      <c r="C88" s="7">
        <v>0.7</v>
      </c>
      <c r="D88" s="5">
        <v>8.2899999999999991</v>
      </c>
      <c r="E88" s="5">
        <v>1213.5999999999999</v>
      </c>
      <c r="F88" s="5">
        <v>1230.8</v>
      </c>
      <c r="G88" s="6">
        <v>44011</v>
      </c>
      <c r="H88" s="5"/>
      <c r="I88" s="5"/>
      <c r="J88" s="5">
        <f t="shared" si="11"/>
        <v>17.200000000000045</v>
      </c>
      <c r="K88" s="8" t="b">
        <f t="shared" si="12"/>
        <v>1</v>
      </c>
    </row>
    <row r="89" spans="1:11">
      <c r="A89" s="5">
        <v>204</v>
      </c>
      <c r="B89" s="6">
        <v>44014</v>
      </c>
      <c r="C89" s="7">
        <v>0.7</v>
      </c>
      <c r="D89" s="5">
        <v>8.2899999999999991</v>
      </c>
      <c r="E89" s="5">
        <v>1230.8</v>
      </c>
      <c r="F89" s="5">
        <v>1247.5999999999999</v>
      </c>
      <c r="G89" s="6">
        <v>44014</v>
      </c>
      <c r="H89" s="5"/>
      <c r="I89" s="5"/>
      <c r="J89" s="5">
        <f>F89-E89</f>
        <v>16.799999999999955</v>
      </c>
      <c r="K89" s="8" t="b">
        <f>F89=E90</f>
        <v>1</v>
      </c>
    </row>
    <row r="90" spans="1:11">
      <c r="A90" s="5">
        <v>204</v>
      </c>
      <c r="B90" s="6">
        <v>44016</v>
      </c>
      <c r="C90" s="7">
        <v>0.7</v>
      </c>
      <c r="D90" s="5">
        <v>8.2899999999999991</v>
      </c>
      <c r="E90" s="5">
        <v>1247.5999999999999</v>
      </c>
      <c r="F90" s="5">
        <v>1264.3</v>
      </c>
      <c r="G90" s="6">
        <v>44016</v>
      </c>
      <c r="H90" s="5"/>
      <c r="I90" s="5"/>
      <c r="J90" s="5">
        <f>F90-E90</f>
        <v>16.700000000000045</v>
      </c>
      <c r="K90" s="8" t="b">
        <f>F90=E91</f>
        <v>1</v>
      </c>
    </row>
    <row r="91" spans="1:11">
      <c r="A91" s="5">
        <v>204</v>
      </c>
      <c r="B91" s="6">
        <v>44020</v>
      </c>
      <c r="C91" s="7">
        <v>0.7</v>
      </c>
      <c r="D91" s="5">
        <v>8.2899999999999991</v>
      </c>
      <c r="E91" s="5">
        <v>1264.3</v>
      </c>
      <c r="F91" s="5">
        <v>1272.8</v>
      </c>
      <c r="G91" s="6">
        <v>44020</v>
      </c>
      <c r="H91" s="5"/>
      <c r="I91" s="5"/>
      <c r="J91" s="5">
        <f>F91-E91</f>
        <v>8.5</v>
      </c>
      <c r="K91" s="8" t="b">
        <f>F91=E92</f>
        <v>1</v>
      </c>
    </row>
    <row r="92" spans="1:11">
      <c r="A92" s="5">
        <v>204</v>
      </c>
      <c r="B92" s="6">
        <v>44021</v>
      </c>
      <c r="C92" s="7">
        <v>0.7</v>
      </c>
      <c r="D92" s="5">
        <v>8.2899999999999991</v>
      </c>
      <c r="E92" s="5">
        <v>1272.8</v>
      </c>
      <c r="F92" s="5">
        <v>1282</v>
      </c>
      <c r="G92" s="6">
        <v>44021</v>
      </c>
      <c r="H92" s="5"/>
      <c r="I92" s="5"/>
      <c r="J92" s="5">
        <f>F92-E92</f>
        <v>9.2000000000000455</v>
      </c>
      <c r="K92" s="8" t="b">
        <f>F92=E93</f>
        <v>1</v>
      </c>
    </row>
    <row r="93" spans="1:11">
      <c r="A93" s="5">
        <v>204</v>
      </c>
      <c r="B93" s="6">
        <v>44024</v>
      </c>
      <c r="C93" s="7">
        <v>0.7</v>
      </c>
      <c r="D93" s="5">
        <v>8.2899999999999991</v>
      </c>
      <c r="E93" s="5">
        <v>1282</v>
      </c>
      <c r="F93" s="5">
        <v>1299</v>
      </c>
      <c r="G93" s="6">
        <v>44024</v>
      </c>
      <c r="H93" s="5"/>
      <c r="I93" s="5"/>
      <c r="J93" s="5">
        <f>F93-E93</f>
        <v>17</v>
      </c>
      <c r="K93" s="8" t="b">
        <f>F93=E94</f>
        <v>1</v>
      </c>
    </row>
    <row r="94" spans="1:11">
      <c r="A94" s="5">
        <v>204</v>
      </c>
      <c r="B94" s="6">
        <v>44026</v>
      </c>
      <c r="C94" s="7">
        <v>0.7</v>
      </c>
      <c r="D94" s="5">
        <v>8.2899999999999991</v>
      </c>
      <c r="E94" s="5">
        <v>1299</v>
      </c>
      <c r="F94" s="5">
        <v>1308</v>
      </c>
      <c r="G94" s="6">
        <v>44026</v>
      </c>
      <c r="H94" s="5"/>
      <c r="I94" s="5"/>
      <c r="J94" s="5">
        <f t="shared" ref="J94:J99" si="13">F94-E94</f>
        <v>9</v>
      </c>
      <c r="K94" s="8" t="b">
        <f t="shared" ref="K94:K99" si="14">F94=E95</f>
        <v>0</v>
      </c>
    </row>
    <row r="95" spans="1:11">
      <c r="A95" s="5">
        <v>204</v>
      </c>
      <c r="B95" s="6">
        <v>44027</v>
      </c>
      <c r="C95" s="7">
        <v>0.6</v>
      </c>
      <c r="D95" s="5">
        <v>9.67</v>
      </c>
      <c r="E95" s="5">
        <v>1208</v>
      </c>
      <c r="F95" s="5">
        <v>1318</v>
      </c>
      <c r="G95" s="6">
        <v>44027</v>
      </c>
      <c r="H95" s="5"/>
      <c r="I95" s="5"/>
      <c r="J95" s="5">
        <f t="shared" si="13"/>
        <v>110</v>
      </c>
      <c r="K95" s="8" t="b">
        <f t="shared" si="14"/>
        <v>1</v>
      </c>
    </row>
    <row r="96" spans="1:11">
      <c r="A96" s="5">
        <v>204</v>
      </c>
      <c r="B96" s="6">
        <v>44029</v>
      </c>
      <c r="C96" s="7">
        <v>0.7</v>
      </c>
      <c r="D96" s="5">
        <v>8.2899999999999991</v>
      </c>
      <c r="E96" s="5">
        <v>1318</v>
      </c>
      <c r="F96" s="5">
        <v>1326</v>
      </c>
      <c r="G96" s="6">
        <v>44029</v>
      </c>
      <c r="H96" s="5"/>
      <c r="I96" s="5"/>
      <c r="J96" s="5">
        <f t="shared" si="13"/>
        <v>8</v>
      </c>
      <c r="K96" s="8" t="b">
        <f t="shared" si="14"/>
        <v>1</v>
      </c>
    </row>
    <row r="97" spans="1:11">
      <c r="A97" s="5">
        <v>204</v>
      </c>
      <c r="B97" s="6">
        <v>44032</v>
      </c>
      <c r="C97" s="7">
        <v>0.7</v>
      </c>
      <c r="D97" s="5">
        <v>8.2899999999999991</v>
      </c>
      <c r="E97" s="5">
        <v>1326</v>
      </c>
      <c r="F97" s="5">
        <v>1343</v>
      </c>
      <c r="G97" s="6">
        <v>44032</v>
      </c>
      <c r="H97" s="5"/>
      <c r="I97" s="5"/>
      <c r="J97" s="5">
        <f t="shared" si="13"/>
        <v>17</v>
      </c>
      <c r="K97" s="8" t="b">
        <f t="shared" si="14"/>
        <v>1</v>
      </c>
    </row>
    <row r="98" spans="1:11">
      <c r="A98" s="5">
        <v>204</v>
      </c>
      <c r="B98" s="6">
        <v>44035</v>
      </c>
      <c r="C98" s="7">
        <v>0.7</v>
      </c>
      <c r="D98" s="5">
        <v>8.2899999999999991</v>
      </c>
      <c r="E98" s="5">
        <v>1343</v>
      </c>
      <c r="F98" s="5">
        <v>1353</v>
      </c>
      <c r="G98" s="6">
        <v>44035</v>
      </c>
      <c r="H98" s="5"/>
      <c r="I98" s="5"/>
      <c r="J98" s="5">
        <f t="shared" si="13"/>
        <v>10</v>
      </c>
      <c r="K98" s="8" t="b">
        <f t="shared" si="14"/>
        <v>1</v>
      </c>
    </row>
    <row r="99" spans="1:11">
      <c r="A99" s="5">
        <v>204</v>
      </c>
      <c r="B99" s="6">
        <v>44038</v>
      </c>
      <c r="C99" s="7">
        <v>0.7</v>
      </c>
      <c r="D99" s="5">
        <v>8.2899999999999991</v>
      </c>
      <c r="E99" s="5">
        <v>1353</v>
      </c>
      <c r="F99" s="5">
        <v>1362</v>
      </c>
      <c r="G99" s="6">
        <v>44038</v>
      </c>
      <c r="H99" s="5"/>
      <c r="I99" s="5"/>
      <c r="J99" s="5">
        <f t="shared" si="13"/>
        <v>9</v>
      </c>
      <c r="K99" s="8" t="b">
        <f t="shared" si="14"/>
        <v>1</v>
      </c>
    </row>
    <row r="100" spans="1:11">
      <c r="A100" s="5">
        <v>204</v>
      </c>
      <c r="B100" s="6">
        <v>44039</v>
      </c>
      <c r="C100" s="7">
        <v>0.6</v>
      </c>
      <c r="D100" s="5">
        <v>9.67</v>
      </c>
      <c r="E100" s="5">
        <v>1362</v>
      </c>
      <c r="F100" s="5">
        <v>1371</v>
      </c>
      <c r="G100" s="6">
        <v>44039</v>
      </c>
      <c r="H100" s="5"/>
      <c r="I100" s="5"/>
      <c r="J100" s="5">
        <f t="shared" ref="J100:J105" si="15">F100-E100</f>
        <v>9</v>
      </c>
      <c r="K100" s="8" t="b">
        <f t="shared" ref="K100:K105" si="16">F100=E101</f>
        <v>1</v>
      </c>
    </row>
    <row r="101" spans="1:11">
      <c r="A101" s="5">
        <v>204</v>
      </c>
      <c r="B101" s="6">
        <v>44041</v>
      </c>
      <c r="C101" s="7">
        <v>0.7</v>
      </c>
      <c r="D101" s="5">
        <v>8.2899999999999991</v>
      </c>
      <c r="E101" s="5">
        <v>1371</v>
      </c>
      <c r="F101" s="5">
        <v>1380</v>
      </c>
      <c r="G101" s="6">
        <v>44041</v>
      </c>
      <c r="H101" s="5"/>
      <c r="I101" s="5"/>
      <c r="J101" s="5">
        <f t="shared" si="15"/>
        <v>9</v>
      </c>
      <c r="K101" s="8" t="b">
        <f t="shared" si="16"/>
        <v>1</v>
      </c>
    </row>
    <row r="102" spans="1:11">
      <c r="A102" s="5">
        <v>204</v>
      </c>
      <c r="B102" s="6">
        <v>44045</v>
      </c>
      <c r="C102" s="7">
        <v>0.7</v>
      </c>
      <c r="D102" s="5">
        <v>8.2899999999999991</v>
      </c>
      <c r="E102" s="5">
        <v>1380</v>
      </c>
      <c r="F102" s="5">
        <v>1389</v>
      </c>
      <c r="G102" s="6">
        <v>44045</v>
      </c>
      <c r="H102" s="5"/>
      <c r="I102" s="5"/>
      <c r="J102" s="5">
        <f t="shared" si="15"/>
        <v>9</v>
      </c>
      <c r="K102" s="8" t="b">
        <f t="shared" si="16"/>
        <v>1</v>
      </c>
    </row>
    <row r="103" spans="1:11">
      <c r="A103" s="5">
        <v>204</v>
      </c>
      <c r="B103" s="6">
        <v>44046</v>
      </c>
      <c r="C103" s="7">
        <v>0.7</v>
      </c>
      <c r="D103" s="5">
        <v>8.2899999999999991</v>
      </c>
      <c r="E103" s="5">
        <v>1389</v>
      </c>
      <c r="F103" s="5">
        <v>1399</v>
      </c>
      <c r="G103" s="6">
        <v>44046</v>
      </c>
      <c r="H103" s="5"/>
      <c r="I103" s="5"/>
      <c r="J103" s="5">
        <f t="shared" si="15"/>
        <v>10</v>
      </c>
      <c r="K103" s="8" t="b">
        <f t="shared" si="16"/>
        <v>1</v>
      </c>
    </row>
    <row r="104" spans="1:11">
      <c r="A104" s="5">
        <v>204</v>
      </c>
      <c r="B104" s="6">
        <v>44049</v>
      </c>
      <c r="C104" s="7">
        <v>0.7</v>
      </c>
      <c r="D104" s="5">
        <v>8.2899999999999991</v>
      </c>
      <c r="E104" s="5">
        <v>1399</v>
      </c>
      <c r="F104" s="5">
        <v>1408</v>
      </c>
      <c r="G104" s="6">
        <v>44049</v>
      </c>
      <c r="H104" s="5"/>
      <c r="I104" s="5"/>
      <c r="J104" s="5">
        <f t="shared" si="15"/>
        <v>9</v>
      </c>
      <c r="K104" s="8" t="b">
        <f t="shared" si="16"/>
        <v>1</v>
      </c>
    </row>
    <row r="105" spans="1:11">
      <c r="A105" s="5">
        <v>204</v>
      </c>
      <c r="B105" s="6">
        <v>44052</v>
      </c>
      <c r="C105" s="7">
        <v>0.6</v>
      </c>
      <c r="D105" s="5">
        <v>9.67</v>
      </c>
      <c r="E105" s="5">
        <v>1408</v>
      </c>
      <c r="F105" s="5">
        <v>1418</v>
      </c>
      <c r="G105" s="6">
        <v>44052</v>
      </c>
      <c r="H105" s="5"/>
      <c r="I105" s="5"/>
      <c r="J105" s="5">
        <f t="shared" si="15"/>
        <v>10</v>
      </c>
      <c r="K105" s="8" t="b">
        <f t="shared" si="16"/>
        <v>1</v>
      </c>
    </row>
    <row r="106" spans="1:11">
      <c r="A106" s="5">
        <v>204</v>
      </c>
      <c r="B106" s="6">
        <v>44106</v>
      </c>
      <c r="C106" s="7">
        <v>0.4</v>
      </c>
      <c r="D106" s="5">
        <v>14.5</v>
      </c>
      <c r="E106" s="5">
        <v>1418</v>
      </c>
      <c r="F106" s="5">
        <v>1447</v>
      </c>
      <c r="G106" s="6">
        <v>44106</v>
      </c>
      <c r="H106" s="5"/>
      <c r="I106" s="5"/>
      <c r="J106" s="5">
        <f>F106-E106</f>
        <v>29</v>
      </c>
      <c r="K106" s="8" t="b">
        <f>F106=E107</f>
        <v>1</v>
      </c>
    </row>
    <row r="107" spans="1:11">
      <c r="A107" s="5">
        <v>204</v>
      </c>
      <c r="B107" s="6">
        <v>44107</v>
      </c>
      <c r="C107" s="7">
        <v>0.4</v>
      </c>
      <c r="D107" s="5">
        <v>14.5</v>
      </c>
      <c r="E107" s="5">
        <v>1447</v>
      </c>
      <c r="F107" s="5">
        <v>1462</v>
      </c>
      <c r="G107" s="6">
        <v>44107</v>
      </c>
      <c r="H107" s="5"/>
      <c r="I107" s="5"/>
      <c r="J107" s="5">
        <f>F107-E107</f>
        <v>15</v>
      </c>
      <c r="K107" s="8" t="b">
        <f>F107=E108</f>
        <v>1</v>
      </c>
    </row>
    <row r="108" spans="1:11">
      <c r="A108" s="5">
        <v>204</v>
      </c>
      <c r="B108" s="6">
        <v>44108</v>
      </c>
      <c r="C108" s="7">
        <v>0.4</v>
      </c>
      <c r="D108" s="5">
        <v>14.5</v>
      </c>
      <c r="E108" s="5">
        <v>1462</v>
      </c>
      <c r="F108" s="5">
        <v>1476</v>
      </c>
      <c r="G108" s="6">
        <v>44108</v>
      </c>
      <c r="H108" s="5"/>
      <c r="I108" s="5"/>
      <c r="J108" s="5">
        <f>F108-E108</f>
        <v>14</v>
      </c>
      <c r="K108" s="8" t="b">
        <f>F108=E109</f>
        <v>1</v>
      </c>
    </row>
    <row r="109" spans="1:11">
      <c r="A109" s="5">
        <v>204</v>
      </c>
      <c r="B109" s="6">
        <v>44132</v>
      </c>
      <c r="C109" s="7">
        <v>0.4</v>
      </c>
      <c r="D109" s="5">
        <v>14.5</v>
      </c>
      <c r="E109" s="5">
        <v>1476</v>
      </c>
      <c r="F109" s="5">
        <v>1491</v>
      </c>
      <c r="G109" s="6">
        <v>44132</v>
      </c>
      <c r="H109" s="5"/>
      <c r="I109" s="5"/>
      <c r="J109" s="5">
        <f>F109-E109</f>
        <v>15</v>
      </c>
      <c r="K109" s="8" t="b">
        <f>F109=E110</f>
        <v>0</v>
      </c>
    </row>
    <row r="110" spans="1:11">
      <c r="A110" s="5">
        <v>204</v>
      </c>
      <c r="B110" s="6">
        <v>44198</v>
      </c>
      <c r="C110" s="7">
        <v>0.6</v>
      </c>
      <c r="D110" s="5">
        <v>9.67</v>
      </c>
      <c r="E110" s="5">
        <v>122.4</v>
      </c>
      <c r="F110" s="5">
        <v>141.9</v>
      </c>
      <c r="G110" s="6">
        <v>44198</v>
      </c>
      <c r="H110" s="5"/>
      <c r="I110" s="5"/>
      <c r="J110" s="5">
        <f t="shared" ref="J110:J124" si="17">F110-E110</f>
        <v>19.5</v>
      </c>
      <c r="K110" s="8" t="b">
        <f t="shared" ref="K110:K123" si="18">F110=E111</f>
        <v>1</v>
      </c>
    </row>
    <row r="111" spans="1:11">
      <c r="A111" s="5">
        <v>204</v>
      </c>
      <c r="B111" s="6">
        <v>44200</v>
      </c>
      <c r="C111" s="7">
        <v>0.6</v>
      </c>
      <c r="D111" s="5">
        <v>9.67</v>
      </c>
      <c r="E111" s="5">
        <v>141.9</v>
      </c>
      <c r="F111" s="5">
        <v>161.30000000000001</v>
      </c>
      <c r="G111" s="6">
        <v>44200</v>
      </c>
      <c r="H111" s="5"/>
      <c r="I111" s="5"/>
      <c r="J111" s="5">
        <f t="shared" si="17"/>
        <v>19.400000000000006</v>
      </c>
      <c r="K111" s="8" t="b">
        <f t="shared" si="18"/>
        <v>0</v>
      </c>
    </row>
    <row r="112" spans="1:11">
      <c r="A112" s="5">
        <v>204</v>
      </c>
      <c r="B112" s="6">
        <v>44204</v>
      </c>
      <c r="C112" s="7">
        <v>0.75</v>
      </c>
      <c r="D112" s="5">
        <v>7.73</v>
      </c>
      <c r="E112" s="5">
        <v>181.2</v>
      </c>
      <c r="F112" s="5">
        <v>196.9</v>
      </c>
      <c r="G112" s="6">
        <v>44204</v>
      </c>
      <c r="H112" s="5"/>
      <c r="I112" s="5"/>
      <c r="J112" s="5">
        <f t="shared" si="17"/>
        <v>15.700000000000017</v>
      </c>
      <c r="K112" s="8" t="b">
        <f t="shared" si="18"/>
        <v>0</v>
      </c>
    </row>
    <row r="113" spans="1:11">
      <c r="A113" s="5">
        <v>204</v>
      </c>
      <c r="B113" s="6">
        <v>44208</v>
      </c>
      <c r="C113" s="7">
        <v>0.75</v>
      </c>
      <c r="D113" s="5">
        <v>7.73</v>
      </c>
      <c r="E113" s="5">
        <v>204.6</v>
      </c>
      <c r="F113" s="5">
        <v>210.6</v>
      </c>
      <c r="G113" s="6">
        <v>44208</v>
      </c>
      <c r="H113" s="5"/>
      <c r="I113" s="5"/>
      <c r="J113" s="5">
        <f t="shared" si="17"/>
        <v>6</v>
      </c>
      <c r="K113" s="8" t="b">
        <f t="shared" si="18"/>
        <v>0</v>
      </c>
    </row>
    <row r="114" spans="1:11">
      <c r="A114" s="5">
        <v>204</v>
      </c>
      <c r="B114" s="6">
        <v>44216</v>
      </c>
      <c r="C114" s="7">
        <v>1</v>
      </c>
      <c r="D114" s="5">
        <v>5.8</v>
      </c>
      <c r="E114" s="5">
        <v>211</v>
      </c>
      <c r="F114" s="5">
        <v>225</v>
      </c>
      <c r="G114" s="6">
        <v>44216</v>
      </c>
      <c r="H114" s="5"/>
      <c r="I114" s="5"/>
      <c r="J114" s="5">
        <f t="shared" si="17"/>
        <v>14</v>
      </c>
      <c r="K114" s="8" t="b">
        <f t="shared" si="18"/>
        <v>1</v>
      </c>
    </row>
    <row r="115" spans="1:11">
      <c r="A115" s="5">
        <v>204</v>
      </c>
      <c r="B115" s="6">
        <v>44217</v>
      </c>
      <c r="C115" s="7">
        <v>0.7</v>
      </c>
      <c r="D115" s="5">
        <v>8.2899999999999991</v>
      </c>
      <c r="E115" s="5">
        <v>225</v>
      </c>
      <c r="F115" s="5">
        <v>242.8</v>
      </c>
      <c r="G115" s="6">
        <v>44217</v>
      </c>
      <c r="H115" s="5"/>
      <c r="I115" s="5"/>
      <c r="J115" s="5">
        <f t="shared" si="17"/>
        <v>17.800000000000011</v>
      </c>
      <c r="K115" s="8" t="b">
        <f t="shared" si="18"/>
        <v>0</v>
      </c>
    </row>
    <row r="116" spans="1:11">
      <c r="A116" s="5">
        <v>204</v>
      </c>
      <c r="B116" s="6">
        <v>44219</v>
      </c>
      <c r="C116" s="7">
        <v>0.7</v>
      </c>
      <c r="D116" s="5">
        <v>8.2899999999999991</v>
      </c>
      <c r="E116" s="5">
        <v>242</v>
      </c>
      <c r="F116" s="5">
        <v>259</v>
      </c>
      <c r="G116" s="6">
        <v>44219</v>
      </c>
      <c r="H116" s="5"/>
      <c r="I116" s="5"/>
      <c r="J116" s="5">
        <f t="shared" si="17"/>
        <v>17</v>
      </c>
      <c r="K116" s="8" t="b">
        <f t="shared" si="18"/>
        <v>0</v>
      </c>
    </row>
    <row r="117" spans="1:11">
      <c r="A117" s="5">
        <v>204</v>
      </c>
      <c r="B117" s="6">
        <v>44221</v>
      </c>
      <c r="C117" s="7">
        <v>0.7</v>
      </c>
      <c r="D117" s="5">
        <v>8.2899999999999991</v>
      </c>
      <c r="E117" s="5">
        <v>259.7</v>
      </c>
      <c r="F117" s="5">
        <v>276.60000000000002</v>
      </c>
      <c r="G117" s="6">
        <v>44221</v>
      </c>
      <c r="H117" s="5"/>
      <c r="I117" s="5"/>
      <c r="J117" s="5">
        <f t="shared" si="17"/>
        <v>16.900000000000034</v>
      </c>
      <c r="K117" s="8" t="b">
        <f t="shared" si="18"/>
        <v>0</v>
      </c>
    </row>
    <row r="118" spans="1:11">
      <c r="A118" s="5">
        <v>204</v>
      </c>
      <c r="B118" s="6">
        <v>44223</v>
      </c>
      <c r="C118" s="7">
        <v>0.7</v>
      </c>
      <c r="D118" s="5">
        <v>8.2899999999999991</v>
      </c>
      <c r="E118" s="5">
        <v>276.7</v>
      </c>
      <c r="F118" s="5">
        <v>293.8</v>
      </c>
      <c r="G118" s="6">
        <v>44223</v>
      </c>
      <c r="H118" s="5"/>
      <c r="I118" s="5"/>
      <c r="J118" s="5">
        <f t="shared" si="17"/>
        <v>17.100000000000023</v>
      </c>
      <c r="K118" s="8" t="b">
        <f t="shared" si="18"/>
        <v>1</v>
      </c>
    </row>
    <row r="119" spans="1:11">
      <c r="A119" s="5">
        <v>204</v>
      </c>
      <c r="B119" s="6">
        <v>44226</v>
      </c>
      <c r="C119" s="7">
        <v>0.7</v>
      </c>
      <c r="D119" s="5">
        <v>8.2899999999999991</v>
      </c>
      <c r="E119" s="5">
        <v>293.8</v>
      </c>
      <c r="F119" s="5">
        <v>309.10000000000002</v>
      </c>
      <c r="G119" s="6">
        <v>44226</v>
      </c>
      <c r="H119" s="5"/>
      <c r="I119" s="5"/>
      <c r="J119" s="5">
        <f t="shared" si="17"/>
        <v>15.300000000000011</v>
      </c>
      <c r="K119" s="8" t="b">
        <f t="shared" si="18"/>
        <v>1</v>
      </c>
    </row>
    <row r="120" spans="1:11">
      <c r="A120" s="5">
        <v>204</v>
      </c>
      <c r="B120" s="6">
        <v>44228</v>
      </c>
      <c r="C120" s="7">
        <v>0.7</v>
      </c>
      <c r="D120" s="5">
        <v>8.2899999999999991</v>
      </c>
      <c r="E120" s="5">
        <v>309.10000000000002</v>
      </c>
      <c r="F120" s="5">
        <v>322.8</v>
      </c>
      <c r="G120" s="6">
        <v>44237</v>
      </c>
      <c r="H120" s="5"/>
      <c r="I120" s="5"/>
      <c r="J120" s="5">
        <f t="shared" si="17"/>
        <v>13.699999999999989</v>
      </c>
      <c r="K120" s="8" t="b">
        <f t="shared" si="18"/>
        <v>1</v>
      </c>
    </row>
    <row r="121" spans="1:11">
      <c r="A121" s="5">
        <v>204</v>
      </c>
      <c r="B121" s="6">
        <v>44230</v>
      </c>
      <c r="C121" s="7">
        <v>0.7</v>
      </c>
      <c r="D121" s="5">
        <v>8.2899999999999991</v>
      </c>
      <c r="E121" s="5">
        <v>322.8</v>
      </c>
      <c r="F121" s="5">
        <v>337.6</v>
      </c>
      <c r="G121" s="6">
        <v>44230</v>
      </c>
      <c r="H121" s="5"/>
      <c r="I121" s="5"/>
      <c r="J121" s="5">
        <f t="shared" si="17"/>
        <v>14.800000000000011</v>
      </c>
      <c r="K121" s="8" t="b">
        <f t="shared" si="18"/>
        <v>0</v>
      </c>
    </row>
    <row r="122" spans="1:11">
      <c r="A122" s="5">
        <v>204</v>
      </c>
      <c r="B122" s="6">
        <v>44245</v>
      </c>
      <c r="C122" s="7">
        <v>1</v>
      </c>
      <c r="D122" s="5">
        <v>5.8</v>
      </c>
      <c r="E122" s="5">
        <v>364.2</v>
      </c>
      <c r="F122" s="5">
        <v>376.2</v>
      </c>
      <c r="G122" s="6">
        <v>44245</v>
      </c>
      <c r="H122" s="5"/>
      <c r="I122" s="5"/>
      <c r="J122" s="5">
        <f t="shared" si="17"/>
        <v>12</v>
      </c>
      <c r="K122" s="8" t="b">
        <f t="shared" si="18"/>
        <v>1</v>
      </c>
    </row>
    <row r="123" spans="1:11">
      <c r="A123" s="5">
        <v>204</v>
      </c>
      <c r="B123" s="6">
        <v>44253</v>
      </c>
      <c r="C123" s="7">
        <v>1</v>
      </c>
      <c r="D123" s="5">
        <v>5.8</v>
      </c>
      <c r="E123" s="5">
        <v>376.2</v>
      </c>
      <c r="F123" s="5">
        <v>388.3</v>
      </c>
      <c r="G123" s="6">
        <v>44253</v>
      </c>
      <c r="H123" s="5"/>
      <c r="I123" s="5"/>
      <c r="J123" s="5">
        <f t="shared" si="17"/>
        <v>12.100000000000023</v>
      </c>
      <c r="K123" s="8" t="b">
        <f t="shared" si="18"/>
        <v>0</v>
      </c>
    </row>
    <row r="124" spans="1:11">
      <c r="A124" s="5">
        <v>204</v>
      </c>
      <c r="B124" s="6">
        <v>44260</v>
      </c>
      <c r="C124" s="7">
        <v>0.7</v>
      </c>
      <c r="D124" s="5">
        <v>8.2899999999999991</v>
      </c>
      <c r="E124" s="5">
        <v>388</v>
      </c>
      <c r="F124" s="5">
        <v>404.8</v>
      </c>
      <c r="G124" s="6">
        <v>44260</v>
      </c>
      <c r="H124" s="5"/>
      <c r="I124" s="5"/>
      <c r="J124" s="5">
        <f t="shared" si="17"/>
        <v>16.800000000000011</v>
      </c>
      <c r="K124" s="8" t="b">
        <f>F124=E128</f>
        <v>0</v>
      </c>
    </row>
    <row r="125" spans="1:11">
      <c r="A125" s="5">
        <v>204</v>
      </c>
      <c r="B125" s="6">
        <v>44263</v>
      </c>
      <c r="C125" s="7">
        <v>0.7</v>
      </c>
      <c r="D125" s="5">
        <v>8.2899999999999991</v>
      </c>
      <c r="E125" s="5">
        <v>404.8</v>
      </c>
      <c r="F125" s="5">
        <v>413.3</v>
      </c>
      <c r="G125" s="6">
        <v>44263</v>
      </c>
      <c r="H125" s="5"/>
      <c r="I125" s="5"/>
      <c r="J125" s="5">
        <f t="shared" ref="J125:J132" si="19">F125-E125</f>
        <v>8.5</v>
      </c>
      <c r="K125" s="8" t="b">
        <f t="shared" ref="K125:K138" si="20">F125=E148</f>
        <v>0</v>
      </c>
    </row>
    <row r="126" spans="1:11">
      <c r="A126" s="5">
        <v>204</v>
      </c>
      <c r="B126" s="6">
        <v>44242</v>
      </c>
      <c r="C126" s="7">
        <v>0.7</v>
      </c>
      <c r="D126" s="5">
        <v>8.2899999999999991</v>
      </c>
      <c r="E126" s="5">
        <v>413.7</v>
      </c>
      <c r="F126" s="5">
        <v>429</v>
      </c>
      <c r="G126" s="6">
        <v>44270</v>
      </c>
      <c r="H126" s="5"/>
      <c r="I126" s="5"/>
      <c r="J126" s="5">
        <f t="shared" si="19"/>
        <v>15.300000000000011</v>
      </c>
      <c r="K126" s="8" t="b">
        <f t="shared" si="20"/>
        <v>0</v>
      </c>
    </row>
    <row r="127" spans="1:11">
      <c r="A127" s="5">
        <v>204</v>
      </c>
      <c r="B127" s="6">
        <v>44272</v>
      </c>
      <c r="C127" s="7">
        <v>0.7</v>
      </c>
      <c r="D127" s="5">
        <v>8.2899999999999991</v>
      </c>
      <c r="E127" s="5">
        <v>429</v>
      </c>
      <c r="F127" s="5">
        <v>445.1</v>
      </c>
      <c r="G127" s="6">
        <v>44272</v>
      </c>
      <c r="H127" s="5"/>
      <c r="I127" s="5"/>
      <c r="J127" s="5">
        <f t="shared" si="19"/>
        <v>16.100000000000023</v>
      </c>
      <c r="K127" s="8" t="b">
        <f t="shared" si="20"/>
        <v>0</v>
      </c>
    </row>
    <row r="128" spans="1:11">
      <c r="A128" s="5">
        <v>204</v>
      </c>
      <c r="B128" s="6">
        <v>44274</v>
      </c>
      <c r="C128" s="7">
        <v>0.7</v>
      </c>
      <c r="D128" s="5">
        <v>8.2899999999999991</v>
      </c>
      <c r="E128" s="5">
        <v>445.1</v>
      </c>
      <c r="F128" s="5">
        <v>461</v>
      </c>
      <c r="G128" s="6">
        <v>44274</v>
      </c>
      <c r="H128" s="5"/>
      <c r="I128" s="5"/>
      <c r="J128" s="5">
        <f t="shared" si="19"/>
        <v>15.899999999999977</v>
      </c>
      <c r="K128" s="8" t="b">
        <f t="shared" si="20"/>
        <v>0</v>
      </c>
    </row>
    <row r="129" spans="1:11">
      <c r="A129" s="5">
        <v>204</v>
      </c>
      <c r="B129" s="6">
        <v>44279</v>
      </c>
      <c r="C129" s="7">
        <v>0.7</v>
      </c>
      <c r="D129" s="5">
        <v>8.2899999999999991</v>
      </c>
      <c r="E129" s="5">
        <v>460.5</v>
      </c>
      <c r="F129" s="5">
        <v>477.6</v>
      </c>
      <c r="G129" s="6">
        <v>44279</v>
      </c>
      <c r="H129" s="5"/>
      <c r="I129" s="5"/>
      <c r="J129" s="5">
        <f t="shared" si="19"/>
        <v>17.100000000000023</v>
      </c>
      <c r="K129" s="8" t="b">
        <f t="shared" si="20"/>
        <v>0</v>
      </c>
    </row>
    <row r="130" spans="1:11">
      <c r="A130" s="5">
        <v>204</v>
      </c>
      <c r="B130" s="6">
        <v>44282</v>
      </c>
      <c r="C130" s="7">
        <v>0.7</v>
      </c>
      <c r="D130" s="5">
        <v>8.2899999999999991</v>
      </c>
      <c r="E130" s="5">
        <v>482.1</v>
      </c>
      <c r="F130" s="5">
        <v>498.7</v>
      </c>
      <c r="G130" s="6">
        <v>44282</v>
      </c>
      <c r="H130" s="5"/>
      <c r="I130" s="5"/>
      <c r="J130" s="5">
        <f t="shared" si="19"/>
        <v>16.599999999999966</v>
      </c>
      <c r="K130" s="8" t="b">
        <f t="shared" si="20"/>
        <v>0</v>
      </c>
    </row>
    <row r="131" spans="1:11">
      <c r="A131" s="5">
        <v>204</v>
      </c>
      <c r="B131" s="6">
        <v>44284</v>
      </c>
      <c r="C131" s="7">
        <v>0.7</v>
      </c>
      <c r="D131" s="5">
        <v>8.2899999999999991</v>
      </c>
      <c r="E131" s="5">
        <v>498.7</v>
      </c>
      <c r="F131" s="5">
        <v>516.1</v>
      </c>
      <c r="G131" s="6">
        <v>44284</v>
      </c>
      <c r="H131" s="5"/>
      <c r="I131" s="5"/>
      <c r="J131" s="5">
        <f t="shared" si="19"/>
        <v>17.400000000000034</v>
      </c>
      <c r="K131" s="8" t="b">
        <f t="shared" si="20"/>
        <v>0</v>
      </c>
    </row>
    <row r="132" spans="1:11">
      <c r="A132" s="5">
        <v>204</v>
      </c>
      <c r="B132" s="6">
        <v>44286</v>
      </c>
      <c r="C132" s="7">
        <v>0.7</v>
      </c>
      <c r="D132" s="5">
        <v>8.2899999999999991</v>
      </c>
      <c r="E132" s="5">
        <v>516.1</v>
      </c>
      <c r="F132" s="5">
        <v>536.5</v>
      </c>
      <c r="G132" s="6">
        <v>44286</v>
      </c>
      <c r="H132" s="5"/>
      <c r="I132" s="5"/>
      <c r="J132" s="5">
        <f t="shared" si="19"/>
        <v>20.399999999999977</v>
      </c>
      <c r="K132" s="8" t="b">
        <f t="shared" si="20"/>
        <v>0</v>
      </c>
    </row>
    <row r="133" spans="1:11">
      <c r="A133" s="5">
        <v>204</v>
      </c>
      <c r="B133" s="6">
        <v>44292</v>
      </c>
      <c r="C133" s="7">
        <v>0.7</v>
      </c>
      <c r="D133" s="5">
        <v>8.2899999999999991</v>
      </c>
      <c r="E133" s="5">
        <v>527</v>
      </c>
      <c r="F133" s="5">
        <v>544.1</v>
      </c>
      <c r="G133" s="6">
        <v>44292</v>
      </c>
      <c r="H133" s="5"/>
      <c r="I133" s="5"/>
      <c r="J133" s="5">
        <f t="shared" ref="J133:J138" si="21">F133-E133</f>
        <v>17.100000000000023</v>
      </c>
      <c r="K133" s="8" t="b">
        <f t="shared" si="20"/>
        <v>0</v>
      </c>
    </row>
    <row r="134" spans="1:11">
      <c r="A134" s="5">
        <v>204</v>
      </c>
      <c r="B134" s="6">
        <v>44294</v>
      </c>
      <c r="C134" s="7">
        <v>0.7</v>
      </c>
      <c r="D134" s="5">
        <v>8.2899999999999991</v>
      </c>
      <c r="E134" s="5">
        <v>544.1</v>
      </c>
      <c r="F134" s="5">
        <v>561.1</v>
      </c>
      <c r="G134" s="6">
        <v>44294</v>
      </c>
      <c r="H134" s="5"/>
      <c r="I134" s="5"/>
      <c r="J134" s="5">
        <f t="shared" si="21"/>
        <v>17</v>
      </c>
      <c r="K134" s="8" t="b">
        <f t="shared" si="20"/>
        <v>0</v>
      </c>
    </row>
    <row r="135" spans="1:11">
      <c r="A135" s="5">
        <v>204</v>
      </c>
      <c r="B135" s="6">
        <v>44296</v>
      </c>
      <c r="C135" s="7">
        <v>0.7</v>
      </c>
      <c r="D135" s="5">
        <v>8.2899999999999991</v>
      </c>
      <c r="E135" s="5">
        <v>561.1</v>
      </c>
      <c r="F135" s="5">
        <v>577.6</v>
      </c>
      <c r="G135" s="6">
        <v>44296</v>
      </c>
      <c r="H135" s="5"/>
      <c r="I135" s="5"/>
      <c r="J135" s="5">
        <f t="shared" si="21"/>
        <v>16.5</v>
      </c>
      <c r="K135" s="8" t="b">
        <f t="shared" si="20"/>
        <v>0</v>
      </c>
    </row>
    <row r="136" spans="1:11">
      <c r="A136" s="5">
        <v>204</v>
      </c>
      <c r="B136" s="6">
        <v>44298</v>
      </c>
      <c r="C136" s="7">
        <v>0.7</v>
      </c>
      <c r="D136" s="5">
        <v>8.2899999999999991</v>
      </c>
      <c r="E136" s="5">
        <v>577.6</v>
      </c>
      <c r="F136" s="5">
        <v>594.5</v>
      </c>
      <c r="G136" s="6">
        <v>44298</v>
      </c>
      <c r="H136" s="5"/>
      <c r="I136" s="5"/>
      <c r="J136" s="5">
        <f t="shared" si="21"/>
        <v>16.899999999999977</v>
      </c>
      <c r="K136" s="8" t="b">
        <f t="shared" si="20"/>
        <v>0</v>
      </c>
    </row>
    <row r="137" spans="1:11">
      <c r="A137" s="5">
        <v>204</v>
      </c>
      <c r="B137" s="6">
        <v>44301</v>
      </c>
      <c r="C137" s="7">
        <v>0.7</v>
      </c>
      <c r="D137" s="5">
        <v>8.2899999999999991</v>
      </c>
      <c r="E137" s="5">
        <v>594.5</v>
      </c>
      <c r="F137" s="5">
        <v>611.4</v>
      </c>
      <c r="G137" s="6">
        <v>44301</v>
      </c>
      <c r="H137" s="5"/>
      <c r="I137" s="5"/>
      <c r="J137" s="5">
        <f t="shared" si="21"/>
        <v>16.899999999999977</v>
      </c>
      <c r="K137" s="8" t="b">
        <f t="shared" si="20"/>
        <v>0</v>
      </c>
    </row>
    <row r="138" spans="1:11">
      <c r="A138" s="5">
        <v>204</v>
      </c>
      <c r="B138" s="6">
        <v>44311</v>
      </c>
      <c r="C138" s="7">
        <v>0.7</v>
      </c>
      <c r="D138" s="5">
        <v>8.2899999999999991</v>
      </c>
      <c r="E138" s="5">
        <v>611.4</v>
      </c>
      <c r="F138" s="5">
        <v>623</v>
      </c>
      <c r="G138" s="6">
        <v>44311</v>
      </c>
      <c r="H138" s="5"/>
      <c r="I138" s="5"/>
      <c r="J138" s="5">
        <f t="shared" si="21"/>
        <v>11.600000000000023</v>
      </c>
      <c r="K138" s="8" t="b">
        <f t="shared" si="20"/>
        <v>0</v>
      </c>
    </row>
    <row r="139" spans="1:11">
      <c r="A139" s="5">
        <v>204</v>
      </c>
      <c r="B139" s="6">
        <v>44317</v>
      </c>
      <c r="C139" s="7">
        <v>0.7</v>
      </c>
      <c r="D139" s="5">
        <v>8.2899999999999991</v>
      </c>
      <c r="E139" s="5">
        <v>628</v>
      </c>
      <c r="F139" s="5">
        <v>644.9</v>
      </c>
      <c r="G139" s="6">
        <v>44317</v>
      </c>
      <c r="H139" s="5"/>
      <c r="I139" s="5"/>
      <c r="J139" s="5">
        <f t="shared" ref="J139:J145" si="22">F139-E139</f>
        <v>16.899999999999977</v>
      </c>
      <c r="K139" s="8" t="b">
        <f t="shared" ref="K139:K145" si="23">F139=E162</f>
        <v>0</v>
      </c>
    </row>
    <row r="140" spans="1:11">
      <c r="A140" s="5">
        <v>204</v>
      </c>
      <c r="B140" s="6">
        <v>44319</v>
      </c>
      <c r="C140" s="7">
        <v>0.7</v>
      </c>
      <c r="D140" s="5">
        <v>8.2899999999999991</v>
      </c>
      <c r="E140" s="5">
        <v>644.70000000000005</v>
      </c>
      <c r="F140" s="5">
        <v>661.2</v>
      </c>
      <c r="G140" s="6">
        <v>44319</v>
      </c>
      <c r="H140" s="5"/>
      <c r="I140" s="5"/>
      <c r="J140" s="5">
        <f t="shared" si="22"/>
        <v>16.5</v>
      </c>
      <c r="K140" s="8" t="b">
        <f t="shared" si="23"/>
        <v>0</v>
      </c>
    </row>
    <row r="141" spans="1:11">
      <c r="A141" s="5">
        <v>204</v>
      </c>
      <c r="B141" s="6"/>
      <c r="C141" s="7"/>
      <c r="D141" s="5"/>
      <c r="E141" s="5"/>
      <c r="F141" s="5"/>
      <c r="G141" s="6"/>
      <c r="H141" s="5"/>
      <c r="I141" s="5"/>
      <c r="J141" s="5">
        <f t="shared" si="22"/>
        <v>0</v>
      </c>
      <c r="K141" s="8" t="b">
        <f t="shared" si="23"/>
        <v>1</v>
      </c>
    </row>
    <row r="142" spans="1:11">
      <c r="A142" s="5">
        <v>204</v>
      </c>
      <c r="B142" s="6"/>
      <c r="C142" s="7"/>
      <c r="D142" s="5"/>
      <c r="E142" s="5"/>
      <c r="F142" s="5"/>
      <c r="G142" s="6"/>
      <c r="H142" s="5"/>
      <c r="I142" s="5"/>
      <c r="J142" s="5">
        <f t="shared" si="22"/>
        <v>0</v>
      </c>
      <c r="K142" s="8" t="b">
        <f t="shared" si="23"/>
        <v>1</v>
      </c>
    </row>
    <row r="143" spans="1:11">
      <c r="A143" s="5">
        <v>204</v>
      </c>
      <c r="B143" s="6"/>
      <c r="C143" s="7"/>
      <c r="D143" s="5"/>
      <c r="E143" s="5"/>
      <c r="F143" s="5"/>
      <c r="G143" s="6"/>
      <c r="H143" s="5"/>
      <c r="I143" s="5"/>
      <c r="J143" s="5">
        <f t="shared" si="22"/>
        <v>0</v>
      </c>
      <c r="K143" s="8" t="b">
        <f t="shared" si="23"/>
        <v>1</v>
      </c>
    </row>
    <row r="144" spans="1:11">
      <c r="A144" s="5">
        <v>204</v>
      </c>
      <c r="B144" s="6"/>
      <c r="C144" s="7"/>
      <c r="D144" s="5"/>
      <c r="E144" s="5"/>
      <c r="F144" s="5"/>
      <c r="G144" s="6"/>
      <c r="H144" s="5"/>
      <c r="I144" s="5"/>
      <c r="J144" s="5">
        <f t="shared" si="22"/>
        <v>0</v>
      </c>
      <c r="K144" s="8" t="b">
        <f t="shared" si="23"/>
        <v>1</v>
      </c>
    </row>
    <row r="145" spans="1:11">
      <c r="A145" s="5">
        <v>204</v>
      </c>
      <c r="B145" s="6"/>
      <c r="C145" s="7"/>
      <c r="D145" s="5"/>
      <c r="E145" s="5"/>
      <c r="F145" s="5"/>
      <c r="G145" s="6"/>
      <c r="H145" s="5"/>
      <c r="I145" s="5"/>
      <c r="J145" s="5">
        <f t="shared" si="22"/>
        <v>0</v>
      </c>
      <c r="K145" s="8" t="b">
        <f t="shared" si="23"/>
        <v>1</v>
      </c>
    </row>
    <row r="146" spans="1:11">
      <c r="A146" s="5">
        <v>204</v>
      </c>
      <c r="B146" s="6"/>
      <c r="C146" s="7"/>
      <c r="D146" s="5"/>
      <c r="E146" s="5"/>
      <c r="F146" s="5"/>
      <c r="G146" s="6"/>
      <c r="H146" s="5"/>
      <c r="I146" s="5"/>
      <c r="J146" s="5">
        <f>F146-E146</f>
        <v>0</v>
      </c>
      <c r="K146" s="8" t="b">
        <f>F146=E156</f>
        <v>1</v>
      </c>
    </row>
    <row r="148" spans="1:11" ht="26.25">
      <c r="A148" s="144" t="s">
        <v>387</v>
      </c>
      <c r="B148" s="166"/>
      <c r="C148" s="166"/>
      <c r="D148" s="166"/>
      <c r="E148" s="166"/>
      <c r="F148" s="166"/>
      <c r="G148" s="166"/>
      <c r="H148" s="166"/>
      <c r="I148" s="166"/>
      <c r="J148" s="166"/>
      <c r="K148" s="167"/>
    </row>
    <row r="149" spans="1:11" ht="26.25">
      <c r="A149" s="144" t="s">
        <v>14</v>
      </c>
      <c r="B149" s="166"/>
      <c r="C149" s="166"/>
      <c r="D149" s="166"/>
      <c r="E149" s="166"/>
      <c r="F149" s="166"/>
      <c r="G149" s="166"/>
      <c r="H149" s="166"/>
      <c r="I149" s="166"/>
      <c r="J149" s="166"/>
      <c r="K149" s="167"/>
    </row>
    <row r="150" spans="1:11" ht="15.75" thickBot="1"/>
    <row r="151" spans="1:11" ht="15.75" thickBot="1">
      <c r="A151" s="132" t="s">
        <v>2</v>
      </c>
      <c r="B151" s="133"/>
      <c r="C151" s="133"/>
      <c r="D151" s="133"/>
      <c r="E151" s="133"/>
      <c r="F151" s="133"/>
      <c r="G151" s="133"/>
      <c r="H151" s="133"/>
      <c r="I151" s="133"/>
      <c r="J151" s="133"/>
      <c r="K151" s="134"/>
    </row>
    <row r="153" spans="1:11" ht="19.5" thickBot="1">
      <c r="A153" s="1" t="s">
        <v>3</v>
      </c>
      <c r="B153" s="1"/>
      <c r="C153" s="1"/>
      <c r="D153" s="1"/>
      <c r="E153" s="1"/>
      <c r="F153" s="1"/>
      <c r="G153" s="1"/>
      <c r="H153" s="1"/>
      <c r="I153" s="1"/>
    </row>
    <row r="154" spans="1:11" ht="30.75" thickBot="1">
      <c r="A154" s="2" t="s">
        <v>4</v>
      </c>
      <c r="B154" s="3" t="s">
        <v>5</v>
      </c>
      <c r="C154" s="3" t="s">
        <v>6</v>
      </c>
      <c r="D154" s="3" t="s">
        <v>7</v>
      </c>
      <c r="E154" s="3" t="s">
        <v>8</v>
      </c>
      <c r="F154" s="3" t="s">
        <v>9</v>
      </c>
      <c r="G154" s="3" t="s">
        <v>10</v>
      </c>
      <c r="H154" s="3" t="s">
        <v>21</v>
      </c>
      <c r="I154" s="4" t="s">
        <v>22</v>
      </c>
      <c r="J154" s="4" t="s">
        <v>11</v>
      </c>
      <c r="K154" s="4" t="s">
        <v>12</v>
      </c>
    </row>
    <row r="155" spans="1:11">
      <c r="A155" s="5"/>
      <c r="B155" s="6"/>
      <c r="C155" s="7"/>
      <c r="D155" s="5"/>
      <c r="E155" s="5"/>
      <c r="F155" s="5"/>
      <c r="G155" s="6"/>
      <c r="H155" s="5"/>
      <c r="I155" s="5"/>
      <c r="J155" s="5">
        <f>F155-E155</f>
        <v>0</v>
      </c>
      <c r="K155" s="8" t="b">
        <f>F155=E156</f>
        <v>1</v>
      </c>
    </row>
    <row r="156" spans="1:11">
      <c r="A156" s="5"/>
      <c r="B156" s="6"/>
      <c r="C156" s="7"/>
      <c r="D156" s="5"/>
      <c r="E156" s="5"/>
      <c r="F156" s="5"/>
      <c r="G156" s="6"/>
      <c r="H156" s="5"/>
      <c r="I156" s="5"/>
      <c r="J156" s="5">
        <f>F156-E156</f>
        <v>0</v>
      </c>
      <c r="K156" s="8" t="b">
        <f>F156=E157</f>
        <v>1</v>
      </c>
    </row>
    <row r="157" spans="1:11">
      <c r="A157" s="5"/>
      <c r="B157" s="6"/>
      <c r="C157" s="7"/>
      <c r="D157" s="5"/>
      <c r="E157" s="5"/>
      <c r="F157" s="5"/>
      <c r="G157" s="6"/>
      <c r="H157" s="5"/>
      <c r="I157" s="5"/>
      <c r="J157" s="5">
        <f>F157-E157</f>
        <v>0</v>
      </c>
      <c r="K157" s="8" t="e">
        <f>F157=#REF!</f>
        <v>#REF!</v>
      </c>
    </row>
  </sheetData>
  <mergeCells count="9">
    <mergeCell ref="A148:K148"/>
    <mergeCell ref="A149:K149"/>
    <mergeCell ref="A151:K151"/>
    <mergeCell ref="A54:K54"/>
    <mergeCell ref="A1:K1"/>
    <mergeCell ref="A2:K2"/>
    <mergeCell ref="A4:K4"/>
    <mergeCell ref="A51:K51"/>
    <mergeCell ref="A52:K5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94EC-4DD0-485D-AF57-54A2FC6366D8}">
  <sheetPr codeName="Planilha35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6B12-3278-46F6-962D-68CF8F0BD15F}">
  <sheetPr codeName="Planilha36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38CE-F504-4887-9F6D-7EAFAAE0CDCA}">
  <sheetPr codeName="Planilha37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99D1-DAA0-4CAC-A5DF-993872F0383A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9DD9E5DADD2488533D5E1C2D2ACC8" ma:contentTypeVersion="8" ma:contentTypeDescription="Create a new document." ma:contentTypeScope="" ma:versionID="5b1b7b1982b4eda8eef261c59c83fbac">
  <xsd:schema xmlns:xsd="http://www.w3.org/2001/XMLSchema" xmlns:xs="http://www.w3.org/2001/XMLSchema" xmlns:p="http://schemas.microsoft.com/office/2006/metadata/properties" xmlns:ns3="229921f2-32a6-4f3a-a3c9-e4306872f18a" targetNamespace="http://schemas.microsoft.com/office/2006/metadata/properties" ma:root="true" ma:fieldsID="993aa030420cd065b7a9b04d4ebde608" ns3:_="">
    <xsd:import namespace="229921f2-32a6-4f3a-a3c9-e4306872f1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921f2-32a6-4f3a-a3c9-e4306872f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CF38B5-0DDD-4859-B53B-604322A3D013}"/>
</file>

<file path=customXml/itemProps2.xml><?xml version="1.0" encoding="utf-8"?>
<ds:datastoreItem xmlns:ds="http://schemas.openxmlformats.org/officeDocument/2006/customXml" ds:itemID="{5C4E65A4-2518-4BB6-A636-096FE130445E}"/>
</file>

<file path=customXml/itemProps3.xml><?xml version="1.0" encoding="utf-8"?>
<ds:datastoreItem xmlns:ds="http://schemas.openxmlformats.org/officeDocument/2006/customXml" ds:itemID="{64B27180-030F-4333-9857-61FB8BB22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Deymilla Souza</dc:creator>
  <cp:keywords/>
  <dc:description/>
  <cp:lastModifiedBy>Nadson Mateus Cotrim de Brito</cp:lastModifiedBy>
  <cp:revision/>
  <dcterms:created xsi:type="dcterms:W3CDTF">2019-11-14T17:38:07Z</dcterms:created>
  <dcterms:modified xsi:type="dcterms:W3CDTF">2025-12-04T19:54:20Z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0x0101005669DD9E5DADD2488533D5E1C2D2ACC8</vt:lpwstr>
  </property>
</Properties>
</file>