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Kalito/Indicadores/"/>
    </mc:Choice>
  </mc:AlternateContent>
  <xr:revisionPtr revIDLastSave="110" documentId="6_{360869D3-70BC-402F-93DF-9B0559C779A7}" xr6:coauthVersionLast="47" xr6:coauthVersionMax="47" xr10:uidLastSave="{B07BDCF2-0D26-408C-A2AB-ADBFDB716BDA}"/>
  <bookViews>
    <workbookView xWindow="-120" yWindow="-120" windowWidth="20730" windowHeight="11160" firstSheet="13" activeTab="17" xr2:uid="{BD5C5A8C-1367-44D9-856B-9E5869C29C53}"/>
  </bookViews>
  <sheets>
    <sheet name="21 02 2022" sheetId="1" r:id="rId1"/>
    <sheet name="28 02 2022" sheetId="4" r:id="rId2"/>
    <sheet name="07 03 2022" sheetId="5" r:id="rId3"/>
    <sheet name="14 03 2022" sheetId="6" r:id="rId4"/>
    <sheet name="21 03 2022" sheetId="7" r:id="rId5"/>
    <sheet name="28 03 2022" sheetId="8" r:id="rId6"/>
    <sheet name="04 04 2022" sheetId="9" r:id="rId7"/>
    <sheet name="11 04 2022" sheetId="10" r:id="rId8"/>
    <sheet name="18 04 2022" sheetId="11" r:id="rId9"/>
    <sheet name="25 04 2022" sheetId="12" r:id="rId10"/>
    <sheet name="02 05 2022" sheetId="13" r:id="rId11"/>
    <sheet name="09 05 2022" sheetId="14" r:id="rId12"/>
    <sheet name="16 05 2022" sheetId="15" r:id="rId13"/>
    <sheet name="23 05 2022 " sheetId="16" r:id="rId14"/>
    <sheet name="06 06 2022 " sheetId="17" r:id="rId15"/>
    <sheet name="13 06 2022  " sheetId="18" r:id="rId16"/>
    <sheet name="20 06 2022  " sheetId="19" r:id="rId17"/>
    <sheet name="27 06 2022  " sheetId="20" r:id="rId18"/>
    <sheet name="Acumulado" sheetId="3" r:id="rId19"/>
  </sheets>
  <definedNames>
    <definedName name="semestre01de2022" localSheetId="18">Acumulado!$A$2:$V$32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4" i="20" l="1"/>
  <c r="K13" i="20"/>
  <c r="K12" i="20"/>
  <c r="K11" i="20"/>
  <c r="K10" i="20"/>
  <c r="K9" i="20"/>
  <c r="K8" i="20"/>
  <c r="K7" i="20"/>
  <c r="K6" i="20"/>
  <c r="K5" i="20"/>
  <c r="B4" i="20"/>
  <c r="C3" i="20"/>
  <c r="K13" i="19"/>
  <c r="S11" i="3" s="1"/>
  <c r="K12" i="19"/>
  <c r="S10" i="3" s="1"/>
  <c r="K11" i="19"/>
  <c r="S9" i="3" s="1"/>
  <c r="K10" i="19"/>
  <c r="S8" i="3" s="1"/>
  <c r="K9" i="19"/>
  <c r="S7" i="3" s="1"/>
  <c r="K8" i="19"/>
  <c r="S6" i="3" s="1"/>
  <c r="K7" i="19"/>
  <c r="S5" i="3" s="1"/>
  <c r="K6" i="19"/>
  <c r="S4" i="3" s="1"/>
  <c r="K5" i="19"/>
  <c r="S3" i="3" s="1"/>
  <c r="B4" i="19"/>
  <c r="C3" i="19"/>
  <c r="K13" i="18"/>
  <c r="R11" i="3" s="1"/>
  <c r="K12" i="18"/>
  <c r="R10" i="3" s="1"/>
  <c r="K11" i="18"/>
  <c r="R9" i="3" s="1"/>
  <c r="K10" i="18"/>
  <c r="R8" i="3" s="1"/>
  <c r="K9" i="18"/>
  <c r="R7" i="3" s="1"/>
  <c r="K8" i="18"/>
  <c r="R6" i="3" s="1"/>
  <c r="K7" i="18"/>
  <c r="R5" i="3" s="1"/>
  <c r="K6" i="18"/>
  <c r="R4" i="3" s="1"/>
  <c r="K5" i="18"/>
  <c r="R3" i="3" s="1"/>
  <c r="B4" i="18"/>
  <c r="C3" i="18"/>
  <c r="K13" i="17"/>
  <c r="Q11" i="3" s="1"/>
  <c r="K12" i="17"/>
  <c r="Q10" i="3" s="1"/>
  <c r="K11" i="17"/>
  <c r="Q9" i="3" s="1"/>
  <c r="K10" i="17"/>
  <c r="Q8" i="3" s="1"/>
  <c r="K9" i="17"/>
  <c r="Q7" i="3" s="1"/>
  <c r="K8" i="17"/>
  <c r="Q6" i="3" s="1"/>
  <c r="K7" i="17"/>
  <c r="Q5" i="3" s="1"/>
  <c r="K6" i="17"/>
  <c r="Q4" i="3" s="1"/>
  <c r="K5" i="17"/>
  <c r="Q3" i="3" s="1"/>
  <c r="B4" i="17"/>
  <c r="C3" i="17"/>
  <c r="K13" i="16"/>
  <c r="O11" i="3" s="1"/>
  <c r="K12" i="16"/>
  <c r="O10" i="3" s="1"/>
  <c r="K11" i="16"/>
  <c r="O9" i="3" s="1"/>
  <c r="K10" i="16"/>
  <c r="O8" i="3" s="1"/>
  <c r="K9" i="16"/>
  <c r="O7" i="3" s="1"/>
  <c r="K8" i="16"/>
  <c r="O6" i="3" s="1"/>
  <c r="K7" i="16"/>
  <c r="O5" i="3" s="1"/>
  <c r="K6" i="16"/>
  <c r="O4" i="3" s="1"/>
  <c r="K5" i="16"/>
  <c r="O3" i="3" s="1"/>
  <c r="B4" i="16"/>
  <c r="C3" i="16"/>
  <c r="K13" i="15"/>
  <c r="N11" i="3" s="1"/>
  <c r="K12" i="15"/>
  <c r="N10" i="3" s="1"/>
  <c r="K11" i="15"/>
  <c r="N9" i="3" s="1"/>
  <c r="K10" i="15"/>
  <c r="N8" i="3" s="1"/>
  <c r="K9" i="15"/>
  <c r="N7" i="3" s="1"/>
  <c r="K8" i="15"/>
  <c r="N6" i="3" s="1"/>
  <c r="K7" i="15"/>
  <c r="N5" i="3" s="1"/>
  <c r="K6" i="15"/>
  <c r="N4" i="3" s="1"/>
  <c r="K5" i="15"/>
  <c r="N3" i="3" s="1"/>
  <c r="B4" i="15"/>
  <c r="C3" i="15"/>
  <c r="K13" i="14"/>
  <c r="M11" i="3" s="1"/>
  <c r="K12" i="14"/>
  <c r="M10" i="3" s="1"/>
  <c r="K11" i="14"/>
  <c r="M9" i="3" s="1"/>
  <c r="K10" i="14"/>
  <c r="M8" i="3" s="1"/>
  <c r="K9" i="14"/>
  <c r="M7" i="3" s="1"/>
  <c r="K8" i="14"/>
  <c r="M6" i="3" s="1"/>
  <c r="K7" i="14"/>
  <c r="M5" i="3" s="1"/>
  <c r="K6" i="14"/>
  <c r="M4" i="3" s="1"/>
  <c r="K5" i="14"/>
  <c r="M3" i="3" s="1"/>
  <c r="B4" i="14"/>
  <c r="C3" i="14"/>
  <c r="C4" i="14" s="1"/>
  <c r="K13" i="13"/>
  <c r="L11" i="3" s="1"/>
  <c r="K12" i="13"/>
  <c r="L10" i="3" s="1"/>
  <c r="K11" i="13"/>
  <c r="L9" i="3" s="1"/>
  <c r="K10" i="13"/>
  <c r="L8" i="3" s="1"/>
  <c r="K9" i="13"/>
  <c r="L7" i="3" s="1"/>
  <c r="K8" i="13"/>
  <c r="L6" i="3" s="1"/>
  <c r="K7" i="13"/>
  <c r="L5" i="3" s="1"/>
  <c r="K6" i="13"/>
  <c r="L4" i="3" s="1"/>
  <c r="K5" i="13"/>
  <c r="L3" i="3" s="1"/>
  <c r="B4" i="13"/>
  <c r="C3" i="13"/>
  <c r="C4" i="13" s="1"/>
  <c r="K13" i="12"/>
  <c r="K11" i="3" s="1"/>
  <c r="K6" i="12"/>
  <c r="K4" i="3" s="1"/>
  <c r="K7" i="12"/>
  <c r="K5" i="3" s="1"/>
  <c r="K8" i="12"/>
  <c r="K6" i="3" s="1"/>
  <c r="K9" i="12"/>
  <c r="K7" i="3" s="1"/>
  <c r="K10" i="12"/>
  <c r="K8" i="3" s="1"/>
  <c r="K11" i="12"/>
  <c r="K9" i="3" s="1"/>
  <c r="K12" i="12"/>
  <c r="K10" i="3" s="1"/>
  <c r="K5" i="12"/>
  <c r="K3" i="3" s="1"/>
  <c r="C4" i="20" l="1"/>
  <c r="D3" i="20"/>
  <c r="K15" i="20"/>
  <c r="L14" i="20" s="1"/>
  <c r="C4" i="19"/>
  <c r="D3" i="19"/>
  <c r="K14" i="19"/>
  <c r="L5" i="19"/>
  <c r="L6" i="19"/>
  <c r="L7" i="19"/>
  <c r="L8" i="19"/>
  <c r="L9" i="19"/>
  <c r="L10" i="19"/>
  <c r="L11" i="19"/>
  <c r="L12" i="19"/>
  <c r="L13" i="19"/>
  <c r="C4" i="18"/>
  <c r="D3" i="18"/>
  <c r="K14" i="18"/>
  <c r="L5" i="18"/>
  <c r="L6" i="18"/>
  <c r="L7" i="18"/>
  <c r="L8" i="18"/>
  <c r="L9" i="18"/>
  <c r="L10" i="18"/>
  <c r="L11" i="18"/>
  <c r="L12" i="18"/>
  <c r="L13" i="18"/>
  <c r="C4" i="17"/>
  <c r="D3" i="17"/>
  <c r="K14" i="17"/>
  <c r="L6" i="17" s="1"/>
  <c r="L5" i="17"/>
  <c r="L9" i="17"/>
  <c r="L13" i="17"/>
  <c r="C4" i="16"/>
  <c r="D3" i="16"/>
  <c r="K14" i="16"/>
  <c r="L5" i="16"/>
  <c r="L6" i="16"/>
  <c r="L7" i="16"/>
  <c r="L8" i="16"/>
  <c r="L9" i="16"/>
  <c r="L10" i="16"/>
  <c r="L11" i="16"/>
  <c r="L12" i="16"/>
  <c r="L13" i="16"/>
  <c r="C4" i="15"/>
  <c r="D3" i="15"/>
  <c r="K14" i="15"/>
  <c r="L5" i="15"/>
  <c r="L6" i="15"/>
  <c r="L7" i="15"/>
  <c r="L8" i="15"/>
  <c r="L9" i="15"/>
  <c r="L10" i="15"/>
  <c r="L11" i="15"/>
  <c r="L12" i="15"/>
  <c r="L13" i="15"/>
  <c r="K14" i="14"/>
  <c r="L11" i="14" s="1"/>
  <c r="L12" i="14"/>
  <c r="L9" i="14"/>
  <c r="D3" i="14"/>
  <c r="L5" i="14"/>
  <c r="U11" i="3"/>
  <c r="K14" i="13"/>
  <c r="L7" i="13" s="1"/>
  <c r="D3" i="13"/>
  <c r="K14" i="12"/>
  <c r="L13" i="12" s="1"/>
  <c r="B4" i="12"/>
  <c r="C3" i="12"/>
  <c r="K12" i="11"/>
  <c r="J10" i="3" s="1"/>
  <c r="K11" i="11"/>
  <c r="J9" i="3" s="1"/>
  <c r="K10" i="11"/>
  <c r="J8" i="3" s="1"/>
  <c r="K9" i="11"/>
  <c r="J7" i="3" s="1"/>
  <c r="K8" i="11"/>
  <c r="J6" i="3" s="1"/>
  <c r="K7" i="11"/>
  <c r="J5" i="3" s="1"/>
  <c r="K6" i="11"/>
  <c r="J4" i="3" s="1"/>
  <c r="K5" i="11"/>
  <c r="J3" i="3" s="1"/>
  <c r="B4" i="11"/>
  <c r="C3" i="11"/>
  <c r="L13" i="20" l="1"/>
  <c r="L8" i="20"/>
  <c r="L12" i="20"/>
  <c r="L5" i="20"/>
  <c r="L6" i="20"/>
  <c r="L7" i="20"/>
  <c r="L11" i="20"/>
  <c r="L10" i="20"/>
  <c r="L9" i="20"/>
  <c r="D4" i="20"/>
  <c r="E3" i="20"/>
  <c r="D4" i="19"/>
  <c r="E3" i="19"/>
  <c r="D4" i="18"/>
  <c r="E3" i="18"/>
  <c r="L11" i="17"/>
  <c r="L7" i="17"/>
  <c r="L12" i="17"/>
  <c r="L8" i="17"/>
  <c r="L10" i="17"/>
  <c r="D4" i="17"/>
  <c r="E3" i="17"/>
  <c r="D4" i="16"/>
  <c r="E3" i="16"/>
  <c r="D4" i="15"/>
  <c r="E3" i="15"/>
  <c r="C4" i="11"/>
  <c r="D3" i="11"/>
  <c r="D4" i="11" s="1"/>
  <c r="D3" i="12"/>
  <c r="D4" i="12" s="1"/>
  <c r="C4" i="12"/>
  <c r="L6" i="14"/>
  <c r="L7" i="14"/>
  <c r="L8" i="14"/>
  <c r="L13" i="14"/>
  <c r="L10" i="14"/>
  <c r="E3" i="14"/>
  <c r="D4" i="14"/>
  <c r="L13" i="13"/>
  <c r="L10" i="13"/>
  <c r="L9" i="13"/>
  <c r="L12" i="13"/>
  <c r="L6" i="13"/>
  <c r="L11" i="13"/>
  <c r="L5" i="13"/>
  <c r="L8" i="13"/>
  <c r="D4" i="13"/>
  <c r="E3" i="13"/>
  <c r="L7" i="12"/>
  <c r="E3" i="12"/>
  <c r="K13" i="11"/>
  <c r="L5" i="11" s="1"/>
  <c r="E3" i="11"/>
  <c r="E4" i="11" s="1"/>
  <c r="L11" i="11"/>
  <c r="L9" i="11"/>
  <c r="L7" i="11"/>
  <c r="L6" i="11"/>
  <c r="L10" i="11"/>
  <c r="L8" i="11"/>
  <c r="L12" i="11"/>
  <c r="F3" i="11"/>
  <c r="E4" i="20" l="1"/>
  <c r="F3" i="20"/>
  <c r="E4" i="19"/>
  <c r="F3" i="19"/>
  <c r="E4" i="18"/>
  <c r="F3" i="18"/>
  <c r="E4" i="17"/>
  <c r="F3" i="17"/>
  <c r="E4" i="16"/>
  <c r="F3" i="16"/>
  <c r="E4" i="15"/>
  <c r="F3" i="15"/>
  <c r="F3" i="14"/>
  <c r="E4" i="14"/>
  <c r="F3" i="13"/>
  <c r="E4" i="13"/>
  <c r="L8" i="12"/>
  <c r="L10" i="12"/>
  <c r="L9" i="12"/>
  <c r="L6" i="12"/>
  <c r="L5" i="12"/>
  <c r="L11" i="12"/>
  <c r="L12" i="12"/>
  <c r="F3" i="12"/>
  <c r="E4" i="12"/>
  <c r="F4" i="11"/>
  <c r="G3" i="11"/>
  <c r="F4" i="20" l="1"/>
  <c r="G3" i="20"/>
  <c r="F4" i="19"/>
  <c r="G3" i="19"/>
  <c r="F4" i="18"/>
  <c r="G3" i="18"/>
  <c r="F4" i="17"/>
  <c r="G3" i="17"/>
  <c r="F4" i="16"/>
  <c r="G3" i="16"/>
  <c r="F4" i="15"/>
  <c r="G3" i="15"/>
  <c r="F4" i="14"/>
  <c r="G3" i="14"/>
  <c r="G3" i="13"/>
  <c r="F4" i="13"/>
  <c r="G3" i="12"/>
  <c r="F4" i="12"/>
  <c r="H3" i="11"/>
  <c r="H4" i="11" s="1"/>
  <c r="G4" i="11"/>
  <c r="G4" i="20" l="1"/>
  <c r="H3" i="20"/>
  <c r="H4" i="20" s="1"/>
  <c r="G4" i="19"/>
  <c r="H3" i="19"/>
  <c r="H4" i="19" s="1"/>
  <c r="G4" i="18"/>
  <c r="H3" i="18"/>
  <c r="H4" i="18" s="1"/>
  <c r="G4" i="17"/>
  <c r="H3" i="17"/>
  <c r="H4" i="17" s="1"/>
  <c r="G4" i="16"/>
  <c r="H3" i="16"/>
  <c r="H4" i="16" s="1"/>
  <c r="G4" i="15"/>
  <c r="H3" i="15"/>
  <c r="H4" i="15" s="1"/>
  <c r="G4" i="14"/>
  <c r="H3" i="14"/>
  <c r="H4" i="14" s="1"/>
  <c r="G4" i="13"/>
  <c r="H3" i="13"/>
  <c r="H4" i="13" s="1"/>
  <c r="G4" i="12"/>
  <c r="H3" i="12"/>
  <c r="H4" i="12" s="1"/>
  <c r="K12" i="10"/>
  <c r="I10" i="3" s="1"/>
  <c r="K11" i="10"/>
  <c r="I9" i="3" s="1"/>
  <c r="K10" i="10"/>
  <c r="I8" i="3" s="1"/>
  <c r="K9" i="10"/>
  <c r="I7" i="3" s="1"/>
  <c r="K8" i="10"/>
  <c r="I6" i="3" s="1"/>
  <c r="K7" i="10"/>
  <c r="I5" i="3" s="1"/>
  <c r="K6" i="10"/>
  <c r="I4" i="3" s="1"/>
  <c r="K5" i="10"/>
  <c r="I3" i="3" s="1"/>
  <c r="B4" i="10"/>
  <c r="C3" i="10"/>
  <c r="K12" i="9"/>
  <c r="H10" i="3" s="1"/>
  <c r="K11" i="9"/>
  <c r="H9" i="3" s="1"/>
  <c r="K10" i="9"/>
  <c r="H8" i="3" s="1"/>
  <c r="K9" i="9"/>
  <c r="H7" i="3" s="1"/>
  <c r="K8" i="9"/>
  <c r="H6" i="3" s="1"/>
  <c r="K7" i="9"/>
  <c r="H5" i="3" s="1"/>
  <c r="K6" i="9"/>
  <c r="H4" i="3" s="1"/>
  <c r="K5" i="9"/>
  <c r="H3" i="3" s="1"/>
  <c r="B4" i="9"/>
  <c r="C3" i="9"/>
  <c r="C4" i="9" s="1"/>
  <c r="K12" i="8"/>
  <c r="G10" i="3" s="1"/>
  <c r="K11" i="8"/>
  <c r="G9" i="3" s="1"/>
  <c r="K10" i="8"/>
  <c r="G8" i="3" s="1"/>
  <c r="K9" i="8"/>
  <c r="G7" i="3" s="1"/>
  <c r="K8" i="8"/>
  <c r="G6" i="3" s="1"/>
  <c r="K7" i="8"/>
  <c r="G5" i="3" s="1"/>
  <c r="K6" i="8"/>
  <c r="G4" i="3" s="1"/>
  <c r="K5" i="8"/>
  <c r="B4" i="8"/>
  <c r="C3" i="8"/>
  <c r="C4" i="8" s="1"/>
  <c r="K12" i="7"/>
  <c r="F10" i="3" s="1"/>
  <c r="K11" i="7"/>
  <c r="F9" i="3" s="1"/>
  <c r="K10" i="7"/>
  <c r="F8" i="3" s="1"/>
  <c r="K9" i="7"/>
  <c r="F7" i="3" s="1"/>
  <c r="K8" i="7"/>
  <c r="F6" i="3" s="1"/>
  <c r="K7" i="7"/>
  <c r="F5" i="3" s="1"/>
  <c r="K6" i="7"/>
  <c r="F4" i="3" s="1"/>
  <c r="K5" i="7"/>
  <c r="B4" i="7"/>
  <c r="C3" i="7"/>
  <c r="C4" i="7" s="1"/>
  <c r="C4" i="10" l="1"/>
  <c r="D3" i="10"/>
  <c r="D4" i="10" s="1"/>
  <c r="K13" i="10"/>
  <c r="L9" i="10" s="1"/>
  <c r="E3" i="10"/>
  <c r="E4" i="10" s="1"/>
  <c r="F3" i="10"/>
  <c r="D3" i="9"/>
  <c r="D4" i="9" s="1"/>
  <c r="K13" i="9"/>
  <c r="L5" i="9" s="1"/>
  <c r="E3" i="9"/>
  <c r="K13" i="8"/>
  <c r="L10" i="8" s="1"/>
  <c r="G3" i="3"/>
  <c r="D3" i="8"/>
  <c r="D4" i="8" s="1"/>
  <c r="E3" i="8"/>
  <c r="K13" i="7"/>
  <c r="L10" i="7" s="1"/>
  <c r="F3" i="3"/>
  <c r="D3" i="7"/>
  <c r="D4" i="7" s="1"/>
  <c r="L8" i="7"/>
  <c r="L5" i="7"/>
  <c r="L10" i="10" l="1"/>
  <c r="L5" i="10"/>
  <c r="L11" i="10"/>
  <c r="L12" i="10"/>
  <c r="L8" i="10"/>
  <c r="L6" i="10"/>
  <c r="L7" i="10"/>
  <c r="F4" i="10"/>
  <c r="G3" i="10"/>
  <c r="L12" i="9"/>
  <c r="L8" i="9"/>
  <c r="L7" i="9"/>
  <c r="L6" i="9"/>
  <c r="F3" i="9"/>
  <c r="E4" i="9"/>
  <c r="L9" i="9"/>
  <c r="L10" i="9"/>
  <c r="L11" i="9"/>
  <c r="L8" i="8"/>
  <c r="L11" i="8"/>
  <c r="L9" i="8"/>
  <c r="L7" i="8"/>
  <c r="L5" i="8"/>
  <c r="L6" i="8"/>
  <c r="L12" i="8"/>
  <c r="F3" i="8"/>
  <c r="E4" i="8"/>
  <c r="L11" i="7"/>
  <c r="L7" i="7"/>
  <c r="L12" i="7"/>
  <c r="L6" i="7"/>
  <c r="L9" i="7"/>
  <c r="E3" i="7"/>
  <c r="F3" i="7" s="1"/>
  <c r="E4" i="7"/>
  <c r="H3" i="10" l="1"/>
  <c r="H4" i="10" s="1"/>
  <c r="G4" i="10"/>
  <c r="G3" i="9"/>
  <c r="F4" i="9"/>
  <c r="G3" i="8"/>
  <c r="F4" i="8"/>
  <c r="G3" i="7"/>
  <c r="F4" i="7"/>
  <c r="G4" i="9" l="1"/>
  <c r="H3" i="9"/>
  <c r="H4" i="9" s="1"/>
  <c r="H3" i="8"/>
  <c r="H4" i="8" s="1"/>
  <c r="G4" i="8"/>
  <c r="H3" i="7"/>
  <c r="H4" i="7" s="1"/>
  <c r="G4" i="7"/>
  <c r="K12" i="6" l="1"/>
  <c r="E10" i="3" s="1"/>
  <c r="K11" i="6"/>
  <c r="E9" i="3" s="1"/>
  <c r="K10" i="6"/>
  <c r="E8" i="3" s="1"/>
  <c r="K9" i="6"/>
  <c r="E7" i="3" s="1"/>
  <c r="K8" i="6"/>
  <c r="E6" i="3" s="1"/>
  <c r="K7" i="6"/>
  <c r="E5" i="3" s="1"/>
  <c r="K6" i="6"/>
  <c r="E4" i="3" s="1"/>
  <c r="K5" i="6"/>
  <c r="B4" i="6"/>
  <c r="C3" i="6"/>
  <c r="K6" i="5"/>
  <c r="D4" i="3" s="1"/>
  <c r="K12" i="5"/>
  <c r="D10" i="3" s="1"/>
  <c r="K11" i="5"/>
  <c r="D9" i="3" s="1"/>
  <c r="K10" i="5"/>
  <c r="D8" i="3" s="1"/>
  <c r="K9" i="5"/>
  <c r="D7" i="3" s="1"/>
  <c r="K8" i="5"/>
  <c r="D6" i="3" s="1"/>
  <c r="K7" i="5"/>
  <c r="D5" i="3" s="1"/>
  <c r="K5" i="5"/>
  <c r="D3" i="3" s="1"/>
  <c r="B4" i="5"/>
  <c r="C3" i="5"/>
  <c r="C4" i="5" s="1"/>
  <c r="D3" i="6" l="1"/>
  <c r="D4" i="6" s="1"/>
  <c r="C4" i="6"/>
  <c r="K13" i="6"/>
  <c r="L11" i="6" s="1"/>
  <c r="E3" i="3"/>
  <c r="E3" i="6"/>
  <c r="K13" i="5"/>
  <c r="L7" i="5" s="1"/>
  <c r="D3" i="5"/>
  <c r="L12" i="6" l="1"/>
  <c r="L6" i="6"/>
  <c r="L7" i="6"/>
  <c r="L8" i="6"/>
  <c r="L9" i="6"/>
  <c r="L5" i="6"/>
  <c r="L10" i="6"/>
  <c r="E4" i="6"/>
  <c r="F3" i="6"/>
  <c r="L10" i="5"/>
  <c r="L9" i="5"/>
  <c r="L5" i="5"/>
  <c r="L6" i="5"/>
  <c r="L11" i="5"/>
  <c r="L12" i="5"/>
  <c r="L8" i="5"/>
  <c r="D4" i="5"/>
  <c r="E3" i="5"/>
  <c r="G3" i="6" l="1"/>
  <c r="F4" i="6"/>
  <c r="E4" i="5"/>
  <c r="F3" i="5"/>
  <c r="G4" i="6" l="1"/>
  <c r="H3" i="6"/>
  <c r="H4" i="6" s="1"/>
  <c r="F4" i="5"/>
  <c r="G3" i="5"/>
  <c r="H3" i="5" l="1"/>
  <c r="H4" i="5" s="1"/>
  <c r="G4" i="5"/>
  <c r="C3" i="4" l="1"/>
  <c r="D3" i="4" s="1"/>
  <c r="K12" i="4"/>
  <c r="C10" i="3" s="1"/>
  <c r="K11" i="4"/>
  <c r="C9" i="3" s="1"/>
  <c r="K10" i="4"/>
  <c r="C8" i="3" s="1"/>
  <c r="K9" i="4"/>
  <c r="C7" i="3" s="1"/>
  <c r="K8" i="4"/>
  <c r="C6" i="3" s="1"/>
  <c r="K7" i="4"/>
  <c r="C5" i="3" s="1"/>
  <c r="K6" i="4"/>
  <c r="C4" i="3" s="1"/>
  <c r="K5" i="4"/>
  <c r="C3" i="3" s="1"/>
  <c r="C4" i="4"/>
  <c r="B4" i="4"/>
  <c r="D4" i="4" l="1"/>
  <c r="E3" i="4"/>
  <c r="K13" i="4"/>
  <c r="L8" i="4" s="1"/>
  <c r="F3" i="4" l="1"/>
  <c r="E4" i="4"/>
  <c r="L7" i="4"/>
  <c r="L12" i="4"/>
  <c r="L5" i="4"/>
  <c r="L6" i="4"/>
  <c r="L11" i="4"/>
  <c r="L9" i="4"/>
  <c r="L10" i="4"/>
  <c r="G3" i="4" l="1"/>
  <c r="F4" i="4"/>
  <c r="H3" i="4" l="1"/>
  <c r="H4" i="4" s="1"/>
  <c r="G4" i="4"/>
  <c r="K12" i="1"/>
  <c r="B10" i="3" s="1"/>
  <c r="K6" i="1"/>
  <c r="B4" i="3" s="1"/>
  <c r="K7" i="1"/>
  <c r="B5" i="3" s="1"/>
  <c r="K8" i="1"/>
  <c r="B6" i="3" s="1"/>
  <c r="K9" i="1"/>
  <c r="B7" i="3" s="1"/>
  <c r="K10" i="1"/>
  <c r="B8" i="3" s="1"/>
  <c r="K11" i="1"/>
  <c r="B9" i="3" s="1"/>
  <c r="K5" i="1"/>
  <c r="B3" i="3" s="1"/>
  <c r="U3" i="3" l="1"/>
  <c r="B12" i="3"/>
  <c r="U5" i="3"/>
  <c r="U8" i="3"/>
  <c r="U9" i="3"/>
  <c r="U7" i="3"/>
  <c r="U6" i="3"/>
  <c r="U4" i="3"/>
  <c r="U10" i="3"/>
  <c r="N12" i="3"/>
  <c r="R12" i="3"/>
  <c r="Q12" i="3"/>
  <c r="T12" i="3"/>
  <c r="S12" i="3"/>
  <c r="K12" i="3"/>
  <c r="J12" i="3"/>
  <c r="F12" i="3"/>
  <c r="P12" i="3"/>
  <c r="H12" i="3"/>
  <c r="M12" i="3"/>
  <c r="E12" i="3"/>
  <c r="C12" i="3"/>
  <c r="O12" i="3"/>
  <c r="G12" i="3"/>
  <c r="L12" i="3"/>
  <c r="D12" i="3"/>
  <c r="I12" i="3"/>
  <c r="K13" i="1"/>
  <c r="L6" i="1" s="1"/>
  <c r="U12" i="3" l="1"/>
  <c r="L7" i="1"/>
  <c r="L11" i="1"/>
  <c r="L5" i="1"/>
  <c r="L8" i="1"/>
  <c r="L9" i="1"/>
  <c r="L10" i="1"/>
  <c r="L12" i="1"/>
  <c r="H4" i="1"/>
  <c r="E4" i="1"/>
  <c r="F4" i="1"/>
  <c r="G4" i="1"/>
  <c r="C4" i="1"/>
  <c r="D4" i="1"/>
  <c r="B4" i="1"/>
  <c r="V3" i="3" l="1"/>
  <c r="V11" i="3"/>
  <c r="V8" i="3"/>
  <c r="V6" i="3"/>
  <c r="V10" i="3"/>
  <c r="V5" i="3"/>
  <c r="V9" i="3"/>
  <c r="V7" i="3"/>
  <c r="V4" i="3"/>
</calcChain>
</file>

<file path=xl/sharedStrings.xml><?xml version="1.0" encoding="utf-8"?>
<sst xmlns="http://schemas.openxmlformats.org/spreadsheetml/2006/main" count="2005" uniqueCount="123">
  <si>
    <t>Atendimento de Irrigação (Impacto - Problemas Elétricos) - Semana 21/02/2022</t>
  </si>
  <si>
    <t xml:space="preserve">Data </t>
  </si>
  <si>
    <t>Pivô</t>
  </si>
  <si>
    <t>Parâmetros</t>
  </si>
  <si>
    <t>Pivô 01</t>
  </si>
  <si>
    <t>Cabo Rompido</t>
  </si>
  <si>
    <t>Pivô 02</t>
  </si>
  <si>
    <t>Transformador</t>
  </si>
  <si>
    <t>Pivô 03</t>
  </si>
  <si>
    <t>Chave Aberta</t>
  </si>
  <si>
    <t>Pivô 04</t>
  </si>
  <si>
    <t>Painel da Bomba</t>
  </si>
  <si>
    <t>Pivô 05</t>
  </si>
  <si>
    <t>Painel do Pivô</t>
  </si>
  <si>
    <t>Pivô 06</t>
  </si>
  <si>
    <t>Contactora</t>
  </si>
  <si>
    <t>Pivô 07</t>
  </si>
  <si>
    <t>Caixa do Micro</t>
  </si>
  <si>
    <t>Pivô 08</t>
  </si>
  <si>
    <t>Cabo/Auto Rompido</t>
  </si>
  <si>
    <t>Pivô 09</t>
  </si>
  <si>
    <t>Total</t>
  </si>
  <si>
    <t>Pivô 10</t>
  </si>
  <si>
    <t>Pivô 11</t>
  </si>
  <si>
    <t>Pivô 12</t>
  </si>
  <si>
    <t>Pivô 13</t>
  </si>
  <si>
    <t>Pivô 14</t>
  </si>
  <si>
    <t>Pivô 15</t>
  </si>
  <si>
    <t>Pivô 16</t>
  </si>
  <si>
    <t>Pivô 17</t>
  </si>
  <si>
    <t>Pivô 18</t>
  </si>
  <si>
    <t>Pivô 19</t>
  </si>
  <si>
    <t>Pivô 20</t>
  </si>
  <si>
    <t>Pivô 21</t>
  </si>
  <si>
    <t>Pivô 22</t>
  </si>
  <si>
    <t>Pivô 23</t>
  </si>
  <si>
    <t>Pivô 24</t>
  </si>
  <si>
    <t>Pivô 25</t>
  </si>
  <si>
    <t>Pivô 26</t>
  </si>
  <si>
    <t>Pivô 27</t>
  </si>
  <si>
    <t>Pivô 28</t>
  </si>
  <si>
    <t>Pivô 29</t>
  </si>
  <si>
    <t>Pivô 30</t>
  </si>
  <si>
    <t>Pivô 31</t>
  </si>
  <si>
    <t>Pivô 32</t>
  </si>
  <si>
    <t>Pivô 33</t>
  </si>
  <si>
    <t>Pivô 34</t>
  </si>
  <si>
    <t>Pivô 35</t>
  </si>
  <si>
    <t>Pivô 36</t>
  </si>
  <si>
    <t>Pivô 37</t>
  </si>
  <si>
    <t>Pivô 38</t>
  </si>
  <si>
    <t>Pivô 39</t>
  </si>
  <si>
    <t>Pivô 40</t>
  </si>
  <si>
    <t>Pivô 41</t>
  </si>
  <si>
    <t>Pivô 42</t>
  </si>
  <si>
    <t>Pivô 43</t>
  </si>
  <si>
    <t>Pivô 44</t>
  </si>
  <si>
    <t>Pivô 45</t>
  </si>
  <si>
    <t>Pivô 46</t>
  </si>
  <si>
    <t>Pivô 47</t>
  </si>
  <si>
    <t>Pivô 48</t>
  </si>
  <si>
    <t>Pivô 49</t>
  </si>
  <si>
    <t>Pivô 50</t>
  </si>
  <si>
    <t>Pivô 51</t>
  </si>
  <si>
    <t>Pivô 52</t>
  </si>
  <si>
    <t>Pivô 53</t>
  </si>
  <si>
    <t>Pivô 54</t>
  </si>
  <si>
    <t>Pivô 55</t>
  </si>
  <si>
    <t>Pivô 56</t>
  </si>
  <si>
    <t>Pivô 73</t>
  </si>
  <si>
    <t>Pivô 74</t>
  </si>
  <si>
    <t>Pivô 101</t>
  </si>
  <si>
    <t>Pivô 102</t>
  </si>
  <si>
    <t>Pivô 103</t>
  </si>
  <si>
    <t>Pivô 104</t>
  </si>
  <si>
    <t>Pivô 105</t>
  </si>
  <si>
    <t>Pivô 106</t>
  </si>
  <si>
    <t>Pivô 107</t>
  </si>
  <si>
    <t>Pivô 108</t>
  </si>
  <si>
    <t>Pivô 109</t>
  </si>
  <si>
    <t>Pivô 110</t>
  </si>
  <si>
    <t>Pivô 111</t>
  </si>
  <si>
    <t>Pivô 112</t>
  </si>
  <si>
    <t>Pivô 113</t>
  </si>
  <si>
    <t>Pivô 114</t>
  </si>
  <si>
    <t>Pivô 115</t>
  </si>
  <si>
    <t>Pivô 116</t>
  </si>
  <si>
    <t>Pivô 117</t>
  </si>
  <si>
    <t>Pivô 118</t>
  </si>
  <si>
    <t>Pivô 119</t>
  </si>
  <si>
    <t>Pivô 120</t>
  </si>
  <si>
    <t>Pivô 121</t>
  </si>
  <si>
    <t>Pivô 122</t>
  </si>
  <si>
    <t>Pivô 123</t>
  </si>
  <si>
    <t>Pivô 124</t>
  </si>
  <si>
    <t>Pivô 125</t>
  </si>
  <si>
    <t>Pivô 126</t>
  </si>
  <si>
    <t>Pivô 127</t>
  </si>
  <si>
    <t>Pivô 128</t>
  </si>
  <si>
    <t>Pivô 129</t>
  </si>
  <si>
    <t>Pivô 130</t>
  </si>
  <si>
    <t>Pivô 133</t>
  </si>
  <si>
    <t>Atendimento de Irrigação (Impacto - Problemas Elétricos) - Semana 28/02/2022</t>
  </si>
  <si>
    <t>Atendimento de Irrigação (Impacto - Problemas Elétricos) - Semana 07/03/2022</t>
  </si>
  <si>
    <t>Cabo Acionamento</t>
  </si>
  <si>
    <t>Cabo  de Segurança</t>
  </si>
  <si>
    <t>Atendimento de Irrigação (Impacto - Problemas Elétricos) - Semana 14/03/2022</t>
  </si>
  <si>
    <t>Atendimento de Irrigação (Impacto - Problemas Elétricos) - Semana 21/03/2022</t>
  </si>
  <si>
    <t>Atendimento de Irrigação (Impacto - Problemas Elétricos) - Semana 28/03/2022</t>
  </si>
  <si>
    <t>Atendimento de Irrigação (Impacto - Problemas Elétricos) - Semana 04/04/2022</t>
  </si>
  <si>
    <t>Atendimento de Irrigação (Impacto - Problemas Elétricos) - Semana 25/04/2022</t>
  </si>
  <si>
    <t>Falta de Fase</t>
  </si>
  <si>
    <t>Atendimento de Irrigação (Impacto - Problemas Elétricos) - Semana 02/05/2022</t>
  </si>
  <si>
    <t>Atendimento de Irrigação (Impacto - Problemas Elétricos) - Semana 09/05/2022</t>
  </si>
  <si>
    <t>Atendimento de Irrigação (Impacto - Problemas Elétricos) - Semana 15/05/2022</t>
  </si>
  <si>
    <t>Atendimento de Irrigação (Impacto - Problemas Elétricos) - Semana 23/05/2022</t>
  </si>
  <si>
    <t>Atendimento de Irrigação (Impacto - Problemas Elétricos) - Semana 06/06/2022</t>
  </si>
  <si>
    <t>Atendimento de Irrigação (Impacto - Problemas Elétricos) - Semana 13/06/2022</t>
  </si>
  <si>
    <t>Atendimento de Irrigação (Impacto - Problemas Elétricos) - Semana 20/06/2022</t>
  </si>
  <si>
    <t>Atendimento de Irrigação (Impacto - Problemas Elétricos) - Semana 27/06/2022</t>
  </si>
  <si>
    <t>Percentual</t>
  </si>
  <si>
    <t>Cabo de Segurança</t>
  </si>
  <si>
    <t>Inversor de Frequência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</si>
</sst>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1"/>
      <color rgb="FF002060"/>
      <name val="Calibri"/>
      <family val="2"/>
      <scheme val="minor"/>
    </font>
    <font>
      <b/>
      <i/>
      <sz val="11"/>
      <color rgb="FF0070C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98D2B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D13F"/>
        <bgColor indexed="64"/>
      </patternFill>
    </fill>
    <fill>
      <patternFill patternType="solid">
        <fgColor rgb="FFF3A60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E2BA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dotted">
        <color theme="1"/>
      </right>
      <top/>
      <bottom/>
      <diagonal/>
    </border>
    <border>
      <left style="thin">
        <color theme="0"/>
      </left>
      <right/>
      <top/>
      <bottom style="dotted">
        <color theme="1"/>
      </bottom>
      <diagonal/>
    </border>
    <border>
      <left/>
      <right style="dotted">
        <color theme="1"/>
      </right>
      <top/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9" fontId="0" fillId="0" borderId="0" xfId="1" applyFont="1"/>
    <xf numFmtId="0" fontId="5" fillId="0" borderId="0" xfId="0" applyFont="1"/>
    <xf numFmtId="0" fontId="2" fillId="0" borderId="2" xfId="0" applyFont="1" applyBorder="1"/>
    <xf numFmtId="9" fontId="0" fillId="0" borderId="3" xfId="1" applyFont="1" applyBorder="1"/>
    <xf numFmtId="0" fontId="2" fillId="0" borderId="4" xfId="0" applyFont="1" applyBorder="1"/>
    <xf numFmtId="9" fontId="0" fillId="0" borderId="5" xfId="1" applyFont="1" applyBorder="1"/>
    <xf numFmtId="0" fontId="0" fillId="0" borderId="6" xfId="0" applyBorder="1"/>
    <xf numFmtId="0" fontId="4" fillId="0" borderId="6" xfId="0" applyFont="1" applyBorder="1" applyAlignment="1">
      <alignment vertical="center"/>
    </xf>
    <xf numFmtId="0" fontId="0" fillId="0" borderId="9" xfId="0" applyBorder="1"/>
    <xf numFmtId="0" fontId="2" fillId="7" borderId="6" xfId="0" applyFont="1" applyFill="1" applyBorder="1"/>
    <xf numFmtId="0" fontId="7" fillId="15" borderId="10" xfId="0" applyFont="1" applyFill="1" applyBorder="1"/>
    <xf numFmtId="0" fontId="7" fillId="15" borderId="7" xfId="0" applyFont="1" applyFill="1" applyBorder="1"/>
    <xf numFmtId="0" fontId="0" fillId="15" borderId="8" xfId="0" applyFill="1" applyBorder="1" applyAlignment="1">
      <alignment horizontal="left"/>
    </xf>
    <xf numFmtId="0" fontId="0" fillId="15" borderId="13" xfId="0" applyFill="1" applyBorder="1" applyAlignment="1">
      <alignment horizontal="left"/>
    </xf>
    <xf numFmtId="0" fontId="9" fillId="7" borderId="6" xfId="0" applyFont="1" applyFill="1" applyBorder="1"/>
    <xf numFmtId="0" fontId="2" fillId="3" borderId="1" xfId="0" applyFont="1" applyFill="1" applyBorder="1"/>
    <xf numFmtId="0" fontId="2" fillId="14" borderId="6" xfId="0" applyFont="1" applyFill="1" applyBorder="1"/>
    <xf numFmtId="0" fontId="2" fillId="2" borderId="6" xfId="0" applyFont="1" applyFill="1" applyBorder="1"/>
    <xf numFmtId="0" fontId="2" fillId="12" borderId="6" xfId="0" applyFont="1" applyFill="1" applyBorder="1"/>
    <xf numFmtId="0" fontId="2" fillId="11" borderId="6" xfId="0" applyFont="1" applyFill="1" applyBorder="1"/>
    <xf numFmtId="0" fontId="2" fillId="13" borderId="6" xfId="0" applyFont="1" applyFill="1" applyBorder="1"/>
    <xf numFmtId="0" fontId="2" fillId="10" borderId="6" xfId="0" applyFont="1" applyFill="1" applyBorder="1"/>
    <xf numFmtId="0" fontId="2" fillId="8" borderId="6" xfId="0" applyFont="1" applyFill="1" applyBorder="1"/>
    <xf numFmtId="0" fontId="1" fillId="6" borderId="6" xfId="0" applyFont="1" applyFill="1" applyBorder="1"/>
    <xf numFmtId="0" fontId="10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16" fontId="12" fillId="0" borderId="0" xfId="0" applyNumberFormat="1" applyFont="1" applyAlignment="1">
      <alignment horizontal="center" vertical="center"/>
    </xf>
    <xf numFmtId="9" fontId="2" fillId="0" borderId="0" xfId="1" applyFont="1"/>
    <xf numFmtId="16" fontId="2" fillId="0" borderId="0" xfId="0" applyNumberFormat="1" applyFont="1" applyAlignment="1">
      <alignment horizontal="center" vertical="center"/>
    </xf>
    <xf numFmtId="16" fontId="13" fillId="0" borderId="0" xfId="0" applyNumberFormat="1" applyFont="1" applyAlignment="1">
      <alignment horizontal="center" vertical="center"/>
    </xf>
    <xf numFmtId="0" fontId="5" fillId="3" borderId="6" xfId="0" applyFont="1" applyFill="1" applyBorder="1"/>
    <xf numFmtId="0" fontId="1" fillId="16" borderId="6" xfId="0" applyFont="1" applyFill="1" applyBorder="1"/>
    <xf numFmtId="0" fontId="1" fillId="4" borderId="6" xfId="0" applyFont="1" applyFill="1" applyBorder="1"/>
    <xf numFmtId="0" fontId="5" fillId="9" borderId="6" xfId="0" applyFont="1" applyFill="1" applyBorder="1"/>
    <xf numFmtId="0" fontId="2" fillId="5" borderId="6" xfId="0" applyFont="1" applyFill="1" applyBorder="1"/>
    <xf numFmtId="0" fontId="1" fillId="17" borderId="6" xfId="0" applyFont="1" applyFill="1" applyBorder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" fontId="0" fillId="15" borderId="11" xfId="0" applyNumberFormat="1" applyFill="1" applyBorder="1" applyAlignment="1">
      <alignment horizontal="left"/>
    </xf>
    <xf numFmtId="16" fontId="0" fillId="15" borderId="12" xfId="0" applyNumberFormat="1" applyFill="1" applyBorder="1" applyAlignment="1">
      <alignment horizontal="left"/>
    </xf>
    <xf numFmtId="0" fontId="0" fillId="0" borderId="14" xfId="0" applyBorder="1"/>
    <xf numFmtId="9" fontId="0" fillId="0" borderId="0" xfId="1" applyFont="1" applyBorder="1"/>
    <xf numFmtId="0" fontId="2" fillId="18" borderId="0" xfId="0" applyFont="1" applyFill="1"/>
    <xf numFmtId="0" fontId="8" fillId="0" borderId="0" xfId="0" applyFont="1" applyAlignment="1">
      <alignment horizontal="center" vertical="center"/>
    </xf>
    <xf numFmtId="0" fontId="2" fillId="9" borderId="0" xfId="0" applyFont="1" applyFill="1"/>
  </cellXfs>
  <cellStyles count="2">
    <cellStyle name="Normal" xfId="0" builtinId="0"/>
    <cellStyle name="Porcentagem" xfId="1" builtinId="5"/>
  </cellStyles>
  <dxfs count="638"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3A60D"/>
      <color rgb="FF8E2BA5"/>
      <color rgb="FFFFD13F"/>
      <color rgb="FFF98D2B"/>
      <color rgb="FFEAB200"/>
      <color rgb="FFDAA04A"/>
      <color rgb="FFF78C81"/>
      <color rgb="FFDF8E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051-4E82-A6B2-83E13B4FE5BE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51-4E82-A6B2-83E13B4FE5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051-4E82-A6B2-83E13B4FE5BE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51-4E82-A6B2-83E13B4FE5BE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051-4E82-A6B2-83E13B4FE5BE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51-4E82-A6B2-83E13B4FE5BE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051-4E82-A6B2-83E13B4FE5BE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51-4E82-A6B2-83E13B4FE5BE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51-4E82-A6B2-83E13B4FE5BE}"/>
                </c:ext>
              </c:extLst>
            </c:dLbl>
            <c:dLbl>
              <c:idx val="3"/>
              <c:layout>
                <c:manualLayout>
                  <c:x val="9.6259625962596157E-2"/>
                  <c:y val="-1.50829562594268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51-4E82-A6B2-83E13B4FE5B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51-4E82-A6B2-83E13B4FE5B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051-4E82-A6B2-83E13B4FE5B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02 2022'!$J$5:$J$12</c:f>
              <c:strCache>
                <c:ptCount val="8"/>
                <c:pt idx="0">
                  <c:v>Cabo Rompido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Cabo/Auto Rompido</c:v>
                </c:pt>
              </c:strCache>
            </c:strRef>
          </c:cat>
          <c:val>
            <c:numRef>
              <c:f>'21 02 2022'!$L$5:$L$12</c:f>
              <c:numCache>
                <c:formatCode>0%</c:formatCode>
                <c:ptCount val="8"/>
                <c:pt idx="0">
                  <c:v>0.1875</c:v>
                </c:pt>
                <c:pt idx="1">
                  <c:v>6.25E-2</c:v>
                </c:pt>
                <c:pt idx="2">
                  <c:v>0</c:v>
                </c:pt>
                <c:pt idx="3">
                  <c:v>0.3125</c:v>
                </c:pt>
                <c:pt idx="4">
                  <c:v>0.3125</c:v>
                </c:pt>
                <c:pt idx="5">
                  <c:v>0</c:v>
                </c:pt>
                <c:pt idx="6">
                  <c:v>0</c:v>
                </c:pt>
                <c:pt idx="7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1-4E82-A6B2-83E13B4FE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39-478F-8D22-ABBFE6EBC3F1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39-478F-8D22-ABBFE6EBC3F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39-478F-8D22-ABBFE6EBC3F1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39-478F-8D22-ABBFE6EBC3F1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39-478F-8D22-ABBFE6EBC3F1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39-478F-8D22-ABBFE6EBC3F1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39-478F-8D22-ABBFE6EBC3F1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39-478F-8D22-ABBFE6EBC3F1}"/>
              </c:ext>
            </c:extLst>
          </c:dPt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39-478F-8D22-ABBFE6EBC3F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239-478F-8D22-ABBFE6EBC3F1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'28 02 2022'!$J$5:$J$12</c:f>
              <c:strCache>
                <c:ptCount val="8"/>
                <c:pt idx="0">
                  <c:v>Cabo Rompido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Cabo/Auto Rompido</c:v>
                </c:pt>
              </c:strCache>
            </c:strRef>
          </c:cat>
          <c:val>
            <c:numRef>
              <c:f>'28 02 2022'!$L$5:$L$12</c:f>
              <c:numCache>
                <c:formatCode>0%</c:formatCode>
                <c:ptCount val="8"/>
                <c:pt idx="0">
                  <c:v>7.1428571428571425E-2</c:v>
                </c:pt>
                <c:pt idx="1">
                  <c:v>0.14285714285714285</c:v>
                </c:pt>
                <c:pt idx="2">
                  <c:v>0.21428571428571427</c:v>
                </c:pt>
                <c:pt idx="3">
                  <c:v>0.14285714285714285</c:v>
                </c:pt>
                <c:pt idx="4">
                  <c:v>7.1428571428571425E-2</c:v>
                </c:pt>
                <c:pt idx="5">
                  <c:v>0.35714285714285715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239-478F-8D22-ABBFE6EBC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00-4B62-B05B-91E77B807180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00-4B62-B05B-91E77B80718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00-4B62-B05B-91E77B807180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00-4B62-B05B-91E77B807180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00-4B62-B05B-91E77B807180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00-4B62-B05B-91E77B807180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00-4B62-B05B-91E77B807180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700-4B62-B05B-91E77B80718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00-4B62-B05B-91E77B80718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00-4B62-B05B-91E77B80718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00-4B62-B05B-91E77B80718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00-4B62-B05B-91E77B80718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700-4B62-B05B-91E77B80718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700-4B62-B05B-91E77B807180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'07 03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'07 03 2022'!$L$5:$L$12</c:f>
              <c:numCache>
                <c:formatCode>0%</c:formatCode>
                <c:ptCount val="8"/>
                <c:pt idx="0">
                  <c:v>0</c:v>
                </c:pt>
                <c:pt idx="1">
                  <c:v>0.33333333333333331</c:v>
                </c:pt>
                <c:pt idx="2">
                  <c:v>0</c:v>
                </c:pt>
                <c:pt idx="3">
                  <c:v>0</c:v>
                </c:pt>
                <c:pt idx="4">
                  <c:v>0.16666666666666666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700-4B62-B05B-91E77B807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50-41EC-B1D0-52D275362238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50-41EC-B1D0-52D27536223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50-41EC-B1D0-52D275362238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50-41EC-B1D0-52D275362238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D50-41EC-B1D0-52D275362238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D50-41EC-B1D0-52D275362238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D50-41EC-B1D0-52D275362238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D50-41EC-B1D0-52D27536223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50-41EC-B1D0-52D27536223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50-41EC-B1D0-52D27536223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50-41EC-B1D0-52D27536223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D50-41EC-B1D0-52D27536223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'14 03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'14 03 2022'!$L$5:$L$12</c:f>
              <c:numCache>
                <c:formatCode>0%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</c:v>
                </c:pt>
                <c:pt idx="3">
                  <c:v>0.3</c:v>
                </c:pt>
                <c:pt idx="4">
                  <c:v>0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D50-41EC-B1D0-52D275362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F3-4729-9F1C-6B7095981775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F3-4729-9F1C-6B7095981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F3-4729-9F1C-6B7095981775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F3-4729-9F1C-6B7095981775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F3-4729-9F1C-6B7095981775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F3-4729-9F1C-6B7095981775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F3-4729-9F1C-6B7095981775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F3-4729-9F1C-6B709598177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F3-4729-9F1C-6B709598177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F3-4729-9F1C-6B709598177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F3-4729-9F1C-6B709598177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9F3-4729-9F1C-6B709598177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03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'21 03 2022'!$L$5:$L$12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0.2857142857142857</c:v>
                </c:pt>
                <c:pt idx="5">
                  <c:v>0</c:v>
                </c:pt>
                <c:pt idx="6">
                  <c:v>0</c:v>
                </c:pt>
                <c:pt idx="7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9F3-4729-9F1C-6B7095981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F5-4FA4-8399-CCF75C7B04E5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F5-4FA4-8399-CCF75C7B04E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F5-4FA4-8399-CCF75C7B04E5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F5-4FA4-8399-CCF75C7B04E5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F5-4FA4-8399-CCF75C7B04E5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DF5-4FA4-8399-CCF75C7B04E5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DF5-4FA4-8399-CCF75C7B04E5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DF5-4FA4-8399-CCF75C7B04E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F5-4FA4-8399-CCF75C7B04E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F5-4FA4-8399-CCF75C7B04E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DF5-4FA4-8399-CCF75C7B04E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DF5-4FA4-8399-CCF75C7B04E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'28 03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'28 03 2022'!$L$5:$L$12</c:f>
              <c:numCache>
                <c:formatCode>0%</c:formatCode>
                <c:ptCount val="8"/>
                <c:pt idx="0">
                  <c:v>9.0909090909090912E-2</c:v>
                </c:pt>
                <c:pt idx="1">
                  <c:v>0</c:v>
                </c:pt>
                <c:pt idx="2">
                  <c:v>0.36363636363636365</c:v>
                </c:pt>
                <c:pt idx="3">
                  <c:v>0</c:v>
                </c:pt>
                <c:pt idx="4">
                  <c:v>9.0909090909090912E-2</c:v>
                </c:pt>
                <c:pt idx="5">
                  <c:v>9.0909090909090912E-2</c:v>
                </c:pt>
                <c:pt idx="6">
                  <c:v>0.18181818181818182</c:v>
                </c:pt>
                <c:pt idx="7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DF5-4FA4-8399-CCF75C7B0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2A-4732-A81B-7A579DC29711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2A-4732-A81B-7A579DC2971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2A-4732-A81B-7A579DC29711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2A-4732-A81B-7A579DC29711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2A-4732-A81B-7A579DC29711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72A-4732-A81B-7A579DC29711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72A-4732-A81B-7A579DC29711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72A-4732-A81B-7A579DC2971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2A-4732-A81B-7A579DC297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2A-4732-A81B-7A579DC297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2A-4732-A81B-7A579DC297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72A-4732-A81B-7A579DC2971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'04 04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'04 04 2022'!$L$5:$L$12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0.16666666666666666</c:v>
                </c:pt>
                <c:pt idx="4">
                  <c:v>0.33333333333333331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72A-4732-A81B-7A579DC2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15-4842-8C98-BE36D526096B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15-4842-8C98-BE36D526096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15-4842-8C98-BE36D526096B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15-4842-8C98-BE36D526096B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15-4842-8C98-BE36D526096B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15-4842-8C98-BE36D526096B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115-4842-8C98-BE36D526096B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115-4842-8C98-BE36D526096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15-4842-8C98-BE36D526096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15-4842-8C98-BE36D526096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15-4842-8C98-BE36D526096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15-4842-8C98-BE36D526096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'11 04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'11 04 2022'!$L$5:$L$12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0.61904761904761907</c:v>
                </c:pt>
                <c:pt idx="3">
                  <c:v>0</c:v>
                </c:pt>
                <c:pt idx="4">
                  <c:v>4.7619047619047616E-2</c:v>
                </c:pt>
                <c:pt idx="5">
                  <c:v>0</c:v>
                </c:pt>
                <c:pt idx="6">
                  <c:v>0.23809523809523808</c:v>
                </c:pt>
                <c:pt idx="7">
                  <c:v>9.5238095238095233E-2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115-4842-8C98-BE36D5260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42-4240-AFCF-DB6620FAB4E6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42-4240-AFCF-DB6620FAB4E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42-4240-AFCF-DB6620FAB4E6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42-4240-AFCF-DB6620FAB4E6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42-4240-AFCF-DB6620FAB4E6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42-4240-AFCF-DB6620FAB4E6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42-4240-AFCF-DB6620FAB4E6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42-4240-AFCF-DB6620FAB4E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42-4240-AFCF-DB6620FAB4E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42-4240-AFCF-DB6620FAB4E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42-4240-AFCF-DB6620FAB4E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942-4240-AFCF-DB6620FAB4E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'18 04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'18 04 2022'!$L$5:$L$12</c:f>
              <c:numCache>
                <c:formatCode>0%</c:formatCode>
                <c:ptCount val="8"/>
                <c:pt idx="0">
                  <c:v>0</c:v>
                </c:pt>
                <c:pt idx="1">
                  <c:v>0.125</c:v>
                </c:pt>
                <c:pt idx="2">
                  <c:v>0</c:v>
                </c:pt>
                <c:pt idx="3">
                  <c:v>0.25</c:v>
                </c:pt>
                <c:pt idx="4">
                  <c:v>0.125</c:v>
                </c:pt>
                <c:pt idx="5">
                  <c:v>0</c:v>
                </c:pt>
                <c:pt idx="6">
                  <c:v>0.5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942-4240-AFCF-DB6620FAB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9C-4E5D-8672-873B7A9F3CA8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9C-4E5D-8672-873B7A9F3CA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9C-4E5D-8672-873B7A9F3CA8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9C-4E5D-8672-873B7A9F3CA8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79C-4E5D-8672-873B7A9F3CA8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79C-4E5D-8672-873B7A9F3CA8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79C-4E5D-8672-873B7A9F3CA8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79C-4E5D-8672-873B7A9F3CA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822-4216-A41B-42BF7E2BE1E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9C-4E5D-8672-873B7A9F3CA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9C-4E5D-8672-873B7A9F3CA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9C-4E5D-8672-873B7A9F3CA8}"/>
                </c:ext>
              </c:extLst>
            </c:dLbl>
            <c:dLbl>
              <c:idx val="3"/>
              <c:layout>
                <c:manualLayout>
                  <c:x val="-9.4765382050016021E-3"/>
                  <c:y val="-1.016673218419558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9C-4E5D-8672-873B7A9F3CA8}"/>
                </c:ext>
              </c:extLst>
            </c:dLbl>
            <c:dLbl>
              <c:idx val="4"/>
              <c:layout>
                <c:manualLayout>
                  <c:x val="-2.9154539469695002E-2"/>
                  <c:y val="7.153111156113049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79C-4E5D-8672-873B7A9F3CA8}"/>
                </c:ext>
              </c:extLst>
            </c:dLbl>
            <c:dLbl>
              <c:idx val="5"/>
              <c:layout>
                <c:manualLayout>
                  <c:x val="5.1429060228857529E-2"/>
                  <c:y val="-5.9640805111161406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79C-4E5D-8672-873B7A9F3CA8}"/>
                </c:ext>
              </c:extLst>
            </c:dLbl>
            <c:dLbl>
              <c:idx val="6"/>
              <c:layout>
                <c:manualLayout>
                  <c:x val="-2.775016674895836E-2"/>
                  <c:y val="-4.109285885406532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79C-4E5D-8672-873B7A9F3CA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79C-4E5D-8672-873B7A9F3CA8}"/>
                </c:ext>
              </c:extLst>
            </c:dLbl>
            <c:dLbl>
              <c:idx val="8"/>
              <c:layout>
                <c:manualLayout>
                  <c:x val="7.4884358514591617E-3"/>
                  <c:y val="2.59737956356060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822-4216-A41B-42BF7E2BE1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 04 2022'!$J$5:$J$13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'25 04 2022'!$L$5:$L$13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0.2857142857142857</c:v>
                </c:pt>
                <c:pt idx="4">
                  <c:v>0.2857142857142857</c:v>
                </c:pt>
                <c:pt idx="5">
                  <c:v>0.14285714285714285</c:v>
                </c:pt>
                <c:pt idx="6">
                  <c:v>0.2857142857142857</c:v>
                </c:pt>
                <c:pt idx="7">
                  <c:v>0</c:v>
                </c:pt>
                <c:pt idx="8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79C-4E5D-8672-873B7A9F3CA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A9-4192-A663-944D272086C7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A9-4192-A663-944D272086C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A9-4192-A663-944D272086C7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A9-4192-A663-944D272086C7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A9-4192-A663-944D272086C7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A9-4192-A663-944D272086C7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1A9-4192-A663-944D272086C7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1A9-4192-A663-944D272086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1A9-4192-A663-944D272086C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A9-4192-A663-944D272086C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A9-4192-A663-944D272086C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A9-4192-A663-944D272086C7}"/>
                </c:ext>
              </c:extLst>
            </c:dLbl>
            <c:dLbl>
              <c:idx val="3"/>
              <c:layout>
                <c:manualLayout>
                  <c:x val="-9.4765382050016021E-3"/>
                  <c:y val="-1.016673218419558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A9-4192-A663-944D272086C7}"/>
                </c:ext>
              </c:extLst>
            </c:dLbl>
            <c:dLbl>
              <c:idx val="4"/>
              <c:layout>
                <c:manualLayout>
                  <c:x val="-2.9154539469695002E-2"/>
                  <c:y val="7.153111156113049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1A9-4192-A663-944D272086C7}"/>
                </c:ext>
              </c:extLst>
            </c:dLbl>
            <c:dLbl>
              <c:idx val="5"/>
              <c:layout>
                <c:manualLayout>
                  <c:x val="5.1429060228857529E-2"/>
                  <c:y val="-5.9640805111161406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A9-4192-A663-944D272086C7}"/>
                </c:ext>
              </c:extLst>
            </c:dLbl>
            <c:dLbl>
              <c:idx val="6"/>
              <c:layout>
                <c:manualLayout>
                  <c:x val="-2.775016674895836E-2"/>
                  <c:y val="-4.109285885406532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1A9-4192-A663-944D272086C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1A9-4192-A663-944D272086C7}"/>
                </c:ext>
              </c:extLst>
            </c:dLbl>
            <c:dLbl>
              <c:idx val="8"/>
              <c:layout>
                <c:manualLayout>
                  <c:x val="7.4884358514591617E-3"/>
                  <c:y val="2.59737956356060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1A9-4192-A663-944D272086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 05 2022'!$J$5:$J$13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'02 05 2022'!$L$5:$L$13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0.66666666666666663</c:v>
                </c:pt>
                <c:pt idx="4">
                  <c:v>0.33333333333333331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1A9-4192-A663-944D272086C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E5-42F9-8D7B-F2046C8A449C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E5-42F9-8D7B-F2046C8A449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E5-42F9-8D7B-F2046C8A449C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E5-42F9-8D7B-F2046C8A449C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E5-42F9-8D7B-F2046C8A449C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E5-42F9-8D7B-F2046C8A449C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2E5-42F9-8D7B-F2046C8A449C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2E5-42F9-8D7B-F2046C8A44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2E5-42F9-8D7B-F2046C8A449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E5-42F9-8D7B-F2046C8A44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E5-42F9-8D7B-F2046C8A44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E5-42F9-8D7B-F2046C8A449C}"/>
                </c:ext>
              </c:extLst>
            </c:dLbl>
            <c:dLbl>
              <c:idx val="3"/>
              <c:layout>
                <c:manualLayout>
                  <c:x val="-9.4765382050016021E-3"/>
                  <c:y val="-1.016673218419558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E5-42F9-8D7B-F2046C8A44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E5-42F9-8D7B-F2046C8A44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E5-42F9-8D7B-F2046C8A449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2E5-42F9-8D7B-F2046C8A449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2E5-42F9-8D7B-F2046C8A44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2E5-42F9-8D7B-F2046C8A44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 05 2022'!$J$5:$J$13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'09 05 2022'!$L$5:$L$13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0.66666666666666663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2E5-42F9-8D7B-F2046C8A449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C5-4F8C-91E9-A2B25C9A3F1D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C5-4F8C-91E9-A2B25C9A3F1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C5-4F8C-91E9-A2B25C9A3F1D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C5-4F8C-91E9-A2B25C9A3F1D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C5-4F8C-91E9-A2B25C9A3F1D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BC5-4F8C-91E9-A2B25C9A3F1D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BC5-4F8C-91E9-A2B25C9A3F1D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BC5-4F8C-91E9-A2B25C9A3F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BC5-4F8C-91E9-A2B25C9A3F1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C5-4F8C-91E9-A2B25C9A3F1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C5-4F8C-91E9-A2B25C9A3F1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C5-4F8C-91E9-A2B25C9A3F1D}"/>
                </c:ext>
              </c:extLst>
            </c:dLbl>
            <c:dLbl>
              <c:idx val="3"/>
              <c:layout>
                <c:manualLayout>
                  <c:x val="-9.4765382050016021E-3"/>
                  <c:y val="-1.016673218419558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C5-4F8C-91E9-A2B25C9A3F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C5-4F8C-91E9-A2B25C9A3F1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C5-4F8C-91E9-A2B25C9A3F1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C5-4F8C-91E9-A2B25C9A3F1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BC5-4F8C-91E9-A2B25C9A3F1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BC5-4F8C-91E9-A2B25C9A3F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 05 2022'!$J$5:$J$13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'16 05 2022'!$L$5:$L$13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0.375</c:v>
                </c:pt>
                <c:pt idx="4">
                  <c:v>0</c:v>
                </c:pt>
                <c:pt idx="5">
                  <c:v>0.625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BC5-4F8C-91E9-A2B25C9A3F1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1E-4761-8B50-11D2677E307E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1E-4761-8B50-11D2677E30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1E-4761-8B50-11D2677E307E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1E-4761-8B50-11D2677E307E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1E-4761-8B50-11D2677E307E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1E-4761-8B50-11D2677E307E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1E-4761-8B50-11D2677E307E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1E-4761-8B50-11D2677E30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21E-4761-8B50-11D2677E30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05 2022 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'23 05 2022 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0.75</c:v>
                </c:pt>
                <c:pt idx="6">
                  <c:v>0</c:v>
                </c:pt>
                <c:pt idx="7">
                  <c:v>0.25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21E-4761-8B50-11D2677E307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E3-4CE3-9BD5-DF0070BB40BE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E3-4CE3-9BD5-DF0070BB40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E3-4CE3-9BD5-DF0070BB40BE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E3-4CE3-9BD5-DF0070BB40BE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E3-4CE3-9BD5-DF0070BB40BE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E3-4CE3-9BD5-DF0070BB40BE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1E3-4CE3-9BD5-DF0070BB40BE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1E3-4CE3-9BD5-DF0070BB40B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1E3-4CE3-9BD5-DF0070BB40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 06 2022 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'06 06 2022 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0.25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1E3-4CE3-9BD5-DF0070BB40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39-4A0F-8C0D-87A06C5D1228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39-4A0F-8C0D-87A06C5D122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39-4A0F-8C0D-87A06C5D1228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39-4A0F-8C0D-87A06C5D1228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39-4A0F-8C0D-87A06C5D1228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439-4A0F-8C0D-87A06C5D1228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439-4A0F-8C0D-87A06C5D1228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439-4A0F-8C0D-87A06C5D122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439-4A0F-8C0D-87A06C5D12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 06 2022  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'13 06 2022  '!$L$5:$L$13</c:f>
              <c:numCache>
                <c:formatCode>0%</c:formatCode>
                <c:ptCount val="9"/>
                <c:pt idx="0">
                  <c:v>0</c:v>
                </c:pt>
                <c:pt idx="1">
                  <c:v>0.38461538461538464</c:v>
                </c:pt>
                <c:pt idx="2">
                  <c:v>7.6923076923076927E-2</c:v>
                </c:pt>
                <c:pt idx="3">
                  <c:v>7.6923076923076927E-2</c:v>
                </c:pt>
                <c:pt idx="4">
                  <c:v>0.15384615384615385</c:v>
                </c:pt>
                <c:pt idx="5">
                  <c:v>0</c:v>
                </c:pt>
                <c:pt idx="6">
                  <c:v>7.6923076923076927E-2</c:v>
                </c:pt>
                <c:pt idx="7">
                  <c:v>0.23076923076923078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439-4A0F-8C0D-87A06C5D12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D1-4484-B5E6-EEFACC9D86DF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D1-4484-B5E6-EEFACC9D86D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D1-4484-B5E6-EEFACC9D86DF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D1-4484-B5E6-EEFACC9D86DF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D1-4484-B5E6-EEFACC9D86DF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D1-4484-B5E6-EEFACC9D86DF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AD1-4484-B5E6-EEFACC9D86DF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AD1-4484-B5E6-EEFACC9D86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AD1-4484-B5E6-EEFACC9D86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 06 2022  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'20 06 2022  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AD1-4484-B5E6-EEFACC9D86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D9-4473-9877-3D64E50E7540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D9-4473-9877-3D64E50E754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D9-4473-9877-3D64E50E7540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D9-4473-9877-3D64E50E7540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D9-4473-9877-3D64E50E7540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D9-4473-9877-3D64E50E7540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FD9-4473-9877-3D64E50E7540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FD9-4473-9877-3D64E50E754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FD9-4473-9877-3D64E50E75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06 2022  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'27 06 2022  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FD9-4473-9877-3D64E50E754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sz="1100" b="1" i="0" u="sng" strike="noStrike" baseline="0">
                <a:solidFill>
                  <a:srgbClr val="002060"/>
                </a:solidFill>
                <a:effectLst/>
              </a:rPr>
              <a:t>Atendimento de Irrigação (Impacto - Problemas Elétricos) -  1º Semestre de 2022</a:t>
            </a:r>
            <a:r>
              <a:rPr lang="pt-BR" sz="1100" b="1" i="0" u="sng" strike="noStrike" baseline="0">
                <a:solidFill>
                  <a:srgbClr val="002060"/>
                </a:solidFill>
              </a:rPr>
              <a:t> </a:t>
            </a:r>
            <a:endParaRPr lang="pt-BR" sz="1100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Acumulado!$A$3</c:f>
              <c:strCache>
                <c:ptCount val="1"/>
                <c:pt idx="0">
                  <c:v>Cabo Rompido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186C-431E-A999-F4E1D359887B}"/>
              </c:ext>
            </c:extLst>
          </c:dPt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Acumulado!$B$3:$T$3</c:f>
              <c:numCache>
                <c:formatCode>General</c:formatCode>
                <c:ptCount val="19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C-431E-A999-F4E1D359887B}"/>
            </c:ext>
          </c:extLst>
        </c:ser>
        <c:ser>
          <c:idx val="1"/>
          <c:order val="1"/>
          <c:tx>
            <c:strRef>
              <c:f>Acumulado!$A$4</c:f>
              <c:strCache>
                <c:ptCount val="1"/>
                <c:pt idx="0">
                  <c:v>Transformador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Acumulado!$B$4:$T$4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6C-431E-A999-F4E1D359887B}"/>
            </c:ext>
          </c:extLst>
        </c:ser>
        <c:ser>
          <c:idx val="2"/>
          <c:order val="2"/>
          <c:tx>
            <c:strRef>
              <c:f>Acumulado!$A$5</c:f>
              <c:strCache>
                <c:ptCount val="1"/>
                <c:pt idx="0">
                  <c:v>Chave Aberta</c:v>
                </c:pt>
              </c:strCache>
            </c:strRef>
          </c:tx>
          <c:spPr>
            <a:solidFill>
              <a:srgbClr val="8E2BA5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Acumulado!$B$5:$T$5</c:f>
              <c:numCache>
                <c:formatCode>General</c:formatCode>
                <c:ptCount val="19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6C-431E-A999-F4E1D359887B}"/>
            </c:ext>
          </c:extLst>
        </c:ser>
        <c:ser>
          <c:idx val="3"/>
          <c:order val="3"/>
          <c:tx>
            <c:strRef>
              <c:f>Acumulado!$A$6</c:f>
              <c:strCache>
                <c:ptCount val="1"/>
                <c:pt idx="0">
                  <c:v>Painel da Bomba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Acumulado!$B$6:$T$6</c:f>
              <c:numCache>
                <c:formatCode>General</c:formatCode>
                <c:ptCount val="19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6C-431E-A999-F4E1D359887B}"/>
            </c:ext>
          </c:extLst>
        </c:ser>
        <c:ser>
          <c:idx val="4"/>
          <c:order val="4"/>
          <c:tx>
            <c:strRef>
              <c:f>Acumulado!$A$7</c:f>
              <c:strCache>
                <c:ptCount val="1"/>
                <c:pt idx="0">
                  <c:v>Painel do Pivô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Acumulado!$B$7:$T$7</c:f>
              <c:numCache>
                <c:formatCode>General</c:formatCode>
                <c:ptCount val="19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6C-431E-A999-F4E1D359887B}"/>
            </c:ext>
          </c:extLst>
        </c:ser>
        <c:ser>
          <c:idx val="5"/>
          <c:order val="5"/>
          <c:tx>
            <c:strRef>
              <c:f>Acumulado!$A$8</c:f>
              <c:strCache>
                <c:ptCount val="1"/>
                <c:pt idx="0">
                  <c:v>Contactora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Acumulado!$B$8:$T$8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3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6C-431E-A999-F4E1D359887B}"/>
            </c:ext>
          </c:extLst>
        </c:ser>
        <c:ser>
          <c:idx val="6"/>
          <c:order val="6"/>
          <c:tx>
            <c:strRef>
              <c:f>Acumulado!$A$9</c:f>
              <c:strCache>
                <c:ptCount val="1"/>
                <c:pt idx="0">
                  <c:v>Caixa do Micro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6C-431E-A999-F4E1D359887B}"/>
            </c:ext>
          </c:extLst>
        </c:ser>
        <c:ser>
          <c:idx val="7"/>
          <c:order val="7"/>
          <c:tx>
            <c:strRef>
              <c:f>Acumulado!$A$10</c:f>
              <c:strCache>
                <c:ptCount val="1"/>
                <c:pt idx="0">
                  <c:v>Cabo de Segurança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Acumulado!$B$10:$T$10</c:f>
              <c:numCache>
                <c:formatCode>General</c:formatCode>
                <c:ptCount val="19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6C-431E-A999-F4E1D359887B}"/>
            </c:ext>
          </c:extLst>
        </c:ser>
        <c:ser>
          <c:idx val="8"/>
          <c:order val="8"/>
          <c:tx>
            <c:strRef>
              <c:f>Acumulado!$A$11</c:f>
              <c:strCache>
                <c:ptCount val="1"/>
                <c:pt idx="0">
                  <c:v>Falta de Fase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Acumulado!$B$11:$T$11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54-4BDE-B030-64B8C37B2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182599711"/>
        <c:axId val="1182600127"/>
      </c:barChart>
      <c:dateAx>
        <c:axId val="118259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2600127"/>
        <c:crosses val="autoZero"/>
        <c:auto val="1"/>
        <c:lblOffset val="100"/>
        <c:baseTimeUnit val="days"/>
      </c:dateAx>
      <c:valAx>
        <c:axId val="118260012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259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917956129066392"/>
          <c:y val="0.25272648538580034"/>
          <c:w val="0.31402077470261613"/>
          <c:h val="0.68707398665846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650207786526684"/>
          <c:y val="2.0885547201336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Acumulado!$V$2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217-49EB-8F5A-CEA51279B34F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17-49EB-8F5A-CEA51279B34F}"/>
              </c:ext>
            </c:extLst>
          </c:dPt>
          <c:dPt>
            <c:idx val="2"/>
            <c:bubble3D val="0"/>
            <c:spPr>
              <a:solidFill>
                <a:srgbClr val="8E2B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217-49EB-8F5A-CEA51279B34F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17-49EB-8F5A-CEA51279B34F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217-49EB-8F5A-CEA51279B34F}"/>
              </c:ext>
            </c:extLst>
          </c:dPt>
          <c:dPt>
            <c:idx val="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17-49EB-8F5A-CEA51279B34F}"/>
              </c:ext>
            </c:extLst>
          </c:dPt>
          <c:dPt>
            <c:idx val="6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217-49EB-8F5A-CEA51279B34F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217-49EB-8F5A-CEA51279B34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472-4608-9BFA-5F2B55ABF700}"/>
              </c:ext>
            </c:extLst>
          </c:dPt>
          <c:dLbls>
            <c:dLbl>
              <c:idx val="6"/>
              <c:layout>
                <c:manualLayout>
                  <c:x val="-7.7220077220077335E-3"/>
                  <c:y val="-7.0880094506792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7-49EB-8F5A-CEA51279B34F}"/>
                </c:ext>
              </c:extLst>
            </c:dLbl>
            <c:dLbl>
              <c:idx val="7"/>
              <c:layout>
                <c:manualLayout>
                  <c:x val="2.5740025740025738E-2"/>
                  <c:y val="-3.937783028155148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7-49EB-8F5A-CEA51279B3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" lastClr="FFFFFF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Acumulado!$A$3:$A$11</c:f>
              <c:strCache>
                <c:ptCount val="9"/>
                <c:pt idx="0">
                  <c:v>Cabo Rompido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de Segurança</c:v>
                </c:pt>
                <c:pt idx="8">
                  <c:v>Falta de Fase</c:v>
                </c:pt>
              </c:strCache>
            </c:strRef>
          </c:cat>
          <c:val>
            <c:numRef>
              <c:f>Acumulado!$V$3:$V$11</c:f>
              <c:numCache>
                <c:formatCode>0%</c:formatCode>
                <c:ptCount val="9"/>
                <c:pt idx="0">
                  <c:v>3.4722222222222224E-2</c:v>
                </c:pt>
                <c:pt idx="1">
                  <c:v>9.0277777777777776E-2</c:v>
                </c:pt>
                <c:pt idx="2">
                  <c:v>0.15972222222222221</c:v>
                </c:pt>
                <c:pt idx="3">
                  <c:v>0.1736111111111111</c:v>
                </c:pt>
                <c:pt idx="4">
                  <c:v>0.1388888888888889</c:v>
                </c:pt>
                <c:pt idx="5">
                  <c:v>0.14583333333333334</c:v>
                </c:pt>
                <c:pt idx="6">
                  <c:v>0.10416666666666667</c:v>
                </c:pt>
                <c:pt idx="7">
                  <c:v>0.15277777777777779</c:v>
                </c:pt>
                <c:pt idx="8">
                  <c:v>1.3888888888888888E-2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7-49EB-8F5A-CEA51279B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137160</xdr:rowOff>
    </xdr:from>
    <xdr:to>
      <xdr:col>21</xdr:col>
      <xdr:colOff>0</xdr:colOff>
      <xdr:row>22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2A0AA6-9A60-4653-9E65-31FF4523A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449580</xdr:colOff>
      <xdr:row>0</xdr:row>
      <xdr:rowOff>53340</xdr:rowOff>
    </xdr:from>
    <xdr:to>
      <xdr:col>16</xdr:col>
      <xdr:colOff>261087</xdr:colOff>
      <xdr:row>1</xdr:row>
      <xdr:rowOff>121119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F01282-32F0-46B7-858D-049706DADC0C}"/>
            </a:ext>
          </a:extLst>
        </xdr:cNvPr>
        <xdr:cNvSpPr/>
      </xdr:nvSpPr>
      <xdr:spPr>
        <a:xfrm>
          <a:off x="13098780" y="53340"/>
          <a:ext cx="1030707" cy="25065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23B62F-75CB-4F50-8AD6-E7A61E4DE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449580</xdr:colOff>
      <xdr:row>0</xdr:row>
      <xdr:rowOff>53340</xdr:rowOff>
    </xdr:from>
    <xdr:to>
      <xdr:col>16</xdr:col>
      <xdr:colOff>261087</xdr:colOff>
      <xdr:row>1</xdr:row>
      <xdr:rowOff>121119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9414F9-E9E5-49EA-BD14-BB7576CF018A}"/>
            </a:ext>
          </a:extLst>
        </xdr:cNvPr>
        <xdr:cNvSpPr/>
      </xdr:nvSpPr>
      <xdr:spPr>
        <a:xfrm>
          <a:off x="12803505" y="5334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9628E2-6E13-4133-AB15-6C2CF98F8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449580</xdr:colOff>
      <xdr:row>0</xdr:row>
      <xdr:rowOff>53340</xdr:rowOff>
    </xdr:from>
    <xdr:to>
      <xdr:col>16</xdr:col>
      <xdr:colOff>261087</xdr:colOff>
      <xdr:row>1</xdr:row>
      <xdr:rowOff>121119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7FBEEB-15C2-4C96-BF77-8E45FDB2EACA}"/>
            </a:ext>
          </a:extLst>
        </xdr:cNvPr>
        <xdr:cNvSpPr/>
      </xdr:nvSpPr>
      <xdr:spPr>
        <a:xfrm>
          <a:off x="12822555" y="5334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84AD37-6061-479C-819E-223E657AE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DA5AE9-C81B-4782-8789-973DDEFF717C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CE46AB-A68D-486B-96E8-524865C60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AD47D5-376B-4C95-B9AA-358B37F0CC19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391907-3557-4D5C-8FBB-681F1CDA6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2D4632-96C0-4E4E-8CCE-DC8C29EA659C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6C8C42-3DA6-438C-A6FC-736C17815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7F9403-F94D-41A0-918F-1C6C7E12C762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DE680F-8AB6-4E38-8D0E-398D1C4D0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348851-4B9F-44B5-AFBB-ECF190DD537E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434DF9-D44C-4BCF-99AB-1E0F2B524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E35BDC-745B-4487-9451-DC17CC115640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53C41E-690B-45D5-B81E-E34E716A2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D7A1FA-3A95-4D14-AC3E-5572DDF08F59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9FB7DE-77AF-4F02-909C-A60985E20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164009-F886-4090-A365-6B6FB2AC245C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748FF8-0A6A-44F3-812A-09D549FEC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13D434-FB5E-45DB-A897-939C0DCD407A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5049CF-2591-4A9F-AB6A-1965EA9F7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9AEE95-3311-423E-A195-1357A187705D}"/>
            </a:ext>
            <a:ext uri="{147F2762-F138-4A5C-976F-8EAC2B608ADB}">
              <a16:predDERef xmlns:a16="http://schemas.microsoft.com/office/drawing/2014/main" pred="{4B5049CF-2591-4A9F-AB6A-1965EA9F78A3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487680</xdr:colOff>
      <xdr:row>3</xdr:row>
      <xdr:rowOff>156209</xdr:rowOff>
    </xdr:from>
    <xdr:to>
      <xdr:col>20</xdr:col>
      <xdr:colOff>228600</xdr:colOff>
      <xdr:row>23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ECC043-8FB1-47B0-B231-8996C1B6F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D556D5-0E7B-4D52-A244-891EF4917500}"/>
            </a:ext>
            <a:ext uri="{147F2762-F138-4A5C-976F-8EAC2B608ADB}">
              <a16:predDERef xmlns:a16="http://schemas.microsoft.com/office/drawing/2014/main" pred="{82ECC043-8FB1-47B0-B231-8996C1B6F762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487680</xdr:colOff>
      <xdr:row>3</xdr:row>
      <xdr:rowOff>156209</xdr:rowOff>
    </xdr:from>
    <xdr:to>
      <xdr:col>20</xdr:col>
      <xdr:colOff>228600</xdr:colOff>
      <xdr:row>23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5BE491-1478-4B2F-BC80-E64DA7216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4A8417-6880-4C0B-B9EB-E1F950CAE4D1}"/>
            </a:ext>
            <a:ext uri="{147F2762-F138-4A5C-976F-8EAC2B608ADB}">
              <a16:predDERef xmlns:a16="http://schemas.microsoft.com/office/drawing/2014/main" pred="{765BE491-1478-4B2F-BC80-E64DA7216FDA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487680</xdr:colOff>
      <xdr:row>3</xdr:row>
      <xdr:rowOff>156209</xdr:rowOff>
    </xdr:from>
    <xdr:to>
      <xdr:col>20</xdr:col>
      <xdr:colOff>228600</xdr:colOff>
      <xdr:row>23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4E2C68-8EFD-4218-B633-FA2BF97C0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53C507-B4A1-490B-AD99-F094B9BA9DB6}"/>
            </a:ext>
            <a:ext uri="{147F2762-F138-4A5C-976F-8EAC2B608ADB}">
              <a16:predDERef xmlns:a16="http://schemas.microsoft.com/office/drawing/2014/main" pred="{714E2C68-8EFD-4218-B633-FA2BF97C066F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487680</xdr:colOff>
      <xdr:row>3</xdr:row>
      <xdr:rowOff>156209</xdr:rowOff>
    </xdr:from>
    <xdr:to>
      <xdr:col>20</xdr:col>
      <xdr:colOff>228600</xdr:colOff>
      <xdr:row>23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C1DE6B-C2B4-40B9-8DFE-C47315D5E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13BF47-0E6F-4C22-A907-0BFCBC571648}"/>
            </a:ext>
            <a:ext uri="{147F2762-F138-4A5C-976F-8EAC2B608ADB}">
              <a16:predDERef xmlns:a16="http://schemas.microsoft.com/office/drawing/2014/main" pred="{02C1DE6B-C2B4-40B9-8DFE-C47315D5E762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487680</xdr:colOff>
      <xdr:row>3</xdr:row>
      <xdr:rowOff>156209</xdr:rowOff>
    </xdr:from>
    <xdr:to>
      <xdr:col>20</xdr:col>
      <xdr:colOff>228600</xdr:colOff>
      <xdr:row>23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D80E6A-8825-4C23-ADC7-45F7515D9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A0AB06-0720-4058-B1F1-B2CA944FF4BE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1198245</xdr:colOff>
      <xdr:row>12</xdr:row>
      <xdr:rowOff>175260</xdr:rowOff>
    </xdr:from>
    <xdr:to>
      <xdr:col>9</xdr:col>
      <xdr:colOff>85725</xdr:colOff>
      <xdr:row>28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60D186-89C2-43BE-A351-2F5BB5F7E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219076</xdr:colOff>
      <xdr:row>12</xdr:row>
      <xdr:rowOff>175259</xdr:rowOff>
    </xdr:from>
    <xdr:to>
      <xdr:col>18</xdr:col>
      <xdr:colOff>276226</xdr:colOff>
      <xdr:row>29</xdr:row>
      <xdr:rowOff>161924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DA0A40-4548-4D02-9817-7D164B70DCD9}"/>
            </a:ext>
            <a:ext uri="{147F2762-F138-4A5C-976F-8EAC2B608ADB}">
              <a16:predDERef xmlns:a16="http://schemas.microsoft.com/office/drawing/2014/main" pred="{5160D186-89C2-43BE-A351-2F5BB5F7E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EA56-85C2-43D0-86C5-EDE81783C876}">
  <sheetPr>
    <tabColor theme="7"/>
    <pageSetUpPr fitToPage="1"/>
  </sheetPr>
  <dimension ref="A1:P93"/>
  <sheetViews>
    <sheetView showGridLines="0" topLeftCell="E1" zoomScaleNormal="100" workbookViewId="0">
      <pane ySplit="4" topLeftCell="A17" activePane="bottomLeft" state="frozen"/>
      <selection pane="bottomLeft" activeCell="H18" sqref="H18"/>
    </sheetView>
  </sheetViews>
  <sheetFormatPr defaultRowHeight="15" x14ac:dyDescent="0.25"/>
  <cols>
    <col min="1" max="1" width="8.8554687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0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44613</v>
      </c>
      <c r="C3" s="43">
        <v>44614</v>
      </c>
      <c r="D3" s="43">
        <v>44615</v>
      </c>
      <c r="E3" s="43">
        <v>44616</v>
      </c>
      <c r="F3" s="43">
        <v>44617</v>
      </c>
      <c r="G3" s="43">
        <v>44618</v>
      </c>
      <c r="H3" s="44">
        <v>44619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0">TEXT(C3,"ddd")</f>
        <v>ter</v>
      </c>
      <c r="D4" s="14" t="str">
        <f t="shared" si="0"/>
        <v>qua</v>
      </c>
      <c r="E4" s="14" t="str">
        <f>TEXT(E3,"ddd")</f>
        <v>qui</v>
      </c>
      <c r="F4" s="14" t="str">
        <f t="shared" ref="F4" si="1">TEXT(F3,"ddd")</f>
        <v>sex</v>
      </c>
      <c r="G4" s="14" t="str">
        <f t="shared" ref="G4" si="2">TEXT(G3,"ddd")</f>
        <v>sáb</v>
      </c>
      <c r="H4" s="15" t="str">
        <f>TEXT(H3,"ddd")</f>
        <v>dom</v>
      </c>
      <c r="I4" s="10"/>
      <c r="J4" s="9" t="s">
        <v>3</v>
      </c>
      <c r="K4" s="9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5</v>
      </c>
      <c r="K5" s="4">
        <f>COUNTIF($B$5:$H$93,J5)</f>
        <v>3</v>
      </c>
      <c r="L5" s="5">
        <f>K5/$K$13</f>
        <v>0.1875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 t="shared" ref="K6:K11" si="3">COUNTIF($B$5:$H$93,J6)</f>
        <v>1</v>
      </c>
      <c r="L6" s="5">
        <f t="shared" ref="L6:L12" si="4">K6/$K$13</f>
        <v>6.25E-2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si="3"/>
        <v>0</v>
      </c>
      <c r="L7" s="5">
        <f t="shared" si="4"/>
        <v>0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3"/>
        <v>5</v>
      </c>
      <c r="L8" s="5">
        <f t="shared" si="4"/>
        <v>0.3125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3"/>
        <v>5</v>
      </c>
      <c r="L9" s="5">
        <f t="shared" si="4"/>
        <v>0.3125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3"/>
        <v>0</v>
      </c>
      <c r="L10" s="5">
        <f t="shared" si="4"/>
        <v>0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3"/>
        <v>0</v>
      </c>
      <c r="L11" s="5">
        <f t="shared" si="4"/>
        <v>0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19</v>
      </c>
      <c r="K12" s="6">
        <f>COUNTIF($B$5:$H$93,J12)</f>
        <v>2</v>
      </c>
      <c r="L12" s="7">
        <f t="shared" si="4"/>
        <v>0.125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1" t="s">
        <v>21</v>
      </c>
      <c r="K13" s="1">
        <f>SUM(K5:K12)</f>
        <v>16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23</v>
      </c>
      <c r="B15" s="16"/>
      <c r="C15" s="16"/>
      <c r="D15" s="16"/>
      <c r="E15" s="16"/>
      <c r="F15" s="16" t="s">
        <v>11</v>
      </c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 t="s">
        <v>13</v>
      </c>
      <c r="H18" s="16" t="s">
        <v>13</v>
      </c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 t="s">
        <v>11</v>
      </c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 t="s">
        <v>11</v>
      </c>
      <c r="G24" s="16"/>
      <c r="H24" s="16"/>
    </row>
    <row r="25" spans="1:10" x14ac:dyDescent="0.25">
      <c r="A25" s="11" t="s">
        <v>33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 t="s">
        <v>7</v>
      </c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 t="s">
        <v>19</v>
      </c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 t="s">
        <v>11</v>
      </c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 t="s">
        <v>13</v>
      </c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 t="s">
        <v>5</v>
      </c>
      <c r="G56" s="16" t="s">
        <v>5</v>
      </c>
      <c r="H56" s="16" t="s">
        <v>5</v>
      </c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 t="s">
        <v>13</v>
      </c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 t="s">
        <v>11</v>
      </c>
      <c r="C59" s="16"/>
      <c r="D59" s="16"/>
      <c r="E59" s="16"/>
      <c r="F59" s="16"/>
      <c r="G59" s="16"/>
      <c r="H59" s="16" t="s">
        <v>19</v>
      </c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 t="s">
        <v>13</v>
      </c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phoneticPr fontId="3" type="noConversion"/>
  <conditionalFormatting sqref="A1:A1048576">
    <cfRule type="containsText" dxfId="637" priority="41" operator="containsText" text="Pivô ">
      <formula>NOT(ISERROR(SEARCH("Pivô ",A1)))</formula>
    </cfRule>
  </conditionalFormatting>
  <conditionalFormatting sqref="B5:H93">
    <cfRule type="containsText" dxfId="636" priority="9" operator="containsText" text="Cardã">
      <formula>NOT(ISERROR(SEARCH("Cardã",B5)))</formula>
    </cfRule>
    <cfRule type="containsText" dxfId="635" priority="10" operator="containsText" text="Pneu">
      <formula>NOT(ISERROR(SEARCH("Pneu",B5)))</formula>
    </cfRule>
    <cfRule type="containsText" dxfId="634" priority="11" operator="containsText" text="Vedação">
      <formula>NOT(ISERROR(SEARCH("Vedação",B5)))</formula>
    </cfRule>
    <cfRule type="containsText" dxfId="633" priority="12" operator="containsText" text="Retentor">
      <formula>NOT(ISERROR(SEARCH("Retentor",B5)))</formula>
    </cfRule>
    <cfRule type="containsText" dxfId="632" priority="13" operator="containsText" text="Motorredutor">
      <formula>NOT(ISERROR(SEARCH("Motorredutor",B5)))</formula>
    </cfRule>
    <cfRule type="containsText" dxfId="631" priority="14" operator="containsText" text="Redutor">
      <formula>NOT(ISERROR(SEARCH("Redutor",B5)))</formula>
    </cfRule>
    <cfRule type="containsText" dxfId="630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4E533E46-E30B-4470-9C94-1FF978345C76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6DEF460-D4B0-4568-88CF-1F241851380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F69FADEF-EFAA-4769-93AB-829FD4C963D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F0B80968-5D03-40BD-BA5E-8D3B930A1118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94A8F38C-5BB4-445C-9BA2-781E0684108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F4BDB3D9-4B98-41D4-8F63-604B52E8A3D8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1604C3CD-303F-4346-B639-5325CBB6E0C5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ADEDCAF9-4D61-4FC8-9DFD-DFB4FE858CCD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F5599325-54D0-49BC-883E-27DCB51DAD7C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6" operator="containsText" id="{92B7DD0C-5F9B-4EA1-ACF8-E39AAED4415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AA374E81-452F-48AC-9061-4BE25DDAFF2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774DA52F-1B25-4E43-95DB-5E32DE0CBF2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0DA63C56-B21D-4368-A0FC-F5F1CD1CF5F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0" operator="containsText" id="{835A2CAF-D2F7-4537-976F-4E1485E4768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8B4ED8D1-444E-4F6C-B305-FC6F5EA771D5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D1EF1ACB-E474-428E-9B28-189D9FA67F8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239FF8B6-55AD-45DD-8CDF-3815D787039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DE4273CA-B44C-4CE3-8EC2-8996D272605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C0EEF245-4AAE-4329-B446-F0349B889EC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9E306CCD-2F98-40FD-998D-D801D2808373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E49C1EEB-9E16-4320-BF23-1FA150F8046A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935771A5-406A-447B-A371-CB865204DC9D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16D64CA5-1599-4934-9CB7-2F0B282E829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74BE48DA-3CDA-474B-86B2-890DBCB25617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BED5AC0F-7323-4862-B086-64BE6B45D552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8006E419-B73B-4640-9538-ECDEC583B72D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1930-43FC-4B9A-969C-3534AFA4CD0A}">
  <sheetPr>
    <tabColor theme="7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J16" sqref="J16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102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44620</v>
      </c>
      <c r="C3" s="43">
        <f>B3+1</f>
        <v>44621</v>
      </c>
      <c r="D3" s="43">
        <f t="shared" ref="D3:H3" si="0">C3+1</f>
        <v>44622</v>
      </c>
      <c r="E3" s="43">
        <f t="shared" si="0"/>
        <v>44623</v>
      </c>
      <c r="F3" s="43">
        <f t="shared" si="0"/>
        <v>44624</v>
      </c>
      <c r="G3" s="43">
        <f t="shared" si="0"/>
        <v>44625</v>
      </c>
      <c r="H3" s="43">
        <f t="shared" si="0"/>
        <v>44626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5</v>
      </c>
      <c r="K5" s="4">
        <f>COUNTIF($B$5:$H$93,J5)</f>
        <v>1</v>
      </c>
      <c r="L5" s="5">
        <f>K5/$K$13</f>
        <v>7.1428571428571425E-2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 t="shared" ref="K6:K11" si="3">COUNTIF($B$5:$H$93,J6)</f>
        <v>2</v>
      </c>
      <c r="L6" s="5">
        <f t="shared" ref="L6:L12" si="4">K6/$K$13</f>
        <v>0.14285714285714285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si="3"/>
        <v>3</v>
      </c>
      <c r="L7" s="5">
        <f t="shared" si="4"/>
        <v>0.21428571428571427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3"/>
        <v>2</v>
      </c>
      <c r="L8" s="5">
        <f t="shared" si="4"/>
        <v>0.14285714285714285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3"/>
        <v>1</v>
      </c>
      <c r="L9" s="5">
        <f t="shared" si="4"/>
        <v>7.1428571428571425E-2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3"/>
        <v>5</v>
      </c>
      <c r="L10" s="5">
        <f t="shared" si="4"/>
        <v>0.35714285714285715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3"/>
        <v>0</v>
      </c>
      <c r="L11" s="5">
        <f t="shared" si="4"/>
        <v>0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19</v>
      </c>
      <c r="K12" s="6">
        <f>COUNTIF($B$5:$H$93,J12)</f>
        <v>0</v>
      </c>
      <c r="L12" s="7">
        <f t="shared" si="4"/>
        <v>0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1" t="s">
        <v>21</v>
      </c>
      <c r="K13" s="1">
        <f>SUM(K5:K12)</f>
        <v>14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 t="s">
        <v>11</v>
      </c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 t="s">
        <v>11</v>
      </c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 t="s">
        <v>15</v>
      </c>
      <c r="C34" s="16" t="s">
        <v>15</v>
      </c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 t="s">
        <v>15</v>
      </c>
      <c r="H37" s="16" t="s">
        <v>15</v>
      </c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 t="s">
        <v>7</v>
      </c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 t="s">
        <v>7</v>
      </c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 t="s">
        <v>13</v>
      </c>
      <c r="H55" s="16"/>
    </row>
    <row r="56" spans="1:8" x14ac:dyDescent="0.25">
      <c r="A56" s="11" t="s">
        <v>64</v>
      </c>
      <c r="B56" s="16" t="s">
        <v>5</v>
      </c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 t="s">
        <v>9</v>
      </c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 t="s">
        <v>9</v>
      </c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 t="s">
        <v>9</v>
      </c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 t="s">
        <v>15</v>
      </c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604" priority="33" operator="containsText" text="Pivô ">
      <formula>NOT(ISERROR(SEARCH("Pivô ",A1)))</formula>
    </cfRule>
  </conditionalFormatting>
  <conditionalFormatting sqref="B5:H93">
    <cfRule type="containsText" dxfId="603" priority="9" operator="containsText" text="Cardã">
      <formula>NOT(ISERROR(SEARCH("Cardã",B5)))</formula>
    </cfRule>
    <cfRule type="containsText" dxfId="602" priority="10" operator="containsText" text="Pneu">
      <formula>NOT(ISERROR(SEARCH("Pneu",B5)))</formula>
    </cfRule>
    <cfRule type="containsText" dxfId="601" priority="11" operator="containsText" text="Vedação">
      <formula>NOT(ISERROR(SEARCH("Vedação",B5)))</formula>
    </cfRule>
    <cfRule type="containsText" dxfId="600" priority="12" operator="containsText" text="Retentor">
      <formula>NOT(ISERROR(SEARCH("Retentor",B5)))</formula>
    </cfRule>
    <cfRule type="containsText" dxfId="599" priority="13" operator="containsText" text="Motorredutor">
      <formula>NOT(ISERROR(SEARCH("Motorredutor",B5)))</formula>
    </cfRule>
    <cfRule type="containsText" dxfId="598" priority="14" operator="containsText" text="Redutor">
      <formula>NOT(ISERROR(SEARCH("Redutor",B5)))</formula>
    </cfRule>
    <cfRule type="containsText" dxfId="597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2CF5DB86-23C0-42F6-A2A1-471027A81E72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2077FC6-4A92-42AC-BAA6-1CA127C22A3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185D2692-0AEA-4BAB-BCBB-D6AFDB29705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0E84B1AD-189F-4DDF-BDD6-A4B8210B5692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84CB3DF3-8CDD-4490-94BD-2754DB018469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9E232970-161C-4F41-B02F-60B1597D8F51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6E638E06-6EBE-417E-8F4F-60ECB5941CC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E6A4F49D-C935-4B92-8412-7BB237E8A755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73455A03-D095-460D-9DB6-30BF3D447A91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6" operator="containsText" id="{3DEE02CC-FF18-4117-B4BC-DBBF4B55FFB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2D4F9586-03DD-4992-A50A-B6A6D8711AB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252A0295-9ECC-4B58-8103-ECF89E4ED86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356F5DC9-CF21-4E06-8643-E2FDED401FA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0" operator="containsText" id="{72D37E7C-39F7-4CB3-A712-6CB890F9B84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06347012-AC0C-4125-B619-65A47F4E3D89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DDF90261-E394-4AF9-91D7-92023E234D2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4EF5AEBF-9B59-451F-8DF1-31D299E401E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309CD957-0D8F-4532-A06E-61FD0C14AD7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340D2A6C-7E63-41E2-8159-20656954AC2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6776933F-8446-421E-ACB0-C6D8108139BD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C316E495-3EC0-4C03-A5A2-D8D7F315B9B6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49B861DD-F9F8-40F3-B230-FC722D40B3A6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22CA97F8-F9B7-440B-8420-BF6377134A6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18B2D7FF-624A-46D5-9D70-53925A5E8684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3C273D6D-0EC1-4230-B96E-BBCA14C2AB44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62907824-F60D-4C4E-B00A-D79524D040DA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8E85-FAF5-4038-9BCA-8731ABA6D921}">
  <sheetPr>
    <tabColor theme="7"/>
    <pageSetUpPr fitToPage="1"/>
  </sheetPr>
  <dimension ref="A1:P93"/>
  <sheetViews>
    <sheetView showGridLines="0" zoomScaleNormal="100" workbookViewId="0">
      <pane ySplit="4" topLeftCell="A21" activePane="bottomLeft" state="frozen"/>
      <selection pane="bottomLeft" activeCell="J18" sqref="J18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103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44627</v>
      </c>
      <c r="C3" s="43">
        <f>B3+1</f>
        <v>44628</v>
      </c>
      <c r="D3" s="43">
        <f t="shared" ref="D3:H3" si="0">C3+1</f>
        <v>44629</v>
      </c>
      <c r="E3" s="43">
        <f t="shared" si="0"/>
        <v>44630</v>
      </c>
      <c r="F3" s="43">
        <f t="shared" si="0"/>
        <v>44631</v>
      </c>
      <c r="G3" s="43">
        <f t="shared" si="0"/>
        <v>44632</v>
      </c>
      <c r="H3" s="43">
        <f t="shared" si="0"/>
        <v>44633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0</v>
      </c>
      <c r="L5" s="5">
        <f>K5/$K$13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>COUNTIF($B$5:$H$93,J6)</f>
        <v>2</v>
      </c>
      <c r="L6" s="5">
        <f t="shared" ref="L6:L12" si="3">K6/$K$13</f>
        <v>0.33333333333333331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ref="K7:K11" si="4">COUNTIF($B$5:$H$93,J7)</f>
        <v>0</v>
      </c>
      <c r="L7" s="5">
        <f t="shared" si="3"/>
        <v>0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0</v>
      </c>
      <c r="L8" s="5">
        <f t="shared" si="3"/>
        <v>0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4"/>
        <v>1</v>
      </c>
      <c r="L9" s="5">
        <f t="shared" si="3"/>
        <v>0.16666666666666666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4"/>
        <v>3</v>
      </c>
      <c r="L10" s="5">
        <f t="shared" si="3"/>
        <v>0.5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0</v>
      </c>
      <c r="L11" s="5">
        <f t="shared" si="3"/>
        <v>0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6">
        <f>COUNTIF($B$5:$H$93,J12)</f>
        <v>0</v>
      </c>
      <c r="L12" s="7">
        <f t="shared" si="3"/>
        <v>0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1" t="s">
        <v>21</v>
      </c>
      <c r="K13" s="1">
        <f>SUM(K5:K12)</f>
        <v>6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 t="s">
        <v>15</v>
      </c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 t="s">
        <v>15</v>
      </c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 t="s">
        <v>13</v>
      </c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 t="s">
        <v>7</v>
      </c>
      <c r="D71" s="16" t="s">
        <v>7</v>
      </c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 t="s">
        <v>15</v>
      </c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571" priority="33" operator="containsText" text="Pivô ">
      <formula>NOT(ISERROR(SEARCH("Pivô ",A1)))</formula>
    </cfRule>
  </conditionalFormatting>
  <conditionalFormatting sqref="B5:H93">
    <cfRule type="containsText" dxfId="570" priority="9" operator="containsText" text="Cardã">
      <formula>NOT(ISERROR(SEARCH("Cardã",B5)))</formula>
    </cfRule>
    <cfRule type="containsText" dxfId="569" priority="10" operator="containsText" text="Pneu">
      <formula>NOT(ISERROR(SEARCH("Pneu",B5)))</formula>
    </cfRule>
    <cfRule type="containsText" dxfId="568" priority="11" operator="containsText" text="Vedação">
      <formula>NOT(ISERROR(SEARCH("Vedação",B5)))</formula>
    </cfRule>
    <cfRule type="containsText" dxfId="567" priority="12" operator="containsText" text="Retentor">
      <formula>NOT(ISERROR(SEARCH("Retentor",B5)))</formula>
    </cfRule>
    <cfRule type="containsText" dxfId="566" priority="13" operator="containsText" text="Motorredutor">
      <formula>NOT(ISERROR(SEARCH("Motorredutor",B5)))</formula>
    </cfRule>
    <cfRule type="containsText" dxfId="565" priority="14" operator="containsText" text="Redutor">
      <formula>NOT(ISERROR(SEARCH("Redutor",B5)))</formula>
    </cfRule>
    <cfRule type="containsText" dxfId="564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F5A7948E-9CF7-4C07-8A7C-ED5683509A28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6EBDCCB-AFDB-493E-885C-7628F2004E7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B44E4D20-20E4-4691-8C22-9E8053C2A5A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B665BF94-0C3C-4BC9-A067-466A9A82C71D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DF1226F7-2C83-4808-B601-75DFC4B0FA5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AA9BCCDF-FDDE-4811-9D01-86EA6340E9FA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CAD2C384-6DC3-4D62-882D-1169914D89F7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93394046-09BF-43A2-A4F2-95C4C3F60C42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0080DB50-6793-48EB-A509-592B367418E6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6" operator="containsText" id="{3BA70609-D357-4BE4-8701-F486476EFCF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D813006E-C6C1-45B7-B789-5EAD79ED12D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29217DF4-B6A7-4C07-9393-EC6177A28E1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8A4BCEE9-8BA9-4AAC-9A22-2241D1EA42B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0" operator="containsText" id="{A1C3B5F0-D42B-47B9-AB0A-BEBB147683C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1424471B-D9E0-4150-8FB6-71D67123296F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8F6FCAB2-BA84-4066-AFA4-37B0B2ACAF1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192E2E5E-6C46-4F5E-B343-FF30C434E17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EE5B3A18-3092-4724-BA3F-875CCA03B552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EED3AABF-A3A6-452F-BF15-30ECAC499E8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66C7FEFC-B16D-4199-A43F-A651C1745DB2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5941D587-C5EB-4985-9BF1-FD6517129812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B9D5712D-EA10-4627-B80C-B313EA7D5A50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FFF76C27-8FEE-4937-AEB1-23D6D842C9D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744A7073-0202-4704-9E5C-D2DC16DE8412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0B65088C-270F-405F-8F97-06423F688323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6D10A851-16EC-4DCF-99AB-2D29151B5DF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A8CF-DD91-41FC-804B-D253C8F1B8E8}">
  <sheetPr>
    <tabColor theme="7"/>
    <pageSetUpPr fitToPage="1"/>
  </sheetPr>
  <dimension ref="A1:P93"/>
  <sheetViews>
    <sheetView showGridLines="0" zoomScaleNormal="100" workbookViewId="0">
      <pane ySplit="4" topLeftCell="A35" activePane="bottomLeft" state="frozen"/>
      <selection pane="bottomLeft" activeCell="H6" sqref="H6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106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44634</v>
      </c>
      <c r="C3" s="43">
        <f>B3+1</f>
        <v>44635</v>
      </c>
      <c r="D3" s="43">
        <f t="shared" ref="D3:H3" si="0">C3+1</f>
        <v>44636</v>
      </c>
      <c r="E3" s="43">
        <f t="shared" si="0"/>
        <v>44637</v>
      </c>
      <c r="F3" s="43">
        <f t="shared" si="0"/>
        <v>44638</v>
      </c>
      <c r="G3" s="43">
        <f t="shared" si="0"/>
        <v>44639</v>
      </c>
      <c r="H3" s="43">
        <f t="shared" si="0"/>
        <v>44640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0</v>
      </c>
      <c r="L5" s="5">
        <f>K5/$K$13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>COUNTIF($B$5:$H$93,J6)</f>
        <v>2</v>
      </c>
      <c r="L6" s="5">
        <f t="shared" ref="L6:L12" si="3">K6/$K$13</f>
        <v>0.2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ref="K7:K11" si="4">COUNTIF($B$5:$H$93,J7)</f>
        <v>0</v>
      </c>
      <c r="L7" s="5">
        <f t="shared" si="3"/>
        <v>0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3</v>
      </c>
      <c r="L8" s="5">
        <f t="shared" si="3"/>
        <v>0.3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4"/>
        <v>0</v>
      </c>
      <c r="L9" s="5">
        <f t="shared" si="3"/>
        <v>0</v>
      </c>
      <c r="P9" s="2"/>
    </row>
    <row r="10" spans="1:16" x14ac:dyDescent="0.25">
      <c r="A10" s="11" t="s">
        <v>14</v>
      </c>
      <c r="B10" s="16"/>
      <c r="C10" s="16" t="s">
        <v>17</v>
      </c>
      <c r="D10" s="16" t="s">
        <v>11</v>
      </c>
      <c r="E10" s="16"/>
      <c r="F10" s="16"/>
      <c r="G10" s="16"/>
      <c r="H10" s="16"/>
      <c r="J10" s="22" t="s">
        <v>15</v>
      </c>
      <c r="K10" s="4">
        <f t="shared" si="4"/>
        <v>1</v>
      </c>
      <c r="L10" s="5">
        <f t="shared" si="3"/>
        <v>0.1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1</v>
      </c>
      <c r="L11" s="5">
        <f t="shared" si="3"/>
        <v>0.1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6">
        <f>COUNTIF($B$5:$H$93,J12)</f>
        <v>3</v>
      </c>
      <c r="L12" s="7">
        <f t="shared" si="3"/>
        <v>0.3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1" t="s">
        <v>21</v>
      </c>
      <c r="K13" s="1">
        <f>SUM(K5:K12)</f>
        <v>10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/>
      <c r="D25" s="16"/>
      <c r="E25" s="16"/>
      <c r="F25" s="16"/>
      <c r="G25" s="16"/>
      <c r="H25" s="16" t="s">
        <v>105</v>
      </c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 t="s">
        <v>15</v>
      </c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 t="s">
        <v>105</v>
      </c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 t="s">
        <v>7</v>
      </c>
      <c r="C39" s="16" t="s">
        <v>7</v>
      </c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 t="s">
        <v>105</v>
      </c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 t="s">
        <v>11</v>
      </c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 t="s">
        <v>11</v>
      </c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538" priority="33" operator="containsText" text="Pivô ">
      <formula>NOT(ISERROR(SEARCH("Pivô ",A1)))</formula>
    </cfRule>
  </conditionalFormatting>
  <conditionalFormatting sqref="B5:H93">
    <cfRule type="containsText" dxfId="537" priority="9" operator="containsText" text="Cardã">
      <formula>NOT(ISERROR(SEARCH("Cardã",B5)))</formula>
    </cfRule>
    <cfRule type="containsText" dxfId="536" priority="10" operator="containsText" text="Pneu">
      <formula>NOT(ISERROR(SEARCH("Pneu",B5)))</formula>
    </cfRule>
    <cfRule type="containsText" dxfId="535" priority="11" operator="containsText" text="Vedação">
      <formula>NOT(ISERROR(SEARCH("Vedação",B5)))</formula>
    </cfRule>
    <cfRule type="containsText" dxfId="534" priority="12" operator="containsText" text="Retentor">
      <formula>NOT(ISERROR(SEARCH("Retentor",B5)))</formula>
    </cfRule>
    <cfRule type="containsText" dxfId="533" priority="13" operator="containsText" text="Motorredutor">
      <formula>NOT(ISERROR(SEARCH("Motorredutor",B5)))</formula>
    </cfRule>
    <cfRule type="containsText" dxfId="532" priority="14" operator="containsText" text="Redutor">
      <formula>NOT(ISERROR(SEARCH("Redutor",B5)))</formula>
    </cfRule>
    <cfRule type="containsText" dxfId="531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A6EB8E34-3F6B-4010-8E82-C84B223CAF40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F1ED65F-1E5E-435E-BCFC-0C454AF3F55D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3BB7C48B-1F32-42E0-91C8-65929AFE5E1A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ACD83D96-91A7-4A21-9D9E-20FB5FD9DDAE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83004898-5043-4EED-87ED-FD6C1748259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F612ABBE-6538-44B6-BEDE-DE9B0DC3443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2CA3E39A-EE3F-4ED2-8DCC-F4ECC2246AE9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77945BBA-A1C1-450C-ABBE-A0E3BD8C7A27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B537DBB4-B856-4E8D-9F68-1F1818F93DAA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6" operator="containsText" id="{8140063C-A724-4CD4-8211-31011351BD8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B6518EFE-425F-4D00-9869-5C8D0A928242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C82BDFAF-9AC9-42ED-BE77-E0316ECD30DE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EAC06411-6B26-4286-9A42-E62A294C403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0" operator="containsText" id="{2A4FB82C-A154-46DD-9496-0000C1DBA34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C7CEE6D9-2C96-4A56-A3B3-C5A6CFD50CF8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67191EF8-6FA0-4F5B-A674-1668B691E7D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98C7CE21-1BF7-4EAC-8B8F-1E2C009C35B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4F8CF9A9-F07B-467B-B01C-5E34CBA73E6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E92D206B-008B-42DC-BFF1-577E71F0581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9292F79B-0EAD-4146-9A72-D41DD00263BB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65546EA2-7008-4829-8787-0B6CA50A880B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02DD5CA0-F65F-4097-ADE7-588D85A2EC5D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2D7B8FB9-44A9-4742-9297-2963386FAB6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4CBF6FCA-4017-4C02-9211-5FC182C88091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5F18F1D8-C5A9-4447-ADE8-A4DB523B6984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F26283C9-39E4-4D05-BB4F-0AF8B1CEB1F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AF46-CFC3-40A8-BFCC-58A428B49C51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I21" sqref="I21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107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44641</v>
      </c>
      <c r="C3" s="43">
        <f>B3+1</f>
        <v>44642</v>
      </c>
      <c r="D3" s="43">
        <f t="shared" ref="D3:H3" si="0">C3+1</f>
        <v>44643</v>
      </c>
      <c r="E3" s="43">
        <f t="shared" si="0"/>
        <v>44644</v>
      </c>
      <c r="F3" s="43">
        <f t="shared" si="0"/>
        <v>44645</v>
      </c>
      <c r="G3" s="43">
        <f t="shared" si="0"/>
        <v>44646</v>
      </c>
      <c r="H3" s="43">
        <f t="shared" si="0"/>
        <v>44647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0</v>
      </c>
      <c r="L5" s="5">
        <f>K5/$K$13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>COUNTIF($B$5:$H$93,J6)</f>
        <v>0</v>
      </c>
      <c r="L6" s="5">
        <f t="shared" ref="L6:L12" si="3">K6/$K$13</f>
        <v>0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ref="K7:K11" si="4">COUNTIF($B$5:$H$93,J7)</f>
        <v>0</v>
      </c>
      <c r="L7" s="5">
        <f t="shared" si="3"/>
        <v>0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1</v>
      </c>
      <c r="L8" s="5">
        <f t="shared" si="3"/>
        <v>0.14285714285714285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4"/>
        <v>2</v>
      </c>
      <c r="L9" s="5">
        <f t="shared" si="3"/>
        <v>0.2857142857142857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4"/>
        <v>0</v>
      </c>
      <c r="L10" s="5">
        <f t="shared" si="3"/>
        <v>0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0</v>
      </c>
      <c r="L11" s="5">
        <f t="shared" si="3"/>
        <v>0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6">
        <f>COUNTIF($B$5:$H$93,J12)</f>
        <v>4</v>
      </c>
      <c r="L12" s="7">
        <f t="shared" si="3"/>
        <v>0.5714285714285714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1" t="s">
        <v>21</v>
      </c>
      <c r="K13" s="1">
        <f>SUM(K5:K12)</f>
        <v>7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 t="s">
        <v>105</v>
      </c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/>
      <c r="D25" s="16" t="s">
        <v>105</v>
      </c>
      <c r="E25" s="16"/>
      <c r="F25" s="16"/>
      <c r="G25" s="16" t="s">
        <v>105</v>
      </c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 t="s">
        <v>13</v>
      </c>
      <c r="D31" s="16"/>
      <c r="E31" s="16"/>
      <c r="F31" s="16"/>
      <c r="G31" s="16"/>
      <c r="H31" s="16"/>
    </row>
    <row r="32" spans="1:10" x14ac:dyDescent="0.25">
      <c r="A32" s="11" t="s">
        <v>40</v>
      </c>
      <c r="B32" s="16" t="s">
        <v>13</v>
      </c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 t="s">
        <v>11</v>
      </c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 t="s">
        <v>105</v>
      </c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505" priority="33" operator="containsText" text="Pivô ">
      <formula>NOT(ISERROR(SEARCH("Pivô ",A1)))</formula>
    </cfRule>
  </conditionalFormatting>
  <conditionalFormatting sqref="B5:H93">
    <cfRule type="containsText" dxfId="504" priority="9" operator="containsText" text="Cardã">
      <formula>NOT(ISERROR(SEARCH("Cardã",B5)))</formula>
    </cfRule>
    <cfRule type="containsText" dxfId="503" priority="10" operator="containsText" text="Pneu">
      <formula>NOT(ISERROR(SEARCH("Pneu",B5)))</formula>
    </cfRule>
    <cfRule type="containsText" dxfId="502" priority="11" operator="containsText" text="Vedação">
      <formula>NOT(ISERROR(SEARCH("Vedação",B5)))</formula>
    </cfRule>
    <cfRule type="containsText" dxfId="501" priority="12" operator="containsText" text="Retentor">
      <formula>NOT(ISERROR(SEARCH("Retentor",B5)))</formula>
    </cfRule>
    <cfRule type="containsText" dxfId="500" priority="13" operator="containsText" text="Motorredutor">
      <formula>NOT(ISERROR(SEARCH("Motorredutor",B5)))</formula>
    </cfRule>
    <cfRule type="containsText" dxfId="499" priority="14" operator="containsText" text="Redutor">
      <formula>NOT(ISERROR(SEARCH("Redutor",B5)))</formula>
    </cfRule>
    <cfRule type="containsText" dxfId="498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5147DB5C-EB88-4AA3-9081-8D69A408FBA3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2C056E5-437C-4265-884A-9EC391613CA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BF319B11-FB8D-4460-A49F-ED1BB7E6892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7683278C-65AC-40E1-82FF-37EF984722F4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013DAABF-5886-4E79-9E6C-699CAD78384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75627D63-72E6-4096-8C71-C875EDADEC1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3CF69BCC-261C-451A-A18D-9B555B2539CE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9A0E6178-D1B5-431C-A872-311AA0FCA267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4FD7BD6A-F694-4BD7-93DD-658FC18C5E4D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6" operator="containsText" id="{0A862647-18D3-4770-A6E7-B503FEA43CE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C5ABB5CC-4E3A-4D21-9234-A1861F9BF7A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64FE405E-F0E5-495E-AEAB-92241051A74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E43D24AC-4ECE-40B5-A4E7-9FC50457A52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0" operator="containsText" id="{3B8457FE-C7ED-4443-9198-18022F06542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21644C82-089B-40C2-A437-04452C9B57C6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A01E2041-BBE0-4C8D-A490-6BCF6E11B0C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682B4E1C-2F4A-404F-80C0-903DAAB995C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6821CF37-090A-4DFD-88EF-1BF146F787E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3B459FDE-41EB-4DAA-B510-1588F0C4685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7B14B700-8181-48EC-AABD-CA0E40D4AB0E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1DEA4599-DACB-4267-B4BE-AFB3463E9441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E017AD44-A58C-4C05-A938-A2C2A6056C9C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F3F31C7C-33FE-46C9-A38A-05E5AC96153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23C97761-FD1E-41CA-B428-49D148883C83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B76A2742-6B1D-405F-A07F-D6396FCF94E2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EE1A8569-FC22-40AC-AF3A-19ECFA3FB6C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60E8-C68F-4081-83A2-CE069B610EF3}">
  <sheetPr>
    <tabColor theme="7"/>
    <pageSetUpPr fitToPage="1"/>
  </sheetPr>
  <dimension ref="A1:P93"/>
  <sheetViews>
    <sheetView showGridLines="0" zoomScaleNormal="100" workbookViewId="0">
      <pane ySplit="4" topLeftCell="A47" activePane="bottomLeft" state="frozen"/>
      <selection pane="bottomLeft" activeCell="K51" sqref="K51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108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44648</v>
      </c>
      <c r="C3" s="43">
        <f>B3+1</f>
        <v>44649</v>
      </c>
      <c r="D3" s="43">
        <f t="shared" ref="D3:H3" si="0">C3+1</f>
        <v>44650</v>
      </c>
      <c r="E3" s="43">
        <f t="shared" si="0"/>
        <v>44651</v>
      </c>
      <c r="F3" s="43">
        <f t="shared" si="0"/>
        <v>44652</v>
      </c>
      <c r="G3" s="43">
        <f t="shared" si="0"/>
        <v>44653</v>
      </c>
      <c r="H3" s="43">
        <f t="shared" si="0"/>
        <v>44654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1</v>
      </c>
      <c r="L5" s="5">
        <f>K5/$K$13</f>
        <v>9.0909090909090912E-2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>COUNTIF($B$5:$H$93,J6)</f>
        <v>0</v>
      </c>
      <c r="L6" s="5">
        <f t="shared" ref="L6:L12" si="3">K6/$K$13</f>
        <v>0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ref="K7:K11" si="4">COUNTIF($B$5:$H$93,J7)</f>
        <v>4</v>
      </c>
      <c r="L7" s="5">
        <f t="shared" si="3"/>
        <v>0.36363636363636365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0</v>
      </c>
      <c r="L8" s="5">
        <f t="shared" si="3"/>
        <v>0</v>
      </c>
    </row>
    <row r="9" spans="1:16" x14ac:dyDescent="0.25">
      <c r="A9" s="11" t="s">
        <v>12</v>
      </c>
      <c r="B9" s="16" t="s">
        <v>17</v>
      </c>
      <c r="C9" s="16"/>
      <c r="D9" s="16"/>
      <c r="E9" s="16"/>
      <c r="F9" s="16"/>
      <c r="G9" s="16"/>
      <c r="H9" s="16"/>
      <c r="J9" s="21" t="s">
        <v>13</v>
      </c>
      <c r="K9" s="4">
        <f t="shared" si="4"/>
        <v>1</v>
      </c>
      <c r="L9" s="5">
        <f t="shared" si="3"/>
        <v>9.0909090909090912E-2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 t="s">
        <v>13</v>
      </c>
      <c r="G10" s="16" t="s">
        <v>17</v>
      </c>
      <c r="H10" s="16"/>
      <c r="J10" s="22" t="s">
        <v>15</v>
      </c>
      <c r="K10" s="4">
        <f t="shared" si="4"/>
        <v>1</v>
      </c>
      <c r="L10" s="5">
        <f t="shared" si="3"/>
        <v>9.0909090909090912E-2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2</v>
      </c>
      <c r="L11" s="5">
        <f t="shared" si="3"/>
        <v>0.18181818181818182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6">
        <f>COUNTIF($B$5:$H$93,J12)</f>
        <v>2</v>
      </c>
      <c r="L12" s="7">
        <f t="shared" si="3"/>
        <v>0.18181818181818182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1" t="s">
        <v>21</v>
      </c>
      <c r="K13" s="1">
        <f>SUM(K5:K12)</f>
        <v>11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 t="s">
        <v>15</v>
      </c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 t="s">
        <v>105</v>
      </c>
      <c r="C25" s="16"/>
      <c r="D25" s="16"/>
      <c r="E25" s="16" t="s">
        <v>105</v>
      </c>
      <c r="F25" s="16"/>
      <c r="G25" s="16"/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 t="s">
        <v>9</v>
      </c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 t="s">
        <v>9</v>
      </c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 t="s">
        <v>9</v>
      </c>
      <c r="H58" s="16"/>
    </row>
    <row r="59" spans="1:8" x14ac:dyDescent="0.25">
      <c r="A59" s="11" t="s">
        <v>67</v>
      </c>
      <c r="B59" s="16" t="s">
        <v>104</v>
      </c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 t="s">
        <v>9</v>
      </c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472" priority="33" operator="containsText" text="Pivô ">
      <formula>NOT(ISERROR(SEARCH("Pivô ",A1)))</formula>
    </cfRule>
  </conditionalFormatting>
  <conditionalFormatting sqref="B5:H93">
    <cfRule type="containsText" dxfId="471" priority="9" operator="containsText" text="Cardã">
      <formula>NOT(ISERROR(SEARCH("Cardã",B5)))</formula>
    </cfRule>
    <cfRule type="containsText" dxfId="470" priority="10" operator="containsText" text="Pneu">
      <formula>NOT(ISERROR(SEARCH("Pneu",B5)))</formula>
    </cfRule>
    <cfRule type="containsText" dxfId="469" priority="11" operator="containsText" text="Vedação">
      <formula>NOT(ISERROR(SEARCH("Vedação",B5)))</formula>
    </cfRule>
    <cfRule type="containsText" dxfId="468" priority="12" operator="containsText" text="Retentor">
      <formula>NOT(ISERROR(SEARCH("Retentor",B5)))</formula>
    </cfRule>
    <cfRule type="containsText" dxfId="467" priority="13" operator="containsText" text="Motorredutor">
      <formula>NOT(ISERROR(SEARCH("Motorredutor",B5)))</formula>
    </cfRule>
    <cfRule type="containsText" dxfId="466" priority="14" operator="containsText" text="Redutor">
      <formula>NOT(ISERROR(SEARCH("Redutor",B5)))</formula>
    </cfRule>
    <cfRule type="containsText" dxfId="465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5CCEEF4B-A5E7-4583-A901-8AEF8C2094EF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FA06703-90D3-464B-B6B0-369FCAA511D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34ACA5B3-0092-4DD7-B1D7-0E6D26D4542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467E4EAE-A414-4575-94E8-218E1BF02694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17029AAB-B025-4E45-A44A-A0C388DC09BF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3966532E-1145-4002-9E4E-696320790011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5DCB9124-CCE7-44E4-9A9A-0E91F3AC7F6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CB7083D4-7F13-45D4-966E-36B12E218BA1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CC751BD8-F0C3-4B32-AA80-6712DE2D4D04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6" operator="containsText" id="{5262A7DA-1EEA-402F-B9BC-8533BE27318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AE6E85C3-8B7C-4E54-BBC6-25B67EFF30A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66F9423E-7117-4BCD-A12A-6D0810556D9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B545365E-517D-42C6-8619-B3D00396B46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0" operator="containsText" id="{CBA539FA-0AA9-45E3-9C11-047DE7799A5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33CBA677-89C8-4C47-823C-0C80395EDE93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8B039492-BA9F-40F0-B2EC-560ECC64071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664A6CF2-B0D7-4157-B101-0A43227AAACE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38DDE330-9A60-41CE-A82B-6845D88458A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DF30246A-0D16-46E9-99E8-F815D26340C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C6B421E1-FFAB-4D33-ABF3-83841C5614A8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C7DF53AD-CF73-403B-BE40-D327D90ADE49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9E8D0B3F-D90C-4348-B184-5BFCAEA47FC6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D6C4A28E-B918-410A-962C-BB4C9E7DBBE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13014595-C241-4DB2-A07E-D98C42E0BF60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00F25084-3AFF-45EB-BA30-93086E9D460F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DCB0DDC3-521C-450A-8171-D796F59FC23B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4FCD-38C5-467D-BA6B-0889302D9821}">
  <sheetPr>
    <tabColor theme="7"/>
    <pageSetUpPr fitToPage="1"/>
  </sheetPr>
  <dimension ref="A1:P93"/>
  <sheetViews>
    <sheetView showGridLines="0" zoomScaleNormal="100" workbookViewId="0">
      <pane ySplit="4" topLeftCell="A20" activePane="bottomLeft" state="frozen"/>
      <selection pane="bottomLeft" activeCell="H25" sqref="H2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109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44655</v>
      </c>
      <c r="C3" s="43">
        <f>B3+1</f>
        <v>44656</v>
      </c>
      <c r="D3" s="43">
        <f t="shared" ref="D3:H3" si="0">C3+1</f>
        <v>44657</v>
      </c>
      <c r="E3" s="43">
        <f t="shared" si="0"/>
        <v>44658</v>
      </c>
      <c r="F3" s="43">
        <f t="shared" si="0"/>
        <v>44659</v>
      </c>
      <c r="G3" s="43">
        <f t="shared" si="0"/>
        <v>44660</v>
      </c>
      <c r="H3" s="43">
        <f t="shared" si="0"/>
        <v>44661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0</v>
      </c>
      <c r="L5" s="5">
        <f>K5/$K$13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>COUNTIF($B$5:$H$93,J6)</f>
        <v>0</v>
      </c>
      <c r="L6" s="5">
        <f t="shared" ref="L6:L12" si="3">K6/$K$13</f>
        <v>0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ref="K7:K11" si="4">COUNTIF($B$5:$H$93,J7)</f>
        <v>0</v>
      </c>
      <c r="L7" s="5">
        <f t="shared" si="3"/>
        <v>0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1</v>
      </c>
      <c r="L8" s="5">
        <f t="shared" si="3"/>
        <v>0.16666666666666666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4"/>
        <v>2</v>
      </c>
      <c r="L9" s="5">
        <f t="shared" si="3"/>
        <v>0.33333333333333331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4"/>
        <v>0</v>
      </c>
      <c r="L10" s="5">
        <f t="shared" si="3"/>
        <v>0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0</v>
      </c>
      <c r="L11" s="5">
        <f t="shared" si="3"/>
        <v>0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6">
        <f>COUNTIF($B$5:$H$93,J12)</f>
        <v>3</v>
      </c>
      <c r="L12" s="7">
        <f t="shared" si="3"/>
        <v>0.5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1" t="s">
        <v>21</v>
      </c>
      <c r="K13" s="1">
        <f>SUM(K5:K12)</f>
        <v>6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23</v>
      </c>
      <c r="B15" s="16"/>
      <c r="C15" s="16" t="s">
        <v>13</v>
      </c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 t="s">
        <v>13</v>
      </c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 t="s">
        <v>105</v>
      </c>
      <c r="C25" s="16"/>
      <c r="D25" s="16"/>
      <c r="E25" s="16"/>
      <c r="F25" s="16" t="s">
        <v>105</v>
      </c>
      <c r="G25" s="16"/>
      <c r="H25" s="16" t="s">
        <v>105</v>
      </c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 t="s">
        <v>11</v>
      </c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439" priority="33" operator="containsText" text="Pivô ">
      <formula>NOT(ISERROR(SEARCH("Pivô ",A1)))</formula>
    </cfRule>
  </conditionalFormatting>
  <conditionalFormatting sqref="B5:H93">
    <cfRule type="containsText" dxfId="438" priority="9" operator="containsText" text="Cardã">
      <formula>NOT(ISERROR(SEARCH("Cardã",B5)))</formula>
    </cfRule>
    <cfRule type="containsText" dxfId="437" priority="10" operator="containsText" text="Pneu">
      <formula>NOT(ISERROR(SEARCH("Pneu",B5)))</formula>
    </cfRule>
    <cfRule type="containsText" dxfId="436" priority="11" operator="containsText" text="Vedação">
      <formula>NOT(ISERROR(SEARCH("Vedação",B5)))</formula>
    </cfRule>
    <cfRule type="containsText" dxfId="435" priority="12" operator="containsText" text="Retentor">
      <formula>NOT(ISERROR(SEARCH("Retentor",B5)))</formula>
    </cfRule>
    <cfRule type="containsText" dxfId="434" priority="13" operator="containsText" text="Motorredutor">
      <formula>NOT(ISERROR(SEARCH("Motorredutor",B5)))</formula>
    </cfRule>
    <cfRule type="containsText" dxfId="433" priority="14" operator="containsText" text="Redutor">
      <formula>NOT(ISERROR(SEARCH("Redutor",B5)))</formula>
    </cfRule>
    <cfRule type="containsText" dxfId="432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8387B166-B808-466E-A39E-8C691BE6DE42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448C0C5-9206-4EF3-9E3D-205AA096FAF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EA6E23E0-E186-4713-B1B9-EB1121482BE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628B1B99-9EA2-42CA-A96D-8FC4B9C01FC7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8D1BAC62-4D3C-4F54-82C5-432AE5BA756B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3BA2F367-FA96-4E8F-9BA0-DDB6CB4A145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6F917B66-5F27-485C-9BF4-142E4B779B5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B6CB9EE6-5DB4-46B0-A96D-877CF5D31ECD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C86ADF09-C973-420A-8A75-C6E971257765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6" operator="containsText" id="{7CCE91D4-5B1A-44E5-854F-CF6823E3B97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6874ED34-CCC1-4886-9108-9BD4F4417B1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FE956B37-38D2-463B-8E8F-E6EEB80A033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03E96263-9346-4536-828D-B1C61AB17C2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0" operator="containsText" id="{B7074E1C-149E-4D26-9FF9-96A9A41999C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42447FB0-5E71-43FB-9CFB-7EEDCE8585CB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3B227978-7E32-4773-A979-2F166A76105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B8B9ED18-0982-4FF2-B67B-333943AB884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B4DB8D44-5652-4FDA-8702-03B9B5C25DD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395B46FE-9F1F-4B39-AD2C-04D69AFA16F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3B6248CD-81B4-42CB-8FDF-A98C9BE7AB9A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06C33EFF-96AA-476F-94E6-EF758BB77489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F2EE38F1-0575-4955-A946-9225489CCCD4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DA63EE8E-2D93-4BEF-88E5-9269E6336A8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E7DFED5E-B66B-44C5-AE47-D4EDBA81ACD4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8852DA5D-84B8-4C00-B7B6-01EA070EB2C8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22F43A70-BF75-4E1A-BC93-EBD6A92BC179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6C15-4993-4A2B-B5FE-88FC9B05A6CF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K12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109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44662</v>
      </c>
      <c r="C3" s="43">
        <f>B3+1</f>
        <v>44663</v>
      </c>
      <c r="D3" s="43">
        <f t="shared" ref="D3:H3" si="0">C3+1</f>
        <v>44664</v>
      </c>
      <c r="E3" s="43">
        <f t="shared" si="0"/>
        <v>44665</v>
      </c>
      <c r="F3" s="43">
        <f t="shared" si="0"/>
        <v>44666</v>
      </c>
      <c r="G3" s="43">
        <f t="shared" si="0"/>
        <v>44667</v>
      </c>
      <c r="H3" s="43">
        <f t="shared" si="0"/>
        <v>44668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</row>
    <row r="5" spans="1:16" x14ac:dyDescent="0.25">
      <c r="A5" s="11" t="s">
        <v>4</v>
      </c>
      <c r="B5" s="16"/>
      <c r="C5" s="16"/>
      <c r="D5" s="16"/>
      <c r="E5" s="16"/>
      <c r="F5" s="16" t="s">
        <v>17</v>
      </c>
      <c r="G5" s="16"/>
      <c r="H5" s="16" t="s">
        <v>17</v>
      </c>
      <c r="J5" s="17" t="s">
        <v>104</v>
      </c>
      <c r="K5" s="4">
        <f>COUNTIF($B$5:$H$93,J5)</f>
        <v>0</v>
      </c>
      <c r="L5" s="5">
        <f>K5/$K$13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 t="s">
        <v>9</v>
      </c>
      <c r="J6" s="18" t="s">
        <v>7</v>
      </c>
      <c r="K6" s="4">
        <f>COUNTIF($B$5:$H$93,J6)</f>
        <v>0</v>
      </c>
      <c r="L6" s="5">
        <f t="shared" ref="L6:L12" si="3">K6/$K$13</f>
        <v>0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ref="K7:K11" si="4">COUNTIF($B$5:$H$93,J7)</f>
        <v>13</v>
      </c>
      <c r="L7" s="5">
        <f t="shared" si="3"/>
        <v>0.61904761904761907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0</v>
      </c>
      <c r="L8" s="5">
        <f t="shared" si="3"/>
        <v>0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 t="s">
        <v>9</v>
      </c>
      <c r="J9" s="21" t="s">
        <v>13</v>
      </c>
      <c r="K9" s="4">
        <f t="shared" si="4"/>
        <v>1</v>
      </c>
      <c r="L9" s="5">
        <f t="shared" si="3"/>
        <v>4.7619047619047616E-2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 t="s">
        <v>9</v>
      </c>
      <c r="J10" s="22" t="s">
        <v>15</v>
      </c>
      <c r="K10" s="4">
        <f t="shared" si="4"/>
        <v>0</v>
      </c>
      <c r="L10" s="5">
        <f t="shared" si="3"/>
        <v>0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5</v>
      </c>
      <c r="L11" s="5">
        <f t="shared" si="3"/>
        <v>0.23809523809523808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6">
        <f>COUNTIF($B$5:$H$93,J12)</f>
        <v>2</v>
      </c>
      <c r="L12" s="7">
        <f t="shared" si="3"/>
        <v>9.5238095238095233E-2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1" t="s">
        <v>21</v>
      </c>
      <c r="K13" s="1">
        <f>SUM(K5:K12)</f>
        <v>21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 t="s">
        <v>9</v>
      </c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 t="s">
        <v>13</v>
      </c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 t="s">
        <v>9</v>
      </c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 t="s">
        <v>9</v>
      </c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 t="s">
        <v>9</v>
      </c>
    </row>
    <row r="25" spans="1:10" x14ac:dyDescent="0.25">
      <c r="A25" s="11" t="s">
        <v>33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 t="s">
        <v>9</v>
      </c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 t="s">
        <v>9</v>
      </c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 t="s">
        <v>9</v>
      </c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 t="s">
        <v>9</v>
      </c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 t="s">
        <v>9</v>
      </c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 t="s">
        <v>9</v>
      </c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 t="s">
        <v>105</v>
      </c>
      <c r="H50" s="16" t="s">
        <v>105</v>
      </c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 t="s">
        <v>17</v>
      </c>
      <c r="D74" s="16" t="s">
        <v>17</v>
      </c>
      <c r="E74" s="16" t="s">
        <v>17</v>
      </c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406" priority="33" operator="containsText" text="Pivô ">
      <formula>NOT(ISERROR(SEARCH("Pivô ",A1)))</formula>
    </cfRule>
  </conditionalFormatting>
  <conditionalFormatting sqref="B5:H93">
    <cfRule type="containsText" dxfId="405" priority="9" operator="containsText" text="Cardã">
      <formula>NOT(ISERROR(SEARCH("Cardã",B5)))</formula>
    </cfRule>
    <cfRule type="containsText" dxfId="404" priority="10" operator="containsText" text="Pneu">
      <formula>NOT(ISERROR(SEARCH("Pneu",B5)))</formula>
    </cfRule>
    <cfRule type="containsText" dxfId="403" priority="11" operator="containsText" text="Vedação">
      <formula>NOT(ISERROR(SEARCH("Vedação",B5)))</formula>
    </cfRule>
    <cfRule type="containsText" dxfId="402" priority="12" operator="containsText" text="Retentor">
      <formula>NOT(ISERROR(SEARCH("Retentor",B5)))</formula>
    </cfRule>
    <cfRule type="containsText" dxfId="401" priority="13" operator="containsText" text="Motorredutor">
      <formula>NOT(ISERROR(SEARCH("Motorredutor",B5)))</formula>
    </cfRule>
    <cfRule type="containsText" dxfId="400" priority="14" operator="containsText" text="Redutor">
      <formula>NOT(ISERROR(SEARCH("Redutor",B5)))</formula>
    </cfRule>
    <cfRule type="containsText" dxfId="399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E1443E29-757F-4DDF-B6D4-794D9CD969F7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464E415-6C07-42FE-A2C9-34358B5ACA0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C61D5780-719A-4232-95BA-BEFF6F17898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039166CC-BA62-4CBE-B2D1-8CFE7F95ECB8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3A345571-7839-454B-8963-98188167220C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D205BB7E-0627-4812-B3BA-A388D7DD16FF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9DE23AD6-0D2B-4CF7-91F5-5B4E26456F19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9CF81D35-76F3-4661-84F3-77F2E812BF23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BBF210A5-70EA-437D-8768-24C2A854DE5A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6" operator="containsText" id="{B103B006-DB60-4D84-A8C8-3C8D7ABA9C3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4A071694-4651-4247-A993-9A8A4F00AD0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3FDBF609-3984-4E4D-B120-B16168CF44B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01F42E3F-2976-4B48-8146-01ABF04A052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0" operator="containsText" id="{83E6254C-B2B2-4814-A31A-522A2AB5412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71C42F83-0D98-4A6F-98D0-1CE3379A50FE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33B154C2-2ED4-4BEB-BF2B-C9183E0A74D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3645C686-C432-4FBB-85AB-26C9A6CB44D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F316E054-329F-44EB-8F4C-13AA8237925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C1107621-505D-46AF-A7CC-A2FD3ACFE82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0E8DB7EF-0E68-4809-B688-611E7E940B29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C3F4C77B-F035-4015-BBA3-394F7544D9C1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194AB2A5-E088-48FD-82F3-D0528DBBCC95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B6F74552-6986-438B-A16F-A9CCAC1BA05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338312EF-D022-42E5-92A1-3759819B72FA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FB9524CC-DAF0-4D73-828B-2F715F42EC21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9AE38B01-C393-49FC-A935-52FC349D40E3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9502-9A1F-4ED8-B596-3F06D4C978EB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K12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109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44669</v>
      </c>
      <c r="C3" s="43">
        <f>B3+1</f>
        <v>44670</v>
      </c>
      <c r="D3" s="43">
        <f t="shared" ref="D3:H3" si="0">C3+1</f>
        <v>44671</v>
      </c>
      <c r="E3" s="43">
        <f t="shared" si="0"/>
        <v>44672</v>
      </c>
      <c r="F3" s="43">
        <f t="shared" si="0"/>
        <v>44673</v>
      </c>
      <c r="G3" s="43">
        <f t="shared" si="0"/>
        <v>44674</v>
      </c>
      <c r="H3" s="43">
        <f t="shared" si="0"/>
        <v>44675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0</v>
      </c>
      <c r="L5" s="5">
        <f>K5/$K$13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>COUNTIF($B$5:$H$93,J6)</f>
        <v>1</v>
      </c>
      <c r="L6" s="5">
        <f t="shared" ref="L6:L12" si="3">K6/$K$13</f>
        <v>0.125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ref="K7:K11" si="4">COUNTIF($B$5:$H$93,J7)</f>
        <v>0</v>
      </c>
      <c r="L7" s="5">
        <f t="shared" si="3"/>
        <v>0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2</v>
      </c>
      <c r="L8" s="5">
        <f t="shared" si="3"/>
        <v>0.25</v>
      </c>
    </row>
    <row r="9" spans="1:16" x14ac:dyDescent="0.25">
      <c r="A9" s="11" t="s">
        <v>12</v>
      </c>
      <c r="B9" s="16"/>
      <c r="C9" s="16"/>
      <c r="D9" s="16"/>
      <c r="E9" s="16"/>
      <c r="F9" s="16" t="s">
        <v>17</v>
      </c>
      <c r="G9" s="16" t="s">
        <v>17</v>
      </c>
      <c r="H9" s="16" t="s">
        <v>17</v>
      </c>
      <c r="J9" s="21" t="s">
        <v>13</v>
      </c>
      <c r="K9" s="4">
        <f t="shared" si="4"/>
        <v>1</v>
      </c>
      <c r="L9" s="5">
        <f t="shared" si="3"/>
        <v>0.125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4"/>
        <v>0</v>
      </c>
      <c r="L10" s="5">
        <f t="shared" si="3"/>
        <v>0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4</v>
      </c>
      <c r="L11" s="5">
        <f t="shared" si="3"/>
        <v>0.5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6">
        <f>COUNTIF($B$5:$H$93,J12)</f>
        <v>0</v>
      </c>
      <c r="L12" s="7">
        <f t="shared" si="3"/>
        <v>0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1" t="s">
        <v>21</v>
      </c>
      <c r="K13" s="1">
        <f>SUM(K5:K12)</f>
        <v>8</v>
      </c>
    </row>
    <row r="14" spans="1:16" x14ac:dyDescent="0.25">
      <c r="A14" s="11" t="s">
        <v>22</v>
      </c>
      <c r="B14" s="16"/>
      <c r="C14" s="16"/>
      <c r="D14" s="16"/>
      <c r="E14" s="16"/>
      <c r="F14" s="16" t="s">
        <v>17</v>
      </c>
      <c r="G14" s="16"/>
      <c r="H14" s="16"/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/>
      <c r="D25" s="16"/>
      <c r="E25" s="16"/>
      <c r="F25" s="16"/>
      <c r="G25" s="16"/>
      <c r="H25" s="16" t="s">
        <v>13</v>
      </c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 t="s">
        <v>11</v>
      </c>
      <c r="D45" s="16" t="s">
        <v>11</v>
      </c>
      <c r="E45" s="16" t="s">
        <v>7</v>
      </c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373" priority="33" operator="containsText" text="Pivô ">
      <formula>NOT(ISERROR(SEARCH("Pivô ",A1)))</formula>
    </cfRule>
  </conditionalFormatting>
  <conditionalFormatting sqref="B5:H93">
    <cfRule type="containsText" dxfId="372" priority="9" operator="containsText" text="Cardã">
      <formula>NOT(ISERROR(SEARCH("Cardã",B5)))</formula>
    </cfRule>
    <cfRule type="containsText" dxfId="371" priority="10" operator="containsText" text="Pneu">
      <formula>NOT(ISERROR(SEARCH("Pneu",B5)))</formula>
    </cfRule>
    <cfRule type="containsText" dxfId="370" priority="11" operator="containsText" text="Vedação">
      <formula>NOT(ISERROR(SEARCH("Vedação",B5)))</formula>
    </cfRule>
    <cfRule type="containsText" dxfId="369" priority="12" operator="containsText" text="Retentor">
      <formula>NOT(ISERROR(SEARCH("Retentor",B5)))</formula>
    </cfRule>
    <cfRule type="containsText" dxfId="368" priority="13" operator="containsText" text="Motorredutor">
      <formula>NOT(ISERROR(SEARCH("Motorredutor",B5)))</formula>
    </cfRule>
    <cfRule type="containsText" dxfId="367" priority="14" operator="containsText" text="Redutor">
      <formula>NOT(ISERROR(SEARCH("Redutor",B5)))</formula>
    </cfRule>
    <cfRule type="containsText" dxfId="366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5CE0DA5-8910-40EE-A704-2AA96715842B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128E07F-DF0F-4F71-B164-3453FC729EE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C30B6260-D4B6-4E58-8B30-449A0114A3F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E2A51420-4D73-4865-BBFB-E61F21FEE13D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45ED9CDC-ABE8-41EF-AFC1-D09B3948202E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F9BB5EDF-9B7F-4689-B0DA-DBA9C72EC016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31133B38-E0F5-45FD-B508-54DA6DF2EDE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B65438C4-FF83-4348-92F9-C10B2C3534F9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CC2E8BA1-3087-4593-9EE1-E6048FE660F0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6" operator="containsText" id="{7ED31EB5-91F0-41A3-BC6A-A04058D2A1B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17B1CC22-E64C-49DD-986A-387073F8293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29DFE9AA-B8D7-45FA-B7F6-CB651C00792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5831824E-CC48-4C32-8837-0570948AC9C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0" operator="containsText" id="{A79B052C-B3AB-48CC-B580-79190842257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AC814595-7A82-4339-B2C9-F6B978870CC7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338B2F60-1407-47C4-BCA5-D07BF5B88D7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57A808A5-D4A1-4520-9653-AF6383333DF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EFCD66A5-403E-46D3-8B51-DB784155E0D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F036073A-B608-42FD-A6EA-3DE568F8BB7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577F51FF-EF28-454F-BABC-E5C69F423440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6ED7305D-E533-4678-8829-AE9293989D29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7D44D3D7-140F-432C-861F-8EE70FF94954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C2287F95-00B7-42C7-B8F4-4D07F8949FC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E2FBBDD9-9150-4C28-8C3C-EDC6B5AD453E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6B405C15-ADEB-4F95-B7F5-FE8F205CBC38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02647A93-7B33-4E47-99AE-A93172195FE9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1AAD-08EE-498B-8782-EFC70D3C740D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L16" sqref="L16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110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44676</v>
      </c>
      <c r="C3" s="43">
        <f>B3+1</f>
        <v>44677</v>
      </c>
      <c r="D3" s="43">
        <f t="shared" ref="D3:H3" si="0">C3+1</f>
        <v>44678</v>
      </c>
      <c r="E3" s="43">
        <f t="shared" si="0"/>
        <v>44679</v>
      </c>
      <c r="F3" s="43">
        <f t="shared" si="0"/>
        <v>44680</v>
      </c>
      <c r="G3" s="43">
        <f t="shared" si="0"/>
        <v>44681</v>
      </c>
      <c r="H3" s="43">
        <f t="shared" si="0"/>
        <v>44682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  <c r="L4" s="45"/>
    </row>
    <row r="5" spans="1:16" x14ac:dyDescent="0.25">
      <c r="A5" s="11" t="s">
        <v>4</v>
      </c>
      <c r="B5" s="16"/>
      <c r="C5" s="16"/>
      <c r="D5" s="16"/>
      <c r="E5" s="16" t="s">
        <v>17</v>
      </c>
      <c r="F5" s="16" t="s">
        <v>17</v>
      </c>
      <c r="G5" s="16"/>
      <c r="H5" s="16"/>
      <c r="J5" s="17" t="s">
        <v>104</v>
      </c>
      <c r="K5" s="4">
        <f>COUNTIF($B$5:$H$93,J5)</f>
        <v>0</v>
      </c>
      <c r="L5" s="46">
        <f t="shared" ref="L5:L13" si="3">K5/$K$14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 t="shared" ref="K6:K12" si="4">COUNTIF($B$5:$H$93,J6)</f>
        <v>0</v>
      </c>
      <c r="L6" s="46">
        <f t="shared" si="3"/>
        <v>0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si="4"/>
        <v>0</v>
      </c>
      <c r="L7" s="46">
        <f t="shared" si="3"/>
        <v>0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2</v>
      </c>
      <c r="L8" s="46">
        <f t="shared" si="3"/>
        <v>0.2857142857142857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4"/>
        <v>2</v>
      </c>
      <c r="L9" s="46">
        <f t="shared" si="3"/>
        <v>0.2857142857142857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4"/>
        <v>1</v>
      </c>
      <c r="L10" s="46">
        <f t="shared" si="3"/>
        <v>0.14285714285714285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2</v>
      </c>
      <c r="L11" s="46">
        <f t="shared" si="3"/>
        <v>0.2857142857142857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4">
        <f t="shared" si="4"/>
        <v>0</v>
      </c>
      <c r="L12" s="46">
        <f t="shared" si="3"/>
        <v>0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47" t="s">
        <v>111</v>
      </c>
      <c r="K13" s="4">
        <f>COUNTIF($B$5:$H$93,J13)</f>
        <v>2</v>
      </c>
      <c r="L13" s="46">
        <f t="shared" si="3"/>
        <v>0.2857142857142857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  <c r="J14" s="1" t="s">
        <v>21</v>
      </c>
      <c r="K14" s="1">
        <f>SUM(K5:K12)</f>
        <v>7</v>
      </c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 t="s">
        <v>15</v>
      </c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 t="s">
        <v>13</v>
      </c>
      <c r="D25" s="16"/>
      <c r="E25" s="16"/>
      <c r="F25" s="16"/>
      <c r="G25" s="16"/>
      <c r="H25" s="16" t="s">
        <v>11</v>
      </c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 t="s">
        <v>111</v>
      </c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 t="s">
        <v>111</v>
      </c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 t="s">
        <v>13</v>
      </c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 t="s">
        <v>11</v>
      </c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340" priority="34" operator="containsText" text="Pivô ">
      <formula>NOT(ISERROR(SEARCH("Pivô ",A1)))</formula>
    </cfRule>
  </conditionalFormatting>
  <conditionalFormatting sqref="B5:H93">
    <cfRule type="containsText" dxfId="339" priority="10" operator="containsText" text="Cardã">
      <formula>NOT(ISERROR(SEARCH("Cardã",B5)))</formula>
    </cfRule>
    <cfRule type="containsText" dxfId="338" priority="11" operator="containsText" text="Pneu">
      <formula>NOT(ISERROR(SEARCH("Pneu",B5)))</formula>
    </cfRule>
    <cfRule type="containsText" dxfId="337" priority="12" operator="containsText" text="Vedação">
      <formula>NOT(ISERROR(SEARCH("Vedação",B5)))</formula>
    </cfRule>
    <cfRule type="containsText" dxfId="336" priority="13" operator="containsText" text="Retentor">
      <formula>NOT(ISERROR(SEARCH("Retentor",B5)))</formula>
    </cfRule>
    <cfRule type="containsText" dxfId="335" priority="14" operator="containsText" text="Motorredutor">
      <formula>NOT(ISERROR(SEARCH("Motorredutor",B5)))</formula>
    </cfRule>
    <cfRule type="containsText" dxfId="334" priority="15" operator="containsText" text="Redutor">
      <formula>NOT(ISERROR(SEARCH("Redutor",B5)))</formula>
    </cfRule>
    <cfRule type="containsText" dxfId="333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3BF1D58-FCDC-4204-9EA0-977ED88FB49A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AA78417-46CE-4915-9129-7041978E0FD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6B536EA5-0FCA-4FCA-85C9-29A3B29378A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25421A9F-CF44-4695-A71F-B18451D15A9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EE2D9AA5-A58B-453F-8E1A-4F3C1870FE16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02A9C1BC-F771-49F5-BD32-7DD829749900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38228472-7F00-4C92-BBD4-40804E5B9973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6FC22628-E3E7-45C0-93BB-675A7098622A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D4969C09-807F-4791-A529-B46C4033BDA0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28259150-039C-49D4-B2C0-534886A0D9EE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7" operator="containsText" id="{C1E7C865-928F-44E6-A81F-66F97101456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B6845D8F-5B56-4ED0-ABD9-ECDEEA53014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CBA27FA0-7A68-4A30-A49B-0556E34E72C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E154E7C7-9CB0-4ADE-BE53-D7A19B18712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F1E27EA0-FE85-409D-95D0-CD2718E8348E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6591FB04-0812-43ED-B31F-5D5F9DA812CF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" operator="containsText" id="{9E7C97E8-32B3-4953-BEA3-4788578FA6F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8155061E-1FCD-428A-8B92-4C14B285D57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A33D0F16-AEAF-49B2-8077-6782B40C0F4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FC090A21-2480-4C10-9615-CB160E6A9EB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7" operator="containsText" id="{CB241DF7-5BB2-4BA9-AEA1-8AFFF303F947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AA4986A5-D2D6-42F1-B12F-BEE1C922555C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01EF92D3-D54B-4D10-9769-BE97C95398EF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6EAB14EF-8B86-46FE-9DF5-0399C0C2648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937F24D3-DE28-4471-A435-23C515F3591F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8D6344DB-CC2D-447F-BE46-B05A640CCF38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FA9107EA-0F05-4925-A02D-8783C034490F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16F2-FF85-40C0-BB8B-D6217A922848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24" sqref="J2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112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44683</v>
      </c>
      <c r="C3" s="43">
        <f>B3+1</f>
        <v>44684</v>
      </c>
      <c r="D3" s="43">
        <f t="shared" ref="D3:H3" si="0">C3+1</f>
        <v>44685</v>
      </c>
      <c r="E3" s="43">
        <f t="shared" si="0"/>
        <v>44686</v>
      </c>
      <c r="F3" s="43">
        <f t="shared" si="0"/>
        <v>44687</v>
      </c>
      <c r="G3" s="43">
        <f t="shared" si="0"/>
        <v>44688</v>
      </c>
      <c r="H3" s="43">
        <f t="shared" si="0"/>
        <v>44689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  <c r="L4" s="45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0</v>
      </c>
      <c r="L5" s="46">
        <f t="shared" ref="L5:L13" si="3">K5/$K$14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 t="shared" ref="K6:K12" si="4">COUNTIF($B$5:$H$93,J6)</f>
        <v>0</v>
      </c>
      <c r="L6" s="46">
        <f t="shared" si="3"/>
        <v>0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si="4"/>
        <v>0</v>
      </c>
      <c r="L7" s="46">
        <f t="shared" si="3"/>
        <v>0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2</v>
      </c>
      <c r="L8" s="46">
        <f t="shared" si="3"/>
        <v>0.66666666666666663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4"/>
        <v>1</v>
      </c>
      <c r="L9" s="46">
        <f t="shared" si="3"/>
        <v>0.33333333333333331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4"/>
        <v>0</v>
      </c>
      <c r="L10" s="46">
        <f t="shared" si="3"/>
        <v>0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0</v>
      </c>
      <c r="L11" s="46">
        <f t="shared" si="3"/>
        <v>0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4">
        <f t="shared" si="4"/>
        <v>0</v>
      </c>
      <c r="L12" s="46">
        <f t="shared" si="3"/>
        <v>0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47" t="s">
        <v>111</v>
      </c>
      <c r="K13" s="4">
        <f>COUNTIF($B$5:$H$93,J13)</f>
        <v>0</v>
      </c>
      <c r="L13" s="46">
        <f t="shared" si="3"/>
        <v>0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  <c r="J14" s="1" t="s">
        <v>21</v>
      </c>
      <c r="K14" s="1">
        <f>SUM(K5:K12)</f>
        <v>3</v>
      </c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/>
      <c r="D25" s="16"/>
      <c r="E25" s="16" t="s">
        <v>11</v>
      </c>
      <c r="F25" s="16"/>
      <c r="G25" s="16" t="s">
        <v>11</v>
      </c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 t="s">
        <v>13</v>
      </c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306" priority="34" operator="containsText" text="Pivô ">
      <formula>NOT(ISERROR(SEARCH("Pivô ",A1)))</formula>
    </cfRule>
  </conditionalFormatting>
  <conditionalFormatting sqref="B5:H93">
    <cfRule type="containsText" dxfId="305" priority="10" operator="containsText" text="Cardã">
      <formula>NOT(ISERROR(SEARCH("Cardã",B5)))</formula>
    </cfRule>
    <cfRule type="containsText" dxfId="304" priority="11" operator="containsText" text="Pneu">
      <formula>NOT(ISERROR(SEARCH("Pneu",B5)))</formula>
    </cfRule>
    <cfRule type="containsText" dxfId="303" priority="12" operator="containsText" text="Vedação">
      <formula>NOT(ISERROR(SEARCH("Vedação",B5)))</formula>
    </cfRule>
    <cfRule type="containsText" dxfId="302" priority="13" operator="containsText" text="Retentor">
      <formula>NOT(ISERROR(SEARCH("Retentor",B5)))</formula>
    </cfRule>
    <cfRule type="containsText" dxfId="301" priority="14" operator="containsText" text="Motorredutor">
      <formula>NOT(ISERROR(SEARCH("Motorredutor",B5)))</formula>
    </cfRule>
    <cfRule type="containsText" dxfId="300" priority="15" operator="containsText" text="Redutor">
      <formula>NOT(ISERROR(SEARCH("Redutor",B5)))</formula>
    </cfRule>
    <cfRule type="containsText" dxfId="299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94E7AA89-7DE1-4525-8134-C65448B753B2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ABA2F7A-57F4-444D-B982-D2ACCC3620F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BC2D871C-0476-47DC-9065-001DB79C901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2F4DFDB0-7C6B-47BA-9B2C-8B97D3B4E95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54E48827-D093-4628-B55F-28B574101399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CBD7CB68-0753-4CB4-BC57-10FA81F5E53A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D45C92FC-8056-44DA-9CB9-841B36CED32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731BF6B4-F28C-42E0-8EB7-FB0F7F0851E1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8BA7B100-A1B9-426C-AEF3-BE0BE7D98C28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10A462D1-89A8-4C05-BBB6-E4425C7B9D23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7" operator="containsText" id="{14A8B9CD-FCC7-4751-8571-8D69D778D53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5F07CA5A-A8E6-46AD-9655-9CD8C50C74C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749986CB-E0CF-46CE-BF4D-88AF161738A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25FFDA98-A0AE-4363-8067-C92108611B40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EC8CA60E-28EA-4770-B353-93EB75D242C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369CD6F8-AAA7-406D-AB19-8F84852F043F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" operator="containsText" id="{0ACAA019-BDBF-43C4-BAB3-BC06F22ABF7E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CEA97027-97D8-4F8C-BF98-41DF43D0064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AAB95D2E-1D8A-4369-8692-8E7635AF3A7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B35EE796-F40A-46C1-B90B-4F31D864934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7" operator="containsText" id="{A68B2869-0C24-473E-801E-D6B7FEA85DDA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6F1BF50A-D1D2-48F5-9EBB-4AED256A7949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F9255D51-21EA-4652-88CD-FC1F560359AB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00CB4D0B-E3B7-476F-9A05-3F0A969979C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E4E0C4E5-2548-47C2-B4C9-ABE4DAC68D70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CD83A223-36C5-4C6A-B1DB-E25FF4798116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375B109E-058A-41C6-AEF2-F8420B654AAE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A6E4-6829-4066-BE7E-50B841991731}">
  <sheetPr>
    <tabColor theme="7"/>
    <pageSetUpPr fitToPage="1"/>
  </sheetPr>
  <dimension ref="A1:P93"/>
  <sheetViews>
    <sheetView showGridLines="0" zoomScaleNormal="100" workbookViewId="0">
      <pane ySplit="4" topLeftCell="A11" activePane="bottomLeft" state="frozen"/>
      <selection pane="bottomLeft" activeCell="E25" sqref="E2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113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44690</v>
      </c>
      <c r="C3" s="43">
        <f>B3+1</f>
        <v>44691</v>
      </c>
      <c r="D3" s="43">
        <f t="shared" ref="D3:H3" si="0">C3+1</f>
        <v>44692</v>
      </c>
      <c r="E3" s="43">
        <f t="shared" si="0"/>
        <v>44693</v>
      </c>
      <c r="F3" s="43">
        <f t="shared" si="0"/>
        <v>44694</v>
      </c>
      <c r="G3" s="43">
        <f t="shared" si="0"/>
        <v>44695</v>
      </c>
      <c r="H3" s="43">
        <f t="shared" si="0"/>
        <v>44696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  <c r="L4" s="45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0</v>
      </c>
      <c r="L5" s="46">
        <f t="shared" ref="L5:L13" si="3">K5/$K$14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 t="shared" ref="K6:K12" si="4">COUNTIF($B$5:$H$93,J6)</f>
        <v>0</v>
      </c>
      <c r="L6" s="46">
        <f t="shared" si="3"/>
        <v>0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si="4"/>
        <v>1</v>
      </c>
      <c r="L7" s="46">
        <f t="shared" si="3"/>
        <v>0.33333333333333331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2</v>
      </c>
      <c r="L8" s="46">
        <f t="shared" si="3"/>
        <v>0.66666666666666663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4"/>
        <v>0</v>
      </c>
      <c r="L9" s="46">
        <f t="shared" si="3"/>
        <v>0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4"/>
        <v>0</v>
      </c>
      <c r="L10" s="46">
        <f t="shared" si="3"/>
        <v>0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0</v>
      </c>
      <c r="L11" s="46">
        <f t="shared" si="3"/>
        <v>0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4">
        <f t="shared" si="4"/>
        <v>0</v>
      </c>
      <c r="L12" s="46">
        <f t="shared" si="3"/>
        <v>0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47" t="s">
        <v>111</v>
      </c>
      <c r="K13" s="4">
        <f>COUNTIF($B$5:$H$93,J13)</f>
        <v>0</v>
      </c>
      <c r="L13" s="46">
        <f t="shared" si="3"/>
        <v>0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  <c r="J14" s="1" t="s">
        <v>21</v>
      </c>
      <c r="K14" s="1">
        <f>SUM(K5:K12)</f>
        <v>3</v>
      </c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 t="s">
        <v>11</v>
      </c>
      <c r="C25" s="16"/>
      <c r="D25" s="16"/>
      <c r="E25" s="16" t="s">
        <v>11</v>
      </c>
      <c r="F25" s="16"/>
      <c r="G25" s="16"/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 t="s">
        <v>9</v>
      </c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272" priority="34" operator="containsText" text="Pivô ">
      <formula>NOT(ISERROR(SEARCH("Pivô ",A1)))</formula>
    </cfRule>
  </conditionalFormatting>
  <conditionalFormatting sqref="B5:H93">
    <cfRule type="containsText" dxfId="271" priority="10" operator="containsText" text="Cardã">
      <formula>NOT(ISERROR(SEARCH("Cardã",B5)))</formula>
    </cfRule>
    <cfRule type="containsText" dxfId="270" priority="11" operator="containsText" text="Pneu">
      <formula>NOT(ISERROR(SEARCH("Pneu",B5)))</formula>
    </cfRule>
    <cfRule type="containsText" dxfId="269" priority="12" operator="containsText" text="Vedação">
      <formula>NOT(ISERROR(SEARCH("Vedação",B5)))</formula>
    </cfRule>
    <cfRule type="containsText" dxfId="268" priority="13" operator="containsText" text="Retentor">
      <formula>NOT(ISERROR(SEARCH("Retentor",B5)))</formula>
    </cfRule>
    <cfRule type="containsText" dxfId="267" priority="14" operator="containsText" text="Motorredutor">
      <formula>NOT(ISERROR(SEARCH("Motorredutor",B5)))</formula>
    </cfRule>
    <cfRule type="containsText" dxfId="266" priority="15" operator="containsText" text="Redutor">
      <formula>NOT(ISERROR(SEARCH("Redutor",B5)))</formula>
    </cfRule>
    <cfRule type="containsText" dxfId="265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26EBDB10-B494-4731-98A2-A821F19FE810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E469029-1BF9-4AF3-B133-D718DD457D6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F36EAEA3-F360-4BDF-B955-10A7962B56C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1FC067F3-2F1F-4D5E-94AD-B5256C9F4ED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369C80F4-8CEF-47E8-A364-712879F3B9D9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7D705A33-5E70-4907-ACC4-49A64127A892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B18DB504-DD98-49EA-9EB6-E01EAEC4C1A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4B20EBA6-30E5-43EF-B780-0C9BCDA04CF8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7D1C78D5-4346-4ACE-80E0-CF2B609F4FD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E1D1F7A9-08E3-4195-AB4F-CF9AFBB45C32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7" operator="containsText" id="{0505B182-A44E-4F43-A9D5-0E07917EDA7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13EDA3D7-FCE7-4369-B95A-2C333816BAE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C32263C7-1939-4E93-A4E6-4EFED766F3A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410D330C-C3A5-4B37-859D-F1E4472EF83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66CFDF9A-E716-421F-8311-5E5714152C5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845435A5-98EC-4190-90F4-F2D9E2AF7110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" operator="containsText" id="{DA3E54DC-37D3-446D-AACA-8310828C5FA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9D0ACDA2-9F93-456E-AD80-4BE2A83408A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03C7976F-BD0C-4A13-B47F-01CA2E28B9F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13CC273C-5C5A-468D-AFA2-AA622DAA5E6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7" operator="containsText" id="{5C9424FA-5005-4B2B-93FD-2AB014A1787A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235A9A30-5A26-4D27-8807-83239A56E770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E0827D85-7231-4F97-84C3-028A67BA3DD3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CD3A03CB-8BB8-4970-BFB9-9F4D8692D27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972746ED-B744-4705-AC11-13B33712C63E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7CBA38FE-16E7-4958-95B7-447C7954D814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E0236FC2-37FB-4C37-8DF3-A22327D3739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BA72-7316-4538-B37D-0C2E6C7F2713}">
  <sheetPr>
    <tabColor theme="7"/>
    <pageSetUpPr fitToPage="1"/>
  </sheetPr>
  <dimension ref="A1:P93"/>
  <sheetViews>
    <sheetView showGridLines="0" zoomScaleNormal="100" workbookViewId="0">
      <pane ySplit="4" topLeftCell="A13" activePane="bottomLeft" state="frozen"/>
      <selection pane="bottomLeft" activeCell="K5" sqref="K5:K13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114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44697</v>
      </c>
      <c r="C3" s="43">
        <f>B3+1</f>
        <v>44698</v>
      </c>
      <c r="D3" s="43">
        <f t="shared" ref="D3:H3" si="0">C3+1</f>
        <v>44699</v>
      </c>
      <c r="E3" s="43">
        <f t="shared" si="0"/>
        <v>44700</v>
      </c>
      <c r="F3" s="43">
        <f t="shared" si="0"/>
        <v>44701</v>
      </c>
      <c r="G3" s="43">
        <f t="shared" si="0"/>
        <v>44702</v>
      </c>
      <c r="H3" s="43">
        <f t="shared" si="0"/>
        <v>44703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  <c r="L4" s="45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0</v>
      </c>
      <c r="L5" s="46">
        <f t="shared" ref="L5:L13" si="3">K5/$K$14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 t="shared" ref="K6:K12" si="4">COUNTIF($B$5:$H$93,J6)</f>
        <v>0</v>
      </c>
      <c r="L6" s="46">
        <f t="shared" si="3"/>
        <v>0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si="4"/>
        <v>0</v>
      </c>
      <c r="L7" s="46">
        <f t="shared" si="3"/>
        <v>0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3</v>
      </c>
      <c r="L8" s="46">
        <f t="shared" si="3"/>
        <v>0.375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4"/>
        <v>0</v>
      </c>
      <c r="L9" s="46">
        <f t="shared" si="3"/>
        <v>0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4"/>
        <v>5</v>
      </c>
      <c r="L10" s="46">
        <f t="shared" si="3"/>
        <v>0.625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0</v>
      </c>
      <c r="L11" s="46">
        <f t="shared" si="3"/>
        <v>0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4">
        <f t="shared" si="4"/>
        <v>0</v>
      </c>
      <c r="L12" s="46">
        <f t="shared" si="3"/>
        <v>0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47" t="s">
        <v>111</v>
      </c>
      <c r="K13" s="4">
        <f>COUNTIF($B$5:$H$93,J13)</f>
        <v>0</v>
      </c>
      <c r="L13" s="46">
        <f t="shared" si="3"/>
        <v>0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  <c r="J14" s="1" t="s">
        <v>21</v>
      </c>
      <c r="K14" s="1">
        <f>SUM(K5:K12)</f>
        <v>8</v>
      </c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 t="s">
        <v>15</v>
      </c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 t="s">
        <v>15</v>
      </c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/>
      <c r="D25" s="16" t="s">
        <v>15</v>
      </c>
      <c r="E25" s="16"/>
      <c r="F25" s="16"/>
      <c r="G25" s="16"/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 t="s">
        <v>15</v>
      </c>
      <c r="E35" s="16" t="s">
        <v>15</v>
      </c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 t="s">
        <v>11</v>
      </c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 t="s">
        <v>11</v>
      </c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 t="s">
        <v>11</v>
      </c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238" priority="34" operator="containsText" text="Pivô ">
      <formula>NOT(ISERROR(SEARCH("Pivô ",A1)))</formula>
    </cfRule>
  </conditionalFormatting>
  <conditionalFormatting sqref="B5:H93">
    <cfRule type="containsText" dxfId="237" priority="10" operator="containsText" text="Cardã">
      <formula>NOT(ISERROR(SEARCH("Cardã",B5)))</formula>
    </cfRule>
    <cfRule type="containsText" dxfId="236" priority="11" operator="containsText" text="Pneu">
      <formula>NOT(ISERROR(SEARCH("Pneu",B5)))</formula>
    </cfRule>
    <cfRule type="containsText" dxfId="235" priority="12" operator="containsText" text="Vedação">
      <formula>NOT(ISERROR(SEARCH("Vedação",B5)))</formula>
    </cfRule>
    <cfRule type="containsText" dxfId="234" priority="13" operator="containsText" text="Retentor">
      <formula>NOT(ISERROR(SEARCH("Retentor",B5)))</formula>
    </cfRule>
    <cfRule type="containsText" dxfId="233" priority="14" operator="containsText" text="Motorredutor">
      <formula>NOT(ISERROR(SEARCH("Motorredutor",B5)))</formula>
    </cfRule>
    <cfRule type="containsText" dxfId="232" priority="15" operator="containsText" text="Redutor">
      <formula>NOT(ISERROR(SEARCH("Redutor",B5)))</formula>
    </cfRule>
    <cfRule type="containsText" dxfId="231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59B5CE2C-C847-4113-85AE-D685C9334463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33DBE73-B249-400E-AFB6-BEBD0FDBA98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57093874-4A68-4FCB-B844-8670041B87C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B7DC900C-B26E-4485-A239-F3BD82B95A95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72DA0EA9-6DC4-4C20-AAF9-FA95998D475D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7EBB6F29-35B4-4626-B062-4D2BE83FFBBA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340D65FE-F4D6-4166-BBD4-D6A85B5EBC0A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695240F7-4A4B-4D4B-8150-A3A9F5237D70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0FE2AB85-7265-4929-9E62-9BCF82A02329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AFBBAF62-B92C-4175-8B30-F3FC7FA57E45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7" operator="containsText" id="{34B27E55-BF92-4ABA-829F-46860B18778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9B9F24B7-8F2B-4DB2-B38B-211F2F11307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D54EAA4D-6956-45FD-AD0D-54F32655F66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9B3F2F5F-60DF-4AAC-8530-8D4AF59564E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A2BD7F07-209C-49E5-AB97-132844BDF82E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F3204F78-1C41-4A0C-9285-600A8DD4D8E2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" operator="containsText" id="{5C1F9859-B9F9-415D-BB0B-6EB8804608A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60CE42E8-C035-4D2A-9CFE-0D5CC19929F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A71A3911-DB8A-4AD4-88FA-37251511214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C4EC272E-E62C-4901-B272-EAF843E91C2E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7" operator="containsText" id="{D6085261-C281-4D0B-A526-0D1A2F69A55C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8DE243EB-1F28-4069-BFC2-FBEDC6745CC3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B30683FB-3D74-4F2C-9950-0927CDF912F3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FA7EBEA8-ED92-43EA-BC29-99C303ED60A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F8722E42-7DAA-4FF1-BFC0-4E69043A7455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90148ADA-C053-4EC7-A5C1-E94479B1480F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41B37AB4-E752-4AD0-A530-C9E0A701D70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F6DE-3D49-4F4F-BE9E-DF91D8E53A7B}">
  <sheetPr>
    <tabColor theme="7"/>
    <pageSetUpPr fitToPage="1"/>
  </sheetPr>
  <dimension ref="A1:P93"/>
  <sheetViews>
    <sheetView showGridLines="0" zoomScaleNormal="100" workbookViewId="0">
      <pane ySplit="4" topLeftCell="A11" activePane="bottomLeft" state="frozen"/>
      <selection pane="bottomLeft" activeCell="G14" sqref="G1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115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44704</v>
      </c>
      <c r="C3" s="43">
        <f>B3+1</f>
        <v>44705</v>
      </c>
      <c r="D3" s="43">
        <f t="shared" ref="D3:H3" si="0">C3+1</f>
        <v>44706</v>
      </c>
      <c r="E3" s="43">
        <f t="shared" si="0"/>
        <v>44707</v>
      </c>
      <c r="F3" s="43">
        <f t="shared" si="0"/>
        <v>44708</v>
      </c>
      <c r="G3" s="43">
        <f t="shared" si="0"/>
        <v>44709</v>
      </c>
      <c r="H3" s="43">
        <f t="shared" si="0"/>
        <v>44710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  <c r="L4" s="45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0</v>
      </c>
      <c r="L5" s="46">
        <f t="shared" ref="L5:L13" si="3">K5/$K$14</f>
        <v>0</v>
      </c>
    </row>
    <row r="6" spans="1:16" x14ac:dyDescent="0.25">
      <c r="A6" s="11" t="s">
        <v>6</v>
      </c>
      <c r="B6" s="16" t="s">
        <v>15</v>
      </c>
      <c r="C6" s="16" t="s">
        <v>15</v>
      </c>
      <c r="D6" s="16"/>
      <c r="E6" s="16"/>
      <c r="F6" s="16"/>
      <c r="G6" s="16"/>
      <c r="H6" s="16"/>
      <c r="J6" s="18" t="s">
        <v>7</v>
      </c>
      <c r="K6" s="4">
        <f t="shared" ref="K6:K12" si="4">COUNTIF($B$5:$H$93,J6)</f>
        <v>0</v>
      </c>
      <c r="L6" s="46">
        <f t="shared" si="3"/>
        <v>0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si="4"/>
        <v>0</v>
      </c>
      <c r="L7" s="46">
        <f t="shared" si="3"/>
        <v>0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0</v>
      </c>
      <c r="L8" s="46">
        <f t="shared" si="3"/>
        <v>0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4"/>
        <v>0</v>
      </c>
      <c r="L9" s="46">
        <f t="shared" si="3"/>
        <v>0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4"/>
        <v>3</v>
      </c>
      <c r="L10" s="46">
        <f t="shared" si="3"/>
        <v>0.75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0</v>
      </c>
      <c r="L11" s="46">
        <f t="shared" si="3"/>
        <v>0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4">
        <f t="shared" si="4"/>
        <v>1</v>
      </c>
      <c r="L12" s="46">
        <f t="shared" si="3"/>
        <v>0.25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47" t="s">
        <v>111</v>
      </c>
      <c r="K13" s="4">
        <f>COUNTIF($B$5:$H$93,J13)</f>
        <v>0</v>
      </c>
      <c r="L13" s="46">
        <f t="shared" si="3"/>
        <v>0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  <c r="J14" s="1" t="s">
        <v>21</v>
      </c>
      <c r="K14" s="1">
        <f>SUM(K5:K12)</f>
        <v>4</v>
      </c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 t="s">
        <v>15</v>
      </c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 t="s">
        <v>105</v>
      </c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204" priority="34" operator="containsText" text="Pivô ">
      <formula>NOT(ISERROR(SEARCH("Pivô ",A1)))</formula>
    </cfRule>
  </conditionalFormatting>
  <conditionalFormatting sqref="B5:H93">
    <cfRule type="containsText" dxfId="203" priority="10" operator="containsText" text="Cardã">
      <formula>NOT(ISERROR(SEARCH("Cardã",B5)))</formula>
    </cfRule>
    <cfRule type="containsText" dxfId="202" priority="11" operator="containsText" text="Pneu">
      <formula>NOT(ISERROR(SEARCH("Pneu",B5)))</formula>
    </cfRule>
    <cfRule type="containsText" dxfId="201" priority="12" operator="containsText" text="Vedação">
      <formula>NOT(ISERROR(SEARCH("Vedação",B5)))</formula>
    </cfRule>
    <cfRule type="containsText" dxfId="200" priority="13" operator="containsText" text="Retentor">
      <formula>NOT(ISERROR(SEARCH("Retentor",B5)))</formula>
    </cfRule>
    <cfRule type="containsText" dxfId="199" priority="14" operator="containsText" text="Motorredutor">
      <formula>NOT(ISERROR(SEARCH("Motorredutor",B5)))</formula>
    </cfRule>
    <cfRule type="containsText" dxfId="198" priority="15" operator="containsText" text="Redutor">
      <formula>NOT(ISERROR(SEARCH("Redutor",B5)))</formula>
    </cfRule>
    <cfRule type="containsText" dxfId="197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65C20E1F-4D4C-4FCC-A20F-EFB02C731A7D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B785594-7C0A-4F3E-BE71-DFA7E15F7EA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94AE779C-BF5A-452C-9159-74FFF9B8F5E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12F94EB5-D4ED-4846-9B15-3EF82D1D6D3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64D2E3F7-ED59-4F01-91F7-A0BE1B3F1E95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C4220607-C30F-4E94-950E-9DFFF480A07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0B12B4CB-FECC-4437-AA9C-686A45D99C73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57C21E80-0A07-4D4E-B211-1FE916C8AD8E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6D79022D-7999-4E4E-9E17-6A59D5563E38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F9FE47EE-63D4-45A0-9377-B52955F80413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7" operator="containsText" id="{C8674EDC-BFDE-4200-98AE-E2E84BCC23B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0B02C932-4713-42ED-9D2E-1E659EAC150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D6CF7EE9-42B3-49EF-A18B-84725920AC1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76764053-686D-4DE0-9162-36D798637D3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3AD19440-1C37-49E8-908C-7C1109821F0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15759CA5-9167-4517-B6DD-EB9BD5F147B2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" operator="containsText" id="{FC9BFEF5-6BFD-4068-88D5-44E76A5D438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E78362A6-61F5-4453-9812-97AE7510418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94BB9B49-9D0A-4E43-A5AE-95806478D0C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DB15943B-95E2-454A-A3D2-AE05F4048A0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7" operator="containsText" id="{67A21F1A-F8DD-4A74-B053-A1AD4308BE2A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2AC2BA58-7140-4CE7-AB62-92870DAFAC23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C0DFB0B9-16A3-41BC-A628-2BB6FAE98324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576D49C7-6C81-4F03-B9D4-8A6059826A3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F93CBFBD-CD5B-41DD-AD29-5085E6890EF1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DAA2BFAF-18CA-4EC6-801D-7F4F7F570E9A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9F686797-BE2F-4B51-92CF-E55758023938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75BD-75C0-4EA3-8A09-60907C631111}">
  <sheetPr>
    <tabColor theme="7"/>
    <pageSetUpPr fitToPage="1"/>
  </sheetPr>
  <dimension ref="A1:P93"/>
  <sheetViews>
    <sheetView showGridLines="0" zoomScaleNormal="100" workbookViewId="0">
      <pane ySplit="4" topLeftCell="A31" activePane="bottomLeft" state="frozen"/>
      <selection pane="bottomLeft" activeCell="F38" sqref="F38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116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44718</v>
      </c>
      <c r="C3" s="43">
        <f>B3+1</f>
        <v>44719</v>
      </c>
      <c r="D3" s="43">
        <f t="shared" ref="D3:H3" si="0">C3+1</f>
        <v>44720</v>
      </c>
      <c r="E3" s="43">
        <f t="shared" si="0"/>
        <v>44721</v>
      </c>
      <c r="F3" s="43">
        <f t="shared" si="0"/>
        <v>44722</v>
      </c>
      <c r="G3" s="43">
        <f t="shared" si="0"/>
        <v>44723</v>
      </c>
      <c r="H3" s="43">
        <f t="shared" si="0"/>
        <v>44724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  <c r="L4" s="45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0</v>
      </c>
      <c r="L5" s="46">
        <f t="shared" ref="L5:L13" si="3">K5/$K$14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 t="shared" ref="K6:K12" si="4">COUNTIF($B$5:$H$93,J6)</f>
        <v>0</v>
      </c>
      <c r="L6" s="46">
        <f t="shared" si="3"/>
        <v>0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si="4"/>
        <v>0</v>
      </c>
      <c r="L7" s="46">
        <f t="shared" si="3"/>
        <v>0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1</v>
      </c>
      <c r="L8" s="46">
        <f t="shared" si="3"/>
        <v>0.25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4"/>
        <v>1</v>
      </c>
      <c r="L9" s="46">
        <f t="shared" si="3"/>
        <v>0.25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4"/>
        <v>2</v>
      </c>
      <c r="L10" s="46">
        <f t="shared" si="3"/>
        <v>0.5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0</v>
      </c>
      <c r="L11" s="46">
        <f t="shared" si="3"/>
        <v>0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4">
        <f t="shared" si="4"/>
        <v>0</v>
      </c>
      <c r="L12" s="46">
        <f t="shared" si="3"/>
        <v>0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47" t="s">
        <v>111</v>
      </c>
      <c r="K13" s="4">
        <f>COUNTIF($B$5:$H$93,J13)</f>
        <v>0</v>
      </c>
      <c r="L13" s="46">
        <f t="shared" si="3"/>
        <v>0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  <c r="J14" s="1" t="s">
        <v>21</v>
      </c>
      <c r="K14" s="1">
        <f>SUM(K5:K12)</f>
        <v>4</v>
      </c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 t="s">
        <v>15</v>
      </c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/>
      <c r="D25" s="16" t="s">
        <v>11</v>
      </c>
      <c r="E25" s="16"/>
      <c r="F25" s="16"/>
      <c r="G25" s="16"/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 t="s">
        <v>15</v>
      </c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 t="s">
        <v>13</v>
      </c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70" priority="34" operator="containsText" text="Pivô ">
      <formula>NOT(ISERROR(SEARCH("Pivô ",A1)))</formula>
    </cfRule>
  </conditionalFormatting>
  <conditionalFormatting sqref="B5:H93">
    <cfRule type="containsText" dxfId="169" priority="10" operator="containsText" text="Cardã">
      <formula>NOT(ISERROR(SEARCH("Cardã",B5)))</formula>
    </cfRule>
    <cfRule type="containsText" dxfId="168" priority="11" operator="containsText" text="Pneu">
      <formula>NOT(ISERROR(SEARCH("Pneu",B5)))</formula>
    </cfRule>
    <cfRule type="containsText" dxfId="167" priority="12" operator="containsText" text="Vedação">
      <formula>NOT(ISERROR(SEARCH("Vedação",B5)))</formula>
    </cfRule>
    <cfRule type="containsText" dxfId="166" priority="13" operator="containsText" text="Retentor">
      <formula>NOT(ISERROR(SEARCH("Retentor",B5)))</formula>
    </cfRule>
    <cfRule type="containsText" dxfId="165" priority="14" operator="containsText" text="Motorredutor">
      <formula>NOT(ISERROR(SEARCH("Motorredutor",B5)))</formula>
    </cfRule>
    <cfRule type="containsText" dxfId="164" priority="15" operator="containsText" text="Redutor">
      <formula>NOT(ISERROR(SEARCH("Redutor",B5)))</formula>
    </cfRule>
    <cfRule type="containsText" dxfId="163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23A86C87-4F29-4B49-84D5-B82D48D21312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D234015-CD3B-4D44-877B-BC50054FA59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02D7DE6F-0AA1-450E-A681-7AD61B4966A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396DE5B0-2B4B-4806-BAE7-CA9A38968F6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CC6CB25D-1A66-49A4-9B29-ED8F14E11F70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EF06EEDD-4C40-40E4-8A94-6C967B396087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030CB4D4-0424-4A6B-8E2E-3059901BCD6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9B37D184-C238-47CA-B1A8-E5CB498AC0BA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9D36CD67-F3C5-4F64-A932-177292E13342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A166F887-6C09-432D-8B6F-6564ACF15972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7" operator="containsText" id="{74FFF264-F6A0-425C-8D5F-26675C199C53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DD6D6392-02DF-48FC-B453-F97E1DCB0E2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E77BD0D0-2501-4A5B-8A16-C7F1394A0C6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70AAF335-8D00-490E-B4DC-FE5E49108F0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4A74011D-C5E0-481A-B7FC-A4B8C2DACC9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101B5ACA-4BCE-43E8-8E8C-B5FAE41043C8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" operator="containsText" id="{09E2CD55-F593-4D7A-8585-F81419E6B60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4FFDBC9E-AD01-4EEF-B8EF-4257918B809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A0623370-02E1-47EF-82C3-847F99735C6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63437DBF-8BCD-4D74-A906-970E5975CCC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7" operator="containsText" id="{4063EF75-F894-41F6-B79F-65696C46FEBE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383EC6D0-29E8-4A6E-9DFA-7664B84120ED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A09F6CFD-5425-47ED-91A3-60F9F50BAFFA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6D2A4B2B-4F5B-411E-9917-96ED1809E26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E8816DAE-DAC1-42CA-BC81-7D7111DFF391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83232E92-13C1-4D48-9291-F8834215F15D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DACB9B27-4D6A-4560-BF6B-6DF64CD2CDE1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1BBB-63F3-4D6B-9912-59202B1900AC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G10" sqref="G10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117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44725</v>
      </c>
      <c r="C3" s="43">
        <f>B3+1</f>
        <v>44726</v>
      </c>
      <c r="D3" s="43">
        <f t="shared" ref="D3:H3" si="0">C3+1</f>
        <v>44727</v>
      </c>
      <c r="E3" s="43">
        <f t="shared" si="0"/>
        <v>44728</v>
      </c>
      <c r="F3" s="43">
        <f t="shared" si="0"/>
        <v>44729</v>
      </c>
      <c r="G3" s="43">
        <f t="shared" si="0"/>
        <v>44730</v>
      </c>
      <c r="H3" s="43">
        <f t="shared" si="0"/>
        <v>44731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  <c r="L4" s="45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 t="s">
        <v>7</v>
      </c>
      <c r="J5" s="17" t="s">
        <v>104</v>
      </c>
      <c r="K5" s="4">
        <f>COUNTIF($B$5:$H$93,J5)</f>
        <v>0</v>
      </c>
      <c r="L5" s="46">
        <f t="shared" ref="L5:L13" si="3">K5/$K$14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 t="shared" ref="K6:K12" si="4">COUNTIF($B$5:$H$93,J6)</f>
        <v>5</v>
      </c>
      <c r="L6" s="46">
        <f t="shared" si="3"/>
        <v>0.38461538461538464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si="4"/>
        <v>1</v>
      </c>
      <c r="L7" s="46">
        <f t="shared" si="3"/>
        <v>7.6923076923076927E-2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1</v>
      </c>
      <c r="L8" s="46">
        <f t="shared" si="3"/>
        <v>7.6923076923076927E-2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4"/>
        <v>2</v>
      </c>
      <c r="L9" s="46">
        <f t="shared" si="3"/>
        <v>0.15384615384615385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4"/>
        <v>0</v>
      </c>
      <c r="L10" s="46">
        <f t="shared" si="3"/>
        <v>0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 t="s">
        <v>7</v>
      </c>
      <c r="J11" s="23" t="s">
        <v>17</v>
      </c>
      <c r="K11" s="4">
        <f t="shared" si="4"/>
        <v>1</v>
      </c>
      <c r="L11" s="46">
        <f t="shared" si="3"/>
        <v>7.6923076923076927E-2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4">
        <f t="shared" si="4"/>
        <v>3</v>
      </c>
      <c r="L12" s="46">
        <f t="shared" si="3"/>
        <v>0.23076923076923078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47" t="s">
        <v>111</v>
      </c>
      <c r="K13" s="4">
        <f>COUNTIF($B$5:$H$93,J13)</f>
        <v>0</v>
      </c>
      <c r="L13" s="46">
        <f t="shared" si="3"/>
        <v>0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  <c r="J14" s="1" t="s">
        <v>21</v>
      </c>
      <c r="K14" s="1">
        <f>SUM(K5:K12)</f>
        <v>13</v>
      </c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 t="s">
        <v>17</v>
      </c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/>
      <c r="D25" s="16"/>
      <c r="E25" s="16"/>
      <c r="F25" s="16"/>
      <c r="G25" s="16"/>
      <c r="H25" s="16" t="s">
        <v>7</v>
      </c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 t="s">
        <v>11</v>
      </c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 t="s">
        <v>7</v>
      </c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 t="s">
        <v>7</v>
      </c>
    </row>
    <row r="43" spans="1:8" x14ac:dyDescent="0.25">
      <c r="A43" s="11" t="s">
        <v>51</v>
      </c>
      <c r="B43" s="16"/>
      <c r="C43" s="16" t="s">
        <v>105</v>
      </c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 t="s">
        <v>105</v>
      </c>
      <c r="D53" s="16"/>
      <c r="E53" s="16"/>
      <c r="F53" s="16"/>
      <c r="G53" s="16"/>
      <c r="H53" s="16" t="s">
        <v>13</v>
      </c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 t="s">
        <v>105</v>
      </c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 t="s">
        <v>13</v>
      </c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 t="s">
        <v>9</v>
      </c>
      <c r="H93" s="16"/>
    </row>
  </sheetData>
  <mergeCells count="1">
    <mergeCell ref="A1:H2"/>
  </mergeCells>
  <conditionalFormatting sqref="A1:A1048576">
    <cfRule type="containsText" dxfId="136" priority="34" operator="containsText" text="Pivô ">
      <formula>NOT(ISERROR(SEARCH("Pivô ",A1)))</formula>
    </cfRule>
  </conditionalFormatting>
  <conditionalFormatting sqref="B5:H93">
    <cfRule type="containsText" dxfId="135" priority="10" operator="containsText" text="Cardã">
      <formula>NOT(ISERROR(SEARCH("Cardã",B5)))</formula>
    </cfRule>
    <cfRule type="containsText" dxfId="134" priority="11" operator="containsText" text="Pneu">
      <formula>NOT(ISERROR(SEARCH("Pneu",B5)))</formula>
    </cfRule>
    <cfRule type="containsText" dxfId="133" priority="12" operator="containsText" text="Vedação">
      <formula>NOT(ISERROR(SEARCH("Vedação",B5)))</formula>
    </cfRule>
    <cfRule type="containsText" dxfId="132" priority="13" operator="containsText" text="Retentor">
      <formula>NOT(ISERROR(SEARCH("Retentor",B5)))</formula>
    </cfRule>
    <cfRule type="containsText" dxfId="131" priority="14" operator="containsText" text="Motorredutor">
      <formula>NOT(ISERROR(SEARCH("Motorredutor",B5)))</formula>
    </cfRule>
    <cfRule type="containsText" dxfId="130" priority="15" operator="containsText" text="Redutor">
      <formula>NOT(ISERROR(SEARCH("Redutor",B5)))</formula>
    </cfRule>
    <cfRule type="containsText" dxfId="129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FDD3083D-ED6A-4EA9-8F53-B406E3A1086D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4EC7C4C-E206-4B0B-965D-22BC19D7B12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EE463A1A-DE4E-4923-A576-E5222F70C42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257FABFE-0095-480C-8B6B-0799A347BFF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AEE29A97-4173-4017-8ADB-4AA4F9F46B75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F5B840C4-F97F-4A05-8E99-86353656EBEC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E5D1F6B6-E5A7-4838-8A8D-E1714BE3C01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12E92D79-5579-4E54-8303-86B83DA9CC51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D8017C18-AFBB-4E2E-B448-F4F4AE1158A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FAC746B4-4C25-47E2-ADE7-F6C4E738EF57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7" operator="containsText" id="{8D8A5E6D-D226-413C-A38D-1D037A8B748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4AF4C1BC-AB80-496F-BD39-709F3EF10D7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B9BCAAF7-3E03-47CA-B771-2CB243DF080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4FDE9773-0723-4610-A7BA-3C1C6A6DEC6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899A4BD0-3D85-4D76-8246-B2E2F9B5856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DAB1BEE4-897F-4871-BC6D-1B1FF1FC56AE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" operator="containsText" id="{9D8426CD-9260-4094-98D5-155F104FFAF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CC50E272-630E-4712-AE28-D69002C7230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4069B088-D17E-4161-8E04-F023F9C0E4E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012B5AE9-E77B-4169-BAB7-68160E0DF09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7" operator="containsText" id="{1FE07363-9F6D-4754-9344-5E2703BFA3E3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5251B861-9D08-4FF2-B399-E0AA1AF81802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05F8B16F-D50A-4932-A28B-DE7F9937A7B0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3BED6A6A-A714-44E0-BBB8-ACAEEB1C904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5B6294CF-DB90-41AC-A9B0-55F21AFE5C93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4E92DC85-7894-4B44-8677-6B9C00B754F1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61DC54A8-69ED-4813-BC9E-893356C1F4CD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2781-FF7B-4DCD-B428-653277127124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K13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118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44732</v>
      </c>
      <c r="C3" s="43">
        <f>B3+1</f>
        <v>44733</v>
      </c>
      <c r="D3" s="43">
        <f t="shared" ref="D3:H3" si="0">C3+1</f>
        <v>44734</v>
      </c>
      <c r="E3" s="43">
        <f t="shared" si="0"/>
        <v>44735</v>
      </c>
      <c r="F3" s="43">
        <f t="shared" si="0"/>
        <v>44736</v>
      </c>
      <c r="G3" s="43">
        <f t="shared" si="0"/>
        <v>44737</v>
      </c>
      <c r="H3" s="43">
        <f t="shared" si="0"/>
        <v>44738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  <c r="L4" s="45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0</v>
      </c>
      <c r="L5" s="46">
        <f t="shared" ref="L5:L13" si="3">K5/$K$14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 t="shared" ref="K6:K12" si="4">COUNTIF($B$5:$H$93,J6)</f>
        <v>0</v>
      </c>
      <c r="L6" s="46">
        <f t="shared" si="3"/>
        <v>0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si="4"/>
        <v>1</v>
      </c>
      <c r="L7" s="46">
        <f t="shared" si="3"/>
        <v>1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4"/>
        <v>0</v>
      </c>
      <c r="L8" s="46">
        <f t="shared" si="3"/>
        <v>0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4"/>
        <v>0</v>
      </c>
      <c r="L9" s="46">
        <f t="shared" si="3"/>
        <v>0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4"/>
        <v>0</v>
      </c>
      <c r="L10" s="46">
        <f t="shared" si="3"/>
        <v>0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4"/>
        <v>0</v>
      </c>
      <c r="L11" s="46">
        <f t="shared" si="3"/>
        <v>0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4">
        <f t="shared" si="4"/>
        <v>0</v>
      </c>
      <c r="L12" s="46">
        <f t="shared" si="3"/>
        <v>0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47" t="s">
        <v>111</v>
      </c>
      <c r="K13" s="4">
        <f>COUNTIF($B$5:$H$93,J13)</f>
        <v>0</v>
      </c>
      <c r="L13" s="46">
        <f t="shared" si="3"/>
        <v>0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  <c r="J14" s="1" t="s">
        <v>21</v>
      </c>
      <c r="K14" s="1">
        <f>SUM(K5:K12)</f>
        <v>1</v>
      </c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 t="s">
        <v>9</v>
      </c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02" priority="34" operator="containsText" text="Pivô ">
      <formula>NOT(ISERROR(SEARCH("Pivô ",A1)))</formula>
    </cfRule>
  </conditionalFormatting>
  <conditionalFormatting sqref="B5:H93">
    <cfRule type="containsText" dxfId="101" priority="10" operator="containsText" text="Cardã">
      <formula>NOT(ISERROR(SEARCH("Cardã",B5)))</formula>
    </cfRule>
    <cfRule type="containsText" dxfId="100" priority="11" operator="containsText" text="Pneu">
      <formula>NOT(ISERROR(SEARCH("Pneu",B5)))</formula>
    </cfRule>
    <cfRule type="containsText" dxfId="99" priority="12" operator="containsText" text="Vedação">
      <formula>NOT(ISERROR(SEARCH("Vedação",B5)))</formula>
    </cfRule>
    <cfRule type="containsText" dxfId="98" priority="13" operator="containsText" text="Retentor">
      <formula>NOT(ISERROR(SEARCH("Retentor",B5)))</formula>
    </cfRule>
    <cfRule type="containsText" dxfId="97" priority="14" operator="containsText" text="Motorredutor">
      <formula>NOT(ISERROR(SEARCH("Motorredutor",B5)))</formula>
    </cfRule>
    <cfRule type="containsText" dxfId="96" priority="15" operator="containsText" text="Redutor">
      <formula>NOT(ISERROR(SEARCH("Redutor",B5)))</formula>
    </cfRule>
    <cfRule type="containsText" dxfId="95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E9C1ADC0-2B42-4F47-8B02-0F135BBC133F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1631D4D-755F-463B-A5E8-DFF38845F47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7C905957-CBDC-4E32-943A-80974BF896C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382EDC7F-DB42-47E9-8720-6A07688FD86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F6BD61A0-9DF3-4062-ABE9-23C2BF2C1C6D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7BA07DE2-FDD6-4A4F-A8D2-652238266F83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E1A6F07F-EF6C-47C1-BEA6-9F0486E57BB9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3D05B1EB-A6A6-435C-9F1D-52AD64D9562E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91E46933-A477-4515-89D7-BC633FB9F98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EA4286D0-D33F-40C3-8BCD-1E3E963A4754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7" operator="containsText" id="{B3B4082F-5C7A-4E11-83D5-4EB66E79625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B0F23E58-45FD-4903-82A6-369FD630D5E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0AC49DEA-CA94-46EC-AE4C-2828FB2073B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D36D16DE-DD0D-4380-8B46-8E6BDA08275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4B25F112-AFB9-4873-99B6-77F2F749AEA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0BF25641-4E54-40E0-A2C9-DF477CCE4518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" operator="containsText" id="{CB064323-7D58-4B19-B669-76FB8F6B035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8792B9AD-1BC8-489C-BD48-A4CA68DD979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9FF5D69E-15DC-44AB-9841-455D8A5371B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0A881188-CECB-4103-9EC7-7199C76624F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7" operator="containsText" id="{9A43B9E2-9049-4323-9328-7B8D55C6730E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DE870192-7642-4EDA-B5E8-32B58604D9CD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A0DC6849-AC5C-4A8B-AB50-3B52ACEF26D1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152E129D-84CA-4BDA-8CFF-51DA002AB22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52D5813A-5ABF-4F2B-8BE9-CF58FEBB0BD6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4F906F9A-3077-405C-ACCE-CD277C1133C0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013D039D-4289-4159-A7E8-A805F3115118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9645-F19A-4E63-A568-D7ED743D6310}">
  <sheetPr>
    <tabColor theme="7"/>
    <pageSetUpPr fitToPage="1"/>
  </sheetPr>
  <dimension ref="A1:P93"/>
  <sheetViews>
    <sheetView showGridLines="0" tabSelected="1" zoomScaleNormal="100" workbookViewId="0">
      <pane ySplit="4" topLeftCell="A5" activePane="bottomLeft" state="frozen"/>
      <selection pane="bottomLeft" activeCell="I16" sqref="I16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48" t="s">
        <v>119</v>
      </c>
      <c r="B1" s="48"/>
      <c r="C1" s="48"/>
      <c r="D1" s="48"/>
      <c r="E1" s="48"/>
      <c r="F1" s="48"/>
      <c r="G1" s="48"/>
      <c r="H1" s="48"/>
    </row>
    <row r="2" spans="1:16" s="8" customFormat="1" x14ac:dyDescent="0.25">
      <c r="A2" s="48"/>
      <c r="B2" s="48"/>
      <c r="C2" s="48"/>
      <c r="D2" s="48"/>
      <c r="E2" s="48"/>
      <c r="F2" s="48"/>
      <c r="G2" s="48"/>
      <c r="H2" s="48"/>
    </row>
    <row r="3" spans="1:16" s="8" customFormat="1" ht="15.75" x14ac:dyDescent="0.25">
      <c r="A3" s="12" t="s">
        <v>1</v>
      </c>
      <c r="B3" s="43">
        <v>44739</v>
      </c>
      <c r="C3" s="43">
        <f>B3+1</f>
        <v>44740</v>
      </c>
      <c r="D3" s="43">
        <f t="shared" ref="D3:H3" si="0">C3+1</f>
        <v>44741</v>
      </c>
      <c r="E3" s="43">
        <f t="shared" si="0"/>
        <v>44742</v>
      </c>
      <c r="F3" s="43">
        <f t="shared" si="0"/>
        <v>44743</v>
      </c>
      <c r="G3" s="43">
        <f t="shared" si="0"/>
        <v>44744</v>
      </c>
      <c r="H3" s="43">
        <f t="shared" si="0"/>
        <v>44745</v>
      </c>
      <c r="I3" s="10"/>
      <c r="K3" s="9"/>
    </row>
    <row r="4" spans="1:16" s="8" customFormat="1" ht="15.75" x14ac:dyDescent="0.25">
      <c r="A4" s="13" t="s">
        <v>2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3</v>
      </c>
      <c r="K4" s="9"/>
      <c r="L4" s="45"/>
    </row>
    <row r="5" spans="1:16" x14ac:dyDescent="0.25">
      <c r="A5" s="11" t="s">
        <v>4</v>
      </c>
      <c r="B5" s="16"/>
      <c r="C5" s="16"/>
      <c r="D5" s="16"/>
      <c r="E5" s="16"/>
      <c r="F5" s="16"/>
      <c r="G5" s="16"/>
      <c r="H5" s="16"/>
      <c r="J5" s="17" t="s">
        <v>104</v>
      </c>
      <c r="K5" s="4">
        <f>COUNTIF($B$5:$H$93,J5)</f>
        <v>0</v>
      </c>
      <c r="L5" s="46">
        <f>K5/$K$15</f>
        <v>0</v>
      </c>
    </row>
    <row r="6" spans="1:16" x14ac:dyDescent="0.25">
      <c r="A6" s="11" t="s">
        <v>6</v>
      </c>
      <c r="B6" s="16"/>
      <c r="C6" s="16"/>
      <c r="D6" s="16"/>
      <c r="E6" s="16"/>
      <c r="F6" s="16"/>
      <c r="G6" s="16"/>
      <c r="H6" s="16"/>
      <c r="J6" s="18" t="s">
        <v>7</v>
      </c>
      <c r="K6" s="4">
        <f t="shared" ref="K6:K12" si="3">COUNTIF($B$5:$H$93,J6)</f>
        <v>0</v>
      </c>
      <c r="L6" s="46">
        <f>K6/$K$15</f>
        <v>0</v>
      </c>
    </row>
    <row r="7" spans="1:16" x14ac:dyDescent="0.25">
      <c r="A7" s="11" t="s">
        <v>8</v>
      </c>
      <c r="B7" s="16"/>
      <c r="C7" s="16"/>
      <c r="D7" s="16"/>
      <c r="E7" s="16"/>
      <c r="F7" s="16"/>
      <c r="G7" s="16"/>
      <c r="H7" s="16"/>
      <c r="J7" s="19" t="s">
        <v>9</v>
      </c>
      <c r="K7" s="4">
        <f t="shared" si="3"/>
        <v>0</v>
      </c>
      <c r="L7" s="46">
        <f>K7/$K$15</f>
        <v>0</v>
      </c>
    </row>
    <row r="8" spans="1:16" x14ac:dyDescent="0.25">
      <c r="A8" s="11" t="s">
        <v>10</v>
      </c>
      <c r="B8" s="16"/>
      <c r="C8" s="16"/>
      <c r="D8" s="16"/>
      <c r="E8" s="16"/>
      <c r="F8" s="16"/>
      <c r="G8" s="16"/>
      <c r="H8" s="16"/>
      <c r="J8" s="20" t="s">
        <v>11</v>
      </c>
      <c r="K8" s="4">
        <f t="shared" si="3"/>
        <v>0</v>
      </c>
      <c r="L8" s="46">
        <f>K8/$K$15</f>
        <v>0</v>
      </c>
    </row>
    <row r="9" spans="1:16" x14ac:dyDescent="0.25">
      <c r="A9" s="11" t="s">
        <v>12</v>
      </c>
      <c r="B9" s="16"/>
      <c r="C9" s="16"/>
      <c r="D9" s="16"/>
      <c r="E9" s="16"/>
      <c r="F9" s="16"/>
      <c r="G9" s="16"/>
      <c r="H9" s="16"/>
      <c r="J9" s="21" t="s">
        <v>13</v>
      </c>
      <c r="K9" s="4">
        <f t="shared" si="3"/>
        <v>0</v>
      </c>
      <c r="L9" s="46">
        <f>K9/$K$15</f>
        <v>0</v>
      </c>
      <c r="P9" s="2"/>
    </row>
    <row r="10" spans="1:16" x14ac:dyDescent="0.25">
      <c r="A10" s="11" t="s">
        <v>14</v>
      </c>
      <c r="B10" s="16"/>
      <c r="C10" s="16"/>
      <c r="D10" s="16"/>
      <c r="E10" s="16"/>
      <c r="F10" s="16"/>
      <c r="G10" s="16"/>
      <c r="H10" s="16"/>
      <c r="J10" s="22" t="s">
        <v>15</v>
      </c>
      <c r="K10" s="4">
        <f t="shared" si="3"/>
        <v>0</v>
      </c>
      <c r="L10" s="46">
        <f>K10/$K$15</f>
        <v>0</v>
      </c>
    </row>
    <row r="11" spans="1:16" x14ac:dyDescent="0.25">
      <c r="A11" s="11" t="s">
        <v>16</v>
      </c>
      <c r="B11" s="16"/>
      <c r="C11" s="16"/>
      <c r="D11" s="16"/>
      <c r="E11" s="16"/>
      <c r="F11" s="16"/>
      <c r="G11" s="16"/>
      <c r="H11" s="16"/>
      <c r="J11" s="23" t="s">
        <v>17</v>
      </c>
      <c r="K11" s="4">
        <f t="shared" si="3"/>
        <v>0</v>
      </c>
      <c r="L11" s="46">
        <f>K11/$K$15</f>
        <v>0</v>
      </c>
    </row>
    <row r="12" spans="1:16" x14ac:dyDescent="0.25">
      <c r="A12" s="11" t="s">
        <v>18</v>
      </c>
      <c r="B12" s="16"/>
      <c r="C12" s="16"/>
      <c r="D12" s="16"/>
      <c r="E12" s="16"/>
      <c r="F12" s="16"/>
      <c r="G12" s="16"/>
      <c r="H12" s="16"/>
      <c r="J12" s="24" t="s">
        <v>105</v>
      </c>
      <c r="K12" s="4">
        <f t="shared" si="3"/>
        <v>2</v>
      </c>
      <c r="L12" s="46">
        <f>K12/$K$15</f>
        <v>1</v>
      </c>
    </row>
    <row r="13" spans="1:16" x14ac:dyDescent="0.25">
      <c r="A13" s="11" t="s">
        <v>20</v>
      </c>
      <c r="B13" s="16"/>
      <c r="C13" s="16"/>
      <c r="D13" s="16"/>
      <c r="E13" s="16"/>
      <c r="F13" s="16"/>
      <c r="G13" s="16"/>
      <c r="H13" s="16"/>
      <c r="J13" s="47" t="s">
        <v>111</v>
      </c>
      <c r="K13" s="4">
        <f>COUNTIF($B$5:$H$93,J13)</f>
        <v>0</v>
      </c>
      <c r="L13" s="46">
        <f>K13/$K$15</f>
        <v>0</v>
      </c>
    </row>
    <row r="14" spans="1:16" x14ac:dyDescent="0.25">
      <c r="A14" s="11" t="s">
        <v>22</v>
      </c>
      <c r="B14" s="16"/>
      <c r="C14" s="16"/>
      <c r="D14" s="16"/>
      <c r="E14" s="16"/>
      <c r="F14" s="16"/>
      <c r="G14" s="16"/>
      <c r="H14" s="16"/>
      <c r="J14" s="49" t="s">
        <v>122</v>
      </c>
      <c r="K14" s="4">
        <f>COUNTIF($B$5:$H$93,J14)</f>
        <v>0</v>
      </c>
      <c r="L14" s="46">
        <f>K14/$K$15</f>
        <v>0</v>
      </c>
    </row>
    <row r="15" spans="1:16" x14ac:dyDescent="0.25">
      <c r="A15" s="11" t="s">
        <v>23</v>
      </c>
      <c r="B15" s="16"/>
      <c r="C15" s="16"/>
      <c r="D15" s="16"/>
      <c r="E15" s="16"/>
      <c r="F15" s="16"/>
      <c r="G15" s="16"/>
      <c r="H15" s="16"/>
      <c r="J15" s="1" t="s">
        <v>21</v>
      </c>
      <c r="K15" s="1">
        <f>SUM(K5:K12)</f>
        <v>2</v>
      </c>
    </row>
    <row r="16" spans="1:16" x14ac:dyDescent="0.25">
      <c r="A16" s="11" t="s">
        <v>24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25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26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27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28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29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30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31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32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33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34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35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36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37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38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39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40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41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42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43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44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45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46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47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48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49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50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51</v>
      </c>
      <c r="B43" s="16"/>
      <c r="C43" s="16"/>
      <c r="D43" s="16"/>
      <c r="E43" s="16"/>
      <c r="F43" s="16"/>
      <c r="G43" s="16" t="s">
        <v>105</v>
      </c>
      <c r="H43" s="16"/>
    </row>
    <row r="44" spans="1:8" x14ac:dyDescent="0.25">
      <c r="A44" s="11" t="s">
        <v>52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53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54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55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56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57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58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59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60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61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62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63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64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65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66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67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68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69</v>
      </c>
      <c r="B61" s="16"/>
      <c r="C61" s="16"/>
      <c r="D61" s="16"/>
      <c r="E61" s="16" t="s">
        <v>105</v>
      </c>
      <c r="F61" s="16"/>
      <c r="G61" s="16"/>
      <c r="H61" s="16"/>
    </row>
    <row r="62" spans="1:8" x14ac:dyDescent="0.25">
      <c r="A62" s="11" t="s">
        <v>70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71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72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73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74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75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76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77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78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79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80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81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82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83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84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85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86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87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88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89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90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91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92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93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94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95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96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97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98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99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100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101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68" priority="35" operator="containsText" text="Pivô ">
      <formula>NOT(ISERROR(SEARCH("Pivô ",A1)))</formula>
    </cfRule>
  </conditionalFormatting>
  <conditionalFormatting sqref="B5:H93">
    <cfRule type="containsText" dxfId="0" priority="11" operator="containsText" text="Cardã">
      <formula>NOT(ISERROR(SEARCH("Cardã",B5)))</formula>
    </cfRule>
    <cfRule type="containsText" dxfId="1" priority="12" operator="containsText" text="Pneu">
      <formula>NOT(ISERROR(SEARCH("Pneu",B5)))</formula>
    </cfRule>
    <cfRule type="containsText" dxfId="2" priority="13" operator="containsText" text="Vedação">
      <formula>NOT(ISERROR(SEARCH("Vedação",B5)))</formula>
    </cfRule>
    <cfRule type="containsText" dxfId="3" priority="14" operator="containsText" text="Retentor">
      <formula>NOT(ISERROR(SEARCH("Retentor",B5)))</formula>
    </cfRule>
    <cfRule type="containsText" dxfId="4" priority="15" operator="containsText" text="Motorredutor">
      <formula>NOT(ISERROR(SEARCH("Motorredutor",B5)))</formula>
    </cfRule>
    <cfRule type="containsText" dxfId="5" priority="16" operator="containsText" text="Redutor">
      <formula>NOT(ISERROR(SEARCH("Redutor",B5)))</formula>
    </cfRule>
    <cfRule type="containsText" dxfId="6" priority="17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8D288346-E831-455B-868C-052D69C8D1A6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761BE7E-550B-4C01-995A-574C12140248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58AD3C00-7BC5-4321-A7F8-825AC35D7D9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35445FF4-8348-4C7D-9020-7AAEC4F7A37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F25D2772-D03D-499E-B9BC-E8EBA54BD8F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8D8BBD59-790B-4104-999C-1958A5E7FA1A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BB38948D-7ED2-40A0-ABDD-358B5F62FC70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8F7B73F9-3165-45D8-8A3C-27227CA93F7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FC5268CA-C21E-482D-8000-101E66C3BB20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507E713F-7C23-42C8-8109-606CDDE2E674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C1E4061E-5F06-45E9-A0FF-ADB39EB20B62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8" operator="containsText" id="{5951762E-3AE8-4428-BA98-DC57CFDD4E9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9" operator="containsText" id="{F6C1EC56-0D4A-4B88-BF1E-C2D551B170A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61CD5284-9AA5-4C0C-82D7-9C6759D857D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927AA4BC-B5A3-4366-94B3-93F0007B79E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2" operator="containsText" id="{9C525A0D-E6B6-4D58-A4F9-A6E4EA1D914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6393AE03-2771-4755-B955-D09EF19735AB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4" operator="containsText" id="{0D9D3D6B-389E-4D4C-A159-55CEB832666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5" operator="containsText" id="{1D6513D2-E8B2-4A2F-9E32-4CD9AAE081D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6" operator="containsText" id="{8C4A60EE-A726-4F49-B08A-FEC690BAD84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7" operator="containsText" id="{1235EC65-4861-441B-8F85-1ADAE3ECD2B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8" operator="containsText" id="{B9AD4910-4A41-4523-831C-F22E9ED29789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9" operator="containsText" id="{75DE96E9-4A0E-436D-A76D-05DE5DCB88A4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" operator="containsText" id="{4B210C4C-49F6-4AEA-B1A0-53938A226C6D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1" operator="containsText" id="{6E0E7034-FA3D-4EDE-BC23-D1BD1C03CD9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2" operator="containsText" id="{928E65D9-CB7D-4945-B291-872B10CF4246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3" operator="containsText" id="{BF79DFEC-8532-44A1-B691-502B0533AEB4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4" operator="containsText" id="{9B1BE619-2764-4774-BA13-F4CDDA7570A7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1E6D-E0B7-4FB0-AB8E-71451531883A}">
  <sheetPr>
    <tabColor theme="5"/>
  </sheetPr>
  <dimension ref="A2:AZ12"/>
  <sheetViews>
    <sheetView workbookViewId="0">
      <selection activeCell="A15" sqref="A15"/>
    </sheetView>
  </sheetViews>
  <sheetFormatPr defaultRowHeight="15" x14ac:dyDescent="0.25"/>
  <cols>
    <col min="1" max="1" width="18.28515625" customWidth="1"/>
    <col min="2" max="3" width="6.7109375" bestFit="1" customWidth="1"/>
    <col min="4" max="4" width="7.28515625" bestFit="1" customWidth="1"/>
    <col min="22" max="22" width="9.7109375" customWidth="1"/>
    <col min="24" max="24" width="18" customWidth="1"/>
    <col min="52" max="52" width="9.85546875" customWidth="1"/>
  </cols>
  <sheetData>
    <row r="2" spans="1:52" s="28" customFormat="1" ht="18.600000000000001" customHeight="1" x14ac:dyDescent="0.25">
      <c r="A2" s="27" t="s">
        <v>3</v>
      </c>
      <c r="B2" s="32">
        <v>44613</v>
      </c>
      <c r="C2" s="32">
        <v>44620</v>
      </c>
      <c r="D2" s="32">
        <v>44627</v>
      </c>
      <c r="E2" s="32">
        <v>44634</v>
      </c>
      <c r="F2" s="32">
        <v>44641</v>
      </c>
      <c r="G2" s="32">
        <v>44648</v>
      </c>
      <c r="H2" s="32">
        <v>44655</v>
      </c>
      <c r="I2" s="32">
        <v>44662</v>
      </c>
      <c r="J2" s="32">
        <v>44669</v>
      </c>
      <c r="K2" s="32">
        <v>44676</v>
      </c>
      <c r="L2" s="32">
        <v>44683</v>
      </c>
      <c r="M2" s="32">
        <v>44690</v>
      </c>
      <c r="N2" s="32">
        <v>44697</v>
      </c>
      <c r="O2" s="32">
        <v>44704</v>
      </c>
      <c r="P2" s="32">
        <v>44711</v>
      </c>
      <c r="Q2" s="32">
        <v>44718</v>
      </c>
      <c r="R2" s="32">
        <v>44725</v>
      </c>
      <c r="S2" s="32">
        <v>44732</v>
      </c>
      <c r="T2" s="32">
        <v>44739</v>
      </c>
      <c r="U2" s="33" t="s">
        <v>21</v>
      </c>
      <c r="V2" s="30" t="s">
        <v>120</v>
      </c>
      <c r="X2" s="40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3"/>
      <c r="AZ2" s="42"/>
    </row>
    <row r="3" spans="1:52" ht="13.9" customHeight="1" x14ac:dyDescent="0.25">
      <c r="A3" s="34" t="s">
        <v>5</v>
      </c>
      <c r="B3">
        <f>'21 02 2022'!K5</f>
        <v>3</v>
      </c>
      <c r="C3">
        <f>'28 02 2022'!K5</f>
        <v>1</v>
      </c>
      <c r="D3">
        <f>'07 03 2022'!K5</f>
        <v>0</v>
      </c>
      <c r="E3">
        <f>'14 03 2022'!K5</f>
        <v>0</v>
      </c>
      <c r="F3">
        <f>'21 03 2022'!K5</f>
        <v>0</v>
      </c>
      <c r="G3">
        <f>'28 03 2022'!K5</f>
        <v>1</v>
      </c>
      <c r="H3">
        <f>'04 04 2022'!K5</f>
        <v>0</v>
      </c>
      <c r="I3">
        <f>'11 04 2022'!K5</f>
        <v>0</v>
      </c>
      <c r="J3">
        <f>'18 04 2022'!K5</f>
        <v>0</v>
      </c>
      <c r="K3">
        <f>'25 04 2022'!K5</f>
        <v>0</v>
      </c>
      <c r="L3">
        <f>'02 05 2022'!K5</f>
        <v>0</v>
      </c>
      <c r="M3">
        <f>'09 05 2022'!K5</f>
        <v>0</v>
      </c>
      <c r="N3">
        <f>'16 05 2022'!K5</f>
        <v>0</v>
      </c>
      <c r="O3">
        <f>'23 05 2022 '!K5</f>
        <v>0</v>
      </c>
      <c r="Q3">
        <f>'06 06 2022 '!K5</f>
        <v>0</v>
      </c>
      <c r="R3">
        <f>'13 06 2022  '!K5</f>
        <v>0</v>
      </c>
      <c r="S3">
        <f>'20 06 2022  '!K5</f>
        <v>0</v>
      </c>
      <c r="T3">
        <v>0</v>
      </c>
      <c r="U3" s="26">
        <f>SUM(B3:T3)</f>
        <v>5</v>
      </c>
      <c r="V3" s="31">
        <f>U3/$U$12</f>
        <v>3.4722222222222224E-2</v>
      </c>
      <c r="X3" s="40"/>
      <c r="AY3" s="26"/>
      <c r="AZ3" s="1"/>
    </row>
    <row r="4" spans="1:52" ht="13.9" customHeight="1" x14ac:dyDescent="0.25">
      <c r="A4" s="19" t="s">
        <v>7</v>
      </c>
      <c r="B4">
        <f>'21 02 2022'!K6</f>
        <v>1</v>
      </c>
      <c r="C4">
        <f>'28 02 2022'!K6</f>
        <v>2</v>
      </c>
      <c r="D4">
        <f>'07 03 2022'!K6</f>
        <v>2</v>
      </c>
      <c r="E4">
        <f>'14 03 2022'!K6</f>
        <v>2</v>
      </c>
      <c r="F4">
        <f>'21 03 2022'!K6</f>
        <v>0</v>
      </c>
      <c r="G4">
        <f>'28 03 2022'!K6</f>
        <v>0</v>
      </c>
      <c r="H4">
        <f>'04 04 2022'!K6</f>
        <v>0</v>
      </c>
      <c r="I4">
        <f>'11 04 2022'!K6</f>
        <v>0</v>
      </c>
      <c r="J4">
        <f>'18 04 2022'!K6</f>
        <v>1</v>
      </c>
      <c r="K4">
        <f>'25 04 2022'!K6</f>
        <v>0</v>
      </c>
      <c r="L4">
        <f>'02 05 2022'!K6</f>
        <v>0</v>
      </c>
      <c r="M4">
        <f>'09 05 2022'!K6</f>
        <v>0</v>
      </c>
      <c r="N4">
        <f>'16 05 2022'!K6</f>
        <v>0</v>
      </c>
      <c r="O4">
        <f>'23 05 2022 '!K6</f>
        <v>0</v>
      </c>
      <c r="Q4">
        <f>'06 06 2022 '!K6</f>
        <v>0</v>
      </c>
      <c r="R4">
        <f>'13 06 2022  '!K6</f>
        <v>5</v>
      </c>
      <c r="S4">
        <f>'20 06 2022  '!K6</f>
        <v>0</v>
      </c>
      <c r="T4">
        <v>0</v>
      </c>
      <c r="U4" s="26">
        <f t="shared" ref="U4:U11" si="0">SUM(B4:T4)</f>
        <v>13</v>
      </c>
      <c r="V4" s="31">
        <f t="shared" ref="V4:V11" si="1">U4/$U$12</f>
        <v>9.0277777777777776E-2</v>
      </c>
      <c r="X4" s="40"/>
      <c r="AY4" s="26"/>
      <c r="AZ4" s="1"/>
    </row>
    <row r="5" spans="1:52" ht="13.9" customHeight="1" x14ac:dyDescent="0.25">
      <c r="A5" s="35" t="s">
        <v>9</v>
      </c>
      <c r="B5">
        <f>'21 02 2022'!K7</f>
        <v>0</v>
      </c>
      <c r="C5">
        <f>'28 02 2022'!K7</f>
        <v>3</v>
      </c>
      <c r="D5">
        <f>'07 03 2022'!K7</f>
        <v>0</v>
      </c>
      <c r="E5">
        <f>'14 03 2022'!K7</f>
        <v>0</v>
      </c>
      <c r="F5">
        <f>'21 03 2022'!K7</f>
        <v>0</v>
      </c>
      <c r="G5">
        <f>'28 03 2022'!K7</f>
        <v>4</v>
      </c>
      <c r="H5">
        <f>'04 04 2022'!K7</f>
        <v>0</v>
      </c>
      <c r="I5">
        <f>'11 04 2022'!K7</f>
        <v>13</v>
      </c>
      <c r="J5">
        <f>'18 04 2022'!K7</f>
        <v>0</v>
      </c>
      <c r="K5">
        <f>'25 04 2022'!K7</f>
        <v>0</v>
      </c>
      <c r="L5">
        <f>'02 05 2022'!K7</f>
        <v>0</v>
      </c>
      <c r="M5">
        <f>'09 05 2022'!K7</f>
        <v>1</v>
      </c>
      <c r="N5">
        <f>'16 05 2022'!K7</f>
        <v>0</v>
      </c>
      <c r="O5">
        <f>'23 05 2022 '!K7</f>
        <v>0</v>
      </c>
      <c r="Q5">
        <f>'06 06 2022 '!K7</f>
        <v>0</v>
      </c>
      <c r="R5">
        <f>'13 06 2022  '!K7</f>
        <v>1</v>
      </c>
      <c r="S5">
        <f>'20 06 2022  '!K7</f>
        <v>1</v>
      </c>
      <c r="T5">
        <v>0</v>
      </c>
      <c r="U5" s="26">
        <f t="shared" si="0"/>
        <v>23</v>
      </c>
      <c r="V5" s="31">
        <f t="shared" si="1"/>
        <v>0.15972222222222221</v>
      </c>
      <c r="X5" s="40"/>
      <c r="AY5" s="26"/>
      <c r="AZ5" s="1"/>
    </row>
    <row r="6" spans="1:52" ht="13.9" customHeight="1" x14ac:dyDescent="0.25">
      <c r="A6" s="36" t="s">
        <v>11</v>
      </c>
      <c r="B6">
        <f>'21 02 2022'!K8</f>
        <v>5</v>
      </c>
      <c r="C6">
        <f>'28 02 2022'!K8</f>
        <v>2</v>
      </c>
      <c r="D6">
        <f>'07 03 2022'!K8</f>
        <v>0</v>
      </c>
      <c r="E6">
        <f>'14 03 2022'!K8</f>
        <v>3</v>
      </c>
      <c r="F6">
        <f>'21 03 2022'!K8</f>
        <v>1</v>
      </c>
      <c r="G6">
        <f>'28 03 2022'!K8</f>
        <v>0</v>
      </c>
      <c r="H6">
        <f>'04 04 2022'!K8</f>
        <v>1</v>
      </c>
      <c r="I6">
        <f>'11 04 2022'!K8</f>
        <v>0</v>
      </c>
      <c r="J6">
        <f>'18 04 2022'!K8</f>
        <v>2</v>
      </c>
      <c r="K6">
        <f>'25 04 2022'!K8</f>
        <v>2</v>
      </c>
      <c r="L6">
        <f>'02 05 2022'!K8</f>
        <v>2</v>
      </c>
      <c r="M6">
        <f>'09 05 2022'!K8</f>
        <v>2</v>
      </c>
      <c r="N6">
        <f>'16 05 2022'!K8</f>
        <v>3</v>
      </c>
      <c r="O6">
        <f>'23 05 2022 '!K8</f>
        <v>0</v>
      </c>
      <c r="Q6">
        <f>'06 06 2022 '!K8</f>
        <v>1</v>
      </c>
      <c r="R6">
        <f>'13 06 2022  '!K8</f>
        <v>1</v>
      </c>
      <c r="S6">
        <f>'20 06 2022  '!K8</f>
        <v>0</v>
      </c>
      <c r="T6">
        <v>0</v>
      </c>
      <c r="U6" s="26">
        <f t="shared" si="0"/>
        <v>25</v>
      </c>
      <c r="V6" s="31">
        <f t="shared" si="1"/>
        <v>0.1736111111111111</v>
      </c>
      <c r="X6" s="40"/>
      <c r="AY6" s="26"/>
      <c r="AZ6" s="1"/>
    </row>
    <row r="7" spans="1:52" ht="13.9" customHeight="1" x14ac:dyDescent="0.25">
      <c r="A7" s="37" t="s">
        <v>13</v>
      </c>
      <c r="B7">
        <f>'21 02 2022'!K9</f>
        <v>5</v>
      </c>
      <c r="C7">
        <f>'28 02 2022'!K9</f>
        <v>1</v>
      </c>
      <c r="D7">
        <f>'07 03 2022'!K9</f>
        <v>1</v>
      </c>
      <c r="E7">
        <f>'14 03 2022'!K9</f>
        <v>0</v>
      </c>
      <c r="F7">
        <f>'21 03 2022'!K9</f>
        <v>2</v>
      </c>
      <c r="G7">
        <f>'28 03 2022'!K9</f>
        <v>1</v>
      </c>
      <c r="H7">
        <f>'04 04 2022'!K9</f>
        <v>2</v>
      </c>
      <c r="I7">
        <f>'11 04 2022'!K9</f>
        <v>1</v>
      </c>
      <c r="J7">
        <f>'18 04 2022'!K9</f>
        <v>1</v>
      </c>
      <c r="K7">
        <f>'25 04 2022'!K9</f>
        <v>2</v>
      </c>
      <c r="L7">
        <f>'02 05 2022'!K9</f>
        <v>1</v>
      </c>
      <c r="M7">
        <f>'09 05 2022'!K9</f>
        <v>0</v>
      </c>
      <c r="N7">
        <f>'16 05 2022'!K9</f>
        <v>0</v>
      </c>
      <c r="O7">
        <f>'23 05 2022 '!K9</f>
        <v>0</v>
      </c>
      <c r="Q7">
        <f>'06 06 2022 '!K9</f>
        <v>1</v>
      </c>
      <c r="R7">
        <f>'13 06 2022  '!K9</f>
        <v>2</v>
      </c>
      <c r="S7">
        <f>'20 06 2022  '!K9</f>
        <v>0</v>
      </c>
      <c r="T7">
        <v>0</v>
      </c>
      <c r="U7" s="26">
        <f t="shared" si="0"/>
        <v>20</v>
      </c>
      <c r="V7" s="31">
        <f t="shared" si="1"/>
        <v>0.1388888888888889</v>
      </c>
      <c r="X7" s="40"/>
      <c r="AY7" s="26"/>
      <c r="AZ7" s="1"/>
    </row>
    <row r="8" spans="1:52" ht="13.9" customHeight="1" x14ac:dyDescent="0.25">
      <c r="A8" s="38" t="s">
        <v>15</v>
      </c>
      <c r="B8">
        <f>'21 02 2022'!K10</f>
        <v>0</v>
      </c>
      <c r="C8">
        <f>'28 02 2022'!K10</f>
        <v>5</v>
      </c>
      <c r="D8">
        <f>'07 03 2022'!K10</f>
        <v>3</v>
      </c>
      <c r="E8">
        <f>'14 03 2022'!K10</f>
        <v>1</v>
      </c>
      <c r="F8">
        <f>'21 03 2022'!K10</f>
        <v>0</v>
      </c>
      <c r="G8">
        <f>'28 03 2022'!K10</f>
        <v>1</v>
      </c>
      <c r="H8">
        <f>'04 04 2022'!K10</f>
        <v>0</v>
      </c>
      <c r="I8">
        <f>'11 04 2022'!K10</f>
        <v>0</v>
      </c>
      <c r="J8">
        <f>'18 04 2022'!K10</f>
        <v>0</v>
      </c>
      <c r="K8">
        <f>'25 04 2022'!K10</f>
        <v>1</v>
      </c>
      <c r="L8">
        <f>'02 05 2022'!K10</f>
        <v>0</v>
      </c>
      <c r="M8">
        <f>'09 05 2022'!K10</f>
        <v>0</v>
      </c>
      <c r="N8">
        <f>'16 05 2022'!K10</f>
        <v>5</v>
      </c>
      <c r="O8">
        <f>'23 05 2022 '!K10</f>
        <v>3</v>
      </c>
      <c r="Q8">
        <f>'06 06 2022 '!K10</f>
        <v>2</v>
      </c>
      <c r="R8">
        <f>'13 06 2022  '!K10</f>
        <v>0</v>
      </c>
      <c r="S8">
        <f>'20 06 2022  '!K10</f>
        <v>0</v>
      </c>
      <c r="T8">
        <v>0</v>
      </c>
      <c r="U8" s="26">
        <f t="shared" si="0"/>
        <v>21</v>
      </c>
      <c r="V8" s="31">
        <f t="shared" si="1"/>
        <v>0.14583333333333334</v>
      </c>
      <c r="X8" s="40"/>
      <c r="AY8" s="26"/>
      <c r="AZ8" s="1"/>
    </row>
    <row r="9" spans="1:52" ht="13.9" customHeight="1" x14ac:dyDescent="0.25">
      <c r="A9" s="39" t="s">
        <v>17</v>
      </c>
      <c r="B9">
        <f>'21 02 2022'!K11</f>
        <v>0</v>
      </c>
      <c r="C9">
        <f>'28 02 2022'!K11</f>
        <v>0</v>
      </c>
      <c r="D9">
        <f>'07 03 2022'!K11</f>
        <v>0</v>
      </c>
      <c r="E9">
        <f>'14 03 2022'!K11</f>
        <v>1</v>
      </c>
      <c r="F9">
        <f>'21 03 2022'!K11</f>
        <v>0</v>
      </c>
      <c r="G9">
        <f>'28 03 2022'!K11</f>
        <v>2</v>
      </c>
      <c r="H9">
        <f>'04 04 2022'!K11</f>
        <v>0</v>
      </c>
      <c r="I9">
        <f>'11 04 2022'!K11</f>
        <v>5</v>
      </c>
      <c r="J9">
        <f>'18 04 2022'!K11</f>
        <v>4</v>
      </c>
      <c r="K9">
        <f>'25 04 2022'!K11</f>
        <v>2</v>
      </c>
      <c r="L9">
        <f>'02 05 2022'!K11</f>
        <v>0</v>
      </c>
      <c r="M9">
        <f>'09 05 2022'!K11</f>
        <v>0</v>
      </c>
      <c r="N9">
        <f>'16 05 2022'!K11</f>
        <v>0</v>
      </c>
      <c r="O9">
        <f>'23 05 2022 '!K11</f>
        <v>0</v>
      </c>
      <c r="Q9">
        <f>'06 06 2022 '!K11</f>
        <v>0</v>
      </c>
      <c r="R9">
        <f>'13 06 2022  '!K11</f>
        <v>1</v>
      </c>
      <c r="S9">
        <f>'20 06 2022  '!K11</f>
        <v>0</v>
      </c>
      <c r="T9">
        <v>0</v>
      </c>
      <c r="U9" s="26">
        <f t="shared" si="0"/>
        <v>15</v>
      </c>
      <c r="V9" s="31">
        <f t="shared" si="1"/>
        <v>0.10416666666666667</v>
      </c>
      <c r="X9" s="40"/>
      <c r="AY9" s="26"/>
      <c r="AZ9" s="1"/>
    </row>
    <row r="10" spans="1:52" ht="13.9" customHeight="1" x14ac:dyDescent="0.25">
      <c r="A10" s="25" t="s">
        <v>121</v>
      </c>
      <c r="B10">
        <f>'21 02 2022'!K12</f>
        <v>2</v>
      </c>
      <c r="C10">
        <f>'28 02 2022'!K12</f>
        <v>0</v>
      </c>
      <c r="D10">
        <f>'07 03 2022'!K12</f>
        <v>0</v>
      </c>
      <c r="E10">
        <f>'14 03 2022'!K12</f>
        <v>3</v>
      </c>
      <c r="F10">
        <f>'21 03 2022'!K12</f>
        <v>4</v>
      </c>
      <c r="G10">
        <f>'28 03 2022'!K12</f>
        <v>2</v>
      </c>
      <c r="H10">
        <f>'04 04 2022'!K12</f>
        <v>3</v>
      </c>
      <c r="I10">
        <f>'11 04 2022'!K12</f>
        <v>2</v>
      </c>
      <c r="J10">
        <f>'18 04 2022'!K12</f>
        <v>0</v>
      </c>
      <c r="K10">
        <f>'25 04 2022'!K12</f>
        <v>0</v>
      </c>
      <c r="L10">
        <f>'02 05 2022'!K12</f>
        <v>0</v>
      </c>
      <c r="M10">
        <f>'09 05 2022'!K12</f>
        <v>0</v>
      </c>
      <c r="N10">
        <f>'16 05 2022'!K12</f>
        <v>0</v>
      </c>
      <c r="O10">
        <f>'23 05 2022 '!K12</f>
        <v>1</v>
      </c>
      <c r="Q10">
        <f>'06 06 2022 '!K12</f>
        <v>0</v>
      </c>
      <c r="R10">
        <f>'13 06 2022  '!K12</f>
        <v>3</v>
      </c>
      <c r="S10">
        <f>'20 06 2022  '!K12</f>
        <v>0</v>
      </c>
      <c r="T10">
        <v>2</v>
      </c>
      <c r="U10" s="26">
        <f t="shared" si="0"/>
        <v>22</v>
      </c>
      <c r="V10" s="31">
        <f t="shared" si="1"/>
        <v>0.15277777777777779</v>
      </c>
      <c r="X10" s="40"/>
      <c r="AY10" s="26"/>
      <c r="AZ10" s="1"/>
    </row>
    <row r="11" spans="1:52" ht="13.9" customHeight="1" x14ac:dyDescent="0.25">
      <c r="A11" s="47" t="s">
        <v>111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>'25 04 2022'!K13</f>
        <v>2</v>
      </c>
      <c r="L11">
        <f>'02 05 2022'!K13</f>
        <v>0</v>
      </c>
      <c r="M11">
        <f>'09 05 2022'!K13</f>
        <v>0</v>
      </c>
      <c r="N11">
        <f>'16 05 2022'!K13</f>
        <v>0</v>
      </c>
      <c r="O11">
        <f>'23 05 2022 '!K13</f>
        <v>0</v>
      </c>
      <c r="Q11">
        <f>'06 06 2022 '!K13</f>
        <v>0</v>
      </c>
      <c r="R11">
        <f>'13 06 2022  '!K13</f>
        <v>0</v>
      </c>
      <c r="S11">
        <f>'20 06 2022  '!K13</f>
        <v>0</v>
      </c>
      <c r="T11">
        <v>0</v>
      </c>
      <c r="U11" s="26">
        <f t="shared" si="0"/>
        <v>2</v>
      </c>
      <c r="V11" s="31">
        <f t="shared" si="1"/>
        <v>1.3888888888888888E-2</v>
      </c>
      <c r="X11" s="40"/>
      <c r="AY11" s="26"/>
      <c r="AZ11" s="1"/>
    </row>
    <row r="12" spans="1:52" x14ac:dyDescent="0.25">
      <c r="A12" s="29" t="s">
        <v>21</v>
      </c>
      <c r="B12" s="29">
        <f>SUM(B3:B10)</f>
        <v>16</v>
      </c>
      <c r="C12" s="29">
        <f>SUM(C3:C10)</f>
        <v>14</v>
      </c>
      <c r="D12" s="29">
        <f t="shared" ref="D12:P12" si="2">SUM(D3:D10)</f>
        <v>6</v>
      </c>
      <c r="E12" s="29">
        <f t="shared" si="2"/>
        <v>10</v>
      </c>
      <c r="F12" s="29">
        <f t="shared" si="2"/>
        <v>7</v>
      </c>
      <c r="G12" s="29">
        <f t="shared" si="2"/>
        <v>11</v>
      </c>
      <c r="H12" s="29">
        <f t="shared" si="2"/>
        <v>6</v>
      </c>
      <c r="I12" s="29">
        <f t="shared" si="2"/>
        <v>21</v>
      </c>
      <c r="J12" s="29">
        <f t="shared" si="2"/>
        <v>8</v>
      </c>
      <c r="K12" s="29">
        <f t="shared" si="2"/>
        <v>7</v>
      </c>
      <c r="L12" s="29">
        <f t="shared" si="2"/>
        <v>3</v>
      </c>
      <c r="M12" s="29">
        <f t="shared" si="2"/>
        <v>3</v>
      </c>
      <c r="N12" s="29">
        <f t="shared" si="2"/>
        <v>8</v>
      </c>
      <c r="O12" s="29">
        <f t="shared" si="2"/>
        <v>4</v>
      </c>
      <c r="P12" s="29">
        <f t="shared" si="2"/>
        <v>0</v>
      </c>
      <c r="Q12" s="29">
        <f>SUM(Q3:Q10)</f>
        <v>4</v>
      </c>
      <c r="R12" s="29">
        <f>SUM(R3:R10)</f>
        <v>13</v>
      </c>
      <c r="S12" s="29">
        <f t="shared" ref="S12" si="3">SUM(S3:S10)</f>
        <v>1</v>
      </c>
      <c r="T12" s="29">
        <f t="shared" ref="T12" si="4">SUM(T3:T10)</f>
        <v>2</v>
      </c>
      <c r="U12" s="29">
        <f>SUM(B12:T12)</f>
        <v>144</v>
      </c>
      <c r="V12" s="26"/>
      <c r="X12" s="40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1</vt:i4>
      </vt:variant>
    </vt:vector>
  </HeadingPairs>
  <TitlesOfParts>
    <vt:vector size="20" baseType="lpstr">
      <vt:lpstr>21 02 2022</vt:lpstr>
      <vt:lpstr>28 02 2022</vt:lpstr>
      <vt:lpstr>07 03 2022</vt:lpstr>
      <vt:lpstr>14 03 2022</vt:lpstr>
      <vt:lpstr>21 03 2022</vt:lpstr>
      <vt:lpstr>28 03 2022</vt:lpstr>
      <vt:lpstr>04 04 2022</vt:lpstr>
      <vt:lpstr>11 04 2022</vt:lpstr>
      <vt:lpstr>18 04 2022</vt:lpstr>
      <vt:lpstr>25 04 2022</vt:lpstr>
      <vt:lpstr>02 05 2022</vt:lpstr>
      <vt:lpstr>09 05 2022</vt:lpstr>
      <vt:lpstr>16 05 2022</vt:lpstr>
      <vt:lpstr>23 05 2022 </vt:lpstr>
      <vt:lpstr>06 06 2022 </vt:lpstr>
      <vt:lpstr>13 06 2022  </vt:lpstr>
      <vt:lpstr>20 06 2022  </vt:lpstr>
      <vt:lpstr>27 06 2022  </vt:lpstr>
      <vt:lpstr>Acumulado</vt:lpstr>
      <vt:lpstr>Acumulado!semestre01de2022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Kalito Silva</dc:creator>
  <cp:keywords/>
  <dc:description/>
  <cp:lastModifiedBy>Kalito Silva</cp:lastModifiedBy>
  <cp:revision/>
  <dcterms:created xsi:type="dcterms:W3CDTF">2022-02-17T20:52:24Z</dcterms:created>
  <dcterms:modified xsi:type="dcterms:W3CDTF">2022-07-09T18:23:49Z</dcterms:modified>
  <cp:category/>
  <cp:contentStatus/>
</cp:coreProperties>
</file>